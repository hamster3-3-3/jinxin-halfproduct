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9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35" yWindow="90" windowWidth="23175" windowHeight="5325" tabRatio="877" firstSheet="2" activeTab="4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'報廢20大－原因別分析'!#REF!</definedName>
    <definedName name="_xlnm._FilterDatabase" localSheetId="29" hidden="1">'超用20大－原因別分析'!#REF!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(週)'!$A$1:$M$2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45621"/>
</workbook>
</file>

<file path=xl/calcChain.xml><?xml version="1.0" encoding="utf-8"?>
<calcChain xmlns="http://schemas.openxmlformats.org/spreadsheetml/2006/main">
  <c r="S71" i="33" l="1"/>
  <c r="S70" i="33"/>
  <c r="S69" i="33"/>
  <c r="S68" i="33"/>
  <c r="S67" i="33"/>
  <c r="S66" i="33"/>
  <c r="S65" i="33"/>
  <c r="S64" i="33"/>
  <c r="S63" i="33"/>
  <c r="S62" i="33"/>
  <c r="S61" i="33"/>
  <c r="S60" i="33"/>
  <c r="S59" i="33"/>
  <c r="S58" i="33"/>
  <c r="S57" i="33"/>
  <c r="S56" i="33"/>
  <c r="S55" i="33"/>
  <c r="S54" i="33"/>
  <c r="S53" i="33"/>
  <c r="S52" i="33"/>
  <c r="S51" i="33"/>
  <c r="S50" i="33"/>
  <c r="S49" i="33"/>
  <c r="S48" i="33"/>
  <c r="S47" i="33"/>
  <c r="S46" i="33"/>
  <c r="S45" i="33"/>
  <c r="S44" i="33"/>
  <c r="S43" i="33"/>
  <c r="T42" i="33"/>
  <c r="S42" i="33"/>
  <c r="X71" i="33"/>
  <c r="X70" i="33"/>
  <c r="X69" i="33"/>
  <c r="X68" i="33"/>
  <c r="X67" i="33"/>
  <c r="X66" i="33"/>
  <c r="X65" i="33"/>
  <c r="X64" i="33"/>
  <c r="X63" i="33"/>
  <c r="X62" i="33"/>
  <c r="X61" i="33"/>
  <c r="X60" i="33"/>
  <c r="X59" i="33"/>
  <c r="X58" i="33"/>
  <c r="X57" i="33"/>
  <c r="X56" i="33"/>
  <c r="X55" i="33"/>
  <c r="X54" i="33"/>
  <c r="X53" i="33"/>
  <c r="X52" i="33"/>
  <c r="X51" i="33"/>
  <c r="X50" i="33"/>
  <c r="X49" i="33"/>
  <c r="X48" i="33"/>
  <c r="X47" i="33"/>
  <c r="X46" i="33"/>
  <c r="X45" i="33"/>
  <c r="X44" i="33"/>
  <c r="X43" i="33"/>
  <c r="Y42" i="33"/>
  <c r="X42" i="33"/>
  <c r="AC71" i="33"/>
  <c r="AC70" i="33"/>
  <c r="AC69" i="33"/>
  <c r="AC68" i="33"/>
  <c r="AC67" i="33"/>
  <c r="AC66" i="33"/>
  <c r="AC65" i="33"/>
  <c r="AC64" i="33"/>
  <c r="AC63" i="33"/>
  <c r="AC62" i="33"/>
  <c r="AC61" i="33"/>
  <c r="AC60" i="33"/>
  <c r="AC59" i="33"/>
  <c r="AC58" i="33"/>
  <c r="AC57" i="33"/>
  <c r="AC56" i="33"/>
  <c r="AC55" i="33"/>
  <c r="AC54" i="33"/>
  <c r="AC53" i="33"/>
  <c r="AC52" i="33"/>
  <c r="AC51" i="33"/>
  <c r="AC50" i="33"/>
  <c r="AC49" i="33"/>
  <c r="AC48" i="33"/>
  <c r="AC47" i="33"/>
  <c r="AC46" i="33"/>
  <c r="AC45" i="33"/>
  <c r="AC44" i="33"/>
  <c r="AC43" i="33"/>
  <c r="AD42" i="33"/>
  <c r="AC42" i="33"/>
  <c r="AH71" i="33"/>
  <c r="AH70" i="33"/>
  <c r="AH69" i="33"/>
  <c r="AH68" i="33"/>
  <c r="AH67" i="33"/>
  <c r="AH66" i="33"/>
  <c r="AH65" i="33"/>
  <c r="AH64" i="33"/>
  <c r="AH63" i="33"/>
  <c r="AH62" i="33"/>
  <c r="AH61" i="33"/>
  <c r="AH60" i="33"/>
  <c r="AH59" i="33"/>
  <c r="AH58" i="33"/>
  <c r="AH57" i="33"/>
  <c r="AH56" i="33"/>
  <c r="AH55" i="33"/>
  <c r="AH54" i="33"/>
  <c r="AH53" i="33"/>
  <c r="AH52" i="33"/>
  <c r="AH51" i="33"/>
  <c r="AH50" i="33"/>
  <c r="AH49" i="33"/>
  <c r="AH48" i="33"/>
  <c r="AH47" i="33"/>
  <c r="AH46" i="33"/>
  <c r="AH45" i="33"/>
  <c r="AH44" i="33"/>
  <c r="AH43" i="33"/>
  <c r="AI42" i="33"/>
  <c r="AH42" i="33"/>
  <c r="AM71" i="33"/>
  <c r="AM70" i="33"/>
  <c r="AM69" i="33"/>
  <c r="AM68" i="33"/>
  <c r="AM67" i="33"/>
  <c r="AM66" i="33"/>
  <c r="AM65" i="33"/>
  <c r="AM64" i="33"/>
  <c r="AM63" i="33"/>
  <c r="AM62" i="33"/>
  <c r="AM61" i="33"/>
  <c r="AM60" i="33"/>
  <c r="AM59" i="33"/>
  <c r="AM58" i="33"/>
  <c r="AM57" i="33"/>
  <c r="AM56" i="33"/>
  <c r="AM55" i="33"/>
  <c r="AM54" i="33"/>
  <c r="AM53" i="33"/>
  <c r="AM52" i="33"/>
  <c r="AM51" i="33"/>
  <c r="AM50" i="33"/>
  <c r="AM49" i="33"/>
  <c r="AM48" i="33"/>
  <c r="AM47" i="33"/>
  <c r="AM46" i="33"/>
  <c r="AM45" i="33"/>
  <c r="AM44" i="33"/>
  <c r="AM43" i="33"/>
  <c r="AN42" i="33"/>
  <c r="AM42" i="33"/>
  <c r="AR71" i="33"/>
  <c r="AR70" i="33"/>
  <c r="AR69" i="33"/>
  <c r="AR68" i="33"/>
  <c r="AR67" i="33"/>
  <c r="AR66" i="33"/>
  <c r="AR65" i="33"/>
  <c r="AR64" i="33"/>
  <c r="AR63" i="33"/>
  <c r="AR62" i="33"/>
  <c r="AR61" i="33"/>
  <c r="AR60" i="33"/>
  <c r="AR59" i="33"/>
  <c r="AR58" i="33"/>
  <c r="AR57" i="33"/>
  <c r="AR56" i="33"/>
  <c r="AR55" i="33"/>
  <c r="AR54" i="33"/>
  <c r="AR53" i="33"/>
  <c r="AR52" i="33"/>
  <c r="AR51" i="33"/>
  <c r="AR50" i="33"/>
  <c r="AR49" i="33"/>
  <c r="AR48" i="33"/>
  <c r="AR47" i="33"/>
  <c r="AR46" i="33"/>
  <c r="AR45" i="33"/>
  <c r="AR44" i="33"/>
  <c r="AR43" i="33"/>
  <c r="AS42" i="33"/>
  <c r="AR42" i="33"/>
  <c r="AW71" i="33"/>
  <c r="AW70" i="33"/>
  <c r="AW69" i="33"/>
  <c r="AW68" i="33"/>
  <c r="AW67" i="33"/>
  <c r="AW66" i="33"/>
  <c r="AW65" i="33"/>
  <c r="AW64" i="33"/>
  <c r="AW63" i="33"/>
  <c r="AW62" i="33"/>
  <c r="AW61" i="33"/>
  <c r="AW60" i="33"/>
  <c r="AW59" i="33"/>
  <c r="AW58" i="33"/>
  <c r="AW57" i="33"/>
  <c r="AW56" i="33"/>
  <c r="AW55" i="33"/>
  <c r="AW54" i="33"/>
  <c r="AW53" i="33"/>
  <c r="AW52" i="33"/>
  <c r="AW51" i="33"/>
  <c r="AW50" i="33"/>
  <c r="AW49" i="33"/>
  <c r="AW48" i="33"/>
  <c r="AW47" i="33"/>
  <c r="AW46" i="33"/>
  <c r="AW45" i="33"/>
  <c r="AW44" i="33"/>
  <c r="AW43" i="33"/>
  <c r="AX42" i="33"/>
  <c r="AW42" i="33"/>
  <c r="S41" i="34"/>
  <c r="S40" i="34"/>
  <c r="S39" i="34"/>
  <c r="S38" i="34"/>
  <c r="S37" i="34"/>
  <c r="S36" i="34"/>
  <c r="S35" i="34"/>
  <c r="S34" i="34"/>
  <c r="S33" i="34"/>
  <c r="S32" i="34"/>
  <c r="S31" i="34"/>
  <c r="S30" i="34"/>
  <c r="S29" i="34"/>
  <c r="S28" i="34"/>
  <c r="T27" i="34"/>
  <c r="S27" i="34"/>
  <c r="S41" i="35"/>
  <c r="S40" i="35"/>
  <c r="S39" i="35"/>
  <c r="S38" i="35"/>
  <c r="S37" i="35"/>
  <c r="S36" i="35"/>
  <c r="S35" i="35"/>
  <c r="S34" i="35"/>
  <c r="S33" i="35"/>
  <c r="S32" i="35"/>
  <c r="S31" i="35"/>
  <c r="S30" i="35"/>
  <c r="S29" i="35"/>
  <c r="S28" i="35"/>
  <c r="T27" i="35"/>
  <c r="S27" i="35"/>
  <c r="S41" i="36"/>
  <c r="S40" i="36"/>
  <c r="S39" i="36"/>
  <c r="S38" i="36"/>
  <c r="S37" i="36"/>
  <c r="S36" i="36"/>
  <c r="S35" i="36"/>
  <c r="S34" i="36"/>
  <c r="S33" i="36"/>
  <c r="S32" i="36"/>
  <c r="S31" i="36"/>
  <c r="S30" i="36"/>
  <c r="S29" i="36"/>
  <c r="S28" i="36"/>
  <c r="T27" i="36"/>
  <c r="S27" i="36"/>
  <c r="S41" i="37"/>
  <c r="S40" i="37"/>
  <c r="S39" i="37"/>
  <c r="S38" i="37"/>
  <c r="S37" i="37"/>
  <c r="S36" i="37"/>
  <c r="S35" i="37"/>
  <c r="S34" i="37"/>
  <c r="S33" i="37"/>
  <c r="S32" i="37"/>
  <c r="S31" i="37"/>
  <c r="S30" i="37"/>
  <c r="S29" i="37"/>
  <c r="S28" i="37"/>
  <c r="T27" i="37"/>
  <c r="S27" i="37"/>
  <c r="X41" i="34"/>
  <c r="X40" i="34"/>
  <c r="X39" i="34"/>
  <c r="X38" i="34"/>
  <c r="X37" i="34"/>
  <c r="X36" i="34"/>
  <c r="X35" i="34"/>
  <c r="X34" i="34"/>
  <c r="X33" i="34"/>
  <c r="X32" i="34"/>
  <c r="X31" i="34"/>
  <c r="X30" i="34"/>
  <c r="X29" i="34"/>
  <c r="X28" i="34"/>
  <c r="Y27" i="34"/>
  <c r="X27" i="34"/>
  <c r="X41" i="35"/>
  <c r="X40" i="35"/>
  <c r="X39" i="35"/>
  <c r="X38" i="35"/>
  <c r="X37" i="35"/>
  <c r="X36" i="35"/>
  <c r="X35" i="35"/>
  <c r="X34" i="35"/>
  <c r="X33" i="35"/>
  <c r="X32" i="35"/>
  <c r="X31" i="35"/>
  <c r="X30" i="35"/>
  <c r="X29" i="35"/>
  <c r="X28" i="35"/>
  <c r="Y27" i="35"/>
  <c r="X27" i="35"/>
  <c r="X41" i="36"/>
  <c r="X40" i="36"/>
  <c r="X39" i="36"/>
  <c r="X38" i="36"/>
  <c r="X37" i="36"/>
  <c r="X36" i="36"/>
  <c r="X35" i="36"/>
  <c r="X34" i="36"/>
  <c r="X33" i="36"/>
  <c r="X32" i="36"/>
  <c r="X31" i="36"/>
  <c r="X30" i="36"/>
  <c r="X29" i="36"/>
  <c r="X28" i="36"/>
  <c r="Y27" i="36"/>
  <c r="X27" i="36"/>
  <c r="X41" i="37"/>
  <c r="X40" i="37"/>
  <c r="X39" i="37"/>
  <c r="X38" i="37"/>
  <c r="X37" i="37"/>
  <c r="X36" i="37"/>
  <c r="X35" i="37"/>
  <c r="X34" i="37"/>
  <c r="X33" i="37"/>
  <c r="X32" i="37"/>
  <c r="X31" i="37"/>
  <c r="X30" i="37"/>
  <c r="X29" i="37"/>
  <c r="X28" i="37"/>
  <c r="Y27" i="37"/>
  <c r="X27" i="37"/>
  <c r="AC41" i="34"/>
  <c r="AC40" i="34"/>
  <c r="AC39" i="34"/>
  <c r="AC38" i="34"/>
  <c r="AC37" i="34"/>
  <c r="AC36" i="34"/>
  <c r="AC35" i="34"/>
  <c r="AC34" i="34"/>
  <c r="AC33" i="34"/>
  <c r="AC32" i="34"/>
  <c r="AC31" i="34"/>
  <c r="AC30" i="34"/>
  <c r="AC29" i="34"/>
  <c r="AC28" i="34"/>
  <c r="AD27" i="34"/>
  <c r="AC27" i="34"/>
  <c r="AH41" i="34"/>
  <c r="AH40" i="34"/>
  <c r="AH39" i="34"/>
  <c r="AH38" i="34"/>
  <c r="AH37" i="34"/>
  <c r="AH36" i="34"/>
  <c r="AH35" i="34"/>
  <c r="AH34" i="34"/>
  <c r="AH33" i="34"/>
  <c r="AH32" i="34"/>
  <c r="AH31" i="34"/>
  <c r="AH30" i="34"/>
  <c r="AH29" i="34"/>
  <c r="AH28" i="34"/>
  <c r="AI27" i="34"/>
  <c r="AH27" i="34"/>
  <c r="AM41" i="34"/>
  <c r="AM40" i="34"/>
  <c r="AM39" i="34"/>
  <c r="AM38" i="34"/>
  <c r="AM37" i="34"/>
  <c r="AM36" i="34"/>
  <c r="AM35" i="34"/>
  <c r="AM34" i="34"/>
  <c r="AM33" i="34"/>
  <c r="AM32" i="34"/>
  <c r="AM31" i="34"/>
  <c r="AM30" i="34"/>
  <c r="AM29" i="34"/>
  <c r="AM28" i="34"/>
  <c r="AN27" i="34"/>
  <c r="AM27" i="34"/>
  <c r="AR41" i="34"/>
  <c r="AR40" i="34"/>
  <c r="AR39" i="34"/>
  <c r="AR38" i="34"/>
  <c r="AR37" i="34"/>
  <c r="AR36" i="34"/>
  <c r="AR35" i="34"/>
  <c r="AR34" i="34"/>
  <c r="AR33" i="34"/>
  <c r="AR32" i="34"/>
  <c r="AR31" i="34"/>
  <c r="AR30" i="34"/>
  <c r="AR29" i="34"/>
  <c r="AR28" i="34"/>
  <c r="AS27" i="34"/>
  <c r="AR27" i="34"/>
  <c r="AW41" i="34"/>
  <c r="AW40" i="34"/>
  <c r="AW39" i="34"/>
  <c r="AW38" i="34"/>
  <c r="AW37" i="34"/>
  <c r="AW36" i="34"/>
  <c r="AW35" i="34"/>
  <c r="AW34" i="34"/>
  <c r="AW33" i="34"/>
  <c r="AW32" i="34"/>
  <c r="AW31" i="34"/>
  <c r="AW30" i="34"/>
  <c r="AW29" i="34"/>
  <c r="AW28" i="34"/>
  <c r="AX27" i="34"/>
  <c r="AW27" i="34"/>
  <c r="AC41" i="35"/>
  <c r="AC40" i="35"/>
  <c r="AC39" i="35"/>
  <c r="AC38" i="35"/>
  <c r="AC37" i="35"/>
  <c r="AC36" i="35"/>
  <c r="AC35" i="35"/>
  <c r="AC34" i="35"/>
  <c r="AC33" i="35"/>
  <c r="AC32" i="35"/>
  <c r="AC31" i="35"/>
  <c r="AC30" i="35"/>
  <c r="AC29" i="35"/>
  <c r="AC28" i="35"/>
  <c r="AD27" i="35"/>
  <c r="AC27" i="35"/>
  <c r="AH41" i="35"/>
  <c r="AH40" i="35"/>
  <c r="AH39" i="35"/>
  <c r="AH38" i="35"/>
  <c r="AH37" i="35"/>
  <c r="AH36" i="35"/>
  <c r="AH35" i="35"/>
  <c r="AH34" i="35"/>
  <c r="AH33" i="35"/>
  <c r="AH32" i="35"/>
  <c r="AH31" i="35"/>
  <c r="AH30" i="35"/>
  <c r="AH29" i="35"/>
  <c r="AH28" i="35"/>
  <c r="AI27" i="35"/>
  <c r="AH27" i="35"/>
  <c r="AM41" i="35"/>
  <c r="AM40" i="35"/>
  <c r="AM39" i="35"/>
  <c r="AM38" i="35"/>
  <c r="AM37" i="35"/>
  <c r="AM36" i="35"/>
  <c r="AM35" i="35"/>
  <c r="AM34" i="35"/>
  <c r="AM33" i="35"/>
  <c r="AM32" i="35"/>
  <c r="AM31" i="35"/>
  <c r="AM30" i="35"/>
  <c r="AM29" i="35"/>
  <c r="AM28" i="35"/>
  <c r="AN27" i="35"/>
  <c r="AM27" i="35"/>
  <c r="AR41" i="35"/>
  <c r="AR40" i="35"/>
  <c r="AR39" i="35"/>
  <c r="AR38" i="35"/>
  <c r="AR37" i="35"/>
  <c r="AR36" i="35"/>
  <c r="AR35" i="35"/>
  <c r="AR34" i="35"/>
  <c r="AR33" i="35"/>
  <c r="AR32" i="35"/>
  <c r="AR31" i="35"/>
  <c r="AR30" i="35"/>
  <c r="AR29" i="35"/>
  <c r="AR28" i="35"/>
  <c r="AS27" i="35"/>
  <c r="AR27" i="35"/>
  <c r="AW41" i="35"/>
  <c r="AW40" i="35"/>
  <c r="AW39" i="35"/>
  <c r="AW38" i="35"/>
  <c r="AW37" i="35"/>
  <c r="AW36" i="35"/>
  <c r="AW35" i="35"/>
  <c r="AW34" i="35"/>
  <c r="AW33" i="35"/>
  <c r="AW32" i="35"/>
  <c r="AW31" i="35"/>
  <c r="AW30" i="35"/>
  <c r="AW29" i="35"/>
  <c r="AW28" i="35"/>
  <c r="AX27" i="35"/>
  <c r="AW27" i="35"/>
  <c r="AC41" i="36"/>
  <c r="AC40" i="36"/>
  <c r="AC39" i="36"/>
  <c r="AC38" i="36"/>
  <c r="AC37" i="36"/>
  <c r="AC36" i="36"/>
  <c r="AC35" i="36"/>
  <c r="AC34" i="36"/>
  <c r="AC33" i="36"/>
  <c r="AC32" i="36"/>
  <c r="AC31" i="36"/>
  <c r="AC30" i="36"/>
  <c r="AC29" i="36"/>
  <c r="AC28" i="36"/>
  <c r="AD27" i="36"/>
  <c r="AC27" i="36"/>
  <c r="AH41" i="36"/>
  <c r="AH40" i="36"/>
  <c r="AH39" i="36"/>
  <c r="AH38" i="36"/>
  <c r="AH37" i="36"/>
  <c r="AH36" i="36"/>
  <c r="AH35" i="36"/>
  <c r="AH34" i="36"/>
  <c r="AH33" i="36"/>
  <c r="AH32" i="36"/>
  <c r="AH31" i="36"/>
  <c r="AH30" i="36"/>
  <c r="AH29" i="36"/>
  <c r="AH28" i="36"/>
  <c r="AI27" i="36"/>
  <c r="AH27" i="36"/>
  <c r="AM41" i="36"/>
  <c r="AM40" i="36"/>
  <c r="AM39" i="36"/>
  <c r="AM38" i="36"/>
  <c r="AM37" i="36"/>
  <c r="AM36" i="36"/>
  <c r="AM35" i="36"/>
  <c r="AM34" i="36"/>
  <c r="AM33" i="36"/>
  <c r="AM32" i="36"/>
  <c r="AM31" i="36"/>
  <c r="AM30" i="36"/>
  <c r="AM29" i="36"/>
  <c r="AM28" i="36"/>
  <c r="AN27" i="36"/>
  <c r="AM27" i="36"/>
  <c r="AR41" i="36"/>
  <c r="AR40" i="36"/>
  <c r="AR39" i="36"/>
  <c r="AR38" i="36"/>
  <c r="AR37" i="36"/>
  <c r="AR36" i="36"/>
  <c r="AR35" i="36"/>
  <c r="AR34" i="36"/>
  <c r="AR33" i="36"/>
  <c r="AR32" i="36"/>
  <c r="AR31" i="36"/>
  <c r="AR30" i="36"/>
  <c r="AR29" i="36"/>
  <c r="AR28" i="36"/>
  <c r="AS27" i="36"/>
  <c r="AR27" i="36"/>
  <c r="AW41" i="36"/>
  <c r="AW40" i="36"/>
  <c r="AW39" i="36"/>
  <c r="AW38" i="36"/>
  <c r="AW37" i="36"/>
  <c r="AW36" i="36"/>
  <c r="AW35" i="36"/>
  <c r="AW34" i="36"/>
  <c r="AW33" i="36"/>
  <c r="AW32" i="36"/>
  <c r="AW31" i="36"/>
  <c r="AW30" i="36"/>
  <c r="AW29" i="36"/>
  <c r="AW28" i="36"/>
  <c r="AX27" i="36"/>
  <c r="AW27" i="36"/>
  <c r="AC41" i="37"/>
  <c r="AC40" i="37"/>
  <c r="AC39" i="37"/>
  <c r="AC38" i="37"/>
  <c r="AC37" i="37"/>
  <c r="AC36" i="37"/>
  <c r="AC35" i="37"/>
  <c r="AC34" i="37"/>
  <c r="AC33" i="37"/>
  <c r="AC32" i="37"/>
  <c r="AC31" i="37"/>
  <c r="AC30" i="37"/>
  <c r="AC29" i="37"/>
  <c r="AC28" i="37"/>
  <c r="AD27" i="37"/>
  <c r="AC27" i="37"/>
  <c r="AH41" i="37"/>
  <c r="AH40" i="37"/>
  <c r="AH39" i="37"/>
  <c r="AH38" i="37"/>
  <c r="AH37" i="37"/>
  <c r="AH36" i="37"/>
  <c r="AH35" i="37"/>
  <c r="AH34" i="37"/>
  <c r="AH33" i="37"/>
  <c r="AH32" i="37"/>
  <c r="AH31" i="37"/>
  <c r="AH30" i="37"/>
  <c r="AH29" i="37"/>
  <c r="AH28" i="37"/>
  <c r="AI27" i="37"/>
  <c r="AH27" i="37"/>
  <c r="AM41" i="37"/>
  <c r="AM40" i="37"/>
  <c r="AM39" i="37"/>
  <c r="AM38" i="37"/>
  <c r="AM37" i="37"/>
  <c r="AM36" i="37"/>
  <c r="AM35" i="37"/>
  <c r="AM34" i="37"/>
  <c r="AM33" i="37"/>
  <c r="AM32" i="37"/>
  <c r="AM31" i="37"/>
  <c r="AM30" i="37"/>
  <c r="AM29" i="37"/>
  <c r="AM28" i="37"/>
  <c r="AN27" i="37"/>
  <c r="AM27" i="37"/>
  <c r="AR41" i="37"/>
  <c r="AR40" i="37"/>
  <c r="AR39" i="37"/>
  <c r="AR38" i="37"/>
  <c r="AR37" i="37"/>
  <c r="AR36" i="37"/>
  <c r="AR35" i="37"/>
  <c r="AR34" i="37"/>
  <c r="AR33" i="37"/>
  <c r="AR32" i="37"/>
  <c r="AR31" i="37"/>
  <c r="AR30" i="37"/>
  <c r="AR29" i="37"/>
  <c r="AR28" i="37"/>
  <c r="AS27" i="37"/>
  <c r="AR27" i="37"/>
  <c r="AW41" i="37"/>
  <c r="AW40" i="37"/>
  <c r="AW39" i="37"/>
  <c r="AW38" i="37"/>
  <c r="AW37" i="37"/>
  <c r="AW36" i="37"/>
  <c r="AW35" i="37"/>
  <c r="AW34" i="37"/>
  <c r="AW33" i="37"/>
  <c r="AW32" i="37"/>
  <c r="AW31" i="37"/>
  <c r="AW30" i="37"/>
  <c r="AW29" i="37"/>
  <c r="AW28" i="37"/>
  <c r="AX27" i="37"/>
  <c r="AW27" i="37"/>
  <c r="S41" i="31"/>
  <c r="S40" i="31"/>
  <c r="S39" i="31"/>
  <c r="S38" i="31"/>
  <c r="S37" i="31"/>
  <c r="S36" i="31"/>
  <c r="S35" i="31"/>
  <c r="S34" i="31"/>
  <c r="S33" i="31"/>
  <c r="S32" i="31"/>
  <c r="S31" i="31"/>
  <c r="S30" i="31"/>
  <c r="S29" i="31"/>
  <c r="S28" i="31"/>
  <c r="T27" i="31"/>
  <c r="S27" i="31"/>
  <c r="X41" i="31"/>
  <c r="X40" i="31"/>
  <c r="X39" i="31"/>
  <c r="X38" i="31"/>
  <c r="X37" i="31"/>
  <c r="X36" i="31"/>
  <c r="X35" i="31"/>
  <c r="X34" i="31"/>
  <c r="X33" i="31"/>
  <c r="X32" i="31"/>
  <c r="X31" i="31"/>
  <c r="X30" i="31"/>
  <c r="X29" i="31"/>
  <c r="X28" i="31"/>
  <c r="Y27" i="31"/>
  <c r="X27" i="31"/>
  <c r="AC41" i="31"/>
  <c r="AC40" i="31"/>
  <c r="AC39" i="31"/>
  <c r="AC38" i="31"/>
  <c r="AC37" i="31"/>
  <c r="AC36" i="31"/>
  <c r="AC35" i="31"/>
  <c r="AC34" i="31"/>
  <c r="AC33" i="31"/>
  <c r="AC32" i="31"/>
  <c r="AC31" i="31"/>
  <c r="AC30" i="31"/>
  <c r="AC29" i="31"/>
  <c r="AC28" i="31"/>
  <c r="AD27" i="31"/>
  <c r="AC27" i="31"/>
  <c r="AH41" i="31"/>
  <c r="AH40" i="31"/>
  <c r="AH39" i="31"/>
  <c r="AH38" i="31"/>
  <c r="AH37" i="31"/>
  <c r="AH36" i="31"/>
  <c r="AH35" i="31"/>
  <c r="AH34" i="31"/>
  <c r="AH33" i="31"/>
  <c r="AH32" i="31"/>
  <c r="AH31" i="31"/>
  <c r="AH30" i="31"/>
  <c r="AH29" i="31"/>
  <c r="AH28" i="31"/>
  <c r="AI27" i="31"/>
  <c r="AH27" i="31"/>
  <c r="AM41" i="31"/>
  <c r="AM40" i="31"/>
  <c r="AM39" i="31"/>
  <c r="AM38" i="31"/>
  <c r="AM37" i="31"/>
  <c r="AM36" i="31"/>
  <c r="AM35" i="31"/>
  <c r="AM34" i="31"/>
  <c r="AM33" i="31"/>
  <c r="AM32" i="31"/>
  <c r="AM31" i="31"/>
  <c r="AM30" i="31"/>
  <c r="AM29" i="31"/>
  <c r="AM28" i="31"/>
  <c r="AN27" i="31"/>
  <c r="AM27" i="31"/>
  <c r="AR41" i="31"/>
  <c r="AR40" i="31"/>
  <c r="AR39" i="31"/>
  <c r="AR38" i="31"/>
  <c r="AR37" i="31"/>
  <c r="AR36" i="31"/>
  <c r="AR35" i="31"/>
  <c r="AR34" i="31"/>
  <c r="AR33" i="31"/>
  <c r="AR32" i="31"/>
  <c r="AR31" i="31"/>
  <c r="AR30" i="31"/>
  <c r="AR29" i="31"/>
  <c r="AR28" i="31"/>
  <c r="AS27" i="31"/>
  <c r="AR27" i="31"/>
  <c r="AW41" i="31"/>
  <c r="AW40" i="31"/>
  <c r="AW39" i="31"/>
  <c r="AW38" i="31"/>
  <c r="AW37" i="31"/>
  <c r="AW36" i="31"/>
  <c r="AW35" i="31"/>
  <c r="AW34" i="31"/>
  <c r="AW33" i="31"/>
  <c r="AW32" i="31"/>
  <c r="AW31" i="31"/>
  <c r="AW30" i="31"/>
  <c r="AW29" i="31"/>
  <c r="AW28" i="31"/>
  <c r="AX27" i="31"/>
  <c r="AW27" i="31"/>
  <c r="S41" i="32"/>
  <c r="S40" i="32"/>
  <c r="S39" i="32"/>
  <c r="S38" i="32"/>
  <c r="S37" i="32"/>
  <c r="S36" i="32"/>
  <c r="S35" i="32"/>
  <c r="S34" i="32"/>
  <c r="S33" i="32"/>
  <c r="S32" i="32"/>
  <c r="S31" i="32"/>
  <c r="S30" i="32"/>
  <c r="S29" i="32"/>
  <c r="S28" i="32"/>
  <c r="T27" i="32"/>
  <c r="S27" i="32"/>
  <c r="X41" i="32"/>
  <c r="X40" i="32"/>
  <c r="X39" i="32"/>
  <c r="X38" i="32"/>
  <c r="X37" i="32"/>
  <c r="X36" i="32"/>
  <c r="X35" i="32"/>
  <c r="X34" i="32"/>
  <c r="X33" i="32"/>
  <c r="X32" i="32"/>
  <c r="X31" i="32"/>
  <c r="X30" i="32"/>
  <c r="X29" i="32"/>
  <c r="X28" i="32"/>
  <c r="Y27" i="32"/>
  <c r="X27" i="32"/>
  <c r="AC41" i="32"/>
  <c r="AC40" i="32"/>
  <c r="AC39" i="32"/>
  <c r="AC38" i="32"/>
  <c r="AC37" i="32"/>
  <c r="AC36" i="32"/>
  <c r="AC35" i="32"/>
  <c r="AC34" i="32"/>
  <c r="AC33" i="32"/>
  <c r="AC32" i="32"/>
  <c r="AC31" i="32"/>
  <c r="AC30" i="32"/>
  <c r="AC29" i="32"/>
  <c r="AC28" i="32"/>
  <c r="AD27" i="32"/>
  <c r="AC27" i="32"/>
  <c r="AH41" i="32"/>
  <c r="AH40" i="32"/>
  <c r="AH39" i="32"/>
  <c r="AH38" i="32"/>
  <c r="AH37" i="32"/>
  <c r="AH36" i="32"/>
  <c r="AH35" i="32"/>
  <c r="AH34" i="32"/>
  <c r="AH33" i="32"/>
  <c r="AH32" i="32"/>
  <c r="AH31" i="32"/>
  <c r="AH30" i="32"/>
  <c r="AH29" i="32"/>
  <c r="AH28" i="32"/>
  <c r="AI27" i="32"/>
  <c r="AH27" i="32"/>
  <c r="AM41" i="32"/>
  <c r="AM40" i="32"/>
  <c r="AM39" i="32"/>
  <c r="AM38" i="32"/>
  <c r="AM37" i="32"/>
  <c r="AM36" i="32"/>
  <c r="AM35" i="32"/>
  <c r="AM34" i="32"/>
  <c r="AM33" i="32"/>
  <c r="AM32" i="32"/>
  <c r="AM31" i="32"/>
  <c r="AM30" i="32"/>
  <c r="AM29" i="32"/>
  <c r="AM28" i="32"/>
  <c r="AN27" i="32"/>
  <c r="AM27" i="32"/>
  <c r="AR41" i="32"/>
  <c r="AR40" i="32"/>
  <c r="AR39" i="32"/>
  <c r="AR38" i="32"/>
  <c r="AR37" i="32"/>
  <c r="AR36" i="32"/>
  <c r="AR35" i="32"/>
  <c r="AR34" i="32"/>
  <c r="AR33" i="32"/>
  <c r="AR32" i="32"/>
  <c r="AR31" i="32"/>
  <c r="AR30" i="32"/>
  <c r="AR29" i="32"/>
  <c r="AR28" i="32"/>
  <c r="AS27" i="32"/>
  <c r="AR27" i="32"/>
  <c r="AW41" i="32"/>
  <c r="AW40" i="32"/>
  <c r="AW39" i="32"/>
  <c r="AW38" i="32"/>
  <c r="AW37" i="32"/>
  <c r="AW36" i="32"/>
  <c r="AW35" i="32"/>
  <c r="AW34" i="32"/>
  <c r="AW33" i="32"/>
  <c r="AW32" i="32"/>
  <c r="AW31" i="32"/>
  <c r="AW30" i="32"/>
  <c r="AW29" i="32"/>
  <c r="AW28" i="32"/>
  <c r="AX27" i="32"/>
  <c r="AW27" i="32"/>
  <c r="S41" i="30"/>
  <c r="S40" i="30"/>
  <c r="S39" i="30"/>
  <c r="S38" i="30"/>
  <c r="S37" i="30"/>
  <c r="S36" i="30"/>
  <c r="S35" i="30"/>
  <c r="S34" i="30"/>
  <c r="S33" i="30"/>
  <c r="S32" i="30"/>
  <c r="S31" i="30"/>
  <c r="S30" i="30"/>
  <c r="S29" i="30"/>
  <c r="S28" i="30"/>
  <c r="T27" i="30"/>
  <c r="S27" i="30"/>
  <c r="X41" i="30"/>
  <c r="X40" i="30"/>
  <c r="X39" i="30"/>
  <c r="X38" i="30"/>
  <c r="X37" i="30"/>
  <c r="X36" i="30"/>
  <c r="X35" i="30"/>
  <c r="X34" i="30"/>
  <c r="X33" i="30"/>
  <c r="X32" i="30"/>
  <c r="X31" i="30"/>
  <c r="X30" i="30"/>
  <c r="X29" i="30"/>
  <c r="X28" i="30"/>
  <c r="Y27" i="30"/>
  <c r="X27" i="30"/>
  <c r="AC41" i="30"/>
  <c r="AC40" i="30"/>
  <c r="AC39" i="30"/>
  <c r="AC38" i="30"/>
  <c r="AC37" i="30"/>
  <c r="AC36" i="30"/>
  <c r="AC35" i="30"/>
  <c r="AC34" i="30"/>
  <c r="AC33" i="30"/>
  <c r="AC32" i="30"/>
  <c r="AC31" i="30"/>
  <c r="AC30" i="30"/>
  <c r="AC29" i="30"/>
  <c r="AC28" i="30"/>
  <c r="AD27" i="30"/>
  <c r="AC27" i="30"/>
  <c r="AH41" i="30"/>
  <c r="AH40" i="30"/>
  <c r="AH39" i="30"/>
  <c r="AH38" i="30"/>
  <c r="AH37" i="30"/>
  <c r="AH36" i="30"/>
  <c r="AH35" i="30"/>
  <c r="AH34" i="30"/>
  <c r="AH33" i="30"/>
  <c r="AH32" i="30"/>
  <c r="AH31" i="30"/>
  <c r="AH30" i="30"/>
  <c r="AH29" i="30"/>
  <c r="AH28" i="30"/>
  <c r="AI27" i="30"/>
  <c r="AH27" i="30"/>
  <c r="AM41" i="30"/>
  <c r="AM40" i="30"/>
  <c r="AM39" i="30"/>
  <c r="AM38" i="30"/>
  <c r="AM37" i="30"/>
  <c r="AM36" i="30"/>
  <c r="AM35" i="30"/>
  <c r="AM34" i="30"/>
  <c r="AM33" i="30"/>
  <c r="AM32" i="30"/>
  <c r="AM31" i="30"/>
  <c r="AM30" i="30"/>
  <c r="AM29" i="30"/>
  <c r="AM28" i="30"/>
  <c r="AN27" i="30"/>
  <c r="AM27" i="30"/>
  <c r="AR41" i="30"/>
  <c r="AR40" i="30"/>
  <c r="AR39" i="30"/>
  <c r="AR38" i="30"/>
  <c r="AR37" i="30"/>
  <c r="AR36" i="30"/>
  <c r="AR35" i="30"/>
  <c r="AR34" i="30"/>
  <c r="AR33" i="30"/>
  <c r="AR32" i="30"/>
  <c r="AR31" i="30"/>
  <c r="AR30" i="30"/>
  <c r="AR29" i="30"/>
  <c r="AR28" i="30"/>
  <c r="AS27" i="30"/>
  <c r="AR27" i="30"/>
  <c r="AW41" i="30"/>
  <c r="AW40" i="30"/>
  <c r="AW39" i="30"/>
  <c r="AW38" i="30"/>
  <c r="AW37" i="30"/>
  <c r="AW36" i="30"/>
  <c r="AW35" i="30"/>
  <c r="AW34" i="30"/>
  <c r="AW33" i="30"/>
  <c r="AW32" i="30"/>
  <c r="AW31" i="30"/>
  <c r="AW30" i="30"/>
  <c r="AW29" i="30"/>
  <c r="AW28" i="30"/>
  <c r="AY27" i="30" s="1"/>
  <c r="AX27" i="30"/>
  <c r="AW27" i="30"/>
  <c r="S71" i="8"/>
  <c r="S70" i="8"/>
  <c r="S69" i="8"/>
  <c r="S68" i="8"/>
  <c r="S67" i="8"/>
  <c r="S66" i="8"/>
  <c r="S65" i="8"/>
  <c r="S64" i="8"/>
  <c r="S63" i="8"/>
  <c r="S62" i="8"/>
  <c r="S61" i="8"/>
  <c r="S60" i="8"/>
  <c r="S59" i="8"/>
  <c r="S58" i="8"/>
  <c r="S57" i="8"/>
  <c r="S56" i="8"/>
  <c r="S55" i="8"/>
  <c r="S54" i="8"/>
  <c r="S53" i="8"/>
  <c r="S52" i="8"/>
  <c r="S51" i="8"/>
  <c r="S50" i="8"/>
  <c r="S49" i="8"/>
  <c r="S48" i="8"/>
  <c r="S47" i="8"/>
  <c r="S46" i="8"/>
  <c r="S45" i="8"/>
  <c r="S44" i="8"/>
  <c r="S43" i="8"/>
  <c r="T42" i="8"/>
  <c r="S42" i="8"/>
  <c r="X71" i="8"/>
  <c r="X70" i="8"/>
  <c r="X69" i="8"/>
  <c r="X68" i="8"/>
  <c r="X67" i="8"/>
  <c r="X66" i="8"/>
  <c r="X65" i="8"/>
  <c r="X64" i="8"/>
  <c r="X63" i="8"/>
  <c r="X62" i="8"/>
  <c r="X61" i="8"/>
  <c r="X60" i="8"/>
  <c r="X59" i="8"/>
  <c r="X58" i="8"/>
  <c r="X57" i="8"/>
  <c r="X56" i="8"/>
  <c r="X55" i="8"/>
  <c r="X54" i="8"/>
  <c r="X53" i="8"/>
  <c r="X52" i="8"/>
  <c r="X51" i="8"/>
  <c r="X50" i="8"/>
  <c r="X49" i="8"/>
  <c r="X48" i="8"/>
  <c r="X47" i="8"/>
  <c r="X46" i="8"/>
  <c r="X45" i="8"/>
  <c r="X44" i="8"/>
  <c r="X43" i="8"/>
  <c r="Y42" i="8"/>
  <c r="X42" i="8"/>
  <c r="AC71" i="8"/>
  <c r="AC70" i="8"/>
  <c r="AC69" i="8"/>
  <c r="AC68" i="8"/>
  <c r="AC67" i="8"/>
  <c r="AC66" i="8"/>
  <c r="AC65" i="8"/>
  <c r="AC64" i="8"/>
  <c r="AC63" i="8"/>
  <c r="AC62" i="8"/>
  <c r="AC61" i="8"/>
  <c r="AC60" i="8"/>
  <c r="AC59" i="8"/>
  <c r="AC58" i="8"/>
  <c r="AC57" i="8"/>
  <c r="AC56" i="8"/>
  <c r="AC55" i="8"/>
  <c r="AC54" i="8"/>
  <c r="AC53" i="8"/>
  <c r="AC52" i="8"/>
  <c r="AC51" i="8"/>
  <c r="AC50" i="8"/>
  <c r="AC49" i="8"/>
  <c r="AC48" i="8"/>
  <c r="AC47" i="8"/>
  <c r="AC46" i="8"/>
  <c r="AC45" i="8"/>
  <c r="AC44" i="8"/>
  <c r="AC43" i="8"/>
  <c r="AD42" i="8"/>
  <c r="AC42" i="8"/>
  <c r="AH71" i="8"/>
  <c r="AH70" i="8"/>
  <c r="AH69" i="8"/>
  <c r="AH68" i="8"/>
  <c r="AH67" i="8"/>
  <c r="AH66" i="8"/>
  <c r="AH65" i="8"/>
  <c r="AH64" i="8"/>
  <c r="AH63" i="8"/>
  <c r="AH62" i="8"/>
  <c r="AH61" i="8"/>
  <c r="AH60" i="8"/>
  <c r="AH59" i="8"/>
  <c r="AH58" i="8"/>
  <c r="AH57" i="8"/>
  <c r="AH56" i="8"/>
  <c r="AH55" i="8"/>
  <c r="AH54" i="8"/>
  <c r="AH53" i="8"/>
  <c r="AH52" i="8"/>
  <c r="AH51" i="8"/>
  <c r="AH50" i="8"/>
  <c r="AH49" i="8"/>
  <c r="AH48" i="8"/>
  <c r="AH47" i="8"/>
  <c r="AH46" i="8"/>
  <c r="AH45" i="8"/>
  <c r="AH44" i="8"/>
  <c r="AH43" i="8"/>
  <c r="AI42" i="8"/>
  <c r="AH42" i="8"/>
  <c r="AM71" i="8"/>
  <c r="AM70" i="8"/>
  <c r="AM69" i="8"/>
  <c r="AM68" i="8"/>
  <c r="AM67" i="8"/>
  <c r="AM66" i="8"/>
  <c r="AM65" i="8"/>
  <c r="AM64" i="8"/>
  <c r="AM63" i="8"/>
  <c r="AM62" i="8"/>
  <c r="AM61" i="8"/>
  <c r="AM60" i="8"/>
  <c r="AM59" i="8"/>
  <c r="AM58" i="8"/>
  <c r="AM57" i="8"/>
  <c r="AM56" i="8"/>
  <c r="AM55" i="8"/>
  <c r="AM54" i="8"/>
  <c r="AM53" i="8"/>
  <c r="AM52" i="8"/>
  <c r="AM51" i="8"/>
  <c r="AM50" i="8"/>
  <c r="AM49" i="8"/>
  <c r="AM48" i="8"/>
  <c r="AM47" i="8"/>
  <c r="AM46" i="8"/>
  <c r="AM45" i="8"/>
  <c r="AM44" i="8"/>
  <c r="AM43" i="8"/>
  <c r="AN42" i="8"/>
  <c r="AM42" i="8"/>
  <c r="AR71" i="8"/>
  <c r="AR70" i="8"/>
  <c r="AR69" i="8"/>
  <c r="AR68" i="8"/>
  <c r="AR67" i="8"/>
  <c r="AR66" i="8"/>
  <c r="AR65" i="8"/>
  <c r="AR64" i="8"/>
  <c r="AR63" i="8"/>
  <c r="AR62" i="8"/>
  <c r="AR61" i="8"/>
  <c r="AR60" i="8"/>
  <c r="AR59" i="8"/>
  <c r="AR58" i="8"/>
  <c r="AR57" i="8"/>
  <c r="AR56" i="8"/>
  <c r="AR55" i="8"/>
  <c r="AR54" i="8"/>
  <c r="AR53" i="8"/>
  <c r="AR52" i="8"/>
  <c r="AR51" i="8"/>
  <c r="AR50" i="8"/>
  <c r="AR49" i="8"/>
  <c r="AR48" i="8"/>
  <c r="AR47" i="8"/>
  <c r="AR46" i="8"/>
  <c r="AR45" i="8"/>
  <c r="AR44" i="8"/>
  <c r="AR43" i="8"/>
  <c r="AS42" i="8"/>
  <c r="AR42" i="8"/>
  <c r="AW71" i="8"/>
  <c r="AW70" i="8"/>
  <c r="AW69" i="8"/>
  <c r="AW68" i="8"/>
  <c r="AW67" i="8"/>
  <c r="AW66" i="8"/>
  <c r="AW65" i="8"/>
  <c r="AW64" i="8"/>
  <c r="AW63" i="8"/>
  <c r="AW62" i="8"/>
  <c r="AW61" i="8"/>
  <c r="AW60" i="8"/>
  <c r="AW59" i="8"/>
  <c r="AW58" i="8"/>
  <c r="AW57" i="8"/>
  <c r="AW56" i="8"/>
  <c r="AW55" i="8"/>
  <c r="AW54" i="8"/>
  <c r="AW53" i="8"/>
  <c r="AW52" i="8"/>
  <c r="AW51" i="8"/>
  <c r="AW50" i="8"/>
  <c r="AW49" i="8"/>
  <c r="AW48" i="8"/>
  <c r="AW47" i="8"/>
  <c r="AW46" i="8"/>
  <c r="AW45" i="8"/>
  <c r="AW44" i="8"/>
  <c r="AW43" i="8"/>
  <c r="AX42" i="8"/>
  <c r="AW42" i="8"/>
  <c r="AB37" i="6" l="1"/>
  <c r="R37" i="6"/>
  <c r="S21" i="35" l="1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T7" i="35"/>
  <c r="S7" i="35"/>
  <c r="X21" i="35"/>
  <c r="X20" i="35"/>
  <c r="X19" i="35"/>
  <c r="X18" i="35"/>
  <c r="X17" i="35"/>
  <c r="X16" i="35"/>
  <c r="X15" i="35"/>
  <c r="X14" i="35"/>
  <c r="X13" i="35"/>
  <c r="X12" i="35"/>
  <c r="X11" i="35"/>
  <c r="X10" i="35"/>
  <c r="X9" i="35"/>
  <c r="X8" i="35"/>
  <c r="Y7" i="35"/>
  <c r="X7" i="35"/>
  <c r="AC21" i="35"/>
  <c r="AC20" i="35"/>
  <c r="AC19" i="35"/>
  <c r="AC18" i="35"/>
  <c r="AC17" i="35"/>
  <c r="AC16" i="35"/>
  <c r="AC15" i="35"/>
  <c r="AC14" i="35"/>
  <c r="AC13" i="35"/>
  <c r="AC12" i="35"/>
  <c r="AC11" i="35"/>
  <c r="AC10" i="35"/>
  <c r="AC9" i="35"/>
  <c r="AC8" i="35"/>
  <c r="AD7" i="35"/>
  <c r="AC7" i="35"/>
  <c r="AH21" i="35"/>
  <c r="AH20" i="35"/>
  <c r="AH19" i="35"/>
  <c r="AH18" i="35"/>
  <c r="AH17" i="35"/>
  <c r="AH16" i="35"/>
  <c r="AH15" i="35"/>
  <c r="AH14" i="35"/>
  <c r="AH13" i="35"/>
  <c r="AH12" i="35"/>
  <c r="AH11" i="35"/>
  <c r="AH10" i="35"/>
  <c r="AH9" i="35"/>
  <c r="AH8" i="35"/>
  <c r="AI7" i="35"/>
  <c r="AH7" i="35"/>
  <c r="S21" i="36"/>
  <c r="S20" i="36"/>
  <c r="S19" i="36"/>
  <c r="S18" i="36"/>
  <c r="S17" i="36"/>
  <c r="S16" i="36"/>
  <c r="S15" i="36"/>
  <c r="S14" i="36"/>
  <c r="S13" i="36"/>
  <c r="S12" i="36"/>
  <c r="S11" i="36"/>
  <c r="S10" i="36"/>
  <c r="S9" i="36"/>
  <c r="S8" i="36"/>
  <c r="T7" i="36"/>
  <c r="S7" i="36"/>
  <c r="X21" i="36"/>
  <c r="X20" i="36"/>
  <c r="X19" i="36"/>
  <c r="X18" i="36"/>
  <c r="X17" i="36"/>
  <c r="X16" i="36"/>
  <c r="X15" i="36"/>
  <c r="X14" i="36"/>
  <c r="X13" i="36"/>
  <c r="X12" i="36"/>
  <c r="X11" i="36"/>
  <c r="X10" i="36"/>
  <c r="X9" i="36"/>
  <c r="X8" i="36"/>
  <c r="Y7" i="36"/>
  <c r="X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D7" i="36"/>
  <c r="AC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I7" i="36"/>
  <c r="AH7" i="36"/>
  <c r="S21" i="37"/>
  <c r="S20" i="37"/>
  <c r="S19" i="37"/>
  <c r="S18" i="37"/>
  <c r="S17" i="37"/>
  <c r="S16" i="37"/>
  <c r="S15" i="37"/>
  <c r="S14" i="37"/>
  <c r="S13" i="37"/>
  <c r="S12" i="37"/>
  <c r="S11" i="37"/>
  <c r="S10" i="37"/>
  <c r="S9" i="37"/>
  <c r="S8" i="37"/>
  <c r="T7" i="37"/>
  <c r="S7" i="37"/>
  <c r="X21" i="37"/>
  <c r="X20" i="37"/>
  <c r="X19" i="37"/>
  <c r="X18" i="37"/>
  <c r="X17" i="37"/>
  <c r="X16" i="37"/>
  <c r="X15" i="37"/>
  <c r="X14" i="37"/>
  <c r="X13" i="37"/>
  <c r="X12" i="37"/>
  <c r="X11" i="37"/>
  <c r="X10" i="37"/>
  <c r="X9" i="37"/>
  <c r="X8" i="37"/>
  <c r="Y7" i="37"/>
  <c r="X7" i="37"/>
  <c r="AC21" i="37"/>
  <c r="AC20" i="37"/>
  <c r="AC19" i="37"/>
  <c r="AC18" i="37"/>
  <c r="AC17" i="37"/>
  <c r="AC16" i="37"/>
  <c r="AC15" i="37"/>
  <c r="AC14" i="37"/>
  <c r="AC13" i="37"/>
  <c r="AC12" i="37"/>
  <c r="AC11" i="37"/>
  <c r="AC10" i="37"/>
  <c r="AC9" i="37"/>
  <c r="AC8" i="37"/>
  <c r="AD7" i="37"/>
  <c r="AC7" i="37"/>
  <c r="AH21" i="37"/>
  <c r="AH20" i="37"/>
  <c r="AH19" i="37"/>
  <c r="AH18" i="37"/>
  <c r="AH17" i="37"/>
  <c r="AH16" i="37"/>
  <c r="AH15" i="37"/>
  <c r="AH14" i="37"/>
  <c r="AH13" i="37"/>
  <c r="AH12" i="37"/>
  <c r="AH11" i="37"/>
  <c r="AH10" i="37"/>
  <c r="AH9" i="37"/>
  <c r="AH8" i="37"/>
  <c r="AI7" i="37"/>
  <c r="AH7" i="37"/>
  <c r="S21" i="34"/>
  <c r="S20" i="34"/>
  <c r="S19" i="34"/>
  <c r="S18" i="34"/>
  <c r="S17" i="34"/>
  <c r="S16" i="34"/>
  <c r="S15" i="34"/>
  <c r="S14" i="34"/>
  <c r="S13" i="34"/>
  <c r="S12" i="34"/>
  <c r="S11" i="34"/>
  <c r="S10" i="34"/>
  <c r="S9" i="34"/>
  <c r="S8" i="34"/>
  <c r="T7" i="34"/>
  <c r="S7" i="34"/>
  <c r="X21" i="34"/>
  <c r="X20" i="34"/>
  <c r="X19" i="34"/>
  <c r="X18" i="34"/>
  <c r="X17" i="34"/>
  <c r="X16" i="34"/>
  <c r="X15" i="34"/>
  <c r="X14" i="34"/>
  <c r="X13" i="34"/>
  <c r="X12" i="34"/>
  <c r="X11" i="34"/>
  <c r="X10" i="34"/>
  <c r="X9" i="34"/>
  <c r="X8" i="34"/>
  <c r="Y7" i="34"/>
  <c r="X7" i="34"/>
  <c r="AC21" i="34"/>
  <c r="AC20" i="34"/>
  <c r="AC19" i="34"/>
  <c r="AC18" i="34"/>
  <c r="AC17" i="34"/>
  <c r="AC16" i="34"/>
  <c r="AC15" i="34"/>
  <c r="AC14" i="34"/>
  <c r="AC13" i="34"/>
  <c r="AC12" i="34"/>
  <c r="AC11" i="34"/>
  <c r="AC10" i="34"/>
  <c r="AC9" i="34"/>
  <c r="AC8" i="34"/>
  <c r="AD7" i="34"/>
  <c r="AC7" i="34"/>
  <c r="AH21" i="34"/>
  <c r="AH20" i="34"/>
  <c r="AH19" i="34"/>
  <c r="AH18" i="34"/>
  <c r="AH17" i="34"/>
  <c r="AH16" i="34"/>
  <c r="AH15" i="34"/>
  <c r="AH14" i="34"/>
  <c r="AH13" i="34"/>
  <c r="AH12" i="34"/>
  <c r="AH11" i="34"/>
  <c r="AH10" i="34"/>
  <c r="AH9" i="34"/>
  <c r="AH8" i="34"/>
  <c r="AI7" i="34"/>
  <c r="AH7" i="34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N7" i="35"/>
  <c r="AM7" i="35"/>
  <c r="AR21" i="35"/>
  <c r="AR20" i="35"/>
  <c r="AR19" i="35"/>
  <c r="AR18" i="35"/>
  <c r="AR17" i="35"/>
  <c r="AR16" i="35"/>
  <c r="AR15" i="35"/>
  <c r="AR14" i="35"/>
  <c r="AR13" i="35"/>
  <c r="AR12" i="35"/>
  <c r="AR11" i="35"/>
  <c r="AR10" i="35"/>
  <c r="AR9" i="35"/>
  <c r="AR8" i="35"/>
  <c r="AS7" i="35"/>
  <c r="AR7" i="35"/>
  <c r="AW21" i="35"/>
  <c r="AW20" i="35"/>
  <c r="AW19" i="35"/>
  <c r="AW18" i="35"/>
  <c r="AW17" i="35"/>
  <c r="AW16" i="35"/>
  <c r="AW15" i="35"/>
  <c r="AW14" i="35"/>
  <c r="AW13" i="35"/>
  <c r="AW12" i="35"/>
  <c r="AW11" i="35"/>
  <c r="AW10" i="35"/>
  <c r="AW9" i="35"/>
  <c r="AW8" i="35"/>
  <c r="AX7" i="35"/>
  <c r="AW7" i="35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N7" i="36"/>
  <c r="AM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S7" i="36"/>
  <c r="AR7" i="36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X7" i="36"/>
  <c r="AW7" i="36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N7" i="37"/>
  <c r="AM7" i="37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S7" i="37"/>
  <c r="AR7" i="37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X7" i="37"/>
  <c r="AW7" i="37"/>
  <c r="AM21" i="34"/>
  <c r="AM20" i="34"/>
  <c r="AM19" i="34"/>
  <c r="AM18" i="34"/>
  <c r="AM17" i="34"/>
  <c r="AM16" i="34"/>
  <c r="AM15" i="34"/>
  <c r="AM14" i="34"/>
  <c r="AM13" i="34"/>
  <c r="AM12" i="34"/>
  <c r="AM11" i="34"/>
  <c r="AM10" i="34"/>
  <c r="AM9" i="34"/>
  <c r="AM8" i="34"/>
  <c r="AN7" i="34"/>
  <c r="AM7" i="34"/>
  <c r="AR21" i="34"/>
  <c r="AR20" i="34"/>
  <c r="AR19" i="34"/>
  <c r="AR18" i="34"/>
  <c r="AR17" i="34"/>
  <c r="AR16" i="34"/>
  <c r="AR15" i="34"/>
  <c r="AR14" i="34"/>
  <c r="AR13" i="34"/>
  <c r="AR12" i="34"/>
  <c r="AR11" i="34"/>
  <c r="AR10" i="34"/>
  <c r="AR9" i="34"/>
  <c r="AR8" i="34"/>
  <c r="AS7" i="34"/>
  <c r="AR7" i="34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X7" i="34"/>
  <c r="AW7" i="34"/>
  <c r="X21" i="32"/>
  <c r="X20" i="32"/>
  <c r="X19" i="32"/>
  <c r="X18" i="32"/>
  <c r="X17" i="32"/>
  <c r="X16" i="32"/>
  <c r="X15" i="32"/>
  <c r="X14" i="32"/>
  <c r="X13" i="32"/>
  <c r="X12" i="32"/>
  <c r="X11" i="32"/>
  <c r="X10" i="32"/>
  <c r="X9" i="32"/>
  <c r="X8" i="32"/>
  <c r="Y7" i="32"/>
  <c r="X7" i="32"/>
  <c r="AC21" i="32"/>
  <c r="AC20" i="32"/>
  <c r="AC19" i="32"/>
  <c r="AC18" i="32"/>
  <c r="AC17" i="32"/>
  <c r="AC16" i="32"/>
  <c r="AC15" i="32"/>
  <c r="AC14" i="32"/>
  <c r="AC13" i="32"/>
  <c r="AC12" i="32"/>
  <c r="AC11" i="32"/>
  <c r="AC10" i="32"/>
  <c r="AC9" i="32"/>
  <c r="AC8" i="32"/>
  <c r="AD7" i="32"/>
  <c r="AC7" i="32"/>
  <c r="AH21" i="32"/>
  <c r="AH20" i="32"/>
  <c r="AH19" i="32"/>
  <c r="AH18" i="32"/>
  <c r="AH17" i="32"/>
  <c r="AH16" i="32"/>
  <c r="AH15" i="32"/>
  <c r="AH14" i="32"/>
  <c r="AH13" i="32"/>
  <c r="AH12" i="32"/>
  <c r="AH11" i="32"/>
  <c r="AH10" i="32"/>
  <c r="AH9" i="32"/>
  <c r="AH8" i="32"/>
  <c r="AI7" i="32"/>
  <c r="AH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N7" i="32"/>
  <c r="AM7" i="32"/>
  <c r="AR21" i="32"/>
  <c r="AR20" i="32"/>
  <c r="AR19" i="32"/>
  <c r="AR18" i="32"/>
  <c r="AR17" i="32"/>
  <c r="AR16" i="32"/>
  <c r="AR15" i="32"/>
  <c r="AR14" i="32"/>
  <c r="AR13" i="32"/>
  <c r="AR12" i="32"/>
  <c r="AR11" i="32"/>
  <c r="AR10" i="32"/>
  <c r="AR9" i="32"/>
  <c r="AR8" i="32"/>
  <c r="AS7" i="32"/>
  <c r="AR7" i="32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X7" i="32"/>
  <c r="AW7" i="32"/>
  <c r="X21" i="31"/>
  <c r="X20" i="31"/>
  <c r="X19" i="31"/>
  <c r="X18" i="31"/>
  <c r="X17" i="31"/>
  <c r="X16" i="31"/>
  <c r="X15" i="31"/>
  <c r="X14" i="31"/>
  <c r="X13" i="31"/>
  <c r="X12" i="31"/>
  <c r="X11" i="31"/>
  <c r="X10" i="31"/>
  <c r="X9" i="31"/>
  <c r="X8" i="31"/>
  <c r="Y7" i="31"/>
  <c r="X7" i="31"/>
  <c r="AC21" i="31"/>
  <c r="AC20" i="31"/>
  <c r="AC19" i="31"/>
  <c r="AC18" i="31"/>
  <c r="AC17" i="31"/>
  <c r="AC16" i="31"/>
  <c r="AC15" i="31"/>
  <c r="AC14" i="31"/>
  <c r="AC13" i="31"/>
  <c r="AC12" i="31"/>
  <c r="AC11" i="31"/>
  <c r="AC10" i="31"/>
  <c r="AC9" i="31"/>
  <c r="AC8" i="31"/>
  <c r="AD7" i="31"/>
  <c r="AC7" i="31"/>
  <c r="AH21" i="31"/>
  <c r="AH20" i="31"/>
  <c r="AH19" i="31"/>
  <c r="AH18" i="31"/>
  <c r="AH17" i="31"/>
  <c r="AH16" i="31"/>
  <c r="AH15" i="31"/>
  <c r="AH14" i="31"/>
  <c r="AH13" i="31"/>
  <c r="AH12" i="31"/>
  <c r="AH11" i="31"/>
  <c r="AH10" i="31"/>
  <c r="AH9" i="31"/>
  <c r="AH8" i="31"/>
  <c r="AI7" i="31"/>
  <c r="AH7" i="31"/>
  <c r="AM21" i="31"/>
  <c r="AM20" i="31"/>
  <c r="AM19" i="31"/>
  <c r="AM18" i="31"/>
  <c r="AM17" i="31"/>
  <c r="AM16" i="31"/>
  <c r="AM15" i="31"/>
  <c r="AM14" i="31"/>
  <c r="AM13" i="31"/>
  <c r="AM12" i="31"/>
  <c r="AM11" i="31"/>
  <c r="AM10" i="31"/>
  <c r="AM9" i="31"/>
  <c r="AM8" i="31"/>
  <c r="AN7" i="31"/>
  <c r="AM7" i="31"/>
  <c r="AR21" i="31"/>
  <c r="AR20" i="31"/>
  <c r="AR19" i="31"/>
  <c r="AR18" i="31"/>
  <c r="AR17" i="31"/>
  <c r="AR16" i="31"/>
  <c r="AR15" i="31"/>
  <c r="AR14" i="31"/>
  <c r="AR13" i="31"/>
  <c r="AR12" i="31"/>
  <c r="AR11" i="31"/>
  <c r="AR10" i="31"/>
  <c r="AR9" i="31"/>
  <c r="AR8" i="31"/>
  <c r="AS7" i="31"/>
  <c r="AR7" i="31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X7" i="31"/>
  <c r="AW7" i="31"/>
  <c r="X21" i="30"/>
  <c r="X20" i="30"/>
  <c r="X19" i="30"/>
  <c r="X18" i="30"/>
  <c r="X17" i="30"/>
  <c r="X16" i="30"/>
  <c r="X15" i="30"/>
  <c r="X14" i="30"/>
  <c r="X13" i="30"/>
  <c r="X12" i="30"/>
  <c r="X11" i="30"/>
  <c r="X10" i="30"/>
  <c r="X9" i="30"/>
  <c r="X8" i="30"/>
  <c r="Y7" i="30"/>
  <c r="X7" i="30"/>
  <c r="AC21" i="30"/>
  <c r="AC20" i="30"/>
  <c r="AC19" i="30"/>
  <c r="AC18" i="30"/>
  <c r="AC17" i="30"/>
  <c r="AC16" i="30"/>
  <c r="AC15" i="30"/>
  <c r="AC14" i="30"/>
  <c r="AC13" i="30"/>
  <c r="AC12" i="30"/>
  <c r="AC11" i="30"/>
  <c r="AC10" i="30"/>
  <c r="AC9" i="30"/>
  <c r="AC8" i="30"/>
  <c r="AD7" i="30"/>
  <c r="AC7" i="30"/>
  <c r="AH21" i="30"/>
  <c r="AH20" i="30"/>
  <c r="AH19" i="30"/>
  <c r="AH18" i="30"/>
  <c r="AH17" i="30"/>
  <c r="AH16" i="30"/>
  <c r="AH15" i="30"/>
  <c r="AH14" i="30"/>
  <c r="AH13" i="30"/>
  <c r="AH12" i="30"/>
  <c r="AH11" i="30"/>
  <c r="AH10" i="30"/>
  <c r="AH9" i="30"/>
  <c r="AH8" i="30"/>
  <c r="AI7" i="30"/>
  <c r="AH7" i="30"/>
  <c r="AM21" i="30"/>
  <c r="AM20" i="30"/>
  <c r="AM19" i="30"/>
  <c r="AM18" i="30"/>
  <c r="AM17" i="30"/>
  <c r="AM16" i="30"/>
  <c r="AM15" i="30"/>
  <c r="AM14" i="30"/>
  <c r="AM13" i="30"/>
  <c r="AM12" i="30"/>
  <c r="AM11" i="30"/>
  <c r="AM10" i="30"/>
  <c r="AM9" i="30"/>
  <c r="AM8" i="30"/>
  <c r="AN7" i="30"/>
  <c r="AM7" i="30"/>
  <c r="AR21" i="30"/>
  <c r="AR20" i="30"/>
  <c r="AR19" i="30"/>
  <c r="AR18" i="30"/>
  <c r="AR17" i="30"/>
  <c r="AR16" i="30"/>
  <c r="AR15" i="30"/>
  <c r="AR14" i="30"/>
  <c r="AR13" i="30"/>
  <c r="AR12" i="30"/>
  <c r="AR11" i="30"/>
  <c r="AR10" i="30"/>
  <c r="AR9" i="30"/>
  <c r="AR8" i="30"/>
  <c r="AS7" i="30"/>
  <c r="AR7" i="30"/>
  <c r="AW21" i="30"/>
  <c r="AW20" i="30"/>
  <c r="AW19" i="30"/>
  <c r="AW18" i="30"/>
  <c r="AW17" i="30"/>
  <c r="AW16" i="30"/>
  <c r="AW15" i="30"/>
  <c r="AW14" i="30"/>
  <c r="AW13" i="30"/>
  <c r="AW12" i="30"/>
  <c r="AW11" i="30"/>
  <c r="AW10" i="30"/>
  <c r="AW9" i="30"/>
  <c r="AW8" i="30"/>
  <c r="AX7" i="30"/>
  <c r="AW7" i="30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S14" i="33"/>
  <c r="S13" i="33"/>
  <c r="S12" i="33"/>
  <c r="S11" i="33"/>
  <c r="S10" i="33"/>
  <c r="S9" i="33"/>
  <c r="S8" i="33"/>
  <c r="T7" i="33"/>
  <c r="S7" i="33"/>
  <c r="X36" i="33"/>
  <c r="X35" i="33"/>
  <c r="X34" i="33"/>
  <c r="X33" i="33"/>
  <c r="X32" i="33"/>
  <c r="X31" i="33"/>
  <c r="X30" i="33"/>
  <c r="X29" i="33"/>
  <c r="X28" i="33"/>
  <c r="X27" i="33"/>
  <c r="X26" i="33"/>
  <c r="X25" i="33"/>
  <c r="X24" i="33"/>
  <c r="X23" i="33"/>
  <c r="X22" i="33"/>
  <c r="X21" i="33"/>
  <c r="X20" i="33"/>
  <c r="X19" i="33"/>
  <c r="X18" i="33"/>
  <c r="X17" i="33"/>
  <c r="X16" i="33"/>
  <c r="X15" i="33"/>
  <c r="X14" i="33"/>
  <c r="X13" i="33"/>
  <c r="X12" i="33"/>
  <c r="X11" i="33"/>
  <c r="X10" i="33"/>
  <c r="X9" i="33"/>
  <c r="X8" i="33"/>
  <c r="Y7" i="33"/>
  <c r="X7" i="33"/>
  <c r="AC36" i="33"/>
  <c r="AC35" i="33"/>
  <c r="AC34" i="33"/>
  <c r="AC33" i="33"/>
  <c r="AC32" i="33"/>
  <c r="AC31" i="33"/>
  <c r="AC30" i="33"/>
  <c r="AC29" i="33"/>
  <c r="AC28" i="33"/>
  <c r="AC27" i="33"/>
  <c r="AC26" i="33"/>
  <c r="AC25" i="33"/>
  <c r="AC24" i="33"/>
  <c r="AC23" i="33"/>
  <c r="AC22" i="33"/>
  <c r="AC21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D7" i="33"/>
  <c r="AC7" i="33"/>
  <c r="AH36" i="33"/>
  <c r="AH35" i="33"/>
  <c r="AH34" i="33"/>
  <c r="AH33" i="33"/>
  <c r="AH32" i="33"/>
  <c r="AH31" i="33"/>
  <c r="AH30" i="33"/>
  <c r="AH29" i="33"/>
  <c r="AH28" i="33"/>
  <c r="AH27" i="33"/>
  <c r="AH26" i="33"/>
  <c r="AH25" i="33"/>
  <c r="AH24" i="33"/>
  <c r="AH23" i="33"/>
  <c r="AH22" i="33"/>
  <c r="AH21" i="33"/>
  <c r="AH20" i="33"/>
  <c r="AH19" i="33"/>
  <c r="AH18" i="33"/>
  <c r="AH17" i="33"/>
  <c r="AH16" i="33"/>
  <c r="AH15" i="33"/>
  <c r="AH14" i="33"/>
  <c r="AH13" i="33"/>
  <c r="AH12" i="33"/>
  <c r="AH11" i="33"/>
  <c r="AH10" i="33"/>
  <c r="AH9" i="33"/>
  <c r="AH8" i="33"/>
  <c r="AI7" i="33"/>
  <c r="AH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N7" i="33"/>
  <c r="AM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S7" i="33"/>
  <c r="AR7" i="33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X7" i="33"/>
  <c r="AW7" i="33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T7" i="8"/>
  <c r="S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Y7" i="8"/>
  <c r="X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D7" i="8"/>
  <c r="AC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I7" i="8"/>
  <c r="AH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N7" i="8"/>
  <c r="AM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S7" i="8"/>
  <c r="AR7" i="8"/>
  <c r="AW36" i="8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X7" i="8"/>
  <c r="AW7" i="8"/>
  <c r="H23" i="39"/>
  <c r="H22" i="39"/>
  <c r="H21" i="39"/>
  <c r="H20" i="39"/>
  <c r="H19" i="39"/>
  <c r="H18" i="39"/>
  <c r="H17" i="39"/>
  <c r="H16" i="39"/>
  <c r="H15" i="39"/>
  <c r="G35" i="6"/>
  <c r="G28" i="6"/>
  <c r="G21" i="6"/>
  <c r="G8" i="6"/>
  <c r="D8" i="7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AC48" i="7"/>
  <c r="S48" i="7"/>
  <c r="M48" i="7"/>
  <c r="F48" i="7"/>
  <c r="AJ48" i="7" s="1"/>
  <c r="AC47" i="7"/>
  <c r="S47" i="7"/>
  <c r="M47" i="7"/>
  <c r="AL46" i="7"/>
  <c r="AD46" i="7"/>
  <c r="AC46" i="7"/>
  <c r="X46" i="7"/>
  <c r="S46" i="7"/>
  <c r="R46" i="7"/>
  <c r="M46" i="7"/>
  <c r="L46" i="7"/>
  <c r="F46" i="7"/>
  <c r="AF46" i="7" s="1"/>
  <c r="AC45" i="7"/>
  <c r="S45" i="7"/>
  <c r="M45" i="7"/>
  <c r="D8" i="6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D43" i="6" s="1"/>
  <c r="D44" i="6" s="1"/>
  <c r="D45" i="6" s="1"/>
  <c r="D46" i="6" s="1"/>
  <c r="D47" i="6" s="1"/>
  <c r="D48" i="6" s="1"/>
  <c r="AC48" i="6"/>
  <c r="S48" i="6"/>
  <c r="M48" i="6"/>
  <c r="F48" i="6"/>
  <c r="AJ48" i="6" s="1"/>
  <c r="AC47" i="6"/>
  <c r="S47" i="6"/>
  <c r="M47" i="6"/>
  <c r="AL46" i="6"/>
  <c r="AD46" i="6"/>
  <c r="AC46" i="6"/>
  <c r="X46" i="6"/>
  <c r="S46" i="6"/>
  <c r="R46" i="6"/>
  <c r="M46" i="6"/>
  <c r="L46" i="6"/>
  <c r="F46" i="6"/>
  <c r="AF46" i="6" s="1"/>
  <c r="AC45" i="6"/>
  <c r="S45" i="6"/>
  <c r="M45" i="6"/>
  <c r="S12" i="5"/>
  <c r="S19" i="5"/>
  <c r="S26" i="5"/>
  <c r="S33" i="5"/>
  <c r="S6" i="5"/>
  <c r="P6" i="5"/>
  <c r="M6" i="5"/>
  <c r="W10" i="5"/>
  <c r="T10" i="5"/>
  <c r="Q10" i="5"/>
  <c r="N10" i="5"/>
  <c r="H10" i="5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I46" i="5"/>
  <c r="I45" i="5"/>
  <c r="I44" i="5"/>
  <c r="I43" i="5"/>
  <c r="I42" i="5"/>
  <c r="I41" i="5"/>
  <c r="T10" i="3"/>
  <c r="N10" i="3"/>
  <c r="K10" i="3"/>
  <c r="H10" i="3"/>
  <c r="D40" i="3"/>
  <c r="D41" i="3" s="1"/>
  <c r="D42" i="3" s="1"/>
  <c r="D43" i="3" s="1"/>
  <c r="D44" i="3" s="1"/>
  <c r="D45" i="3" s="1"/>
  <c r="D46" i="3" s="1"/>
  <c r="U46" i="3"/>
  <c r="O46" i="3"/>
  <c r="U45" i="3"/>
  <c r="O45" i="3"/>
  <c r="U44" i="3"/>
  <c r="O44" i="3"/>
  <c r="U43" i="3"/>
  <c r="O43" i="3"/>
  <c r="U42" i="3"/>
  <c r="O42" i="3"/>
  <c r="U41" i="3"/>
  <c r="O41" i="3"/>
  <c r="D6" i="3"/>
  <c r="D7" i="3" s="1"/>
  <c r="D8" i="3" s="1"/>
  <c r="D9" i="3" s="1"/>
  <c r="D10" i="3" s="1"/>
  <c r="D11" i="3" s="1"/>
  <c r="AD45" i="7" l="1"/>
  <c r="AD47" i="7"/>
  <c r="T45" i="7"/>
  <c r="T47" i="7"/>
  <c r="N46" i="7"/>
  <c r="T46" i="7"/>
  <c r="AB46" i="7"/>
  <c r="AH46" i="7"/>
  <c r="L48" i="7"/>
  <c r="R48" i="7"/>
  <c r="X48" i="7"/>
  <c r="AD48" i="7"/>
  <c r="AL48" i="7"/>
  <c r="F45" i="7"/>
  <c r="J46" i="7"/>
  <c r="P46" i="7"/>
  <c r="V46" i="7"/>
  <c r="AJ46" i="7"/>
  <c r="Z48" i="7"/>
  <c r="AF48" i="7"/>
  <c r="N48" i="7"/>
  <c r="T48" i="7"/>
  <c r="AB48" i="7"/>
  <c r="AH48" i="7"/>
  <c r="Z46" i="7"/>
  <c r="F47" i="7"/>
  <c r="J48" i="7"/>
  <c r="P48" i="7"/>
  <c r="V48" i="7"/>
  <c r="N45" i="6"/>
  <c r="T47" i="6"/>
  <c r="AD45" i="6"/>
  <c r="N46" i="6"/>
  <c r="T46" i="6"/>
  <c r="AB46" i="6"/>
  <c r="AH46" i="6"/>
  <c r="L48" i="6"/>
  <c r="R48" i="6"/>
  <c r="X48" i="6"/>
  <c r="AD48" i="6"/>
  <c r="AL48" i="6"/>
  <c r="F45" i="6"/>
  <c r="J46" i="6"/>
  <c r="P46" i="6"/>
  <c r="V46" i="6"/>
  <c r="AJ46" i="6"/>
  <c r="Z48" i="6"/>
  <c r="AF48" i="6"/>
  <c r="N48" i="6"/>
  <c r="T48" i="6"/>
  <c r="AB48" i="6"/>
  <c r="AH48" i="6"/>
  <c r="Z46" i="6"/>
  <c r="F47" i="6"/>
  <c r="J48" i="6"/>
  <c r="P48" i="6"/>
  <c r="V48" i="6"/>
  <c r="K155" i="8"/>
  <c r="K156" i="8"/>
  <c r="AC31" i="6"/>
  <c r="S31" i="6"/>
  <c r="M31" i="6"/>
  <c r="AC30" i="6"/>
  <c r="S30" i="6"/>
  <c r="M30" i="6"/>
  <c r="AC29" i="6"/>
  <c r="S29" i="6"/>
  <c r="M29" i="6"/>
  <c r="AC28" i="6"/>
  <c r="S28" i="6"/>
  <c r="M28" i="6"/>
  <c r="AC27" i="6"/>
  <c r="S27" i="6"/>
  <c r="M27" i="6"/>
  <c r="AC26" i="6"/>
  <c r="S26" i="6"/>
  <c r="M26" i="6"/>
  <c r="AC25" i="6"/>
  <c r="S25" i="6"/>
  <c r="M25" i="6"/>
  <c r="AC24" i="6"/>
  <c r="S24" i="6"/>
  <c r="M24" i="6"/>
  <c r="AC23" i="6"/>
  <c r="S23" i="6"/>
  <c r="M23" i="6"/>
  <c r="AC22" i="6"/>
  <c r="S22" i="6"/>
  <c r="M22" i="6"/>
  <c r="AC21" i="6"/>
  <c r="S21" i="6"/>
  <c r="M21" i="6"/>
  <c r="AC20" i="6"/>
  <c r="S20" i="6"/>
  <c r="M20" i="6"/>
  <c r="AC19" i="6"/>
  <c r="S19" i="6"/>
  <c r="M19" i="6"/>
  <c r="AC18" i="6"/>
  <c r="S18" i="6"/>
  <c r="M18" i="6"/>
  <c r="AC17" i="6"/>
  <c r="S17" i="6"/>
  <c r="M17" i="6"/>
  <c r="AC16" i="6"/>
  <c r="S16" i="6"/>
  <c r="M16" i="6"/>
  <c r="AC15" i="6"/>
  <c r="S15" i="6"/>
  <c r="M15" i="6"/>
  <c r="AC14" i="6"/>
  <c r="S14" i="6"/>
  <c r="M14" i="6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AH47" i="7" l="1"/>
  <c r="AB47" i="7"/>
  <c r="AF47" i="7"/>
  <c r="Z47" i="7"/>
  <c r="AL47" i="7"/>
  <c r="X47" i="7"/>
  <c r="R47" i="7"/>
  <c r="L47" i="7"/>
  <c r="AJ47" i="7"/>
  <c r="V47" i="7"/>
  <c r="P47" i="7"/>
  <c r="J47" i="7"/>
  <c r="AL45" i="7"/>
  <c r="X45" i="7"/>
  <c r="R45" i="7"/>
  <c r="L45" i="7"/>
  <c r="J45" i="7"/>
  <c r="AH45" i="7"/>
  <c r="AB45" i="7"/>
  <c r="AF45" i="7"/>
  <c r="Z45" i="7"/>
  <c r="AJ45" i="7"/>
  <c r="V45" i="7"/>
  <c r="P45" i="7"/>
  <c r="N47" i="7"/>
  <c r="N45" i="7"/>
  <c r="AH47" i="6"/>
  <c r="AB47" i="6"/>
  <c r="AF47" i="6"/>
  <c r="Z47" i="6"/>
  <c r="AL47" i="6"/>
  <c r="X47" i="6"/>
  <c r="R47" i="6"/>
  <c r="L47" i="6"/>
  <c r="AJ47" i="6"/>
  <c r="V47" i="6"/>
  <c r="P47" i="6"/>
  <c r="J47" i="6"/>
  <c r="AL45" i="6"/>
  <c r="X45" i="6"/>
  <c r="R45" i="6"/>
  <c r="L45" i="6"/>
  <c r="AJ45" i="6"/>
  <c r="V45" i="6"/>
  <c r="P45" i="6"/>
  <c r="J45" i="6"/>
  <c r="AH45" i="6"/>
  <c r="AB45" i="6"/>
  <c r="AF45" i="6"/>
  <c r="Z45" i="6"/>
  <c r="N47" i="6"/>
  <c r="AD47" i="6"/>
  <c r="T45" i="6"/>
  <c r="AZ87" i="34"/>
  <c r="BA87" i="34"/>
  <c r="AZ88" i="34"/>
  <c r="AZ89" i="34"/>
  <c r="AZ90" i="34"/>
  <c r="AZ91" i="34"/>
  <c r="AZ92" i="34"/>
  <c r="AZ93" i="34"/>
  <c r="AZ94" i="34"/>
  <c r="AZ95" i="34"/>
  <c r="AZ96" i="34"/>
  <c r="AZ97" i="34"/>
  <c r="AZ98" i="34"/>
  <c r="AZ99" i="34"/>
  <c r="AZ100" i="34"/>
  <c r="AZ101" i="34"/>
  <c r="S101" i="31"/>
  <c r="S100" i="31"/>
  <c r="S99" i="31"/>
  <c r="S98" i="31"/>
  <c r="S97" i="31"/>
  <c r="S96" i="31"/>
  <c r="S95" i="31"/>
  <c r="S94" i="31"/>
  <c r="S93" i="31"/>
  <c r="S92" i="31"/>
  <c r="S91" i="31"/>
  <c r="S90" i="31"/>
  <c r="S89" i="31"/>
  <c r="S88" i="31"/>
  <c r="T87" i="31"/>
  <c r="S87" i="31"/>
  <c r="S101" i="32"/>
  <c r="S100" i="32"/>
  <c r="S99" i="32"/>
  <c r="S98" i="32"/>
  <c r="S97" i="32"/>
  <c r="S96" i="32"/>
  <c r="S95" i="32"/>
  <c r="S94" i="32"/>
  <c r="S93" i="32"/>
  <c r="S92" i="32"/>
  <c r="S91" i="32"/>
  <c r="S90" i="32"/>
  <c r="S89" i="32"/>
  <c r="S88" i="32"/>
  <c r="T87" i="32"/>
  <c r="S87" i="32"/>
  <c r="AZ87" i="32"/>
  <c r="BA87" i="32"/>
  <c r="AZ88" i="32"/>
  <c r="AZ89" i="32"/>
  <c r="AZ90" i="32"/>
  <c r="AZ91" i="32"/>
  <c r="AZ92" i="32"/>
  <c r="AZ93" i="32"/>
  <c r="AZ94" i="32"/>
  <c r="AZ95" i="32"/>
  <c r="AZ96" i="32"/>
  <c r="AZ97" i="32"/>
  <c r="AZ98" i="32"/>
  <c r="AZ99" i="32"/>
  <c r="AZ100" i="32"/>
  <c r="AZ101" i="32"/>
  <c r="S101" i="30"/>
  <c r="S100" i="30"/>
  <c r="S99" i="30"/>
  <c r="S98" i="30"/>
  <c r="S97" i="30"/>
  <c r="S96" i="30"/>
  <c r="S95" i="30"/>
  <c r="S94" i="30"/>
  <c r="S93" i="30"/>
  <c r="S92" i="30"/>
  <c r="S91" i="30"/>
  <c r="S90" i="30"/>
  <c r="S89" i="30"/>
  <c r="S88" i="30"/>
  <c r="T87" i="30"/>
  <c r="S87" i="30"/>
  <c r="G33" i="5"/>
  <c r="I33" i="5"/>
  <c r="J33" i="5" s="1"/>
  <c r="M33" i="5"/>
  <c r="P33" i="5"/>
  <c r="V33" i="5"/>
  <c r="I34" i="5"/>
  <c r="I35" i="5"/>
  <c r="I36" i="5"/>
  <c r="I37" i="5"/>
  <c r="I38" i="5"/>
  <c r="I39" i="5"/>
  <c r="B23" i="39" l="1"/>
  <c r="B22" i="39"/>
  <c r="B21" i="39"/>
  <c r="B20" i="39"/>
  <c r="B19" i="39"/>
  <c r="B18" i="39"/>
  <c r="B17" i="39"/>
  <c r="B16" i="39"/>
  <c r="B15" i="39"/>
  <c r="M32" i="6"/>
  <c r="S32" i="6"/>
  <c r="AC32" i="6"/>
  <c r="M33" i="6"/>
  <c r="S33" i="6"/>
  <c r="AC33" i="6"/>
  <c r="M34" i="6"/>
  <c r="S34" i="6"/>
  <c r="AC34" i="6"/>
  <c r="AC37" i="6" l="1"/>
  <c r="S37" i="6"/>
  <c r="M37" i="6"/>
  <c r="AC36" i="6"/>
  <c r="S36" i="6"/>
  <c r="M36" i="6"/>
  <c r="AC35" i="6"/>
  <c r="S35" i="6"/>
  <c r="M35" i="6"/>
  <c r="AC40" i="7"/>
  <c r="AC39" i="7"/>
  <c r="AC38" i="7"/>
  <c r="AC37" i="7"/>
  <c r="AC36" i="7"/>
  <c r="AC35" i="7"/>
  <c r="AC34" i="7"/>
  <c r="AC33" i="7"/>
  <c r="AC32" i="7"/>
  <c r="AC31" i="7"/>
  <c r="AC30" i="7"/>
  <c r="AC29" i="7"/>
  <c r="AC28" i="7"/>
  <c r="AC27" i="7"/>
  <c r="AC26" i="7"/>
  <c r="AC25" i="7"/>
  <c r="AC24" i="7"/>
  <c r="AC23" i="7"/>
  <c r="AC22" i="7"/>
  <c r="AC21" i="7"/>
  <c r="AC20" i="7"/>
  <c r="AC19" i="7"/>
  <c r="AC18" i="7"/>
  <c r="AC17" i="7"/>
  <c r="AC16" i="7"/>
  <c r="AC15" i="7"/>
  <c r="AC14" i="7"/>
  <c r="AC13" i="7"/>
  <c r="AC12" i="7"/>
  <c r="AC11" i="7"/>
  <c r="AC10" i="7"/>
  <c r="K81" i="36" l="1"/>
  <c r="J81" i="36"/>
  <c r="I81" i="36"/>
  <c r="K61" i="34"/>
  <c r="J61" i="34"/>
  <c r="I61" i="34"/>
  <c r="K101" i="34"/>
  <c r="J101" i="34"/>
  <c r="I101" i="34"/>
  <c r="K81" i="34"/>
  <c r="M81" i="34" s="1"/>
  <c r="J81" i="34"/>
  <c r="I81" i="34"/>
  <c r="K80" i="34"/>
  <c r="M80" i="34" s="1"/>
  <c r="J80" i="34"/>
  <c r="I80" i="34"/>
  <c r="I81" i="31" l="1"/>
  <c r="J81" i="31"/>
  <c r="K81" i="31"/>
  <c r="M81" i="31" s="1"/>
  <c r="AZ61" i="37" l="1"/>
  <c r="AZ60" i="37"/>
  <c r="AZ59" i="37"/>
  <c r="AZ58" i="37"/>
  <c r="AZ57" i="37"/>
  <c r="AZ56" i="37"/>
  <c r="AZ55" i="37"/>
  <c r="I35" i="32" l="1"/>
  <c r="J35" i="32"/>
  <c r="K35" i="32"/>
  <c r="I30" i="30"/>
  <c r="J30" i="30"/>
  <c r="K30" i="30"/>
  <c r="I31" i="30"/>
  <c r="J31" i="30"/>
  <c r="K31" i="30"/>
  <c r="I54" i="37"/>
  <c r="J54" i="37"/>
  <c r="K54" i="37"/>
  <c r="I55" i="37"/>
  <c r="J55" i="37"/>
  <c r="K55" i="37"/>
  <c r="AZ57" i="36"/>
  <c r="AZ51" i="36"/>
  <c r="AZ49" i="36" l="1"/>
  <c r="AZ53" i="36"/>
  <c r="AZ61" i="36"/>
  <c r="AZ50" i="36"/>
  <c r="AZ54" i="36"/>
  <c r="AZ58" i="36"/>
  <c r="AZ55" i="36"/>
  <c r="AZ59" i="36"/>
  <c r="AZ48" i="36"/>
  <c r="AZ52" i="36"/>
  <c r="AZ56" i="36"/>
  <c r="AZ60" i="36"/>
  <c r="B54" i="48" l="1"/>
  <c r="F52" i="48"/>
  <c r="D52" i="48"/>
  <c r="F51" i="48"/>
  <c r="D51" i="48"/>
  <c r="F50" i="48"/>
  <c r="D50" i="48"/>
  <c r="F49" i="48"/>
  <c r="D49" i="48"/>
  <c r="F48" i="48"/>
  <c r="D48" i="48"/>
  <c r="F47" i="48"/>
  <c r="D47" i="48"/>
  <c r="I46" i="48"/>
  <c r="H46" i="48"/>
  <c r="G46" i="48"/>
  <c r="F46" i="48"/>
  <c r="D46" i="48"/>
  <c r="F45" i="48"/>
  <c r="D45" i="48"/>
  <c r="F44" i="48"/>
  <c r="D44" i="48"/>
  <c r="F43" i="48"/>
  <c r="D43" i="48"/>
  <c r="F42" i="48"/>
  <c r="D42" i="48"/>
  <c r="F41" i="48"/>
  <c r="D41" i="48"/>
  <c r="F40" i="48"/>
  <c r="D40" i="48"/>
  <c r="I39" i="48"/>
  <c r="H39" i="48"/>
  <c r="G39" i="48"/>
  <c r="F39" i="48"/>
  <c r="D39" i="48"/>
  <c r="F38" i="48"/>
  <c r="D38" i="48"/>
  <c r="F37" i="48"/>
  <c r="D37" i="48"/>
  <c r="F36" i="48"/>
  <c r="D36" i="48"/>
  <c r="F35" i="48"/>
  <c r="D35" i="48"/>
  <c r="F34" i="48"/>
  <c r="D34" i="48"/>
  <c r="F33" i="48"/>
  <c r="D33" i="48"/>
  <c r="I32" i="48"/>
  <c r="H32" i="48"/>
  <c r="G32" i="48"/>
  <c r="F32" i="48"/>
  <c r="D32" i="48"/>
  <c r="F31" i="48"/>
  <c r="D31" i="48"/>
  <c r="F30" i="48"/>
  <c r="D30" i="48"/>
  <c r="F29" i="48"/>
  <c r="D29" i="48"/>
  <c r="F28" i="48"/>
  <c r="D28" i="48"/>
  <c r="F27" i="48"/>
  <c r="D27" i="48"/>
  <c r="F26" i="48"/>
  <c r="D26" i="48"/>
  <c r="I25" i="48"/>
  <c r="H25" i="48"/>
  <c r="G25" i="48"/>
  <c r="F25" i="48"/>
  <c r="D25" i="48"/>
  <c r="F24" i="48"/>
  <c r="D24" i="48"/>
  <c r="F23" i="48"/>
  <c r="D23" i="48"/>
  <c r="F22" i="48"/>
  <c r="D22" i="48"/>
  <c r="F21" i="48"/>
  <c r="D21" i="48"/>
  <c r="F20" i="48"/>
  <c r="D20" i="48"/>
  <c r="F19" i="48"/>
  <c r="D19" i="48"/>
  <c r="I18" i="48"/>
  <c r="H18" i="48"/>
  <c r="G18" i="48"/>
  <c r="F18" i="48"/>
  <c r="D18" i="48"/>
  <c r="F17" i="48"/>
  <c r="D17" i="48"/>
  <c r="F16" i="48"/>
  <c r="D16" i="48"/>
  <c r="F15" i="48"/>
  <c r="D15" i="48"/>
  <c r="F14" i="48"/>
  <c r="D14" i="48"/>
  <c r="F13" i="48"/>
  <c r="D13" i="48"/>
  <c r="F12" i="48"/>
  <c r="D12" i="48"/>
  <c r="G11" i="48"/>
  <c r="F11" i="48"/>
  <c r="H11" i="48"/>
  <c r="F10" i="48"/>
  <c r="D10" i="48"/>
  <c r="F9" i="48"/>
  <c r="D9" i="48"/>
  <c r="F8" i="48"/>
  <c r="D8" i="48"/>
  <c r="F7" i="48"/>
  <c r="H4" i="48"/>
  <c r="F6" i="48"/>
  <c r="D6" i="48"/>
  <c r="F5" i="48"/>
  <c r="D5" i="48"/>
  <c r="A5" i="48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A40" i="48" s="1"/>
  <c r="A41" i="48" s="1"/>
  <c r="A42" i="48" s="1"/>
  <c r="A43" i="48" s="1"/>
  <c r="A44" i="48" s="1"/>
  <c r="A45" i="48" s="1"/>
  <c r="A46" i="48" s="1"/>
  <c r="A47" i="48" s="1"/>
  <c r="A48" i="48" s="1"/>
  <c r="A49" i="48" s="1"/>
  <c r="A50" i="48" s="1"/>
  <c r="A51" i="48" s="1"/>
  <c r="A52" i="48" s="1"/>
  <c r="I4" i="48"/>
  <c r="G4" i="48"/>
  <c r="F4" i="48"/>
  <c r="D4" i="48"/>
  <c r="AJ8" i="47"/>
  <c r="AI8" i="47"/>
  <c r="AH8" i="47"/>
  <c r="AG8" i="47"/>
  <c r="AF8" i="47"/>
  <c r="AE8" i="47"/>
  <c r="AD8" i="47"/>
  <c r="AJ7" i="47"/>
  <c r="AI7" i="47"/>
  <c r="AH7" i="47"/>
  <c r="AG7" i="47"/>
  <c r="AF7" i="47"/>
  <c r="AE7" i="47"/>
  <c r="AE9" i="47" s="1"/>
  <c r="AD7" i="47"/>
  <c r="AD9" i="47" s="1"/>
  <c r="AC7" i="47"/>
  <c r="AJ8" i="46"/>
  <c r="AI8" i="46"/>
  <c r="AH8" i="46"/>
  <c r="AG8" i="46"/>
  <c r="AF8" i="46"/>
  <c r="AE8" i="46"/>
  <c r="AD8" i="46"/>
  <c r="AJ7" i="46"/>
  <c r="AI7" i="46"/>
  <c r="AH7" i="46"/>
  <c r="AG7" i="46"/>
  <c r="AF7" i="46"/>
  <c r="AE7" i="46"/>
  <c r="AD7" i="46"/>
  <c r="AC7" i="46"/>
  <c r="AD9" i="46" l="1"/>
  <c r="AI9" i="47"/>
  <c r="AE9" i="46"/>
  <c r="AF9" i="47"/>
  <c r="AJ9" i="47"/>
  <c r="AG9" i="47"/>
  <c r="AH9" i="47"/>
  <c r="B2" i="48"/>
  <c r="D2" i="48" s="1"/>
  <c r="D7" i="48"/>
  <c r="D11" i="48"/>
  <c r="F2" i="48"/>
  <c r="I2" i="48" s="1"/>
  <c r="I11" i="48"/>
  <c r="AF9" i="46"/>
  <c r="AJ9" i="46"/>
  <c r="AG9" i="46"/>
  <c r="AH9" i="46"/>
  <c r="AI9" i="46"/>
  <c r="M14" i="7" l="1"/>
  <c r="K40" i="35" l="1"/>
  <c r="M40" i="35" s="1"/>
  <c r="J40" i="35"/>
  <c r="I40" i="35"/>
  <c r="K39" i="35"/>
  <c r="M39" i="35" s="1"/>
  <c r="J39" i="35"/>
  <c r="I39" i="35"/>
  <c r="K38" i="35"/>
  <c r="M38" i="35" s="1"/>
  <c r="J38" i="35"/>
  <c r="I38" i="35"/>
  <c r="K37" i="35"/>
  <c r="M37" i="35" s="1"/>
  <c r="J37" i="35"/>
  <c r="I37" i="35"/>
  <c r="K36" i="35"/>
  <c r="M36" i="35" s="1"/>
  <c r="J36" i="35"/>
  <c r="I36" i="35"/>
  <c r="K35" i="35"/>
  <c r="M35" i="35" s="1"/>
  <c r="J35" i="35"/>
  <c r="I35" i="35"/>
  <c r="K34" i="35"/>
  <c r="M34" i="35" s="1"/>
  <c r="J34" i="35"/>
  <c r="I34" i="35"/>
  <c r="K33" i="35"/>
  <c r="J33" i="35"/>
  <c r="I33" i="35"/>
  <c r="K32" i="35"/>
  <c r="J32" i="35"/>
  <c r="I32" i="35"/>
  <c r="K31" i="35"/>
  <c r="J31" i="35"/>
  <c r="I31" i="35"/>
  <c r="K30" i="35"/>
  <c r="J30" i="35"/>
  <c r="I30" i="35"/>
  <c r="K29" i="35"/>
  <c r="J29" i="35"/>
  <c r="I29" i="35"/>
  <c r="K28" i="35"/>
  <c r="J28" i="35"/>
  <c r="I28" i="35"/>
  <c r="K27" i="35"/>
  <c r="J27" i="35"/>
  <c r="I27" i="35"/>
  <c r="H27" i="35"/>
  <c r="K40" i="36"/>
  <c r="M40" i="36" s="1"/>
  <c r="J40" i="36"/>
  <c r="I40" i="36"/>
  <c r="K39" i="36"/>
  <c r="M39" i="36" s="1"/>
  <c r="J39" i="36"/>
  <c r="I39" i="36"/>
  <c r="K38" i="36"/>
  <c r="M38" i="36" s="1"/>
  <c r="J38" i="36"/>
  <c r="I38" i="36"/>
  <c r="K37" i="36"/>
  <c r="M37" i="36" s="1"/>
  <c r="J37" i="36"/>
  <c r="I37" i="36"/>
  <c r="K36" i="36"/>
  <c r="J36" i="36"/>
  <c r="I36" i="36"/>
  <c r="K35" i="36"/>
  <c r="J35" i="36"/>
  <c r="I35" i="36"/>
  <c r="K34" i="36"/>
  <c r="J34" i="36"/>
  <c r="I34" i="36"/>
  <c r="K33" i="36"/>
  <c r="J33" i="36"/>
  <c r="I33" i="36"/>
  <c r="K32" i="36"/>
  <c r="J32" i="36"/>
  <c r="I32" i="36"/>
  <c r="K31" i="36"/>
  <c r="J31" i="36"/>
  <c r="I31" i="36"/>
  <c r="K30" i="36"/>
  <c r="J30" i="36"/>
  <c r="I30" i="36"/>
  <c r="K29" i="36"/>
  <c r="J29" i="36"/>
  <c r="I29" i="36"/>
  <c r="K28" i="36"/>
  <c r="J28" i="36"/>
  <c r="I28" i="36"/>
  <c r="K27" i="36"/>
  <c r="J27" i="36"/>
  <c r="I27" i="36"/>
  <c r="H27" i="36"/>
  <c r="K40" i="37"/>
  <c r="M40" i="37" s="1"/>
  <c r="J40" i="37"/>
  <c r="I40" i="37"/>
  <c r="K39" i="37"/>
  <c r="M39" i="37" s="1"/>
  <c r="J39" i="37"/>
  <c r="I39" i="37"/>
  <c r="K38" i="37"/>
  <c r="M38" i="37" s="1"/>
  <c r="J38" i="37"/>
  <c r="I38" i="37"/>
  <c r="K37" i="37"/>
  <c r="J37" i="37"/>
  <c r="I37" i="37"/>
  <c r="K36" i="37"/>
  <c r="J36" i="37"/>
  <c r="I36" i="37"/>
  <c r="K35" i="37"/>
  <c r="J35" i="37"/>
  <c r="I35" i="37"/>
  <c r="K34" i="37"/>
  <c r="J34" i="37"/>
  <c r="I34" i="37"/>
  <c r="K33" i="37"/>
  <c r="J33" i="37"/>
  <c r="I33" i="37"/>
  <c r="K32" i="37"/>
  <c r="J32" i="37"/>
  <c r="I32" i="37"/>
  <c r="K31" i="37"/>
  <c r="J31" i="37"/>
  <c r="I31" i="37"/>
  <c r="K30" i="37"/>
  <c r="J30" i="37"/>
  <c r="I30" i="37"/>
  <c r="K29" i="37"/>
  <c r="J29" i="37"/>
  <c r="I29" i="37"/>
  <c r="K28" i="37"/>
  <c r="J28" i="37"/>
  <c r="I28" i="37"/>
  <c r="K27" i="37"/>
  <c r="J27" i="37"/>
  <c r="I27" i="37"/>
  <c r="H27" i="37"/>
  <c r="K40" i="34"/>
  <c r="M40" i="34" s="1"/>
  <c r="J40" i="34"/>
  <c r="I40" i="34"/>
  <c r="K39" i="34"/>
  <c r="J39" i="34"/>
  <c r="I39" i="34"/>
  <c r="K38" i="34"/>
  <c r="J38" i="34"/>
  <c r="I38" i="34"/>
  <c r="K37" i="34"/>
  <c r="J37" i="34"/>
  <c r="I37" i="34"/>
  <c r="K36" i="34"/>
  <c r="J36" i="34"/>
  <c r="I36" i="34"/>
  <c r="K35" i="34"/>
  <c r="J35" i="34"/>
  <c r="I35" i="34"/>
  <c r="K34" i="34"/>
  <c r="J34" i="34"/>
  <c r="I34" i="34"/>
  <c r="K33" i="34"/>
  <c r="J33" i="34"/>
  <c r="I33" i="34"/>
  <c r="K32" i="34"/>
  <c r="J32" i="34"/>
  <c r="I32" i="34"/>
  <c r="K31" i="34"/>
  <c r="J31" i="34"/>
  <c r="I31" i="34"/>
  <c r="K30" i="34"/>
  <c r="J30" i="34"/>
  <c r="I30" i="34"/>
  <c r="K29" i="34"/>
  <c r="J29" i="34"/>
  <c r="I29" i="34"/>
  <c r="K28" i="34"/>
  <c r="J28" i="34"/>
  <c r="I28" i="34"/>
  <c r="K27" i="34"/>
  <c r="J27" i="34"/>
  <c r="I27" i="34"/>
  <c r="H27" i="34"/>
  <c r="K60" i="35"/>
  <c r="M60" i="35" s="1"/>
  <c r="J60" i="35"/>
  <c r="I60" i="35"/>
  <c r="K59" i="35"/>
  <c r="M59" i="35" s="1"/>
  <c r="J59" i="35"/>
  <c r="I59" i="35"/>
  <c r="K58" i="35"/>
  <c r="M58" i="35" s="1"/>
  <c r="J58" i="35"/>
  <c r="I58" i="35"/>
  <c r="K57" i="35"/>
  <c r="M57" i="35" s="1"/>
  <c r="J57" i="35"/>
  <c r="I57" i="35"/>
  <c r="K56" i="35"/>
  <c r="M56" i="35" s="1"/>
  <c r="J56" i="35"/>
  <c r="I56" i="35"/>
  <c r="K55" i="35"/>
  <c r="M55" i="35" s="1"/>
  <c r="J55" i="35"/>
  <c r="I55" i="35"/>
  <c r="K54" i="35"/>
  <c r="M54" i="35" s="1"/>
  <c r="J54" i="35"/>
  <c r="I54" i="35"/>
  <c r="K53" i="35"/>
  <c r="M53" i="35" s="1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H47" i="35"/>
  <c r="K60" i="36"/>
  <c r="M60" i="36" s="1"/>
  <c r="J60" i="36"/>
  <c r="I60" i="36"/>
  <c r="K59" i="36"/>
  <c r="M59" i="36" s="1"/>
  <c r="J59" i="36"/>
  <c r="I59" i="36"/>
  <c r="K58" i="36"/>
  <c r="M58" i="36" s="1"/>
  <c r="J58" i="36"/>
  <c r="I58" i="36"/>
  <c r="K57" i="36"/>
  <c r="M57" i="36" s="1"/>
  <c r="J57" i="36"/>
  <c r="I57" i="36"/>
  <c r="K56" i="36"/>
  <c r="M56" i="36" s="1"/>
  <c r="J56" i="36"/>
  <c r="I56" i="36"/>
  <c r="K55" i="36"/>
  <c r="M55" i="36" s="1"/>
  <c r="J55" i="36"/>
  <c r="I55" i="36"/>
  <c r="K54" i="36"/>
  <c r="M54" i="36" s="1"/>
  <c r="J54" i="36"/>
  <c r="I54" i="36"/>
  <c r="K53" i="36"/>
  <c r="J53" i="36"/>
  <c r="I53" i="36"/>
  <c r="K52" i="36"/>
  <c r="J52" i="36"/>
  <c r="I52" i="36"/>
  <c r="K51" i="36"/>
  <c r="J51" i="36"/>
  <c r="I51" i="36"/>
  <c r="K50" i="36"/>
  <c r="J50" i="36"/>
  <c r="I50" i="36"/>
  <c r="K49" i="36"/>
  <c r="J49" i="36"/>
  <c r="I49" i="36"/>
  <c r="K48" i="36"/>
  <c r="J48" i="36"/>
  <c r="I48" i="36"/>
  <c r="K47" i="36"/>
  <c r="J47" i="36"/>
  <c r="I47" i="36"/>
  <c r="H47" i="36"/>
  <c r="K60" i="37"/>
  <c r="M60" i="37" s="1"/>
  <c r="J60" i="37"/>
  <c r="I60" i="37"/>
  <c r="K59" i="37"/>
  <c r="M59" i="37" s="1"/>
  <c r="J59" i="37"/>
  <c r="I59" i="37"/>
  <c r="K58" i="37"/>
  <c r="M58" i="37" s="1"/>
  <c r="J58" i="37"/>
  <c r="I58" i="37"/>
  <c r="K57" i="37"/>
  <c r="M57" i="37" s="1"/>
  <c r="J57" i="37"/>
  <c r="I57" i="37"/>
  <c r="K56" i="37"/>
  <c r="M56" i="37" s="1"/>
  <c r="J56" i="37"/>
  <c r="I56" i="37"/>
  <c r="K53" i="37"/>
  <c r="J53" i="37"/>
  <c r="I53" i="37"/>
  <c r="K52" i="37"/>
  <c r="J52" i="37"/>
  <c r="I52" i="37"/>
  <c r="K51" i="37"/>
  <c r="J51" i="37"/>
  <c r="I51" i="37"/>
  <c r="K50" i="37"/>
  <c r="M50" i="37" s="1"/>
  <c r="J50" i="37"/>
  <c r="I50" i="37"/>
  <c r="K49" i="37"/>
  <c r="J49" i="37"/>
  <c r="I49" i="37"/>
  <c r="K48" i="37"/>
  <c r="J48" i="37"/>
  <c r="I48" i="37"/>
  <c r="K47" i="37"/>
  <c r="J47" i="37"/>
  <c r="I47" i="37"/>
  <c r="H47" i="37"/>
  <c r="K60" i="34"/>
  <c r="M60" i="34" s="1"/>
  <c r="J60" i="34"/>
  <c r="I60" i="34"/>
  <c r="K59" i="34"/>
  <c r="J59" i="34"/>
  <c r="I59" i="34"/>
  <c r="K58" i="34"/>
  <c r="J58" i="34"/>
  <c r="I58" i="34"/>
  <c r="K57" i="34"/>
  <c r="J57" i="34"/>
  <c r="I57" i="34"/>
  <c r="K56" i="34"/>
  <c r="J56" i="34"/>
  <c r="I56" i="34"/>
  <c r="K55" i="34"/>
  <c r="J55" i="34"/>
  <c r="I55" i="34"/>
  <c r="K54" i="34"/>
  <c r="J54" i="34"/>
  <c r="I54" i="34"/>
  <c r="K53" i="34"/>
  <c r="J53" i="34"/>
  <c r="I53" i="34"/>
  <c r="K52" i="34"/>
  <c r="J52" i="34"/>
  <c r="I52" i="34"/>
  <c r="K51" i="34"/>
  <c r="J51" i="34"/>
  <c r="I51" i="34"/>
  <c r="K50" i="34"/>
  <c r="J50" i="34"/>
  <c r="I50" i="34"/>
  <c r="K49" i="34"/>
  <c r="J49" i="34"/>
  <c r="I49" i="34"/>
  <c r="K48" i="34"/>
  <c r="J48" i="34"/>
  <c r="I48" i="34"/>
  <c r="K47" i="34"/>
  <c r="J47" i="34"/>
  <c r="I47" i="34"/>
  <c r="H47" i="34"/>
  <c r="K80" i="35"/>
  <c r="M80" i="35" s="1"/>
  <c r="J80" i="35"/>
  <c r="I80" i="35"/>
  <c r="K79" i="35"/>
  <c r="M79" i="35" s="1"/>
  <c r="J79" i="35"/>
  <c r="I79" i="35"/>
  <c r="K78" i="35"/>
  <c r="M78" i="35" s="1"/>
  <c r="J78" i="35"/>
  <c r="I78" i="35"/>
  <c r="K77" i="35"/>
  <c r="M77" i="35" s="1"/>
  <c r="J77" i="35"/>
  <c r="I77" i="35"/>
  <c r="K76" i="35"/>
  <c r="M76" i="35" s="1"/>
  <c r="J76" i="35"/>
  <c r="I76" i="35"/>
  <c r="K75" i="35"/>
  <c r="M75" i="35" s="1"/>
  <c r="J75" i="35"/>
  <c r="I75" i="35"/>
  <c r="K74" i="35"/>
  <c r="M74" i="35" s="1"/>
  <c r="J74" i="35"/>
  <c r="I74" i="35"/>
  <c r="K73" i="35"/>
  <c r="M73" i="35" s="1"/>
  <c r="J73" i="35"/>
  <c r="I73" i="35"/>
  <c r="K72" i="35"/>
  <c r="J72" i="35"/>
  <c r="I72" i="35"/>
  <c r="K71" i="35"/>
  <c r="J71" i="35"/>
  <c r="I71" i="35"/>
  <c r="K70" i="35"/>
  <c r="J70" i="35"/>
  <c r="I70" i="35"/>
  <c r="K69" i="35"/>
  <c r="J69" i="35"/>
  <c r="I69" i="35"/>
  <c r="K68" i="35"/>
  <c r="J68" i="35"/>
  <c r="I68" i="35"/>
  <c r="K67" i="35"/>
  <c r="J67" i="35"/>
  <c r="I67" i="35"/>
  <c r="H67" i="35"/>
  <c r="K80" i="36"/>
  <c r="M80" i="36" s="1"/>
  <c r="J80" i="36"/>
  <c r="I80" i="36"/>
  <c r="K79" i="36"/>
  <c r="M79" i="36" s="1"/>
  <c r="J79" i="36"/>
  <c r="I79" i="36"/>
  <c r="K78" i="36"/>
  <c r="M78" i="36" s="1"/>
  <c r="J78" i="36"/>
  <c r="I78" i="36"/>
  <c r="K77" i="36"/>
  <c r="M77" i="36" s="1"/>
  <c r="J77" i="36"/>
  <c r="I77" i="36"/>
  <c r="K76" i="36"/>
  <c r="M76" i="36" s="1"/>
  <c r="J76" i="36"/>
  <c r="I76" i="36"/>
  <c r="K75" i="36"/>
  <c r="M75" i="36" s="1"/>
  <c r="J75" i="36"/>
  <c r="I75" i="36"/>
  <c r="K74" i="36"/>
  <c r="M74" i="36" s="1"/>
  <c r="J74" i="36"/>
  <c r="I74" i="36"/>
  <c r="K73" i="36"/>
  <c r="J73" i="36"/>
  <c r="I73" i="36"/>
  <c r="K72" i="36"/>
  <c r="J72" i="36"/>
  <c r="I72" i="36"/>
  <c r="K71" i="36"/>
  <c r="J71" i="36"/>
  <c r="I71" i="36"/>
  <c r="K70" i="36"/>
  <c r="J70" i="36"/>
  <c r="I70" i="36"/>
  <c r="K69" i="36"/>
  <c r="J69" i="36"/>
  <c r="I69" i="36"/>
  <c r="K68" i="36"/>
  <c r="J68" i="36"/>
  <c r="I68" i="36"/>
  <c r="K67" i="36"/>
  <c r="J67" i="36"/>
  <c r="I67" i="36"/>
  <c r="H67" i="36"/>
  <c r="K80" i="37"/>
  <c r="M80" i="37" s="1"/>
  <c r="J80" i="37"/>
  <c r="I80" i="37"/>
  <c r="K79" i="37"/>
  <c r="M79" i="37" s="1"/>
  <c r="J79" i="37"/>
  <c r="I79" i="37"/>
  <c r="K78" i="37"/>
  <c r="M78" i="37" s="1"/>
  <c r="J78" i="37"/>
  <c r="I78" i="37"/>
  <c r="K77" i="37"/>
  <c r="M77" i="37" s="1"/>
  <c r="J77" i="37"/>
  <c r="I77" i="37"/>
  <c r="K76" i="37"/>
  <c r="M76" i="37" s="1"/>
  <c r="J76" i="37"/>
  <c r="I76" i="37"/>
  <c r="K75" i="37"/>
  <c r="J75" i="37"/>
  <c r="I75" i="37"/>
  <c r="K74" i="37"/>
  <c r="J74" i="37"/>
  <c r="I74" i="37"/>
  <c r="K73" i="37"/>
  <c r="J73" i="37"/>
  <c r="I73" i="37"/>
  <c r="K72" i="37"/>
  <c r="J72" i="37"/>
  <c r="I72" i="37"/>
  <c r="K71" i="37"/>
  <c r="J71" i="37"/>
  <c r="I71" i="37"/>
  <c r="K70" i="37"/>
  <c r="J70" i="37"/>
  <c r="I70" i="37"/>
  <c r="K69" i="37"/>
  <c r="J69" i="37"/>
  <c r="I69" i="37"/>
  <c r="K68" i="37"/>
  <c r="J68" i="37"/>
  <c r="I68" i="37"/>
  <c r="K67" i="37"/>
  <c r="J67" i="37"/>
  <c r="I67" i="37"/>
  <c r="H67" i="37"/>
  <c r="K79" i="34"/>
  <c r="J79" i="34"/>
  <c r="I79" i="34"/>
  <c r="K78" i="34"/>
  <c r="J78" i="34"/>
  <c r="I78" i="34"/>
  <c r="K77" i="34"/>
  <c r="J77" i="34"/>
  <c r="I77" i="34"/>
  <c r="K76" i="34"/>
  <c r="J76" i="34"/>
  <c r="I76" i="34"/>
  <c r="K75" i="34"/>
  <c r="J75" i="34"/>
  <c r="I75" i="34"/>
  <c r="K74" i="34"/>
  <c r="J74" i="34"/>
  <c r="I74" i="34"/>
  <c r="K73" i="34"/>
  <c r="J73" i="34"/>
  <c r="I73" i="34"/>
  <c r="K72" i="34"/>
  <c r="J72" i="34"/>
  <c r="I72" i="34"/>
  <c r="K71" i="34"/>
  <c r="J71" i="34"/>
  <c r="I71" i="34"/>
  <c r="K70" i="34"/>
  <c r="J70" i="34"/>
  <c r="I70" i="34"/>
  <c r="K69" i="34"/>
  <c r="J69" i="34"/>
  <c r="I69" i="34"/>
  <c r="K68" i="34"/>
  <c r="M68" i="34" s="1"/>
  <c r="J68" i="34"/>
  <c r="I68" i="34"/>
  <c r="K67" i="34"/>
  <c r="J67" i="34"/>
  <c r="I67" i="34"/>
  <c r="H67" i="34"/>
  <c r="K100" i="35"/>
  <c r="M100" i="35" s="1"/>
  <c r="J100" i="35"/>
  <c r="I100" i="35"/>
  <c r="K99" i="35"/>
  <c r="M99" i="35" s="1"/>
  <c r="J99" i="35"/>
  <c r="I99" i="35"/>
  <c r="K98" i="35"/>
  <c r="M98" i="35" s="1"/>
  <c r="J98" i="35"/>
  <c r="I98" i="35"/>
  <c r="K97" i="35"/>
  <c r="M97" i="35" s="1"/>
  <c r="J97" i="35"/>
  <c r="I97" i="35"/>
  <c r="K96" i="35"/>
  <c r="M96" i="35" s="1"/>
  <c r="J96" i="35"/>
  <c r="I96" i="35"/>
  <c r="K95" i="35"/>
  <c r="M95" i="35" s="1"/>
  <c r="J95" i="35"/>
  <c r="I95" i="35"/>
  <c r="K94" i="35"/>
  <c r="M94" i="35" s="1"/>
  <c r="J94" i="35"/>
  <c r="I94" i="35"/>
  <c r="K93" i="35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H87" i="35"/>
  <c r="K100" i="36"/>
  <c r="M100" i="36" s="1"/>
  <c r="J100" i="36"/>
  <c r="I100" i="36"/>
  <c r="K99" i="36"/>
  <c r="M99" i="36" s="1"/>
  <c r="J99" i="36"/>
  <c r="I99" i="36"/>
  <c r="K98" i="36"/>
  <c r="M98" i="36" s="1"/>
  <c r="J98" i="36"/>
  <c r="I98" i="36"/>
  <c r="K97" i="36"/>
  <c r="M97" i="36" s="1"/>
  <c r="J97" i="36"/>
  <c r="I97" i="36"/>
  <c r="K96" i="36"/>
  <c r="M96" i="36" s="1"/>
  <c r="J96" i="36"/>
  <c r="I96" i="36"/>
  <c r="K95" i="36"/>
  <c r="J95" i="36"/>
  <c r="I95" i="36"/>
  <c r="K94" i="36"/>
  <c r="J94" i="36"/>
  <c r="I94" i="36"/>
  <c r="K93" i="36"/>
  <c r="J93" i="36"/>
  <c r="I93" i="36"/>
  <c r="K92" i="36"/>
  <c r="J92" i="36"/>
  <c r="I92" i="36"/>
  <c r="K91" i="36"/>
  <c r="J91" i="36"/>
  <c r="I91" i="36"/>
  <c r="K90" i="36"/>
  <c r="J90" i="36"/>
  <c r="I90" i="36"/>
  <c r="K89" i="36"/>
  <c r="J89" i="36"/>
  <c r="I89" i="36"/>
  <c r="K88" i="36"/>
  <c r="M88" i="36" s="1"/>
  <c r="J88" i="36"/>
  <c r="I88" i="36"/>
  <c r="K87" i="36"/>
  <c r="J87" i="36"/>
  <c r="I87" i="36"/>
  <c r="H87" i="36"/>
  <c r="K100" i="37"/>
  <c r="M100" i="37" s="1"/>
  <c r="J100" i="37"/>
  <c r="I100" i="37"/>
  <c r="K99" i="37"/>
  <c r="M99" i="37" s="1"/>
  <c r="J99" i="37"/>
  <c r="I99" i="37"/>
  <c r="K98" i="37"/>
  <c r="M98" i="37" s="1"/>
  <c r="J98" i="37"/>
  <c r="I98" i="37"/>
  <c r="K97" i="37"/>
  <c r="M97" i="37" s="1"/>
  <c r="J97" i="37"/>
  <c r="I97" i="37"/>
  <c r="K96" i="37"/>
  <c r="M96" i="37" s="1"/>
  <c r="J96" i="37"/>
  <c r="I96" i="37"/>
  <c r="K95" i="37"/>
  <c r="M95" i="37" s="1"/>
  <c r="J95" i="37"/>
  <c r="I95" i="37"/>
  <c r="K94" i="37"/>
  <c r="M94" i="37" s="1"/>
  <c r="J94" i="37"/>
  <c r="I94" i="37"/>
  <c r="K93" i="37"/>
  <c r="M93" i="37" s="1"/>
  <c r="J93" i="37"/>
  <c r="I93" i="37"/>
  <c r="K92" i="37"/>
  <c r="M92" i="37" s="1"/>
  <c r="J92" i="37"/>
  <c r="I92" i="37"/>
  <c r="K91" i="37"/>
  <c r="M91" i="37" s="1"/>
  <c r="J91" i="37"/>
  <c r="I91" i="37"/>
  <c r="K90" i="37"/>
  <c r="M90" i="37" s="1"/>
  <c r="J90" i="37"/>
  <c r="I90" i="37"/>
  <c r="K89" i="37"/>
  <c r="M89" i="37" s="1"/>
  <c r="J89" i="37"/>
  <c r="I89" i="37"/>
  <c r="K88" i="37"/>
  <c r="M88" i="37" s="1"/>
  <c r="J88" i="37"/>
  <c r="I88" i="37"/>
  <c r="K87" i="37"/>
  <c r="J87" i="37"/>
  <c r="I87" i="37"/>
  <c r="H87" i="37"/>
  <c r="K100" i="34"/>
  <c r="M100" i="34" s="1"/>
  <c r="J100" i="34"/>
  <c r="I100" i="34"/>
  <c r="K99" i="34"/>
  <c r="J99" i="34"/>
  <c r="I99" i="34"/>
  <c r="K98" i="34"/>
  <c r="J98" i="34"/>
  <c r="I98" i="34"/>
  <c r="K97" i="34"/>
  <c r="J97" i="34"/>
  <c r="I97" i="34"/>
  <c r="K96" i="34"/>
  <c r="J96" i="34"/>
  <c r="I96" i="34"/>
  <c r="K95" i="34"/>
  <c r="J95" i="34"/>
  <c r="I95" i="34"/>
  <c r="K94" i="34"/>
  <c r="J94" i="34"/>
  <c r="I94" i="34"/>
  <c r="K93" i="34"/>
  <c r="J93" i="34"/>
  <c r="I93" i="34"/>
  <c r="K92" i="34"/>
  <c r="J92" i="34"/>
  <c r="I92" i="34"/>
  <c r="K91" i="34"/>
  <c r="J91" i="34"/>
  <c r="I91" i="34"/>
  <c r="K90" i="34"/>
  <c r="J90" i="34"/>
  <c r="I90" i="34"/>
  <c r="K89" i="34"/>
  <c r="J89" i="34"/>
  <c r="I89" i="34"/>
  <c r="K88" i="34"/>
  <c r="J88" i="34"/>
  <c r="I88" i="34"/>
  <c r="K87" i="34"/>
  <c r="J87" i="34"/>
  <c r="I87" i="34"/>
  <c r="H87" i="34"/>
  <c r="K20" i="35"/>
  <c r="M20" i="35" s="1"/>
  <c r="J20" i="35"/>
  <c r="I20" i="35"/>
  <c r="K19" i="35"/>
  <c r="M19" i="35" s="1"/>
  <c r="J19" i="35"/>
  <c r="I19" i="35"/>
  <c r="K18" i="35"/>
  <c r="M18" i="35" s="1"/>
  <c r="J18" i="35"/>
  <c r="I18" i="35"/>
  <c r="K17" i="35"/>
  <c r="M17" i="35" s="1"/>
  <c r="J17" i="35"/>
  <c r="I17" i="35"/>
  <c r="K16" i="35"/>
  <c r="M16" i="35" s="1"/>
  <c r="J16" i="35"/>
  <c r="I16" i="35"/>
  <c r="K15" i="35"/>
  <c r="M15" i="35" s="1"/>
  <c r="J15" i="35"/>
  <c r="I15" i="35"/>
  <c r="K14" i="35"/>
  <c r="M14" i="35" s="1"/>
  <c r="J14" i="35"/>
  <c r="I14" i="35"/>
  <c r="K13" i="35"/>
  <c r="J13" i="35"/>
  <c r="I13" i="35"/>
  <c r="K12" i="35"/>
  <c r="J12" i="35"/>
  <c r="I12" i="35"/>
  <c r="K11" i="35"/>
  <c r="J11" i="35"/>
  <c r="I11" i="35"/>
  <c r="K10" i="35"/>
  <c r="J10" i="35"/>
  <c r="I10" i="35"/>
  <c r="K9" i="35"/>
  <c r="J9" i="35"/>
  <c r="I9" i="35"/>
  <c r="K8" i="35"/>
  <c r="J8" i="35"/>
  <c r="I8" i="35"/>
  <c r="K7" i="35"/>
  <c r="J7" i="35"/>
  <c r="I7" i="35"/>
  <c r="H7" i="35"/>
  <c r="K20" i="36"/>
  <c r="M20" i="36" s="1"/>
  <c r="J20" i="36"/>
  <c r="I20" i="36"/>
  <c r="K19" i="36"/>
  <c r="M19" i="36" s="1"/>
  <c r="J19" i="36"/>
  <c r="I19" i="36"/>
  <c r="K18" i="36"/>
  <c r="M18" i="36" s="1"/>
  <c r="J18" i="36"/>
  <c r="I18" i="36"/>
  <c r="K17" i="36"/>
  <c r="M17" i="36" s="1"/>
  <c r="J17" i="36"/>
  <c r="I17" i="36"/>
  <c r="K16" i="36"/>
  <c r="M16" i="36" s="1"/>
  <c r="J16" i="36"/>
  <c r="I16" i="36"/>
  <c r="K15" i="36"/>
  <c r="J15" i="36"/>
  <c r="I15" i="36"/>
  <c r="K14" i="36"/>
  <c r="J14" i="36"/>
  <c r="I14" i="36"/>
  <c r="K13" i="36"/>
  <c r="J13" i="36"/>
  <c r="I13" i="36"/>
  <c r="K12" i="36"/>
  <c r="J12" i="36"/>
  <c r="I12" i="36"/>
  <c r="K11" i="36"/>
  <c r="J11" i="36"/>
  <c r="I11" i="36"/>
  <c r="K10" i="36"/>
  <c r="J10" i="36"/>
  <c r="I10" i="36"/>
  <c r="K9" i="36"/>
  <c r="J9" i="36"/>
  <c r="I9" i="36"/>
  <c r="K8" i="36"/>
  <c r="M13" i="36" s="1"/>
  <c r="J8" i="36"/>
  <c r="I8" i="36"/>
  <c r="K7" i="36"/>
  <c r="J7" i="36"/>
  <c r="I7" i="36"/>
  <c r="H7" i="36"/>
  <c r="K20" i="37"/>
  <c r="M20" i="37" s="1"/>
  <c r="J20" i="37"/>
  <c r="I20" i="37"/>
  <c r="K19" i="37"/>
  <c r="M19" i="37" s="1"/>
  <c r="J19" i="37"/>
  <c r="I19" i="37"/>
  <c r="K18" i="37"/>
  <c r="M18" i="37" s="1"/>
  <c r="J18" i="37"/>
  <c r="I18" i="37"/>
  <c r="K17" i="37"/>
  <c r="M17" i="37" s="1"/>
  <c r="J17" i="37"/>
  <c r="I17" i="37"/>
  <c r="K16" i="37"/>
  <c r="J16" i="37"/>
  <c r="I16" i="37"/>
  <c r="K15" i="37"/>
  <c r="J15" i="37"/>
  <c r="I15" i="37"/>
  <c r="K14" i="37"/>
  <c r="J14" i="37"/>
  <c r="I14" i="37"/>
  <c r="K13" i="37"/>
  <c r="J13" i="37"/>
  <c r="I13" i="37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K7" i="37"/>
  <c r="L7" i="37" s="1"/>
  <c r="J7" i="37"/>
  <c r="I7" i="37"/>
  <c r="H7" i="37"/>
  <c r="K20" i="34"/>
  <c r="M20" i="34" s="1"/>
  <c r="J20" i="34"/>
  <c r="I20" i="34"/>
  <c r="K19" i="34"/>
  <c r="J19" i="34"/>
  <c r="I19" i="34"/>
  <c r="K18" i="34"/>
  <c r="J18" i="34"/>
  <c r="I18" i="34"/>
  <c r="K17" i="34"/>
  <c r="J17" i="34"/>
  <c r="I17" i="34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K7" i="34"/>
  <c r="J7" i="34"/>
  <c r="I7" i="34"/>
  <c r="H7" i="34"/>
  <c r="K40" i="32"/>
  <c r="M40" i="32" s="1"/>
  <c r="J40" i="32"/>
  <c r="I40" i="32"/>
  <c r="K39" i="32"/>
  <c r="M39" i="32" s="1"/>
  <c r="J39" i="32"/>
  <c r="I39" i="32"/>
  <c r="K38" i="32"/>
  <c r="M38" i="32" s="1"/>
  <c r="J38" i="32"/>
  <c r="I38" i="32"/>
  <c r="K37" i="32"/>
  <c r="M37" i="32" s="1"/>
  <c r="J37" i="32"/>
  <c r="I37" i="32"/>
  <c r="K36" i="32"/>
  <c r="M36" i="32" s="1"/>
  <c r="J36" i="32"/>
  <c r="I36" i="32"/>
  <c r="K34" i="32"/>
  <c r="J34" i="32"/>
  <c r="I34" i="32"/>
  <c r="K33" i="32"/>
  <c r="J33" i="32"/>
  <c r="I33" i="32"/>
  <c r="K32" i="32"/>
  <c r="J32" i="32"/>
  <c r="I32" i="32"/>
  <c r="K31" i="32"/>
  <c r="J31" i="32"/>
  <c r="I31" i="32"/>
  <c r="K30" i="32"/>
  <c r="J30" i="32"/>
  <c r="I30" i="32"/>
  <c r="K29" i="32"/>
  <c r="J29" i="32"/>
  <c r="I29" i="32"/>
  <c r="K28" i="32"/>
  <c r="J28" i="32"/>
  <c r="I28" i="32"/>
  <c r="K27" i="32"/>
  <c r="J27" i="32"/>
  <c r="I27" i="32"/>
  <c r="H27" i="32"/>
  <c r="K40" i="31"/>
  <c r="M40" i="31" s="1"/>
  <c r="J40" i="31"/>
  <c r="I40" i="31"/>
  <c r="K39" i="31"/>
  <c r="M39" i="31" s="1"/>
  <c r="J39" i="31"/>
  <c r="I39" i="31"/>
  <c r="K38" i="31"/>
  <c r="M38" i="31" s="1"/>
  <c r="J38" i="31"/>
  <c r="I38" i="31"/>
  <c r="K37" i="31"/>
  <c r="M37" i="31" s="1"/>
  <c r="J37" i="31"/>
  <c r="I37" i="31"/>
  <c r="K36" i="31"/>
  <c r="M36" i="31" s="1"/>
  <c r="J36" i="31"/>
  <c r="I36" i="31"/>
  <c r="K35" i="31"/>
  <c r="M35" i="31" s="1"/>
  <c r="J35" i="31"/>
  <c r="I35" i="31"/>
  <c r="K34" i="31"/>
  <c r="M34" i="31" s="1"/>
  <c r="J34" i="31"/>
  <c r="I34" i="31"/>
  <c r="K33" i="31"/>
  <c r="M33" i="31" s="1"/>
  <c r="J33" i="31"/>
  <c r="I33" i="31"/>
  <c r="K32" i="31"/>
  <c r="M32" i="31" s="1"/>
  <c r="J32" i="31"/>
  <c r="I32" i="31"/>
  <c r="K31" i="31"/>
  <c r="M31" i="31" s="1"/>
  <c r="J31" i="31"/>
  <c r="I31" i="31"/>
  <c r="K30" i="31"/>
  <c r="M30" i="31" s="1"/>
  <c r="J30" i="31"/>
  <c r="I30" i="31"/>
  <c r="K29" i="31"/>
  <c r="J29" i="31"/>
  <c r="I29" i="31"/>
  <c r="K28" i="31"/>
  <c r="J28" i="31"/>
  <c r="I28" i="31"/>
  <c r="K27" i="31"/>
  <c r="J27" i="31"/>
  <c r="I27" i="31"/>
  <c r="H27" i="31"/>
  <c r="K41" i="30"/>
  <c r="M41" i="30" s="1"/>
  <c r="J41" i="30"/>
  <c r="I41" i="30"/>
  <c r="K40" i="30"/>
  <c r="M40" i="30" s="1"/>
  <c r="J40" i="30"/>
  <c r="I40" i="30"/>
  <c r="K39" i="30"/>
  <c r="M39" i="30" s="1"/>
  <c r="J39" i="30"/>
  <c r="I39" i="30"/>
  <c r="K38" i="30"/>
  <c r="M38" i="30" s="1"/>
  <c r="J38" i="30"/>
  <c r="I38" i="30"/>
  <c r="K37" i="30"/>
  <c r="M37" i="30" s="1"/>
  <c r="J37" i="30"/>
  <c r="I37" i="30"/>
  <c r="K36" i="30"/>
  <c r="M36" i="30" s="1"/>
  <c r="J36" i="30"/>
  <c r="I36" i="30"/>
  <c r="K35" i="30"/>
  <c r="M35" i="30" s="1"/>
  <c r="J35" i="30"/>
  <c r="I35" i="30"/>
  <c r="K34" i="30"/>
  <c r="M34" i="30" s="1"/>
  <c r="J34" i="30"/>
  <c r="I34" i="30"/>
  <c r="K33" i="30"/>
  <c r="M33" i="30" s="1"/>
  <c r="J33" i="30"/>
  <c r="I33" i="30"/>
  <c r="K32" i="30"/>
  <c r="M32" i="30" s="1"/>
  <c r="J32" i="30"/>
  <c r="I32" i="30"/>
  <c r="K29" i="30"/>
  <c r="J29" i="30"/>
  <c r="I29" i="30"/>
  <c r="K28" i="30"/>
  <c r="J28" i="30"/>
  <c r="I28" i="30"/>
  <c r="K27" i="30"/>
  <c r="J27" i="30"/>
  <c r="I27" i="30"/>
  <c r="H27" i="30"/>
  <c r="K60" i="32"/>
  <c r="M60" i="32" s="1"/>
  <c r="J60" i="32"/>
  <c r="I60" i="32"/>
  <c r="K59" i="32"/>
  <c r="M59" i="32" s="1"/>
  <c r="J59" i="32"/>
  <c r="I59" i="32"/>
  <c r="K58" i="32"/>
  <c r="M58" i="32" s="1"/>
  <c r="J58" i="32"/>
  <c r="I58" i="32"/>
  <c r="K57" i="32"/>
  <c r="M57" i="32" s="1"/>
  <c r="J57" i="32"/>
  <c r="I57" i="32"/>
  <c r="K56" i="32"/>
  <c r="M56" i="32" s="1"/>
  <c r="J56" i="32"/>
  <c r="I56" i="32"/>
  <c r="K55" i="32"/>
  <c r="M55" i="32" s="1"/>
  <c r="J55" i="32"/>
  <c r="I55" i="32"/>
  <c r="K54" i="32"/>
  <c r="J54" i="32"/>
  <c r="I54" i="32"/>
  <c r="K53" i="32"/>
  <c r="J53" i="32"/>
  <c r="I53" i="32"/>
  <c r="K52" i="32"/>
  <c r="J52" i="32"/>
  <c r="I52" i="32"/>
  <c r="K51" i="32"/>
  <c r="J51" i="32"/>
  <c r="I51" i="32"/>
  <c r="K50" i="32"/>
  <c r="J50" i="32"/>
  <c r="I50" i="32"/>
  <c r="K49" i="32"/>
  <c r="J49" i="32"/>
  <c r="I49" i="32"/>
  <c r="K48" i="32"/>
  <c r="J48" i="32"/>
  <c r="I48" i="32"/>
  <c r="K47" i="32"/>
  <c r="J47" i="32"/>
  <c r="I47" i="32"/>
  <c r="H47" i="32"/>
  <c r="K60" i="31"/>
  <c r="M60" i="31" s="1"/>
  <c r="J60" i="31"/>
  <c r="I60" i="31"/>
  <c r="K59" i="31"/>
  <c r="M59" i="31" s="1"/>
  <c r="J59" i="31"/>
  <c r="I59" i="31"/>
  <c r="K58" i="31"/>
  <c r="M58" i="31" s="1"/>
  <c r="J58" i="31"/>
  <c r="I58" i="31"/>
  <c r="K57" i="31"/>
  <c r="M57" i="31" s="1"/>
  <c r="J57" i="31"/>
  <c r="I57" i="31"/>
  <c r="K56" i="31"/>
  <c r="M56" i="31" s="1"/>
  <c r="J56" i="31"/>
  <c r="I56" i="31"/>
  <c r="K55" i="31"/>
  <c r="M55" i="31" s="1"/>
  <c r="J55" i="31"/>
  <c r="I55" i="31"/>
  <c r="K54" i="31"/>
  <c r="M54" i="31" s="1"/>
  <c r="J54" i="31"/>
  <c r="I54" i="31"/>
  <c r="K53" i="31"/>
  <c r="M53" i="31" s="1"/>
  <c r="J53" i="31"/>
  <c r="I53" i="31"/>
  <c r="K52" i="31"/>
  <c r="M52" i="31" s="1"/>
  <c r="J52" i="31"/>
  <c r="I52" i="31"/>
  <c r="K51" i="31"/>
  <c r="M51" i="31" s="1"/>
  <c r="J51" i="31"/>
  <c r="I51" i="31"/>
  <c r="K50" i="31"/>
  <c r="M50" i="31" s="1"/>
  <c r="J50" i="31"/>
  <c r="I50" i="31"/>
  <c r="K49" i="31"/>
  <c r="J49" i="31"/>
  <c r="I49" i="31"/>
  <c r="K48" i="31"/>
  <c r="J48" i="31"/>
  <c r="I48" i="31"/>
  <c r="K47" i="31"/>
  <c r="J47" i="31"/>
  <c r="I47" i="31"/>
  <c r="H47" i="31"/>
  <c r="K61" i="30"/>
  <c r="M61" i="30" s="1"/>
  <c r="J61" i="30"/>
  <c r="I61" i="30"/>
  <c r="K60" i="30"/>
  <c r="M60" i="30" s="1"/>
  <c r="J60" i="30"/>
  <c r="I60" i="30"/>
  <c r="K59" i="30"/>
  <c r="M59" i="30" s="1"/>
  <c r="J59" i="30"/>
  <c r="I59" i="30"/>
  <c r="K58" i="30"/>
  <c r="M58" i="30" s="1"/>
  <c r="J58" i="30"/>
  <c r="I58" i="30"/>
  <c r="K57" i="30"/>
  <c r="M57" i="30" s="1"/>
  <c r="J57" i="30"/>
  <c r="I57" i="30"/>
  <c r="K56" i="30"/>
  <c r="M56" i="30" s="1"/>
  <c r="J56" i="30"/>
  <c r="I56" i="30"/>
  <c r="K55" i="30"/>
  <c r="M55" i="30" s="1"/>
  <c r="J55" i="30"/>
  <c r="I55" i="30"/>
  <c r="K54" i="30"/>
  <c r="J54" i="30"/>
  <c r="I54" i="30"/>
  <c r="K53" i="30"/>
  <c r="J53" i="30"/>
  <c r="I53" i="30"/>
  <c r="K52" i="30"/>
  <c r="J52" i="30"/>
  <c r="I52" i="30"/>
  <c r="K51" i="30"/>
  <c r="J51" i="30"/>
  <c r="I51" i="30"/>
  <c r="K50" i="30"/>
  <c r="J50" i="30"/>
  <c r="I50" i="30"/>
  <c r="K49" i="30"/>
  <c r="J49" i="30"/>
  <c r="I49" i="30"/>
  <c r="K48" i="30"/>
  <c r="J48" i="30"/>
  <c r="I48" i="30"/>
  <c r="K47" i="30"/>
  <c r="J47" i="30"/>
  <c r="I47" i="30"/>
  <c r="H47" i="30"/>
  <c r="K80" i="32"/>
  <c r="M80" i="32" s="1"/>
  <c r="J80" i="32"/>
  <c r="I80" i="32"/>
  <c r="K79" i="32"/>
  <c r="M79" i="32" s="1"/>
  <c r="J79" i="32"/>
  <c r="I79" i="32"/>
  <c r="K78" i="32"/>
  <c r="M78" i="32" s="1"/>
  <c r="J78" i="32"/>
  <c r="I78" i="32"/>
  <c r="K77" i="32"/>
  <c r="M77" i="32" s="1"/>
  <c r="J77" i="32"/>
  <c r="I77" i="32"/>
  <c r="K76" i="32"/>
  <c r="M76" i="32" s="1"/>
  <c r="J76" i="32"/>
  <c r="I76" i="32"/>
  <c r="K75" i="32"/>
  <c r="M75" i="32" s="1"/>
  <c r="J75" i="32"/>
  <c r="I75" i="32"/>
  <c r="K74" i="32"/>
  <c r="J74" i="32"/>
  <c r="I74" i="32"/>
  <c r="K73" i="32"/>
  <c r="J73" i="32"/>
  <c r="I73" i="32"/>
  <c r="K72" i="32"/>
  <c r="J72" i="32"/>
  <c r="I72" i="32"/>
  <c r="K71" i="32"/>
  <c r="J71" i="32"/>
  <c r="I71" i="32"/>
  <c r="K70" i="32"/>
  <c r="J70" i="32"/>
  <c r="I70" i="32"/>
  <c r="K69" i="32"/>
  <c r="J69" i="32"/>
  <c r="I69" i="32"/>
  <c r="K68" i="32"/>
  <c r="J68" i="32"/>
  <c r="I68" i="32"/>
  <c r="K67" i="32"/>
  <c r="J67" i="32"/>
  <c r="I67" i="32"/>
  <c r="H67" i="32"/>
  <c r="K80" i="31"/>
  <c r="M80" i="31" s="1"/>
  <c r="J80" i="31"/>
  <c r="I80" i="31"/>
  <c r="K79" i="31"/>
  <c r="M79" i="31" s="1"/>
  <c r="J79" i="31"/>
  <c r="I79" i="31"/>
  <c r="K78" i="31"/>
  <c r="M78" i="31" s="1"/>
  <c r="J78" i="31"/>
  <c r="I78" i="31"/>
  <c r="K77" i="31"/>
  <c r="M77" i="31" s="1"/>
  <c r="J77" i="31"/>
  <c r="I77" i="31"/>
  <c r="K76" i="31"/>
  <c r="M76" i="31" s="1"/>
  <c r="J76" i="31"/>
  <c r="I76" i="31"/>
  <c r="K75" i="31"/>
  <c r="M75" i="31" s="1"/>
  <c r="J75" i="31"/>
  <c r="I75" i="31"/>
  <c r="K74" i="31"/>
  <c r="M74" i="31" s="1"/>
  <c r="J74" i="31"/>
  <c r="I74" i="31"/>
  <c r="K73" i="31"/>
  <c r="M73" i="31" s="1"/>
  <c r="J73" i="31"/>
  <c r="I73" i="31"/>
  <c r="K72" i="31"/>
  <c r="M72" i="31" s="1"/>
  <c r="J72" i="31"/>
  <c r="I72" i="31"/>
  <c r="K71" i="31"/>
  <c r="M71" i="31" s="1"/>
  <c r="J71" i="31"/>
  <c r="I71" i="31"/>
  <c r="K70" i="31"/>
  <c r="M70" i="31" s="1"/>
  <c r="J70" i="31"/>
  <c r="I70" i="31"/>
  <c r="K69" i="31"/>
  <c r="M69" i="31" s="1"/>
  <c r="J69" i="31"/>
  <c r="I69" i="31"/>
  <c r="K68" i="31"/>
  <c r="M68" i="31" s="1"/>
  <c r="J68" i="31"/>
  <c r="I68" i="31"/>
  <c r="K67" i="31"/>
  <c r="J67" i="31"/>
  <c r="I67" i="31"/>
  <c r="H67" i="31"/>
  <c r="K81" i="30"/>
  <c r="M81" i="30" s="1"/>
  <c r="J81" i="30"/>
  <c r="I81" i="30"/>
  <c r="K80" i="30"/>
  <c r="M80" i="30" s="1"/>
  <c r="J80" i="30"/>
  <c r="I80" i="30"/>
  <c r="K79" i="30"/>
  <c r="M79" i="30" s="1"/>
  <c r="J79" i="30"/>
  <c r="I79" i="30"/>
  <c r="K78" i="30"/>
  <c r="M78" i="30" s="1"/>
  <c r="J78" i="30"/>
  <c r="I78" i="30"/>
  <c r="K77" i="30"/>
  <c r="M77" i="30" s="1"/>
  <c r="J77" i="30"/>
  <c r="I77" i="30"/>
  <c r="K76" i="30"/>
  <c r="M76" i="30" s="1"/>
  <c r="J76" i="30"/>
  <c r="I76" i="30"/>
  <c r="K75" i="30"/>
  <c r="M75" i="30" s="1"/>
  <c r="J75" i="30"/>
  <c r="I75" i="30"/>
  <c r="K74" i="30"/>
  <c r="M74" i="30" s="1"/>
  <c r="J74" i="30"/>
  <c r="I74" i="30"/>
  <c r="K73" i="30"/>
  <c r="M73" i="30" s="1"/>
  <c r="J73" i="30"/>
  <c r="I73" i="30"/>
  <c r="K72" i="30"/>
  <c r="M72" i="30" s="1"/>
  <c r="J72" i="30"/>
  <c r="I72" i="30"/>
  <c r="K71" i="30"/>
  <c r="M71" i="30" s="1"/>
  <c r="J71" i="30"/>
  <c r="I71" i="30"/>
  <c r="K70" i="30"/>
  <c r="M70" i="30" s="1"/>
  <c r="J70" i="30"/>
  <c r="I70" i="30"/>
  <c r="K69" i="30"/>
  <c r="J69" i="30"/>
  <c r="I69" i="30"/>
  <c r="K68" i="30"/>
  <c r="J68" i="30"/>
  <c r="I68" i="30"/>
  <c r="K67" i="30"/>
  <c r="J67" i="30"/>
  <c r="I67" i="30"/>
  <c r="H67" i="30"/>
  <c r="K100" i="32"/>
  <c r="M100" i="32" s="1"/>
  <c r="J100" i="32"/>
  <c r="I100" i="32"/>
  <c r="K99" i="32"/>
  <c r="M99" i="32" s="1"/>
  <c r="J99" i="32"/>
  <c r="I99" i="32"/>
  <c r="K98" i="32"/>
  <c r="M98" i="32" s="1"/>
  <c r="J98" i="32"/>
  <c r="I98" i="32"/>
  <c r="K97" i="32"/>
  <c r="M97" i="32" s="1"/>
  <c r="J97" i="32"/>
  <c r="I97" i="32"/>
  <c r="K96" i="32"/>
  <c r="M96" i="32" s="1"/>
  <c r="J96" i="32"/>
  <c r="I96" i="32"/>
  <c r="K95" i="32"/>
  <c r="M95" i="32" s="1"/>
  <c r="J95" i="32"/>
  <c r="I95" i="32"/>
  <c r="K94" i="32"/>
  <c r="J94" i="32"/>
  <c r="I94" i="32"/>
  <c r="K93" i="32"/>
  <c r="J93" i="32"/>
  <c r="I93" i="32"/>
  <c r="K92" i="32"/>
  <c r="J92" i="32"/>
  <c r="I92" i="32"/>
  <c r="K91" i="32"/>
  <c r="J91" i="32"/>
  <c r="I91" i="32"/>
  <c r="K90" i="32"/>
  <c r="J90" i="32"/>
  <c r="I90" i="32"/>
  <c r="K89" i="32"/>
  <c r="J89" i="32"/>
  <c r="I89" i="32"/>
  <c r="K88" i="32"/>
  <c r="J88" i="32"/>
  <c r="I88" i="32"/>
  <c r="K87" i="32"/>
  <c r="J87" i="32"/>
  <c r="I87" i="32"/>
  <c r="H87" i="32"/>
  <c r="K100" i="31"/>
  <c r="J100" i="31"/>
  <c r="I100" i="31"/>
  <c r="K99" i="31"/>
  <c r="J99" i="31"/>
  <c r="I99" i="31"/>
  <c r="K98" i="31"/>
  <c r="J98" i="31"/>
  <c r="I98" i="31"/>
  <c r="K97" i="31"/>
  <c r="J97" i="31"/>
  <c r="I97" i="31"/>
  <c r="K96" i="31"/>
  <c r="J96" i="31"/>
  <c r="I96" i="31"/>
  <c r="K95" i="31"/>
  <c r="J95" i="31"/>
  <c r="I95" i="31"/>
  <c r="K94" i="31"/>
  <c r="J94" i="31"/>
  <c r="I94" i="31"/>
  <c r="K93" i="31"/>
  <c r="J93" i="31"/>
  <c r="I93" i="31"/>
  <c r="K92" i="31"/>
  <c r="J92" i="31"/>
  <c r="I92" i="31"/>
  <c r="K91" i="31"/>
  <c r="J91" i="31"/>
  <c r="I91" i="31"/>
  <c r="K90" i="31"/>
  <c r="J90" i="31"/>
  <c r="I90" i="31"/>
  <c r="K89" i="31"/>
  <c r="J89" i="31"/>
  <c r="I89" i="31"/>
  <c r="K88" i="31"/>
  <c r="J88" i="31"/>
  <c r="I88" i="31"/>
  <c r="K87" i="31"/>
  <c r="J87" i="31"/>
  <c r="I87" i="31"/>
  <c r="H87" i="31"/>
  <c r="K101" i="30"/>
  <c r="M101" i="30" s="1"/>
  <c r="J101" i="30"/>
  <c r="I101" i="30"/>
  <c r="K100" i="30"/>
  <c r="M100" i="30" s="1"/>
  <c r="J100" i="30"/>
  <c r="I100" i="30"/>
  <c r="K99" i="30"/>
  <c r="M99" i="30" s="1"/>
  <c r="J99" i="30"/>
  <c r="I99" i="30"/>
  <c r="K98" i="30"/>
  <c r="M98" i="30" s="1"/>
  <c r="J98" i="30"/>
  <c r="I98" i="30"/>
  <c r="K97" i="30"/>
  <c r="M97" i="30" s="1"/>
  <c r="J97" i="30"/>
  <c r="I97" i="30"/>
  <c r="K96" i="30"/>
  <c r="M96" i="30" s="1"/>
  <c r="J96" i="30"/>
  <c r="I96" i="30"/>
  <c r="K95" i="30"/>
  <c r="M95" i="30" s="1"/>
  <c r="J95" i="30"/>
  <c r="I95" i="30"/>
  <c r="K94" i="30"/>
  <c r="M94" i="30" s="1"/>
  <c r="J94" i="30"/>
  <c r="I94" i="30"/>
  <c r="K93" i="30"/>
  <c r="M93" i="30" s="1"/>
  <c r="J93" i="30"/>
  <c r="I93" i="30"/>
  <c r="K92" i="30"/>
  <c r="M92" i="30" s="1"/>
  <c r="J92" i="30"/>
  <c r="I92" i="30"/>
  <c r="K91" i="30"/>
  <c r="M91" i="30" s="1"/>
  <c r="J91" i="30"/>
  <c r="I91" i="30"/>
  <c r="K90" i="30"/>
  <c r="M90" i="30" s="1"/>
  <c r="J90" i="30"/>
  <c r="I90" i="30"/>
  <c r="K89" i="30"/>
  <c r="J89" i="30"/>
  <c r="I89" i="30"/>
  <c r="K88" i="30"/>
  <c r="J88" i="30"/>
  <c r="I88" i="30"/>
  <c r="K87" i="30"/>
  <c r="J87" i="30"/>
  <c r="I87" i="30"/>
  <c r="H87" i="30"/>
  <c r="S21" i="32"/>
  <c r="S20" i="32"/>
  <c r="S19" i="32"/>
  <c r="S18" i="32"/>
  <c r="S17" i="32"/>
  <c r="S16" i="32"/>
  <c r="S15" i="32"/>
  <c r="S14" i="32"/>
  <c r="S13" i="32"/>
  <c r="S12" i="32"/>
  <c r="S11" i="32"/>
  <c r="S10" i="32"/>
  <c r="S9" i="32"/>
  <c r="S8" i="32"/>
  <c r="T7" i="32"/>
  <c r="S7" i="32"/>
  <c r="S21" i="31"/>
  <c r="S20" i="31"/>
  <c r="S19" i="31"/>
  <c r="S18" i="31"/>
  <c r="S17" i="31"/>
  <c r="S16" i="31"/>
  <c r="S15" i="31"/>
  <c r="S14" i="31"/>
  <c r="S13" i="31"/>
  <c r="S12" i="31"/>
  <c r="S11" i="31"/>
  <c r="S10" i="31"/>
  <c r="S9" i="31"/>
  <c r="S8" i="31"/>
  <c r="T7" i="31"/>
  <c r="S7" i="31"/>
  <c r="S21" i="30"/>
  <c r="S20" i="30"/>
  <c r="S19" i="30"/>
  <c r="S18" i="30"/>
  <c r="S17" i="30"/>
  <c r="S16" i="30"/>
  <c r="S15" i="30"/>
  <c r="S14" i="30"/>
  <c r="S13" i="30"/>
  <c r="S12" i="30"/>
  <c r="S11" i="30"/>
  <c r="S10" i="30"/>
  <c r="S9" i="30"/>
  <c r="S8" i="30"/>
  <c r="T7" i="30"/>
  <c r="S7" i="30"/>
  <c r="K20" i="32"/>
  <c r="M20" i="32" s="1"/>
  <c r="J20" i="32"/>
  <c r="I20" i="32"/>
  <c r="K19" i="32"/>
  <c r="M19" i="32" s="1"/>
  <c r="J19" i="32"/>
  <c r="I19" i="32"/>
  <c r="K18" i="32"/>
  <c r="M18" i="32" s="1"/>
  <c r="J18" i="32"/>
  <c r="I18" i="32"/>
  <c r="K17" i="32"/>
  <c r="M17" i="32" s="1"/>
  <c r="J17" i="32"/>
  <c r="I17" i="32"/>
  <c r="K16" i="32"/>
  <c r="M16" i="32" s="1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J9" i="32"/>
  <c r="I9" i="32"/>
  <c r="K8" i="32"/>
  <c r="J8" i="32"/>
  <c r="I8" i="32"/>
  <c r="K7" i="32"/>
  <c r="J7" i="32"/>
  <c r="H7" i="32"/>
  <c r="K20" i="31"/>
  <c r="M20" i="31" s="1"/>
  <c r="J20" i="31"/>
  <c r="I20" i="31"/>
  <c r="K19" i="31"/>
  <c r="M19" i="31" s="1"/>
  <c r="J19" i="31"/>
  <c r="I19" i="31"/>
  <c r="K18" i="31"/>
  <c r="M18" i="31" s="1"/>
  <c r="J18" i="31"/>
  <c r="I18" i="31"/>
  <c r="K17" i="31"/>
  <c r="M17" i="31" s="1"/>
  <c r="J17" i="31"/>
  <c r="I17" i="31"/>
  <c r="K16" i="31"/>
  <c r="M16" i="31" s="1"/>
  <c r="J16" i="31"/>
  <c r="I16" i="31"/>
  <c r="K15" i="31"/>
  <c r="M15" i="31" s="1"/>
  <c r="J15" i="31"/>
  <c r="I15" i="31"/>
  <c r="K14" i="31"/>
  <c r="M14" i="31" s="1"/>
  <c r="J14" i="31"/>
  <c r="I14" i="31"/>
  <c r="K13" i="31"/>
  <c r="M13" i="31" s="1"/>
  <c r="J13" i="31"/>
  <c r="I13" i="31"/>
  <c r="K12" i="31"/>
  <c r="M12" i="31" s="1"/>
  <c r="J12" i="31"/>
  <c r="I12" i="31"/>
  <c r="K11" i="31"/>
  <c r="M11" i="31" s="1"/>
  <c r="J11" i="31"/>
  <c r="I11" i="31"/>
  <c r="K10" i="31"/>
  <c r="M10" i="31" s="1"/>
  <c r="J10" i="31"/>
  <c r="I10" i="31"/>
  <c r="K9" i="31"/>
  <c r="J9" i="31"/>
  <c r="I9" i="31"/>
  <c r="K8" i="31"/>
  <c r="J8" i="31"/>
  <c r="I8" i="31"/>
  <c r="K7" i="31"/>
  <c r="J7" i="31"/>
  <c r="H7" i="31"/>
  <c r="K21" i="30"/>
  <c r="M21" i="30" s="1"/>
  <c r="J21" i="30"/>
  <c r="I21" i="30"/>
  <c r="K20" i="30"/>
  <c r="M20" i="30" s="1"/>
  <c r="J20" i="30"/>
  <c r="I20" i="30"/>
  <c r="K19" i="30"/>
  <c r="M19" i="30" s="1"/>
  <c r="J19" i="30"/>
  <c r="I19" i="30"/>
  <c r="K18" i="30"/>
  <c r="M18" i="30" s="1"/>
  <c r="J18" i="30"/>
  <c r="I18" i="30"/>
  <c r="K17" i="30"/>
  <c r="M17" i="30" s="1"/>
  <c r="J17" i="30"/>
  <c r="I17" i="30"/>
  <c r="K16" i="30"/>
  <c r="M16" i="30" s="1"/>
  <c r="J16" i="30"/>
  <c r="I16" i="30"/>
  <c r="K15" i="30"/>
  <c r="M15" i="30" s="1"/>
  <c r="J15" i="30"/>
  <c r="I15" i="30"/>
  <c r="K14" i="30"/>
  <c r="M14" i="30" s="1"/>
  <c r="J14" i="30"/>
  <c r="I14" i="30"/>
  <c r="K13" i="30"/>
  <c r="M13" i="30" s="1"/>
  <c r="J13" i="30"/>
  <c r="I13" i="30"/>
  <c r="K12" i="30"/>
  <c r="M12" i="30" s="1"/>
  <c r="J12" i="30"/>
  <c r="I12" i="30"/>
  <c r="K11" i="30"/>
  <c r="J11" i="30"/>
  <c r="I11" i="30"/>
  <c r="K10" i="30"/>
  <c r="J10" i="30"/>
  <c r="I10" i="30"/>
  <c r="K9" i="30"/>
  <c r="J9" i="30"/>
  <c r="I9" i="30"/>
  <c r="K8" i="30"/>
  <c r="J8" i="30"/>
  <c r="I8" i="30"/>
  <c r="K7" i="30"/>
  <c r="J7" i="30"/>
  <c r="I7" i="30"/>
  <c r="H7" i="30"/>
  <c r="K36" i="8"/>
  <c r="M36" i="8" s="1"/>
  <c r="J36" i="8"/>
  <c r="I36" i="8"/>
  <c r="K35" i="8"/>
  <c r="M35" i="8" s="1"/>
  <c r="J35" i="8"/>
  <c r="I35" i="8"/>
  <c r="K34" i="8"/>
  <c r="M34" i="8" s="1"/>
  <c r="J34" i="8"/>
  <c r="I34" i="8"/>
  <c r="K33" i="8"/>
  <c r="M33" i="8" s="1"/>
  <c r="J33" i="8"/>
  <c r="I33" i="8"/>
  <c r="K32" i="8"/>
  <c r="M32" i="8" s="1"/>
  <c r="J32" i="8"/>
  <c r="I32" i="8"/>
  <c r="K31" i="8"/>
  <c r="J31" i="8"/>
  <c r="I31" i="8"/>
  <c r="K30" i="8"/>
  <c r="J30" i="8"/>
  <c r="I30" i="8"/>
  <c r="K29" i="8"/>
  <c r="J29" i="8"/>
  <c r="I29" i="8"/>
  <c r="K28" i="8"/>
  <c r="J28" i="8"/>
  <c r="I28" i="8"/>
  <c r="K27" i="8"/>
  <c r="J27" i="8"/>
  <c r="I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K7" i="8"/>
  <c r="J7" i="8"/>
  <c r="I7" i="8"/>
  <c r="H7" i="8"/>
  <c r="K36" i="33"/>
  <c r="J36" i="33"/>
  <c r="I36" i="33"/>
  <c r="K35" i="33"/>
  <c r="M35" i="33" s="1"/>
  <c r="J35" i="33"/>
  <c r="I35" i="33"/>
  <c r="K34" i="33"/>
  <c r="M34" i="33" s="1"/>
  <c r="J34" i="33"/>
  <c r="I34" i="33"/>
  <c r="K33" i="33"/>
  <c r="J33" i="33"/>
  <c r="I33" i="33"/>
  <c r="K32" i="33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K27" i="33"/>
  <c r="J27" i="33"/>
  <c r="I27" i="33"/>
  <c r="K26" i="33"/>
  <c r="J26" i="33"/>
  <c r="I26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J10" i="33"/>
  <c r="I10" i="33"/>
  <c r="K9" i="33"/>
  <c r="J9" i="33"/>
  <c r="I9" i="33"/>
  <c r="K8" i="33"/>
  <c r="J8" i="33"/>
  <c r="I8" i="33"/>
  <c r="K7" i="33"/>
  <c r="J7" i="33"/>
  <c r="I7" i="33"/>
  <c r="H7" i="33"/>
  <c r="S13" i="7"/>
  <c r="M13" i="7"/>
  <c r="S12" i="7"/>
  <c r="M12" i="7"/>
  <c r="S11" i="7"/>
  <c r="M11" i="7"/>
  <c r="S10" i="7"/>
  <c r="M10" i="7"/>
  <c r="AC9" i="7"/>
  <c r="S9" i="7"/>
  <c r="M9" i="7"/>
  <c r="AC8" i="7"/>
  <c r="S8" i="7"/>
  <c r="M8" i="7"/>
  <c r="AC7" i="7"/>
  <c r="S7" i="7"/>
  <c r="M7" i="7"/>
  <c r="V12" i="5"/>
  <c r="I11" i="39" s="1"/>
  <c r="V19" i="5"/>
  <c r="V26" i="5"/>
  <c r="V6" i="5"/>
  <c r="P26" i="5"/>
  <c r="P19" i="5"/>
  <c r="P12" i="5"/>
  <c r="I9" i="39" s="1"/>
  <c r="M12" i="5"/>
  <c r="I8" i="39" s="1"/>
  <c r="M19" i="5"/>
  <c r="M26" i="5"/>
  <c r="G12" i="5"/>
  <c r="I6" i="39" s="1"/>
  <c r="G19" i="5"/>
  <c r="G26" i="5"/>
  <c r="G6" i="5"/>
  <c r="S33" i="3"/>
  <c r="S26" i="3"/>
  <c r="S19" i="3"/>
  <c r="S12" i="3"/>
  <c r="B10" i="39" s="1"/>
  <c r="S6" i="3"/>
  <c r="M33" i="3"/>
  <c r="M26" i="3"/>
  <c r="M19" i="3"/>
  <c r="M12" i="3"/>
  <c r="B8" i="39" s="1"/>
  <c r="M6" i="3"/>
  <c r="J12" i="3"/>
  <c r="B7" i="39" s="1"/>
  <c r="J19" i="3"/>
  <c r="J26" i="3"/>
  <c r="J33" i="3"/>
  <c r="J6" i="3"/>
  <c r="G19" i="3"/>
  <c r="G26" i="3"/>
  <c r="G33" i="3"/>
  <c r="G12" i="3"/>
  <c r="B6" i="39" s="1"/>
  <c r="G6" i="3"/>
  <c r="M36" i="37" l="1"/>
  <c r="M37" i="37"/>
  <c r="M35" i="37"/>
  <c r="M34" i="37"/>
  <c r="M36" i="36"/>
  <c r="M35" i="36"/>
  <c r="M34" i="36"/>
  <c r="M33" i="35"/>
  <c r="M39" i="34"/>
  <c r="M14" i="37"/>
  <c r="M16" i="37"/>
  <c r="M15" i="36"/>
  <c r="M7" i="34"/>
  <c r="M19" i="34"/>
  <c r="M15" i="37"/>
  <c r="M14" i="36"/>
  <c r="M13" i="35"/>
  <c r="M68" i="30"/>
  <c r="M31" i="8"/>
  <c r="M30" i="8"/>
  <c r="M88" i="32"/>
  <c r="M92" i="32"/>
  <c r="M67" i="30"/>
  <c r="M49" i="32"/>
  <c r="M89" i="36"/>
  <c r="M93" i="36"/>
  <c r="M88" i="35"/>
  <c r="M92" i="35"/>
  <c r="M71" i="34"/>
  <c r="M75" i="34"/>
  <c r="M79" i="34"/>
  <c r="M67" i="37"/>
  <c r="L7" i="33"/>
  <c r="I7" i="32"/>
  <c r="M101" i="32"/>
  <c r="M87" i="32"/>
  <c r="M91" i="32"/>
  <c r="M11" i="35"/>
  <c r="M92" i="36"/>
  <c r="M87" i="35"/>
  <c r="M101" i="35"/>
  <c r="M91" i="35"/>
  <c r="M70" i="34"/>
  <c r="M74" i="34"/>
  <c r="M78" i="34"/>
  <c r="M90" i="32"/>
  <c r="M94" i="32"/>
  <c r="M69" i="30"/>
  <c r="M48" i="31"/>
  <c r="M101" i="36"/>
  <c r="M87" i="36"/>
  <c r="M91" i="36"/>
  <c r="M95" i="36"/>
  <c r="M90" i="35"/>
  <c r="M69" i="34"/>
  <c r="M73" i="34"/>
  <c r="M77" i="34"/>
  <c r="M89" i="32"/>
  <c r="M93" i="32"/>
  <c r="M90" i="36"/>
  <c r="M94" i="36"/>
  <c r="M89" i="35"/>
  <c r="M93" i="35"/>
  <c r="M72" i="34"/>
  <c r="M76" i="34"/>
  <c r="M48" i="37"/>
  <c r="M48" i="35"/>
  <c r="M99" i="31"/>
  <c r="M91" i="31"/>
  <c r="M95" i="31"/>
  <c r="M100" i="31"/>
  <c r="M89" i="31"/>
  <c r="M94" i="31"/>
  <c r="M98" i="31"/>
  <c r="M88" i="31"/>
  <c r="M93" i="31"/>
  <c r="M97" i="31"/>
  <c r="M90" i="31"/>
  <c r="M87" i="31"/>
  <c r="M92" i="31"/>
  <c r="M96" i="31"/>
  <c r="P33" i="3"/>
  <c r="V33" i="3"/>
  <c r="M9" i="33"/>
  <c r="M17" i="33"/>
  <c r="M25" i="33"/>
  <c r="M7" i="8"/>
  <c r="M11" i="8"/>
  <c r="M15" i="8"/>
  <c r="M19" i="8"/>
  <c r="M23" i="8"/>
  <c r="M27" i="8"/>
  <c r="M21" i="31"/>
  <c r="M9" i="32"/>
  <c r="M13" i="32"/>
  <c r="L87" i="31"/>
  <c r="M69" i="32"/>
  <c r="M71" i="32"/>
  <c r="M49" i="31"/>
  <c r="M48" i="32"/>
  <c r="M52" i="32"/>
  <c r="M27" i="30"/>
  <c r="M67" i="34"/>
  <c r="M48" i="34"/>
  <c r="M52" i="34"/>
  <c r="M56" i="34"/>
  <c r="M54" i="37"/>
  <c r="M55" i="37"/>
  <c r="M47" i="37"/>
  <c r="M61" i="37"/>
  <c r="M51" i="37"/>
  <c r="M48" i="36"/>
  <c r="M52" i="36"/>
  <c r="M47" i="35"/>
  <c r="M61" i="35"/>
  <c r="M51" i="35"/>
  <c r="M11" i="33"/>
  <c r="M19" i="33"/>
  <c r="M23" i="33"/>
  <c r="M67" i="31"/>
  <c r="M47" i="32"/>
  <c r="M61" i="32"/>
  <c r="M51" i="32"/>
  <c r="M11" i="37"/>
  <c r="M10" i="36"/>
  <c r="M9" i="35"/>
  <c r="M47" i="34"/>
  <c r="M61" i="34"/>
  <c r="M51" i="34"/>
  <c r="M55" i="34"/>
  <c r="M59" i="34"/>
  <c r="M61" i="36"/>
  <c r="M47" i="36"/>
  <c r="M51" i="36"/>
  <c r="M50" i="35"/>
  <c r="M28" i="34"/>
  <c r="M28" i="36"/>
  <c r="M15" i="33"/>
  <c r="M27" i="33"/>
  <c r="M31" i="33"/>
  <c r="P12" i="3"/>
  <c r="B9" i="39" s="1"/>
  <c r="V26" i="3"/>
  <c r="M10" i="33"/>
  <c r="M9" i="8"/>
  <c r="M13" i="8"/>
  <c r="M17" i="8"/>
  <c r="M21" i="8"/>
  <c r="M25" i="8"/>
  <c r="M29" i="8"/>
  <c r="M8" i="30"/>
  <c r="M9" i="31"/>
  <c r="M7" i="32"/>
  <c r="M11" i="32"/>
  <c r="M15" i="32"/>
  <c r="M73" i="32"/>
  <c r="M61" i="31"/>
  <c r="M47" i="31"/>
  <c r="M50" i="32"/>
  <c r="M54" i="32"/>
  <c r="M29" i="32"/>
  <c r="M8" i="35"/>
  <c r="M70" i="36"/>
  <c r="M71" i="35"/>
  <c r="M50" i="34"/>
  <c r="M54" i="34"/>
  <c r="M58" i="34"/>
  <c r="M49" i="37"/>
  <c r="M53" i="37"/>
  <c r="M50" i="36"/>
  <c r="M49" i="35"/>
  <c r="M33" i="33"/>
  <c r="M7" i="30"/>
  <c r="M11" i="30"/>
  <c r="M53" i="32"/>
  <c r="M9" i="34"/>
  <c r="M13" i="34"/>
  <c r="M17" i="34"/>
  <c r="M71" i="37"/>
  <c r="M75" i="37"/>
  <c r="M49" i="34"/>
  <c r="M53" i="34"/>
  <c r="M57" i="34"/>
  <c r="M52" i="37"/>
  <c r="M49" i="36"/>
  <c r="M53" i="36"/>
  <c r="M52" i="35"/>
  <c r="M70" i="37"/>
  <c r="M74" i="37"/>
  <c r="M72" i="37"/>
  <c r="M68" i="37"/>
  <c r="M73" i="37"/>
  <c r="M72" i="36"/>
  <c r="M71" i="36"/>
  <c r="M69" i="36"/>
  <c r="M68" i="36"/>
  <c r="M73" i="36"/>
  <c r="M70" i="35"/>
  <c r="M68" i="35"/>
  <c r="M69" i="35"/>
  <c r="M67" i="35"/>
  <c r="M72" i="35"/>
  <c r="M70" i="32"/>
  <c r="M68" i="32"/>
  <c r="M74" i="32"/>
  <c r="L67" i="32"/>
  <c r="M72" i="32"/>
  <c r="P26" i="3"/>
  <c r="M51" i="30"/>
  <c r="M53" i="30"/>
  <c r="M47" i="30"/>
  <c r="M50" i="30"/>
  <c r="M49" i="30"/>
  <c r="M48" i="30"/>
  <c r="M54" i="30"/>
  <c r="M52" i="30"/>
  <c r="V19" i="3"/>
  <c r="P19" i="3"/>
  <c r="V12" i="3"/>
  <c r="B11" i="39" s="1"/>
  <c r="M14" i="33"/>
  <c r="M30" i="30"/>
  <c r="M33" i="32"/>
  <c r="M21" i="33"/>
  <c r="M9" i="30"/>
  <c r="M21" i="32"/>
  <c r="M11" i="34"/>
  <c r="M15" i="34"/>
  <c r="L87" i="36"/>
  <c r="L67" i="34"/>
  <c r="L47" i="35"/>
  <c r="M7" i="37"/>
  <c r="M21" i="34"/>
  <c r="M9" i="36"/>
  <c r="M22" i="33"/>
  <c r="M30" i="33"/>
  <c r="M13" i="33"/>
  <c r="M29" i="33"/>
  <c r="M8" i="8"/>
  <c r="M12" i="8"/>
  <c r="M16" i="8"/>
  <c r="M20" i="8"/>
  <c r="M24" i="8"/>
  <c r="M28" i="8"/>
  <c r="M8" i="31"/>
  <c r="M8" i="32"/>
  <c r="M12" i="32"/>
  <c r="L87" i="32"/>
  <c r="L47" i="30"/>
  <c r="M7" i="33"/>
  <c r="M10" i="34"/>
  <c r="M14" i="34"/>
  <c r="M18" i="34"/>
  <c r="M10" i="37"/>
  <c r="M12" i="35"/>
  <c r="L87" i="34"/>
  <c r="L67" i="37"/>
  <c r="M81" i="36"/>
  <c r="M32" i="34"/>
  <c r="M36" i="34"/>
  <c r="M27" i="37"/>
  <c r="M41" i="37"/>
  <c r="M30" i="37"/>
  <c r="M32" i="36"/>
  <c r="M27" i="35"/>
  <c r="M41" i="35"/>
  <c r="M30" i="35"/>
  <c r="M18" i="33"/>
  <c r="M8" i="33"/>
  <c r="M16" i="33"/>
  <c r="M24" i="33"/>
  <c r="M28" i="33"/>
  <c r="M32" i="33"/>
  <c r="M10" i="30"/>
  <c r="M7" i="31"/>
  <c r="L7" i="32"/>
  <c r="I7" i="31"/>
  <c r="L67" i="30"/>
  <c r="L47" i="32"/>
  <c r="M28" i="30"/>
  <c r="M29" i="31"/>
  <c r="M31" i="32"/>
  <c r="M35" i="32"/>
  <c r="M9" i="37"/>
  <c r="M13" i="37"/>
  <c r="M8" i="36"/>
  <c r="M12" i="36"/>
  <c r="M21" i="35"/>
  <c r="M7" i="35"/>
  <c r="L7" i="35"/>
  <c r="M26" i="33"/>
  <c r="M12" i="33"/>
  <c r="M20" i="33"/>
  <c r="M36" i="33"/>
  <c r="M10" i="8"/>
  <c r="M14" i="8"/>
  <c r="M18" i="8"/>
  <c r="M22" i="8"/>
  <c r="M26" i="8"/>
  <c r="M10" i="32"/>
  <c r="M14" i="32"/>
  <c r="M101" i="31"/>
  <c r="M67" i="32"/>
  <c r="M8" i="34"/>
  <c r="M12" i="34"/>
  <c r="M16" i="34"/>
  <c r="M21" i="37"/>
  <c r="M8" i="37"/>
  <c r="M12" i="37"/>
  <c r="M7" i="36"/>
  <c r="M11" i="36"/>
  <c r="M10" i="35"/>
  <c r="M21" i="36"/>
  <c r="M31" i="30"/>
  <c r="M28" i="31"/>
  <c r="M27" i="32"/>
  <c r="M41" i="32"/>
  <c r="M30" i="32"/>
  <c r="M34" i="32"/>
  <c r="M31" i="34"/>
  <c r="M35" i="34"/>
  <c r="M29" i="37"/>
  <c r="M33" i="37"/>
  <c r="M31" i="36"/>
  <c r="M29" i="35"/>
  <c r="L67" i="36"/>
  <c r="L47" i="34"/>
  <c r="M27" i="34"/>
  <c r="M41" i="34"/>
  <c r="M30" i="34"/>
  <c r="M34" i="34"/>
  <c r="M38" i="34"/>
  <c r="M28" i="37"/>
  <c r="M32" i="37"/>
  <c r="M27" i="36"/>
  <c r="M41" i="36"/>
  <c r="M30" i="36"/>
  <c r="M28" i="35"/>
  <c r="M32" i="35"/>
  <c r="M29" i="30"/>
  <c r="M27" i="31"/>
  <c r="M41" i="31"/>
  <c r="M28" i="32"/>
  <c r="M32" i="32"/>
  <c r="L87" i="37"/>
  <c r="M67" i="36"/>
  <c r="L47" i="37"/>
  <c r="M29" i="34"/>
  <c r="M33" i="34"/>
  <c r="M37" i="34"/>
  <c r="M31" i="37"/>
  <c r="M29" i="36"/>
  <c r="M33" i="36"/>
  <c r="M31" i="35"/>
  <c r="L27" i="37"/>
  <c r="B36" i="39" s="1"/>
  <c r="L27" i="35"/>
  <c r="B34" i="39" s="1"/>
  <c r="L27" i="32"/>
  <c r="B30" i="39" s="1"/>
  <c r="L27" i="30"/>
  <c r="B29" i="39" s="1"/>
  <c r="L27" i="34"/>
  <c r="B33" i="39" s="1"/>
  <c r="L27" i="36"/>
  <c r="B35" i="39" s="1"/>
  <c r="M81" i="37"/>
  <c r="M101" i="37"/>
  <c r="L47" i="36"/>
  <c r="M81" i="35"/>
  <c r="M69" i="37"/>
  <c r="L67" i="35"/>
  <c r="M87" i="37"/>
  <c r="L87" i="35"/>
  <c r="L7" i="34"/>
  <c r="L7" i="36"/>
  <c r="L27" i="31"/>
  <c r="B31" i="39" s="1"/>
  <c r="L47" i="31"/>
  <c r="M81" i="32"/>
  <c r="L67" i="31"/>
  <c r="L87" i="30"/>
  <c r="L7" i="30"/>
  <c r="L7" i="31"/>
  <c r="L7" i="8"/>
  <c r="AZ121" i="30" l="1"/>
  <c r="AZ120" i="30"/>
  <c r="AZ119" i="30"/>
  <c r="AZ118" i="30"/>
  <c r="AZ117" i="30"/>
  <c r="AZ116" i="30"/>
  <c r="AZ115" i="30"/>
  <c r="AZ114" i="30"/>
  <c r="AZ113" i="30"/>
  <c r="AZ112" i="30"/>
  <c r="AZ111" i="30"/>
  <c r="AZ110" i="30"/>
  <c r="AZ109" i="30"/>
  <c r="AZ108" i="30"/>
  <c r="BA107" i="30"/>
  <c r="AZ107" i="30"/>
  <c r="AZ101" i="30"/>
  <c r="AZ100" i="30"/>
  <c r="AZ99" i="30"/>
  <c r="AZ98" i="30"/>
  <c r="AZ97" i="30"/>
  <c r="AZ96" i="30"/>
  <c r="AZ95" i="30"/>
  <c r="AZ94" i="30"/>
  <c r="AZ93" i="30"/>
  <c r="AZ92" i="30"/>
  <c r="AZ91" i="30"/>
  <c r="AZ90" i="30"/>
  <c r="AZ89" i="30"/>
  <c r="AZ88" i="30"/>
  <c r="BA87" i="30"/>
  <c r="AZ87" i="30"/>
  <c r="AZ81" i="30"/>
  <c r="AZ80" i="30"/>
  <c r="AZ79" i="30"/>
  <c r="AZ78" i="30"/>
  <c r="AZ77" i="30"/>
  <c r="AZ76" i="30"/>
  <c r="AZ75" i="30"/>
  <c r="AZ74" i="30"/>
  <c r="AZ73" i="30"/>
  <c r="AZ72" i="30"/>
  <c r="AZ71" i="30"/>
  <c r="AZ70" i="30"/>
  <c r="AZ69" i="30"/>
  <c r="AZ68" i="30"/>
  <c r="BA67" i="30"/>
  <c r="AZ67" i="30"/>
  <c r="AZ53" i="30"/>
  <c r="AZ52" i="30"/>
  <c r="AZ51" i="30"/>
  <c r="AZ50" i="30"/>
  <c r="AZ49" i="30"/>
  <c r="AZ48" i="30"/>
  <c r="BA47" i="30"/>
  <c r="AZ47" i="30"/>
  <c r="AZ41" i="30"/>
  <c r="AZ40" i="30"/>
  <c r="AZ39" i="30"/>
  <c r="AZ38" i="30"/>
  <c r="AZ37" i="30"/>
  <c r="AZ36" i="30"/>
  <c r="AZ35" i="30"/>
  <c r="AZ34" i="30"/>
  <c r="AZ33" i="30"/>
  <c r="AZ32" i="30"/>
  <c r="AZ31" i="30"/>
  <c r="AZ30" i="30"/>
  <c r="AZ29" i="30"/>
  <c r="AZ28" i="30"/>
  <c r="BA27" i="30"/>
  <c r="AZ27" i="30"/>
  <c r="AZ21" i="30"/>
  <c r="AZ20" i="30"/>
  <c r="AZ19" i="30"/>
  <c r="AZ18" i="30"/>
  <c r="AZ17" i="30"/>
  <c r="AZ16" i="30"/>
  <c r="AZ15" i="30"/>
  <c r="AZ14" i="30"/>
  <c r="AZ13" i="30"/>
  <c r="AZ12" i="30"/>
  <c r="AZ11" i="30"/>
  <c r="AZ10" i="30"/>
  <c r="AZ9" i="30"/>
  <c r="AZ8" i="30"/>
  <c r="BA7" i="30"/>
  <c r="AZ7" i="30"/>
  <c r="AZ211" i="8"/>
  <c r="AZ210" i="8"/>
  <c r="AZ209" i="8"/>
  <c r="AZ208" i="8"/>
  <c r="AZ207" i="8"/>
  <c r="AZ206" i="8"/>
  <c r="AZ205" i="8"/>
  <c r="AZ204" i="8"/>
  <c r="AZ203" i="8"/>
  <c r="AZ202" i="8"/>
  <c r="AZ201" i="8"/>
  <c r="AZ200" i="8"/>
  <c r="AZ199" i="8"/>
  <c r="AZ198" i="8"/>
  <c r="AZ197" i="8"/>
  <c r="AZ196" i="8"/>
  <c r="AZ195" i="8"/>
  <c r="AZ194" i="8"/>
  <c r="AZ193" i="8"/>
  <c r="AZ192" i="8"/>
  <c r="AZ191" i="8"/>
  <c r="AZ190" i="8"/>
  <c r="AZ189" i="8"/>
  <c r="AZ188" i="8"/>
  <c r="AZ187" i="8"/>
  <c r="AZ186" i="8"/>
  <c r="AZ185" i="8"/>
  <c r="AZ184" i="8"/>
  <c r="AZ183" i="8"/>
  <c r="BA182" i="8"/>
  <c r="AZ182" i="8"/>
  <c r="AZ176" i="8"/>
  <c r="AZ175" i="8"/>
  <c r="AZ174" i="8"/>
  <c r="AZ173" i="8"/>
  <c r="AZ172" i="8"/>
  <c r="AZ171" i="8"/>
  <c r="AZ170" i="8"/>
  <c r="AZ169" i="8"/>
  <c r="AZ168" i="8"/>
  <c r="AZ167" i="8"/>
  <c r="AZ166" i="8"/>
  <c r="AZ165" i="8"/>
  <c r="AZ164" i="8"/>
  <c r="AZ163" i="8"/>
  <c r="AZ162" i="8"/>
  <c r="AZ161" i="8"/>
  <c r="AZ160" i="8"/>
  <c r="AZ159" i="8"/>
  <c r="AZ158" i="8"/>
  <c r="AZ157" i="8"/>
  <c r="AZ156" i="8"/>
  <c r="AZ155" i="8"/>
  <c r="AZ154" i="8"/>
  <c r="AZ153" i="8"/>
  <c r="AZ152" i="8"/>
  <c r="AZ151" i="8"/>
  <c r="AZ150" i="8"/>
  <c r="AZ149" i="8"/>
  <c r="AZ148" i="8"/>
  <c r="BA147" i="8"/>
  <c r="AZ147" i="8"/>
  <c r="AZ141" i="8"/>
  <c r="AZ140" i="8"/>
  <c r="AZ139" i="8"/>
  <c r="AZ138" i="8"/>
  <c r="AZ137" i="8"/>
  <c r="AZ136" i="8"/>
  <c r="AZ135" i="8"/>
  <c r="AZ134" i="8"/>
  <c r="AZ133" i="8"/>
  <c r="AZ132" i="8"/>
  <c r="AZ131" i="8"/>
  <c r="AZ130" i="8"/>
  <c r="AZ129" i="8"/>
  <c r="AZ128" i="8"/>
  <c r="AZ127" i="8"/>
  <c r="AZ126" i="8"/>
  <c r="AZ125" i="8"/>
  <c r="AZ124" i="8"/>
  <c r="AZ123" i="8"/>
  <c r="AZ122" i="8"/>
  <c r="AZ121" i="8"/>
  <c r="AZ120" i="8"/>
  <c r="AZ119" i="8"/>
  <c r="AZ118" i="8"/>
  <c r="AZ117" i="8"/>
  <c r="AZ116" i="8"/>
  <c r="AZ115" i="8"/>
  <c r="AZ114" i="8"/>
  <c r="AZ113" i="8"/>
  <c r="BA112" i="8"/>
  <c r="AZ112" i="8"/>
  <c r="AZ106" i="8"/>
  <c r="AZ105" i="8"/>
  <c r="AZ104" i="8"/>
  <c r="AZ103" i="8"/>
  <c r="AZ102" i="8"/>
  <c r="AZ101" i="8"/>
  <c r="AZ100" i="8"/>
  <c r="AZ99" i="8"/>
  <c r="AZ98" i="8"/>
  <c r="AZ97" i="8"/>
  <c r="AZ96" i="8"/>
  <c r="AZ95" i="8"/>
  <c r="AZ94" i="8"/>
  <c r="AZ93" i="8"/>
  <c r="AZ92" i="8"/>
  <c r="AZ91" i="8"/>
  <c r="AZ90" i="8"/>
  <c r="AZ89" i="8"/>
  <c r="AZ88" i="8"/>
  <c r="AZ87" i="8"/>
  <c r="AZ86" i="8"/>
  <c r="AZ85" i="8"/>
  <c r="AZ84" i="8"/>
  <c r="AZ83" i="8"/>
  <c r="AZ82" i="8"/>
  <c r="AZ81" i="8"/>
  <c r="AZ80" i="8"/>
  <c r="AZ79" i="8"/>
  <c r="AZ78" i="8"/>
  <c r="BA77" i="8"/>
  <c r="AZ77" i="8"/>
  <c r="AZ71" i="8"/>
  <c r="AZ70" i="8"/>
  <c r="AZ69" i="8"/>
  <c r="AZ68" i="8"/>
  <c r="AZ67" i="8"/>
  <c r="AZ66" i="8"/>
  <c r="AZ65" i="8"/>
  <c r="AZ64" i="8"/>
  <c r="AZ63" i="8"/>
  <c r="AZ62" i="8"/>
  <c r="AZ61" i="8"/>
  <c r="AZ60" i="8"/>
  <c r="AZ59" i="8"/>
  <c r="AZ58" i="8"/>
  <c r="AZ57" i="8"/>
  <c r="AZ56" i="8"/>
  <c r="AZ55" i="8"/>
  <c r="AZ54" i="8"/>
  <c r="AZ53" i="8"/>
  <c r="AZ52" i="8"/>
  <c r="AZ51" i="8"/>
  <c r="AZ50" i="8"/>
  <c r="AZ49" i="8"/>
  <c r="AZ48" i="8"/>
  <c r="AZ47" i="8"/>
  <c r="AZ46" i="8"/>
  <c r="AZ45" i="8"/>
  <c r="AZ44" i="8"/>
  <c r="AZ43" i="8"/>
  <c r="BA42" i="8"/>
  <c r="AZ42" i="8"/>
  <c r="AZ36" i="8"/>
  <c r="AZ35" i="8"/>
  <c r="AZ34" i="8"/>
  <c r="AZ33" i="8"/>
  <c r="AZ32" i="8"/>
  <c r="AZ31" i="8"/>
  <c r="AZ30" i="8"/>
  <c r="AZ29" i="8"/>
  <c r="AZ28" i="8"/>
  <c r="AZ27" i="8"/>
  <c r="AZ26" i="8"/>
  <c r="AZ25" i="8"/>
  <c r="AZ24" i="8"/>
  <c r="AZ23" i="8"/>
  <c r="AZ22" i="8"/>
  <c r="AZ21" i="8"/>
  <c r="AZ20" i="8"/>
  <c r="AZ19" i="8"/>
  <c r="AZ18" i="8"/>
  <c r="AZ17" i="8"/>
  <c r="AZ16" i="8"/>
  <c r="AZ15" i="8"/>
  <c r="AZ14" i="8"/>
  <c r="AZ13" i="8"/>
  <c r="AZ12" i="8"/>
  <c r="AZ11" i="8"/>
  <c r="AZ10" i="8"/>
  <c r="AZ9" i="8"/>
  <c r="AZ8" i="8"/>
  <c r="BA7" i="8"/>
  <c r="AZ7" i="8"/>
  <c r="O40" i="3" l="1"/>
  <c r="U40" i="3"/>
  <c r="V6" i="3" l="1"/>
  <c r="AZ121" i="37" l="1"/>
  <c r="AZ120" i="37"/>
  <c r="AZ119" i="37"/>
  <c r="AZ118" i="37"/>
  <c r="AZ117" i="37"/>
  <c r="AZ116" i="37"/>
  <c r="AZ115" i="37"/>
  <c r="AZ114" i="37"/>
  <c r="AZ113" i="37"/>
  <c r="AZ112" i="37"/>
  <c r="AZ111" i="37"/>
  <c r="AZ110" i="37"/>
  <c r="AZ109" i="37"/>
  <c r="AZ108" i="37"/>
  <c r="BA107" i="37"/>
  <c r="AZ107" i="37"/>
  <c r="AZ101" i="37"/>
  <c r="AZ100" i="37"/>
  <c r="AZ99" i="37"/>
  <c r="AZ98" i="37"/>
  <c r="AZ97" i="37"/>
  <c r="AZ96" i="37"/>
  <c r="AZ95" i="37"/>
  <c r="AZ94" i="37"/>
  <c r="AZ93" i="37"/>
  <c r="AZ92" i="37"/>
  <c r="AZ91" i="37"/>
  <c r="AZ90" i="37"/>
  <c r="AZ89" i="37"/>
  <c r="AZ88" i="37"/>
  <c r="BA87" i="37"/>
  <c r="AZ87" i="37"/>
  <c r="AZ81" i="37"/>
  <c r="AZ80" i="37"/>
  <c r="AZ79" i="37"/>
  <c r="AZ78" i="37"/>
  <c r="AZ77" i="37"/>
  <c r="AZ76" i="37"/>
  <c r="AZ75" i="37"/>
  <c r="AZ74" i="37"/>
  <c r="AZ73" i="37"/>
  <c r="AZ72" i="37"/>
  <c r="AZ71" i="37"/>
  <c r="AZ70" i="37"/>
  <c r="AZ69" i="37"/>
  <c r="AZ68" i="37"/>
  <c r="BA67" i="37"/>
  <c r="AZ67" i="37"/>
  <c r="AZ54" i="37"/>
  <c r="AZ53" i="37"/>
  <c r="AZ52" i="37"/>
  <c r="AZ51" i="37"/>
  <c r="AZ50" i="37"/>
  <c r="AZ49" i="37"/>
  <c r="AZ48" i="37"/>
  <c r="BA47" i="37"/>
  <c r="AZ47" i="37"/>
  <c r="AZ41" i="37"/>
  <c r="AZ40" i="37"/>
  <c r="AZ39" i="37"/>
  <c r="AZ38" i="37"/>
  <c r="AZ37" i="37"/>
  <c r="AZ36" i="37"/>
  <c r="AZ35" i="37"/>
  <c r="AZ34" i="37"/>
  <c r="AZ33" i="37"/>
  <c r="AZ32" i="37"/>
  <c r="AZ31" i="37"/>
  <c r="AZ30" i="37"/>
  <c r="AZ29" i="37"/>
  <c r="AZ28" i="37"/>
  <c r="BA27" i="37"/>
  <c r="AZ27" i="37"/>
  <c r="AZ21" i="37"/>
  <c r="AZ20" i="37"/>
  <c r="AZ19" i="37"/>
  <c r="AZ18" i="37"/>
  <c r="AZ17" i="37"/>
  <c r="AZ16" i="37"/>
  <c r="AZ15" i="37"/>
  <c r="AZ14" i="37"/>
  <c r="AZ13" i="37"/>
  <c r="AZ12" i="37"/>
  <c r="AZ11" i="37"/>
  <c r="AZ10" i="37"/>
  <c r="AZ9" i="37"/>
  <c r="AZ8" i="37"/>
  <c r="BA7" i="37"/>
  <c r="AZ7" i="37"/>
  <c r="AZ121" i="36"/>
  <c r="AZ120" i="36"/>
  <c r="AZ119" i="36"/>
  <c r="AZ118" i="36"/>
  <c r="AZ117" i="36"/>
  <c r="AZ116" i="36"/>
  <c r="AZ115" i="36"/>
  <c r="AZ114" i="36"/>
  <c r="AZ113" i="36"/>
  <c r="AZ112" i="36"/>
  <c r="AZ111" i="36"/>
  <c r="AZ110" i="36"/>
  <c r="AZ109" i="36"/>
  <c r="AZ108" i="36"/>
  <c r="BA107" i="36"/>
  <c r="AZ107" i="36"/>
  <c r="AZ101" i="36"/>
  <c r="AZ100" i="36"/>
  <c r="AZ99" i="36"/>
  <c r="AZ98" i="36"/>
  <c r="AZ97" i="36"/>
  <c r="AZ96" i="36"/>
  <c r="AZ95" i="36"/>
  <c r="AZ94" i="36"/>
  <c r="AZ93" i="36"/>
  <c r="AZ92" i="36"/>
  <c r="AZ91" i="36"/>
  <c r="AZ90" i="36"/>
  <c r="AZ89" i="36"/>
  <c r="AZ88" i="36"/>
  <c r="BA87" i="36"/>
  <c r="AZ87" i="36"/>
  <c r="AZ81" i="36"/>
  <c r="AZ80" i="36"/>
  <c r="AZ79" i="36"/>
  <c r="AZ78" i="36"/>
  <c r="AZ77" i="36"/>
  <c r="AZ76" i="36"/>
  <c r="AZ75" i="36"/>
  <c r="AZ74" i="36"/>
  <c r="AZ73" i="36"/>
  <c r="AZ72" i="36"/>
  <c r="AZ71" i="36"/>
  <c r="AZ70" i="36"/>
  <c r="AZ69" i="36"/>
  <c r="AZ68" i="36"/>
  <c r="BA67" i="36"/>
  <c r="AZ67" i="36"/>
  <c r="BA47" i="36"/>
  <c r="AZ47" i="36"/>
  <c r="AZ41" i="36"/>
  <c r="AZ40" i="36"/>
  <c r="AZ39" i="36"/>
  <c r="AZ38" i="36"/>
  <c r="AZ37" i="36"/>
  <c r="AZ36" i="36"/>
  <c r="AZ35" i="36"/>
  <c r="AZ34" i="36"/>
  <c r="AZ33" i="36"/>
  <c r="AZ32" i="36"/>
  <c r="AZ31" i="36"/>
  <c r="AZ30" i="36"/>
  <c r="AZ29" i="36"/>
  <c r="AZ28" i="36"/>
  <c r="BA27" i="36"/>
  <c r="AZ27" i="36"/>
  <c r="AZ21" i="36"/>
  <c r="AZ20" i="36"/>
  <c r="AZ19" i="36"/>
  <c r="AZ18" i="36"/>
  <c r="AZ17" i="36"/>
  <c r="AZ16" i="36"/>
  <c r="AZ15" i="36"/>
  <c r="AZ14" i="36"/>
  <c r="AZ13" i="36"/>
  <c r="AZ12" i="36"/>
  <c r="AZ11" i="36"/>
  <c r="AZ10" i="36"/>
  <c r="AZ9" i="36"/>
  <c r="AZ8" i="36"/>
  <c r="BA7" i="36"/>
  <c r="AZ7" i="36"/>
  <c r="AZ121" i="35"/>
  <c r="AZ120" i="35"/>
  <c r="AZ119" i="35"/>
  <c r="AZ118" i="35"/>
  <c r="AZ117" i="35"/>
  <c r="AZ116" i="35"/>
  <c r="AZ115" i="35"/>
  <c r="AZ114" i="35"/>
  <c r="AZ113" i="35"/>
  <c r="AZ112" i="35"/>
  <c r="AZ111" i="35"/>
  <c r="AZ110" i="35"/>
  <c r="AZ109" i="35"/>
  <c r="AZ108" i="35"/>
  <c r="BA107" i="35"/>
  <c r="AZ107" i="35"/>
  <c r="AZ101" i="35"/>
  <c r="AZ100" i="35"/>
  <c r="AZ99" i="35"/>
  <c r="AZ98" i="35"/>
  <c r="AZ97" i="35"/>
  <c r="AZ96" i="35"/>
  <c r="AZ95" i="35"/>
  <c r="AZ94" i="35"/>
  <c r="AZ93" i="35"/>
  <c r="AZ92" i="35"/>
  <c r="AZ91" i="35"/>
  <c r="AZ90" i="35"/>
  <c r="AZ89" i="35"/>
  <c r="AZ88" i="35"/>
  <c r="BA87" i="35"/>
  <c r="AZ87" i="35"/>
  <c r="AZ81" i="35"/>
  <c r="AZ80" i="35"/>
  <c r="AZ79" i="35"/>
  <c r="AZ78" i="35"/>
  <c r="AZ77" i="35"/>
  <c r="AZ76" i="35"/>
  <c r="AZ75" i="35"/>
  <c r="AZ74" i="35"/>
  <c r="AZ73" i="35"/>
  <c r="AZ72" i="35"/>
  <c r="AZ71" i="35"/>
  <c r="AZ70" i="35"/>
  <c r="AZ69" i="35"/>
  <c r="AZ68" i="35"/>
  <c r="BA67" i="35"/>
  <c r="AZ67" i="35"/>
  <c r="AZ61" i="35"/>
  <c r="AZ60" i="35"/>
  <c r="AZ59" i="35"/>
  <c r="AZ58" i="35"/>
  <c r="AZ57" i="35"/>
  <c r="AZ56" i="35"/>
  <c r="AZ55" i="35"/>
  <c r="AZ54" i="35"/>
  <c r="AZ53" i="35"/>
  <c r="AZ52" i="35"/>
  <c r="AZ51" i="35"/>
  <c r="AZ50" i="35"/>
  <c r="AZ49" i="35"/>
  <c r="AZ48" i="35"/>
  <c r="BA47" i="35"/>
  <c r="AZ47" i="35"/>
  <c r="AZ41" i="35"/>
  <c r="AZ40" i="35"/>
  <c r="AZ39" i="35"/>
  <c r="AZ38" i="35"/>
  <c r="AZ37" i="35"/>
  <c r="AZ36" i="35"/>
  <c r="AZ35" i="35"/>
  <c r="AZ34" i="35"/>
  <c r="AZ33" i="35"/>
  <c r="AZ32" i="35"/>
  <c r="AZ31" i="35"/>
  <c r="AZ30" i="35"/>
  <c r="AZ29" i="35"/>
  <c r="AZ28" i="35"/>
  <c r="BA27" i="35"/>
  <c r="AZ27" i="35"/>
  <c r="AZ21" i="35"/>
  <c r="AZ20" i="35"/>
  <c r="AZ19" i="35"/>
  <c r="AZ18" i="35"/>
  <c r="AZ17" i="35"/>
  <c r="AZ16" i="35"/>
  <c r="AZ15" i="35"/>
  <c r="AZ14" i="35"/>
  <c r="AZ13" i="35"/>
  <c r="AZ12" i="35"/>
  <c r="AZ11" i="35"/>
  <c r="AZ10" i="35"/>
  <c r="AZ9" i="35"/>
  <c r="AZ8" i="35"/>
  <c r="BA7" i="35"/>
  <c r="AZ7" i="35"/>
  <c r="AZ121" i="34"/>
  <c r="AZ120" i="34"/>
  <c r="AZ119" i="34"/>
  <c r="AZ118" i="34"/>
  <c r="AZ117" i="34"/>
  <c r="AZ116" i="34"/>
  <c r="AZ115" i="34"/>
  <c r="AZ114" i="34"/>
  <c r="AZ113" i="34"/>
  <c r="AZ112" i="34"/>
  <c r="AZ111" i="34"/>
  <c r="AZ110" i="34"/>
  <c r="AZ109" i="34"/>
  <c r="AZ108" i="34"/>
  <c r="BA107" i="34"/>
  <c r="AZ107" i="34"/>
  <c r="AZ81" i="34"/>
  <c r="AZ80" i="34"/>
  <c r="AZ79" i="34"/>
  <c r="AZ78" i="34"/>
  <c r="AZ77" i="34"/>
  <c r="AZ76" i="34"/>
  <c r="AZ75" i="34"/>
  <c r="AZ74" i="34"/>
  <c r="AZ73" i="34"/>
  <c r="AZ72" i="34"/>
  <c r="AZ71" i="34"/>
  <c r="AZ70" i="34"/>
  <c r="AZ69" i="34"/>
  <c r="AZ68" i="34"/>
  <c r="BA67" i="34"/>
  <c r="AZ67" i="34"/>
  <c r="AZ61" i="34"/>
  <c r="AZ60" i="34"/>
  <c r="AZ59" i="34"/>
  <c r="AZ58" i="34"/>
  <c r="AZ57" i="34"/>
  <c r="AZ56" i="34"/>
  <c r="AZ55" i="34"/>
  <c r="AZ54" i="34"/>
  <c r="AZ53" i="34"/>
  <c r="AZ52" i="34"/>
  <c r="AZ51" i="34"/>
  <c r="AZ50" i="34"/>
  <c r="AZ49" i="34"/>
  <c r="AZ48" i="34"/>
  <c r="BA47" i="34"/>
  <c r="AZ47" i="34"/>
  <c r="AZ41" i="34"/>
  <c r="AZ40" i="34"/>
  <c r="AZ39" i="34"/>
  <c r="AZ38" i="34"/>
  <c r="AZ37" i="34"/>
  <c r="AZ36" i="34"/>
  <c r="AZ35" i="34"/>
  <c r="AZ34" i="34"/>
  <c r="AZ33" i="34"/>
  <c r="AZ32" i="34"/>
  <c r="AZ31" i="34"/>
  <c r="AZ30" i="34"/>
  <c r="AZ29" i="34"/>
  <c r="AZ28" i="34"/>
  <c r="BA27" i="34"/>
  <c r="AZ27" i="34"/>
  <c r="AZ21" i="34"/>
  <c r="AZ20" i="34"/>
  <c r="AZ19" i="34"/>
  <c r="AZ18" i="34"/>
  <c r="AZ17" i="34"/>
  <c r="AZ16" i="34"/>
  <c r="AZ15" i="34"/>
  <c r="AZ14" i="34"/>
  <c r="AZ13" i="34"/>
  <c r="AZ12" i="34"/>
  <c r="AZ11" i="34"/>
  <c r="AZ10" i="34"/>
  <c r="AZ9" i="34"/>
  <c r="AZ8" i="34"/>
  <c r="BA7" i="34"/>
  <c r="AZ7" i="34"/>
  <c r="AZ211" i="33"/>
  <c r="AZ210" i="33"/>
  <c r="AZ209" i="33"/>
  <c r="AZ208" i="33"/>
  <c r="AZ207" i="33"/>
  <c r="AZ206" i="33"/>
  <c r="AZ205" i="33"/>
  <c r="AZ204" i="33"/>
  <c r="AZ203" i="33"/>
  <c r="AZ202" i="33"/>
  <c r="AZ201" i="33"/>
  <c r="AZ200" i="33"/>
  <c r="AZ199" i="33"/>
  <c r="AZ198" i="33"/>
  <c r="AZ197" i="33"/>
  <c r="AZ196" i="33"/>
  <c r="AZ195" i="33"/>
  <c r="AZ194" i="33"/>
  <c r="AZ193" i="33"/>
  <c r="AZ192" i="33"/>
  <c r="AZ191" i="33"/>
  <c r="AZ190" i="33"/>
  <c r="AZ189" i="33"/>
  <c r="AZ188" i="33"/>
  <c r="AZ187" i="33"/>
  <c r="AZ186" i="33"/>
  <c r="AZ185" i="33"/>
  <c r="AZ184" i="33"/>
  <c r="AZ183" i="33"/>
  <c r="BA182" i="33"/>
  <c r="AZ182" i="33"/>
  <c r="AZ176" i="33"/>
  <c r="AZ175" i="33"/>
  <c r="AZ174" i="33"/>
  <c r="AZ173" i="33"/>
  <c r="AZ172" i="33"/>
  <c r="AZ171" i="33"/>
  <c r="AZ170" i="33"/>
  <c r="AZ169" i="33"/>
  <c r="AZ168" i="33"/>
  <c r="AZ167" i="33"/>
  <c r="AZ166" i="33"/>
  <c r="AZ165" i="33"/>
  <c r="AZ164" i="33"/>
  <c r="AZ163" i="33"/>
  <c r="AZ162" i="33"/>
  <c r="AZ161" i="33"/>
  <c r="AZ160" i="33"/>
  <c r="AZ159" i="33"/>
  <c r="AZ158" i="33"/>
  <c r="AZ157" i="33"/>
  <c r="AZ156" i="33"/>
  <c r="AZ155" i="33"/>
  <c r="AZ154" i="33"/>
  <c r="AZ153" i="33"/>
  <c r="AZ152" i="33"/>
  <c r="AZ151" i="33"/>
  <c r="AZ150" i="33"/>
  <c r="AZ149" i="33"/>
  <c r="AZ148" i="33"/>
  <c r="BA147" i="33"/>
  <c r="AZ147" i="33"/>
  <c r="AZ141" i="33"/>
  <c r="AZ140" i="33"/>
  <c r="AZ139" i="33"/>
  <c r="AZ138" i="33"/>
  <c r="AZ137" i="33"/>
  <c r="AZ136" i="33"/>
  <c r="AZ135" i="33"/>
  <c r="AZ134" i="33"/>
  <c r="AZ133" i="33"/>
  <c r="AZ132" i="33"/>
  <c r="AZ131" i="33"/>
  <c r="AZ130" i="33"/>
  <c r="AZ129" i="33"/>
  <c r="AZ128" i="33"/>
  <c r="AZ127" i="33"/>
  <c r="AZ126" i="33"/>
  <c r="AZ125" i="33"/>
  <c r="AZ124" i="33"/>
  <c r="AZ123" i="33"/>
  <c r="AZ122" i="33"/>
  <c r="AZ121" i="33"/>
  <c r="AZ120" i="33"/>
  <c r="AZ119" i="33"/>
  <c r="AZ118" i="33"/>
  <c r="AZ117" i="33"/>
  <c r="AZ116" i="33"/>
  <c r="AZ115" i="33"/>
  <c r="AZ114" i="33"/>
  <c r="AZ113" i="33"/>
  <c r="BA112" i="33"/>
  <c r="AZ112" i="33"/>
  <c r="AZ106" i="33"/>
  <c r="AZ105" i="33"/>
  <c r="AZ104" i="33"/>
  <c r="AZ103" i="33"/>
  <c r="AZ102" i="33"/>
  <c r="AZ101" i="33"/>
  <c r="AZ100" i="33"/>
  <c r="AZ99" i="33"/>
  <c r="AZ98" i="33"/>
  <c r="AZ97" i="33"/>
  <c r="AZ96" i="33"/>
  <c r="AZ95" i="33"/>
  <c r="AZ94" i="33"/>
  <c r="AZ93" i="33"/>
  <c r="AZ92" i="33"/>
  <c r="AZ91" i="33"/>
  <c r="AZ90" i="33"/>
  <c r="AZ89" i="33"/>
  <c r="AZ88" i="33"/>
  <c r="AZ87" i="33"/>
  <c r="AZ86" i="33"/>
  <c r="AZ85" i="33"/>
  <c r="AZ84" i="33"/>
  <c r="AZ83" i="33"/>
  <c r="AZ82" i="33"/>
  <c r="AZ81" i="33"/>
  <c r="AZ80" i="33"/>
  <c r="AZ79" i="33"/>
  <c r="AZ78" i="33"/>
  <c r="BA77" i="33"/>
  <c r="AZ77" i="33"/>
  <c r="AZ71" i="33"/>
  <c r="AZ70" i="33"/>
  <c r="AZ69" i="33"/>
  <c r="AZ68" i="33"/>
  <c r="AZ67" i="33"/>
  <c r="AZ66" i="33"/>
  <c r="AZ65" i="33"/>
  <c r="AZ64" i="33"/>
  <c r="AZ63" i="33"/>
  <c r="AZ62" i="33"/>
  <c r="AZ61" i="33"/>
  <c r="AZ60" i="33"/>
  <c r="AZ59" i="33"/>
  <c r="AZ58" i="33"/>
  <c r="AZ57" i="33"/>
  <c r="AZ56" i="33"/>
  <c r="AZ55" i="33"/>
  <c r="AZ54" i="33"/>
  <c r="AZ53" i="33"/>
  <c r="AZ52" i="33"/>
  <c r="AZ51" i="33"/>
  <c r="AZ50" i="33"/>
  <c r="AZ49" i="33"/>
  <c r="AZ48" i="33"/>
  <c r="AZ47" i="33"/>
  <c r="AZ46" i="33"/>
  <c r="AZ45" i="33"/>
  <c r="AZ44" i="33"/>
  <c r="AZ43" i="33"/>
  <c r="BA42" i="33"/>
  <c r="AZ42" i="33"/>
  <c r="AZ36" i="33"/>
  <c r="AZ35" i="33"/>
  <c r="AZ34" i="33"/>
  <c r="AZ33" i="33"/>
  <c r="AZ32" i="33"/>
  <c r="AZ31" i="33"/>
  <c r="AZ30" i="33"/>
  <c r="AZ29" i="33"/>
  <c r="AZ28" i="33"/>
  <c r="AZ27" i="33"/>
  <c r="AZ26" i="33"/>
  <c r="AZ25" i="33"/>
  <c r="AZ24" i="33"/>
  <c r="AZ23" i="33"/>
  <c r="AZ22" i="33"/>
  <c r="AZ21" i="33"/>
  <c r="AZ20" i="33"/>
  <c r="AZ19" i="33"/>
  <c r="AZ18" i="33"/>
  <c r="AZ17" i="33"/>
  <c r="AZ16" i="33"/>
  <c r="AZ15" i="33"/>
  <c r="AZ14" i="33"/>
  <c r="AZ13" i="33"/>
  <c r="AZ12" i="33"/>
  <c r="AZ11" i="33"/>
  <c r="AZ10" i="33"/>
  <c r="AZ9" i="33"/>
  <c r="AZ8" i="33"/>
  <c r="BA7" i="33"/>
  <c r="AZ7" i="33"/>
  <c r="AZ121" i="31"/>
  <c r="AZ120" i="31"/>
  <c r="AZ119" i="31"/>
  <c r="AZ118" i="31"/>
  <c r="AZ117" i="31"/>
  <c r="AZ116" i="31"/>
  <c r="AZ115" i="31"/>
  <c r="AZ114" i="31"/>
  <c r="AZ113" i="31"/>
  <c r="AZ112" i="31"/>
  <c r="AZ111" i="31"/>
  <c r="AZ110" i="31"/>
  <c r="AZ109" i="31"/>
  <c r="AZ108" i="31"/>
  <c r="BA107" i="31"/>
  <c r="AZ107" i="31"/>
  <c r="AZ101" i="31"/>
  <c r="AZ100" i="31"/>
  <c r="AZ99" i="31"/>
  <c r="AZ98" i="31"/>
  <c r="AZ97" i="31"/>
  <c r="AZ96" i="31"/>
  <c r="AZ95" i="31"/>
  <c r="AZ94" i="31"/>
  <c r="AZ93" i="31"/>
  <c r="AZ92" i="31"/>
  <c r="AZ91" i="31"/>
  <c r="AZ90" i="31"/>
  <c r="AZ89" i="31"/>
  <c r="AZ88" i="31"/>
  <c r="BA87" i="31"/>
  <c r="AZ87" i="31"/>
  <c r="AZ81" i="31"/>
  <c r="AZ80" i="31"/>
  <c r="AZ79" i="31"/>
  <c r="AZ78" i="31"/>
  <c r="AZ77" i="31"/>
  <c r="AZ76" i="31"/>
  <c r="AZ75" i="31"/>
  <c r="AZ74" i="31"/>
  <c r="AZ73" i="31"/>
  <c r="AZ72" i="31"/>
  <c r="AZ71" i="31"/>
  <c r="AZ70" i="31"/>
  <c r="AZ69" i="31"/>
  <c r="AZ68" i="31"/>
  <c r="BA67" i="31"/>
  <c r="AZ67" i="31"/>
  <c r="AZ61" i="31"/>
  <c r="AZ60" i="31"/>
  <c r="AZ59" i="31"/>
  <c r="AZ58" i="31"/>
  <c r="AZ57" i="31"/>
  <c r="AZ56" i="31"/>
  <c r="AZ55" i="31"/>
  <c r="AZ54" i="31"/>
  <c r="AZ53" i="31"/>
  <c r="AZ52" i="31"/>
  <c r="AZ51" i="31"/>
  <c r="AZ50" i="31"/>
  <c r="AZ49" i="31"/>
  <c r="AZ48" i="31"/>
  <c r="BA47" i="31"/>
  <c r="AZ47" i="31"/>
  <c r="AZ41" i="31"/>
  <c r="AZ40" i="31"/>
  <c r="AZ39" i="31"/>
  <c r="AZ38" i="31"/>
  <c r="AZ37" i="31"/>
  <c r="AZ36" i="31"/>
  <c r="AZ35" i="31"/>
  <c r="AZ34" i="31"/>
  <c r="AZ33" i="31"/>
  <c r="AZ32" i="31"/>
  <c r="AZ31" i="31"/>
  <c r="AZ30" i="31"/>
  <c r="AZ29" i="31"/>
  <c r="AZ28" i="31"/>
  <c r="BA27" i="31"/>
  <c r="AZ27" i="31"/>
  <c r="AZ21" i="31"/>
  <c r="AZ20" i="31"/>
  <c r="AZ19" i="31"/>
  <c r="AZ18" i="31"/>
  <c r="AZ17" i="31"/>
  <c r="AZ16" i="31"/>
  <c r="AZ15" i="31"/>
  <c r="AZ14" i="31"/>
  <c r="AZ13" i="31"/>
  <c r="AZ12" i="31"/>
  <c r="AZ11" i="31"/>
  <c r="AZ10" i="31"/>
  <c r="AZ9" i="31"/>
  <c r="AZ8" i="31"/>
  <c r="BA7" i="31"/>
  <c r="AZ7" i="31"/>
  <c r="AZ121" i="32"/>
  <c r="AZ120" i="32"/>
  <c r="AZ119" i="32"/>
  <c r="AZ118" i="32"/>
  <c r="AZ117" i="32"/>
  <c r="AZ116" i="32"/>
  <c r="AZ115" i="32"/>
  <c r="AZ114" i="32"/>
  <c r="AZ113" i="32"/>
  <c r="AZ112" i="32"/>
  <c r="AZ111" i="32"/>
  <c r="AZ110" i="32"/>
  <c r="AZ109" i="32"/>
  <c r="AZ108" i="32"/>
  <c r="BA107" i="32"/>
  <c r="AZ107" i="32"/>
  <c r="AZ81" i="32"/>
  <c r="AZ80" i="32"/>
  <c r="AZ79" i="32"/>
  <c r="AZ78" i="32"/>
  <c r="AZ77" i="32"/>
  <c r="AZ76" i="32"/>
  <c r="AZ75" i="32"/>
  <c r="AZ74" i="32"/>
  <c r="AZ73" i="32"/>
  <c r="AZ72" i="32"/>
  <c r="AZ71" i="32"/>
  <c r="AZ70" i="32"/>
  <c r="AZ69" i="32"/>
  <c r="AZ68" i="32"/>
  <c r="BA67" i="32"/>
  <c r="AZ67" i="32"/>
  <c r="AZ61" i="32"/>
  <c r="AZ60" i="32"/>
  <c r="AZ59" i="32"/>
  <c r="AZ58" i="32"/>
  <c r="AZ57" i="32"/>
  <c r="AZ56" i="32"/>
  <c r="AZ55" i="32"/>
  <c r="AZ54" i="32"/>
  <c r="AZ53" i="32"/>
  <c r="AZ52" i="32"/>
  <c r="AZ51" i="32"/>
  <c r="AZ50" i="32"/>
  <c r="AZ49" i="32"/>
  <c r="AZ48" i="32"/>
  <c r="BA47" i="32"/>
  <c r="AZ47" i="32"/>
  <c r="AZ41" i="32"/>
  <c r="AZ40" i="32"/>
  <c r="AZ39" i="32"/>
  <c r="AZ38" i="32"/>
  <c r="AZ37" i="32"/>
  <c r="AZ36" i="32"/>
  <c r="AZ35" i="32"/>
  <c r="AZ34" i="32"/>
  <c r="AZ33" i="32"/>
  <c r="AZ32" i="32"/>
  <c r="AZ31" i="32"/>
  <c r="AZ30" i="32"/>
  <c r="AZ29" i="32"/>
  <c r="AZ28" i="32"/>
  <c r="BA27" i="32"/>
  <c r="AZ27" i="32"/>
  <c r="AZ21" i="32"/>
  <c r="AZ20" i="32"/>
  <c r="AZ19" i="32"/>
  <c r="AZ18" i="32"/>
  <c r="AZ17" i="32"/>
  <c r="AZ16" i="32"/>
  <c r="AZ15" i="32"/>
  <c r="AZ14" i="32"/>
  <c r="AZ13" i="32"/>
  <c r="AZ12" i="32"/>
  <c r="AZ11" i="32"/>
  <c r="AZ10" i="32"/>
  <c r="AZ9" i="32"/>
  <c r="AZ8" i="32"/>
  <c r="BA7" i="32"/>
  <c r="AZ7" i="32"/>
  <c r="K120" i="35" l="1"/>
  <c r="J120" i="35"/>
  <c r="I120" i="35"/>
  <c r="K119" i="35"/>
  <c r="J119" i="35"/>
  <c r="I119" i="35"/>
  <c r="K118" i="35"/>
  <c r="J118" i="35"/>
  <c r="I118" i="35"/>
  <c r="K117" i="35"/>
  <c r="J117" i="35"/>
  <c r="I117" i="35"/>
  <c r="K116" i="35"/>
  <c r="J116" i="35"/>
  <c r="I116" i="35"/>
  <c r="K115" i="35"/>
  <c r="J115" i="35"/>
  <c r="I115" i="35"/>
  <c r="K114" i="35"/>
  <c r="J114" i="35"/>
  <c r="I114" i="35"/>
  <c r="K113" i="35"/>
  <c r="J113" i="35"/>
  <c r="I113" i="35"/>
  <c r="K112" i="35"/>
  <c r="J112" i="35"/>
  <c r="I112" i="35"/>
  <c r="K111" i="35"/>
  <c r="J111" i="35"/>
  <c r="I111" i="35"/>
  <c r="K110" i="35"/>
  <c r="J110" i="35"/>
  <c r="I110" i="35"/>
  <c r="K109" i="35"/>
  <c r="J109" i="35"/>
  <c r="I109" i="35"/>
  <c r="K108" i="35"/>
  <c r="J108" i="35"/>
  <c r="I108" i="35"/>
  <c r="K107" i="35"/>
  <c r="J107" i="35"/>
  <c r="I107" i="35"/>
  <c r="K120" i="36"/>
  <c r="J120" i="36"/>
  <c r="I120" i="36"/>
  <c r="K119" i="36"/>
  <c r="J119" i="36"/>
  <c r="I119" i="36"/>
  <c r="K118" i="36"/>
  <c r="J118" i="36"/>
  <c r="I118" i="36"/>
  <c r="K117" i="36"/>
  <c r="J117" i="36"/>
  <c r="I117" i="36"/>
  <c r="K116" i="36"/>
  <c r="J116" i="36"/>
  <c r="I116" i="36"/>
  <c r="K115" i="36"/>
  <c r="J115" i="36"/>
  <c r="I115" i="36"/>
  <c r="K114" i="36"/>
  <c r="J114" i="36"/>
  <c r="I114" i="36"/>
  <c r="K113" i="36"/>
  <c r="J113" i="36"/>
  <c r="I113" i="36"/>
  <c r="K112" i="36"/>
  <c r="J112" i="36"/>
  <c r="I112" i="36"/>
  <c r="K111" i="36"/>
  <c r="J111" i="36"/>
  <c r="I111" i="36"/>
  <c r="K110" i="36"/>
  <c r="J110" i="36"/>
  <c r="I110" i="36"/>
  <c r="K109" i="36"/>
  <c r="J109" i="36"/>
  <c r="I109" i="36"/>
  <c r="K108" i="36"/>
  <c r="J108" i="36"/>
  <c r="I108" i="36"/>
  <c r="K107" i="36"/>
  <c r="J107" i="36"/>
  <c r="I107" i="36"/>
  <c r="K120" i="37"/>
  <c r="J120" i="37"/>
  <c r="I120" i="37"/>
  <c r="K119" i="37"/>
  <c r="J119" i="37"/>
  <c r="I119" i="37"/>
  <c r="K118" i="37"/>
  <c r="J118" i="37"/>
  <c r="I118" i="37"/>
  <c r="K117" i="37"/>
  <c r="J117" i="37"/>
  <c r="I117" i="37"/>
  <c r="K116" i="37"/>
  <c r="J116" i="37"/>
  <c r="I116" i="37"/>
  <c r="K115" i="37"/>
  <c r="J115" i="37"/>
  <c r="I115" i="37"/>
  <c r="K114" i="37"/>
  <c r="J114" i="37"/>
  <c r="I114" i="37"/>
  <c r="K113" i="37"/>
  <c r="J113" i="37"/>
  <c r="I113" i="37"/>
  <c r="K112" i="37"/>
  <c r="J112" i="37"/>
  <c r="I112" i="37"/>
  <c r="K111" i="37"/>
  <c r="J111" i="37"/>
  <c r="I111" i="37"/>
  <c r="K110" i="37"/>
  <c r="J110" i="37"/>
  <c r="I110" i="37"/>
  <c r="K109" i="37"/>
  <c r="J109" i="37"/>
  <c r="I109" i="37"/>
  <c r="K108" i="37"/>
  <c r="J108" i="37"/>
  <c r="I108" i="37"/>
  <c r="K107" i="37"/>
  <c r="J107" i="37"/>
  <c r="I107" i="37"/>
  <c r="K120" i="34"/>
  <c r="J120" i="34"/>
  <c r="I120" i="34"/>
  <c r="K119" i="34"/>
  <c r="J119" i="34"/>
  <c r="I119" i="34"/>
  <c r="K118" i="34"/>
  <c r="J118" i="34"/>
  <c r="I118" i="34"/>
  <c r="K117" i="34"/>
  <c r="J117" i="34"/>
  <c r="I117" i="34"/>
  <c r="K116" i="34"/>
  <c r="J116" i="34"/>
  <c r="I116" i="34"/>
  <c r="K115" i="34"/>
  <c r="J115" i="34"/>
  <c r="I115" i="34"/>
  <c r="K114" i="34"/>
  <c r="J114" i="34"/>
  <c r="I114" i="34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K107" i="34"/>
  <c r="J107" i="34"/>
  <c r="I107" i="34"/>
  <c r="K120" i="31"/>
  <c r="J120" i="31"/>
  <c r="I120" i="31"/>
  <c r="K119" i="31"/>
  <c r="J119" i="31"/>
  <c r="I119" i="31"/>
  <c r="K118" i="31"/>
  <c r="J118" i="31"/>
  <c r="I118" i="31"/>
  <c r="K117" i="31"/>
  <c r="J117" i="31"/>
  <c r="I117" i="31"/>
  <c r="K116" i="31"/>
  <c r="J116" i="31"/>
  <c r="I116" i="31"/>
  <c r="K115" i="31"/>
  <c r="J115" i="31"/>
  <c r="I115" i="31"/>
  <c r="K114" i="31"/>
  <c r="J114" i="31"/>
  <c r="I114" i="31"/>
  <c r="K113" i="31"/>
  <c r="J113" i="31"/>
  <c r="I113" i="31"/>
  <c r="K112" i="31"/>
  <c r="J112" i="31"/>
  <c r="I112" i="31"/>
  <c r="K111" i="31"/>
  <c r="J111" i="31"/>
  <c r="I111" i="31"/>
  <c r="K110" i="31"/>
  <c r="J110" i="31"/>
  <c r="I110" i="31"/>
  <c r="K109" i="31"/>
  <c r="J109" i="31"/>
  <c r="I109" i="31"/>
  <c r="K108" i="31"/>
  <c r="J108" i="31"/>
  <c r="I108" i="31"/>
  <c r="K107" i="31"/>
  <c r="J107" i="31"/>
  <c r="I107" i="31"/>
  <c r="K120" i="32"/>
  <c r="J120" i="32"/>
  <c r="I120" i="32"/>
  <c r="K119" i="32"/>
  <c r="J119" i="32"/>
  <c r="I119" i="32"/>
  <c r="K118" i="32"/>
  <c r="J118" i="32"/>
  <c r="I118" i="32"/>
  <c r="K117" i="32"/>
  <c r="J117" i="32"/>
  <c r="I117" i="32"/>
  <c r="K116" i="32"/>
  <c r="J116" i="32"/>
  <c r="I116" i="32"/>
  <c r="K115" i="32"/>
  <c r="J115" i="32"/>
  <c r="I115" i="32"/>
  <c r="K114" i="32"/>
  <c r="J114" i="32"/>
  <c r="I114" i="32"/>
  <c r="K113" i="32"/>
  <c r="J113" i="32"/>
  <c r="I113" i="32"/>
  <c r="K112" i="32"/>
  <c r="J112" i="32"/>
  <c r="I112" i="32"/>
  <c r="K111" i="32"/>
  <c r="J111" i="32"/>
  <c r="I111" i="32"/>
  <c r="K110" i="32"/>
  <c r="J110" i="32"/>
  <c r="I110" i="32"/>
  <c r="K109" i="32"/>
  <c r="J109" i="32"/>
  <c r="I109" i="32"/>
  <c r="K108" i="32"/>
  <c r="J108" i="32"/>
  <c r="I108" i="32"/>
  <c r="K107" i="32"/>
  <c r="J107" i="32"/>
  <c r="I107" i="32"/>
  <c r="K121" i="30"/>
  <c r="J121" i="30"/>
  <c r="I121" i="30"/>
  <c r="K120" i="30"/>
  <c r="J120" i="30"/>
  <c r="I120" i="30"/>
  <c r="K119" i="30"/>
  <c r="J119" i="30"/>
  <c r="I119" i="30"/>
  <c r="K118" i="30"/>
  <c r="J118" i="30"/>
  <c r="I118" i="30"/>
  <c r="K117" i="30"/>
  <c r="J117" i="30"/>
  <c r="I117" i="30"/>
  <c r="K116" i="30"/>
  <c r="J116" i="30"/>
  <c r="I116" i="30"/>
  <c r="K115" i="30"/>
  <c r="J115" i="30"/>
  <c r="I115" i="30"/>
  <c r="K114" i="30"/>
  <c r="J114" i="30"/>
  <c r="I114" i="30"/>
  <c r="K113" i="30"/>
  <c r="J113" i="30"/>
  <c r="I113" i="30"/>
  <c r="K112" i="30"/>
  <c r="J112" i="30"/>
  <c r="I112" i="30"/>
  <c r="K111" i="30"/>
  <c r="J111" i="30"/>
  <c r="I111" i="30"/>
  <c r="K110" i="30"/>
  <c r="J110" i="30"/>
  <c r="I110" i="30"/>
  <c r="K109" i="30"/>
  <c r="J109" i="30"/>
  <c r="I109" i="30"/>
  <c r="K108" i="30"/>
  <c r="J108" i="30"/>
  <c r="I108" i="30"/>
  <c r="K107" i="30"/>
  <c r="J107" i="30"/>
  <c r="I107" i="30"/>
  <c r="K211" i="33"/>
  <c r="J211" i="33"/>
  <c r="I211" i="33"/>
  <c r="K210" i="33"/>
  <c r="J210" i="33"/>
  <c r="I210" i="33"/>
  <c r="K209" i="33"/>
  <c r="J209" i="33"/>
  <c r="I209" i="33"/>
  <c r="K208" i="33"/>
  <c r="J208" i="33"/>
  <c r="I208" i="33"/>
  <c r="K207" i="33"/>
  <c r="J207" i="33"/>
  <c r="I207" i="33"/>
  <c r="K206" i="33"/>
  <c r="J206" i="33"/>
  <c r="I206" i="33"/>
  <c r="K205" i="33"/>
  <c r="J205" i="33"/>
  <c r="I205" i="33"/>
  <c r="K204" i="33"/>
  <c r="J204" i="33"/>
  <c r="I204" i="33"/>
  <c r="K203" i="33"/>
  <c r="J203" i="33"/>
  <c r="I203" i="33"/>
  <c r="K202" i="33"/>
  <c r="J202" i="33"/>
  <c r="I202" i="33"/>
  <c r="K201" i="33"/>
  <c r="J201" i="33"/>
  <c r="I201" i="33"/>
  <c r="K200" i="33"/>
  <c r="J200" i="33"/>
  <c r="I200" i="33"/>
  <c r="K199" i="33"/>
  <c r="J199" i="33"/>
  <c r="I199" i="33"/>
  <c r="K198" i="33"/>
  <c r="J198" i="33"/>
  <c r="I198" i="33"/>
  <c r="K197" i="33"/>
  <c r="J197" i="33"/>
  <c r="I197" i="33"/>
  <c r="K196" i="33"/>
  <c r="J196" i="33"/>
  <c r="I196" i="33"/>
  <c r="K195" i="33"/>
  <c r="J195" i="33"/>
  <c r="I195" i="33"/>
  <c r="K194" i="33"/>
  <c r="J194" i="33"/>
  <c r="I194" i="33"/>
  <c r="K193" i="33"/>
  <c r="J193" i="33"/>
  <c r="I193" i="33"/>
  <c r="K192" i="33"/>
  <c r="J192" i="33"/>
  <c r="I192" i="33"/>
  <c r="K191" i="33"/>
  <c r="J191" i="33"/>
  <c r="I191" i="33"/>
  <c r="K190" i="33"/>
  <c r="J190" i="33"/>
  <c r="I190" i="33"/>
  <c r="K189" i="33"/>
  <c r="J189" i="33"/>
  <c r="I189" i="33"/>
  <c r="K188" i="33"/>
  <c r="J188" i="33"/>
  <c r="I188" i="33"/>
  <c r="K187" i="33"/>
  <c r="J187" i="33"/>
  <c r="I187" i="33"/>
  <c r="K186" i="33"/>
  <c r="J186" i="33"/>
  <c r="I186" i="33"/>
  <c r="K185" i="33"/>
  <c r="J185" i="33"/>
  <c r="I185" i="33"/>
  <c r="K184" i="33"/>
  <c r="J184" i="33"/>
  <c r="I184" i="33"/>
  <c r="K183" i="33"/>
  <c r="J183" i="33"/>
  <c r="I183" i="33"/>
  <c r="K182" i="33"/>
  <c r="J182" i="33"/>
  <c r="I182" i="33"/>
  <c r="K176" i="33"/>
  <c r="J176" i="33"/>
  <c r="I176" i="33"/>
  <c r="K175" i="33"/>
  <c r="J175" i="33"/>
  <c r="I175" i="33"/>
  <c r="K174" i="33"/>
  <c r="J174" i="33"/>
  <c r="I174" i="33"/>
  <c r="K173" i="33"/>
  <c r="J173" i="33"/>
  <c r="I173" i="33"/>
  <c r="K172" i="33"/>
  <c r="J172" i="33"/>
  <c r="I172" i="33"/>
  <c r="K171" i="33"/>
  <c r="J171" i="33"/>
  <c r="I171" i="33"/>
  <c r="K170" i="33"/>
  <c r="J170" i="33"/>
  <c r="I170" i="33"/>
  <c r="K169" i="33"/>
  <c r="J169" i="33"/>
  <c r="I169" i="33"/>
  <c r="K168" i="33"/>
  <c r="J168" i="33"/>
  <c r="I168" i="33"/>
  <c r="K167" i="33"/>
  <c r="J167" i="33"/>
  <c r="I167" i="33"/>
  <c r="K166" i="33"/>
  <c r="J166" i="33"/>
  <c r="I166" i="33"/>
  <c r="K165" i="33"/>
  <c r="J165" i="33"/>
  <c r="I165" i="33"/>
  <c r="K164" i="33"/>
  <c r="J164" i="33"/>
  <c r="I164" i="33"/>
  <c r="K163" i="33"/>
  <c r="J163" i="33"/>
  <c r="I163" i="33"/>
  <c r="K162" i="33"/>
  <c r="J162" i="33"/>
  <c r="I162" i="33"/>
  <c r="K161" i="33"/>
  <c r="J161" i="33"/>
  <c r="I161" i="33"/>
  <c r="K160" i="33"/>
  <c r="J160" i="33"/>
  <c r="I160" i="33"/>
  <c r="K159" i="33"/>
  <c r="J159" i="33"/>
  <c r="I159" i="33"/>
  <c r="K158" i="33"/>
  <c r="J158" i="33"/>
  <c r="I158" i="33"/>
  <c r="K157" i="33"/>
  <c r="J157" i="33"/>
  <c r="I157" i="33"/>
  <c r="K156" i="33"/>
  <c r="J156" i="33"/>
  <c r="I156" i="33"/>
  <c r="K155" i="33"/>
  <c r="J155" i="33"/>
  <c r="I155" i="33"/>
  <c r="K154" i="33"/>
  <c r="J154" i="33"/>
  <c r="I154" i="33"/>
  <c r="K153" i="33"/>
  <c r="J153" i="33"/>
  <c r="I153" i="33"/>
  <c r="K152" i="33"/>
  <c r="J152" i="33"/>
  <c r="I152" i="33"/>
  <c r="K151" i="33"/>
  <c r="J151" i="33"/>
  <c r="I151" i="33"/>
  <c r="K150" i="33"/>
  <c r="J150" i="33"/>
  <c r="I150" i="33"/>
  <c r="K149" i="33"/>
  <c r="J149" i="33"/>
  <c r="I149" i="33"/>
  <c r="K148" i="33"/>
  <c r="J148" i="33"/>
  <c r="I148" i="33"/>
  <c r="K147" i="33"/>
  <c r="J147" i="33"/>
  <c r="I147" i="33"/>
  <c r="K141" i="33"/>
  <c r="J141" i="33"/>
  <c r="I141" i="33"/>
  <c r="K140" i="33"/>
  <c r="J140" i="33"/>
  <c r="I140" i="33"/>
  <c r="K139" i="33"/>
  <c r="J139" i="33"/>
  <c r="I139" i="33"/>
  <c r="K138" i="33"/>
  <c r="J138" i="33"/>
  <c r="I138" i="33"/>
  <c r="K137" i="33"/>
  <c r="J137" i="33"/>
  <c r="I137" i="33"/>
  <c r="K136" i="33"/>
  <c r="J136" i="33"/>
  <c r="I136" i="33"/>
  <c r="K135" i="33"/>
  <c r="J135" i="33"/>
  <c r="I135" i="33"/>
  <c r="K134" i="33"/>
  <c r="J134" i="33"/>
  <c r="I134" i="33"/>
  <c r="K133" i="33"/>
  <c r="J133" i="33"/>
  <c r="I133" i="33"/>
  <c r="K132" i="33"/>
  <c r="J132" i="33"/>
  <c r="I132" i="33"/>
  <c r="K131" i="33"/>
  <c r="J131" i="33"/>
  <c r="I131" i="33"/>
  <c r="K130" i="33"/>
  <c r="J130" i="33"/>
  <c r="I130" i="33"/>
  <c r="K129" i="33"/>
  <c r="J129" i="33"/>
  <c r="I129" i="33"/>
  <c r="K128" i="33"/>
  <c r="J128" i="33"/>
  <c r="I128" i="33"/>
  <c r="K127" i="33"/>
  <c r="J127" i="33"/>
  <c r="I127" i="33"/>
  <c r="K126" i="33"/>
  <c r="J126" i="33"/>
  <c r="I126" i="33"/>
  <c r="K125" i="33"/>
  <c r="J125" i="33"/>
  <c r="I125" i="33"/>
  <c r="K124" i="33"/>
  <c r="J124" i="33"/>
  <c r="I124" i="33"/>
  <c r="K123" i="33"/>
  <c r="J123" i="33"/>
  <c r="I123" i="33"/>
  <c r="K122" i="33"/>
  <c r="J122" i="33"/>
  <c r="I122" i="33"/>
  <c r="K121" i="33"/>
  <c r="J121" i="33"/>
  <c r="I121" i="33"/>
  <c r="K120" i="33"/>
  <c r="J120" i="33"/>
  <c r="I120" i="33"/>
  <c r="K119" i="33"/>
  <c r="J119" i="33"/>
  <c r="I119" i="33"/>
  <c r="K118" i="33"/>
  <c r="J118" i="33"/>
  <c r="I118" i="33"/>
  <c r="K117" i="33"/>
  <c r="J117" i="33"/>
  <c r="I117" i="33"/>
  <c r="K116" i="33"/>
  <c r="J116" i="33"/>
  <c r="I116" i="33"/>
  <c r="K115" i="33"/>
  <c r="J115" i="33"/>
  <c r="I115" i="33"/>
  <c r="K114" i="33"/>
  <c r="J114" i="33"/>
  <c r="I114" i="33"/>
  <c r="K113" i="33"/>
  <c r="J113" i="33"/>
  <c r="I113" i="33"/>
  <c r="K112" i="33"/>
  <c r="J112" i="33"/>
  <c r="I112" i="33"/>
  <c r="K106" i="33"/>
  <c r="J106" i="33"/>
  <c r="I106" i="33"/>
  <c r="K105" i="33"/>
  <c r="J105" i="33"/>
  <c r="I105" i="33"/>
  <c r="K104" i="33"/>
  <c r="J104" i="33"/>
  <c r="I104" i="33"/>
  <c r="K103" i="33"/>
  <c r="J103" i="33"/>
  <c r="I103" i="33"/>
  <c r="K102" i="33"/>
  <c r="J102" i="33"/>
  <c r="I102" i="33"/>
  <c r="K101" i="33"/>
  <c r="J101" i="33"/>
  <c r="I101" i="33"/>
  <c r="K100" i="33"/>
  <c r="J100" i="33"/>
  <c r="I100" i="33"/>
  <c r="K99" i="33"/>
  <c r="J99" i="33"/>
  <c r="I99" i="33"/>
  <c r="K98" i="33"/>
  <c r="J98" i="33"/>
  <c r="I98" i="33"/>
  <c r="K97" i="33"/>
  <c r="J97" i="33"/>
  <c r="I97" i="33"/>
  <c r="K96" i="33"/>
  <c r="J96" i="33"/>
  <c r="I96" i="33"/>
  <c r="K95" i="33"/>
  <c r="J95" i="33"/>
  <c r="I95" i="33"/>
  <c r="K94" i="33"/>
  <c r="J94" i="33"/>
  <c r="I94" i="33"/>
  <c r="K93" i="33"/>
  <c r="J93" i="33"/>
  <c r="I93" i="33"/>
  <c r="K92" i="33"/>
  <c r="J92" i="33"/>
  <c r="I92" i="33"/>
  <c r="K91" i="33"/>
  <c r="J91" i="33"/>
  <c r="I91" i="33"/>
  <c r="K90" i="33"/>
  <c r="J90" i="33"/>
  <c r="I90" i="33"/>
  <c r="K89" i="33"/>
  <c r="J89" i="33"/>
  <c r="I89" i="33"/>
  <c r="K88" i="33"/>
  <c r="J88" i="33"/>
  <c r="I88" i="33"/>
  <c r="K87" i="33"/>
  <c r="J87" i="33"/>
  <c r="I87" i="33"/>
  <c r="K86" i="33"/>
  <c r="J86" i="33"/>
  <c r="I86" i="33"/>
  <c r="K85" i="33"/>
  <c r="J85" i="33"/>
  <c r="I85" i="33"/>
  <c r="K84" i="33"/>
  <c r="J84" i="33"/>
  <c r="I84" i="33"/>
  <c r="K83" i="33"/>
  <c r="J83" i="33"/>
  <c r="I83" i="33"/>
  <c r="K82" i="33"/>
  <c r="J82" i="33"/>
  <c r="I82" i="33"/>
  <c r="K81" i="33"/>
  <c r="J81" i="33"/>
  <c r="I81" i="33"/>
  <c r="K80" i="33"/>
  <c r="J80" i="33"/>
  <c r="I80" i="33"/>
  <c r="K79" i="33"/>
  <c r="J79" i="33"/>
  <c r="I79" i="33"/>
  <c r="K78" i="33"/>
  <c r="J78" i="33"/>
  <c r="I78" i="33"/>
  <c r="K77" i="33"/>
  <c r="J77" i="33"/>
  <c r="I77" i="33"/>
  <c r="K71" i="33"/>
  <c r="J71" i="33"/>
  <c r="I71" i="33"/>
  <c r="K70" i="33"/>
  <c r="J70" i="33"/>
  <c r="I70" i="33"/>
  <c r="K69" i="33"/>
  <c r="J69" i="33"/>
  <c r="I69" i="33"/>
  <c r="K68" i="33"/>
  <c r="J68" i="33"/>
  <c r="I68" i="33"/>
  <c r="K67" i="33"/>
  <c r="J67" i="33"/>
  <c r="I67" i="33"/>
  <c r="K66" i="33"/>
  <c r="J66" i="33"/>
  <c r="I66" i="33"/>
  <c r="K65" i="33"/>
  <c r="J65" i="33"/>
  <c r="I65" i="33"/>
  <c r="K64" i="33"/>
  <c r="J64" i="33"/>
  <c r="I64" i="33"/>
  <c r="K63" i="33"/>
  <c r="J63" i="33"/>
  <c r="I63" i="33"/>
  <c r="K62" i="33"/>
  <c r="J62" i="33"/>
  <c r="I62" i="33"/>
  <c r="K61" i="33"/>
  <c r="J61" i="33"/>
  <c r="I61" i="33"/>
  <c r="K60" i="33"/>
  <c r="J60" i="33"/>
  <c r="I60" i="33"/>
  <c r="K59" i="33"/>
  <c r="J59" i="33"/>
  <c r="I59" i="33"/>
  <c r="K58" i="33"/>
  <c r="J58" i="33"/>
  <c r="I58" i="33"/>
  <c r="K57" i="33"/>
  <c r="J57" i="33"/>
  <c r="I57" i="33"/>
  <c r="K56" i="33"/>
  <c r="J56" i="33"/>
  <c r="I56" i="33"/>
  <c r="K55" i="33"/>
  <c r="J55" i="33"/>
  <c r="I55" i="33"/>
  <c r="K54" i="33"/>
  <c r="J54" i="33"/>
  <c r="I54" i="33"/>
  <c r="K53" i="33"/>
  <c r="J53" i="33"/>
  <c r="I53" i="33"/>
  <c r="K52" i="33"/>
  <c r="J52" i="33"/>
  <c r="I52" i="33"/>
  <c r="K51" i="33"/>
  <c r="J51" i="33"/>
  <c r="I51" i="33"/>
  <c r="K50" i="33"/>
  <c r="J50" i="33"/>
  <c r="I50" i="33"/>
  <c r="K49" i="33"/>
  <c r="J49" i="33"/>
  <c r="I49" i="33"/>
  <c r="K48" i="33"/>
  <c r="J48" i="33"/>
  <c r="I48" i="33"/>
  <c r="K47" i="33"/>
  <c r="J47" i="33"/>
  <c r="I47" i="33"/>
  <c r="K46" i="33"/>
  <c r="J46" i="33"/>
  <c r="I46" i="33"/>
  <c r="K45" i="33"/>
  <c r="J45" i="33"/>
  <c r="I45" i="33"/>
  <c r="K44" i="33"/>
  <c r="J44" i="33"/>
  <c r="I44" i="33"/>
  <c r="K43" i="33"/>
  <c r="J43" i="33"/>
  <c r="I43" i="33"/>
  <c r="K42" i="33"/>
  <c r="J42" i="33"/>
  <c r="I42" i="33"/>
  <c r="K211" i="8"/>
  <c r="J211" i="8"/>
  <c r="I211" i="8"/>
  <c r="K210" i="8"/>
  <c r="J210" i="8"/>
  <c r="I210" i="8"/>
  <c r="K209" i="8"/>
  <c r="J209" i="8"/>
  <c r="I209" i="8"/>
  <c r="K208" i="8"/>
  <c r="J208" i="8"/>
  <c r="I208" i="8"/>
  <c r="K207" i="8"/>
  <c r="J207" i="8"/>
  <c r="I207" i="8"/>
  <c r="K206" i="8"/>
  <c r="J206" i="8"/>
  <c r="I206" i="8"/>
  <c r="K205" i="8"/>
  <c r="J205" i="8"/>
  <c r="I205" i="8"/>
  <c r="K204" i="8"/>
  <c r="J204" i="8"/>
  <c r="I204" i="8"/>
  <c r="K203" i="8"/>
  <c r="J203" i="8"/>
  <c r="I203" i="8"/>
  <c r="K20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K182" i="8"/>
  <c r="J182" i="8"/>
  <c r="I182" i="8"/>
  <c r="K176" i="8"/>
  <c r="J176" i="8"/>
  <c r="I176" i="8"/>
  <c r="K175" i="8"/>
  <c r="J175" i="8"/>
  <c r="I175" i="8"/>
  <c r="K174" i="8"/>
  <c r="J174" i="8"/>
  <c r="I174" i="8"/>
  <c r="K173" i="8"/>
  <c r="J173" i="8"/>
  <c r="I173" i="8"/>
  <c r="K172" i="8"/>
  <c r="J172" i="8"/>
  <c r="I172" i="8"/>
  <c r="K171" i="8"/>
  <c r="J171" i="8"/>
  <c r="I171" i="8"/>
  <c r="K170" i="8"/>
  <c r="J170" i="8"/>
  <c r="I170" i="8"/>
  <c r="K169" i="8"/>
  <c r="J169" i="8"/>
  <c r="I169" i="8"/>
  <c r="K168" i="8"/>
  <c r="J168" i="8"/>
  <c r="I168" i="8"/>
  <c r="K167" i="8"/>
  <c r="J167" i="8"/>
  <c r="I167" i="8"/>
  <c r="K166" i="8"/>
  <c r="J166" i="8"/>
  <c r="I166" i="8"/>
  <c r="K165" i="8"/>
  <c r="J165" i="8"/>
  <c r="I165" i="8"/>
  <c r="K164" i="8"/>
  <c r="J164" i="8"/>
  <c r="I164" i="8"/>
  <c r="K163" i="8"/>
  <c r="J163" i="8"/>
  <c r="I163" i="8"/>
  <c r="K162" i="8"/>
  <c r="J162" i="8"/>
  <c r="I162" i="8"/>
  <c r="K161" i="8"/>
  <c r="J161" i="8"/>
  <c r="I161" i="8"/>
  <c r="K160" i="8"/>
  <c r="J160" i="8"/>
  <c r="I160" i="8"/>
  <c r="K159" i="8"/>
  <c r="J159" i="8"/>
  <c r="I159" i="8"/>
  <c r="K158" i="8"/>
  <c r="J158" i="8"/>
  <c r="I158" i="8"/>
  <c r="K157" i="8"/>
  <c r="J157" i="8"/>
  <c r="I157" i="8"/>
  <c r="J156" i="8"/>
  <c r="I156" i="8"/>
  <c r="J155" i="8"/>
  <c r="I155" i="8"/>
  <c r="K154" i="8"/>
  <c r="J154" i="8"/>
  <c r="I154" i="8"/>
  <c r="K153" i="8"/>
  <c r="J153" i="8"/>
  <c r="I153" i="8"/>
  <c r="K152" i="8"/>
  <c r="J152" i="8"/>
  <c r="I152" i="8"/>
  <c r="K151" i="8"/>
  <c r="J151" i="8"/>
  <c r="I151" i="8"/>
  <c r="K150" i="8"/>
  <c r="J150" i="8"/>
  <c r="I150" i="8"/>
  <c r="K149" i="8"/>
  <c r="J149" i="8"/>
  <c r="I149" i="8"/>
  <c r="K148" i="8"/>
  <c r="J148" i="8"/>
  <c r="I148" i="8"/>
  <c r="K147" i="8"/>
  <c r="J147" i="8"/>
  <c r="I147" i="8"/>
  <c r="K141" i="8"/>
  <c r="J141" i="8"/>
  <c r="I141" i="8"/>
  <c r="K140" i="8"/>
  <c r="J140" i="8"/>
  <c r="I140" i="8"/>
  <c r="K139" i="8"/>
  <c r="J139" i="8"/>
  <c r="I139" i="8"/>
  <c r="K138" i="8"/>
  <c r="J138" i="8"/>
  <c r="I138" i="8"/>
  <c r="K137" i="8"/>
  <c r="J137" i="8"/>
  <c r="I137" i="8"/>
  <c r="K136" i="8"/>
  <c r="J136" i="8"/>
  <c r="I136" i="8"/>
  <c r="K135" i="8"/>
  <c r="J135" i="8"/>
  <c r="I135" i="8"/>
  <c r="K134" i="8"/>
  <c r="J134" i="8"/>
  <c r="I134" i="8"/>
  <c r="K133" i="8"/>
  <c r="J133" i="8"/>
  <c r="I133" i="8"/>
  <c r="K132" i="8"/>
  <c r="J132" i="8"/>
  <c r="I132" i="8"/>
  <c r="K131" i="8"/>
  <c r="J131" i="8"/>
  <c r="I131" i="8"/>
  <c r="K130" i="8"/>
  <c r="J130" i="8"/>
  <c r="I130" i="8"/>
  <c r="K129" i="8"/>
  <c r="J129" i="8"/>
  <c r="I129" i="8"/>
  <c r="K128" i="8"/>
  <c r="J128" i="8"/>
  <c r="I128" i="8"/>
  <c r="K127" i="8"/>
  <c r="J127" i="8"/>
  <c r="I127" i="8"/>
  <c r="K126" i="8"/>
  <c r="J126" i="8"/>
  <c r="I126" i="8"/>
  <c r="K125" i="8"/>
  <c r="J125" i="8"/>
  <c r="I125" i="8"/>
  <c r="K124" i="8"/>
  <c r="J124" i="8"/>
  <c r="I124" i="8"/>
  <c r="K123" i="8"/>
  <c r="J123" i="8"/>
  <c r="I123" i="8"/>
  <c r="K122" i="8"/>
  <c r="J122" i="8"/>
  <c r="I122" i="8"/>
  <c r="K121" i="8"/>
  <c r="J121" i="8"/>
  <c r="I121" i="8"/>
  <c r="K120" i="8"/>
  <c r="J120" i="8"/>
  <c r="I120" i="8"/>
  <c r="K119" i="8"/>
  <c r="J119" i="8"/>
  <c r="I119" i="8"/>
  <c r="K118" i="8"/>
  <c r="J118" i="8"/>
  <c r="I118" i="8"/>
  <c r="K117" i="8"/>
  <c r="J117" i="8"/>
  <c r="I117" i="8"/>
  <c r="K116" i="8"/>
  <c r="J116" i="8"/>
  <c r="I116" i="8"/>
  <c r="K115" i="8"/>
  <c r="J115" i="8"/>
  <c r="I115" i="8"/>
  <c r="K114" i="8"/>
  <c r="J114" i="8"/>
  <c r="I114" i="8"/>
  <c r="K113" i="8"/>
  <c r="J113" i="8"/>
  <c r="I113" i="8"/>
  <c r="K112" i="8"/>
  <c r="J112" i="8"/>
  <c r="I112" i="8"/>
  <c r="K106" i="8"/>
  <c r="J106" i="8"/>
  <c r="I106" i="8"/>
  <c r="K105" i="8"/>
  <c r="J105" i="8"/>
  <c r="I105" i="8"/>
  <c r="K104" i="8"/>
  <c r="J104" i="8"/>
  <c r="I104" i="8"/>
  <c r="K103" i="8"/>
  <c r="J103" i="8"/>
  <c r="I103" i="8"/>
  <c r="K102" i="8"/>
  <c r="J102" i="8"/>
  <c r="I102" i="8"/>
  <c r="K101" i="8"/>
  <c r="J101" i="8"/>
  <c r="I101" i="8"/>
  <c r="K100" i="8"/>
  <c r="J100" i="8"/>
  <c r="I100" i="8"/>
  <c r="K99" i="8"/>
  <c r="J99" i="8"/>
  <c r="I99" i="8"/>
  <c r="K98" i="8"/>
  <c r="J98" i="8"/>
  <c r="I98" i="8"/>
  <c r="K97" i="8"/>
  <c r="J97" i="8"/>
  <c r="I97" i="8"/>
  <c r="K96" i="8"/>
  <c r="J96" i="8"/>
  <c r="I96" i="8"/>
  <c r="K95" i="8"/>
  <c r="J95" i="8"/>
  <c r="I95" i="8"/>
  <c r="K94" i="8"/>
  <c r="J94" i="8"/>
  <c r="I94" i="8"/>
  <c r="K93" i="8"/>
  <c r="J93" i="8"/>
  <c r="I93" i="8"/>
  <c r="K92" i="8"/>
  <c r="J92" i="8"/>
  <c r="I92" i="8"/>
  <c r="K91" i="8"/>
  <c r="J91" i="8"/>
  <c r="I91" i="8"/>
  <c r="K90" i="8"/>
  <c r="J90" i="8"/>
  <c r="I90" i="8"/>
  <c r="K89" i="8"/>
  <c r="J89" i="8"/>
  <c r="I89" i="8"/>
  <c r="K88" i="8"/>
  <c r="J88" i="8"/>
  <c r="I88" i="8"/>
  <c r="K87" i="8"/>
  <c r="J87" i="8"/>
  <c r="I87" i="8"/>
  <c r="K86" i="8"/>
  <c r="J86" i="8"/>
  <c r="I86" i="8"/>
  <c r="K85" i="8"/>
  <c r="J85" i="8"/>
  <c r="I85" i="8"/>
  <c r="K84" i="8"/>
  <c r="J84" i="8"/>
  <c r="I84" i="8"/>
  <c r="K83" i="8"/>
  <c r="J83" i="8"/>
  <c r="I83" i="8"/>
  <c r="K82" i="8"/>
  <c r="J82" i="8"/>
  <c r="I82" i="8"/>
  <c r="K81" i="8"/>
  <c r="J81" i="8"/>
  <c r="I81" i="8"/>
  <c r="K80" i="8"/>
  <c r="J80" i="8"/>
  <c r="I80" i="8"/>
  <c r="K79" i="8"/>
  <c r="J79" i="8"/>
  <c r="I79" i="8"/>
  <c r="K78" i="8"/>
  <c r="J78" i="8"/>
  <c r="I78" i="8"/>
  <c r="K77" i="8"/>
  <c r="J77" i="8"/>
  <c r="I77" i="8"/>
  <c r="K71" i="8"/>
  <c r="J71" i="8"/>
  <c r="I71" i="8"/>
  <c r="K70" i="8"/>
  <c r="J70" i="8"/>
  <c r="I70" i="8"/>
  <c r="K69" i="8"/>
  <c r="J69" i="8"/>
  <c r="I69" i="8"/>
  <c r="K68" i="8"/>
  <c r="J68" i="8"/>
  <c r="I68" i="8"/>
  <c r="K67" i="8"/>
  <c r="J67" i="8"/>
  <c r="I67" i="8"/>
  <c r="K66" i="8"/>
  <c r="J66" i="8"/>
  <c r="I66" i="8"/>
  <c r="K65" i="8"/>
  <c r="J65" i="8"/>
  <c r="I65" i="8"/>
  <c r="K64" i="8"/>
  <c r="J64" i="8"/>
  <c r="I64" i="8"/>
  <c r="K63" i="8"/>
  <c r="J63" i="8"/>
  <c r="I63" i="8"/>
  <c r="K62" i="8"/>
  <c r="J62" i="8"/>
  <c r="I62" i="8"/>
  <c r="K61" i="8"/>
  <c r="J61" i="8"/>
  <c r="I61" i="8"/>
  <c r="K60" i="8"/>
  <c r="J60" i="8"/>
  <c r="I60" i="8"/>
  <c r="K59" i="8"/>
  <c r="J59" i="8"/>
  <c r="I59" i="8"/>
  <c r="K58" i="8"/>
  <c r="J58" i="8"/>
  <c r="I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K47" i="8"/>
  <c r="J47" i="8"/>
  <c r="I47" i="8"/>
  <c r="K46" i="8"/>
  <c r="J46" i="8"/>
  <c r="I46" i="8"/>
  <c r="K45" i="8"/>
  <c r="J45" i="8"/>
  <c r="I45" i="8"/>
  <c r="K44" i="8"/>
  <c r="J44" i="8"/>
  <c r="I44" i="8"/>
  <c r="K43" i="8"/>
  <c r="J43" i="8"/>
  <c r="I43" i="8"/>
  <c r="K42" i="8"/>
  <c r="J42" i="8"/>
  <c r="I42" i="8"/>
  <c r="L107" i="37"/>
  <c r="L107" i="36"/>
  <c r="L107" i="35"/>
  <c r="L107" i="32"/>
  <c r="U35" i="3"/>
  <c r="O35" i="3"/>
  <c r="M88" i="30" l="1"/>
  <c r="M87" i="30"/>
  <c r="M89" i="30"/>
  <c r="M91" i="34"/>
  <c r="M98" i="34"/>
  <c r="M92" i="34"/>
  <c r="M94" i="34"/>
  <c r="M97" i="34"/>
  <c r="M95" i="34"/>
  <c r="M89" i="34"/>
  <c r="M96" i="34"/>
  <c r="M87" i="34"/>
  <c r="M88" i="34"/>
  <c r="M99" i="34"/>
  <c r="M90" i="34"/>
  <c r="M93" i="34"/>
  <c r="M101" i="34"/>
  <c r="L42" i="8"/>
  <c r="B28" i="39" s="1"/>
  <c r="P22" i="32" l="1"/>
  <c r="U22" i="32" s="1"/>
  <c r="Z22" i="32" s="1"/>
  <c r="AE22" i="32" s="1"/>
  <c r="AJ22" i="32" s="1"/>
  <c r="AO22" i="32" s="1"/>
  <c r="AT22" i="32" s="1"/>
  <c r="P22" i="31"/>
  <c r="U22" i="31" s="1"/>
  <c r="Z22" i="31" s="1"/>
  <c r="AE22" i="31" s="1"/>
  <c r="AJ22" i="31" s="1"/>
  <c r="AO22" i="31" s="1"/>
  <c r="AT22" i="31" s="1"/>
  <c r="P22" i="34"/>
  <c r="U22" i="34" s="1"/>
  <c r="Z22" i="34" s="1"/>
  <c r="AE22" i="34" s="1"/>
  <c r="AJ22" i="34" s="1"/>
  <c r="AO22" i="34" s="1"/>
  <c r="AT22" i="34" s="1"/>
  <c r="P22" i="35"/>
  <c r="U22" i="35" s="1"/>
  <c r="Z22" i="35" s="1"/>
  <c r="AE22" i="35" s="1"/>
  <c r="AJ22" i="35" s="1"/>
  <c r="AO22" i="35" s="1"/>
  <c r="AT22" i="35" s="1"/>
  <c r="P22" i="36"/>
  <c r="U22" i="36" s="1"/>
  <c r="Z22" i="36" s="1"/>
  <c r="AE22" i="36" s="1"/>
  <c r="AJ22" i="36" s="1"/>
  <c r="AO22" i="36" s="1"/>
  <c r="AT22" i="36" s="1"/>
  <c r="P22" i="37"/>
  <c r="U22" i="37" s="1"/>
  <c r="Z22" i="37" s="1"/>
  <c r="AE22" i="37" s="1"/>
  <c r="AJ22" i="37" s="1"/>
  <c r="AO22" i="37" s="1"/>
  <c r="AT22" i="37" s="1"/>
  <c r="P22" i="30"/>
  <c r="U22" i="30" s="1"/>
  <c r="Z22" i="30" s="1"/>
  <c r="AE22" i="30" s="1"/>
  <c r="AJ22" i="30" s="1"/>
  <c r="AO22" i="30" s="1"/>
  <c r="AT22" i="30" s="1"/>
  <c r="Z2" i="32"/>
  <c r="AE2" i="32" s="1"/>
  <c r="AJ2" i="32" s="1"/>
  <c r="AO2" i="32" s="1"/>
  <c r="AT2" i="32" s="1"/>
  <c r="Z2" i="31"/>
  <c r="AE2" i="31" s="1"/>
  <c r="AJ2" i="31" s="1"/>
  <c r="AO2" i="31" s="1"/>
  <c r="AT2" i="31" s="1"/>
  <c r="U2" i="34"/>
  <c r="Z2" i="34" s="1"/>
  <c r="AE2" i="34" s="1"/>
  <c r="AJ2" i="34" s="1"/>
  <c r="AO2" i="34" s="1"/>
  <c r="AT2" i="34" s="1"/>
  <c r="U2" i="35"/>
  <c r="Z2" i="35" s="1"/>
  <c r="AE2" i="35" s="1"/>
  <c r="AJ2" i="35" s="1"/>
  <c r="AO2" i="35" s="1"/>
  <c r="AT2" i="35" s="1"/>
  <c r="U2" i="36"/>
  <c r="Z2" i="36" s="1"/>
  <c r="AE2" i="36" s="1"/>
  <c r="AJ2" i="36" s="1"/>
  <c r="AO2" i="36" s="1"/>
  <c r="AT2" i="36" s="1"/>
  <c r="U2" i="37"/>
  <c r="Z2" i="37" s="1"/>
  <c r="AE2" i="37" s="1"/>
  <c r="AJ2" i="37" s="1"/>
  <c r="AO2" i="37" s="1"/>
  <c r="AT2" i="37" s="1"/>
  <c r="Z2" i="30"/>
  <c r="AE2" i="30" s="1"/>
  <c r="AJ2" i="30" s="1"/>
  <c r="AO2" i="30" s="1"/>
  <c r="AT2" i="30" s="1"/>
  <c r="U2" i="33"/>
  <c r="Z2" i="33" s="1"/>
  <c r="AE2" i="33" s="1"/>
  <c r="AJ2" i="33" s="1"/>
  <c r="AO2" i="33" s="1"/>
  <c r="AT2" i="33" s="1"/>
  <c r="P37" i="8"/>
  <c r="U2" i="8"/>
  <c r="Z2" i="8" s="1"/>
  <c r="AE2" i="8" s="1"/>
  <c r="AJ2" i="8" s="1"/>
  <c r="AO2" i="8" s="1"/>
  <c r="U5" i="3" l="1"/>
  <c r="P6" i="3" l="1"/>
  <c r="AW121" i="30" l="1"/>
  <c r="AR121" i="30"/>
  <c r="AM121" i="30"/>
  <c r="AH121" i="30"/>
  <c r="AC121" i="30"/>
  <c r="X121" i="30"/>
  <c r="S121" i="30"/>
  <c r="AW120" i="30"/>
  <c r="AR120" i="30"/>
  <c r="AM120" i="30"/>
  <c r="AH120" i="30"/>
  <c r="AC120" i="30"/>
  <c r="X120" i="30"/>
  <c r="S120" i="30"/>
  <c r="AW119" i="30"/>
  <c r="AR119" i="30"/>
  <c r="AM119" i="30"/>
  <c r="AH119" i="30"/>
  <c r="AC119" i="30"/>
  <c r="X119" i="30"/>
  <c r="S119" i="30"/>
  <c r="AW118" i="30"/>
  <c r="AR118" i="30"/>
  <c r="AM118" i="30"/>
  <c r="AH118" i="30"/>
  <c r="AC118" i="30"/>
  <c r="X118" i="30"/>
  <c r="S118" i="30"/>
  <c r="AW117" i="30"/>
  <c r="AR117" i="30"/>
  <c r="AM117" i="30"/>
  <c r="AH117" i="30"/>
  <c r="AC117" i="30"/>
  <c r="X117" i="30"/>
  <c r="S117" i="30"/>
  <c r="AW116" i="30"/>
  <c r="AR116" i="30"/>
  <c r="AM116" i="30"/>
  <c r="AH116" i="30"/>
  <c r="AC116" i="30"/>
  <c r="X116" i="30"/>
  <c r="S116" i="30"/>
  <c r="AW115" i="30"/>
  <c r="AR115" i="30"/>
  <c r="AM115" i="30"/>
  <c r="AH115" i="30"/>
  <c r="AC115" i="30"/>
  <c r="X115" i="30"/>
  <c r="S115" i="30"/>
  <c r="AW114" i="30"/>
  <c r="AR114" i="30"/>
  <c r="AM114" i="30"/>
  <c r="AH114" i="30"/>
  <c r="AC114" i="30"/>
  <c r="X114" i="30"/>
  <c r="S114" i="30"/>
  <c r="AW113" i="30"/>
  <c r="AR113" i="30"/>
  <c r="AM113" i="30"/>
  <c r="AH113" i="30"/>
  <c r="AC113" i="30"/>
  <c r="X113" i="30"/>
  <c r="S113" i="30"/>
  <c r="AW112" i="30"/>
  <c r="AR112" i="30"/>
  <c r="AM112" i="30"/>
  <c r="AH112" i="30"/>
  <c r="AC112" i="30"/>
  <c r="X112" i="30"/>
  <c r="S112" i="30"/>
  <c r="AW111" i="30"/>
  <c r="AR111" i="30"/>
  <c r="AM111" i="30"/>
  <c r="AH111" i="30"/>
  <c r="AC111" i="30"/>
  <c r="X111" i="30"/>
  <c r="S111" i="30"/>
  <c r="AW110" i="30"/>
  <c r="AR110" i="30"/>
  <c r="AM110" i="30"/>
  <c r="AH110" i="30"/>
  <c r="AC110" i="30"/>
  <c r="X110" i="30"/>
  <c r="S110" i="30"/>
  <c r="AW109" i="30"/>
  <c r="AR109" i="30"/>
  <c r="AM109" i="30"/>
  <c r="AH109" i="30"/>
  <c r="AC109" i="30"/>
  <c r="X109" i="30"/>
  <c r="S109" i="30"/>
  <c r="AW108" i="30"/>
  <c r="AR108" i="30"/>
  <c r="AM108" i="30"/>
  <c r="AH108" i="30"/>
  <c r="AC108" i="30"/>
  <c r="X108" i="30"/>
  <c r="S108" i="30"/>
  <c r="AW107" i="30"/>
  <c r="AR107" i="30"/>
  <c r="AM107" i="30"/>
  <c r="AH107" i="30"/>
  <c r="AC107" i="30"/>
  <c r="X107" i="30"/>
  <c r="S107" i="30"/>
  <c r="G255" i="8" l="1"/>
  <c r="G254" i="8"/>
  <c r="G253" i="8"/>
  <c r="G252" i="8"/>
  <c r="G251" i="8"/>
  <c r="G250" i="8"/>
  <c r="G262" i="8"/>
  <c r="G261" i="8"/>
  <c r="G260" i="8"/>
  <c r="G259" i="8"/>
  <c r="G258" i="8"/>
  <c r="G257" i="8"/>
  <c r="AW211" i="33" l="1"/>
  <c r="AW210" i="33"/>
  <c r="AW209" i="33"/>
  <c r="AW208" i="33"/>
  <c r="AW207" i="33"/>
  <c r="AW206" i="33"/>
  <c r="AW205" i="33"/>
  <c r="AW204" i="33"/>
  <c r="AW203" i="33"/>
  <c r="AW202" i="33"/>
  <c r="AW201" i="33"/>
  <c r="AW200" i="33"/>
  <c r="AW199" i="33"/>
  <c r="AW198" i="33"/>
  <c r="AW197" i="33"/>
  <c r="AW196" i="33"/>
  <c r="AW195" i="33"/>
  <c r="AW194" i="33"/>
  <c r="AW193" i="33"/>
  <c r="AW192" i="33"/>
  <c r="AW191" i="33"/>
  <c r="AW190" i="33"/>
  <c r="AW189" i="33"/>
  <c r="AW188" i="33"/>
  <c r="AW187" i="33"/>
  <c r="AW186" i="33"/>
  <c r="AW185" i="33"/>
  <c r="AW184" i="33"/>
  <c r="AW183" i="33"/>
  <c r="AW182" i="33"/>
  <c r="AR211" i="33"/>
  <c r="AR210" i="33"/>
  <c r="AR209" i="33"/>
  <c r="AR208" i="33"/>
  <c r="AR207" i="33"/>
  <c r="AR206" i="33"/>
  <c r="AR205" i="33"/>
  <c r="AR204" i="33"/>
  <c r="AR203" i="33"/>
  <c r="AR202" i="33"/>
  <c r="AR201" i="33"/>
  <c r="AR200" i="33"/>
  <c r="AR199" i="33"/>
  <c r="AR198" i="33"/>
  <c r="AR197" i="33"/>
  <c r="AR196" i="33"/>
  <c r="AR195" i="33"/>
  <c r="AR194" i="33"/>
  <c r="AR193" i="33"/>
  <c r="AR192" i="33"/>
  <c r="AR191" i="33"/>
  <c r="AR190" i="33"/>
  <c r="AR189" i="33"/>
  <c r="AR188" i="33"/>
  <c r="AR187" i="33"/>
  <c r="AR186" i="33"/>
  <c r="AR185" i="33"/>
  <c r="AR184" i="33"/>
  <c r="AR183" i="33"/>
  <c r="AR182" i="33"/>
  <c r="AM211" i="33"/>
  <c r="AM210" i="33"/>
  <c r="AM209" i="33"/>
  <c r="AM208" i="33"/>
  <c r="AM207" i="33"/>
  <c r="AM206" i="33"/>
  <c r="AM205" i="33"/>
  <c r="AM204" i="33"/>
  <c r="AM203" i="33"/>
  <c r="AM202" i="33"/>
  <c r="AM201" i="33"/>
  <c r="AM200" i="33"/>
  <c r="AM199" i="33"/>
  <c r="AM198" i="33"/>
  <c r="AM197" i="33"/>
  <c r="AM196" i="33"/>
  <c r="AM195" i="33"/>
  <c r="AM194" i="33"/>
  <c r="AM193" i="33"/>
  <c r="AM192" i="33"/>
  <c r="AM191" i="33"/>
  <c r="AM190" i="33"/>
  <c r="AM189" i="33"/>
  <c r="AM188" i="33"/>
  <c r="AM187" i="33"/>
  <c r="AM186" i="33"/>
  <c r="AM185" i="33"/>
  <c r="AM184" i="33"/>
  <c r="AM183" i="33"/>
  <c r="AM182" i="33"/>
  <c r="AH211" i="33"/>
  <c r="AH210" i="33"/>
  <c r="AH209" i="33"/>
  <c r="AH208" i="33"/>
  <c r="AH207" i="33"/>
  <c r="AH206" i="33"/>
  <c r="AH205" i="33"/>
  <c r="AH204" i="33"/>
  <c r="AH203" i="33"/>
  <c r="AH202" i="33"/>
  <c r="AH201" i="33"/>
  <c r="AH200" i="33"/>
  <c r="AH199" i="33"/>
  <c r="AH198" i="33"/>
  <c r="AH197" i="33"/>
  <c r="AH196" i="33"/>
  <c r="AH195" i="33"/>
  <c r="AH194" i="33"/>
  <c r="AH193" i="33"/>
  <c r="AH192" i="33"/>
  <c r="AH191" i="33"/>
  <c r="AH190" i="33"/>
  <c r="AH189" i="33"/>
  <c r="AH188" i="33"/>
  <c r="AH187" i="33"/>
  <c r="AH186" i="33"/>
  <c r="AH185" i="33"/>
  <c r="AH184" i="33"/>
  <c r="AH183" i="33"/>
  <c r="AH182" i="33"/>
  <c r="AC211" i="33"/>
  <c r="AC210" i="33"/>
  <c r="AC209" i="33"/>
  <c r="AC208" i="33"/>
  <c r="AC207" i="33"/>
  <c r="AC206" i="33"/>
  <c r="AC205" i="33"/>
  <c r="AC204" i="33"/>
  <c r="AC203" i="33"/>
  <c r="AC202" i="33"/>
  <c r="AC201" i="33"/>
  <c r="AC200" i="33"/>
  <c r="AC199" i="33"/>
  <c r="AC198" i="33"/>
  <c r="AC197" i="33"/>
  <c r="AC196" i="33"/>
  <c r="AC195" i="33"/>
  <c r="AC194" i="33"/>
  <c r="AC193" i="33"/>
  <c r="AC192" i="33"/>
  <c r="AC191" i="33"/>
  <c r="AC190" i="33"/>
  <c r="AC189" i="33"/>
  <c r="AC188" i="33"/>
  <c r="AC187" i="33"/>
  <c r="AC186" i="33"/>
  <c r="AC185" i="33"/>
  <c r="AC184" i="33"/>
  <c r="AC183" i="33"/>
  <c r="AC182" i="33"/>
  <c r="X211" i="33"/>
  <c r="X210" i="33"/>
  <c r="X209" i="33"/>
  <c r="X208" i="33"/>
  <c r="X207" i="33"/>
  <c r="X206" i="33"/>
  <c r="X205" i="33"/>
  <c r="X204" i="33"/>
  <c r="X203" i="33"/>
  <c r="X202" i="33"/>
  <c r="X201" i="33"/>
  <c r="X200" i="33"/>
  <c r="X199" i="33"/>
  <c r="X198" i="33"/>
  <c r="X197" i="33"/>
  <c r="X196" i="33"/>
  <c r="X195" i="33"/>
  <c r="X194" i="33"/>
  <c r="X193" i="33"/>
  <c r="X192" i="33"/>
  <c r="X191" i="33"/>
  <c r="X190" i="33"/>
  <c r="X189" i="33"/>
  <c r="X188" i="33"/>
  <c r="X187" i="33"/>
  <c r="X186" i="33"/>
  <c r="X185" i="33"/>
  <c r="X184" i="33"/>
  <c r="X183" i="33"/>
  <c r="X182" i="33"/>
  <c r="S211" i="33"/>
  <c r="S210" i="33"/>
  <c r="S209" i="33"/>
  <c r="S208" i="33"/>
  <c r="S207" i="33"/>
  <c r="S206" i="33"/>
  <c r="S205" i="33"/>
  <c r="S204" i="33"/>
  <c r="S203" i="33"/>
  <c r="S202" i="33"/>
  <c r="S201" i="33"/>
  <c r="S200" i="33"/>
  <c r="S199" i="33"/>
  <c r="S198" i="33"/>
  <c r="S197" i="33"/>
  <c r="S196" i="33"/>
  <c r="S195" i="33"/>
  <c r="S194" i="33"/>
  <c r="S193" i="33"/>
  <c r="S192" i="33"/>
  <c r="S191" i="33"/>
  <c r="S190" i="33"/>
  <c r="S189" i="33"/>
  <c r="S188" i="33"/>
  <c r="S187" i="33"/>
  <c r="S186" i="33"/>
  <c r="S185" i="33"/>
  <c r="S184" i="33"/>
  <c r="S183" i="33"/>
  <c r="S182" i="33"/>
  <c r="AW121" i="37" l="1"/>
  <c r="AR121" i="37"/>
  <c r="AM121" i="37"/>
  <c r="AH121" i="37"/>
  <c r="AC121" i="37"/>
  <c r="X121" i="37"/>
  <c r="S121" i="37"/>
  <c r="AW120" i="37"/>
  <c r="AR120" i="37"/>
  <c r="AM120" i="37"/>
  <c r="AH120" i="37"/>
  <c r="AC120" i="37"/>
  <c r="X120" i="37"/>
  <c r="S120" i="37"/>
  <c r="AW119" i="37"/>
  <c r="AR119" i="37"/>
  <c r="AM119" i="37"/>
  <c r="AH119" i="37"/>
  <c r="AC119" i="37"/>
  <c r="X119" i="37"/>
  <c r="S119" i="37"/>
  <c r="AW118" i="37"/>
  <c r="AR118" i="37"/>
  <c r="AM118" i="37"/>
  <c r="AH118" i="37"/>
  <c r="AC118" i="37"/>
  <c r="X118" i="37"/>
  <c r="S118" i="37"/>
  <c r="AW117" i="37"/>
  <c r="AR117" i="37"/>
  <c r="AM117" i="37"/>
  <c r="AH117" i="37"/>
  <c r="AC117" i="37"/>
  <c r="X117" i="37"/>
  <c r="S117" i="37"/>
  <c r="AW116" i="37"/>
  <c r="AR116" i="37"/>
  <c r="AM116" i="37"/>
  <c r="AH116" i="37"/>
  <c r="AC116" i="37"/>
  <c r="X116" i="37"/>
  <c r="S116" i="37"/>
  <c r="AW115" i="37"/>
  <c r="AR115" i="37"/>
  <c r="AM115" i="37"/>
  <c r="AH115" i="37"/>
  <c r="AC115" i="37"/>
  <c r="X115" i="37"/>
  <c r="S115" i="37"/>
  <c r="AW114" i="37"/>
  <c r="AR114" i="37"/>
  <c r="AM114" i="37"/>
  <c r="AH114" i="37"/>
  <c r="AC114" i="37"/>
  <c r="X114" i="37"/>
  <c r="S114" i="37"/>
  <c r="AW113" i="37"/>
  <c r="AR113" i="37"/>
  <c r="AM113" i="37"/>
  <c r="AH113" i="37"/>
  <c r="AC113" i="37"/>
  <c r="X113" i="37"/>
  <c r="S113" i="37"/>
  <c r="AW112" i="37"/>
  <c r="AR112" i="37"/>
  <c r="AM112" i="37"/>
  <c r="AH112" i="37"/>
  <c r="AC112" i="37"/>
  <c r="X112" i="37"/>
  <c r="S112" i="37"/>
  <c r="AW111" i="37"/>
  <c r="AR111" i="37"/>
  <c r="AM111" i="37"/>
  <c r="AH111" i="37"/>
  <c r="AC111" i="37"/>
  <c r="X111" i="37"/>
  <c r="S111" i="37"/>
  <c r="AW110" i="37"/>
  <c r="AR110" i="37"/>
  <c r="AM110" i="37"/>
  <c r="AH110" i="37"/>
  <c r="AC110" i="37"/>
  <c r="X110" i="37"/>
  <c r="S110" i="37"/>
  <c r="AW109" i="37"/>
  <c r="AR109" i="37"/>
  <c r="AM109" i="37"/>
  <c r="AH109" i="37"/>
  <c r="AC109" i="37"/>
  <c r="X109" i="37"/>
  <c r="S109" i="37"/>
  <c r="AW108" i="37"/>
  <c r="AR108" i="37"/>
  <c r="AM108" i="37"/>
  <c r="AH108" i="37"/>
  <c r="AC108" i="37"/>
  <c r="X108" i="37"/>
  <c r="S108" i="37"/>
  <c r="AX107" i="37"/>
  <c r="AW107" i="37"/>
  <c r="AS107" i="37"/>
  <c r="AR107" i="37"/>
  <c r="AN107" i="37"/>
  <c r="AM107" i="37"/>
  <c r="AI107" i="37"/>
  <c r="AH107" i="37"/>
  <c r="AD107" i="37"/>
  <c r="AC107" i="37"/>
  <c r="Y107" i="37"/>
  <c r="X107" i="37"/>
  <c r="T107" i="37"/>
  <c r="S107" i="37"/>
  <c r="H107" i="37"/>
  <c r="AW121" i="36"/>
  <c r="AR121" i="36"/>
  <c r="AM121" i="36"/>
  <c r="AH121" i="36"/>
  <c r="AC121" i="36"/>
  <c r="X121" i="36"/>
  <c r="S121" i="36"/>
  <c r="AW120" i="36"/>
  <c r="AR120" i="36"/>
  <c r="AM120" i="36"/>
  <c r="AH120" i="36"/>
  <c r="AC120" i="36"/>
  <c r="X120" i="36"/>
  <c r="S120" i="36"/>
  <c r="AW119" i="36"/>
  <c r="AR119" i="36"/>
  <c r="AM119" i="36"/>
  <c r="AH119" i="36"/>
  <c r="AC119" i="36"/>
  <c r="X119" i="36"/>
  <c r="S119" i="36"/>
  <c r="AW118" i="36"/>
  <c r="AR118" i="36"/>
  <c r="AM118" i="36"/>
  <c r="AH118" i="36"/>
  <c r="AC118" i="36"/>
  <c r="X118" i="36"/>
  <c r="S118" i="36"/>
  <c r="AW117" i="36"/>
  <c r="AR117" i="36"/>
  <c r="AM117" i="36"/>
  <c r="AH117" i="36"/>
  <c r="AC117" i="36"/>
  <c r="X117" i="36"/>
  <c r="S117" i="36"/>
  <c r="AW116" i="36"/>
  <c r="AR116" i="36"/>
  <c r="AM116" i="36"/>
  <c r="AH116" i="36"/>
  <c r="AC116" i="36"/>
  <c r="X116" i="36"/>
  <c r="S116" i="36"/>
  <c r="AW115" i="36"/>
  <c r="AR115" i="36"/>
  <c r="AM115" i="36"/>
  <c r="AH115" i="36"/>
  <c r="AC115" i="36"/>
  <c r="X115" i="36"/>
  <c r="S115" i="36"/>
  <c r="AW114" i="36"/>
  <c r="AR114" i="36"/>
  <c r="AM114" i="36"/>
  <c r="AH114" i="36"/>
  <c r="AC114" i="36"/>
  <c r="X114" i="36"/>
  <c r="S114" i="36"/>
  <c r="AW113" i="36"/>
  <c r="AR113" i="36"/>
  <c r="AM113" i="36"/>
  <c r="AH113" i="36"/>
  <c r="AC113" i="36"/>
  <c r="X113" i="36"/>
  <c r="S113" i="36"/>
  <c r="AW112" i="36"/>
  <c r="AR112" i="36"/>
  <c r="AM112" i="36"/>
  <c r="AH112" i="36"/>
  <c r="AC112" i="36"/>
  <c r="X112" i="36"/>
  <c r="S112" i="36"/>
  <c r="AW111" i="36"/>
  <c r="AR111" i="36"/>
  <c r="AM111" i="36"/>
  <c r="AH111" i="36"/>
  <c r="AC111" i="36"/>
  <c r="X111" i="36"/>
  <c r="S111" i="36"/>
  <c r="AW110" i="36"/>
  <c r="AR110" i="36"/>
  <c r="AM110" i="36"/>
  <c r="AH110" i="36"/>
  <c r="AC110" i="36"/>
  <c r="X110" i="36"/>
  <c r="S110" i="36"/>
  <c r="AW109" i="36"/>
  <c r="AR109" i="36"/>
  <c r="AM109" i="36"/>
  <c r="AH109" i="36"/>
  <c r="AC109" i="36"/>
  <c r="X109" i="36"/>
  <c r="S109" i="36"/>
  <c r="AW108" i="36"/>
  <c r="AR108" i="36"/>
  <c r="AM108" i="36"/>
  <c r="AH108" i="36"/>
  <c r="AC108" i="36"/>
  <c r="X108" i="36"/>
  <c r="S108" i="36"/>
  <c r="AX107" i="36"/>
  <c r="AW107" i="36"/>
  <c r="AS107" i="36"/>
  <c r="AR107" i="36"/>
  <c r="AN107" i="36"/>
  <c r="AM107" i="36"/>
  <c r="AI107" i="36"/>
  <c r="AH107" i="36"/>
  <c r="AD107" i="36"/>
  <c r="AC107" i="36"/>
  <c r="Y107" i="36"/>
  <c r="X107" i="36"/>
  <c r="T107" i="36"/>
  <c r="S107" i="36"/>
  <c r="H107" i="36"/>
  <c r="AW121" i="35"/>
  <c r="AR121" i="35"/>
  <c r="AM121" i="35"/>
  <c r="AH121" i="35"/>
  <c r="AC121" i="35"/>
  <c r="X121" i="35"/>
  <c r="S121" i="35"/>
  <c r="AW120" i="35"/>
  <c r="AR120" i="35"/>
  <c r="AM120" i="35"/>
  <c r="AH120" i="35"/>
  <c r="AC120" i="35"/>
  <c r="X120" i="35"/>
  <c r="S120" i="35"/>
  <c r="AW119" i="35"/>
  <c r="AR119" i="35"/>
  <c r="AM119" i="35"/>
  <c r="AH119" i="35"/>
  <c r="AC119" i="35"/>
  <c r="X119" i="35"/>
  <c r="S119" i="35"/>
  <c r="AW118" i="35"/>
  <c r="AR118" i="35"/>
  <c r="AM118" i="35"/>
  <c r="AH118" i="35"/>
  <c r="AC118" i="35"/>
  <c r="X118" i="35"/>
  <c r="S118" i="35"/>
  <c r="AW117" i="35"/>
  <c r="AR117" i="35"/>
  <c r="AM117" i="35"/>
  <c r="AH117" i="35"/>
  <c r="AC117" i="35"/>
  <c r="X117" i="35"/>
  <c r="S117" i="35"/>
  <c r="AW116" i="35"/>
  <c r="AR116" i="35"/>
  <c r="AM116" i="35"/>
  <c r="AH116" i="35"/>
  <c r="AC116" i="35"/>
  <c r="X116" i="35"/>
  <c r="S116" i="35"/>
  <c r="AW115" i="35"/>
  <c r="AR115" i="35"/>
  <c r="AM115" i="35"/>
  <c r="AH115" i="35"/>
  <c r="AC115" i="35"/>
  <c r="X115" i="35"/>
  <c r="S115" i="35"/>
  <c r="AW114" i="35"/>
  <c r="AR114" i="35"/>
  <c r="AM114" i="35"/>
  <c r="AH114" i="35"/>
  <c r="AC114" i="35"/>
  <c r="X114" i="35"/>
  <c r="S114" i="35"/>
  <c r="AW113" i="35"/>
  <c r="AR113" i="35"/>
  <c r="AM113" i="35"/>
  <c r="AH113" i="35"/>
  <c r="AC113" i="35"/>
  <c r="X113" i="35"/>
  <c r="S113" i="35"/>
  <c r="AW112" i="35"/>
  <c r="AR112" i="35"/>
  <c r="AM112" i="35"/>
  <c r="AH112" i="35"/>
  <c r="AC112" i="35"/>
  <c r="X112" i="35"/>
  <c r="S112" i="35"/>
  <c r="AW111" i="35"/>
  <c r="AR111" i="35"/>
  <c r="AM111" i="35"/>
  <c r="AH111" i="35"/>
  <c r="AC111" i="35"/>
  <c r="X111" i="35"/>
  <c r="S111" i="35"/>
  <c r="AW110" i="35"/>
  <c r="AR110" i="35"/>
  <c r="AM110" i="35"/>
  <c r="AH110" i="35"/>
  <c r="AC110" i="35"/>
  <c r="X110" i="35"/>
  <c r="S110" i="35"/>
  <c r="AW109" i="35"/>
  <c r="AR109" i="35"/>
  <c r="AM109" i="35"/>
  <c r="AH109" i="35"/>
  <c r="AC109" i="35"/>
  <c r="X109" i="35"/>
  <c r="S109" i="35"/>
  <c r="AW108" i="35"/>
  <c r="AR108" i="35"/>
  <c r="AM108" i="35"/>
  <c r="AH108" i="35"/>
  <c r="AC108" i="35"/>
  <c r="X108" i="35"/>
  <c r="S108" i="35"/>
  <c r="AX107" i="35"/>
  <c r="AW107" i="35"/>
  <c r="AS107" i="35"/>
  <c r="AR107" i="35"/>
  <c r="AN107" i="35"/>
  <c r="AM107" i="35"/>
  <c r="AI107" i="35"/>
  <c r="AH107" i="35"/>
  <c r="AD107" i="35"/>
  <c r="AC107" i="35"/>
  <c r="Y107" i="35"/>
  <c r="X107" i="35"/>
  <c r="T107" i="35"/>
  <c r="S107" i="35"/>
  <c r="H107" i="35"/>
  <c r="AW121" i="32"/>
  <c r="AR121" i="32"/>
  <c r="AM121" i="32"/>
  <c r="AH121" i="32"/>
  <c r="AC121" i="32"/>
  <c r="X121" i="32"/>
  <c r="S121" i="32"/>
  <c r="AW120" i="32"/>
  <c r="AR120" i="32"/>
  <c r="AM120" i="32"/>
  <c r="AH120" i="32"/>
  <c r="AC120" i="32"/>
  <c r="X120" i="32"/>
  <c r="S120" i="32"/>
  <c r="AW119" i="32"/>
  <c r="AR119" i="32"/>
  <c r="AM119" i="32"/>
  <c r="AH119" i="32"/>
  <c r="AC119" i="32"/>
  <c r="X119" i="32"/>
  <c r="S119" i="32"/>
  <c r="AW118" i="32"/>
  <c r="AR118" i="32"/>
  <c r="AM118" i="32"/>
  <c r="AH118" i="32"/>
  <c r="AC118" i="32"/>
  <c r="X118" i="32"/>
  <c r="S118" i="32"/>
  <c r="AW117" i="32"/>
  <c r="AR117" i="32"/>
  <c r="AM117" i="32"/>
  <c r="AH117" i="32"/>
  <c r="AC117" i="32"/>
  <c r="X117" i="32"/>
  <c r="S117" i="32"/>
  <c r="AW116" i="32"/>
  <c r="AR116" i="32"/>
  <c r="AM116" i="32"/>
  <c r="AH116" i="32"/>
  <c r="AC116" i="32"/>
  <c r="X116" i="32"/>
  <c r="S116" i="32"/>
  <c r="AW115" i="32"/>
  <c r="AR115" i="32"/>
  <c r="AM115" i="32"/>
  <c r="AH115" i="32"/>
  <c r="AC115" i="32"/>
  <c r="X115" i="32"/>
  <c r="S115" i="32"/>
  <c r="AW114" i="32"/>
  <c r="AR114" i="32"/>
  <c r="AM114" i="32"/>
  <c r="AH114" i="32"/>
  <c r="AC114" i="32"/>
  <c r="X114" i="32"/>
  <c r="S114" i="32"/>
  <c r="AW113" i="32"/>
  <c r="AR113" i="32"/>
  <c r="AM113" i="32"/>
  <c r="AH113" i="32"/>
  <c r="AC113" i="32"/>
  <c r="X113" i="32"/>
  <c r="S113" i="32"/>
  <c r="AW112" i="32"/>
  <c r="AR112" i="32"/>
  <c r="AM112" i="32"/>
  <c r="AH112" i="32"/>
  <c r="AC112" i="32"/>
  <c r="X112" i="32"/>
  <c r="S112" i="32"/>
  <c r="AW111" i="32"/>
  <c r="AR111" i="32"/>
  <c r="AM111" i="32"/>
  <c r="AH111" i="32"/>
  <c r="AC111" i="32"/>
  <c r="X111" i="32"/>
  <c r="S111" i="32"/>
  <c r="AW110" i="32"/>
  <c r="AR110" i="32"/>
  <c r="AM110" i="32"/>
  <c r="AH110" i="32"/>
  <c r="AC110" i="32"/>
  <c r="X110" i="32"/>
  <c r="S110" i="32"/>
  <c r="AW109" i="32"/>
  <c r="AR109" i="32"/>
  <c r="AM109" i="32"/>
  <c r="AH109" i="32"/>
  <c r="AC109" i="32"/>
  <c r="X109" i="32"/>
  <c r="S109" i="32"/>
  <c r="AW108" i="32"/>
  <c r="AR108" i="32"/>
  <c r="AM108" i="32"/>
  <c r="AH108" i="32"/>
  <c r="AC108" i="32"/>
  <c r="X108" i="32"/>
  <c r="S108" i="32"/>
  <c r="AX107" i="32"/>
  <c r="AW107" i="32"/>
  <c r="AS107" i="32"/>
  <c r="AR107" i="32"/>
  <c r="AN107" i="32"/>
  <c r="AM107" i="32"/>
  <c r="AI107" i="32"/>
  <c r="AH107" i="32"/>
  <c r="AD107" i="32"/>
  <c r="AC107" i="32"/>
  <c r="Y107" i="32"/>
  <c r="X107" i="32"/>
  <c r="T107" i="32"/>
  <c r="S107" i="32"/>
  <c r="H107" i="32"/>
  <c r="M113" i="30"/>
  <c r="M112" i="30"/>
  <c r="M111" i="30"/>
  <c r="M110" i="30"/>
  <c r="M109" i="30"/>
  <c r="M108" i="30"/>
  <c r="AX107" i="30"/>
  <c r="AS107" i="30"/>
  <c r="AN107" i="30"/>
  <c r="AI107" i="30"/>
  <c r="AD107" i="30"/>
  <c r="Y107" i="30"/>
  <c r="T107" i="30"/>
  <c r="H107" i="30"/>
  <c r="AW211" i="8"/>
  <c r="AR211" i="8"/>
  <c r="AM211" i="8"/>
  <c r="AH211" i="8"/>
  <c r="AC211" i="8"/>
  <c r="X211" i="8"/>
  <c r="S211" i="8"/>
  <c r="AW210" i="8"/>
  <c r="AR210" i="8"/>
  <c r="AM210" i="8"/>
  <c r="AH210" i="8"/>
  <c r="AC210" i="8"/>
  <c r="X210" i="8"/>
  <c r="S210" i="8"/>
  <c r="AW209" i="8"/>
  <c r="AR209" i="8"/>
  <c r="AM209" i="8"/>
  <c r="AH209" i="8"/>
  <c r="AC209" i="8"/>
  <c r="X209" i="8"/>
  <c r="S209" i="8"/>
  <c r="AW208" i="8"/>
  <c r="AR208" i="8"/>
  <c r="AM208" i="8"/>
  <c r="AH208" i="8"/>
  <c r="AC208" i="8"/>
  <c r="X208" i="8"/>
  <c r="S208" i="8"/>
  <c r="AW207" i="8"/>
  <c r="AR207" i="8"/>
  <c r="AM207" i="8"/>
  <c r="AH207" i="8"/>
  <c r="AC207" i="8"/>
  <c r="X207" i="8"/>
  <c r="S207" i="8"/>
  <c r="AW206" i="8"/>
  <c r="AR206" i="8"/>
  <c r="AM206" i="8"/>
  <c r="AH206" i="8"/>
  <c r="AC206" i="8"/>
  <c r="X206" i="8"/>
  <c r="S206" i="8"/>
  <c r="AW205" i="8"/>
  <c r="AR205" i="8"/>
  <c r="AM205" i="8"/>
  <c r="AH205" i="8"/>
  <c r="AC205" i="8"/>
  <c r="X205" i="8"/>
  <c r="S205" i="8"/>
  <c r="AW204" i="8"/>
  <c r="AR204" i="8"/>
  <c r="AM204" i="8"/>
  <c r="AH204" i="8"/>
  <c r="AC204" i="8"/>
  <c r="X204" i="8"/>
  <c r="S204" i="8"/>
  <c r="AW203" i="8"/>
  <c r="AR203" i="8"/>
  <c r="AM203" i="8"/>
  <c r="AH203" i="8"/>
  <c r="AC203" i="8"/>
  <c r="X203" i="8"/>
  <c r="S203" i="8"/>
  <c r="AW202" i="8"/>
  <c r="AR202" i="8"/>
  <c r="AM202" i="8"/>
  <c r="AH202" i="8"/>
  <c r="AC202" i="8"/>
  <c r="X202" i="8"/>
  <c r="S202" i="8"/>
  <c r="AW201" i="8"/>
  <c r="AR201" i="8"/>
  <c r="AM201" i="8"/>
  <c r="AH201" i="8"/>
  <c r="AC201" i="8"/>
  <c r="X201" i="8"/>
  <c r="S201" i="8"/>
  <c r="AW200" i="8"/>
  <c r="AR200" i="8"/>
  <c r="AM200" i="8"/>
  <c r="AH200" i="8"/>
  <c r="AC200" i="8"/>
  <c r="X200" i="8"/>
  <c r="S200" i="8"/>
  <c r="AW199" i="8"/>
  <c r="AR199" i="8"/>
  <c r="AM199" i="8"/>
  <c r="AH199" i="8"/>
  <c r="AC199" i="8"/>
  <c r="X199" i="8"/>
  <c r="S199" i="8"/>
  <c r="AW198" i="8"/>
  <c r="AR198" i="8"/>
  <c r="AM198" i="8"/>
  <c r="AH198" i="8"/>
  <c r="AC198" i="8"/>
  <c r="X198" i="8"/>
  <c r="S198" i="8"/>
  <c r="AW197" i="8"/>
  <c r="AR197" i="8"/>
  <c r="AM197" i="8"/>
  <c r="AH197" i="8"/>
  <c r="AC197" i="8"/>
  <c r="X197" i="8"/>
  <c r="S197" i="8"/>
  <c r="AW196" i="8"/>
  <c r="AR196" i="8"/>
  <c r="AM196" i="8"/>
  <c r="AH196" i="8"/>
  <c r="AC196" i="8"/>
  <c r="X196" i="8"/>
  <c r="S196" i="8"/>
  <c r="AW195" i="8"/>
  <c r="AR195" i="8"/>
  <c r="AM195" i="8"/>
  <c r="AH195" i="8"/>
  <c r="AC195" i="8"/>
  <c r="X195" i="8"/>
  <c r="S195" i="8"/>
  <c r="AW194" i="8"/>
  <c r="AR194" i="8"/>
  <c r="AM194" i="8"/>
  <c r="AH194" i="8"/>
  <c r="AC194" i="8"/>
  <c r="X194" i="8"/>
  <c r="S194" i="8"/>
  <c r="AW193" i="8"/>
  <c r="AR193" i="8"/>
  <c r="AM193" i="8"/>
  <c r="AH193" i="8"/>
  <c r="AC193" i="8"/>
  <c r="X193" i="8"/>
  <c r="S193" i="8"/>
  <c r="AW192" i="8"/>
  <c r="AR192" i="8"/>
  <c r="AM192" i="8"/>
  <c r="AH192" i="8"/>
  <c r="AC192" i="8"/>
  <c r="X192" i="8"/>
  <c r="S192" i="8"/>
  <c r="AW191" i="8"/>
  <c r="AR191" i="8"/>
  <c r="AM191" i="8"/>
  <c r="AH191" i="8"/>
  <c r="AC191" i="8"/>
  <c r="X191" i="8"/>
  <c r="S191" i="8"/>
  <c r="AW190" i="8"/>
  <c r="AR190" i="8"/>
  <c r="AM190" i="8"/>
  <c r="AH190" i="8"/>
  <c r="AC190" i="8"/>
  <c r="X190" i="8"/>
  <c r="S190" i="8"/>
  <c r="AW189" i="8"/>
  <c r="AR189" i="8"/>
  <c r="AM189" i="8"/>
  <c r="AH189" i="8"/>
  <c r="AC189" i="8"/>
  <c r="X189" i="8"/>
  <c r="S189" i="8"/>
  <c r="AW188" i="8"/>
  <c r="AR188" i="8"/>
  <c r="AM188" i="8"/>
  <c r="AH188" i="8"/>
  <c r="AC188" i="8"/>
  <c r="X188" i="8"/>
  <c r="S188" i="8"/>
  <c r="AW187" i="8"/>
  <c r="AR187" i="8"/>
  <c r="AM187" i="8"/>
  <c r="AH187" i="8"/>
  <c r="AC187" i="8"/>
  <c r="X187" i="8"/>
  <c r="S187" i="8"/>
  <c r="AW186" i="8"/>
  <c r="AR186" i="8"/>
  <c r="AM186" i="8"/>
  <c r="AH186" i="8"/>
  <c r="AC186" i="8"/>
  <c r="X186" i="8"/>
  <c r="S186" i="8"/>
  <c r="AW185" i="8"/>
  <c r="AR185" i="8"/>
  <c r="AM185" i="8"/>
  <c r="AH185" i="8"/>
  <c r="AC185" i="8"/>
  <c r="X185" i="8"/>
  <c r="S185" i="8"/>
  <c r="AW184" i="8"/>
  <c r="AR184" i="8"/>
  <c r="AM184" i="8"/>
  <c r="AH184" i="8"/>
  <c r="AC184" i="8"/>
  <c r="X184" i="8"/>
  <c r="S184" i="8"/>
  <c r="AW183" i="8"/>
  <c r="AR183" i="8"/>
  <c r="AM183" i="8"/>
  <c r="AH183" i="8"/>
  <c r="AC183" i="8"/>
  <c r="X183" i="8"/>
  <c r="S183" i="8"/>
  <c r="AX182" i="8"/>
  <c r="AW182" i="8"/>
  <c r="AS182" i="8"/>
  <c r="AR182" i="8"/>
  <c r="AN182" i="8"/>
  <c r="AM182" i="8"/>
  <c r="AI182" i="8"/>
  <c r="AH182" i="8"/>
  <c r="AD182" i="8"/>
  <c r="AC182" i="8"/>
  <c r="Y182" i="8"/>
  <c r="X182" i="8"/>
  <c r="T182" i="8"/>
  <c r="S182" i="8"/>
  <c r="L182" i="8"/>
  <c r="H182" i="8"/>
  <c r="M121" i="30" l="1"/>
  <c r="L107" i="30"/>
  <c r="M114" i="30"/>
  <c r="M118" i="30"/>
  <c r="M107" i="30"/>
  <c r="M115" i="30"/>
  <c r="M119" i="30"/>
  <c r="M116" i="30"/>
  <c r="M120" i="30"/>
  <c r="M117" i="30"/>
  <c r="M184" i="8"/>
  <c r="M186" i="8"/>
  <c r="M188" i="8"/>
  <c r="M190" i="8"/>
  <c r="M211" i="8"/>
  <c r="M183" i="8"/>
  <c r="M185" i="8"/>
  <c r="M187" i="8"/>
  <c r="M189" i="8"/>
  <c r="M191" i="8"/>
  <c r="M193" i="8"/>
  <c r="M195" i="8"/>
  <c r="M197" i="8"/>
  <c r="M199" i="8"/>
  <c r="M201" i="8"/>
  <c r="M192" i="8"/>
  <c r="M194" i="8"/>
  <c r="M196" i="8"/>
  <c r="M198" i="8"/>
  <c r="M200" i="8"/>
  <c r="M202" i="8"/>
  <c r="M182" i="8"/>
  <c r="M206" i="8"/>
  <c r="M210" i="8"/>
  <c r="M203" i="8"/>
  <c r="M207" i="8"/>
  <c r="M204" i="8"/>
  <c r="M208" i="8"/>
  <c r="M205" i="8"/>
  <c r="M209" i="8"/>
  <c r="O5" i="3" l="1"/>
  <c r="AC43" i="6" l="1"/>
  <c r="S43" i="6"/>
  <c r="M43" i="6"/>
  <c r="AK50" i="6"/>
  <c r="AI50" i="6"/>
  <c r="AG50" i="6"/>
  <c r="AE50" i="6"/>
  <c r="AA50" i="6"/>
  <c r="Y50" i="6"/>
  <c r="W50" i="6"/>
  <c r="U50" i="6"/>
  <c r="Q50" i="6"/>
  <c r="O50" i="6"/>
  <c r="K50" i="6"/>
  <c r="I50" i="6"/>
  <c r="F43" i="6" l="1"/>
  <c r="AJ43" i="6" s="1"/>
  <c r="AK50" i="7"/>
  <c r="AI50" i="7"/>
  <c r="AG50" i="7"/>
  <c r="AE50" i="7"/>
  <c r="AA50" i="7"/>
  <c r="Y50" i="7"/>
  <c r="W50" i="7"/>
  <c r="U50" i="7"/>
  <c r="Q50" i="7"/>
  <c r="O50" i="7"/>
  <c r="K50" i="7"/>
  <c r="I50" i="7"/>
  <c r="I5" i="5"/>
  <c r="D12" i="3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AH43" i="6" l="1"/>
  <c r="Z43" i="6"/>
  <c r="L43" i="6"/>
  <c r="V43" i="6"/>
  <c r="T43" i="6"/>
  <c r="AL43" i="6"/>
  <c r="AB43" i="6"/>
  <c r="P43" i="6"/>
  <c r="N43" i="6"/>
  <c r="AD43" i="6"/>
  <c r="R43" i="6"/>
  <c r="J43" i="6"/>
  <c r="AF43" i="6"/>
  <c r="X43" i="6"/>
  <c r="F7" i="7"/>
  <c r="L7" i="7" s="1"/>
  <c r="F7" i="6"/>
  <c r="V7" i="7" l="1"/>
  <c r="P7" i="7"/>
  <c r="AH7" i="6"/>
  <c r="AF7" i="6"/>
  <c r="X7" i="6"/>
  <c r="R7" i="6"/>
  <c r="L7" i="6"/>
  <c r="AB7" i="6"/>
  <c r="AJ7" i="6"/>
  <c r="P7" i="6"/>
  <c r="Z7" i="6"/>
  <c r="V7" i="6"/>
  <c r="J7" i="6"/>
  <c r="N7" i="6"/>
  <c r="T7" i="6"/>
  <c r="AD7" i="6"/>
  <c r="AL7" i="6"/>
  <c r="AJ7" i="7"/>
  <c r="J7" i="7"/>
  <c r="AH7" i="7"/>
  <c r="AB7" i="7"/>
  <c r="T7" i="7"/>
  <c r="N7" i="7"/>
  <c r="AF7" i="7"/>
  <c r="Z7" i="7"/>
  <c r="AL7" i="7"/>
  <c r="AD7" i="7"/>
  <c r="X7" i="7"/>
  <c r="R7" i="7"/>
  <c r="B8" i="13" l="1"/>
  <c r="S14" i="7" l="1"/>
  <c r="B10" i="13"/>
  <c r="B7" i="13"/>
  <c r="B6" i="13"/>
  <c r="H128" i="37" l="1"/>
  <c r="E10" i="39" l="1"/>
  <c r="E8" i="39"/>
  <c r="E7" i="39"/>
  <c r="E6" i="39"/>
  <c r="K11" i="39"/>
  <c r="K9" i="39"/>
  <c r="K8" i="39"/>
  <c r="K6" i="39"/>
  <c r="Q10" i="3" l="1"/>
  <c r="W10" i="3"/>
  <c r="AT2" i="8"/>
  <c r="E9" i="39" l="1"/>
  <c r="B9" i="13"/>
  <c r="E11" i="39"/>
  <c r="B11" i="13"/>
  <c r="AW121" i="34"/>
  <c r="AW120" i="34"/>
  <c r="AW117" i="34"/>
  <c r="AW116" i="34"/>
  <c r="AW115" i="34"/>
  <c r="AW114" i="34"/>
  <c r="AW113" i="34"/>
  <c r="AW112" i="34"/>
  <c r="AW111" i="34"/>
  <c r="AW110" i="34"/>
  <c r="AW109" i="34"/>
  <c r="AW108" i="34"/>
  <c r="AW107" i="34"/>
  <c r="AW119" i="34"/>
  <c r="AR121" i="34"/>
  <c r="AR118" i="34"/>
  <c r="AR117" i="34"/>
  <c r="AR116" i="34"/>
  <c r="AR115" i="34"/>
  <c r="AR114" i="34"/>
  <c r="AR113" i="34"/>
  <c r="AR112" i="34"/>
  <c r="AR111" i="34"/>
  <c r="AR110" i="34"/>
  <c r="AR109" i="34"/>
  <c r="AR108" i="34"/>
  <c r="AR120" i="34"/>
  <c r="AM118" i="34"/>
  <c r="AM116" i="34"/>
  <c r="AM115" i="34"/>
  <c r="AM114" i="34"/>
  <c r="AM113" i="34"/>
  <c r="AM112" i="34"/>
  <c r="AM111" i="34"/>
  <c r="AM110" i="34"/>
  <c r="AM109" i="34"/>
  <c r="AM108" i="34"/>
  <c r="AM121" i="34"/>
  <c r="AH116" i="34"/>
  <c r="AH114" i="34"/>
  <c r="AH113" i="34"/>
  <c r="AH112" i="34"/>
  <c r="AH111" i="34"/>
  <c r="AH110" i="34"/>
  <c r="AH109" i="34"/>
  <c r="AH108" i="34"/>
  <c r="AH119" i="34"/>
  <c r="AC121" i="34"/>
  <c r="AC120" i="34"/>
  <c r="AC117" i="34"/>
  <c r="AC116" i="34"/>
  <c r="AC115" i="34"/>
  <c r="AC114" i="34"/>
  <c r="AC113" i="34"/>
  <c r="AC112" i="34"/>
  <c r="AC111" i="34"/>
  <c r="AC110" i="34"/>
  <c r="AC109" i="34"/>
  <c r="AC108" i="34"/>
  <c r="AC107" i="34"/>
  <c r="AC119" i="34"/>
  <c r="X121" i="34"/>
  <c r="X118" i="34"/>
  <c r="X117" i="34"/>
  <c r="X116" i="34"/>
  <c r="X115" i="34"/>
  <c r="X114" i="34"/>
  <c r="X113" i="34"/>
  <c r="X112" i="34"/>
  <c r="X111" i="34"/>
  <c r="X110" i="34"/>
  <c r="X109" i="34"/>
  <c r="X108" i="34"/>
  <c r="X120" i="34"/>
  <c r="S121" i="34"/>
  <c r="S120" i="34"/>
  <c r="S119" i="34"/>
  <c r="S118" i="34"/>
  <c r="S117" i="34"/>
  <c r="S116" i="34"/>
  <c r="S115" i="34"/>
  <c r="S114" i="34"/>
  <c r="S113" i="34"/>
  <c r="S112" i="34"/>
  <c r="S111" i="34"/>
  <c r="S110" i="34"/>
  <c r="S109" i="34"/>
  <c r="S108" i="34"/>
  <c r="S107" i="34"/>
  <c r="AW121" i="31"/>
  <c r="AW120" i="31"/>
  <c r="AW117" i="31"/>
  <c r="AW116" i="31"/>
  <c r="AW113" i="31"/>
  <c r="AW112" i="31"/>
  <c r="AW109" i="31"/>
  <c r="AW108" i="31"/>
  <c r="AW107" i="31"/>
  <c r="AW119" i="31"/>
  <c r="AR121" i="31"/>
  <c r="AR118" i="31"/>
  <c r="AR117" i="31"/>
  <c r="AR114" i="31"/>
  <c r="AR113" i="31"/>
  <c r="AR110" i="31"/>
  <c r="AR109" i="31"/>
  <c r="AR108" i="31"/>
  <c r="AR120" i="31"/>
  <c r="AM118" i="31"/>
  <c r="AM114" i="31"/>
  <c r="AM110" i="31"/>
  <c r="AM108" i="31"/>
  <c r="AM119" i="31"/>
  <c r="AH119" i="31"/>
  <c r="AC121" i="31"/>
  <c r="AC120" i="31"/>
  <c r="AC117" i="31"/>
  <c r="AC116" i="31"/>
  <c r="AC113" i="31"/>
  <c r="AC112" i="31"/>
  <c r="AC109" i="31"/>
  <c r="AC108" i="31"/>
  <c r="AC107" i="31"/>
  <c r="AC119" i="31"/>
  <c r="X121" i="31"/>
  <c r="X118" i="31"/>
  <c r="X117" i="31"/>
  <c r="X114" i="31"/>
  <c r="X113" i="31"/>
  <c r="X110" i="31"/>
  <c r="X109" i="31"/>
  <c r="X108" i="31"/>
  <c r="X120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AH115" i="34" l="1"/>
  <c r="AM119" i="34"/>
  <c r="X119" i="34"/>
  <c r="AC118" i="34"/>
  <c r="AH117" i="34"/>
  <c r="AH121" i="34"/>
  <c r="AM107" i="34"/>
  <c r="AM120" i="34"/>
  <c r="AR119" i="34"/>
  <c r="AW118" i="34"/>
  <c r="AH107" i="34"/>
  <c r="AH120" i="34"/>
  <c r="X107" i="34"/>
  <c r="AH118" i="34"/>
  <c r="AM117" i="34"/>
  <c r="AR107" i="34"/>
  <c r="AH111" i="31"/>
  <c r="AH108" i="31"/>
  <c r="AH116" i="31"/>
  <c r="AM111" i="31"/>
  <c r="X111" i="31"/>
  <c r="X115" i="31"/>
  <c r="X119" i="31"/>
  <c r="AC110" i="31"/>
  <c r="AC114" i="31"/>
  <c r="AC118" i="31"/>
  <c r="AH109" i="31"/>
  <c r="AH113" i="31"/>
  <c r="AH117" i="31"/>
  <c r="AH121" i="31"/>
  <c r="AM107" i="31"/>
  <c r="AM112" i="31"/>
  <c r="AM116" i="31"/>
  <c r="AM120" i="31"/>
  <c r="AR111" i="31"/>
  <c r="AR115" i="31"/>
  <c r="AR119" i="31"/>
  <c r="AW110" i="31"/>
  <c r="AW114" i="31"/>
  <c r="AW118" i="31"/>
  <c r="AH107" i="31"/>
  <c r="AH112" i="31"/>
  <c r="AH120" i="31"/>
  <c r="AM115" i="31"/>
  <c r="X107" i="31"/>
  <c r="X112" i="31"/>
  <c r="X116" i="31"/>
  <c r="AC111" i="31"/>
  <c r="AC115" i="31"/>
  <c r="AH110" i="31"/>
  <c r="AH114" i="31"/>
  <c r="AH118" i="31"/>
  <c r="AM109" i="31"/>
  <c r="AM113" i="31"/>
  <c r="AM117" i="31"/>
  <c r="AM121" i="31"/>
  <c r="AR107" i="31"/>
  <c r="AR112" i="31"/>
  <c r="AR116" i="31"/>
  <c r="AW111" i="31"/>
  <c r="AW115" i="31"/>
  <c r="AH115" i="31"/>
  <c r="I40" i="5" l="1"/>
  <c r="K130" i="36" l="1"/>
  <c r="J130" i="36"/>
  <c r="I130" i="36"/>
  <c r="H128" i="36"/>
  <c r="H128" i="35"/>
  <c r="J137" i="35"/>
  <c r="I137" i="35"/>
  <c r="J136" i="35"/>
  <c r="I136" i="35"/>
  <c r="J131" i="35"/>
  <c r="I131" i="35"/>
  <c r="H128" i="34"/>
  <c r="J135" i="34"/>
  <c r="I135" i="34"/>
  <c r="AX107" i="34"/>
  <c r="AS107" i="34"/>
  <c r="AN107" i="34"/>
  <c r="AI107" i="34"/>
  <c r="AD107" i="34"/>
  <c r="Y107" i="34"/>
  <c r="T107" i="34"/>
  <c r="H107" i="34"/>
  <c r="H218" i="33"/>
  <c r="M205" i="33"/>
  <c r="M204" i="33"/>
  <c r="M203" i="33"/>
  <c r="M202" i="33"/>
  <c r="M201" i="33"/>
  <c r="M199" i="33"/>
  <c r="M198" i="33"/>
  <c r="M197" i="33"/>
  <c r="M195" i="33"/>
  <c r="M193" i="33"/>
  <c r="M191" i="33"/>
  <c r="M190" i="33"/>
  <c r="M189" i="33"/>
  <c r="M188" i="33"/>
  <c r="M187" i="33"/>
  <c r="M185" i="33"/>
  <c r="M183" i="33"/>
  <c r="AX182" i="33"/>
  <c r="AS182" i="33"/>
  <c r="AN182" i="33"/>
  <c r="AI182" i="33"/>
  <c r="AD182" i="33"/>
  <c r="Y182" i="33"/>
  <c r="T182" i="33"/>
  <c r="M182" i="33"/>
  <c r="H182" i="33"/>
  <c r="H128" i="31"/>
  <c r="M108" i="31"/>
  <c r="AX107" i="31"/>
  <c r="AS107" i="31"/>
  <c r="AN107" i="31"/>
  <c r="AI107" i="31"/>
  <c r="AD107" i="31"/>
  <c r="Y107" i="31"/>
  <c r="T107" i="31"/>
  <c r="M107" i="31"/>
  <c r="H107" i="31"/>
  <c r="H128" i="32"/>
  <c r="J138" i="32"/>
  <c r="I138" i="32"/>
  <c r="K132" i="30"/>
  <c r="J132" i="30"/>
  <c r="I132" i="30"/>
  <c r="K240" i="8"/>
  <c r="J240" i="8"/>
  <c r="I240" i="8"/>
  <c r="J239" i="8"/>
  <c r="I239" i="8"/>
  <c r="M109" i="34" l="1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K138" i="32"/>
  <c r="K239" i="8"/>
  <c r="H128" i="30"/>
  <c r="H218" i="8"/>
  <c r="L107" i="31"/>
  <c r="M130" i="36" l="1"/>
  <c r="I32" i="5"/>
  <c r="I31" i="5"/>
  <c r="I30" i="5"/>
  <c r="I29" i="5"/>
  <c r="I28" i="5"/>
  <c r="L20" i="21" l="1"/>
  <c r="L19" i="21"/>
  <c r="L18" i="21"/>
  <c r="L17" i="21"/>
  <c r="L16" i="21"/>
  <c r="L13" i="21"/>
  <c r="L12" i="21"/>
  <c r="L11" i="21"/>
  <c r="L10" i="21"/>
  <c r="L9" i="2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J133" i="37"/>
  <c r="I133" i="37"/>
  <c r="J132" i="37"/>
  <c r="I132" i="37"/>
  <c r="K131" i="37"/>
  <c r="J131" i="37"/>
  <c r="I131" i="37"/>
  <c r="K130" i="37"/>
  <c r="J130" i="37"/>
  <c r="I130" i="37"/>
  <c r="J129" i="37"/>
  <c r="I129" i="37"/>
  <c r="J128" i="37"/>
  <c r="I128" i="37"/>
  <c r="K132" i="36"/>
  <c r="J132" i="36"/>
  <c r="I132" i="36"/>
  <c r="K131" i="36"/>
  <c r="J131" i="36"/>
  <c r="I131" i="36"/>
  <c r="J129" i="36"/>
  <c r="I129" i="36"/>
  <c r="J128" i="36"/>
  <c r="I128" i="36"/>
  <c r="K135" i="35"/>
  <c r="J135" i="35"/>
  <c r="I135" i="35"/>
  <c r="J134" i="35"/>
  <c r="I134" i="35"/>
  <c r="J133" i="35"/>
  <c r="I133" i="35"/>
  <c r="K132" i="35"/>
  <c r="J132" i="35"/>
  <c r="I132" i="35"/>
  <c r="K130" i="35"/>
  <c r="J130" i="35"/>
  <c r="I130" i="35"/>
  <c r="J129" i="35"/>
  <c r="I129" i="35"/>
  <c r="J128" i="35"/>
  <c r="I128" i="35"/>
  <c r="J134" i="34"/>
  <c r="I134" i="34"/>
  <c r="K133" i="34"/>
  <c r="J133" i="34"/>
  <c r="I133" i="34"/>
  <c r="J132" i="34"/>
  <c r="I132" i="34"/>
  <c r="K131" i="34"/>
  <c r="J131" i="34"/>
  <c r="I131" i="34"/>
  <c r="J130" i="34"/>
  <c r="I130" i="34"/>
  <c r="K129" i="34"/>
  <c r="J129" i="34"/>
  <c r="I129" i="34"/>
  <c r="J128" i="34"/>
  <c r="I128" i="34"/>
  <c r="H147" i="33"/>
  <c r="H112" i="33"/>
  <c r="H77" i="33"/>
  <c r="K239" i="33"/>
  <c r="I239" i="33"/>
  <c r="K227" i="33"/>
  <c r="I227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P37" i="33"/>
  <c r="P72" i="33" s="1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K134" i="30"/>
  <c r="J134" i="30"/>
  <c r="I134" i="30"/>
  <c r="K133" i="30"/>
  <c r="J133" i="30"/>
  <c r="J131" i="30"/>
  <c r="K129" i="30"/>
  <c r="J129" i="30"/>
  <c r="I129" i="30"/>
  <c r="J128" i="30"/>
  <c r="I128" i="30"/>
  <c r="H147" i="8"/>
  <c r="H112" i="8"/>
  <c r="H77" i="8"/>
  <c r="K236" i="8"/>
  <c r="K235" i="8"/>
  <c r="J235" i="8"/>
  <c r="I235" i="8"/>
  <c r="J234" i="8"/>
  <c r="K233" i="8"/>
  <c r="K232" i="8"/>
  <c r="I232" i="8"/>
  <c r="K229" i="8"/>
  <c r="I229" i="8"/>
  <c r="K226" i="8"/>
  <c r="I226" i="8"/>
  <c r="K225" i="8"/>
  <c r="J225" i="8"/>
  <c r="I225" i="8"/>
  <c r="J224" i="8"/>
  <c r="I224" i="8"/>
  <c r="K223" i="8"/>
  <c r="I223" i="8"/>
  <c r="K220" i="8"/>
  <c r="I220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AK51" i="6"/>
  <c r="AI51" i="6"/>
  <c r="AG51" i="6"/>
  <c r="H20" i="13"/>
  <c r="W51" i="6"/>
  <c r="U51" i="6"/>
  <c r="AC49" i="6"/>
  <c r="S49" i="6"/>
  <c r="M49" i="6"/>
  <c r="AC44" i="6"/>
  <c r="S44" i="6"/>
  <c r="M44" i="6"/>
  <c r="AC42" i="6"/>
  <c r="S42" i="6"/>
  <c r="M42" i="6"/>
  <c r="AC41" i="6"/>
  <c r="S41" i="6"/>
  <c r="M41" i="6"/>
  <c r="AC40" i="6"/>
  <c r="S40" i="6"/>
  <c r="M40" i="6"/>
  <c r="AC39" i="6"/>
  <c r="S39" i="6"/>
  <c r="M39" i="6"/>
  <c r="AC38" i="6"/>
  <c r="S38" i="6"/>
  <c r="M38" i="6"/>
  <c r="F14" i="6"/>
  <c r="F13" i="6"/>
  <c r="F12" i="6"/>
  <c r="F11" i="6"/>
  <c r="F10" i="6"/>
  <c r="F9" i="6"/>
  <c r="F8" i="6"/>
  <c r="AK51" i="7"/>
  <c r="AI51" i="7"/>
  <c r="AG51" i="7"/>
  <c r="AE51" i="7"/>
  <c r="W51" i="7"/>
  <c r="U51" i="7"/>
  <c r="AC49" i="7"/>
  <c r="S49" i="7"/>
  <c r="M49" i="7"/>
  <c r="AC44" i="7"/>
  <c r="S44" i="7"/>
  <c r="M44" i="7"/>
  <c r="AC43" i="7"/>
  <c r="S43" i="7"/>
  <c r="M43" i="7"/>
  <c r="AC42" i="7"/>
  <c r="S42" i="7"/>
  <c r="M42" i="7"/>
  <c r="AC41" i="7"/>
  <c r="S41" i="7"/>
  <c r="M41" i="7"/>
  <c r="S40" i="7"/>
  <c r="M40" i="7"/>
  <c r="S39" i="7"/>
  <c r="M39" i="7"/>
  <c r="S38" i="7"/>
  <c r="M38" i="7"/>
  <c r="S37" i="7"/>
  <c r="M37" i="7"/>
  <c r="S36" i="7"/>
  <c r="M36" i="7"/>
  <c r="S35" i="7"/>
  <c r="M35" i="7"/>
  <c r="S34" i="7"/>
  <c r="M34" i="7"/>
  <c r="S33" i="7"/>
  <c r="M33" i="7"/>
  <c r="S32" i="7"/>
  <c r="M32" i="7"/>
  <c r="S31" i="7"/>
  <c r="M31" i="7"/>
  <c r="S30" i="7"/>
  <c r="M30" i="7"/>
  <c r="S29" i="7"/>
  <c r="M29" i="7"/>
  <c r="S28" i="7"/>
  <c r="M28" i="7"/>
  <c r="S27" i="7"/>
  <c r="M27" i="7"/>
  <c r="S26" i="7"/>
  <c r="M26" i="7"/>
  <c r="S25" i="7"/>
  <c r="M25" i="7"/>
  <c r="S24" i="7"/>
  <c r="M24" i="7"/>
  <c r="S23" i="7"/>
  <c r="M23" i="7"/>
  <c r="S22" i="7"/>
  <c r="M22" i="7"/>
  <c r="S21" i="7"/>
  <c r="M21" i="7"/>
  <c r="S20" i="7"/>
  <c r="M20" i="7"/>
  <c r="S19" i="7"/>
  <c r="M19" i="7"/>
  <c r="S18" i="7"/>
  <c r="M18" i="7"/>
  <c r="S17" i="7"/>
  <c r="M17" i="7"/>
  <c r="S16" i="7"/>
  <c r="M16" i="7"/>
  <c r="S15" i="7"/>
  <c r="M15" i="7"/>
  <c r="F13" i="7"/>
  <c r="F11" i="7"/>
  <c r="L11" i="7" s="1"/>
  <c r="F9" i="7"/>
  <c r="L9" i="7" s="1"/>
  <c r="I27" i="5"/>
  <c r="I26" i="5"/>
  <c r="I25" i="5"/>
  <c r="I24" i="5"/>
  <c r="I23" i="5"/>
  <c r="I22" i="5"/>
  <c r="I21" i="5"/>
  <c r="I20" i="5"/>
  <c r="I19" i="5"/>
  <c r="J19" i="5" s="1"/>
  <c r="I18" i="5"/>
  <c r="I17" i="5"/>
  <c r="I16" i="5"/>
  <c r="I15" i="5"/>
  <c r="I14" i="5"/>
  <c r="I13" i="5"/>
  <c r="I12" i="5"/>
  <c r="K10" i="5" s="1"/>
  <c r="I11" i="5"/>
  <c r="I10" i="5"/>
  <c r="I9" i="5"/>
  <c r="I8" i="5"/>
  <c r="I7" i="5"/>
  <c r="I10" i="13"/>
  <c r="K10" i="13" s="1"/>
  <c r="I6" i="5"/>
  <c r="U39" i="3"/>
  <c r="O39" i="3"/>
  <c r="U38" i="3"/>
  <c r="O38" i="3"/>
  <c r="U37" i="3"/>
  <c r="O37" i="3"/>
  <c r="U36" i="3"/>
  <c r="O36" i="3"/>
  <c r="I20" i="39"/>
  <c r="K20" i="39" s="1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J24" i="39"/>
  <c r="D24" i="39"/>
  <c r="I22" i="39"/>
  <c r="K22" i="39" s="1"/>
  <c r="I18" i="39"/>
  <c r="K18" i="39" s="1"/>
  <c r="D8" i="39"/>
  <c r="J24" i="13"/>
  <c r="D24" i="13"/>
  <c r="H18" i="13"/>
  <c r="E10" i="13"/>
  <c r="I9" i="13"/>
  <c r="K9" i="13" s="1"/>
  <c r="I8" i="13"/>
  <c r="K8" i="13" s="1"/>
  <c r="I6" i="13"/>
  <c r="K6" i="13" s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B11" i="1"/>
  <c r="U10" i="1"/>
  <c r="W10" i="1" s="1"/>
  <c r="O10" i="1"/>
  <c r="Q10" i="1" s="1"/>
  <c r="E10" i="1"/>
  <c r="D10" i="1"/>
  <c r="U9" i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L13" i="7" l="1"/>
  <c r="V9" i="7"/>
  <c r="P9" i="7"/>
  <c r="V11" i="7"/>
  <c r="P11" i="7"/>
  <c r="V13" i="7"/>
  <c r="P13" i="7"/>
  <c r="J12" i="5"/>
  <c r="I7" i="39" s="1"/>
  <c r="J6" i="5"/>
  <c r="J26" i="5"/>
  <c r="AH11" i="6"/>
  <c r="AB11" i="6"/>
  <c r="X11" i="6"/>
  <c r="R11" i="6"/>
  <c r="L11" i="6"/>
  <c r="AF11" i="6"/>
  <c r="Z11" i="6"/>
  <c r="AJ11" i="6"/>
  <c r="P11" i="6"/>
  <c r="V11" i="6"/>
  <c r="J11" i="6"/>
  <c r="AD11" i="6"/>
  <c r="N11" i="6"/>
  <c r="T11" i="6"/>
  <c r="AF8" i="6"/>
  <c r="Z8" i="6"/>
  <c r="AJ8" i="6"/>
  <c r="V8" i="6"/>
  <c r="P8" i="6"/>
  <c r="J8" i="6"/>
  <c r="AH8" i="6"/>
  <c r="X8" i="6"/>
  <c r="N8" i="6"/>
  <c r="L8" i="6"/>
  <c r="T8" i="6"/>
  <c r="AD8" i="6"/>
  <c r="R8" i="6"/>
  <c r="AB8" i="6"/>
  <c r="AF12" i="6"/>
  <c r="Z12" i="6"/>
  <c r="AJ12" i="6"/>
  <c r="V12" i="6"/>
  <c r="P12" i="6"/>
  <c r="J12" i="6"/>
  <c r="AH12" i="6"/>
  <c r="X12" i="6"/>
  <c r="N12" i="6"/>
  <c r="L12" i="6"/>
  <c r="T12" i="6"/>
  <c r="AD12" i="6"/>
  <c r="R12" i="6"/>
  <c r="AB12" i="6"/>
  <c r="X9" i="6"/>
  <c r="R9" i="6"/>
  <c r="L9" i="6"/>
  <c r="AH9" i="6"/>
  <c r="AB9" i="6"/>
  <c r="AF9" i="6"/>
  <c r="Z9" i="6"/>
  <c r="V9" i="6"/>
  <c r="J9" i="6"/>
  <c r="AJ9" i="6"/>
  <c r="P9" i="6"/>
  <c r="N9" i="6"/>
  <c r="T9" i="6"/>
  <c r="AD9" i="6"/>
  <c r="X13" i="6"/>
  <c r="R13" i="6"/>
  <c r="L13" i="6"/>
  <c r="AH13" i="6"/>
  <c r="AB13" i="6"/>
  <c r="AF13" i="6"/>
  <c r="Z13" i="6"/>
  <c r="AJ13" i="6"/>
  <c r="V13" i="6"/>
  <c r="J13" i="6"/>
  <c r="P13" i="6"/>
  <c r="AD13" i="6"/>
  <c r="T13" i="6"/>
  <c r="N13" i="6"/>
  <c r="AJ10" i="6"/>
  <c r="V10" i="6"/>
  <c r="P10" i="6"/>
  <c r="J10" i="6"/>
  <c r="AF10" i="6"/>
  <c r="Z10" i="6"/>
  <c r="AH10" i="6"/>
  <c r="X10" i="6"/>
  <c r="N10" i="6"/>
  <c r="L10" i="6"/>
  <c r="R10" i="6"/>
  <c r="AB10" i="6"/>
  <c r="T10" i="6"/>
  <c r="AD10" i="6"/>
  <c r="AJ14" i="6"/>
  <c r="V14" i="6"/>
  <c r="P14" i="6"/>
  <c r="J14" i="6"/>
  <c r="AF14" i="6"/>
  <c r="Z14" i="6"/>
  <c r="AH14" i="6"/>
  <c r="X14" i="6"/>
  <c r="N14" i="6"/>
  <c r="L14" i="6"/>
  <c r="AB14" i="6"/>
  <c r="R14" i="6"/>
  <c r="T14" i="6"/>
  <c r="AD14" i="6"/>
  <c r="AJ11" i="7"/>
  <c r="AH11" i="7"/>
  <c r="AB11" i="7"/>
  <c r="Z11" i="7"/>
  <c r="AF11" i="7"/>
  <c r="AD11" i="7"/>
  <c r="AH13" i="7"/>
  <c r="AB13" i="7"/>
  <c r="AF13" i="7"/>
  <c r="Z13" i="7"/>
  <c r="AJ13" i="7"/>
  <c r="AD13" i="7"/>
  <c r="E9" i="1"/>
  <c r="U72" i="33"/>
  <c r="Z72" i="33" s="1"/>
  <c r="AE72" i="33" s="1"/>
  <c r="AJ72" i="33" s="1"/>
  <c r="AO72" i="33" s="1"/>
  <c r="AT72" i="33" s="1"/>
  <c r="P107" i="33"/>
  <c r="U107" i="33" s="1"/>
  <c r="Z107" i="33" s="1"/>
  <c r="AE107" i="33" s="1"/>
  <c r="AJ107" i="33" s="1"/>
  <c r="AO107" i="33" s="1"/>
  <c r="AT107" i="33" s="1"/>
  <c r="E11" i="1"/>
  <c r="AL8" i="6"/>
  <c r="AL12" i="6"/>
  <c r="AL9" i="6"/>
  <c r="AL13" i="6"/>
  <c r="AL10" i="6"/>
  <c r="AL11" i="6"/>
  <c r="J11" i="7"/>
  <c r="T11" i="7"/>
  <c r="N11" i="7"/>
  <c r="AL11" i="7"/>
  <c r="X11" i="7"/>
  <c r="R11" i="7"/>
  <c r="J13" i="7"/>
  <c r="T13" i="7"/>
  <c r="N13" i="7"/>
  <c r="AL13" i="7"/>
  <c r="X13" i="7"/>
  <c r="R13" i="7"/>
  <c r="AJ9" i="7"/>
  <c r="J9" i="7"/>
  <c r="AH9" i="7"/>
  <c r="AB9" i="7"/>
  <c r="T9" i="7"/>
  <c r="N9" i="7"/>
  <c r="AF9" i="7"/>
  <c r="Z9" i="7"/>
  <c r="AL9" i="7"/>
  <c r="AD9" i="7"/>
  <c r="X9" i="7"/>
  <c r="R9" i="7"/>
  <c r="K7" i="39"/>
  <c r="X48" i="1"/>
  <c r="V48" i="1" s="1"/>
  <c r="X34" i="1"/>
  <c r="V34" i="1" s="1"/>
  <c r="X42" i="1"/>
  <c r="V42" i="1" s="1"/>
  <c r="M121" i="37"/>
  <c r="D9" i="39"/>
  <c r="AC50" i="6"/>
  <c r="AC51" i="6" s="1"/>
  <c r="M121" i="36"/>
  <c r="M121" i="35"/>
  <c r="M120" i="35"/>
  <c r="M119" i="35"/>
  <c r="M118" i="35"/>
  <c r="M117" i="35"/>
  <c r="M116" i="35"/>
  <c r="M110" i="35"/>
  <c r="M112" i="35"/>
  <c r="M114" i="35"/>
  <c r="M111" i="35"/>
  <c r="M108" i="35"/>
  <c r="M113" i="35"/>
  <c r="M109" i="35"/>
  <c r="M115" i="35"/>
  <c r="M107" i="35"/>
  <c r="M120" i="36"/>
  <c r="M119" i="36"/>
  <c r="M118" i="36"/>
  <c r="M117" i="36"/>
  <c r="M116" i="36"/>
  <c r="M115" i="36"/>
  <c r="M114" i="36"/>
  <c r="M113" i="36"/>
  <c r="M112" i="36"/>
  <c r="M108" i="36"/>
  <c r="M110" i="36"/>
  <c r="M109" i="36"/>
  <c r="M111" i="36"/>
  <c r="M107" i="36"/>
  <c r="M120" i="37"/>
  <c r="M119" i="37"/>
  <c r="M118" i="37"/>
  <c r="M117" i="37"/>
  <c r="M116" i="37"/>
  <c r="M115" i="37"/>
  <c r="M112" i="37"/>
  <c r="M114" i="37"/>
  <c r="M109" i="37"/>
  <c r="M107" i="37"/>
  <c r="M111" i="37"/>
  <c r="M108" i="37"/>
  <c r="M110" i="37"/>
  <c r="M113" i="37"/>
  <c r="M118" i="32"/>
  <c r="M112" i="32"/>
  <c r="M110" i="32"/>
  <c r="M116" i="32"/>
  <c r="M108" i="32"/>
  <c r="M114" i="32"/>
  <c r="M121" i="32"/>
  <c r="M120" i="32"/>
  <c r="M119" i="32"/>
  <c r="M111" i="32"/>
  <c r="M113" i="32"/>
  <c r="M109" i="32"/>
  <c r="M115" i="32"/>
  <c r="M107" i="32"/>
  <c r="M117" i="32"/>
  <c r="F23" i="6"/>
  <c r="S50" i="6"/>
  <c r="S51" i="6" s="1"/>
  <c r="H16" i="13" s="1"/>
  <c r="M50" i="6"/>
  <c r="M51" i="6" s="1"/>
  <c r="F26" i="6"/>
  <c r="F20" i="6"/>
  <c r="AL14" i="6"/>
  <c r="F23" i="7"/>
  <c r="L23" i="7" s="1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X28" i="1"/>
  <c r="V28" i="1" s="1"/>
  <c r="D11" i="1"/>
  <c r="O14" i="1"/>
  <c r="B23" i="13"/>
  <c r="C23" i="13" s="1"/>
  <c r="E23" i="13" s="1"/>
  <c r="F31" i="7"/>
  <c r="L31" i="7" s="1"/>
  <c r="F28" i="6"/>
  <c r="F31" i="6"/>
  <c r="U14" i="1"/>
  <c r="F35" i="6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L77" i="8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J220" i="33"/>
  <c r="J232" i="33"/>
  <c r="J227" i="33"/>
  <c r="J239" i="33"/>
  <c r="K128" i="30"/>
  <c r="M136" i="30" s="1"/>
  <c r="I221" i="33"/>
  <c r="I225" i="33"/>
  <c r="I233" i="33"/>
  <c r="I229" i="33"/>
  <c r="J131" i="32"/>
  <c r="J135" i="32"/>
  <c r="J221" i="33"/>
  <c r="J225" i="33"/>
  <c r="J229" i="33"/>
  <c r="J233" i="33"/>
  <c r="J130" i="30"/>
  <c r="K221" i="33"/>
  <c r="K225" i="33"/>
  <c r="K229" i="33"/>
  <c r="K233" i="33"/>
  <c r="K237" i="33"/>
  <c r="K240" i="33"/>
  <c r="F36" i="6"/>
  <c r="M136" i="8"/>
  <c r="M139" i="8"/>
  <c r="K130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F35" i="7"/>
  <c r="F25" i="7"/>
  <c r="L25" i="7" s="1"/>
  <c r="F29" i="7"/>
  <c r="L29" i="7" s="1"/>
  <c r="D9" i="1"/>
  <c r="F33" i="7"/>
  <c r="L33" i="7" s="1"/>
  <c r="K128" i="32"/>
  <c r="K132" i="32"/>
  <c r="K222" i="33"/>
  <c r="K226" i="33"/>
  <c r="K230" i="33"/>
  <c r="K234" i="33"/>
  <c r="K238" i="33"/>
  <c r="I241" i="33"/>
  <c r="I137" i="32"/>
  <c r="J241" i="33"/>
  <c r="F19" i="7"/>
  <c r="L19" i="7" s="1"/>
  <c r="I131" i="32"/>
  <c r="F49" i="7"/>
  <c r="AH49" i="7" s="1"/>
  <c r="F18" i="6"/>
  <c r="F24" i="6"/>
  <c r="F27" i="6"/>
  <c r="F41" i="6"/>
  <c r="M135" i="8"/>
  <c r="M138" i="8"/>
  <c r="M141" i="8"/>
  <c r="J129" i="32"/>
  <c r="J133" i="32"/>
  <c r="J137" i="32"/>
  <c r="J219" i="33"/>
  <c r="J223" i="33"/>
  <c r="J231" i="33"/>
  <c r="H21" i="13"/>
  <c r="K128" i="37"/>
  <c r="K133" i="37"/>
  <c r="K129" i="37"/>
  <c r="K132" i="37"/>
  <c r="K129" i="36"/>
  <c r="K128" i="36"/>
  <c r="K129" i="35"/>
  <c r="K133" i="35"/>
  <c r="K128" i="35"/>
  <c r="K134" i="35"/>
  <c r="M134" i="35" s="1"/>
  <c r="K132" i="34"/>
  <c r="K134" i="34"/>
  <c r="K128" i="34"/>
  <c r="K130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I130" i="30"/>
  <c r="K131" i="30"/>
  <c r="I131" i="30"/>
  <c r="I133" i="30"/>
  <c r="M44" i="8"/>
  <c r="M46" i="8"/>
  <c r="M48" i="8"/>
  <c r="K224" i="8"/>
  <c r="M228" i="8" s="1"/>
  <c r="M50" i="8"/>
  <c r="M52" i="8"/>
  <c r="M54" i="8"/>
  <c r="M56" i="8"/>
  <c r="M58" i="8"/>
  <c r="M60" i="8"/>
  <c r="M59" i="8"/>
  <c r="B22" i="13"/>
  <c r="C22" i="13" s="1"/>
  <c r="E22" i="13" s="1"/>
  <c r="B21" i="13"/>
  <c r="C21" i="13" s="1"/>
  <c r="E21" i="13" s="1"/>
  <c r="B18" i="13"/>
  <c r="C18" i="13" s="1"/>
  <c r="E18" i="13" s="1"/>
  <c r="F17" i="7"/>
  <c r="L17" i="7" s="1"/>
  <c r="F21" i="7"/>
  <c r="L21" i="7" s="1"/>
  <c r="F27" i="7"/>
  <c r="L27" i="7" s="1"/>
  <c r="F16" i="6"/>
  <c r="F19" i="6"/>
  <c r="B17" i="13"/>
  <c r="C17" i="13" s="1"/>
  <c r="E17" i="13" s="1"/>
  <c r="F15" i="7"/>
  <c r="L15" i="7" s="1"/>
  <c r="F10" i="7"/>
  <c r="L10" i="7" s="1"/>
  <c r="F14" i="7"/>
  <c r="L14" i="7" s="1"/>
  <c r="F8" i="7"/>
  <c r="L8" i="7" s="1"/>
  <c r="F12" i="7"/>
  <c r="L12" i="7" s="1"/>
  <c r="F16" i="7"/>
  <c r="L16" i="7" s="1"/>
  <c r="F20" i="7"/>
  <c r="L20" i="7" s="1"/>
  <c r="F24" i="7"/>
  <c r="L24" i="7" s="1"/>
  <c r="F28" i="7"/>
  <c r="L28" i="7" s="1"/>
  <c r="F32" i="7"/>
  <c r="L32" i="7" s="1"/>
  <c r="F36" i="7"/>
  <c r="F18" i="7"/>
  <c r="L18" i="7" s="1"/>
  <c r="F22" i="7"/>
  <c r="L22" i="7" s="1"/>
  <c r="F26" i="7"/>
  <c r="L26" i="7" s="1"/>
  <c r="F30" i="7"/>
  <c r="L30" i="7" s="1"/>
  <c r="F34" i="7"/>
  <c r="L34" i="7" s="1"/>
  <c r="AC50" i="7"/>
  <c r="B19" i="13" s="1"/>
  <c r="C19" i="13" s="1"/>
  <c r="E19" i="13" s="1"/>
  <c r="F44" i="7"/>
  <c r="N44" i="7" s="1"/>
  <c r="H23" i="13"/>
  <c r="F22" i="6"/>
  <c r="F32" i="6"/>
  <c r="F21" i="6"/>
  <c r="F25" i="6"/>
  <c r="F15" i="6"/>
  <c r="F30" i="6"/>
  <c r="F17" i="6"/>
  <c r="N49" i="6"/>
  <c r="AH49" i="6"/>
  <c r="F34" i="6"/>
  <c r="F44" i="6"/>
  <c r="J49" i="6"/>
  <c r="P49" i="6"/>
  <c r="V49" i="6"/>
  <c r="AJ49" i="6"/>
  <c r="F29" i="6"/>
  <c r="F33" i="6"/>
  <c r="L49" i="6"/>
  <c r="X49" i="6"/>
  <c r="AD49" i="6"/>
  <c r="AL49" i="6"/>
  <c r="Z49" i="6"/>
  <c r="M118" i="31"/>
  <c r="M114" i="31"/>
  <c r="M110" i="31"/>
  <c r="M121" i="31"/>
  <c r="M117" i="31"/>
  <c r="M113" i="31"/>
  <c r="M109" i="31"/>
  <c r="M120" i="31"/>
  <c r="M116" i="31"/>
  <c r="M112" i="31"/>
  <c r="M119" i="31"/>
  <c r="M115" i="31"/>
  <c r="M111" i="31"/>
  <c r="P42" i="37"/>
  <c r="P42" i="36"/>
  <c r="P42" i="35"/>
  <c r="P42" i="34"/>
  <c r="P42" i="31"/>
  <c r="J128" i="31"/>
  <c r="P42" i="32"/>
  <c r="P42" i="30"/>
  <c r="M132" i="30"/>
  <c r="L42" i="33"/>
  <c r="B32" i="39" s="1"/>
  <c r="M42" i="33"/>
  <c r="M66" i="33"/>
  <c r="M67" i="33"/>
  <c r="M68" i="33"/>
  <c r="M69" i="33"/>
  <c r="M70" i="33"/>
  <c r="L77" i="33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M99" i="8"/>
  <c r="M100" i="8"/>
  <c r="M101" i="8"/>
  <c r="M102" i="8"/>
  <c r="M103" i="8"/>
  <c r="M104" i="8"/>
  <c r="M105" i="8"/>
  <c r="M106" i="8"/>
  <c r="M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D10" i="39"/>
  <c r="I11" i="13"/>
  <c r="K11" i="13" s="1"/>
  <c r="F39" i="6"/>
  <c r="F38" i="6"/>
  <c r="F42" i="6"/>
  <c r="F40" i="6"/>
  <c r="F43" i="7"/>
  <c r="AH43" i="7" s="1"/>
  <c r="S50" i="7"/>
  <c r="S51" i="7" s="1"/>
  <c r="F39" i="7"/>
  <c r="F38" i="7"/>
  <c r="F42" i="7"/>
  <c r="N42" i="7" s="1"/>
  <c r="M50" i="7"/>
  <c r="B15" i="13" s="1"/>
  <c r="C15" i="13" s="1"/>
  <c r="F41" i="7"/>
  <c r="N41" i="7" s="1"/>
  <c r="F40" i="7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H22" i="13"/>
  <c r="AE51" i="6"/>
  <c r="F37" i="6"/>
  <c r="B20" i="13"/>
  <c r="C20" i="13" s="1"/>
  <c r="E20" i="13" s="1"/>
  <c r="F37" i="7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159" i="8"/>
  <c r="M163" i="8"/>
  <c r="M165" i="8"/>
  <c r="M148" i="8"/>
  <c r="M152" i="8"/>
  <c r="M156" i="8"/>
  <c r="M160" i="8"/>
  <c r="M164" i="8"/>
  <c r="L147" i="8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G14" i="6" l="1"/>
  <c r="H12" i="6"/>
  <c r="AF50" i="6" s="1"/>
  <c r="H12" i="7"/>
  <c r="V34" i="7"/>
  <c r="P34" i="7"/>
  <c r="V18" i="7"/>
  <c r="P18" i="7"/>
  <c r="V24" i="7"/>
  <c r="P24" i="7"/>
  <c r="V8" i="7"/>
  <c r="P8" i="7"/>
  <c r="V21" i="7"/>
  <c r="P21" i="7"/>
  <c r="V33" i="7"/>
  <c r="P33" i="7"/>
  <c r="V30" i="7"/>
  <c r="P30" i="7"/>
  <c r="V20" i="7"/>
  <c r="P20" i="7"/>
  <c r="V14" i="7"/>
  <c r="P14" i="7"/>
  <c r="V17" i="7"/>
  <c r="P17" i="7"/>
  <c r="V19" i="7"/>
  <c r="P19" i="7"/>
  <c r="V23" i="7"/>
  <c r="P23" i="7"/>
  <c r="V26" i="7"/>
  <c r="P26" i="7"/>
  <c r="V32" i="7"/>
  <c r="P32" i="7"/>
  <c r="V16" i="7"/>
  <c r="P16" i="7"/>
  <c r="V10" i="7"/>
  <c r="P10" i="7"/>
  <c r="V29" i="7"/>
  <c r="P29" i="7"/>
  <c r="V22" i="7"/>
  <c r="P22" i="7"/>
  <c r="V28" i="7"/>
  <c r="P28" i="7"/>
  <c r="V12" i="7"/>
  <c r="P12" i="7"/>
  <c r="V15" i="7"/>
  <c r="P15" i="7"/>
  <c r="V27" i="7"/>
  <c r="P27" i="7"/>
  <c r="V25" i="7"/>
  <c r="P25" i="7"/>
  <c r="V31" i="7"/>
  <c r="P31" i="7"/>
  <c r="AJ30" i="6"/>
  <c r="V30" i="6"/>
  <c r="P30" i="6"/>
  <c r="J30" i="6"/>
  <c r="AF30" i="6"/>
  <c r="Z30" i="6"/>
  <c r="AH30" i="6"/>
  <c r="X30" i="6"/>
  <c r="N30" i="6"/>
  <c r="AD30" i="6"/>
  <c r="T30" i="6"/>
  <c r="L30" i="6"/>
  <c r="AB30" i="6"/>
  <c r="R30" i="6"/>
  <c r="AH23" i="6"/>
  <c r="AB23" i="6"/>
  <c r="X23" i="6"/>
  <c r="R23" i="6"/>
  <c r="L23" i="6"/>
  <c r="AF23" i="6"/>
  <c r="P23" i="6"/>
  <c r="Z23" i="6"/>
  <c r="AJ23" i="6"/>
  <c r="V23" i="6"/>
  <c r="J23" i="6"/>
  <c r="AD23" i="6"/>
  <c r="T23" i="6"/>
  <c r="N23" i="6"/>
  <c r="AH15" i="6"/>
  <c r="AB15" i="6"/>
  <c r="X15" i="6"/>
  <c r="R15" i="6"/>
  <c r="L15" i="6"/>
  <c r="AF15" i="6"/>
  <c r="Z15" i="6"/>
  <c r="AJ15" i="6"/>
  <c r="V15" i="6"/>
  <c r="J15" i="6"/>
  <c r="P15" i="6"/>
  <c r="T15" i="6"/>
  <c r="AD15" i="6"/>
  <c r="N15" i="6"/>
  <c r="AJ22" i="6"/>
  <c r="V22" i="6"/>
  <c r="P22" i="6"/>
  <c r="J22" i="6"/>
  <c r="AF22" i="6"/>
  <c r="Z22" i="6"/>
  <c r="AH22" i="6"/>
  <c r="X22" i="6"/>
  <c r="N22" i="6"/>
  <c r="AD22" i="6"/>
  <c r="T22" i="6"/>
  <c r="L22" i="6"/>
  <c r="AB22" i="6"/>
  <c r="R22" i="6"/>
  <c r="AH27" i="6"/>
  <c r="AB27" i="6"/>
  <c r="X27" i="6"/>
  <c r="R27" i="6"/>
  <c r="L27" i="6"/>
  <c r="AF27" i="6"/>
  <c r="P27" i="6"/>
  <c r="Z27" i="6"/>
  <c r="AJ27" i="6"/>
  <c r="V27" i="6"/>
  <c r="J27" i="6"/>
  <c r="N27" i="6"/>
  <c r="AD27" i="6"/>
  <c r="T27" i="6"/>
  <c r="AJ26" i="6"/>
  <c r="V26" i="6"/>
  <c r="P26" i="6"/>
  <c r="J26" i="6"/>
  <c r="AF26" i="6"/>
  <c r="Z26" i="6"/>
  <c r="AH26" i="6"/>
  <c r="X26" i="6"/>
  <c r="N26" i="6"/>
  <c r="AD26" i="6"/>
  <c r="T26" i="6"/>
  <c r="L26" i="6"/>
  <c r="AB26" i="6"/>
  <c r="R26" i="6"/>
  <c r="X25" i="6"/>
  <c r="R25" i="6"/>
  <c r="L25" i="6"/>
  <c r="AH25" i="6"/>
  <c r="AB25" i="6"/>
  <c r="AF25" i="6"/>
  <c r="P25" i="6"/>
  <c r="Z25" i="6"/>
  <c r="AJ25" i="6"/>
  <c r="V25" i="6"/>
  <c r="J25" i="6"/>
  <c r="N25" i="6"/>
  <c r="AD25" i="6"/>
  <c r="T25" i="6"/>
  <c r="X29" i="6"/>
  <c r="R29" i="6"/>
  <c r="L29" i="6"/>
  <c r="AH29" i="6"/>
  <c r="AB29" i="6"/>
  <c r="AF29" i="6"/>
  <c r="P29" i="6"/>
  <c r="Z29" i="6"/>
  <c r="AJ29" i="6"/>
  <c r="V29" i="6"/>
  <c r="J29" i="6"/>
  <c r="AD29" i="6"/>
  <c r="T29" i="6"/>
  <c r="N29" i="6"/>
  <c r="AH19" i="6"/>
  <c r="AB19" i="6"/>
  <c r="X19" i="6"/>
  <c r="R19" i="6"/>
  <c r="L19" i="6"/>
  <c r="AF19" i="6"/>
  <c r="Z19" i="6"/>
  <c r="AJ19" i="6"/>
  <c r="V19" i="6"/>
  <c r="J19" i="6"/>
  <c r="P19" i="6"/>
  <c r="N19" i="6"/>
  <c r="AD19" i="6"/>
  <c r="T19" i="6"/>
  <c r="AF24" i="6"/>
  <c r="Z24" i="6"/>
  <c r="AJ24" i="6"/>
  <c r="V24" i="6"/>
  <c r="P24" i="6"/>
  <c r="J24" i="6"/>
  <c r="AH24" i="6"/>
  <c r="X24" i="6"/>
  <c r="N24" i="6"/>
  <c r="AD24" i="6"/>
  <c r="T24" i="6"/>
  <c r="L24" i="6"/>
  <c r="AB24" i="6"/>
  <c r="R24" i="6"/>
  <c r="AH31" i="6"/>
  <c r="AB31" i="6"/>
  <c r="X31" i="6"/>
  <c r="R31" i="6"/>
  <c r="L31" i="6"/>
  <c r="AF31" i="6"/>
  <c r="P31" i="6"/>
  <c r="Z31" i="6"/>
  <c r="AJ31" i="6"/>
  <c r="V31" i="6"/>
  <c r="J31" i="6"/>
  <c r="AD31" i="6"/>
  <c r="T31" i="6"/>
  <c r="N31" i="6"/>
  <c r="X17" i="6"/>
  <c r="R17" i="6"/>
  <c r="L17" i="6"/>
  <c r="AH17" i="6"/>
  <c r="AB17" i="6"/>
  <c r="AF17" i="6"/>
  <c r="Z17" i="6"/>
  <c r="AJ17" i="6"/>
  <c r="V17" i="6"/>
  <c r="J17" i="6"/>
  <c r="P17" i="6"/>
  <c r="N17" i="6"/>
  <c r="AD17" i="6"/>
  <c r="T17" i="6"/>
  <c r="X21" i="6"/>
  <c r="R21" i="6"/>
  <c r="L21" i="6"/>
  <c r="AH21" i="6"/>
  <c r="AB21" i="6"/>
  <c r="AF21" i="6"/>
  <c r="P21" i="6"/>
  <c r="Z21" i="6"/>
  <c r="AJ21" i="6"/>
  <c r="V21" i="6"/>
  <c r="J21" i="6"/>
  <c r="AD21" i="6"/>
  <c r="T21" i="6"/>
  <c r="N21" i="6"/>
  <c r="AF16" i="6"/>
  <c r="Z16" i="6"/>
  <c r="AJ16" i="6"/>
  <c r="V16" i="6"/>
  <c r="P16" i="6"/>
  <c r="J16" i="6"/>
  <c r="AH16" i="6"/>
  <c r="X16" i="6"/>
  <c r="N16" i="6"/>
  <c r="L16" i="6"/>
  <c r="AB16" i="6"/>
  <c r="R16" i="6"/>
  <c r="AD16" i="6"/>
  <c r="T16" i="6"/>
  <c r="AJ18" i="6"/>
  <c r="V18" i="6"/>
  <c r="P18" i="6"/>
  <c r="J18" i="6"/>
  <c r="AF18" i="6"/>
  <c r="Z18" i="6"/>
  <c r="AH18" i="6"/>
  <c r="X18" i="6"/>
  <c r="N18" i="6"/>
  <c r="L18" i="6"/>
  <c r="AB18" i="6"/>
  <c r="R18" i="6"/>
  <c r="AD18" i="6"/>
  <c r="T18" i="6"/>
  <c r="AF28" i="6"/>
  <c r="Z28" i="6"/>
  <c r="AJ28" i="6"/>
  <c r="V28" i="6"/>
  <c r="P28" i="6"/>
  <c r="J28" i="6"/>
  <c r="AH28" i="6"/>
  <c r="X28" i="6"/>
  <c r="N28" i="6"/>
  <c r="AD28" i="6"/>
  <c r="T28" i="6"/>
  <c r="L28" i="6"/>
  <c r="AB28" i="6"/>
  <c r="R28" i="6"/>
  <c r="AF20" i="6"/>
  <c r="Z20" i="6"/>
  <c r="AJ20" i="6"/>
  <c r="V20" i="6"/>
  <c r="P20" i="6"/>
  <c r="J20" i="6"/>
  <c r="AH20" i="6"/>
  <c r="X20" i="6"/>
  <c r="N20" i="6"/>
  <c r="AD20" i="6"/>
  <c r="L20" i="6"/>
  <c r="AB20" i="6"/>
  <c r="R20" i="6"/>
  <c r="T20" i="6"/>
  <c r="Z33" i="6"/>
  <c r="AF33" i="6"/>
  <c r="J33" i="6"/>
  <c r="P33" i="6"/>
  <c r="V33" i="6"/>
  <c r="AJ33" i="6"/>
  <c r="L33" i="6"/>
  <c r="N33" i="6"/>
  <c r="X33" i="6"/>
  <c r="AH33" i="6"/>
  <c r="T33" i="6"/>
  <c r="AB33" i="6"/>
  <c r="R33" i="6"/>
  <c r="AD33" i="6"/>
  <c r="L34" i="6"/>
  <c r="AB34" i="6"/>
  <c r="AH34" i="6"/>
  <c r="R34" i="6"/>
  <c r="X34" i="6"/>
  <c r="J34" i="6"/>
  <c r="V34" i="6"/>
  <c r="AJ34" i="6"/>
  <c r="Z34" i="6"/>
  <c r="AF34" i="6"/>
  <c r="P34" i="6"/>
  <c r="N34" i="6"/>
  <c r="AD34" i="6"/>
  <c r="T34" i="6"/>
  <c r="AB32" i="6"/>
  <c r="AH32" i="6"/>
  <c r="L32" i="6"/>
  <c r="R32" i="6"/>
  <c r="X32" i="6"/>
  <c r="Z32" i="6"/>
  <c r="AF32" i="6"/>
  <c r="P32" i="6"/>
  <c r="AJ32" i="6"/>
  <c r="J32" i="6"/>
  <c r="V32" i="6"/>
  <c r="T32" i="6"/>
  <c r="N32" i="6"/>
  <c r="AD32" i="6"/>
  <c r="AH36" i="6"/>
  <c r="AB36" i="6"/>
  <c r="T36" i="6"/>
  <c r="N36" i="6"/>
  <c r="AF36" i="6"/>
  <c r="Z36" i="6"/>
  <c r="L36" i="6"/>
  <c r="R36" i="6"/>
  <c r="J36" i="6"/>
  <c r="X36" i="6"/>
  <c r="P36" i="6"/>
  <c r="AJ36" i="6"/>
  <c r="V36" i="6"/>
  <c r="AD36" i="6"/>
  <c r="AF37" i="6"/>
  <c r="Z37" i="6"/>
  <c r="X37" i="6"/>
  <c r="L37" i="6"/>
  <c r="AH37" i="6"/>
  <c r="T37" i="6"/>
  <c r="N37" i="6"/>
  <c r="J37" i="6"/>
  <c r="AJ37" i="6"/>
  <c r="V37" i="6"/>
  <c r="P37" i="6"/>
  <c r="AD37" i="6"/>
  <c r="AJ35" i="6"/>
  <c r="V35" i="6"/>
  <c r="P35" i="6"/>
  <c r="J35" i="6"/>
  <c r="AH35" i="6"/>
  <c r="AB35" i="6"/>
  <c r="R35" i="6"/>
  <c r="Z35" i="6"/>
  <c r="AF35" i="6"/>
  <c r="X35" i="6"/>
  <c r="L35" i="6"/>
  <c r="AD35" i="6"/>
  <c r="T35" i="6"/>
  <c r="N35" i="6"/>
  <c r="N40" i="7"/>
  <c r="AH40" i="7"/>
  <c r="AF40" i="7"/>
  <c r="Z40" i="7"/>
  <c r="AB40" i="7"/>
  <c r="AJ40" i="7"/>
  <c r="AD40" i="7"/>
  <c r="AB39" i="7"/>
  <c r="AJ39" i="7"/>
  <c r="AH39" i="7"/>
  <c r="AF39" i="7"/>
  <c r="Z39" i="7"/>
  <c r="AD39" i="7"/>
  <c r="N34" i="7"/>
  <c r="AJ34" i="7"/>
  <c r="AF34" i="7"/>
  <c r="AH34" i="7"/>
  <c r="AB34" i="7"/>
  <c r="Z34" i="7"/>
  <c r="AD34" i="7"/>
  <c r="T18" i="7"/>
  <c r="AJ18" i="7"/>
  <c r="AF18" i="7"/>
  <c r="AH18" i="7"/>
  <c r="AB18" i="7"/>
  <c r="Z18" i="7"/>
  <c r="AD18" i="7"/>
  <c r="N24" i="7"/>
  <c r="AF24" i="7"/>
  <c r="Z24" i="7"/>
  <c r="AB24" i="7"/>
  <c r="AJ24" i="7"/>
  <c r="AH24" i="7"/>
  <c r="AD24" i="7"/>
  <c r="AH21" i="7"/>
  <c r="AB21" i="7"/>
  <c r="AF21" i="7"/>
  <c r="Z21" i="7"/>
  <c r="AJ21" i="7"/>
  <c r="AD21" i="7"/>
  <c r="N33" i="7"/>
  <c r="AH33" i="7"/>
  <c r="AB33" i="7"/>
  <c r="AJ33" i="7"/>
  <c r="AF33" i="7"/>
  <c r="Z33" i="7"/>
  <c r="AD33" i="7"/>
  <c r="AH35" i="7"/>
  <c r="Z35" i="7"/>
  <c r="AJ35" i="7"/>
  <c r="AB35" i="7"/>
  <c r="AF35" i="7"/>
  <c r="AD35" i="7"/>
  <c r="AJ30" i="7"/>
  <c r="Z30" i="7"/>
  <c r="AD30" i="7"/>
  <c r="AH30" i="7"/>
  <c r="AB30" i="7"/>
  <c r="AF30" i="7"/>
  <c r="AF36" i="7"/>
  <c r="Z36" i="7"/>
  <c r="AJ36" i="7"/>
  <c r="AB36" i="7"/>
  <c r="AH36" i="7"/>
  <c r="AD36" i="7"/>
  <c r="AF20" i="7"/>
  <c r="Z20" i="7"/>
  <c r="AJ20" i="7"/>
  <c r="AH20" i="7"/>
  <c r="AB20" i="7"/>
  <c r="AD20" i="7"/>
  <c r="AJ14" i="7"/>
  <c r="Z14" i="7"/>
  <c r="AH14" i="7"/>
  <c r="AB14" i="7"/>
  <c r="AF14" i="7"/>
  <c r="AD14" i="7"/>
  <c r="AH17" i="7"/>
  <c r="AB17" i="7"/>
  <c r="AF17" i="7"/>
  <c r="Z17" i="7"/>
  <c r="AJ17" i="7"/>
  <c r="AD17" i="7"/>
  <c r="AH19" i="7"/>
  <c r="AJ19" i="7"/>
  <c r="AB19" i="7"/>
  <c r="Z19" i="7"/>
  <c r="AF19" i="7"/>
  <c r="AD19" i="7"/>
  <c r="AB23" i="7"/>
  <c r="AJ23" i="7"/>
  <c r="AH23" i="7"/>
  <c r="AF23" i="7"/>
  <c r="Z23" i="7"/>
  <c r="AD23" i="7"/>
  <c r="AD26" i="7"/>
  <c r="AJ26" i="7"/>
  <c r="AF26" i="7"/>
  <c r="AH26" i="7"/>
  <c r="AB26" i="7"/>
  <c r="Z26" i="7"/>
  <c r="AF32" i="7"/>
  <c r="Z32" i="7"/>
  <c r="AH32" i="7"/>
  <c r="AJ32" i="7"/>
  <c r="AB32" i="7"/>
  <c r="AD32" i="7"/>
  <c r="AF16" i="7"/>
  <c r="Z16" i="7"/>
  <c r="AJ16" i="7"/>
  <c r="AB16" i="7"/>
  <c r="AH16" i="7"/>
  <c r="AD16" i="7"/>
  <c r="AJ10" i="7"/>
  <c r="AF10" i="7"/>
  <c r="AH10" i="7"/>
  <c r="AB10" i="7"/>
  <c r="Z10" i="7"/>
  <c r="AD10" i="7"/>
  <c r="AH29" i="7"/>
  <c r="AB29" i="7"/>
  <c r="AF29" i="7"/>
  <c r="Z29" i="7"/>
  <c r="AJ29" i="7"/>
  <c r="AD29" i="7"/>
  <c r="AH37" i="7"/>
  <c r="AB37" i="7"/>
  <c r="AF37" i="7"/>
  <c r="Z37" i="7"/>
  <c r="AJ37" i="7"/>
  <c r="AD37" i="7"/>
  <c r="N38" i="7"/>
  <c r="AJ38" i="7"/>
  <c r="Z38" i="7"/>
  <c r="AD38" i="7"/>
  <c r="AH38" i="7"/>
  <c r="AB38" i="7"/>
  <c r="AF38" i="7"/>
  <c r="T22" i="7"/>
  <c r="AJ22" i="7"/>
  <c r="Z22" i="7"/>
  <c r="AD22" i="7"/>
  <c r="AH22" i="7"/>
  <c r="AB22" i="7"/>
  <c r="AF22" i="7"/>
  <c r="AF28" i="7"/>
  <c r="Z28" i="7"/>
  <c r="AJ28" i="7"/>
  <c r="AH28" i="7"/>
  <c r="AB28" i="7"/>
  <c r="AD28" i="7"/>
  <c r="AF12" i="7"/>
  <c r="Z12" i="7"/>
  <c r="AJ12" i="7"/>
  <c r="AH12" i="7"/>
  <c r="AB12" i="7"/>
  <c r="AD12" i="7"/>
  <c r="AB15" i="7"/>
  <c r="AJ15" i="7"/>
  <c r="AH15" i="7"/>
  <c r="AF15" i="7"/>
  <c r="Z15" i="7"/>
  <c r="AD15" i="7"/>
  <c r="AH27" i="7"/>
  <c r="AJ27" i="7"/>
  <c r="AB27" i="7"/>
  <c r="AF27" i="7"/>
  <c r="Z27" i="7"/>
  <c r="AD27" i="7"/>
  <c r="AJ25" i="7"/>
  <c r="AH25" i="7"/>
  <c r="AB25" i="7"/>
  <c r="AF25" i="7"/>
  <c r="Z25" i="7"/>
  <c r="AD25" i="7"/>
  <c r="AB31" i="7"/>
  <c r="AF31" i="7"/>
  <c r="AJ31" i="7"/>
  <c r="AH31" i="7"/>
  <c r="Z31" i="7"/>
  <c r="AD31" i="7"/>
  <c r="N28" i="7"/>
  <c r="G28" i="7"/>
  <c r="G35" i="7"/>
  <c r="G8" i="7"/>
  <c r="T21" i="7"/>
  <c r="G21" i="7"/>
  <c r="J14" i="7"/>
  <c r="N14" i="7"/>
  <c r="G14" i="7"/>
  <c r="AL23" i="6"/>
  <c r="N39" i="7"/>
  <c r="T36" i="7"/>
  <c r="N36" i="7"/>
  <c r="N35" i="7"/>
  <c r="N32" i="7"/>
  <c r="AL37" i="7"/>
  <c r="N37" i="7"/>
  <c r="AF8" i="7"/>
  <c r="Z8" i="7"/>
  <c r="AL8" i="7"/>
  <c r="AD8" i="7"/>
  <c r="X8" i="7"/>
  <c r="R8" i="7"/>
  <c r="AJ8" i="7"/>
  <c r="J8" i="7"/>
  <c r="AH8" i="7"/>
  <c r="AB8" i="7"/>
  <c r="T8" i="7"/>
  <c r="N8" i="7"/>
  <c r="AL10" i="7"/>
  <c r="X10" i="7"/>
  <c r="R10" i="7"/>
  <c r="J10" i="7"/>
  <c r="T10" i="7"/>
  <c r="N10" i="7"/>
  <c r="AL12" i="7"/>
  <c r="X12" i="7"/>
  <c r="R12" i="7"/>
  <c r="J12" i="7"/>
  <c r="T12" i="7"/>
  <c r="N12" i="7"/>
  <c r="N20" i="7"/>
  <c r="N40" i="6"/>
  <c r="AB40" i="6"/>
  <c r="R40" i="6"/>
  <c r="R42" i="6"/>
  <c r="AB42" i="6"/>
  <c r="AB44" i="6"/>
  <c r="R44" i="6"/>
  <c r="AJ41" i="6"/>
  <c r="AB41" i="6"/>
  <c r="R41" i="6"/>
  <c r="AF49" i="6"/>
  <c r="AB49" i="6"/>
  <c r="R49" i="6"/>
  <c r="C1" i="30"/>
  <c r="AH39" i="6"/>
  <c r="R39" i="6"/>
  <c r="AB39" i="6"/>
  <c r="N38" i="6"/>
  <c r="R38" i="6"/>
  <c r="AB38" i="6"/>
  <c r="AL37" i="6"/>
  <c r="D11" i="39"/>
  <c r="AL20" i="6"/>
  <c r="AL28" i="6"/>
  <c r="T49" i="6"/>
  <c r="AL26" i="6"/>
  <c r="AL18" i="6"/>
  <c r="AL41" i="6"/>
  <c r="J23" i="7"/>
  <c r="N23" i="7"/>
  <c r="AL23" i="7"/>
  <c r="R23" i="7"/>
  <c r="X23" i="7"/>
  <c r="AL19" i="7"/>
  <c r="AL31" i="6"/>
  <c r="T19" i="7"/>
  <c r="R35" i="7"/>
  <c r="J19" i="7"/>
  <c r="T23" i="7"/>
  <c r="N19" i="7"/>
  <c r="R19" i="7"/>
  <c r="N31" i="7"/>
  <c r="X19" i="7"/>
  <c r="J35" i="7"/>
  <c r="AL14" i="7"/>
  <c r="X14" i="7"/>
  <c r="R14" i="7"/>
  <c r="T14" i="7"/>
  <c r="AL35" i="7"/>
  <c r="J31" i="7"/>
  <c r="X31" i="7"/>
  <c r="V35" i="7"/>
  <c r="AL31" i="7"/>
  <c r="X29" i="7"/>
  <c r="R31" i="7"/>
  <c r="L35" i="7"/>
  <c r="P35" i="7"/>
  <c r="X35" i="7"/>
  <c r="N29" i="7"/>
  <c r="T35" i="7"/>
  <c r="T29" i="7"/>
  <c r="R33" i="7"/>
  <c r="T31" i="7"/>
  <c r="AL29" i="7"/>
  <c r="R29" i="7"/>
  <c r="T33" i="7"/>
  <c r="J29" i="7"/>
  <c r="J33" i="7"/>
  <c r="X33" i="7"/>
  <c r="AD43" i="7"/>
  <c r="AH41" i="6"/>
  <c r="R49" i="7"/>
  <c r="AF41" i="6"/>
  <c r="L49" i="7"/>
  <c r="Z49" i="7"/>
  <c r="Z41" i="6"/>
  <c r="V49" i="7"/>
  <c r="T32" i="7"/>
  <c r="AL27" i="6"/>
  <c r="P41" i="6"/>
  <c r="L41" i="6"/>
  <c r="V41" i="6"/>
  <c r="X41" i="6"/>
  <c r="J41" i="6"/>
  <c r="AD41" i="6"/>
  <c r="T41" i="6"/>
  <c r="N41" i="6"/>
  <c r="AL36" i="6"/>
  <c r="AB49" i="7"/>
  <c r="AL35" i="6"/>
  <c r="C1" i="37"/>
  <c r="B36" i="13" s="1"/>
  <c r="L128" i="30"/>
  <c r="X27" i="7"/>
  <c r="T25" i="7"/>
  <c r="X25" i="7"/>
  <c r="N25" i="7"/>
  <c r="J27" i="7"/>
  <c r="R25" i="7"/>
  <c r="AL25" i="7"/>
  <c r="J25" i="7"/>
  <c r="AD44" i="7"/>
  <c r="AJ49" i="7"/>
  <c r="T27" i="7"/>
  <c r="N43" i="7"/>
  <c r="M140" i="30"/>
  <c r="M133" i="30"/>
  <c r="AL33" i="7"/>
  <c r="AB43" i="7"/>
  <c r="M134" i="30"/>
  <c r="T39" i="7"/>
  <c r="M138" i="30"/>
  <c r="M131" i="30"/>
  <c r="X49" i="7"/>
  <c r="M141" i="30"/>
  <c r="M142" i="30"/>
  <c r="M129" i="30"/>
  <c r="AL49" i="7"/>
  <c r="N49" i="7"/>
  <c r="X39" i="7"/>
  <c r="M128" i="30"/>
  <c r="M135" i="30"/>
  <c r="AF49" i="7"/>
  <c r="M139" i="30"/>
  <c r="M137" i="30"/>
  <c r="M130" i="30"/>
  <c r="AL24" i="6"/>
  <c r="J49" i="7"/>
  <c r="AD49" i="7"/>
  <c r="C1" i="34"/>
  <c r="P49" i="7"/>
  <c r="T49" i="7"/>
  <c r="K15" i="39"/>
  <c r="I24" i="39"/>
  <c r="AL22" i="6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X17" i="7"/>
  <c r="AL17" i="7"/>
  <c r="X21" i="7"/>
  <c r="J21" i="7"/>
  <c r="AC51" i="7"/>
  <c r="N15" i="7"/>
  <c r="J15" i="7"/>
  <c r="R21" i="7"/>
  <c r="AL15" i="7"/>
  <c r="X15" i="7"/>
  <c r="N21" i="7"/>
  <c r="AL21" i="7"/>
  <c r="T15" i="7"/>
  <c r="R15" i="7"/>
  <c r="B16" i="13"/>
  <c r="C16" i="13" s="1"/>
  <c r="E16" i="13" s="1"/>
  <c r="R17" i="7"/>
  <c r="N17" i="7"/>
  <c r="T17" i="7"/>
  <c r="J17" i="7"/>
  <c r="AL27" i="7"/>
  <c r="R27" i="7"/>
  <c r="T24" i="7"/>
  <c r="N27" i="7"/>
  <c r="AL19" i="6"/>
  <c r="AL16" i="6"/>
  <c r="H15" i="13"/>
  <c r="I7" i="13"/>
  <c r="K7" i="13" s="1"/>
  <c r="T28" i="7"/>
  <c r="N16" i="7"/>
  <c r="T20" i="7"/>
  <c r="M51" i="7"/>
  <c r="AH44" i="7"/>
  <c r="AB44" i="7"/>
  <c r="AL44" i="7"/>
  <c r="X44" i="7"/>
  <c r="R44" i="7"/>
  <c r="L44" i="7"/>
  <c r="P44" i="7"/>
  <c r="Z44" i="7"/>
  <c r="AJ44" i="7"/>
  <c r="V44" i="7"/>
  <c r="J44" i="7"/>
  <c r="AF44" i="7"/>
  <c r="T44" i="7"/>
  <c r="AL24" i="7"/>
  <c r="X24" i="7"/>
  <c r="R24" i="7"/>
  <c r="J24" i="7"/>
  <c r="N18" i="7"/>
  <c r="AL34" i="7"/>
  <c r="X34" i="7"/>
  <c r="R34" i="7"/>
  <c r="J34" i="7"/>
  <c r="AL30" i="7"/>
  <c r="X30" i="7"/>
  <c r="R30" i="7"/>
  <c r="J30" i="7"/>
  <c r="AL26" i="7"/>
  <c r="X26" i="7"/>
  <c r="R26" i="7"/>
  <c r="J26" i="7"/>
  <c r="AL22" i="7"/>
  <c r="X22" i="7"/>
  <c r="R22" i="7"/>
  <c r="J22" i="7"/>
  <c r="AL36" i="7"/>
  <c r="X36" i="7"/>
  <c r="R36" i="7"/>
  <c r="L36" i="7"/>
  <c r="V36" i="7"/>
  <c r="J36" i="7"/>
  <c r="P36" i="7"/>
  <c r="T34" i="7"/>
  <c r="N30" i="7"/>
  <c r="N26" i="7"/>
  <c r="N22" i="7"/>
  <c r="AL28" i="7"/>
  <c r="X28" i="7"/>
  <c r="R28" i="7"/>
  <c r="J28" i="7"/>
  <c r="T26" i="7"/>
  <c r="AL20" i="7"/>
  <c r="X20" i="7"/>
  <c r="R20" i="7"/>
  <c r="J20" i="7"/>
  <c r="AL16" i="7"/>
  <c r="X16" i="7"/>
  <c r="R16" i="7"/>
  <c r="J16" i="7"/>
  <c r="T16" i="7"/>
  <c r="AL18" i="7"/>
  <c r="X18" i="7"/>
  <c r="R18" i="7"/>
  <c r="J18" i="7"/>
  <c r="AL32" i="7"/>
  <c r="X32" i="7"/>
  <c r="R32" i="7"/>
  <c r="J32" i="7"/>
  <c r="T30" i="7"/>
  <c r="AL32" i="6"/>
  <c r="AL17" i="6"/>
  <c r="AL29" i="6"/>
  <c r="AL15" i="6"/>
  <c r="AL33" i="6"/>
  <c r="AL44" i="6"/>
  <c r="AD44" i="6"/>
  <c r="X44" i="6"/>
  <c r="L44" i="6"/>
  <c r="AJ44" i="6"/>
  <c r="V44" i="6"/>
  <c r="P44" i="6"/>
  <c r="J44" i="6"/>
  <c r="AH44" i="6"/>
  <c r="T44" i="6"/>
  <c r="AF44" i="6"/>
  <c r="Z44" i="6"/>
  <c r="AL30" i="6"/>
  <c r="N44" i="6"/>
  <c r="AL25" i="6"/>
  <c r="AL34" i="6"/>
  <c r="AL21" i="6"/>
  <c r="H19" i="13"/>
  <c r="C1" i="32"/>
  <c r="C1" i="36"/>
  <c r="D34" i="39"/>
  <c r="C1" i="35"/>
  <c r="E34" i="39" s="1"/>
  <c r="C1" i="31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P82" i="30" s="1"/>
  <c r="U82" i="30" s="1"/>
  <c r="Z82" i="30" s="1"/>
  <c r="U42" i="30"/>
  <c r="Z42" i="30" s="1"/>
  <c r="AE42" i="30" s="1"/>
  <c r="AJ42" i="30" s="1"/>
  <c r="AO42" i="30" s="1"/>
  <c r="AT42" i="30" s="1"/>
  <c r="C1" i="33"/>
  <c r="C1" i="8"/>
  <c r="AD39" i="6"/>
  <c r="T39" i="6"/>
  <c r="AF39" i="6"/>
  <c r="L39" i="6"/>
  <c r="AJ39" i="6"/>
  <c r="P39" i="6"/>
  <c r="X39" i="6"/>
  <c r="J39" i="6"/>
  <c r="N39" i="6"/>
  <c r="Z39" i="6"/>
  <c r="AL39" i="6"/>
  <c r="V39" i="6"/>
  <c r="AF38" i="6"/>
  <c r="Z38" i="6"/>
  <c r="AL38" i="6"/>
  <c r="AD38" i="6"/>
  <c r="X38" i="6"/>
  <c r="L38" i="6"/>
  <c r="AJ38" i="6"/>
  <c r="V38" i="6"/>
  <c r="P38" i="6"/>
  <c r="J38" i="6"/>
  <c r="AH38" i="6"/>
  <c r="T38" i="6"/>
  <c r="AF42" i="6"/>
  <c r="Z42" i="6"/>
  <c r="AL42" i="6"/>
  <c r="AD42" i="6"/>
  <c r="X42" i="6"/>
  <c r="L42" i="6"/>
  <c r="AJ42" i="6"/>
  <c r="V42" i="6"/>
  <c r="P42" i="6"/>
  <c r="J42" i="6"/>
  <c r="AH42" i="6"/>
  <c r="T42" i="6"/>
  <c r="N42" i="6"/>
  <c r="AJ40" i="6"/>
  <c r="V40" i="6"/>
  <c r="P40" i="6"/>
  <c r="J40" i="6"/>
  <c r="AH40" i="6"/>
  <c r="T40" i="6"/>
  <c r="AF40" i="6"/>
  <c r="Z40" i="6"/>
  <c r="AL40" i="6"/>
  <c r="AD40" i="6"/>
  <c r="X40" i="6"/>
  <c r="L40" i="6"/>
  <c r="Z43" i="7"/>
  <c r="R43" i="7"/>
  <c r="AJ43" i="7"/>
  <c r="X43" i="7"/>
  <c r="T43" i="7"/>
  <c r="AF43" i="7"/>
  <c r="AL43" i="7"/>
  <c r="V43" i="7"/>
  <c r="R39" i="7"/>
  <c r="P43" i="7"/>
  <c r="L43" i="7"/>
  <c r="J43" i="7"/>
  <c r="P39" i="7"/>
  <c r="AL39" i="7"/>
  <c r="L39" i="7"/>
  <c r="V39" i="7"/>
  <c r="J39" i="7"/>
  <c r="AF42" i="7"/>
  <c r="Z42" i="7"/>
  <c r="AL42" i="7"/>
  <c r="AD42" i="7"/>
  <c r="X42" i="7"/>
  <c r="R42" i="7"/>
  <c r="L42" i="7"/>
  <c r="AJ42" i="7"/>
  <c r="V42" i="7"/>
  <c r="P42" i="7"/>
  <c r="J42" i="7"/>
  <c r="AH42" i="7"/>
  <c r="AB42" i="7"/>
  <c r="T42" i="7"/>
  <c r="V40" i="7"/>
  <c r="P40" i="7"/>
  <c r="J40" i="7"/>
  <c r="T40" i="7"/>
  <c r="AL40" i="7"/>
  <c r="X40" i="7"/>
  <c r="R40" i="7"/>
  <c r="L40" i="7"/>
  <c r="AL41" i="7"/>
  <c r="AD41" i="7"/>
  <c r="X41" i="7"/>
  <c r="R41" i="7"/>
  <c r="L41" i="7"/>
  <c r="AJ41" i="7"/>
  <c r="V41" i="7"/>
  <c r="P41" i="7"/>
  <c r="J41" i="7"/>
  <c r="AH41" i="7"/>
  <c r="AB41" i="7"/>
  <c r="T41" i="7"/>
  <c r="AF41" i="7"/>
  <c r="Z41" i="7"/>
  <c r="AL38" i="7"/>
  <c r="X38" i="7"/>
  <c r="R38" i="7"/>
  <c r="L38" i="7"/>
  <c r="V38" i="7"/>
  <c r="P38" i="7"/>
  <c r="J38" i="7"/>
  <c r="T38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E9" i="13"/>
  <c r="J37" i="7"/>
  <c r="R37" i="7"/>
  <c r="V37" i="7"/>
  <c r="L37" i="7"/>
  <c r="P37" i="7"/>
  <c r="T37" i="7"/>
  <c r="X37" i="7"/>
  <c r="E15" i="13"/>
  <c r="D8" i="13"/>
  <c r="E8" i="13"/>
  <c r="P107" i="8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1" i="39"/>
  <c r="D30" i="39"/>
  <c r="D29" i="39"/>
  <c r="D28" i="39"/>
  <c r="AH50" i="7" l="1"/>
  <c r="AD50" i="6"/>
  <c r="T50" i="6"/>
  <c r="N50" i="6"/>
  <c r="AH50" i="6"/>
  <c r="P50" i="6"/>
  <c r="V50" i="6"/>
  <c r="L50" i="6"/>
  <c r="Z50" i="6"/>
  <c r="AB50" i="6"/>
  <c r="AJ50" i="6"/>
  <c r="R50" i="6"/>
  <c r="AL50" i="6"/>
  <c r="X50" i="6"/>
  <c r="J50" i="6"/>
  <c r="R50" i="7"/>
  <c r="AJ50" i="7"/>
  <c r="L50" i="7"/>
  <c r="P50" i="7"/>
  <c r="V50" i="7"/>
  <c r="X50" i="7"/>
  <c r="AF50" i="7"/>
  <c r="AB50" i="7"/>
  <c r="J50" i="7"/>
  <c r="Z50" i="7"/>
  <c r="AL50" i="7"/>
  <c r="C24" i="13"/>
  <c r="E36" i="39"/>
  <c r="P142" i="33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U62" i="30"/>
  <c r="Z62" i="30" s="1"/>
  <c r="AE62" i="30" s="1"/>
  <c r="AJ62" i="30" s="1"/>
  <c r="AO62" i="30" s="1"/>
  <c r="AT62" i="30" s="1"/>
  <c r="E15" i="39"/>
  <c r="C24" i="39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N50" i="7"/>
  <c r="AD50" i="7"/>
  <c r="T50" i="7"/>
  <c r="P142" i="8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P177" i="33" l="1"/>
  <c r="U177" i="33" s="1"/>
  <c r="Z177" i="33" s="1"/>
  <c r="AE177" i="33" s="1"/>
  <c r="AJ177" i="33" s="1"/>
  <c r="AO177" i="33" s="1"/>
  <c r="AT177" i="33" s="1"/>
  <c r="U142" i="33"/>
  <c r="Z142" i="33" s="1"/>
  <c r="AE142" i="33" s="1"/>
  <c r="AJ142" i="33" s="1"/>
  <c r="AO142" i="33" s="1"/>
  <c r="AT142" i="33" s="1"/>
  <c r="N34" i="13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AE82" i="30"/>
  <c r="AJ82" i="30" s="1"/>
  <c r="AO82" i="30" s="1"/>
  <c r="AT82" i="30" s="1"/>
  <c r="U142" i="8"/>
  <c r="Z142" i="8" s="1"/>
  <c r="AE142" i="8" s="1"/>
  <c r="AJ142" i="8" s="1"/>
  <c r="AO142" i="8" s="1"/>
  <c r="AT142" i="8" s="1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<sst xmlns="http://schemas.openxmlformats.org/spreadsheetml/2006/main" count="7951" uniqueCount="828">
  <si>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</si>
  <si>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</si>
  <si>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</si>
  <si>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</si>
  <si>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</si>
  <si>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</si>
  <si>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</si>
  <si>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</si>
  <si>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</si>
  <si>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</si>
  <si>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</si>
  <si>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</si>
  <si>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</si>
  <si>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</si>
  <si>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</si>
  <si>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</si>
  <si>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</si>
  <si>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</si>
  <si>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</si>
  <si>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</si>
  <si>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9"/>
  </si>
  <si>
    <t>（１）收支狀況</t>
    <phoneticPr fontId="9"/>
  </si>
  <si>
    <t>當月</t>
    <phoneticPr fontId="9"/>
  </si>
  <si>
    <t>※單位：千元</t>
    <phoneticPr fontId="9"/>
  </si>
  <si>
    <t>業績金額</t>
    <phoneticPr fontId="9"/>
  </si>
  <si>
    <t>訂單數量</t>
    <phoneticPr fontId="9"/>
  </si>
  <si>
    <t>半成品報廢</t>
    <phoneticPr fontId="9"/>
  </si>
  <si>
    <t>半成品超用</t>
    <phoneticPr fontId="9"/>
  </si>
  <si>
    <t>固定產線</t>
    <phoneticPr fontId="9"/>
  </si>
  <si>
    <t>教育訓練</t>
    <phoneticPr fontId="9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</si>
  <si>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9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</si>
  <si>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9"/>
  </si>
  <si>
    <t>（３）業績構成比</t>
    <phoneticPr fontId="9"/>
  </si>
  <si>
    <t>（４）訂單數量構成比</t>
    <phoneticPr fontId="9"/>
  </si>
  <si>
    <t>飯糰</t>
    <phoneticPr fontId="9"/>
  </si>
  <si>
    <t>大口飯糰</t>
    <phoneticPr fontId="9"/>
  </si>
  <si>
    <t>便當</t>
    <phoneticPr fontId="9"/>
  </si>
  <si>
    <t>調理麵包</t>
    <phoneticPr fontId="9"/>
  </si>
  <si>
    <t>袋裝調理麵包</t>
    <phoneticPr fontId="9"/>
  </si>
  <si>
    <t>義大利麵</t>
    <phoneticPr fontId="9"/>
  </si>
  <si>
    <t>調理包</t>
    <phoneticPr fontId="9"/>
  </si>
  <si>
    <t>比例</t>
    <phoneticPr fontId="9"/>
  </si>
  <si>
    <t>作業原因</t>
    <phoneticPr fontId="9"/>
  </si>
  <si>
    <t>規格原因</t>
    <phoneticPr fontId="9"/>
  </si>
  <si>
    <t>調理麵</t>
    <phoneticPr fontId="9"/>
  </si>
  <si>
    <t>（６）人時生產性前幾名品項</t>
    <phoneticPr fontId="9"/>
  </si>
  <si>
    <t>人數</t>
    <phoneticPr fontId="9"/>
  </si>
  <si>
    <t>排名</t>
    <phoneticPr fontId="9"/>
  </si>
  <si>
    <t>產能</t>
    <phoneticPr fontId="9"/>
  </si>
  <si>
    <t>人時生產性</t>
    <phoneticPr fontId="9"/>
  </si>
  <si>
    <t>主要原因&amp;對策</t>
  </si>
  <si>
    <t>主要原因&amp;對策</t>
    <phoneticPr fontId="9"/>
  </si>
  <si>
    <t>（８）報廢原因別前幾名品項</t>
    <phoneticPr fontId="9"/>
  </si>
  <si>
    <t>半成品名</t>
    <phoneticPr fontId="9"/>
  </si>
  <si>
    <t>單價</t>
    <phoneticPr fontId="9"/>
  </si>
  <si>
    <t>報廢率</t>
    <phoneticPr fontId="9"/>
  </si>
  <si>
    <t>數量</t>
    <phoneticPr fontId="9"/>
  </si>
  <si>
    <t>實績</t>
    <phoneticPr fontId="9"/>
  </si>
  <si>
    <t>前幾名合計比例</t>
    <phoneticPr fontId="9"/>
  </si>
  <si>
    <t>前幾名合計金額</t>
    <phoneticPr fontId="9"/>
  </si>
  <si>
    <t>※補充</t>
    <phoneticPr fontId="9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</si>
  <si>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9"/>
  </si>
  <si>
    <t>實施率</t>
    <phoneticPr fontId="9"/>
  </si>
  <si>
    <t>（５）品群別人時生產性</t>
    <phoneticPr fontId="9"/>
  </si>
  <si>
    <t>勞務成本</t>
    <phoneticPr fontId="9"/>
  </si>
  <si>
    <t>勞務費率</t>
    <phoneticPr fontId="9"/>
  </si>
  <si>
    <t>比例</t>
    <phoneticPr fontId="9"/>
  </si>
  <si>
    <t>前月</t>
    <phoneticPr fontId="9"/>
  </si>
  <si>
    <t>差異</t>
    <phoneticPr fontId="9"/>
  </si>
  <si>
    <t>KPI</t>
    <phoneticPr fontId="9"/>
  </si>
  <si>
    <t>當月</t>
    <phoneticPr fontId="9"/>
  </si>
  <si>
    <t>（２）ＫＰＩ達成進度</t>
    <phoneticPr fontId="9"/>
  </si>
  <si>
    <t>（７）原因別分析</t>
    <phoneticPr fontId="9"/>
  </si>
  <si>
    <t>月別</t>
    <phoneticPr fontId="9"/>
  </si>
  <si>
    <t>工廠名</t>
    <phoneticPr fontId="9"/>
  </si>
  <si>
    <t>手巻卵黄雞絞肉</t>
    <phoneticPr fontId="9"/>
  </si>
  <si>
    <t>減少暫時停止生產,人時UP</t>
    <phoneticPr fontId="9"/>
  </si>
  <si>
    <t>因組裝2食材,人員增加,產速減少</t>
    <phoneticPr fontId="9"/>
  </si>
  <si>
    <t>透由調整速度提升。</t>
    <phoneticPr fontId="9"/>
  </si>
  <si>
    <t>直巻明太子美奶茲</t>
    <phoneticPr fontId="9"/>
  </si>
  <si>
    <t>大口飯糰燒肉美奶滋</t>
    <phoneticPr fontId="9"/>
  </si>
  <si>
    <t>因摺疊增員。實施教育訓練。</t>
    <phoneticPr fontId="9"/>
  </si>
  <si>
    <t>明太子海苔便當</t>
    <phoneticPr fontId="9"/>
  </si>
  <si>
    <t>指導鋪開炒柴魚片</t>
    <phoneticPr fontId="9"/>
  </si>
  <si>
    <t>肉狀態不良，已連動開發</t>
    <phoneticPr fontId="9"/>
  </si>
  <si>
    <t>油炸白身魚</t>
    <phoneticPr fontId="9"/>
  </si>
  <si>
    <t>油調過多報廢。變更條件。</t>
    <phoneticPr fontId="9"/>
  </si>
  <si>
    <t>川燙蝦子拌醬</t>
    <phoneticPr fontId="9"/>
  </si>
  <si>
    <t>蝦子入數不足</t>
    <phoneticPr fontId="9"/>
  </si>
  <si>
    <t>特製醬汁炙燒牛五花便當</t>
    <phoneticPr fontId="9"/>
  </si>
  <si>
    <t>牛五花醬汁</t>
    <phoneticPr fontId="9"/>
  </si>
  <si>
    <t>難度有差異。調理指導。</t>
    <phoneticPr fontId="9"/>
  </si>
  <si>
    <t>因原料變更。</t>
    <phoneticPr fontId="9"/>
  </si>
  <si>
    <t>牛五花燒成</t>
    <phoneticPr fontId="9"/>
  </si>
  <si>
    <t>大口飯糰三種起司午餐肉</t>
    <phoneticPr fontId="9"/>
  </si>
  <si>
    <t>３種起司燒成</t>
    <phoneticPr fontId="9"/>
  </si>
  <si>
    <t>與燒成範本不同。</t>
    <phoneticPr fontId="9"/>
  </si>
  <si>
    <t>燒成過多，調整調理條件。</t>
    <phoneticPr fontId="9"/>
  </si>
  <si>
    <t>超用率</t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</si>
  <si>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</si>
  <si>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</si>
  <si>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</si>
  <si>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</si>
  <si>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9"/>
  </si>
  <si>
    <t>超用率</t>
    <phoneticPr fontId="9"/>
  </si>
  <si>
    <t>日期</t>
    <phoneticPr fontId="12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</si>
  <si>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</si>
  <si>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</si>
  <si>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</si>
  <si>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</si>
  <si>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</si>
  <si>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2" type="noConversion"/>
  </si>
  <si>
    <t>業績(元)</t>
    <phoneticPr fontId="12" type="noConversion"/>
  </si>
  <si>
    <t>比例(%)</t>
    <phoneticPr fontId="12" type="noConversion"/>
  </si>
  <si>
    <t>三</t>
    <phoneticPr fontId="12" type="noConversion"/>
  </si>
  <si>
    <t>日</t>
    <phoneticPr fontId="12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</si>
  <si>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2" type="noConversion"/>
  </si>
  <si>
    <t>週累積</t>
    <phoneticPr fontId="12" type="noConversion"/>
  </si>
  <si>
    <t>月累積</t>
    <phoneticPr fontId="12" type="noConversion"/>
  </si>
  <si>
    <t>訂單數量(個)</t>
    <phoneticPr fontId="12" type="noConversion"/>
  </si>
  <si>
    <t>材料費(元)</t>
    <phoneticPr fontId="12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</si>
  <si>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2" type="noConversion"/>
  </si>
  <si>
    <t>材料費率（材料費／營業額）</t>
    <phoneticPr fontId="12" type="noConversion"/>
  </si>
  <si>
    <t>勞務成本（全廠人事成本）</t>
    <phoneticPr fontId="12" type="noConversion"/>
  </si>
  <si>
    <t>勞務費率（勞務成本／營業額）</t>
    <phoneticPr fontId="12" type="noConversion"/>
  </si>
  <si>
    <t>（２）ＫＰＩ達成進度</t>
    <phoneticPr fontId="9"/>
  </si>
  <si>
    <t>（２）ＫＰＩ達成進度</t>
    <phoneticPr fontId="12" type="noConversion"/>
  </si>
  <si>
    <t>週平均</t>
    <phoneticPr fontId="12" type="noConversion"/>
  </si>
  <si>
    <t>月平均</t>
    <phoneticPr fontId="12" type="noConversion"/>
  </si>
  <si>
    <t>一配</t>
    <phoneticPr fontId="12" type="noConversion"/>
  </si>
  <si>
    <t>二配</t>
    <phoneticPr fontId="12" type="noConversion"/>
  </si>
  <si>
    <t>便當</t>
  </si>
  <si>
    <t>便當</t>
    <phoneticPr fontId="12" type="noConversion"/>
  </si>
  <si>
    <t>主食</t>
  </si>
  <si>
    <t>主食</t>
    <phoneticPr fontId="12" type="noConversion"/>
  </si>
  <si>
    <t>熱食義麵</t>
  </si>
  <si>
    <t>季節調理麵</t>
  </si>
  <si>
    <t>微波小吃</t>
  </si>
  <si>
    <t>微波小吃</t>
    <phoneticPr fontId="12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</si>
  <si>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2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</si>
  <si>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2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</si>
  <si>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2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</si>
  <si>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2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</si>
  <si>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2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</si>
  <si>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</si>
  <si>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</si>
  <si>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t>合計</t>
    <phoneticPr fontId="12" type="noConversion"/>
  </si>
  <si>
    <t>（４）訂單數量構成比</t>
    <phoneticPr fontId="9"/>
  </si>
  <si>
    <t>訂單量</t>
    <phoneticPr fontId="12" type="noConversion"/>
  </si>
  <si>
    <t>訂單數</t>
    <phoneticPr fontId="12" type="noConversion"/>
  </si>
  <si>
    <t>18℃-飯糰</t>
  </si>
  <si>
    <t>18℃-壽司手卷</t>
  </si>
  <si>
    <t>4℃-飯糰</t>
  </si>
  <si>
    <t>4℃-壽司手卷</t>
  </si>
  <si>
    <t>品群</t>
    <phoneticPr fontId="12" type="noConversion"/>
  </si>
  <si>
    <t>日期</t>
    <phoneticPr fontId="12" type="noConversion"/>
  </si>
  <si>
    <t>資料繳交</t>
    <phoneticPr fontId="12" type="noConversion"/>
  </si>
  <si>
    <t>五</t>
    <phoneticPr fontId="12" type="noConversion"/>
  </si>
  <si>
    <t>二</t>
    <phoneticPr fontId="12" type="noConversion"/>
  </si>
  <si>
    <t>四</t>
    <phoneticPr fontId="12" type="noConversion"/>
  </si>
  <si>
    <t>六</t>
    <phoneticPr fontId="12" type="noConversion"/>
  </si>
  <si>
    <t>日</t>
    <phoneticPr fontId="12" type="noConversion"/>
  </si>
  <si>
    <t>一</t>
    <phoneticPr fontId="12" type="noConversion"/>
  </si>
  <si>
    <t>產線配置圖－每週更新</t>
    <phoneticPr fontId="12" type="noConversion"/>
  </si>
  <si>
    <t>製程不穩</t>
    <phoneticPr fontId="9"/>
  </si>
  <si>
    <t>研發設定</t>
    <phoneticPr fontId="9"/>
  </si>
  <si>
    <t>類別</t>
  </si>
  <si>
    <t>備註-商品名稱</t>
  </si>
  <si>
    <t>品群</t>
    <phoneticPr fontId="9"/>
  </si>
  <si>
    <t>品群</t>
    <phoneticPr fontId="9"/>
  </si>
  <si>
    <t>原物料規格</t>
    <phoneticPr fontId="9"/>
  </si>
  <si>
    <t>其他原因</t>
    <phoneticPr fontId="9"/>
  </si>
  <si>
    <t>類型</t>
    <phoneticPr fontId="12" type="noConversion"/>
  </si>
  <si>
    <t>作業原因</t>
    <phoneticPr fontId="9"/>
  </si>
  <si>
    <t>類型</t>
    <phoneticPr fontId="12" type="noConversion"/>
  </si>
  <si>
    <t>原料原因</t>
    <phoneticPr fontId="9"/>
  </si>
  <si>
    <t>個／MH</t>
    <phoneticPr fontId="9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</si>
  <si>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9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</si>
  <si>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9"/>
  </si>
  <si>
    <t>項目</t>
    <phoneticPr fontId="12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</si>
  <si>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9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</si>
  <si>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9"/>
  </si>
  <si>
    <t>半成品-報廢(%)</t>
    <phoneticPr fontId="9"/>
  </si>
  <si>
    <t>半成品-超用(%)</t>
    <phoneticPr fontId="9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</si>
  <si>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9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</si>
  <si>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9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</si>
  <si>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</si>
  <si>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2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</si>
  <si>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</si>
  <si>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</si>
  <si>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</si>
  <si>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</si>
  <si>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2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</si>
  <si>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</si>
  <si>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</si>
  <si>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</si>
  <si>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</si>
  <si>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2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</si>
  <si>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</si>
  <si>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</si>
  <si>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2" type="noConversion"/>
  </si>
  <si>
    <t>4℃-壽司手卷(077)</t>
  </si>
  <si>
    <t>4℃-壽司手卷(077)</t>
    <phoneticPr fontId="12" type="noConversion"/>
  </si>
  <si>
    <t>18℃-壽司手卷(071,072,075,076)</t>
  </si>
  <si>
    <t>18℃-壽司手卷(071,072,075,076)</t>
    <phoneticPr fontId="12" type="noConversion"/>
  </si>
  <si>
    <t>主食(091,092,093,094,095)</t>
  </si>
  <si>
    <t>主食(091,092,093,094,095)</t>
    <phoneticPr fontId="12" type="noConversion"/>
  </si>
  <si>
    <t>便當(083)</t>
  </si>
  <si>
    <t>便當(083)</t>
    <phoneticPr fontId="12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</si>
  <si>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2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</si>
  <si>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2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</si>
  <si>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</si>
  <si>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t>微波小吃(153,154,155)</t>
  </si>
  <si>
    <t>微波小吃(153,154,155)</t>
    <phoneticPr fontId="12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</si>
  <si>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</si>
  <si>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</si>
  <si>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</si>
  <si>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</si>
  <si>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</si>
  <si>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2" type="noConversion"/>
  </si>
  <si>
    <t>業績金額</t>
    <phoneticPr fontId="12" type="noConversion"/>
  </si>
  <si>
    <t>項目</t>
    <phoneticPr fontId="12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</si>
  <si>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9"/>
  </si>
  <si>
    <t>製程不穩</t>
    <phoneticPr fontId="9"/>
  </si>
  <si>
    <t>抓樣不穩</t>
    <phoneticPr fontId="9"/>
  </si>
  <si>
    <t>比例</t>
    <phoneticPr fontId="9"/>
  </si>
  <si>
    <t>報廢</t>
    <phoneticPr fontId="9"/>
  </si>
  <si>
    <t>超用</t>
    <phoneticPr fontId="9"/>
  </si>
  <si>
    <t>原物料規格</t>
    <phoneticPr fontId="9"/>
  </si>
  <si>
    <t>研發設定</t>
    <phoneticPr fontId="9"/>
  </si>
  <si>
    <t>其他原因</t>
    <phoneticPr fontId="9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</si>
  <si>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2" type="noConversion"/>
  </si>
  <si>
    <t>展開量高於１０5％</t>
    <phoneticPr fontId="9"/>
  </si>
  <si>
    <t>18℃-壽司手卷(071,072,075,076)</t>
    <phoneticPr fontId="12" type="noConversion"/>
  </si>
  <si>
    <t>鮮食品群番</t>
    <phoneticPr fontId="12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</si>
  <si>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</si>
  <si>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</si>
  <si>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</si>
  <si>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</si>
  <si>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</si>
  <si>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</si>
  <si>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</si>
  <si>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</si>
  <si>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</si>
  <si>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</si>
  <si>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</si>
  <si>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</si>
  <si>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</si>
  <si>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</si>
  <si>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</si>
  <si>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</si>
  <si>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</si>
  <si>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</si>
  <si>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</si>
  <si>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</si>
  <si>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</si>
  <si>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</si>
  <si>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</si>
  <si>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</si>
  <si>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</si>
  <si>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</si>
  <si>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</si>
  <si>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</si>
  <si>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</si>
  <si>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</si>
  <si>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</si>
  <si>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</si>
  <si>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</si>
  <si>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</si>
  <si>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</si>
  <si>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</si>
  <si>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</si>
  <si>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</si>
  <si>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</si>
  <si>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</si>
  <si>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</si>
  <si>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</si>
  <si>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</si>
  <si>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</si>
  <si>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</si>
  <si>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</si>
  <si>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</si>
  <si>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</si>
  <si>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</si>
  <si>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</si>
  <si>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</si>
  <si>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</si>
  <si>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</si>
  <si>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</si>
  <si>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</si>
  <si>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</si>
  <si>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</si>
  <si>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</si>
  <si>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</si>
  <si>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</si>
  <si>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</si>
  <si>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</si>
  <si>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</si>
  <si>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</si>
  <si>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</si>
  <si>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2" type="noConversion"/>
  </si>
  <si>
    <t>（3）業績構成比</t>
    <phoneticPr fontId="12" type="noConversion"/>
  </si>
  <si>
    <t>（4）訂單數量構成比</t>
    <phoneticPr fontId="12" type="noConversion"/>
  </si>
  <si>
    <t>展開量高於１０5％</t>
    <phoneticPr fontId="9"/>
  </si>
  <si>
    <t>展開量高於１０5％</t>
    <phoneticPr fontId="9"/>
  </si>
  <si>
    <t>展開量高於１０5％</t>
    <phoneticPr fontId="9"/>
  </si>
  <si>
    <t xml:space="preserve">半成品報廢(%) </t>
    <phoneticPr fontId="12" type="noConversion"/>
  </si>
  <si>
    <t>月別</t>
    <phoneticPr fontId="9"/>
  </si>
  <si>
    <t>週別</t>
    <phoneticPr fontId="12" type="noConversion"/>
  </si>
  <si>
    <t>當週</t>
  </si>
  <si>
    <t>當週</t>
    <phoneticPr fontId="9"/>
  </si>
  <si>
    <t>前週</t>
  </si>
  <si>
    <t>前週</t>
    <phoneticPr fontId="12" type="noConversion"/>
  </si>
  <si>
    <t>前週</t>
    <phoneticPr fontId="9"/>
  </si>
  <si>
    <t>月平均人時性</t>
  </si>
  <si>
    <t>月平均人時性</t>
    <phoneticPr fontId="12" type="noConversion"/>
  </si>
  <si>
    <t>KPI</t>
    <phoneticPr fontId="12" type="noConversion"/>
  </si>
  <si>
    <t>18℃-飯糰(061,063)</t>
  </si>
  <si>
    <t>二</t>
    <phoneticPr fontId="12" type="noConversion"/>
  </si>
  <si>
    <t>三</t>
    <phoneticPr fontId="12" type="noConversion"/>
  </si>
  <si>
    <t>四</t>
    <phoneticPr fontId="12" type="noConversion"/>
  </si>
  <si>
    <t>五</t>
    <phoneticPr fontId="12" type="noConversion"/>
  </si>
  <si>
    <t>六</t>
    <phoneticPr fontId="12" type="noConversion"/>
  </si>
  <si>
    <t>日</t>
    <phoneticPr fontId="12" type="noConversion"/>
  </si>
  <si>
    <t>一</t>
    <phoneticPr fontId="12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</si>
  <si>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2" type="noConversion"/>
  </si>
  <si>
    <t>生產課</t>
  </si>
  <si>
    <t>其他</t>
  </si>
  <si>
    <t>二配金咖哩果香甘口咖哩飯</t>
  </si>
  <si>
    <t>北海道秋鮭親子飯糰</t>
  </si>
  <si>
    <t>香辣醬粉絲煲</t>
  </si>
  <si>
    <t>調配課</t>
  </si>
  <si>
    <t>共用類</t>
  </si>
  <si>
    <t>切-炙燒炭火燒肉片</t>
  </si>
  <si>
    <t>二配港式香滑嫩蛋牛肉燴飯</t>
  </si>
  <si>
    <t>營業額(元)</t>
    <phoneticPr fontId="12" type="noConversion"/>
  </si>
  <si>
    <t>營業額</t>
    <phoneticPr fontId="12" type="noConversion"/>
  </si>
  <si>
    <t>經典肉鬆飯糰</t>
  </si>
  <si>
    <t>蔬食鮪魚飯糰</t>
  </si>
  <si>
    <t>鮪魚飯糰</t>
  </si>
  <si>
    <t>壹號醬炙烤牛飯糰</t>
  </si>
  <si>
    <t>明太子龍蝦風味沙拉飯糰</t>
  </si>
  <si>
    <t>鹽蔥燒肉飯糰</t>
  </si>
  <si>
    <t>雞肉飯飯糰</t>
  </si>
  <si>
    <t>優質池上飯</t>
  </si>
  <si>
    <t>二配哞哞培根奶香海陸焗飯</t>
  </si>
  <si>
    <t>鐵板滑蛋炸豬排丼</t>
  </si>
  <si>
    <t>二配川味麻婆燒豆腐燴飯</t>
  </si>
  <si>
    <t>嘉義劉里長雞肉飯</t>
  </si>
  <si>
    <t>嫩烤香料雞胸排蔬滿盒</t>
  </si>
  <si>
    <t>新招牌腿排便當</t>
  </si>
  <si>
    <t>美式雞丁餐盒</t>
  </si>
  <si>
    <t>健身G肉餐盒</t>
  </si>
  <si>
    <t>烤蛋白餐盒</t>
  </si>
  <si>
    <t>椒麻香蔥雞涼拌麵</t>
  </si>
  <si>
    <t>台式麻醬涼麵</t>
  </si>
  <si>
    <t>大滿足香辣涼麵</t>
  </si>
  <si>
    <t>大滿足麻醬涼麵</t>
  </si>
  <si>
    <t>糖燻豬耳絲</t>
  </si>
  <si>
    <t>韓式蒜味炸雞</t>
  </si>
  <si>
    <t>古早味炒炊粉</t>
  </si>
  <si>
    <t>麻油雞飯糰</t>
  </si>
  <si>
    <t>淡麗清酒蒸蛤蜊烤飯糰</t>
  </si>
  <si>
    <t>大口日式塔塔醬蝦排飯糰</t>
  </si>
  <si>
    <t>大口蒜味香腸燒肉雙拼飯糰</t>
  </si>
  <si>
    <t>大口義式香草雞腿排飯糰</t>
  </si>
  <si>
    <t>晉欣廠</t>
    <phoneticPr fontId="12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</si>
  <si>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2" type="noConversion"/>
  </si>
  <si>
    <t>累計</t>
    <phoneticPr fontId="12" type="noConversion"/>
  </si>
  <si>
    <t>製程不穩</t>
  </si>
  <si>
    <t>切烤雞胸肉</t>
  </si>
  <si>
    <t>平均人時性</t>
    <phoneticPr fontId="12" type="noConversion"/>
  </si>
  <si>
    <t>排名</t>
    <phoneticPr fontId="12" type="noConversion"/>
  </si>
  <si>
    <t>實際</t>
    <phoneticPr fontId="12" type="noConversion"/>
  </si>
  <si>
    <t>品群</t>
    <phoneticPr fontId="12" type="noConversion"/>
  </si>
  <si>
    <t>計畫</t>
    <phoneticPr fontId="12" type="noConversion"/>
  </si>
  <si>
    <t>實績</t>
    <phoneticPr fontId="12" type="noConversion"/>
  </si>
  <si>
    <t>日報</t>
    <phoneticPr fontId="12" type="noConversion"/>
  </si>
  <si>
    <t>產線配置圖</t>
    <phoneticPr fontId="12" type="noConversion"/>
  </si>
  <si>
    <t>生產實績</t>
    <phoneticPr fontId="12" type="noConversion"/>
  </si>
  <si>
    <t>人數</t>
    <phoneticPr fontId="12" type="noConversion"/>
  </si>
  <si>
    <t>產能／時</t>
    <phoneticPr fontId="12" type="noConversion"/>
  </si>
  <si>
    <t>人時性</t>
    <phoneticPr fontId="12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</si>
  <si>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2" type="noConversion"/>
  </si>
  <si>
    <t>商品名稱</t>
    <phoneticPr fontId="12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</si>
  <si>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</si>
  <si>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熱食義麵</t>
    <phoneticPr fontId="12" type="noConversion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</si>
  <si>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9"/>
  </si>
  <si>
    <t>前週比</t>
    <phoneticPr fontId="12" type="noConversion"/>
  </si>
  <si>
    <t>主要原因&amp;對策</t>
    <phoneticPr fontId="9"/>
  </si>
  <si>
    <t>排名</t>
    <phoneticPr fontId="9"/>
  </si>
  <si>
    <t>▼1</t>
    <phoneticPr fontId="9"/>
  </si>
  <si>
    <t>▼2</t>
    <phoneticPr fontId="9"/>
  </si>
  <si>
    <t>▼3</t>
    <phoneticPr fontId="9"/>
  </si>
  <si>
    <t>▼4</t>
    <phoneticPr fontId="9"/>
  </si>
  <si>
    <t>▼5</t>
    <phoneticPr fontId="9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</si>
  <si>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</si>
  <si>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便當</t>
    <phoneticPr fontId="12" type="noConversion"/>
  </si>
  <si>
    <t>燻之味-糖燻雞胗</t>
  </si>
  <si>
    <t>品群</t>
    <phoneticPr fontId="12" type="noConversion"/>
  </si>
  <si>
    <t>商品名稱</t>
    <phoneticPr fontId="12" type="noConversion"/>
  </si>
  <si>
    <t>計畫</t>
    <phoneticPr fontId="12" type="noConversion"/>
  </si>
  <si>
    <t>平均人時性</t>
    <phoneticPr fontId="12" type="noConversion"/>
  </si>
  <si>
    <t>實績</t>
    <phoneticPr fontId="12" type="noConversion"/>
  </si>
  <si>
    <t>排名</t>
    <phoneticPr fontId="12" type="noConversion"/>
  </si>
  <si>
    <t>日報</t>
    <phoneticPr fontId="12" type="noConversion"/>
  </si>
  <si>
    <t>實際</t>
    <phoneticPr fontId="12" type="noConversion"/>
  </si>
  <si>
    <t>產線配置圖</t>
    <phoneticPr fontId="12" type="noConversion"/>
  </si>
  <si>
    <t>生產實績</t>
    <phoneticPr fontId="12" type="noConversion"/>
  </si>
  <si>
    <t>人數</t>
    <phoneticPr fontId="12" type="noConversion"/>
  </si>
  <si>
    <t>產能／時</t>
    <phoneticPr fontId="12" type="noConversion"/>
  </si>
  <si>
    <t>人時性</t>
    <phoneticPr fontId="12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</si>
  <si>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</si>
  <si>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2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</si>
  <si>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</si>
  <si>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便當</t>
    <phoneticPr fontId="12" type="noConversion"/>
  </si>
  <si>
    <t>熱食義麵</t>
    <phoneticPr fontId="12" type="noConversion"/>
  </si>
  <si>
    <t>品群</t>
    <phoneticPr fontId="12" type="noConversion"/>
  </si>
  <si>
    <t>商品名稱</t>
    <phoneticPr fontId="12" type="noConversion"/>
  </si>
  <si>
    <t>計畫</t>
    <phoneticPr fontId="12" type="noConversion"/>
  </si>
  <si>
    <t>平均人時性</t>
    <phoneticPr fontId="12" type="noConversion"/>
  </si>
  <si>
    <t>實績</t>
    <phoneticPr fontId="12" type="noConversion"/>
  </si>
  <si>
    <t>排名</t>
    <phoneticPr fontId="12" type="noConversion"/>
  </si>
  <si>
    <t>日報</t>
    <phoneticPr fontId="12" type="noConversion"/>
  </si>
  <si>
    <t>實際</t>
    <phoneticPr fontId="12" type="noConversion"/>
  </si>
  <si>
    <t>產線配置圖</t>
    <phoneticPr fontId="12" type="noConversion"/>
  </si>
  <si>
    <t>生產實績</t>
    <phoneticPr fontId="12" type="noConversion"/>
  </si>
  <si>
    <t>人數</t>
    <phoneticPr fontId="12" type="noConversion"/>
  </si>
  <si>
    <t>產能／時</t>
    <phoneticPr fontId="12" type="noConversion"/>
  </si>
  <si>
    <t>人時性</t>
    <phoneticPr fontId="12" type="noConversion"/>
  </si>
  <si>
    <t>主食</t>
    <phoneticPr fontId="12" type="noConversion"/>
  </si>
  <si>
    <t>微波小吃</t>
    <phoneticPr fontId="12" type="noConversion"/>
  </si>
  <si>
    <t>▼3</t>
    <phoneticPr fontId="9"/>
  </si>
  <si>
    <t>▼5</t>
    <phoneticPr fontId="9"/>
  </si>
  <si>
    <t>季節調理麵</t>
    <phoneticPr fontId="12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</si>
  <si>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12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</si>
  <si>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2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</si>
  <si>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</si>
  <si>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</si>
  <si>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</si>
  <si>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糖燻野郎起司炙燒牛烤飯糰</t>
  </si>
  <si>
    <t>品群</t>
    <phoneticPr fontId="12" type="noConversion"/>
  </si>
  <si>
    <t>商品名稱</t>
    <phoneticPr fontId="12" type="noConversion"/>
  </si>
  <si>
    <t>計畫</t>
    <phoneticPr fontId="12" type="noConversion"/>
  </si>
  <si>
    <t>日報</t>
    <phoneticPr fontId="12" type="noConversion"/>
  </si>
  <si>
    <t>實際</t>
    <phoneticPr fontId="12" type="noConversion"/>
  </si>
  <si>
    <t>平均人時性</t>
    <phoneticPr fontId="12" type="noConversion"/>
  </si>
  <si>
    <t>生產實績</t>
    <phoneticPr fontId="12" type="noConversion"/>
  </si>
  <si>
    <t>人時性</t>
    <phoneticPr fontId="12" type="noConversion"/>
  </si>
  <si>
    <t>產能／時</t>
    <phoneticPr fontId="12" type="noConversion"/>
  </si>
  <si>
    <t>排名</t>
    <phoneticPr fontId="12" type="noConversion"/>
  </si>
  <si>
    <t>人數</t>
    <phoneticPr fontId="12" type="noConversion"/>
  </si>
  <si>
    <t>季節調理麵</t>
    <phoneticPr fontId="12" type="noConversion"/>
  </si>
  <si>
    <t>品群</t>
    <phoneticPr fontId="12" type="noConversion"/>
  </si>
  <si>
    <t>微波小吃</t>
    <phoneticPr fontId="12" type="noConversion"/>
  </si>
  <si>
    <t>增加線上抽秤頻率</t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</si>
  <si>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9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</si>
  <si>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</si>
  <si>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</si>
  <si>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</si>
  <si>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</si>
  <si>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</si>
  <si>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</si>
  <si>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</si>
  <si>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2" type="noConversion"/>
  </si>
  <si>
    <t>品群</t>
    <phoneticPr fontId="12" type="noConversion"/>
  </si>
  <si>
    <t>商品名稱</t>
    <phoneticPr fontId="12" type="noConversion"/>
  </si>
  <si>
    <t>計畫</t>
    <phoneticPr fontId="12" type="noConversion"/>
  </si>
  <si>
    <t>平均人時性</t>
    <phoneticPr fontId="12" type="noConversion"/>
  </si>
  <si>
    <t>實績</t>
    <phoneticPr fontId="12" type="noConversion"/>
  </si>
  <si>
    <t>排名</t>
    <phoneticPr fontId="12" type="noConversion"/>
  </si>
  <si>
    <t>日報</t>
    <phoneticPr fontId="12" type="noConversion"/>
  </si>
  <si>
    <t>實際</t>
    <phoneticPr fontId="12" type="noConversion"/>
  </si>
  <si>
    <t>產線配置圖</t>
    <phoneticPr fontId="12" type="noConversion"/>
  </si>
  <si>
    <t>生產實績</t>
    <phoneticPr fontId="12" type="noConversion"/>
  </si>
  <si>
    <t>人數</t>
    <phoneticPr fontId="12" type="noConversion"/>
  </si>
  <si>
    <t>產能／時</t>
    <phoneticPr fontId="12" type="noConversion"/>
  </si>
  <si>
    <t>人時性</t>
    <phoneticPr fontId="12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</si>
  <si>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</si>
  <si>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便當</t>
    <phoneticPr fontId="12" type="noConversion"/>
  </si>
  <si>
    <t>季節調理麵</t>
    <phoneticPr fontId="12" type="noConversion"/>
  </si>
  <si>
    <t>微波小吃</t>
    <phoneticPr fontId="12" type="noConversion"/>
  </si>
  <si>
    <t>品群</t>
    <phoneticPr fontId="12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</si>
  <si>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</si>
  <si>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產線配置圖－月表</t>
    <phoneticPr fontId="12" type="noConversion"/>
  </si>
  <si>
    <t>品群</t>
    <phoneticPr fontId="12" type="noConversion"/>
  </si>
  <si>
    <t>商品名稱</t>
    <phoneticPr fontId="12" type="noConversion"/>
  </si>
  <si>
    <t>計畫</t>
    <phoneticPr fontId="12" type="noConversion"/>
  </si>
  <si>
    <t>平均人時性</t>
    <phoneticPr fontId="12" type="noConversion"/>
  </si>
  <si>
    <t>實績</t>
    <phoneticPr fontId="12" type="noConversion"/>
  </si>
  <si>
    <t>排名</t>
    <phoneticPr fontId="12" type="noConversion"/>
  </si>
  <si>
    <t>產線配置圖</t>
    <phoneticPr fontId="12" type="noConversion"/>
  </si>
  <si>
    <t>人數</t>
    <phoneticPr fontId="12" type="noConversion"/>
  </si>
  <si>
    <t>產能／時</t>
    <phoneticPr fontId="12" type="noConversion"/>
  </si>
  <si>
    <t>人時性</t>
    <phoneticPr fontId="12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</si>
  <si>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2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</si>
  <si>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</si>
  <si>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產線配置圖－月表</t>
    <phoneticPr fontId="12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</si>
  <si>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</si>
  <si>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主食</t>
    <phoneticPr fontId="12" type="noConversion"/>
  </si>
  <si>
    <t>便當</t>
    <phoneticPr fontId="12" type="noConversion"/>
  </si>
  <si>
    <t>季節調理麵</t>
    <phoneticPr fontId="12" type="noConversion"/>
  </si>
  <si>
    <t>微波小吃</t>
    <phoneticPr fontId="12" type="noConversion"/>
  </si>
  <si>
    <t>海陸雙拼肉肉餐盒</t>
  </si>
  <si>
    <t>取樣不穩</t>
  </si>
  <si>
    <t>蔬活腿排補力餐盒</t>
  </si>
  <si>
    <t>類型</t>
    <phoneticPr fontId="12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</si>
  <si>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</si>
  <si>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t>（８）超用原因別前幾名品項</t>
    <phoneticPr fontId="12" type="noConversion"/>
  </si>
  <si>
    <t>展開量高於１０5％</t>
    <phoneticPr fontId="9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</si>
  <si>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</si>
  <si>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t>製程不穩</t>
    <phoneticPr fontId="9"/>
  </si>
  <si>
    <t>取樣不穩</t>
    <phoneticPr fontId="9"/>
  </si>
  <si>
    <t>原物料規格</t>
    <phoneticPr fontId="9"/>
  </si>
  <si>
    <t>研發設定</t>
    <phoneticPr fontId="9"/>
  </si>
  <si>
    <t>其他原因</t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</si>
  <si>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</si>
  <si>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t>原物料大小、厚薄差異</t>
  </si>
  <si>
    <t>其他原因</t>
  </si>
  <si>
    <t>占比</t>
    <phoneticPr fontId="12" type="noConversion"/>
  </si>
  <si>
    <t>金額</t>
    <phoneticPr fontId="12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</si>
  <si>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9"/>
  </si>
  <si>
    <t>蕃茄起司手工千層麵(區2)</t>
  </si>
  <si>
    <t>兩粒飯糰(鮪魚.焦糖鮭魚)</t>
  </si>
  <si>
    <t>二配泰式綠咖哩雞</t>
  </si>
  <si>
    <t>香腸腿排雙拼便當</t>
  </si>
  <si>
    <t>日式蕎麥沾麵</t>
  </si>
  <si>
    <t>二配金咖哩濃厚辛口咖哩飯</t>
  </si>
  <si>
    <t>二配起司控培根白醬焗烤飯</t>
  </si>
  <si>
    <t>確認備料量是否正確，調整出料率</t>
  </si>
  <si>
    <t>回饋研發，後續開發列入考量，設定放料量範圍。</t>
  </si>
  <si>
    <t>蒜炒紅K高麗菜(111年)</t>
  </si>
  <si>
    <t>增加線上抽秤頻率，維持人員放料手感</t>
  </si>
  <si>
    <t>大口起司熔岩白醬炸魚飯糰</t>
  </si>
  <si>
    <t>愛恨椒芝麵</t>
  </si>
  <si>
    <t>品群</t>
    <phoneticPr fontId="12" type="noConversion"/>
  </si>
  <si>
    <t>商品名稱</t>
    <phoneticPr fontId="12" type="noConversion"/>
  </si>
  <si>
    <t>計畫</t>
    <phoneticPr fontId="12" type="noConversion"/>
  </si>
  <si>
    <t>平均人時性</t>
    <phoneticPr fontId="12" type="noConversion"/>
  </si>
  <si>
    <t>實績</t>
    <phoneticPr fontId="12" type="noConversion"/>
  </si>
  <si>
    <t>排名</t>
    <phoneticPr fontId="12" type="noConversion"/>
  </si>
  <si>
    <t>日報</t>
    <phoneticPr fontId="12" type="noConversion"/>
  </si>
  <si>
    <t>實際</t>
    <phoneticPr fontId="12" type="noConversion"/>
  </si>
  <si>
    <t>產線配置圖</t>
    <phoneticPr fontId="12" type="noConversion"/>
  </si>
  <si>
    <t>生產實績</t>
    <phoneticPr fontId="12" type="noConversion"/>
  </si>
  <si>
    <t>人數</t>
    <phoneticPr fontId="12" type="noConversion"/>
  </si>
  <si>
    <t>產能／時</t>
    <phoneticPr fontId="12" type="noConversion"/>
  </si>
  <si>
    <t>人時性</t>
    <phoneticPr fontId="12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</si>
  <si>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</si>
  <si>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2" type="noConversion"/>
  </si>
  <si>
    <t>品群</t>
  </si>
  <si>
    <t>商品名稱</t>
  </si>
  <si>
    <t>計畫</t>
  </si>
  <si>
    <t>平均人時性</t>
  </si>
  <si>
    <t>實績</t>
  </si>
  <si>
    <t>排名</t>
  </si>
  <si>
    <t>日報</t>
  </si>
  <si>
    <t>產線配置圖</t>
  </si>
  <si>
    <t>人數</t>
  </si>
  <si>
    <t>產能／時</t>
  </si>
  <si>
    <t>人時性</t>
  </si>
  <si>
    <t>品群</t>
    <phoneticPr fontId="9"/>
  </si>
  <si>
    <t>排名</t>
    <phoneticPr fontId="9"/>
  </si>
  <si>
    <t>▼1</t>
    <phoneticPr fontId="9"/>
  </si>
  <si>
    <t>▼2</t>
    <phoneticPr fontId="9"/>
  </si>
  <si>
    <t>▼3</t>
    <phoneticPr fontId="9"/>
  </si>
  <si>
    <t>▼4</t>
    <phoneticPr fontId="9"/>
  </si>
  <si>
    <t>▼5</t>
    <phoneticPr fontId="9"/>
  </si>
  <si>
    <t>品群</t>
    <phoneticPr fontId="12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</si>
  <si>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</si>
  <si>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品群</t>
    <phoneticPr fontId="12" type="noConversion"/>
  </si>
  <si>
    <t>平均人時性</t>
    <phoneticPr fontId="12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</si>
  <si>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</si>
  <si>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壹號醬雞豚雙拼</t>
  </si>
  <si>
    <t>好多蒜燒豚飯</t>
  </si>
  <si>
    <t>烤飯糰1</t>
    <phoneticPr fontId="12" type="noConversion"/>
  </si>
  <si>
    <t>烤飯糰2</t>
    <phoneticPr fontId="12" type="noConversion"/>
  </si>
  <si>
    <t>二配川燙醃嫩化淨零碳排牛肉片</t>
  </si>
  <si>
    <t>人數</t>
    <phoneticPr fontId="9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</si>
  <si>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</si>
  <si>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9"/>
  </si>
  <si>
    <t>前週比</t>
    <phoneticPr fontId="12" type="noConversion"/>
  </si>
  <si>
    <t>主要原因&amp;對策</t>
    <phoneticPr fontId="9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</si>
  <si>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</si>
  <si>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9"/>
  </si>
  <si>
    <t>前週比</t>
    <phoneticPr fontId="12" type="noConversion"/>
  </si>
  <si>
    <t>排名</t>
    <phoneticPr fontId="12" type="noConversion"/>
  </si>
  <si>
    <t>菜梗、葉差異及均勻度，影響人員放料手感</t>
  </si>
  <si>
    <t>好吃雞肉便當</t>
  </si>
  <si>
    <t>媽媽煮藝-鹹酥雞</t>
  </si>
  <si>
    <t>贅沢鮭魚肚飯糰</t>
  </si>
  <si>
    <t>熟成紅鮭飯糰</t>
  </si>
  <si>
    <t>碳烤燒肉飯飯糰(區)</t>
  </si>
  <si>
    <t>二配芝麻香鬆飯糰</t>
  </si>
  <si>
    <t>二配三杯醬爆菇菇飯糰</t>
  </si>
  <si>
    <t>二配大飯糰韓式蒜烤豬五花</t>
  </si>
  <si>
    <t>鮭魚奶油醬油飯糰</t>
  </si>
  <si>
    <t>煙燻培根飯糰(區)</t>
  </si>
  <si>
    <t>長野稻荷壽司</t>
  </si>
  <si>
    <t>大口歐風焙煎咖哩漢堡排飯糰</t>
  </si>
  <si>
    <t>二配香辣醬蒜味香腸蛋炒飯</t>
  </si>
  <si>
    <t>二配里肌豬排可可咖哩歐姆蛋飯</t>
  </si>
  <si>
    <t>二配黃金雞排蘑菇白醬歐姆蛋飯</t>
  </si>
  <si>
    <t>二配鮭魚蛋炒飯</t>
  </si>
  <si>
    <t>二配鐵板豆腐燴蛋蓋飯</t>
  </si>
  <si>
    <t>賣相要求</t>
  </si>
  <si>
    <t>媽媽煮藝-香滷牛肚絲</t>
  </si>
  <si>
    <t>1.農產品原物料大小重量差異，造成放料差。2.原物料個體重量差異造成放料重量的差異，有多一個超用，少一個不足重的狀況。未降低因半成品不足的補單工時而有提高展開量。</t>
  </si>
  <si>
    <t>1.反應研發單位半成品狀況。2.協調研發單位下次有同類型商品放料量設定使用範圍值。</t>
  </si>
  <si>
    <t>壹號醬壽喜燒牛丼</t>
  </si>
  <si>
    <t>炒壽喜燒牛五花</t>
  </si>
  <si>
    <t>原物料的大小、長短差異導致取樣易有不穩定的狀況</t>
  </si>
  <si>
    <t>原物料的大小長短、油花分布不同導致相同賣相的需求下用量不一樣。</t>
  </si>
  <si>
    <t>韓式泡菜豬肉豆腐丼飯</t>
  </si>
  <si>
    <t>二配溏心蛋五目飯糰</t>
  </si>
  <si>
    <t>人數</t>
    <phoneticPr fontId="9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</si>
  <si>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</si>
  <si>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9"/>
  </si>
  <si>
    <t>前週比</t>
    <phoneticPr fontId="12" type="noConversion"/>
  </si>
  <si>
    <t>主要原因&amp;對策</t>
    <phoneticPr fontId="9"/>
  </si>
  <si>
    <t>香檸奶油魚排蔬滿盒</t>
  </si>
  <si>
    <t>冰杓放料，冰杓滿度差異、半成品均勻度影響放料量</t>
  </si>
  <si>
    <t>半成品使用前先攪拌均勻。生產前及生產中確認設定及實際放料狀況</t>
  </si>
  <si>
    <t/>
  </si>
  <si>
    <t>Q彈燕麥飯</t>
  </si>
  <si>
    <t>二配鹽水G絲飯糰</t>
  </si>
  <si>
    <t>炸醬炒泡麵</t>
  </si>
  <si>
    <t>鐵道滷排便當</t>
  </si>
  <si>
    <t>單價高</t>
  </si>
  <si>
    <t>柚檸海灣貝飯糰</t>
  </si>
  <si>
    <t>鹽蔥生鮭飯糰</t>
  </si>
  <si>
    <t>鮭鮪海饌雙手卷</t>
  </si>
  <si>
    <t>經典人氣雙手卷</t>
  </si>
  <si>
    <t>和風涓絲冷麵</t>
  </si>
  <si>
    <t>二配蔥爆牛肉燴飯</t>
  </si>
  <si>
    <t>二配炒蔥爆牛肉</t>
  </si>
  <si>
    <t>蔥蔥玉子拌麵</t>
  </si>
  <si>
    <t>煮無敵家日式肉燥</t>
  </si>
  <si>
    <t>山葵章魚飯糰</t>
  </si>
  <si>
    <t>拌芥末章魚</t>
  </si>
  <si>
    <t>煮無敵家拌麵醬</t>
  </si>
  <si>
    <t>滿滿高麗菜豆芽鐵板麵</t>
  </si>
  <si>
    <t>鐵板牛套餐包手卷</t>
  </si>
  <si>
    <t>18切烤千層麵</t>
  </si>
  <si>
    <t>炒大埔高麗菜</t>
  </si>
  <si>
    <t>韓式燒肉拌飯</t>
  </si>
  <si>
    <t>二配兩粒飯糰(鮪魚.焦糖鮭魚)</t>
  </si>
  <si>
    <t>鰹魚烏龍冷麵</t>
  </si>
  <si>
    <t>蕃茄起司手工千層麵(區)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</si>
  <si>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2" type="noConversion"/>
  </si>
  <si>
    <t>切-究極燒肉片</t>
  </si>
  <si>
    <t>二配蒸果香甘口咖哩腿丁</t>
  </si>
  <si>
    <t>煌輝洋蔥絲</t>
  </si>
  <si>
    <t>%</t>
  </si>
  <si>
    <t>元</t>
  </si>
  <si>
    <t>展開量高於需求量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</si>
  <si>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</si>
  <si>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百分比</t>
  </si>
  <si>
    <r>
      <t>報廢前</t>
    </r>
    <r>
      <rPr>
        <b/>
        <sz val="16"/>
        <color rgb="FF000000"/>
        <rFont val="Meiryo UI"/>
        <family val="2"/>
      </rPr>
      <t>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2" type="noConversion"/>
  </si>
  <si>
    <t>月別</t>
    <phoneticPr fontId="12" type="noConversion"/>
  </si>
  <si>
    <t>排序</t>
    <phoneticPr fontId="12" type="noConversion"/>
  </si>
  <si>
    <t>半成品名稱</t>
    <phoneticPr fontId="12" type="noConversion"/>
  </si>
  <si>
    <t>報廢金額
(元)</t>
    <phoneticPr fontId="12" type="noConversion"/>
  </si>
  <si>
    <t>半成品單價
(元/kg)</t>
    <phoneticPr fontId="12" type="noConversion"/>
  </si>
  <si>
    <r>
      <t>訂單需求
(kg/</t>
    </r>
    <r>
      <rPr>
        <sz val="12"/>
        <color theme="1"/>
        <rFont val="Meiryo UI"/>
        <family val="2"/>
      </rPr>
      <t>個)</t>
    </r>
    <phoneticPr fontId="12" type="noConversion"/>
  </si>
  <si>
    <t>生管展開</t>
    <phoneticPr fontId="12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</si>
  <si>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2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</si>
  <si>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  <phoneticPr fontId="12" type="noConversion"/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</si>
  <si>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2" type="noConversion"/>
  </si>
  <si>
    <t>報廢</t>
    <phoneticPr fontId="12" type="noConversion"/>
  </si>
  <si>
    <t>超用</t>
    <phoneticPr fontId="12" type="noConversion"/>
  </si>
  <si>
    <t>分析原因</t>
    <phoneticPr fontId="12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</si>
  <si>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2" type="noConversion"/>
  </si>
  <si>
    <t>後續對策</t>
    <phoneticPr fontId="12" type="noConversion"/>
  </si>
  <si>
    <t>次數</t>
    <phoneticPr fontId="12" type="noConversion"/>
  </si>
  <si>
    <t>分析原因（件）</t>
    <phoneticPr fontId="12" type="noConversion"/>
  </si>
  <si>
    <r>
      <t>kg/</t>
    </r>
    <r>
      <rPr>
        <sz val="12"/>
        <color theme="1"/>
        <rFont val="Meiryo UI"/>
        <family val="2"/>
      </rPr>
      <t>個</t>
    </r>
    <phoneticPr fontId="12" type="noConversion"/>
  </si>
  <si>
    <t>總件數</t>
    <phoneticPr fontId="12" type="noConversion"/>
  </si>
  <si>
    <r>
      <rPr>
        <b/>
        <sz val="16"/>
        <color rgb="FF000000"/>
        <rFont val="Meiryo UI"/>
        <family val="2"/>
      </rPr>
      <t>超用前二十名紀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2" type="noConversion"/>
  </si>
  <si>
    <t>排序</t>
    <phoneticPr fontId="12" type="noConversion"/>
  </si>
  <si>
    <t>半成品名稱</t>
    <phoneticPr fontId="12" type="noConversion"/>
  </si>
  <si>
    <r>
      <rPr>
        <sz val="12"/>
        <color theme="1"/>
        <rFont val="Meiryo UI"/>
        <family val="2"/>
      </rPr>
      <t>超用金額
(元)</t>
    </r>
    <phoneticPr fontId="12" type="noConversion"/>
  </si>
  <si>
    <t>半成品單價
(元/kg)</t>
    <phoneticPr fontId="12" type="noConversion"/>
  </si>
  <si>
    <r>
      <t>訂單需求
(kg/</t>
    </r>
    <r>
      <rPr>
        <sz val="12"/>
        <color theme="1"/>
        <rFont val="Meiryo UI"/>
        <family val="2"/>
      </rPr>
      <t>個)</t>
    </r>
    <phoneticPr fontId="12" type="noConversion"/>
  </si>
  <si>
    <t>生管展開</t>
    <phoneticPr fontId="12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</si>
  <si>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2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</si>
  <si>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  <phoneticPr fontId="12" type="noConversion"/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</si>
  <si>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2" type="noConversion"/>
  </si>
  <si>
    <t>報廢</t>
    <phoneticPr fontId="12" type="noConversion"/>
  </si>
  <si>
    <t>超用</t>
    <phoneticPr fontId="12" type="noConversion"/>
  </si>
  <si>
    <t>分析原因</t>
    <phoneticPr fontId="12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</si>
  <si>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2" type="noConversion"/>
  </si>
  <si>
    <t>後續對策</t>
    <phoneticPr fontId="12" type="noConversion"/>
  </si>
  <si>
    <t>次數</t>
    <phoneticPr fontId="12" type="noConversion"/>
  </si>
  <si>
    <t>分析原因（件）</t>
    <phoneticPr fontId="12" type="noConversion"/>
  </si>
  <si>
    <r>
      <rPr>
        <sz val="12"/>
        <color theme="1"/>
        <rFont val="Meiryo UI"/>
        <family val="2"/>
      </rPr>
      <t>超用金額
(元)</t>
    </r>
    <phoneticPr fontId="12" type="noConversion"/>
  </si>
  <si>
    <t>晉欣廠半成品管理日別總表</t>
    <phoneticPr fontId="12" type="noConversion"/>
  </si>
  <si>
    <r>
      <t>5</t>
    </r>
    <r>
      <rPr>
        <b/>
        <sz val="18"/>
        <color theme="1"/>
        <rFont val="微軟正黑體"/>
        <family val="2"/>
        <charset val="136"/>
      </rPr>
      <t>月總報廢合計</t>
    </r>
    <phoneticPr fontId="12" type="noConversion"/>
  </si>
  <si>
    <r>
      <t>5</t>
    </r>
    <r>
      <rPr>
        <b/>
        <sz val="18"/>
        <color theme="1"/>
        <rFont val="微軟正黑體"/>
        <family val="2"/>
        <charset val="136"/>
      </rPr>
      <t>月總報廢率</t>
    </r>
    <phoneticPr fontId="12" type="noConversion"/>
  </si>
  <si>
    <r>
      <t>5</t>
    </r>
    <r>
      <rPr>
        <b/>
        <sz val="18"/>
        <color theme="1"/>
        <rFont val="微軟正黑體"/>
        <family val="2"/>
        <charset val="136"/>
      </rPr>
      <t>月總超用合計</t>
    </r>
    <phoneticPr fontId="12" type="noConversion"/>
  </si>
  <si>
    <r>
      <t>5</t>
    </r>
    <r>
      <rPr>
        <b/>
        <sz val="18"/>
        <color theme="1"/>
        <rFont val="微軟正黑體"/>
        <family val="2"/>
        <charset val="136"/>
      </rPr>
      <t>月總超用率</t>
    </r>
    <phoneticPr fontId="12" type="noConversion"/>
  </si>
  <si>
    <r>
      <rPr>
        <b/>
        <sz val="16"/>
        <color theme="1"/>
        <rFont val="微軟正黑體"/>
        <family val="2"/>
        <charset val="136"/>
      </rPr>
      <t>日期</t>
    </r>
    <phoneticPr fontId="83" type="noConversion"/>
  </si>
  <si>
    <r>
      <rPr>
        <b/>
        <sz val="16"/>
        <color theme="1"/>
        <rFont val="微軟正黑體"/>
        <family val="2"/>
        <charset val="136"/>
      </rPr>
      <t>營業額</t>
    </r>
    <phoneticPr fontId="12" type="noConversion"/>
  </si>
  <si>
    <r>
      <rPr>
        <b/>
        <sz val="16"/>
        <color theme="1"/>
        <rFont val="微軟正黑體"/>
        <family val="2"/>
        <charset val="136"/>
      </rPr>
      <t>報廢額</t>
    </r>
    <phoneticPr fontId="83" type="noConversion"/>
  </si>
  <si>
    <r>
      <rPr>
        <b/>
        <sz val="16"/>
        <color theme="1"/>
        <rFont val="微軟正黑體"/>
        <family val="2"/>
        <charset val="136"/>
      </rPr>
      <t xml:space="preserve">報廢率
</t>
    </r>
    <r>
      <rPr>
        <b/>
        <sz val="16"/>
        <color theme="1"/>
        <rFont val="Noto Sans CJK SC"/>
        <family val="2"/>
      </rPr>
      <t xml:space="preserve">KPI </t>
    </r>
    <r>
      <rPr>
        <b/>
        <sz val="16"/>
        <color rgb="FFFF0000"/>
        <rFont val="Noto Sans CJK SC"/>
        <family val="2"/>
      </rPr>
      <t>0.25%</t>
    </r>
    <phoneticPr fontId="12" type="noConversion"/>
  </si>
  <si>
    <r>
      <rPr>
        <b/>
        <sz val="16"/>
        <color theme="1"/>
        <rFont val="微軟正黑體"/>
        <family val="2"/>
        <charset val="136"/>
      </rPr>
      <t>超用額</t>
    </r>
    <phoneticPr fontId="83" type="noConversion"/>
  </si>
  <si>
    <r>
      <rPr>
        <b/>
        <sz val="16"/>
        <color theme="1"/>
        <rFont val="微軟正黑體"/>
        <family val="2"/>
        <charset val="136"/>
      </rPr>
      <t>超用率</t>
    </r>
    <phoneticPr fontId="12" type="noConversion"/>
  </si>
  <si>
    <t>營業額合計</t>
    <phoneticPr fontId="12" type="noConversion"/>
  </si>
  <si>
    <r>
      <rPr>
        <b/>
        <sz val="16"/>
        <color rgb="FF000000"/>
        <rFont val="微軟正黑體"/>
        <family val="2"/>
        <charset val="136"/>
      </rPr>
      <t>廢棄週合計</t>
    </r>
    <phoneticPr fontId="12" type="noConversion"/>
  </si>
  <si>
    <r>
      <rPr>
        <b/>
        <sz val="16"/>
        <color rgb="FF000000"/>
        <rFont val="微軟正黑體"/>
        <family val="2"/>
        <charset val="136"/>
      </rPr>
      <t>超用週合計</t>
    </r>
    <phoneticPr fontId="12" type="noConversion"/>
  </si>
  <si>
    <r>
      <rPr>
        <sz val="14"/>
        <rFont val="微軟正黑體"/>
        <family val="2"/>
        <charset val="136"/>
      </rPr>
      <t>營業額合計</t>
    </r>
    <phoneticPr fontId="83" type="noConversion"/>
  </si>
  <si>
    <t>解凍-醬油漬鮭魚卵</t>
  </si>
  <si>
    <t>賣相設定</t>
  </si>
  <si>
    <t>日式炙烤親子丼</t>
  </si>
  <si>
    <t>黑胡椒洋蔥豬飯糰</t>
  </si>
  <si>
    <t>二配香烤魚排青醬燉飯</t>
  </si>
  <si>
    <t>懷舊滷雙拼便當</t>
  </si>
  <si>
    <t>黑胡椒毛豆</t>
  </si>
  <si>
    <t>毛豆三兄弟</t>
  </si>
  <si>
    <t>椒鹽檸檬鯖魚飯糰</t>
  </si>
  <si>
    <t>皮蛋辣拌麵</t>
  </si>
  <si>
    <t>煮愛恨芝麻醬</t>
  </si>
  <si>
    <t>煮皮蛋拌麵醬</t>
  </si>
  <si>
    <t>炒泡麵豬肉片</t>
  </si>
  <si>
    <t>日式胡麻雞絲冷麵</t>
  </si>
  <si>
    <t>蒸手撕雞</t>
  </si>
  <si>
    <t>二配打拋風味豬肉飯</t>
  </si>
  <si>
    <t>二配炒打拋肉醬</t>
  </si>
  <si>
    <t>蒸鼎泰豐香辣醬</t>
  </si>
  <si>
    <t>0519-0525</t>
    <phoneticPr fontId="12" type="noConversion"/>
  </si>
  <si>
    <t>半成品糾結影響人員放料手感</t>
  </si>
  <si>
    <t>生產前先行撥散半成品，便於人員放樣</t>
  </si>
  <si>
    <t>蒸-醬香雞肉絲CL(全)</t>
  </si>
  <si>
    <t>明太子生鮭飯糰(區)</t>
  </si>
  <si>
    <t>二配厚香料優格咖哩雞排飯</t>
  </si>
  <si>
    <t>慢燉滷肉油蔥粄條</t>
  </si>
  <si>
    <t>嘉義崇文白醋涼麵</t>
  </si>
  <si>
    <t>雞汁油蔥手工麵線</t>
  </si>
  <si>
    <t>二配炒培根片</t>
  </si>
  <si>
    <t>二配炒鹽洋蔥絲</t>
  </si>
  <si>
    <t>二配鼎泰豐-煮麻婆豆腐(113年)</t>
  </si>
  <si>
    <t>煮慢燉滷肉</t>
  </si>
  <si>
    <t>明太子鮭魚丁-和NAGOMI</t>
  </si>
  <si>
    <t>二配蒸-全熟雞肉絲CL(升)</t>
  </si>
  <si>
    <t>二配雞肉飯飯糰</t>
  </si>
  <si>
    <t>粉絲煲湯凍</t>
  </si>
  <si>
    <t>半成品結凍強度影響擠醬機出料量</t>
  </si>
  <si>
    <t>生產前及生產中確認設定及實際出料狀況</t>
  </si>
  <si>
    <t>加熱時間長短影響最終出料量</t>
  </si>
  <si>
    <t>中心溫度達設定標準後，穩定加熱時間</t>
  </si>
  <si>
    <t>單價高，少量報廢就會產生較多的報廢金額</t>
  </si>
  <si>
    <t>穩定拆包量。統計用料率反應生產課穩定用料量</t>
  </si>
  <si>
    <t>W1</t>
    <phoneticPr fontId="12" type="noConversion"/>
  </si>
  <si>
    <t>業績金額</t>
    <phoneticPr fontId="12" type="noConversion"/>
  </si>
  <si>
    <t>6/2-6/8</t>
    <phoneticPr fontId="12" type="noConversion"/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</si>
  <si>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  <phoneticPr fontId="12" type="noConversion"/>
  </si>
  <si>
    <t>項目</t>
    <phoneticPr fontId="12" type="noConversion"/>
  </si>
  <si>
    <t>展開量高於需求量</t>
    <phoneticPr fontId="9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</si>
  <si>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9"/>
  </si>
  <si>
    <t>製程不穩</t>
    <phoneticPr fontId="9"/>
  </si>
  <si>
    <t>取樣不穩</t>
    <phoneticPr fontId="9"/>
  </si>
  <si>
    <t>原物料規格</t>
    <phoneticPr fontId="9"/>
  </si>
  <si>
    <t>研發設定</t>
    <phoneticPr fontId="9"/>
  </si>
  <si>
    <t>其他原因</t>
    <phoneticPr fontId="9"/>
  </si>
  <si>
    <t>比例</t>
    <phoneticPr fontId="9"/>
  </si>
  <si>
    <t>報廢</t>
    <phoneticPr fontId="9"/>
  </si>
  <si>
    <t>超用</t>
    <phoneticPr fontId="9"/>
  </si>
  <si>
    <t>類型</t>
    <phoneticPr fontId="12" type="noConversion"/>
  </si>
  <si>
    <t>排名</t>
    <phoneticPr fontId="9"/>
  </si>
  <si>
    <t>半成品名</t>
    <phoneticPr fontId="9"/>
  </si>
  <si>
    <t>單價</t>
    <phoneticPr fontId="9"/>
  </si>
  <si>
    <t>報廢率</t>
    <phoneticPr fontId="9"/>
  </si>
  <si>
    <t>數量</t>
    <phoneticPr fontId="9"/>
  </si>
  <si>
    <t>前月比</t>
    <phoneticPr fontId="12" type="noConversion"/>
  </si>
  <si>
    <t>主要原因&amp;對策</t>
    <phoneticPr fontId="9"/>
  </si>
  <si>
    <t>展開量高於需求量</t>
    <phoneticPr fontId="12" type="noConversion"/>
  </si>
  <si>
    <t>前幾名合計比例</t>
    <phoneticPr fontId="9"/>
  </si>
  <si>
    <t>前幾名合計金額</t>
    <phoneticPr fontId="9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</si>
  <si>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2" type="noConversion"/>
  </si>
  <si>
    <t>確認備料量</t>
    <phoneticPr fontId="12" type="noConversion"/>
  </si>
  <si>
    <t>自製蔥油-料(粄條)</t>
  </si>
  <si>
    <t>二配炒解凍11N培根片</t>
  </si>
  <si>
    <t>製程不穩</t>
    <phoneticPr fontId="12" type="noConversion"/>
  </si>
  <si>
    <t>確認備料量是否正確，調整出料率</t>
    <phoneticPr fontId="12" type="noConversion"/>
  </si>
  <si>
    <t>蔥醬</t>
  </si>
  <si>
    <t>增加放料抽秤頻率</t>
    <phoneticPr fontId="12" type="noConversion"/>
  </si>
  <si>
    <t>蒸-全熟雞肉絲CL(升)</t>
  </si>
  <si>
    <t>二配藤椒雞丁炒飯</t>
  </si>
  <si>
    <t>二配烤藤椒雞丁</t>
  </si>
  <si>
    <t>其他原因</t>
    <phoneticPr fontId="12" type="noConversion"/>
  </si>
  <si>
    <t>炒炸醬炒泡麵</t>
  </si>
  <si>
    <t>製程報廢</t>
    <phoneticPr fontId="12" type="noConversion"/>
  </si>
  <si>
    <t>超用率</t>
    <phoneticPr fontId="9"/>
  </si>
  <si>
    <t>炙燒韓式牛五花</t>
  </si>
  <si>
    <t>備料異常</t>
    <phoneticPr fontId="12" type="noConversion"/>
  </si>
  <si>
    <t>賣相設定</t>
    <phoneticPr fontId="12" type="noConversion"/>
  </si>
  <si>
    <t>單價高</t>
    <phoneticPr fontId="12" type="noConversion"/>
  </si>
  <si>
    <t>解凍海灣貝</t>
  </si>
  <si>
    <r>
      <t>半成品</t>
    </r>
    <r>
      <rPr>
        <sz val="12"/>
        <color theme="1"/>
        <rFont val="Microsoft JhengHei"/>
        <family val="2"/>
      </rPr>
      <t>有結塊的狀況</t>
    </r>
    <r>
      <rPr>
        <sz val="12"/>
        <color theme="1"/>
        <rFont val="Meiryo UI"/>
        <family val="2"/>
        <charset val="136"/>
      </rPr>
      <t>，</t>
    </r>
    <r>
      <rPr>
        <sz val="12"/>
        <color theme="1"/>
        <rFont val="Meiryo UI"/>
        <family val="2"/>
      </rPr>
      <t>影響人員放料手感</t>
    </r>
    <phoneticPr fontId="12" type="noConversion"/>
  </si>
  <si>
    <r>
      <t>菜梗、葉差異及</t>
    </r>
    <r>
      <rPr>
        <sz val="12"/>
        <color theme="1"/>
        <rFont val="Microsoft JhengHei"/>
        <family val="2"/>
      </rPr>
      <t>分布不</t>
    </r>
    <r>
      <rPr>
        <sz val="12"/>
        <color theme="1"/>
        <rFont val="Meiryo UI"/>
        <family val="2"/>
      </rPr>
      <t>均，影響人員放料手感</t>
    </r>
    <phoneticPr fontId="12" type="noConversion"/>
  </si>
  <si>
    <t>炒醬香豆瓣肉燥</t>
  </si>
  <si>
    <t>招牌雞絲胡麻涼麵</t>
  </si>
  <si>
    <t>112年拌鹽烤豬肉片</t>
  </si>
  <si>
    <t>二配鼎泰豐-麻婆豆腐燴汁(113年)</t>
  </si>
  <si>
    <t>二配泰式椰香綠咖哩醬</t>
  </si>
  <si>
    <t>川燙青花菜</t>
  </si>
  <si>
    <t>菜梗、葉差異及分布不均，影響人員放料手感</t>
  </si>
  <si>
    <t>二配油亮蒜味香腸片</t>
  </si>
  <si>
    <t>回饋研發，後續開發列入考量。</t>
    <phoneticPr fontId="12" type="noConversion"/>
  </si>
  <si>
    <t>115年拌椒鹽鯖魚</t>
  </si>
  <si>
    <r>
      <t>半成品</t>
    </r>
    <r>
      <rPr>
        <sz val="12"/>
        <color theme="1"/>
        <rFont val="Microsoft JhengHei"/>
        <family val="2"/>
      </rPr>
      <t>沾袋</t>
    </r>
    <phoneticPr fontId="12" type="noConversion"/>
  </si>
  <si>
    <t>設定器具刮除，減少沾袋狀況</t>
    <phoneticPr fontId="12" type="noConversion"/>
  </si>
  <si>
    <t>燻之味-糖燻雞腿</t>
  </si>
  <si>
    <t>▲</t>
    <phoneticPr fontId="12" type="noConversion"/>
  </si>
  <si>
    <t>飯糰排名前面品項，皆是使用GKK生產的單餡飯糰，產能及人時生產性相近，對比上週差異小。</t>
    <phoneticPr fontId="12" type="noConversion"/>
  </si>
  <si>
    <t>▼</t>
    <phoneticPr fontId="12" type="noConversion"/>
  </si>
  <si>
    <t>－</t>
    <phoneticPr fontId="12" type="noConversion"/>
  </si>
  <si>
    <t>對比上週差異小</t>
    <phoneticPr fontId="12" type="noConversion"/>
  </si>
  <si>
    <t>人數</t>
    <phoneticPr fontId="9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</si>
  <si>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</si>
  <si>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9"/>
  </si>
  <si>
    <t>前週比</t>
    <phoneticPr fontId="12" type="noConversion"/>
  </si>
  <si>
    <t>主要原因&amp;對策</t>
    <phoneticPr fontId="9"/>
  </si>
  <si>
    <r>
      <rPr>
        <sz val="11"/>
        <color theme="1"/>
        <rFont val="細明體"/>
        <family val="3"/>
        <charset val="136"/>
      </rPr>
      <t>烤飯糰都為同性質商品，直接入機台包裝，產能及人時生產性差異小，</t>
    </r>
    <r>
      <rPr>
        <sz val="11"/>
        <color theme="1"/>
        <rFont val="Meiryo UI"/>
        <family val="2"/>
      </rPr>
      <t>對比上週差異小</t>
    </r>
    <phoneticPr fontId="12" type="noConversion"/>
  </si>
  <si>
    <t>商品半成品數相同，性質相近，產能及人時生產性接近，對比上週差異小。</t>
    <phoneticPr fontId="12" type="noConversion"/>
  </si>
  <si>
    <t>半成品數相同，產能及人時生產性接近，對比上週差異小。</t>
    <phoneticPr fontId="12" type="noConversion"/>
  </si>
  <si>
    <t>6/2上市新品，有需過秤種主菜，且半成品數較其他品項多，產能對比其他涼麵品項較低，人時生產性低</t>
    <phoneticPr fontId="12" type="noConversion"/>
  </si>
  <si>
    <t>品項皆為八爪機作業，產能平均，產能及人時生產性差異小。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</si>
</sst>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6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  <numFmt numFmtId="197" formatCode="#,##0_ "/>
    <numFmt numFmtId="198" formatCode="#,##0.00_ "/>
  </numFmts>
  <fonts count="123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12"/>
      <color theme="1"/>
      <name val="Meiryo UI"/>
      <family val="2"/>
      <charset val="128"/>
    </font>
    <font>
      <sz val="9"/>
      <name val="Arial"/>
      <family val="2"/>
      <charset val="136"/>
      <scheme val="minor"/>
    </font>
    <font>
      <sz val="14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color rgb="FFFF0000"/>
      <name val="Meiryo UI"/>
      <family val="2"/>
      <charset val="128"/>
    </font>
    <font>
      <sz val="14"/>
      <color rgb="FF0070C0"/>
      <name val="新細明體"/>
      <family val="1"/>
      <charset val="136"/>
    </font>
    <font>
      <b/>
      <sz val="10"/>
      <color rgb="FFFF0000"/>
      <name val="Meiryo UI"/>
      <family val="2"/>
      <charset val="128"/>
    </font>
    <font>
      <sz val="12"/>
      <name val="細明體"/>
      <family val="3"/>
      <charset val="136"/>
    </font>
    <font>
      <b/>
      <sz val="20"/>
      <color theme="0"/>
      <name val="微軟正黑體"/>
      <family val="2"/>
      <charset val="136"/>
    </font>
    <font>
      <b/>
      <sz val="20"/>
      <color theme="0"/>
      <name val="Noto Sans CJK SC"/>
    </font>
    <font>
      <b/>
      <sz val="18"/>
      <color theme="1"/>
      <name val="Noto Sans CJK SC"/>
      <family val="2"/>
    </font>
    <font>
      <b/>
      <sz val="18"/>
      <color theme="1"/>
      <name val="微軟正黑體"/>
      <family val="2"/>
      <charset val="136"/>
    </font>
    <font>
      <b/>
      <sz val="16"/>
      <color theme="1"/>
      <name val="Noto Sans CJK SC"/>
      <family val="2"/>
    </font>
    <font>
      <b/>
      <sz val="16"/>
      <color theme="1"/>
      <name val="微軟正黑體"/>
      <family val="2"/>
      <charset val="136"/>
    </font>
    <font>
      <b/>
      <sz val="16"/>
      <color rgb="FFFF0000"/>
      <name val="Noto Sans CJK SC"/>
      <family val="2"/>
    </font>
    <font>
      <b/>
      <sz val="16"/>
      <color rgb="FF000000"/>
      <name val="微軟正黑體"/>
      <family val="2"/>
      <charset val="136"/>
    </font>
    <font>
      <b/>
      <sz val="16"/>
      <color rgb="FF000000"/>
      <name val="Noto Sans CJK SC"/>
      <family val="2"/>
    </font>
    <font>
      <sz val="14"/>
      <name val="Noto Sans CJK SC"/>
      <family val="2"/>
    </font>
    <font>
      <sz val="14"/>
      <color theme="1"/>
      <name val="Noto Sans CJK SC"/>
      <family val="2"/>
    </font>
    <font>
      <sz val="14"/>
      <color theme="1"/>
      <name val="Arial"/>
      <family val="2"/>
      <charset val="136"/>
      <scheme val="minor"/>
    </font>
    <font>
      <sz val="14"/>
      <name val="Noto Sans CJK SC"/>
    </font>
    <font>
      <sz val="11"/>
      <color theme="1"/>
      <name val="Microsoft JhengHei"/>
      <family val="3"/>
    </font>
    <font>
      <sz val="12"/>
      <color theme="1"/>
      <name val="Microsoft JhengHei"/>
      <family val="2"/>
    </font>
    <font>
      <sz val="12"/>
      <color theme="1"/>
      <name val="細明體"/>
      <family val="2"/>
      <charset val="136"/>
    </font>
    <font>
      <sz val="9"/>
      <color rgb="FFFF0000"/>
      <name val="Meiryo UI"/>
      <family val="2"/>
    </font>
    <font>
      <sz val="6"/>
      <name val="Meiryo UI"/>
      <family val="2"/>
    </font>
    <font>
      <sz val="11"/>
      <color theme="1"/>
      <name val="Microsoft JhengHei"/>
      <family val="3"/>
      <charset val="136"/>
    </font>
    <font>
      <sz val="12"/>
      <color theme="1"/>
      <name val="Meiryo UI"/>
      <family val="2"/>
      <charset val="136"/>
    </font>
    <font>
      <sz val="11"/>
      <color theme="1"/>
      <name val="Microsoft JhengHei"/>
      <family val="2"/>
    </font>
  </fonts>
  <fills count="2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</fills>
  <borders count="8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580">
    <xf numFmtId="0" fontId="0" fillId="0" borderId="0"/>
    <xf numFmtId="0" fontId="5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/>
    <xf numFmtId="0" fontId="23" fillId="0" borderId="0"/>
    <xf numFmtId="0" fontId="4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43" fontId="7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85" fillId="0" borderId="0"/>
    <xf numFmtId="9" fontId="85" fillId="0" borderId="0" applyFont="0" applyFill="0" applyBorder="0" applyAlignment="0" applyProtection="0"/>
    <xf numFmtId="0" fontId="86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196" fontId="87" fillId="0" borderId="0"/>
    <xf numFmtId="0" fontId="8" fillId="0" borderId="0"/>
    <xf numFmtId="0" fontId="85" fillId="0" borderId="0">
      <alignment vertical="center"/>
    </xf>
    <xf numFmtId="0" fontId="88" fillId="0" borderId="0"/>
    <xf numFmtId="42" fontId="86" fillId="0" borderId="0" applyFont="0" applyFill="0" applyBorder="0" applyAlignment="0" applyProtection="0"/>
    <xf numFmtId="0" fontId="89" fillId="0" borderId="0" applyNumberFormat="0" applyFill="0" applyBorder="0" applyAlignment="0" applyProtection="0">
      <alignment vertical="top"/>
      <protection locked="0"/>
    </xf>
    <xf numFmtId="0" fontId="90" fillId="0" borderId="0">
      <alignment vertical="top"/>
    </xf>
    <xf numFmtId="0" fontId="8" fillId="0" borderId="0"/>
    <xf numFmtId="0" fontId="88" fillId="0" borderId="0">
      <alignment vertical="center"/>
    </xf>
    <xf numFmtId="0" fontId="85" fillId="0" borderId="0"/>
    <xf numFmtId="0" fontId="85" fillId="0" borderId="0"/>
    <xf numFmtId="0" fontId="85" fillId="0" borderId="0"/>
    <xf numFmtId="0" fontId="88" fillId="0" borderId="0">
      <alignment vertical="center"/>
    </xf>
    <xf numFmtId="0" fontId="85" fillId="0" borderId="0"/>
    <xf numFmtId="0" fontId="85" fillId="0" borderId="0"/>
    <xf numFmtId="0" fontId="88" fillId="0" borderId="0">
      <alignment vertical="center"/>
    </xf>
    <xf numFmtId="0" fontId="88" fillId="0" borderId="0">
      <alignment vertical="center"/>
    </xf>
    <xf numFmtId="0" fontId="85" fillId="0" borderId="0"/>
    <xf numFmtId="0" fontId="88" fillId="0" borderId="0">
      <alignment vertical="center"/>
    </xf>
    <xf numFmtId="0" fontId="85" fillId="0" borderId="0"/>
    <xf numFmtId="0" fontId="88" fillId="0" borderId="0">
      <alignment vertical="center"/>
    </xf>
    <xf numFmtId="0" fontId="85" fillId="0" borderId="0"/>
    <xf numFmtId="0" fontId="85" fillId="0" borderId="0"/>
    <xf numFmtId="0" fontId="85" fillId="0" borderId="0"/>
    <xf numFmtId="0" fontId="91" fillId="0" borderId="0"/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2" fillId="0" borderId="0">
      <alignment vertical="center"/>
    </xf>
    <xf numFmtId="0" fontId="85" fillId="0" borderId="0"/>
    <xf numFmtId="0" fontId="85" fillId="0" borderId="0"/>
    <xf numFmtId="0" fontId="91" fillId="0" borderId="0"/>
    <xf numFmtId="0" fontId="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88" fillId="0" borderId="0"/>
    <xf numFmtId="0" fontId="85" fillId="0" borderId="0"/>
    <xf numFmtId="0" fontId="2" fillId="0" borderId="0">
      <alignment vertical="center"/>
    </xf>
    <xf numFmtId="0" fontId="88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88" fillId="0" borderId="0">
      <alignment vertical="center"/>
    </xf>
    <xf numFmtId="0" fontId="85" fillId="0" borderId="0"/>
    <xf numFmtId="0" fontId="88" fillId="0" borderId="0">
      <alignment vertical="center"/>
    </xf>
    <xf numFmtId="0" fontId="88" fillId="0" borderId="0">
      <alignment vertical="center"/>
    </xf>
    <xf numFmtId="0" fontId="85" fillId="0" borderId="0"/>
    <xf numFmtId="0" fontId="88" fillId="0" borderId="0">
      <alignment vertical="center"/>
    </xf>
    <xf numFmtId="0" fontId="88" fillId="0" borderId="0">
      <alignment vertical="center"/>
    </xf>
    <xf numFmtId="0" fontId="2" fillId="0" borderId="0">
      <alignment vertical="center"/>
    </xf>
    <xf numFmtId="0" fontId="85" fillId="0" borderId="0"/>
    <xf numFmtId="0" fontId="88" fillId="0" borderId="0">
      <alignment vertical="center"/>
    </xf>
    <xf numFmtId="0" fontId="85" fillId="0" borderId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8" fillId="0" borderId="0" applyFont="0" applyFill="0" applyBorder="0" applyAlignment="0" applyProtection="0">
      <alignment vertical="center"/>
    </xf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0" fontId="93" fillId="16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92" fillId="0" borderId="0" applyFont="0" applyFill="0" applyBorder="0" applyAlignment="0" applyProtection="0">
      <alignment vertical="center"/>
    </xf>
    <xf numFmtId="9" fontId="8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92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44" fontId="91" fillId="0" borderId="0" applyFont="0" applyFill="0" applyBorder="0" applyAlignment="0" applyProtection="0">
      <alignment vertical="center"/>
    </xf>
    <xf numFmtId="0" fontId="95" fillId="0" borderId="0">
      <alignment vertical="center"/>
    </xf>
    <xf numFmtId="0" fontId="96" fillId="17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7" fillId="17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7" fillId="17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918">
    <xf numFmtId="0" fontId="0" fillId="0" borderId="0" xfId="0" applyFont="1" applyAlignment="1"/>
    <xf numFmtId="0" fontId="6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6" fillId="0" borderId="1" xfId="0" applyFont="1" applyBorder="1" applyAlignment="1">
      <alignment horizontal="right" shrinkToFit="1"/>
    </xf>
    <xf numFmtId="0" fontId="6" fillId="0" borderId="1" xfId="0" applyFont="1" applyBorder="1" applyAlignment="1">
      <alignment shrinkToFit="1"/>
    </xf>
    <xf numFmtId="0" fontId="6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1" xfId="0" applyFont="1" applyFill="1" applyBorder="1" applyAlignment="1">
      <alignment shrinkToFit="1"/>
    </xf>
    <xf numFmtId="0" fontId="6" fillId="2" borderId="1" xfId="0" applyFont="1" applyFill="1" applyBorder="1" applyAlignment="1">
      <alignment shrinkToFit="1"/>
    </xf>
    <xf numFmtId="3" fontId="6" fillId="0" borderId="1" xfId="0" applyNumberFormat="1" applyFont="1" applyBorder="1" applyAlignment="1">
      <alignment shrinkToFit="1"/>
    </xf>
    <xf numFmtId="3" fontId="6" fillId="3" borderId="1" xfId="0" applyNumberFormat="1" applyFont="1" applyFill="1" applyBorder="1" applyAlignment="1">
      <alignment shrinkToFit="1"/>
    </xf>
    <xf numFmtId="4" fontId="6" fillId="0" borderId="1" xfId="0" applyNumberFormat="1" applyFont="1" applyBorder="1" applyAlignment="1">
      <alignment horizontal="right" shrinkToFit="1"/>
    </xf>
    <xf numFmtId="10" fontId="6" fillId="2" borderId="1" xfId="0" applyNumberFormat="1" applyFont="1" applyFill="1" applyBorder="1" applyAlignment="1">
      <alignment horizontal="right" shrinkToFit="1"/>
    </xf>
    <xf numFmtId="10" fontId="6" fillId="3" borderId="1" xfId="0" applyNumberFormat="1" applyFont="1" applyFill="1" applyBorder="1" applyAlignment="1">
      <alignment shrinkToFit="1"/>
    </xf>
    <xf numFmtId="10" fontId="6" fillId="0" borderId="1" xfId="0" applyNumberFormat="1" applyFont="1" applyBorder="1" applyAlignment="1">
      <alignment shrinkToFit="1"/>
    </xf>
    <xf numFmtId="10" fontId="7" fillId="0" borderId="0" xfId="0" applyNumberFormat="1" applyFont="1" applyAlignment="1">
      <alignment shrinkToFit="1"/>
    </xf>
    <xf numFmtId="0" fontId="6" fillId="3" borderId="1" xfId="0" applyFont="1" applyFill="1" applyBorder="1" applyAlignment="1">
      <alignment shrinkToFit="1"/>
    </xf>
    <xf numFmtId="4" fontId="6" fillId="0" borderId="1" xfId="0" applyNumberFormat="1" applyFont="1" applyBorder="1" applyAlignment="1">
      <alignment shrinkToFit="1"/>
    </xf>
    <xf numFmtId="0" fontId="7" fillId="2" borderId="5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7" fillId="0" borderId="8" xfId="0" applyFont="1" applyBorder="1" applyAlignment="1">
      <alignment shrinkToFit="1"/>
    </xf>
    <xf numFmtId="0" fontId="6" fillId="0" borderId="5" xfId="0" applyFont="1" applyBorder="1" applyAlignment="1">
      <alignment shrinkToFit="1"/>
    </xf>
    <xf numFmtId="0" fontId="6" fillId="0" borderId="14" xfId="0" applyFont="1" applyBorder="1" applyAlignment="1">
      <alignment shrinkToFit="1"/>
    </xf>
    <xf numFmtId="0" fontId="6" fillId="0" borderId="8" xfId="0" applyFont="1" applyBorder="1" applyAlignment="1">
      <alignment shrinkToFit="1"/>
    </xf>
    <xf numFmtId="10" fontId="6" fillId="0" borderId="5" xfId="0" applyNumberFormat="1" applyFont="1" applyBorder="1" applyAlignment="1">
      <alignment shrinkToFit="1"/>
    </xf>
    <xf numFmtId="0" fontId="6" fillId="3" borderId="5" xfId="0" applyFont="1" applyFill="1" applyBorder="1" applyAlignment="1">
      <alignment shrinkToFit="1"/>
    </xf>
    <xf numFmtId="0" fontId="6" fillId="2" borderId="15" xfId="0" applyFont="1" applyFill="1" applyBorder="1" applyAlignment="1">
      <alignment shrinkToFit="1"/>
    </xf>
    <xf numFmtId="10" fontId="6" fillId="3" borderId="17" xfId="0" applyNumberFormat="1" applyFont="1" applyFill="1" applyBorder="1" applyAlignment="1">
      <alignment shrinkToFit="1"/>
    </xf>
    <xf numFmtId="0" fontId="6" fillId="3" borderId="18" xfId="0" applyFont="1" applyFill="1" applyBorder="1" applyAlignment="1">
      <alignment shrinkToFit="1"/>
    </xf>
    <xf numFmtId="0" fontId="6" fillId="0" borderId="6" xfId="0" applyFont="1" applyBorder="1" applyAlignment="1">
      <alignment shrinkToFit="1"/>
    </xf>
    <xf numFmtId="10" fontId="6" fillId="0" borderId="6" xfId="0" applyNumberFormat="1" applyFont="1" applyBorder="1" applyAlignment="1">
      <alignment shrinkToFit="1"/>
    </xf>
    <xf numFmtId="0" fontId="6" fillId="3" borderId="6" xfId="0" applyFont="1" applyFill="1" applyBorder="1" applyAlignment="1">
      <alignment shrinkToFit="1"/>
    </xf>
    <xf numFmtId="10" fontId="6" fillId="0" borderId="0" xfId="0" applyNumberFormat="1" applyFont="1" applyAlignment="1">
      <alignment shrinkToFit="1"/>
    </xf>
    <xf numFmtId="10" fontId="6" fillId="2" borderId="1" xfId="0" applyNumberFormat="1" applyFont="1" applyFill="1" applyBorder="1" applyAlignment="1">
      <alignment shrinkToFit="1"/>
    </xf>
    <xf numFmtId="0" fontId="6" fillId="3" borderId="7" xfId="0" applyFont="1" applyFill="1" applyBorder="1" applyAlignment="1">
      <alignment shrinkToFit="1"/>
    </xf>
    <xf numFmtId="10" fontId="6" fillId="3" borderId="5" xfId="0" applyNumberFormat="1" applyFont="1" applyFill="1" applyBorder="1" applyAlignment="1">
      <alignment shrinkToFit="1"/>
    </xf>
    <xf numFmtId="0" fontId="6" fillId="0" borderId="11" xfId="0" applyFont="1" applyBorder="1" applyAlignment="1">
      <alignment shrinkToFit="1"/>
    </xf>
    <xf numFmtId="10" fontId="6" fillId="0" borderId="14" xfId="0" applyNumberFormat="1" applyFont="1" applyBorder="1" applyAlignment="1">
      <alignment shrinkToFit="1"/>
    </xf>
    <xf numFmtId="10" fontId="6" fillId="3" borderId="14" xfId="0" applyNumberFormat="1" applyFont="1" applyFill="1" applyBorder="1" applyAlignment="1">
      <alignment shrinkToFit="1"/>
    </xf>
    <xf numFmtId="0" fontId="6" fillId="2" borderId="2" xfId="0" applyFont="1" applyFill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10" fillId="0" borderId="1" xfId="0" applyFont="1" applyBorder="1" applyAlignment="1">
      <alignment shrinkToFit="1"/>
    </xf>
    <xf numFmtId="0" fontId="10" fillId="2" borderId="1" xfId="0" applyFont="1" applyFill="1" applyBorder="1" applyAlignment="1">
      <alignment horizontal="left" shrinkToFit="1"/>
    </xf>
    <xf numFmtId="0" fontId="11" fillId="2" borderId="1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1" fillId="2" borderId="5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6" fillId="2" borderId="22" xfId="0" applyFont="1" applyFill="1" applyBorder="1" applyAlignment="1">
      <alignment shrinkToFit="1"/>
    </xf>
    <xf numFmtId="0" fontId="6" fillId="2" borderId="23" xfId="0" applyFont="1" applyFill="1" applyBorder="1" applyAlignment="1">
      <alignment shrinkToFit="1"/>
    </xf>
    <xf numFmtId="0" fontId="10" fillId="2" borderId="22" xfId="0" applyFont="1" applyFill="1" applyBorder="1" applyAlignment="1">
      <alignment shrinkToFit="1"/>
    </xf>
    <xf numFmtId="0" fontId="10" fillId="2" borderId="1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16" xfId="0" applyFont="1" applyFill="1" applyBorder="1" applyAlignment="1">
      <alignment shrinkToFit="1"/>
    </xf>
    <xf numFmtId="0" fontId="10" fillId="4" borderId="0" xfId="0" applyFont="1" applyFill="1" applyAlignment="1"/>
    <xf numFmtId="0" fontId="11" fillId="4" borderId="0" xfId="0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6" fillId="4" borderId="0" xfId="0" applyFont="1" applyFill="1" applyAlignment="1"/>
    <xf numFmtId="10" fontId="6" fillId="4" borderId="0" xfId="0" applyNumberFormat="1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6" fillId="2" borderId="24" xfId="0" applyFont="1" applyFill="1" applyBorder="1" applyAlignment="1">
      <alignment shrinkToFit="1"/>
    </xf>
    <xf numFmtId="0" fontId="11" fillId="0" borderId="11" xfId="0" applyFont="1" applyBorder="1" applyAlignment="1">
      <alignment horizontal="right" shrinkToFit="1"/>
    </xf>
    <xf numFmtId="0" fontId="11" fillId="0" borderId="3" xfId="0" applyFont="1" applyBorder="1" applyAlignment="1">
      <alignment horizontal="right" shrinkToFit="1"/>
    </xf>
    <xf numFmtId="0" fontId="13" fillId="0" borderId="0" xfId="0" applyFont="1" applyAlignment="1">
      <alignment horizontal="center"/>
    </xf>
    <xf numFmtId="10" fontId="13" fillId="0" borderId="0" xfId="0" applyNumberFormat="1" applyFont="1" applyAlignment="1"/>
    <xf numFmtId="0" fontId="13" fillId="0" borderId="0" xfId="0" applyFont="1" applyAlignment="1"/>
    <xf numFmtId="0" fontId="17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5" fillId="0" borderId="0" xfId="0" applyFont="1" applyAlignment="1"/>
    <xf numFmtId="176" fontId="26" fillId="5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vertical="center"/>
    </xf>
    <xf numFmtId="0" fontId="13" fillId="0" borderId="0" xfId="0" applyFont="1" applyFill="1" applyAlignment="1">
      <alignment vertical="center"/>
    </xf>
    <xf numFmtId="0" fontId="25" fillId="0" borderId="0" xfId="0" applyFont="1" applyFill="1" applyAlignment="1"/>
    <xf numFmtId="0" fontId="25" fillId="0" borderId="0" xfId="0" applyFont="1" applyFill="1" applyAlignment="1">
      <alignment horizontal="center"/>
    </xf>
    <xf numFmtId="176" fontId="26" fillId="0" borderId="0" xfId="0" applyNumberFormat="1" applyFont="1" applyFill="1" applyAlignment="1">
      <alignment horizontal="center" vertical="center"/>
    </xf>
    <xf numFmtId="176" fontId="25" fillId="0" borderId="0" xfId="0" applyNumberFormat="1" applyFont="1" applyFill="1" applyAlignment="1"/>
    <xf numFmtId="177" fontId="25" fillId="0" borderId="0" xfId="0" applyNumberFormat="1" applyFont="1" applyFill="1" applyAlignment="1"/>
    <xf numFmtId="178" fontId="25" fillId="0" borderId="0" xfId="0" applyNumberFormat="1" applyFont="1" applyFill="1" applyAlignment="1"/>
    <xf numFmtId="10" fontId="25" fillId="0" borderId="0" xfId="0" applyNumberFormat="1" applyFont="1" applyFill="1" applyAlignment="1"/>
    <xf numFmtId="176" fontId="26" fillId="6" borderId="0" xfId="0" applyNumberFormat="1" applyFont="1" applyFill="1" applyAlignment="1">
      <alignment horizontal="center" vertical="center"/>
    </xf>
    <xf numFmtId="176" fontId="26" fillId="7" borderId="0" xfId="0" applyNumberFormat="1" applyFont="1" applyFill="1" applyAlignment="1">
      <alignment horizontal="center" vertical="center"/>
    </xf>
    <xf numFmtId="180" fontId="25" fillId="0" borderId="0" xfId="0" applyNumberFormat="1" applyFont="1" applyFill="1" applyAlignment="1"/>
    <xf numFmtId="180" fontId="13" fillId="0" borderId="0" xfId="0" applyNumberFormat="1" applyFont="1" applyAlignment="1"/>
    <xf numFmtId="176" fontId="16" fillId="0" borderId="0" xfId="0" applyNumberFormat="1" applyFont="1" applyFill="1" applyAlignment="1">
      <alignment horizontal="center" vertical="center"/>
    </xf>
    <xf numFmtId="180" fontId="16" fillId="0" borderId="0" xfId="0" applyNumberFormat="1" applyFont="1" applyFill="1" applyAlignment="1">
      <alignment horizontal="center" vertical="center"/>
    </xf>
    <xf numFmtId="182" fontId="25" fillId="0" borderId="0" xfId="0" applyNumberFormat="1" applyFont="1" applyFill="1" applyAlignment="1"/>
    <xf numFmtId="0" fontId="25" fillId="0" borderId="0" xfId="0" applyFont="1" applyFill="1" applyAlignment="1">
      <alignment vertical="center"/>
    </xf>
    <xf numFmtId="182" fontId="26" fillId="0" borderId="22" xfId="0" applyNumberFormat="1" applyFont="1" applyFill="1" applyBorder="1" applyAlignment="1">
      <alignment horizontal="center" vertical="center"/>
    </xf>
    <xf numFmtId="10" fontId="26" fillId="0" borderId="22" xfId="0" applyNumberFormat="1" applyFont="1" applyFill="1" applyBorder="1" applyAlignment="1">
      <alignment horizontal="center" vertical="center"/>
    </xf>
    <xf numFmtId="10" fontId="25" fillId="0" borderId="22" xfId="0" applyNumberFormat="1" applyFont="1" applyFill="1" applyBorder="1" applyAlignment="1"/>
    <xf numFmtId="182" fontId="25" fillId="0" borderId="0" xfId="0" applyNumberFormat="1" applyFont="1" applyFill="1" applyAlignment="1">
      <alignment horizontal="center"/>
    </xf>
    <xf numFmtId="0" fontId="28" fillId="0" borderId="0" xfId="0" applyFont="1" applyFill="1" applyAlignment="1"/>
    <xf numFmtId="177" fontId="25" fillId="0" borderId="0" xfId="0" applyNumberFormat="1" applyFont="1" applyFill="1" applyAlignment="1">
      <alignment horizontal="center"/>
    </xf>
    <xf numFmtId="177" fontId="16" fillId="0" borderId="22" xfId="0" applyNumberFormat="1" applyFont="1" applyFill="1" applyBorder="1" applyAlignment="1">
      <alignment horizontal="center" vertical="center"/>
    </xf>
    <xf numFmtId="177" fontId="25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6" fillId="0" borderId="3" xfId="0" applyFont="1" applyBorder="1" applyAlignment="1">
      <alignment vertical="center" shrinkToFit="1"/>
    </xf>
    <xf numFmtId="0" fontId="6" fillId="0" borderId="8" xfId="0" applyFont="1" applyBorder="1" applyAlignment="1">
      <alignment vertical="center" shrinkToFit="1"/>
    </xf>
    <xf numFmtId="0" fontId="10" fillId="2" borderId="1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2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shrinkToFit="1"/>
    </xf>
    <xf numFmtId="0" fontId="10" fillId="2" borderId="16" xfId="0" applyFont="1" applyFill="1" applyBorder="1" applyAlignment="1">
      <alignment horizontal="center" shrinkToFit="1"/>
    </xf>
    <xf numFmtId="0" fontId="25" fillId="0" borderId="0" xfId="0" applyFont="1" applyAlignment="1">
      <alignment shrinkToFit="1"/>
    </xf>
    <xf numFmtId="0" fontId="25" fillId="4" borderId="0" xfId="0" applyFont="1" applyFill="1" applyAlignment="1">
      <alignment shrinkToFit="1"/>
    </xf>
    <xf numFmtId="0" fontId="25" fillId="0" borderId="0" xfId="0" applyFont="1" applyFill="1" applyAlignment="1">
      <alignment shrinkToFit="1"/>
    </xf>
    <xf numFmtId="0" fontId="27" fillId="0" borderId="0" xfId="0" applyFont="1" applyFill="1" applyAlignment="1">
      <alignment shrinkToFit="1"/>
    </xf>
    <xf numFmtId="0" fontId="44" fillId="0" borderId="0" xfId="0" applyFont="1" applyFill="1" applyBorder="1" applyAlignment="1">
      <alignment shrinkToFit="1"/>
    </xf>
    <xf numFmtId="0" fontId="25" fillId="0" borderId="22" xfId="0" applyFont="1" applyFill="1" applyBorder="1" applyAlignment="1">
      <alignment shrinkToFit="1"/>
    </xf>
    <xf numFmtId="0" fontId="25" fillId="0" borderId="0" xfId="0" applyFont="1" applyFill="1" applyAlignment="1">
      <alignment horizontal="center" shrinkToFit="1"/>
    </xf>
    <xf numFmtId="0" fontId="27" fillId="0" borderId="0" xfId="0" applyFont="1" applyFill="1" applyAlignment="1">
      <alignment horizontal="center" shrinkToFit="1"/>
    </xf>
    <xf numFmtId="0" fontId="25" fillId="0" borderId="0" xfId="0" applyFont="1" applyFill="1" applyAlignment="1">
      <alignment horizontal="center" vertical="center" shrinkToFit="1"/>
    </xf>
    <xf numFmtId="0" fontId="44" fillId="0" borderId="22" xfId="0" applyFont="1" applyFill="1" applyBorder="1" applyAlignment="1">
      <alignment shrinkToFit="1"/>
    </xf>
    <xf numFmtId="4" fontId="27" fillId="0" borderId="22" xfId="0" applyNumberFormat="1" applyFont="1" applyFill="1" applyBorder="1" applyAlignment="1">
      <alignment shrinkToFit="1"/>
    </xf>
    <xf numFmtId="0" fontId="25" fillId="4" borderId="0" xfId="0" applyFont="1" applyFill="1" applyBorder="1" applyAlignment="1">
      <alignment shrinkToFit="1"/>
    </xf>
    <xf numFmtId="0" fontId="27" fillId="4" borderId="0" xfId="0" applyFont="1" applyFill="1" applyBorder="1" applyAlignment="1">
      <alignment shrinkToFit="1"/>
    </xf>
    <xf numFmtId="0" fontId="48" fillId="0" borderId="0" xfId="0" applyFont="1" applyFill="1" applyBorder="1" applyAlignment="1"/>
    <xf numFmtId="0" fontId="25" fillId="0" borderId="0" xfId="0" applyFont="1" applyFill="1" applyBorder="1" applyAlignment="1">
      <alignment shrinkToFit="1"/>
    </xf>
    <xf numFmtId="0" fontId="50" fillId="0" borderId="0" xfId="0" applyFont="1" applyFill="1" applyBorder="1" applyAlignment="1"/>
    <xf numFmtId="0" fontId="25" fillId="0" borderId="0" xfId="0" applyFont="1" applyFill="1" applyBorder="1" applyAlignment="1">
      <alignment horizontal="center" shrinkToFit="1"/>
    </xf>
    <xf numFmtId="0" fontId="25" fillId="0" borderId="0" xfId="0" applyFont="1" applyFill="1" applyBorder="1" applyAlignment="1">
      <alignment horizontal="center" vertical="center" shrinkToFit="1"/>
    </xf>
    <xf numFmtId="10" fontId="44" fillId="0" borderId="0" xfId="0" applyNumberFormat="1" applyFont="1" applyFill="1" applyBorder="1" applyAlignment="1">
      <alignment shrinkToFit="1"/>
    </xf>
    <xf numFmtId="0" fontId="45" fillId="0" borderId="0" xfId="0" applyFont="1" applyFill="1" applyBorder="1" applyAlignment="1"/>
    <xf numFmtId="0" fontId="51" fillId="0" borderId="22" xfId="0" applyFont="1" applyFill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Fill="1" applyBorder="1" applyAlignment="1">
      <alignment horizontal="center" shrinkToFit="1"/>
    </xf>
    <xf numFmtId="3" fontId="27" fillId="0" borderId="22" xfId="0" applyNumberFormat="1" applyFont="1" applyFill="1" applyBorder="1" applyAlignment="1">
      <alignment shrinkToFit="1"/>
    </xf>
    <xf numFmtId="10" fontId="27" fillId="0" borderId="22" xfId="0" applyNumberFormat="1" applyFont="1" applyFill="1" applyBorder="1" applyAlignment="1">
      <alignment shrinkToFit="1"/>
    </xf>
    <xf numFmtId="4" fontId="27" fillId="0" borderId="22" xfId="0" applyNumberFormat="1" applyFont="1" applyFill="1" applyBorder="1" applyAlignment="1">
      <alignment horizontal="right" shrinkToFit="1"/>
    </xf>
    <xf numFmtId="0" fontId="44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shrinkToFit="1"/>
    </xf>
    <xf numFmtId="0" fontId="6" fillId="0" borderId="0" xfId="0" applyFont="1" applyBorder="1" applyAlignment="1">
      <alignment horizontal="center" vertical="center" shrinkToFit="1"/>
    </xf>
    <xf numFmtId="0" fontId="6" fillId="0" borderId="0" xfId="0" applyFont="1" applyBorder="1" applyAlignment="1">
      <alignment horizontal="right" shrinkToFit="1"/>
    </xf>
    <xf numFmtId="0" fontId="10" fillId="0" borderId="0" xfId="0" applyFont="1" applyBorder="1" applyAlignment="1">
      <alignment shrinkToFit="1"/>
    </xf>
    <xf numFmtId="0" fontId="6" fillId="0" borderId="0" xfId="0" applyFont="1" applyBorder="1" applyAlignment="1">
      <alignment shrinkToFit="1"/>
    </xf>
    <xf numFmtId="0" fontId="25" fillId="0" borderId="0" xfId="0" applyFont="1" applyBorder="1" applyAlignment="1">
      <alignment shrinkToFit="1"/>
    </xf>
    <xf numFmtId="0" fontId="25" fillId="4" borderId="0" xfId="0" applyFont="1" applyFill="1" applyBorder="1" applyAlignment="1">
      <alignment horizontal="center" vertical="center" shrinkToFit="1"/>
    </xf>
    <xf numFmtId="0" fontId="25" fillId="0" borderId="0" xfId="0" applyFont="1" applyAlignment="1">
      <alignment horizontal="center" vertical="center" shrinkToFit="1"/>
    </xf>
    <xf numFmtId="0" fontId="25" fillId="4" borderId="0" xfId="0" applyFont="1" applyFill="1" applyBorder="1" applyAlignment="1">
      <alignment horizontal="center" shrinkToFit="1"/>
    </xf>
    <xf numFmtId="0" fontId="27" fillId="0" borderId="22" xfId="0" applyFont="1" applyBorder="1" applyAlignment="1">
      <alignment horizontal="center" vertical="center" shrinkToFit="1"/>
    </xf>
    <xf numFmtId="0" fontId="27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25" fillId="4" borderId="22" xfId="0" applyFont="1" applyFill="1" applyBorder="1" applyAlignment="1">
      <alignment horizontal="center" shrinkToFit="1"/>
    </xf>
    <xf numFmtId="0" fontId="27" fillId="4" borderId="22" xfId="0" applyFont="1" applyFill="1" applyBorder="1" applyAlignment="1">
      <alignment horizontal="center" shrinkToFit="1"/>
    </xf>
    <xf numFmtId="0" fontId="25" fillId="0" borderId="0" xfId="0" applyFont="1" applyAlignment="1">
      <alignment vertical="center" shrinkToFit="1"/>
    </xf>
    <xf numFmtId="0" fontId="25" fillId="0" borderId="0" xfId="0" applyFont="1" applyAlignment="1">
      <alignment horizontal="center" shrinkToFit="1"/>
    </xf>
    <xf numFmtId="0" fontId="27" fillId="2" borderId="22" xfId="0" applyFont="1" applyFill="1" applyBorder="1" applyAlignment="1">
      <alignment horizontal="center" vertical="center" shrinkToFit="1"/>
    </xf>
    <xf numFmtId="0" fontId="27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7" fillId="5" borderId="22" xfId="0" applyFont="1" applyFill="1" applyBorder="1" applyAlignment="1">
      <alignment horizontal="center" vertical="center" shrinkToFit="1"/>
    </xf>
    <xf numFmtId="0" fontId="27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5" fillId="5" borderId="22" xfId="0" applyFont="1" applyFill="1" applyBorder="1" applyAlignment="1">
      <alignment horizontal="center" shrinkToFit="1"/>
    </xf>
    <xf numFmtId="0" fontId="27" fillId="2" borderId="1" xfId="0" applyFont="1" applyFill="1" applyBorder="1" applyAlignment="1">
      <alignment horizontal="center" vertical="center" shrinkToFit="1"/>
    </xf>
    <xf numFmtId="0" fontId="27" fillId="0" borderId="3" xfId="0" applyFont="1" applyBorder="1" applyAlignment="1">
      <alignment vertical="center" shrinkToFit="1"/>
    </xf>
    <xf numFmtId="0" fontId="27" fillId="0" borderId="1" xfId="0" applyFont="1" applyBorder="1" applyAlignment="1">
      <alignment shrinkToFit="1"/>
    </xf>
    <xf numFmtId="0" fontId="27" fillId="0" borderId="8" xfId="0" applyFont="1" applyBorder="1" applyAlignment="1">
      <alignment vertical="center" shrinkToFit="1"/>
    </xf>
    <xf numFmtId="0" fontId="27" fillId="0" borderId="5" xfId="0" applyFont="1" applyBorder="1" applyAlignment="1">
      <alignment shrinkToFit="1"/>
    </xf>
    <xf numFmtId="0" fontId="25" fillId="0" borderId="0" xfId="0" applyFont="1" applyAlignment="1">
      <alignment wrapText="1" shrinkToFit="1"/>
    </xf>
    <xf numFmtId="0" fontId="25" fillId="0" borderId="0" xfId="0" applyFont="1" applyAlignment="1">
      <alignment horizontal="center" vertical="center" wrapText="1" shrinkToFit="1"/>
    </xf>
    <xf numFmtId="10" fontId="27" fillId="2" borderId="22" xfId="0" applyNumberFormat="1" applyFont="1" applyFill="1" applyBorder="1" applyAlignment="1">
      <alignment horizontal="center" vertical="center" shrinkToFit="1"/>
    </xf>
    <xf numFmtId="10" fontId="27" fillId="0" borderId="22" xfId="0" applyNumberFormat="1" applyFont="1" applyBorder="1" applyAlignment="1">
      <alignment shrinkToFit="1"/>
    </xf>
    <xf numFmtId="10" fontId="27" fillId="3" borderId="22" xfId="0" applyNumberFormat="1" applyFont="1" applyFill="1" applyBorder="1" applyAlignment="1">
      <alignment shrinkToFit="1"/>
    </xf>
    <xf numFmtId="0" fontId="27" fillId="2" borderId="23" xfId="0" applyFont="1" applyFill="1" applyBorder="1" applyAlignment="1">
      <alignment horizontal="center" vertical="center" shrinkToFit="1"/>
    </xf>
    <xf numFmtId="10" fontId="27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5" fillId="0" borderId="0" xfId="11" applyFont="1" applyAlignment="1">
      <alignment shrinkToFit="1"/>
    </xf>
    <xf numFmtId="0" fontId="25" fillId="4" borderId="0" xfId="11" applyFont="1" applyFill="1" applyAlignment="1">
      <alignment shrinkToFit="1"/>
    </xf>
    <xf numFmtId="0" fontId="25" fillId="0" borderId="0" xfId="11" applyFont="1" applyBorder="1" applyAlignment="1">
      <alignment shrinkToFit="1"/>
    </xf>
    <xf numFmtId="0" fontId="25" fillId="4" borderId="0" xfId="11" applyFont="1" applyFill="1" applyBorder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Fill="1" applyBorder="1" applyAlignment="1">
      <alignment horizontal="center" shrinkToFit="1"/>
    </xf>
    <xf numFmtId="3" fontId="35" fillId="0" borderId="6" xfId="11" applyNumberFormat="1" applyFont="1" applyFill="1" applyBorder="1" applyAlignment="1">
      <alignment shrinkToFit="1"/>
    </xf>
    <xf numFmtId="10" fontId="35" fillId="0" borderId="6" xfId="11" applyNumberFormat="1" applyFont="1" applyFill="1" applyBorder="1" applyAlignment="1">
      <alignment shrinkToFit="1"/>
    </xf>
    <xf numFmtId="3" fontId="27" fillId="0" borderId="22" xfId="11" applyNumberFormat="1" applyFont="1" applyFill="1" applyBorder="1" applyAlignment="1">
      <alignment shrinkToFit="1"/>
    </xf>
    <xf numFmtId="10" fontId="27" fillId="0" borderId="22" xfId="11" applyNumberFormat="1" applyFont="1" applyFill="1" applyBorder="1" applyAlignment="1">
      <alignment shrinkToFit="1"/>
    </xf>
    <xf numFmtId="0" fontId="25" fillId="0" borderId="0" xfId="11" applyFont="1" applyFill="1" applyAlignment="1">
      <alignment shrinkToFit="1"/>
    </xf>
    <xf numFmtId="0" fontId="44" fillId="0" borderId="1" xfId="11" applyFont="1" applyFill="1" applyBorder="1" applyAlignment="1">
      <alignment horizontal="center" shrinkToFit="1"/>
    </xf>
    <xf numFmtId="3" fontId="35" fillId="0" borderId="1" xfId="11" applyNumberFormat="1" applyFont="1" applyFill="1" applyBorder="1" applyAlignment="1">
      <alignment shrinkToFit="1"/>
    </xf>
    <xf numFmtId="0" fontId="34" fillId="0" borderId="34" xfId="0" applyFont="1" applyBorder="1" applyAlignment="1">
      <alignment horizontal="left" vertical="center"/>
    </xf>
    <xf numFmtId="0" fontId="34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left" vertical="center"/>
    </xf>
    <xf numFmtId="0" fontId="34" fillId="0" borderId="34" xfId="0" applyFont="1" applyFill="1" applyBorder="1" applyAlignment="1">
      <alignment horizontal="left" vertical="center"/>
    </xf>
    <xf numFmtId="0" fontId="34" fillId="0" borderId="26" xfId="0" applyFont="1" applyFill="1" applyBorder="1" applyAlignment="1">
      <alignment horizontal="left" vertical="center"/>
    </xf>
    <xf numFmtId="0" fontId="34" fillId="0" borderId="36" xfId="0" applyFont="1" applyFill="1" applyBorder="1" applyAlignment="1">
      <alignment horizontal="left" vertical="center"/>
    </xf>
    <xf numFmtId="0" fontId="34" fillId="0" borderId="32" xfId="0" applyFont="1" applyFill="1" applyBorder="1" applyAlignment="1">
      <alignment horizontal="left" vertical="center"/>
    </xf>
    <xf numFmtId="0" fontId="34" fillId="0" borderId="37" xfId="0" applyFont="1" applyFill="1" applyBorder="1" applyAlignment="1">
      <alignment horizontal="left" vertical="center"/>
    </xf>
    <xf numFmtId="0" fontId="6" fillId="0" borderId="0" xfId="5"/>
    <xf numFmtId="0" fontId="68" fillId="8" borderId="30" xfId="5" applyFont="1" applyFill="1" applyBorder="1"/>
    <xf numFmtId="0" fontId="68" fillId="0" borderId="0" xfId="5" applyFont="1"/>
    <xf numFmtId="0" fontId="68" fillId="0" borderId="22" xfId="5" applyFont="1" applyBorder="1"/>
    <xf numFmtId="0" fontId="68" fillId="8" borderId="22" xfId="5" applyFont="1" applyFill="1" applyBorder="1"/>
    <xf numFmtId="185" fontId="25" fillId="0" borderId="0" xfId="0" applyNumberFormat="1" applyFont="1" applyFill="1" applyAlignment="1"/>
    <xf numFmtId="0" fontId="51" fillId="8" borderId="22" xfId="0" applyFont="1" applyFill="1" applyBorder="1" applyAlignment="1">
      <alignment horizontal="center" vertical="center" shrinkToFit="1"/>
    </xf>
    <xf numFmtId="0" fontId="27" fillId="0" borderId="22" xfId="11" applyFont="1" applyFill="1" applyBorder="1" applyAlignment="1">
      <alignment horizontal="center" vertical="center" shrinkToFit="1"/>
    </xf>
    <xf numFmtId="0" fontId="69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70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8" fillId="5" borderId="23" xfId="11" applyFont="1" applyFill="1" applyBorder="1" applyAlignment="1">
      <alignment horizontal="center" vertical="center"/>
    </xf>
    <xf numFmtId="3" fontId="27" fillId="5" borderId="22" xfId="0" applyNumberFormat="1" applyFont="1" applyFill="1" applyBorder="1" applyAlignment="1">
      <alignment shrinkToFit="1"/>
    </xf>
    <xf numFmtId="10" fontId="27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2" fillId="0" borderId="22" xfId="0" applyNumberFormat="1" applyFont="1" applyFill="1" applyBorder="1" applyAlignment="1"/>
    <xf numFmtId="186" fontId="25" fillId="0" borderId="0" xfId="0" applyNumberFormat="1" applyFont="1" applyFill="1" applyAlignment="1"/>
    <xf numFmtId="180" fontId="25" fillId="9" borderId="0" xfId="0" applyNumberFormat="1" applyFont="1" applyFill="1" applyAlignment="1"/>
    <xf numFmtId="187" fontId="25" fillId="9" borderId="0" xfId="0" applyNumberFormat="1" applyFont="1" applyFill="1" applyAlignment="1"/>
    <xf numFmtId="177" fontId="25" fillId="9" borderId="0" xfId="0" applyNumberFormat="1" applyFont="1" applyFill="1" applyAlignment="1"/>
    <xf numFmtId="186" fontId="25" fillId="9" borderId="0" xfId="0" applyNumberFormat="1" applyFont="1" applyFill="1" applyAlignment="1"/>
    <xf numFmtId="185" fontId="25" fillId="9" borderId="0" xfId="0" applyNumberFormat="1" applyFont="1" applyFill="1" applyAlignment="1"/>
    <xf numFmtId="186" fontId="72" fillId="9" borderId="22" xfId="0" applyNumberFormat="1" applyFont="1" applyFill="1" applyBorder="1" applyAlignment="1"/>
    <xf numFmtId="177" fontId="25" fillId="9" borderId="22" xfId="0" applyNumberFormat="1" applyFont="1" applyFill="1" applyBorder="1" applyAlignment="1"/>
    <xf numFmtId="188" fontId="27" fillId="0" borderId="22" xfId="14" applyNumberFormat="1" applyFont="1" applyFill="1" applyBorder="1" applyAlignment="1">
      <alignment shrinkToFit="1"/>
    </xf>
    <xf numFmtId="189" fontId="27" fillId="5" borderId="22" xfId="0" applyNumberFormat="1" applyFont="1" applyFill="1" applyBorder="1" applyAlignment="1">
      <alignment shrinkToFit="1"/>
    </xf>
    <xf numFmtId="3" fontId="27" fillId="5" borderId="22" xfId="0" applyNumberFormat="1" applyFont="1" applyFill="1" applyBorder="1" applyAlignment="1">
      <alignment horizontal="right" shrinkToFit="1"/>
    </xf>
    <xf numFmtId="188" fontId="27" fillId="5" borderId="22" xfId="14" applyNumberFormat="1" applyFont="1" applyFill="1" applyBorder="1" applyAlignment="1">
      <alignment shrinkToFit="1"/>
    </xf>
    <xf numFmtId="0" fontId="75" fillId="0" borderId="22" xfId="0" applyFont="1" applyBorder="1" applyAlignment="1">
      <alignment horizontal="center" vertical="center" shrinkToFit="1"/>
    </xf>
    <xf numFmtId="0" fontId="76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vertical="center" shrinkToFit="1"/>
    </xf>
    <xf numFmtId="190" fontId="27" fillId="5" borderId="22" xfId="14" applyNumberFormat="1" applyFont="1" applyFill="1" applyBorder="1" applyAlignment="1">
      <alignment shrinkToFit="1"/>
    </xf>
    <xf numFmtId="191" fontId="27" fillId="0" borderId="22" xfId="0" applyNumberFormat="1" applyFont="1" applyFill="1" applyBorder="1" applyAlignment="1">
      <alignment shrinkToFit="1"/>
    </xf>
    <xf numFmtId="10" fontId="27" fillId="3" borderId="22" xfId="0" applyNumberFormat="1" applyFont="1" applyFill="1" applyBorder="1" applyAlignment="1">
      <alignment horizontal="center" shrinkToFit="1"/>
    </xf>
    <xf numFmtId="0" fontId="10" fillId="2" borderId="22" xfId="0" applyFont="1" applyFill="1" applyBorder="1" applyAlignment="1">
      <alignment horizontal="center" shrinkToFit="1"/>
    </xf>
    <xf numFmtId="189" fontId="25" fillId="9" borderId="0" xfId="0" applyNumberFormat="1" applyFont="1" applyFill="1" applyAlignment="1"/>
    <xf numFmtId="189" fontId="27" fillId="0" borderId="22" xfId="0" applyNumberFormat="1" applyFont="1" applyFill="1" applyBorder="1" applyAlignment="1">
      <alignment shrinkToFit="1"/>
    </xf>
    <xf numFmtId="185" fontId="27" fillId="5" borderId="22" xfId="0" applyNumberFormat="1" applyFont="1" applyFill="1" applyBorder="1" applyAlignment="1">
      <alignment shrinkToFit="1"/>
    </xf>
    <xf numFmtId="185" fontId="27" fillId="0" borderId="22" xfId="0" applyNumberFormat="1" applyFont="1" applyFill="1" applyBorder="1" applyAlignment="1">
      <alignment shrinkToFit="1"/>
    </xf>
    <xf numFmtId="183" fontId="25" fillId="0" borderId="0" xfId="0" applyNumberFormat="1" applyFont="1" applyAlignment="1">
      <alignment shrinkToFit="1"/>
    </xf>
    <xf numFmtId="9" fontId="27" fillId="5" borderId="22" xfId="0" applyNumberFormat="1" applyFont="1" applyFill="1" applyBorder="1" applyAlignment="1">
      <alignment shrinkToFit="1"/>
    </xf>
    <xf numFmtId="9" fontId="27" fillId="0" borderId="22" xfId="0" applyNumberFormat="1" applyFont="1" applyFill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27" fillId="0" borderId="22" xfId="0" applyNumberFormat="1" applyFont="1" applyFill="1" applyBorder="1" applyAlignment="1">
      <alignment horizontal="right"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7" fillId="0" borderId="22" xfId="14" applyNumberFormat="1" applyFont="1" applyFill="1" applyBorder="1" applyAlignment="1">
      <alignment horizontal="right" shrinkToFit="1"/>
    </xf>
    <xf numFmtId="0" fontId="25" fillId="10" borderId="0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44" fillId="0" borderId="44" xfId="11" applyFont="1" applyFill="1" applyBorder="1" applyAlignment="1">
      <alignment horizontal="center" shrinkToFit="1"/>
    </xf>
    <xf numFmtId="3" fontId="35" fillId="7" borderId="6" xfId="11" applyNumberFormat="1" applyFont="1" applyFill="1" applyBorder="1" applyAlignment="1">
      <alignment shrinkToFit="1"/>
    </xf>
    <xf numFmtId="3" fontId="27" fillId="7" borderId="22" xfId="11" applyNumberFormat="1" applyFont="1" applyFill="1" applyBorder="1" applyAlignment="1">
      <alignment shrinkToFit="1"/>
    </xf>
    <xf numFmtId="10" fontId="27" fillId="0" borderId="43" xfId="11" applyNumberFormat="1" applyFont="1" applyFill="1" applyBorder="1" applyAlignment="1">
      <alignment shrinkToFit="1"/>
    </xf>
    <xf numFmtId="10" fontId="27" fillId="0" borderId="46" xfId="11" applyNumberFormat="1" applyFont="1" applyFill="1" applyBorder="1" applyAlignment="1">
      <alignment shrinkToFit="1"/>
    </xf>
    <xf numFmtId="10" fontId="27" fillId="0" borderId="47" xfId="11" applyNumberFormat="1" applyFont="1" applyFill="1" applyBorder="1" applyAlignment="1">
      <alignment shrinkToFit="1"/>
    </xf>
    <xf numFmtId="0" fontId="27" fillId="0" borderId="22" xfId="0" applyFont="1" applyBorder="1" applyAlignment="1">
      <alignment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10" fontId="25" fillId="11" borderId="22" xfId="0" applyNumberFormat="1" applyFont="1" applyFill="1" applyBorder="1" applyAlignment="1"/>
    <xf numFmtId="177" fontId="73" fillId="11" borderId="0" xfId="0" applyNumberFormat="1" applyFont="1" applyFill="1" applyAlignment="1"/>
    <xf numFmtId="177" fontId="73" fillId="0" borderId="0" xfId="0" applyNumberFormat="1" applyFont="1" applyFill="1" applyAlignment="1"/>
    <xf numFmtId="10" fontId="78" fillId="11" borderId="22" xfId="0" applyNumberFormat="1" applyFont="1" applyFill="1" applyBorder="1" applyAlignment="1"/>
    <xf numFmtId="177" fontId="78" fillId="0" borderId="0" xfId="0" applyNumberFormat="1" applyFont="1" applyFill="1" applyAlignment="1"/>
    <xf numFmtId="10" fontId="78" fillId="0" borderId="0" xfId="0" applyNumberFormat="1" applyFont="1" applyFill="1" applyAlignment="1"/>
    <xf numFmtId="3" fontId="78" fillId="0" borderId="0" xfId="0" applyNumberFormat="1" applyFont="1" applyFill="1" applyAlignment="1"/>
    <xf numFmtId="186" fontId="72" fillId="11" borderId="22" xfId="0" applyNumberFormat="1" applyFont="1" applyFill="1" applyBorder="1" applyAlignment="1"/>
    <xf numFmtId="3" fontId="27" fillId="12" borderId="22" xfId="0" applyNumberFormat="1" applyFont="1" applyFill="1" applyBorder="1" applyAlignment="1">
      <alignment shrinkToFit="1"/>
    </xf>
    <xf numFmtId="10" fontId="27" fillId="12" borderId="22" xfId="0" applyNumberFormat="1" applyFont="1" applyFill="1" applyBorder="1" applyAlignment="1">
      <alignment shrinkToFit="1"/>
    </xf>
    <xf numFmtId="183" fontId="27" fillId="0" borderId="22" xfId="0" applyNumberFormat="1" applyFont="1" applyFill="1" applyBorder="1" applyAlignment="1">
      <alignment shrinkToFit="1"/>
    </xf>
    <xf numFmtId="3" fontId="27" fillId="0" borderId="22" xfId="0" applyNumberFormat="1" applyFont="1" applyFill="1" applyBorder="1" applyAlignment="1">
      <alignment horizontal="right" shrinkToFit="1"/>
    </xf>
    <xf numFmtId="0" fontId="0" fillId="0" borderId="22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0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0" borderId="22" xfId="0" applyFont="1" applyFill="1" applyBorder="1" applyAlignment="1">
      <alignment horizontal="center" vertical="center"/>
    </xf>
    <xf numFmtId="0" fontId="32" fillId="0" borderId="22" xfId="0" applyFont="1" applyFill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4" fillId="0" borderId="0" xfId="0" applyFont="1" applyBorder="1" applyAlignment="1">
      <alignment horizontal="left" vertical="center"/>
    </xf>
    <xf numFmtId="0" fontId="34" fillId="0" borderId="26" xfId="0" applyFont="1" applyBorder="1" applyAlignment="1">
      <alignment horizontal="left" vertical="center"/>
    </xf>
    <xf numFmtId="4" fontId="27" fillId="12" borderId="22" xfId="0" applyNumberFormat="1" applyFont="1" applyFill="1" applyBorder="1" applyAlignment="1">
      <alignment horizontal="right" shrinkToFit="1"/>
    </xf>
    <xf numFmtId="189" fontId="27" fillId="12" borderId="22" xfId="0" applyNumberFormat="1" applyFont="1" applyFill="1" applyBorder="1" applyAlignment="1">
      <alignment shrinkToFit="1"/>
    </xf>
    <xf numFmtId="185" fontId="27" fillId="12" borderId="22" xfId="0" applyNumberFormat="1" applyFont="1" applyFill="1" applyBorder="1" applyAlignment="1">
      <alignment shrinkToFit="1"/>
    </xf>
    <xf numFmtId="183" fontId="6" fillId="0" borderId="0" xfId="0" applyNumberFormat="1" applyFont="1" applyBorder="1" applyAlignment="1">
      <alignment horizontal="right" vertical="center" shrinkToFit="1"/>
    </xf>
    <xf numFmtId="0" fontId="32" fillId="0" borderId="22" xfId="0" applyFont="1" applyFill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2" fillId="0" borderId="22" xfId="0" applyFont="1" applyFill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91" fontId="25" fillId="0" borderId="0" xfId="0" applyNumberFormat="1" applyFont="1" applyFill="1" applyAlignment="1">
      <alignment shrinkToFit="1"/>
    </xf>
    <xf numFmtId="187" fontId="25" fillId="0" borderId="0" xfId="0" applyNumberFormat="1" applyFont="1" applyFill="1" applyAlignment="1"/>
    <xf numFmtId="189" fontId="25" fillId="0" borderId="0" xfId="0" applyNumberFormat="1" applyFont="1" applyFill="1" applyAlignment="1"/>
    <xf numFmtId="179" fontId="63" fillId="0" borderId="0" xfId="0" applyNumberFormat="1" applyFont="1" applyFill="1" applyAlignment="1">
      <alignment horizontal="center"/>
    </xf>
    <xf numFmtId="176" fontId="45" fillId="0" borderId="0" xfId="0" applyNumberFormat="1" applyFont="1" applyFill="1" applyAlignment="1">
      <alignment horizontal="center" vertical="center"/>
    </xf>
    <xf numFmtId="177" fontId="25" fillId="0" borderId="0" xfId="0" applyNumberFormat="1" applyFont="1" applyFill="1" applyAlignment="1">
      <alignment horizontal="right"/>
    </xf>
    <xf numFmtId="183" fontId="27" fillId="12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4" fillId="13" borderId="37" xfId="0" applyFont="1" applyFill="1" applyBorder="1" applyAlignment="1">
      <alignment horizontal="left" vertical="center"/>
    </xf>
    <xf numFmtId="0" fontId="34" fillId="13" borderId="32" xfId="0" applyFont="1" applyFill="1" applyBorder="1" applyAlignment="1">
      <alignment horizontal="left" vertical="center"/>
    </xf>
    <xf numFmtId="0" fontId="34" fillId="13" borderId="26" xfId="0" applyFont="1" applyFill="1" applyBorder="1" applyAlignment="1">
      <alignment horizontal="left" vertical="center"/>
    </xf>
    <xf numFmtId="0" fontId="34" fillId="13" borderId="36" xfId="0" applyFont="1" applyFill="1" applyBorder="1" applyAlignment="1">
      <alignment horizontal="left" vertical="center"/>
    </xf>
    <xf numFmtId="1" fontId="32" fillId="0" borderId="22" xfId="0" applyNumberFormat="1" applyFont="1" applyFill="1" applyBorder="1" applyAlignment="1">
      <alignment horizontal="center" vertical="center"/>
    </xf>
    <xf numFmtId="0" fontId="32" fillId="5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77" fontId="25" fillId="0" borderId="0" xfId="0" applyNumberFormat="1" applyFont="1" applyFill="1" applyBorder="1" applyAlignment="1"/>
    <xf numFmtId="10" fontId="25" fillId="0" borderId="0" xfId="0" applyNumberFormat="1" applyFont="1" applyFill="1" applyAlignment="1">
      <alignment vertical="center"/>
    </xf>
    <xf numFmtId="187" fontId="25" fillId="0" borderId="0" xfId="0" applyNumberFormat="1" applyFont="1" applyFill="1" applyAlignment="1">
      <alignment vertical="center"/>
    </xf>
    <xf numFmtId="177" fontId="25" fillId="0" borderId="0" xfId="0" applyNumberFormat="1" applyFont="1" applyFill="1" applyAlignment="1">
      <alignment vertical="center"/>
    </xf>
    <xf numFmtId="0" fontId="27" fillId="2" borderId="22" xfId="0" applyFont="1" applyFill="1" applyBorder="1" applyAlignment="1">
      <alignment horizontal="center" shrinkToFit="1"/>
    </xf>
    <xf numFmtId="0" fontId="62" fillId="2" borderId="1" xfId="0" applyFont="1" applyFill="1" applyBorder="1" applyAlignment="1">
      <alignment horizontal="center" vertical="center" shrinkToFit="1"/>
    </xf>
    <xf numFmtId="0" fontId="25" fillId="0" borderId="0" xfId="11" applyFont="1" applyAlignment="1">
      <alignment horizontal="center" vertical="center" shrinkToFit="1"/>
    </xf>
    <xf numFmtId="0" fontId="25" fillId="0" borderId="0" xfId="11" applyFont="1" applyAlignment="1">
      <alignment wrapText="1" shrinkToFit="1"/>
    </xf>
    <xf numFmtId="0" fontId="25" fillId="0" borderId="0" xfId="11" applyFont="1" applyAlignment="1">
      <alignment vertical="center" shrinkToFit="1"/>
    </xf>
    <xf numFmtId="0" fontId="23" fillId="0" borderId="0" xfId="11" applyFont="1" applyAlignment="1">
      <alignment horizontal="center" vertical="center" shrinkToFit="1"/>
    </xf>
    <xf numFmtId="0" fontId="23" fillId="0" borderId="0" xfId="11" applyFont="1" applyAlignment="1">
      <alignment shrinkToFit="1"/>
    </xf>
    <xf numFmtId="0" fontId="23" fillId="0" borderId="0" xfId="11" applyFont="1" applyAlignment="1">
      <alignment wrapText="1" shrinkToFit="1"/>
    </xf>
    <xf numFmtId="0" fontId="23" fillId="0" borderId="0" xfId="11" applyFont="1" applyAlignment="1">
      <alignment vertical="center" shrinkToFit="1"/>
    </xf>
    <xf numFmtId="0" fontId="28" fillId="0" borderId="0" xfId="11" applyFont="1"/>
    <xf numFmtId="0" fontId="28" fillId="0" borderId="0" xfId="11" applyFont="1" applyAlignment="1">
      <alignment vertical="center"/>
    </xf>
    <xf numFmtId="0" fontId="28" fillId="0" borderId="22" xfId="11" applyFont="1" applyBorder="1" applyAlignment="1">
      <alignment horizontal="center" vertical="center"/>
    </xf>
    <xf numFmtId="192" fontId="35" fillId="8" borderId="22" xfId="11" applyNumberFormat="1" applyFont="1" applyFill="1" applyBorder="1" applyAlignment="1">
      <alignment horizontal="center" vertical="center"/>
    </xf>
    <xf numFmtId="0" fontId="35" fillId="0" borderId="22" xfId="11" applyFont="1" applyBorder="1" applyAlignment="1">
      <alignment horizontal="center" vertical="center"/>
    </xf>
    <xf numFmtId="0" fontId="28" fillId="0" borderId="41" xfId="11" applyFont="1" applyBorder="1" applyAlignment="1">
      <alignment horizontal="center" vertical="center"/>
    </xf>
    <xf numFmtId="0" fontId="28" fillId="0" borderId="0" xfId="11" applyFont="1" applyAlignment="1">
      <alignment horizontal="left" vertical="center"/>
    </xf>
    <xf numFmtId="0" fontId="3" fillId="0" borderId="0" xfId="15">
      <alignment vertical="center"/>
    </xf>
    <xf numFmtId="0" fontId="55" fillId="0" borderId="0" xfId="0" applyFont="1" applyFill="1" applyAlignment="1">
      <alignment vertical="center"/>
    </xf>
    <xf numFmtId="0" fontId="55" fillId="0" borderId="0" xfId="0" applyFont="1" applyFill="1" applyAlignment="1"/>
    <xf numFmtId="177" fontId="55" fillId="0" borderId="0" xfId="0" applyNumberFormat="1" applyFont="1" applyFill="1" applyAlignment="1"/>
    <xf numFmtId="177" fontId="55" fillId="0" borderId="0" xfId="0" applyNumberFormat="1" applyFont="1" applyFill="1" applyAlignment="1">
      <alignment horizontal="right"/>
    </xf>
    <xf numFmtId="177" fontId="55" fillId="9" borderId="22" xfId="0" applyNumberFormat="1" applyFont="1" applyFill="1" applyBorder="1" applyAlignment="1"/>
    <xf numFmtId="10" fontId="55" fillId="0" borderId="22" xfId="0" applyNumberFormat="1" applyFont="1" applyFill="1" applyBorder="1" applyAlignment="1"/>
    <xf numFmtId="177" fontId="55" fillId="0" borderId="22" xfId="0" applyNumberFormat="1" applyFont="1" applyFill="1" applyBorder="1" applyAlignment="1"/>
    <xf numFmtId="0" fontId="55" fillId="0" borderId="0" xfId="0" applyFont="1" applyAlignment="1"/>
    <xf numFmtId="0" fontId="25" fillId="0" borderId="37" xfId="0" applyFont="1" applyFill="1" applyBorder="1" applyAlignment="1">
      <alignment vertical="center"/>
    </xf>
    <xf numFmtId="177" fontId="25" fillId="0" borderId="34" xfId="0" applyNumberFormat="1" applyFont="1" applyFill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0" fontId="32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32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79" fontId="55" fillId="0" borderId="0" xfId="0" applyNumberFormat="1" applyFont="1" applyFill="1" applyAlignment="1">
      <alignment horizontal="center"/>
    </xf>
    <xf numFmtId="0" fontId="0" fillId="0" borderId="27" xfId="0" applyBorder="1" applyAlignment="1">
      <alignment horizontal="left" vertical="center"/>
    </xf>
    <xf numFmtId="1" fontId="27" fillId="0" borderId="22" xfId="0" applyNumberFormat="1" applyFont="1" applyBorder="1" applyAlignment="1">
      <alignment shrinkToFit="1"/>
    </xf>
    <xf numFmtId="0" fontId="32" fillId="0" borderId="27" xfId="0" applyFont="1" applyBorder="1" applyAlignment="1">
      <alignment vertical="center"/>
    </xf>
    <xf numFmtId="0" fontId="32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32" fillId="0" borderId="27" xfId="0" applyFont="1" applyBorder="1" applyAlignment="1">
      <alignment horizontal="left" vertical="center"/>
    </xf>
    <xf numFmtId="0" fontId="25" fillId="18" borderId="0" xfId="0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4" borderId="22" xfId="0" applyFont="1" applyFill="1" applyBorder="1" applyAlignment="1">
      <alignment horizontal="center" vertical="center"/>
    </xf>
    <xf numFmtId="0" fontId="27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3" fillId="0" borderId="27" xfId="0" applyFont="1" applyBorder="1" applyAlignment="1">
      <alignment vertical="center"/>
    </xf>
    <xf numFmtId="0" fontId="0" fillId="0" borderId="22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99" fillId="0" borderId="22" xfId="0" applyFont="1" applyBorder="1" applyAlignment="1">
      <alignment horizontal="center" vertical="center" shrinkToFit="1"/>
    </xf>
    <xf numFmtId="0" fontId="32" fillId="0" borderId="22" xfId="0" applyFont="1" applyFill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2" fillId="4" borderId="22" xfId="0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8" fillId="0" borderId="0" xfId="11" applyFont="1" applyAlignment="1">
      <alignment horizontal="center" vertical="center"/>
    </xf>
    <xf numFmtId="0" fontId="35" fillId="5" borderId="23" xfId="5" applyFont="1" applyFill="1" applyBorder="1" applyAlignment="1">
      <alignment horizontal="center" vertical="center"/>
    </xf>
    <xf numFmtId="0" fontId="45" fillId="0" borderId="51" xfId="11" applyFont="1" applyBorder="1" applyAlignment="1">
      <alignment shrinkToFit="1"/>
    </xf>
    <xf numFmtId="184" fontId="63" fillId="14" borderId="52" xfId="11" applyNumberFormat="1" applyFont="1" applyFill="1" applyBorder="1" applyAlignment="1">
      <alignment shrinkToFit="1"/>
    </xf>
    <xf numFmtId="0" fontId="25" fillId="0" borderId="53" xfId="11" applyFont="1" applyBorder="1" applyAlignment="1">
      <alignment shrinkToFit="1"/>
    </xf>
    <xf numFmtId="0" fontId="27" fillId="0" borderId="42" xfId="11" applyFont="1" applyFill="1" applyBorder="1" applyAlignment="1">
      <alignment horizontal="center" vertical="center" shrinkToFit="1"/>
    </xf>
    <xf numFmtId="0" fontId="27" fillId="0" borderId="25" xfId="11" applyFont="1" applyFill="1" applyBorder="1" applyAlignment="1">
      <alignment horizontal="center" vertical="center" shrinkToFit="1"/>
    </xf>
    <xf numFmtId="0" fontId="27" fillId="0" borderId="27" xfId="11" applyFont="1" applyFill="1" applyBorder="1" applyAlignment="1">
      <alignment horizontal="center" vertical="center" shrinkToFit="1"/>
    </xf>
    <xf numFmtId="10" fontId="35" fillId="0" borderId="60" xfId="11" applyNumberFormat="1" applyFont="1" applyFill="1" applyBorder="1" applyAlignment="1">
      <alignment shrinkToFit="1"/>
    </xf>
    <xf numFmtId="0" fontId="44" fillId="0" borderId="61" xfId="11" applyFont="1" applyFill="1" applyBorder="1" applyAlignment="1">
      <alignment horizontal="center" shrinkToFit="1"/>
    </xf>
    <xf numFmtId="3" fontId="27" fillId="7" borderId="42" xfId="11" applyNumberFormat="1" applyFont="1" applyFill="1" applyBorder="1" applyAlignment="1">
      <alignment shrinkToFit="1"/>
    </xf>
    <xf numFmtId="3" fontId="27" fillId="7" borderId="25" xfId="11" applyNumberFormat="1" applyFont="1" applyFill="1" applyBorder="1" applyAlignment="1">
      <alignment shrinkToFit="1"/>
    </xf>
    <xf numFmtId="10" fontId="27" fillId="0" borderId="27" xfId="11" applyNumberFormat="1" applyFont="1" applyFill="1" applyBorder="1" applyAlignment="1">
      <alignment shrinkToFit="1"/>
    </xf>
    <xf numFmtId="0" fontId="44" fillId="0" borderId="62" xfId="11" applyFont="1" applyFill="1" applyBorder="1" applyAlignment="1">
      <alignment horizontal="center" shrinkToFit="1"/>
    </xf>
    <xf numFmtId="3" fontId="35" fillId="7" borderId="45" xfId="11" applyNumberFormat="1" applyFont="1" applyFill="1" applyBorder="1" applyAlignment="1">
      <alignment shrinkToFit="1"/>
    </xf>
    <xf numFmtId="10" fontId="35" fillId="0" borderId="63" xfId="11" applyNumberFormat="1" applyFont="1" applyFill="1" applyBorder="1" applyAlignment="1">
      <alignment shrinkToFit="1"/>
    </xf>
    <xf numFmtId="0" fontId="44" fillId="0" borderId="64" xfId="11" applyFont="1" applyFill="1" applyBorder="1" applyAlignment="1">
      <alignment horizontal="center" shrinkToFit="1"/>
    </xf>
    <xf numFmtId="3" fontId="27" fillId="7" borderId="65" xfId="11" applyNumberFormat="1" applyFont="1" applyFill="1" applyBorder="1" applyAlignment="1">
      <alignment shrinkToFit="1"/>
    </xf>
    <xf numFmtId="10" fontId="27" fillId="0" borderId="66" xfId="11" applyNumberFormat="1" applyFont="1" applyFill="1" applyBorder="1" applyAlignment="1">
      <alignment shrinkToFit="1"/>
    </xf>
    <xf numFmtId="1" fontId="6" fillId="3" borderId="1" xfId="0" applyNumberFormat="1" applyFont="1" applyFill="1" applyBorder="1" applyAlignment="1">
      <alignment shrinkToFit="1"/>
    </xf>
    <xf numFmtId="1" fontId="27" fillId="3" borderId="18" xfId="0" applyNumberFormat="1" applyFont="1" applyFill="1" applyBorder="1" applyAlignment="1">
      <alignment shrinkToFit="1"/>
    </xf>
    <xf numFmtId="0" fontId="82" fillId="5" borderId="22" xfId="577" applyFont="1" applyFill="1" applyBorder="1" applyAlignment="1">
      <alignment horizontal="center" vertical="center" wrapText="1"/>
    </xf>
    <xf numFmtId="0" fontId="35" fillId="5" borderId="22" xfId="577" applyFont="1" applyFill="1" applyBorder="1" applyAlignment="1">
      <alignment horizontal="center" vertical="center" wrapText="1"/>
    </xf>
    <xf numFmtId="0" fontId="28" fillId="8" borderId="22" xfId="11" applyFont="1" applyFill="1" applyBorder="1" applyAlignment="1">
      <alignment horizontal="left" vertical="center"/>
    </xf>
    <xf numFmtId="197" fontId="35" fillId="4" borderId="22" xfId="11" applyNumberFormat="1" applyFont="1" applyFill="1" applyBorder="1" applyAlignment="1">
      <alignment horizontal="center" vertical="center"/>
    </xf>
    <xf numFmtId="198" fontId="35" fillId="8" borderId="22" xfId="11" applyNumberFormat="1" applyFont="1" applyFill="1" applyBorder="1" applyAlignment="1">
      <alignment horizontal="center" vertical="center"/>
    </xf>
    <xf numFmtId="198" fontId="35" fillId="8" borderId="22" xfId="13" applyNumberFormat="1" applyFont="1" applyFill="1" applyBorder="1" applyAlignment="1">
      <alignment horizontal="center" vertical="center"/>
    </xf>
    <xf numFmtId="185" fontId="35" fillId="0" borderId="22" xfId="13" applyNumberFormat="1" applyFont="1" applyFill="1" applyBorder="1" applyAlignment="1">
      <alignment horizontal="center" vertical="center"/>
    </xf>
    <xf numFmtId="198" fontId="35" fillId="0" borderId="22" xfId="11" applyNumberFormat="1" applyFont="1" applyFill="1" applyBorder="1" applyAlignment="1">
      <alignment horizontal="center" vertical="center"/>
    </xf>
    <xf numFmtId="197" fontId="35" fillId="0" borderId="22" xfId="11" applyNumberFormat="1" applyFont="1" applyFill="1" applyBorder="1" applyAlignment="1">
      <alignment horizontal="center" vertical="center"/>
    </xf>
    <xf numFmtId="0" fontId="35" fillId="0" borderId="22" xfId="11" applyFont="1" applyBorder="1" applyAlignment="1">
      <alignment horizontal="left" vertical="center"/>
    </xf>
    <xf numFmtId="0" fontId="0" fillId="0" borderId="0" xfId="0"/>
    <xf numFmtId="1" fontId="28" fillId="0" borderId="67" xfId="11" applyNumberFormat="1" applyFont="1" applyBorder="1" applyAlignment="1">
      <alignment horizontal="center" vertical="center"/>
    </xf>
    <xf numFmtId="0" fontId="0" fillId="0" borderId="0" xfId="5" applyFont="1"/>
    <xf numFmtId="1" fontId="28" fillId="0" borderId="22" xfId="11" applyNumberFormat="1" applyFont="1" applyBorder="1" applyAlignment="1">
      <alignment horizontal="center" vertical="center"/>
    </xf>
    <xf numFmtId="1" fontId="66" fillId="0" borderId="68" xfId="11" applyNumberFormat="1" applyFont="1" applyBorder="1" applyAlignment="1">
      <alignment horizontal="center" vertical="center"/>
    </xf>
    <xf numFmtId="9" fontId="28" fillId="0" borderId="68" xfId="13" applyFont="1" applyBorder="1" applyAlignment="1">
      <alignment horizontal="center" vertical="center"/>
    </xf>
    <xf numFmtId="197" fontId="35" fillId="0" borderId="22" xfId="11" applyNumberFormat="1" applyFont="1" applyBorder="1" applyAlignment="1">
      <alignment horizontal="center" vertical="center"/>
    </xf>
    <xf numFmtId="197" fontId="35" fillId="0" borderId="22" xfId="13" applyNumberFormat="1" applyFont="1" applyFill="1" applyBorder="1" applyAlignment="1">
      <alignment horizontal="center" vertical="center"/>
    </xf>
    <xf numFmtId="0" fontId="104" fillId="0" borderId="23" xfId="578" applyFont="1" applyFill="1" applyBorder="1" applyAlignment="1">
      <alignment horizontal="center" vertical="center"/>
    </xf>
    <xf numFmtId="194" fontId="104" fillId="0" borderId="23" xfId="578" applyNumberFormat="1" applyFont="1" applyFill="1" applyBorder="1" applyAlignment="1">
      <alignment horizontal="center" vertical="center"/>
    </xf>
    <xf numFmtId="189" fontId="104" fillId="0" borderId="23" xfId="578" applyNumberFormat="1" applyFont="1" applyFill="1" applyBorder="1" applyAlignment="1">
      <alignment horizontal="center" vertical="center"/>
    </xf>
    <xf numFmtId="10" fontId="104" fillId="0" borderId="23" xfId="3" applyNumberFormat="1" applyFont="1" applyFill="1" applyBorder="1" applyAlignment="1">
      <alignment horizontal="center" vertical="center"/>
    </xf>
    <xf numFmtId="0" fontId="106" fillId="0" borderId="23" xfId="578" applyFont="1" applyFill="1" applyBorder="1" applyAlignment="1">
      <alignment horizontal="center" vertical="center" wrapText="1"/>
    </xf>
    <xf numFmtId="0" fontId="109" fillId="0" borderId="23" xfId="11" applyFont="1" applyFill="1" applyBorder="1" applyAlignment="1">
      <alignment horizontal="center" vertical="center"/>
    </xf>
    <xf numFmtId="0" fontId="110" fillId="0" borderId="23" xfId="11" applyFont="1" applyFill="1" applyBorder="1" applyAlignment="1">
      <alignment horizontal="center" vertical="center"/>
    </xf>
    <xf numFmtId="193" fontId="111" fillId="5" borderId="22" xfId="5" applyNumberFormat="1" applyFont="1" applyFill="1" applyBorder="1" applyAlignment="1">
      <alignment horizontal="center" vertical="center"/>
    </xf>
    <xf numFmtId="194" fontId="112" fillId="8" borderId="22" xfId="577" applyNumberFormat="1" applyFont="1" applyFill="1" applyBorder="1" applyAlignment="1">
      <alignment horizontal="center" vertical="center"/>
    </xf>
    <xf numFmtId="194" fontId="112" fillId="8" borderId="22" xfId="579" applyNumberFormat="1" applyFont="1" applyFill="1" applyBorder="1" applyAlignment="1">
      <alignment horizontal="center" vertical="center"/>
    </xf>
    <xf numFmtId="189" fontId="112" fillId="0" borderId="22" xfId="577" applyNumberFormat="1" applyFont="1" applyBorder="1" applyAlignment="1">
      <alignment horizontal="center" vertical="center"/>
    </xf>
    <xf numFmtId="10" fontId="112" fillId="0" borderId="22" xfId="3" applyNumberFormat="1" applyFont="1" applyBorder="1" applyAlignment="1">
      <alignment horizontal="center" vertical="center"/>
    </xf>
    <xf numFmtId="193" fontId="111" fillId="15" borderId="22" xfId="5" applyNumberFormat="1" applyFont="1" applyFill="1" applyBorder="1" applyAlignment="1">
      <alignment horizontal="center" vertical="center"/>
    </xf>
    <xf numFmtId="0" fontId="113" fillId="0" borderId="0" xfId="578" applyFont="1">
      <alignment vertical="center"/>
    </xf>
    <xf numFmtId="193" fontId="114" fillId="0" borderId="22" xfId="5" applyNumberFormat="1" applyFont="1" applyBorder="1" applyAlignment="1">
      <alignment horizontal="center" vertical="center"/>
    </xf>
    <xf numFmtId="0" fontId="1" fillId="0" borderId="0" xfId="578">
      <alignment vertical="center"/>
    </xf>
    <xf numFmtId="0" fontId="25" fillId="0" borderId="69" xfId="11" applyFont="1" applyBorder="1" applyAlignment="1">
      <alignment shrinkToFit="1"/>
    </xf>
    <xf numFmtId="0" fontId="25" fillId="0" borderId="69" xfId="11" applyFont="1" applyFill="1" applyBorder="1" applyAlignment="1">
      <alignment shrinkToFit="1"/>
    </xf>
    <xf numFmtId="0" fontId="25" fillId="0" borderId="0" xfId="1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26" fillId="0" borderId="22" xfId="0" applyNumberFormat="1" applyFont="1" applyBorder="1" applyAlignment="1">
      <alignment shrinkToFit="1"/>
    </xf>
    <xf numFmtId="0" fontId="32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2" fillId="4" borderId="22" xfId="0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116" fillId="0" borderId="22" xfId="11" applyFont="1" applyBorder="1" applyAlignment="1">
      <alignment horizontal="center" vertical="center"/>
    </xf>
    <xf numFmtId="0" fontId="117" fillId="0" borderId="22" xfId="11" applyFont="1" applyBorder="1" applyAlignment="1">
      <alignment horizontal="center" vertical="center"/>
    </xf>
    <xf numFmtId="0" fontId="63" fillId="0" borderId="0" xfId="0" applyFont="1" applyFill="1" applyAlignment="1">
      <alignment vertical="center"/>
    </xf>
    <xf numFmtId="187" fontId="63" fillId="9" borderId="0" xfId="0" applyNumberFormat="1" applyFont="1" applyFill="1" applyAlignment="1"/>
    <xf numFmtId="187" fontId="63" fillId="0" borderId="0" xfId="0" applyNumberFormat="1" applyFont="1" applyFill="1" applyAlignment="1"/>
    <xf numFmtId="187" fontId="63" fillId="0" borderId="0" xfId="0" applyNumberFormat="1" applyFont="1" applyFill="1" applyAlignment="1">
      <alignment vertical="center"/>
    </xf>
    <xf numFmtId="177" fontId="63" fillId="9" borderId="0" xfId="0" applyNumberFormat="1" applyFont="1" applyFill="1" applyAlignment="1"/>
    <xf numFmtId="10" fontId="63" fillId="0" borderId="0" xfId="0" applyNumberFormat="1" applyFont="1" applyFill="1" applyAlignment="1">
      <alignment vertical="center"/>
    </xf>
    <xf numFmtId="0" fontId="63" fillId="0" borderId="0" xfId="0" applyFont="1" applyFill="1" applyAlignment="1"/>
    <xf numFmtId="176" fontId="63" fillId="0" borderId="0" xfId="0" applyNumberFormat="1" applyFont="1" applyFill="1" applyAlignment="1"/>
    <xf numFmtId="187" fontId="55" fillId="9" borderId="0" xfId="0" applyNumberFormat="1" applyFont="1" applyFill="1" applyAlignment="1"/>
    <xf numFmtId="187" fontId="55" fillId="0" borderId="0" xfId="0" applyNumberFormat="1" applyFont="1" applyFill="1" applyAlignment="1"/>
    <xf numFmtId="187" fontId="55" fillId="0" borderId="0" xfId="0" applyNumberFormat="1" applyFont="1" applyFill="1" applyAlignment="1">
      <alignment vertical="center"/>
    </xf>
    <xf numFmtId="177" fontId="55" fillId="9" borderId="0" xfId="0" applyNumberFormat="1" applyFont="1" applyFill="1" applyAlignment="1"/>
    <xf numFmtId="177" fontId="55" fillId="0" borderId="0" xfId="0" applyNumberFormat="1" applyFont="1" applyFill="1" applyAlignment="1">
      <alignment vertical="center"/>
    </xf>
    <xf numFmtId="10" fontId="55" fillId="0" borderId="0" xfId="0" applyNumberFormat="1" applyFont="1" applyFill="1" applyAlignment="1"/>
    <xf numFmtId="10" fontId="55" fillId="0" borderId="0" xfId="0" applyNumberFormat="1" applyFont="1" applyFill="1" applyAlignment="1">
      <alignment vertical="center"/>
    </xf>
    <xf numFmtId="176" fontId="55" fillId="0" borderId="0" xfId="0" applyNumberFormat="1" applyFont="1" applyFill="1" applyAlignment="1"/>
    <xf numFmtId="180" fontId="55" fillId="9" borderId="0" xfId="0" applyNumberFormat="1" applyFont="1" applyFill="1" applyAlignment="1"/>
    <xf numFmtId="180" fontId="55" fillId="0" borderId="0" xfId="0" applyNumberFormat="1" applyFont="1" applyFill="1" applyAlignment="1"/>
    <xf numFmtId="185" fontId="55" fillId="0" borderId="0" xfId="0" applyNumberFormat="1" applyFont="1" applyFill="1" applyAlignment="1"/>
    <xf numFmtId="189" fontId="55" fillId="9" borderId="0" xfId="0" applyNumberFormat="1" applyFont="1" applyFill="1" applyAlignment="1"/>
    <xf numFmtId="189" fontId="55" fillId="0" borderId="0" xfId="0" applyNumberFormat="1" applyFont="1" applyFill="1" applyAlignment="1"/>
    <xf numFmtId="185" fontId="55" fillId="9" borderId="0" xfId="0" applyNumberFormat="1" applyFont="1" applyFill="1" applyAlignment="1"/>
    <xf numFmtId="180" fontId="55" fillId="0" borderId="0" xfId="0" applyNumberFormat="1" applyFont="1" applyAlignment="1"/>
    <xf numFmtId="10" fontId="55" fillId="0" borderId="0" xfId="0" applyNumberFormat="1" applyFont="1" applyAlignment="1"/>
    <xf numFmtId="0" fontId="98" fillId="0" borderId="0" xfId="0" applyFont="1" applyFill="1" applyAlignment="1">
      <alignment vertical="center"/>
    </xf>
    <xf numFmtId="185" fontId="63" fillId="0" borderId="0" xfId="0" applyNumberFormat="1" applyFont="1" applyFill="1" applyAlignment="1"/>
    <xf numFmtId="189" fontId="63" fillId="0" borderId="0" xfId="0" applyNumberFormat="1" applyFont="1" applyFill="1" applyAlignment="1"/>
    <xf numFmtId="0" fontId="63" fillId="0" borderId="0" xfId="0" applyFont="1" applyAlignment="1"/>
    <xf numFmtId="186" fontId="63" fillId="0" borderId="0" xfId="0" applyNumberFormat="1" applyFont="1" applyFill="1" applyAlignment="1"/>
    <xf numFmtId="186" fontId="118" fillId="0" borderId="34" xfId="0" applyNumberFormat="1" applyFont="1" applyFill="1" applyBorder="1" applyAlignment="1">
      <alignment vertical="center"/>
    </xf>
    <xf numFmtId="182" fontId="63" fillId="0" borderId="0" xfId="0" applyNumberFormat="1" applyFont="1" applyFill="1" applyAlignment="1"/>
    <xf numFmtId="186" fontId="119" fillId="9" borderId="22" xfId="0" applyNumberFormat="1" applyFont="1" applyFill="1" applyBorder="1" applyAlignment="1"/>
    <xf numFmtId="186" fontId="119" fillId="0" borderId="22" xfId="0" applyNumberFormat="1" applyFont="1" applyFill="1" applyBorder="1" applyAlignment="1"/>
    <xf numFmtId="177" fontId="55" fillId="0" borderId="34" xfId="0" applyNumberFormat="1" applyFont="1" applyFill="1" applyBorder="1" applyAlignment="1">
      <alignment vertical="center"/>
    </xf>
    <xf numFmtId="0" fontId="0" fillId="0" borderId="0" xfId="0" applyFont="1" applyAlignment="1">
      <alignment shrinkToFit="1"/>
    </xf>
    <xf numFmtId="0" fontId="27" fillId="0" borderId="22" xfId="11" applyFont="1" applyFill="1" applyBorder="1" applyAlignment="1">
      <alignment horizontal="center" vertical="center" shrinkToFit="1"/>
    </xf>
    <xf numFmtId="0" fontId="27" fillId="0" borderId="43" xfId="11" applyFont="1" applyFill="1" applyBorder="1" applyAlignment="1">
      <alignment horizontal="center" vertical="center" shrinkToFit="1"/>
    </xf>
    <xf numFmtId="0" fontId="27" fillId="2" borderId="4" xfId="0" applyFont="1" applyFill="1" applyBorder="1" applyAlignment="1">
      <alignment horizontal="center" vertical="center" shrinkToFit="1"/>
    </xf>
    <xf numFmtId="0" fontId="27" fillId="2" borderId="2" xfId="0" applyFont="1" applyFill="1" applyBorder="1" applyAlignment="1">
      <alignment horizontal="center" vertical="center" shrinkToFit="1"/>
    </xf>
    <xf numFmtId="0" fontId="27" fillId="2" borderId="3" xfId="0" applyFont="1" applyFill="1" applyBorder="1" applyAlignment="1">
      <alignment horizontal="center" vertical="center" shrinkToFit="1"/>
    </xf>
    <xf numFmtId="2" fontId="6" fillId="0" borderId="1" xfId="0" applyNumberFormat="1" applyFont="1" applyBorder="1" applyAlignment="1">
      <alignment shrinkToFit="1"/>
    </xf>
    <xf numFmtId="194" fontId="112" fillId="8" borderId="22" xfId="4" applyNumberFormat="1" applyFont="1" applyFill="1" applyBorder="1" applyAlignment="1">
      <alignment horizontal="center" vertical="center"/>
    </xf>
    <xf numFmtId="194" fontId="112" fillId="8" borderId="22" xfId="6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27" fillId="0" borderId="22" xfId="0" applyFont="1" applyBorder="1" applyAlignment="1">
      <alignment shrinkToFit="1"/>
    </xf>
    <xf numFmtId="0" fontId="6" fillId="0" borderId="4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6" fillId="0" borderId="9" xfId="0" applyFont="1" applyBorder="1" applyAlignment="1">
      <alignment shrinkToFit="1"/>
    </xf>
    <xf numFmtId="0" fontId="8" fillId="0" borderId="8" xfId="0" applyFont="1" applyBorder="1" applyAlignment="1">
      <alignment shrinkToFit="1"/>
    </xf>
    <xf numFmtId="0" fontId="6" fillId="2" borderId="2" xfId="0" applyFont="1" applyFill="1" applyBorder="1" applyAlignment="1">
      <alignment shrinkToFit="1"/>
    </xf>
    <xf numFmtId="0" fontId="10" fillId="0" borderId="19" xfId="0" applyFont="1" applyBorder="1" applyAlignment="1">
      <alignment shrinkToFit="1"/>
    </xf>
    <xf numFmtId="0" fontId="8" fillId="0" borderId="21" xfId="0" applyFont="1" applyBorder="1" applyAlignment="1">
      <alignment shrinkToFit="1"/>
    </xf>
    <xf numFmtId="0" fontId="10" fillId="0" borderId="4" xfId="0" applyFont="1" applyBorder="1" applyAlignment="1">
      <alignment shrinkToFit="1"/>
    </xf>
    <xf numFmtId="0" fontId="8" fillId="0" borderId="2" xfId="0" applyFont="1" applyBorder="1" applyAlignment="1">
      <alignment shrinkToFit="1"/>
    </xf>
    <xf numFmtId="0" fontId="8" fillId="0" borderId="10" xfId="0" applyFont="1" applyBorder="1" applyAlignment="1">
      <alignment shrinkToFit="1"/>
    </xf>
    <xf numFmtId="0" fontId="10" fillId="0" borderId="12" xfId="0" applyFont="1" applyBorder="1" applyAlignment="1">
      <alignment shrinkToFit="1"/>
    </xf>
    <xf numFmtId="0" fontId="8" fillId="0" borderId="13" xfId="0" applyFont="1" applyBorder="1" applyAlignment="1">
      <alignment shrinkToFit="1"/>
    </xf>
    <xf numFmtId="0" fontId="8" fillId="0" borderId="11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7" fillId="0" borderId="4" xfId="0" applyFont="1" applyBorder="1" applyAlignment="1">
      <alignment shrinkToFit="1"/>
    </xf>
    <xf numFmtId="0" fontId="6" fillId="0" borderId="19" xfId="0" applyFont="1" applyBorder="1" applyAlignment="1">
      <alignment shrinkToFit="1"/>
    </xf>
    <xf numFmtId="0" fontId="8" fillId="0" borderId="20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0" borderId="9" xfId="0" applyFont="1" applyBorder="1" applyAlignment="1">
      <alignment shrinkToFit="1"/>
    </xf>
    <xf numFmtId="0" fontId="41" fillId="0" borderId="0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6" fillId="0" borderId="0" xfId="0" applyNumberFormat="1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177" fontId="26" fillId="7" borderId="0" xfId="0" applyNumberFormat="1" applyFont="1" applyFill="1" applyAlignment="1">
      <alignment horizontal="center" vertical="center"/>
    </xf>
    <xf numFmtId="178" fontId="26" fillId="6" borderId="0" xfId="0" applyNumberFormat="1" applyFont="1" applyFill="1" applyAlignment="1">
      <alignment horizontal="center" vertical="center"/>
    </xf>
    <xf numFmtId="176" fontId="26" fillId="5" borderId="0" xfId="0" applyNumberFormat="1" applyFont="1" applyFill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0" fontId="27" fillId="0" borderId="0" xfId="0" applyFont="1" applyFill="1" applyBorder="1" applyAlignment="1">
      <alignment horizontal="center" vertical="center" shrinkToFit="1"/>
    </xf>
    <xf numFmtId="178" fontId="26" fillId="0" borderId="0" xfId="0" applyNumberFormat="1" applyFont="1" applyFill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181" fontId="14" fillId="0" borderId="0" xfId="0" applyNumberFormat="1" applyFont="1" applyFill="1" applyAlignment="1">
      <alignment horizontal="center" vertical="center"/>
    </xf>
    <xf numFmtId="10" fontId="14" fillId="5" borderId="0" xfId="0" applyNumberFormat="1" applyFont="1" applyFill="1" applyAlignment="1">
      <alignment horizontal="center" vertical="center"/>
    </xf>
    <xf numFmtId="10" fontId="14" fillId="0" borderId="0" xfId="0" applyNumberFormat="1" applyFont="1" applyFill="1" applyAlignment="1">
      <alignment horizontal="center" vertical="center"/>
    </xf>
    <xf numFmtId="182" fontId="26" fillId="0" borderId="22" xfId="0" applyNumberFormat="1" applyFont="1" applyFill="1" applyBorder="1" applyAlignment="1">
      <alignment horizontal="center" vertical="center"/>
    </xf>
    <xf numFmtId="0" fontId="29" fillId="0" borderId="22" xfId="0" applyFont="1" applyFill="1" applyBorder="1" applyAlignment="1">
      <alignment horizontal="center" vertical="center"/>
    </xf>
    <xf numFmtId="0" fontId="22" fillId="0" borderId="22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28" fillId="0" borderId="22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 shrinkToFit="1"/>
    </xf>
    <xf numFmtId="182" fontId="27" fillId="0" borderId="22" xfId="0" applyNumberFormat="1" applyFont="1" applyFill="1" applyBorder="1" applyAlignment="1">
      <alignment horizontal="center" vertical="center" shrinkToFit="1"/>
    </xf>
    <xf numFmtId="0" fontId="17" fillId="0" borderId="22" xfId="0" applyFont="1" applyFill="1" applyBorder="1" applyAlignment="1">
      <alignment horizontal="center" vertical="center"/>
    </xf>
    <xf numFmtId="177" fontId="29" fillId="0" borderId="22" xfId="0" applyNumberFormat="1" applyFont="1" applyFill="1" applyBorder="1" applyAlignment="1">
      <alignment horizontal="center" vertical="center"/>
    </xf>
    <xf numFmtId="177" fontId="22" fillId="0" borderId="22" xfId="0" applyNumberFormat="1" applyFont="1" applyFill="1" applyBorder="1" applyAlignment="1">
      <alignment horizontal="center" vertical="center"/>
    </xf>
    <xf numFmtId="177" fontId="26" fillId="0" borderId="22" xfId="0" applyNumberFormat="1" applyFont="1" applyFill="1" applyBorder="1" applyAlignment="1">
      <alignment horizontal="center" vertical="center"/>
    </xf>
    <xf numFmtId="177" fontId="17" fillId="0" borderId="22" xfId="0" applyNumberFormat="1" applyFont="1" applyFill="1" applyBorder="1" applyAlignment="1">
      <alignment horizontal="center" vertical="center"/>
    </xf>
    <xf numFmtId="177" fontId="21" fillId="0" borderId="22" xfId="0" applyNumberFormat="1" applyFont="1" applyFill="1" applyBorder="1" applyAlignment="1">
      <alignment horizontal="center" vertical="center" shrinkToFit="1"/>
    </xf>
    <xf numFmtId="177" fontId="27" fillId="0" borderId="22" xfId="0" applyNumberFormat="1" applyFont="1" applyFill="1" applyBorder="1" applyAlignment="1">
      <alignment horizontal="center" vertical="center" shrinkToFit="1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2" fillId="0" borderId="22" xfId="0" applyFont="1" applyFill="1" applyBorder="1" applyAlignment="1">
      <alignment horizontal="center" vertical="center"/>
    </xf>
    <xf numFmtId="0" fontId="32" fillId="0" borderId="31" xfId="0" applyFont="1" applyFill="1" applyBorder="1" applyAlignment="1">
      <alignment horizontal="center" vertical="center"/>
    </xf>
    <xf numFmtId="0" fontId="32" fillId="0" borderId="33" xfId="0" applyFont="1" applyFill="1" applyBorder="1" applyAlignment="1">
      <alignment horizontal="center" vertical="center"/>
    </xf>
    <xf numFmtId="0" fontId="32" fillId="0" borderId="35" xfId="0" applyFont="1" applyFill="1" applyBorder="1" applyAlignment="1">
      <alignment horizontal="center" vertical="center"/>
    </xf>
    <xf numFmtId="0" fontId="32" fillId="0" borderId="27" xfId="0" applyFont="1" applyFill="1" applyBorder="1" applyAlignment="1">
      <alignment horizontal="center" vertical="center"/>
    </xf>
    <xf numFmtId="0" fontId="32" fillId="0" borderId="28" xfId="0" applyFont="1" applyFill="1" applyBorder="1" applyAlignment="1">
      <alignment horizontal="center" vertical="center"/>
    </xf>
    <xf numFmtId="0" fontId="32" fillId="0" borderId="25" xfId="0" applyFont="1" applyFill="1" applyBorder="1" applyAlignment="1">
      <alignment horizontal="center" vertical="center"/>
    </xf>
    <xf numFmtId="0" fontId="32" fillId="0" borderId="23" xfId="0" applyFont="1" applyFill="1" applyBorder="1" applyAlignment="1">
      <alignment horizontal="center" vertical="center"/>
    </xf>
    <xf numFmtId="0" fontId="32" fillId="0" borderId="29" xfId="0" applyFont="1" applyFill="1" applyBorder="1" applyAlignment="1">
      <alignment horizontal="center" vertical="center"/>
    </xf>
    <xf numFmtId="0" fontId="32" fillId="0" borderId="30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0" fontId="32" fillId="0" borderId="27" xfId="0" applyFont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25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29" xfId="0" applyFont="1" applyBorder="1" applyAlignment="1">
      <alignment horizontal="center" vertical="center"/>
    </xf>
    <xf numFmtId="0" fontId="32" fillId="0" borderId="30" xfId="0" applyFont="1" applyBorder="1" applyAlignment="1">
      <alignment horizontal="center" vertical="center"/>
    </xf>
    <xf numFmtId="179" fontId="32" fillId="0" borderId="27" xfId="0" applyNumberFormat="1" applyFont="1" applyBorder="1" applyAlignment="1">
      <alignment horizontal="center" vertical="center"/>
    </xf>
    <xf numFmtId="179" fontId="32" fillId="0" borderId="28" xfId="0" applyNumberFormat="1" applyFont="1" applyBorder="1" applyAlignment="1">
      <alignment horizontal="center" vertical="center"/>
    </xf>
    <xf numFmtId="179" fontId="32" fillId="0" borderId="25" xfId="0" applyNumberFormat="1" applyFont="1" applyBorder="1" applyAlignment="1">
      <alignment horizontal="center" vertical="center"/>
    </xf>
    <xf numFmtId="179" fontId="32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34" fillId="0" borderId="0" xfId="0" applyFont="1" applyBorder="1" applyAlignment="1">
      <alignment horizontal="left" vertical="center"/>
    </xf>
    <xf numFmtId="0" fontId="34" fillId="0" borderId="26" xfId="0" applyFont="1" applyBorder="1" applyAlignment="1">
      <alignment horizontal="left" vertic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0" fontId="32" fillId="0" borderId="35" xfId="0" applyFont="1" applyBorder="1" applyAlignment="1">
      <alignment horizontal="center" vertical="center"/>
    </xf>
    <xf numFmtId="0" fontId="32" fillId="0" borderId="32" xfId="0" applyFont="1" applyBorder="1" applyAlignment="1">
      <alignment horizontal="center" vertical="center"/>
    </xf>
    <xf numFmtId="0" fontId="32" fillId="0" borderId="34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3" fillId="0" borderId="37" xfId="0" applyFont="1" applyBorder="1" applyAlignment="1">
      <alignment horizontal="left" vertical="center"/>
    </xf>
    <xf numFmtId="0" fontId="34" fillId="0" borderId="37" xfId="0" applyFont="1" applyBorder="1" applyAlignment="1">
      <alignment horizontal="left" vertical="center"/>
    </xf>
    <xf numFmtId="179" fontId="71" fillId="5" borderId="27" xfId="0" applyNumberFormat="1" applyFont="1" applyFill="1" applyBorder="1" applyAlignment="1">
      <alignment horizontal="center" vertical="center"/>
    </xf>
    <xf numFmtId="179" fontId="71" fillId="5" borderId="28" xfId="0" applyNumberFormat="1" applyFont="1" applyFill="1" applyBorder="1" applyAlignment="1">
      <alignment horizontal="center" vertical="center"/>
    </xf>
    <xf numFmtId="179" fontId="71" fillId="5" borderId="25" xfId="0" applyNumberFormat="1" applyFont="1" applyFill="1" applyBorder="1" applyAlignment="1">
      <alignment horizontal="center" vertical="center"/>
    </xf>
    <xf numFmtId="0" fontId="33" fillId="0" borderId="26" xfId="0" applyFont="1" applyBorder="1" applyAlignment="1">
      <alignment horizontal="left" vertical="center"/>
    </xf>
    <xf numFmtId="0" fontId="23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32" fillId="4" borderId="27" xfId="0" applyFont="1" applyFill="1" applyBorder="1" applyAlignment="1">
      <alignment horizontal="center" vertical="center"/>
    </xf>
    <xf numFmtId="0" fontId="32" fillId="4" borderId="28" xfId="0" applyFont="1" applyFill="1" applyBorder="1" applyAlignment="1">
      <alignment horizontal="center" vertical="center"/>
    </xf>
    <xf numFmtId="0" fontId="32" fillId="4" borderId="25" xfId="0" applyFont="1" applyFill="1" applyBorder="1" applyAlignment="1">
      <alignment horizontal="center" vertical="center"/>
    </xf>
    <xf numFmtId="0" fontId="32" fillId="4" borderId="22" xfId="0" applyFont="1" applyFill="1" applyBorder="1" applyAlignment="1">
      <alignment horizontal="center" vertical="center"/>
    </xf>
    <xf numFmtId="183" fontId="0" fillId="4" borderId="22" xfId="0" applyNumberFormat="1" applyFill="1" applyBorder="1" applyAlignment="1">
      <alignment horizontal="center" vertical="center"/>
    </xf>
    <xf numFmtId="0" fontId="33" fillId="13" borderId="0" xfId="0" applyFont="1" applyFill="1" applyAlignment="1">
      <alignment horizontal="left" vertical="center"/>
    </xf>
    <xf numFmtId="0" fontId="34" fillId="13" borderId="0" xfId="0" applyFont="1" applyFill="1" applyAlignment="1">
      <alignment horizontal="left" vertical="center"/>
    </xf>
    <xf numFmtId="0" fontId="34" fillId="13" borderId="0" xfId="0" applyFont="1" applyFill="1" applyBorder="1" applyAlignment="1">
      <alignment horizontal="left" vertical="center"/>
    </xf>
    <xf numFmtId="0" fontId="34" fillId="13" borderId="26" xfId="0" applyFont="1" applyFill="1" applyBorder="1" applyAlignment="1">
      <alignment horizontal="left" vertical="center"/>
    </xf>
    <xf numFmtId="1" fontId="32" fillId="0" borderId="22" xfId="0" applyNumberFormat="1" applyFont="1" applyFill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2" fillId="0" borderId="31" xfId="0" applyNumberFormat="1" applyFont="1" applyFill="1" applyBorder="1" applyAlignment="1">
      <alignment horizontal="center" vertical="center"/>
    </xf>
    <xf numFmtId="1" fontId="32" fillId="0" borderId="33" xfId="0" applyNumberFormat="1" applyFont="1" applyFill="1" applyBorder="1" applyAlignment="1">
      <alignment horizontal="center" vertical="center"/>
    </xf>
    <xf numFmtId="1" fontId="32" fillId="0" borderId="35" xfId="0" applyNumberFormat="1" applyFont="1" applyFill="1" applyBorder="1" applyAlignment="1">
      <alignment horizontal="center" vertical="center"/>
    </xf>
    <xf numFmtId="1" fontId="32" fillId="0" borderId="23" xfId="0" applyNumberFormat="1" applyFont="1" applyFill="1" applyBorder="1" applyAlignment="1">
      <alignment horizontal="center" vertical="center"/>
    </xf>
    <xf numFmtId="1" fontId="32" fillId="0" borderId="29" xfId="0" applyNumberFormat="1" applyFont="1" applyFill="1" applyBorder="1" applyAlignment="1">
      <alignment horizontal="center" vertical="center"/>
    </xf>
    <xf numFmtId="1" fontId="32" fillId="0" borderId="30" xfId="0" applyNumberFormat="1" applyFont="1" applyFill="1" applyBorder="1" applyAlignment="1">
      <alignment horizontal="center" vertical="center"/>
    </xf>
    <xf numFmtId="179" fontId="70" fillId="5" borderId="27" xfId="0" applyNumberFormat="1" applyFont="1" applyFill="1" applyBorder="1" applyAlignment="1">
      <alignment horizontal="center" vertical="center"/>
    </xf>
    <xf numFmtId="179" fontId="70" fillId="5" borderId="28" xfId="0" applyNumberFormat="1" applyFont="1" applyFill="1" applyBorder="1" applyAlignment="1">
      <alignment horizontal="center" vertical="center"/>
    </xf>
    <xf numFmtId="179" fontId="70" fillId="5" borderId="25" xfId="0" applyNumberFormat="1" applyFont="1" applyFill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0" fillId="0" borderId="30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25" fillId="0" borderId="22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52" fillId="0" borderId="22" xfId="0" applyFont="1" applyBorder="1" applyAlignment="1">
      <alignment shrinkToFit="1"/>
    </xf>
    <xf numFmtId="0" fontId="21" fillId="0" borderId="22" xfId="0" applyFont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79" fillId="0" borderId="22" xfId="0" applyFont="1" applyBorder="1" applyAlignment="1">
      <alignment horizontal="center" shrinkToFit="1"/>
    </xf>
    <xf numFmtId="0" fontId="21" fillId="0" borderId="31" xfId="0" applyFont="1" applyBorder="1" applyAlignment="1">
      <alignment horizontal="center" vertical="center" wrapText="1" shrinkToFit="1"/>
    </xf>
    <xf numFmtId="0" fontId="21" fillId="0" borderId="32" xfId="0" applyFont="1" applyBorder="1" applyAlignment="1">
      <alignment horizontal="center" vertical="center" wrapText="1" shrinkToFit="1"/>
    </xf>
    <xf numFmtId="0" fontId="21" fillId="0" borderId="33" xfId="0" applyFont="1" applyBorder="1" applyAlignment="1">
      <alignment horizontal="center" vertical="center" wrapText="1" shrinkToFit="1"/>
    </xf>
    <xf numFmtId="0" fontId="21" fillId="0" borderId="34" xfId="0" applyFont="1" applyBorder="1" applyAlignment="1">
      <alignment horizontal="center" vertical="center" wrapText="1" shrinkToFit="1"/>
    </xf>
    <xf numFmtId="0" fontId="21" fillId="0" borderId="35" xfId="0" applyFont="1" applyBorder="1" applyAlignment="1">
      <alignment horizontal="center" vertical="center" wrapText="1" shrinkToFit="1"/>
    </xf>
    <xf numFmtId="0" fontId="21" fillId="0" borderId="36" xfId="0" applyFont="1" applyBorder="1" applyAlignment="1">
      <alignment horizontal="center" vertical="center" wrapText="1" shrinkToFit="1"/>
    </xf>
    <xf numFmtId="0" fontId="53" fillId="0" borderId="0" xfId="0" applyFont="1" applyBorder="1" applyAlignment="1">
      <alignment horizontal="left" vertical="center" shrinkToFit="1"/>
    </xf>
    <xf numFmtId="0" fontId="54" fillId="0" borderId="0" xfId="0" applyFont="1" applyBorder="1" applyAlignment="1">
      <alignment horizontal="left" vertical="center" shrinkToFit="1"/>
    </xf>
    <xf numFmtId="0" fontId="27" fillId="0" borderId="22" xfId="0" applyFont="1" applyBorder="1" applyAlignment="1">
      <alignment horizontal="center" shrinkToFit="1"/>
    </xf>
    <xf numFmtId="0" fontId="21" fillId="0" borderId="22" xfId="0" applyFont="1" applyBorder="1" applyAlignment="1">
      <alignment horizontal="center" shrinkToFit="1"/>
    </xf>
    <xf numFmtId="0" fontId="21" fillId="0" borderId="22" xfId="0" applyFont="1" applyBorder="1" applyAlignment="1">
      <alignment shrinkToFit="1"/>
    </xf>
    <xf numFmtId="0" fontId="27" fillId="0" borderId="22" xfId="0" applyFont="1" applyBorder="1" applyAlignment="1">
      <alignment shrinkToFit="1"/>
    </xf>
    <xf numFmtId="0" fontId="27" fillId="0" borderId="31" xfId="0" applyFont="1" applyBorder="1" applyAlignment="1">
      <alignment horizontal="center" vertical="center" shrinkToFit="1"/>
    </xf>
    <xf numFmtId="0" fontId="27" fillId="0" borderId="32" xfId="0" applyFont="1" applyBorder="1" applyAlignment="1">
      <alignment horizontal="center" vertical="center" shrinkToFit="1"/>
    </xf>
    <xf numFmtId="0" fontId="27" fillId="0" borderId="35" xfId="0" applyFont="1" applyBorder="1" applyAlignment="1">
      <alignment horizontal="center" vertical="center" shrinkToFit="1"/>
    </xf>
    <xf numFmtId="0" fontId="27" fillId="0" borderId="36" xfId="0" applyFont="1" applyBorder="1" applyAlignment="1">
      <alignment horizontal="center" vertical="center" shrinkToFit="1"/>
    </xf>
    <xf numFmtId="0" fontId="52" fillId="0" borderId="31" xfId="0" applyFont="1" applyBorder="1" applyAlignment="1">
      <alignment horizontal="center" vertical="center" shrinkToFit="1"/>
    </xf>
    <xf numFmtId="0" fontId="52" fillId="0" borderId="32" xfId="0" applyFont="1" applyBorder="1" applyAlignment="1">
      <alignment horizontal="center" vertical="center" shrinkToFit="1"/>
    </xf>
    <xf numFmtId="0" fontId="52" fillId="0" borderId="35" xfId="0" applyFont="1" applyBorder="1" applyAlignment="1">
      <alignment horizontal="center" vertical="center" shrinkToFit="1"/>
    </xf>
    <xf numFmtId="0" fontId="52" fillId="0" borderId="36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52" fillId="0" borderId="33" xfId="0" applyFont="1" applyBorder="1" applyAlignment="1">
      <alignment horizontal="center" vertical="center" shrinkToFit="1"/>
    </xf>
    <xf numFmtId="0" fontId="52" fillId="0" borderId="34" xfId="0" applyFont="1" applyBorder="1" applyAlignment="1">
      <alignment horizontal="center" vertical="center" shrinkToFit="1"/>
    </xf>
    <xf numFmtId="0" fontId="44" fillId="0" borderId="22" xfId="0" applyFont="1" applyBorder="1" applyAlignment="1">
      <alignment horizontal="center" vertical="center" shrinkToFit="1"/>
    </xf>
    <xf numFmtId="0" fontId="27" fillId="0" borderId="27" xfId="0" applyFont="1" applyBorder="1" applyAlignment="1">
      <alignment horizontal="center" vertical="center" shrinkToFit="1"/>
    </xf>
    <xf numFmtId="0" fontId="27" fillId="0" borderId="25" xfId="0" applyFont="1" applyBorder="1" applyAlignment="1">
      <alignment horizontal="center" vertical="center" shrinkToFit="1"/>
    </xf>
    <xf numFmtId="0" fontId="25" fillId="0" borderId="23" xfId="0" applyFont="1" applyBorder="1" applyAlignment="1">
      <alignment horizontal="center" vertical="center" shrinkToFit="1"/>
    </xf>
    <xf numFmtId="0" fontId="25" fillId="0" borderId="30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25" fillId="0" borderId="29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44" fillId="0" borderId="27" xfId="0" applyFont="1" applyBorder="1" applyAlignment="1">
      <alignment horizontal="center" vertical="center" shrinkToFit="1"/>
    </xf>
    <xf numFmtId="0" fontId="44" fillId="0" borderId="25" xfId="0" applyFont="1" applyBorder="1" applyAlignment="1">
      <alignment horizontal="center" vertical="center" shrinkToFit="1"/>
    </xf>
    <xf numFmtId="0" fontId="52" fillId="0" borderId="27" xfId="0" applyFont="1" applyBorder="1" applyAlignment="1">
      <alignment horizontal="center" vertical="center" shrinkToFit="1"/>
    </xf>
    <xf numFmtId="0" fontId="21" fillId="0" borderId="31" xfId="0" applyFont="1" applyBorder="1" applyAlignment="1">
      <alignment horizontal="center" vertical="center" shrinkToFit="1"/>
    </xf>
    <xf numFmtId="0" fontId="21" fillId="0" borderId="32" xfId="0" applyFont="1" applyBorder="1" applyAlignment="1">
      <alignment horizontal="center" vertical="center" shrinkToFit="1"/>
    </xf>
    <xf numFmtId="0" fontId="21" fillId="0" borderId="35" xfId="0" applyFont="1" applyBorder="1" applyAlignment="1">
      <alignment horizontal="center" vertical="center" shrinkToFit="1"/>
    </xf>
    <xf numFmtId="0" fontId="21" fillId="0" borderId="36" xfId="0" applyFont="1" applyBorder="1" applyAlignment="1">
      <alignment horizontal="center" vertical="center" shrinkToFit="1"/>
    </xf>
    <xf numFmtId="0" fontId="21" fillId="0" borderId="27" xfId="0" applyFont="1" applyBorder="1" applyAlignment="1">
      <alignment vertical="center" shrinkToFit="1"/>
    </xf>
    <xf numFmtId="0" fontId="27" fillId="0" borderId="25" xfId="0" applyFont="1" applyBorder="1" applyAlignment="1">
      <alignment vertical="center"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44" fillId="0" borderId="27" xfId="0" applyFont="1" applyBorder="1" applyAlignment="1">
      <alignment vertical="center" shrinkToFit="1"/>
    </xf>
    <xf numFmtId="0" fontId="44" fillId="0" borderId="25" xfId="0" applyFont="1" applyBorder="1" applyAlignment="1">
      <alignment vertical="center" shrinkToFit="1"/>
    </xf>
    <xf numFmtId="0" fontId="21" fillId="0" borderId="27" xfId="0" applyFont="1" applyBorder="1" applyAlignment="1">
      <alignment horizontal="center" vertical="center" wrapText="1" shrinkToFit="1"/>
    </xf>
    <xf numFmtId="0" fontId="21" fillId="0" borderId="25" xfId="0" applyFont="1" applyBorder="1" applyAlignment="1">
      <alignment horizontal="center" vertical="center" shrinkToFit="1"/>
    </xf>
    <xf numFmtId="0" fontId="21" fillId="0" borderId="22" xfId="0" applyFont="1" applyBorder="1" applyAlignment="1">
      <alignment horizontal="center" vertical="center" wrapText="1" shrinkToFit="1"/>
    </xf>
    <xf numFmtId="0" fontId="21" fillId="0" borderId="25" xfId="0" applyFont="1" applyBorder="1" applyAlignment="1">
      <alignment horizontal="center" vertical="center" wrapText="1" shrinkToFit="1"/>
    </xf>
    <xf numFmtId="0" fontId="27" fillId="0" borderId="27" xfId="0" applyFont="1" applyBorder="1" applyAlignment="1">
      <alignment shrinkToFit="1"/>
    </xf>
    <xf numFmtId="0" fontId="27" fillId="0" borderId="25" xfId="0" applyFont="1" applyBorder="1" applyAlignment="1">
      <alignment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44" fillId="0" borderId="28" xfId="0" applyFont="1" applyBorder="1" applyAlignment="1">
      <alignment shrinkToFit="1"/>
    </xf>
    <xf numFmtId="0" fontId="27" fillId="0" borderId="28" xfId="0" applyFont="1" applyBorder="1" applyAlignment="1">
      <alignment shrinkToFit="1"/>
    </xf>
    <xf numFmtId="0" fontId="60" fillId="0" borderId="22" xfId="11" applyFont="1" applyFill="1" applyBorder="1" applyAlignment="1">
      <alignment horizontal="center" vertical="center" shrinkToFit="1"/>
    </xf>
    <xf numFmtId="0" fontId="29" fillId="0" borderId="22" xfId="11" applyFont="1" applyBorder="1" applyAlignment="1">
      <alignment horizontal="center" vertical="center" shrinkToFit="1"/>
    </xf>
    <xf numFmtId="0" fontId="41" fillId="0" borderId="0" xfId="11" applyFont="1" applyBorder="1" applyAlignment="1">
      <alignment horizontal="center" vertical="center" shrinkToFit="1"/>
    </xf>
    <xf numFmtId="0" fontId="53" fillId="0" borderId="0" xfId="11" applyFont="1" applyBorder="1" applyAlignment="1">
      <alignment horizontal="left" vertical="center" shrinkToFit="1"/>
    </xf>
    <xf numFmtId="0" fontId="45" fillId="0" borderId="22" xfId="11" applyFont="1" applyFill="1" applyBorder="1" applyAlignment="1">
      <alignment horizontal="center" vertical="center"/>
    </xf>
    <xf numFmtId="0" fontId="27" fillId="0" borderId="22" xfId="11" applyFont="1" applyFill="1" applyBorder="1" applyAlignment="1">
      <alignment horizontal="center" vertical="center" shrinkToFit="1"/>
    </xf>
    <xf numFmtId="0" fontId="27" fillId="0" borderId="37" xfId="11" applyFont="1" applyFill="1" applyBorder="1" applyAlignment="1">
      <alignment horizontal="center" vertical="center" shrinkToFit="1"/>
    </xf>
    <xf numFmtId="0" fontId="27" fillId="0" borderId="0" xfId="11" applyFont="1" applyFill="1" applyBorder="1" applyAlignment="1">
      <alignment horizontal="center" vertical="center" shrinkToFit="1"/>
    </xf>
    <xf numFmtId="0" fontId="25" fillId="0" borderId="22" xfId="11" applyFont="1" applyFill="1" applyBorder="1" applyAlignment="1">
      <alignment horizontal="center" vertical="center" shrinkToFit="1"/>
    </xf>
    <xf numFmtId="0" fontId="25" fillId="0" borderId="22" xfId="11" applyFont="1" applyBorder="1" applyAlignment="1">
      <alignment horizontal="center" shrinkToFit="1"/>
    </xf>
    <xf numFmtId="0" fontId="60" fillId="0" borderId="27" xfId="11" applyFont="1" applyFill="1" applyBorder="1" applyAlignment="1">
      <alignment horizontal="center" vertical="center" shrinkToFit="1"/>
    </xf>
    <xf numFmtId="0" fontId="60" fillId="0" borderId="50" xfId="11" applyFont="1" applyFill="1" applyBorder="1" applyAlignment="1">
      <alignment horizontal="center" vertical="center" shrinkToFit="1"/>
    </xf>
    <xf numFmtId="0" fontId="13" fillId="19" borderId="54" xfId="11" applyFont="1" applyFill="1" applyBorder="1" applyAlignment="1">
      <alignment horizontal="center" vertical="center" shrinkToFit="1"/>
    </xf>
    <xf numFmtId="0" fontId="13" fillId="19" borderId="55" xfId="11" applyFont="1" applyFill="1" applyBorder="1" applyAlignment="1">
      <alignment horizontal="center" vertical="center" shrinkToFit="1"/>
    </xf>
    <xf numFmtId="0" fontId="13" fillId="19" borderId="56" xfId="11" applyFont="1" applyFill="1" applyBorder="1" applyAlignment="1">
      <alignment horizontal="center" vertical="center" shrinkToFit="1"/>
    </xf>
    <xf numFmtId="0" fontId="45" fillId="0" borderId="78" xfId="11" applyFont="1" applyFill="1" applyBorder="1" applyAlignment="1">
      <alignment horizontal="center" vertical="center"/>
    </xf>
    <xf numFmtId="0" fontId="45" fillId="0" borderId="79" xfId="11" applyFont="1" applyFill="1" applyBorder="1" applyAlignment="1">
      <alignment horizontal="center" vertical="center"/>
    </xf>
    <xf numFmtId="0" fontId="45" fillId="0" borderId="57" xfId="11" applyFont="1" applyFill="1" applyBorder="1" applyAlignment="1">
      <alignment horizontal="center" vertical="center"/>
    </xf>
    <xf numFmtId="0" fontId="27" fillId="0" borderId="31" xfId="11" applyFont="1" applyFill="1" applyBorder="1" applyAlignment="1">
      <alignment horizontal="center" vertical="center" shrinkToFit="1"/>
    </xf>
    <xf numFmtId="0" fontId="27" fillId="0" borderId="77" xfId="11" applyFont="1" applyFill="1" applyBorder="1" applyAlignment="1">
      <alignment horizontal="center" vertical="center" shrinkToFit="1"/>
    </xf>
    <xf numFmtId="0" fontId="27" fillId="0" borderId="35" xfId="11" applyFont="1" applyFill="1" applyBorder="1" applyAlignment="1">
      <alignment horizontal="center" vertical="center" shrinkToFit="1"/>
    </xf>
    <xf numFmtId="0" fontId="27" fillId="0" borderId="58" xfId="11" applyFont="1" applyFill="1" applyBorder="1" applyAlignment="1">
      <alignment horizontal="center" vertical="center" shrinkToFit="1"/>
    </xf>
    <xf numFmtId="0" fontId="45" fillId="0" borderId="74" xfId="11" applyFont="1" applyFill="1" applyBorder="1" applyAlignment="1">
      <alignment horizontal="center" vertical="center"/>
    </xf>
    <xf numFmtId="0" fontId="45" fillId="0" borderId="75" xfId="11" applyFont="1" applyFill="1" applyBorder="1" applyAlignment="1">
      <alignment horizontal="center" vertical="center"/>
    </xf>
    <xf numFmtId="0" fontId="45" fillId="0" borderId="76" xfId="11" applyFont="1" applyFill="1" applyBorder="1" applyAlignment="1">
      <alignment horizontal="center" vertical="center"/>
    </xf>
    <xf numFmtId="0" fontId="25" fillId="0" borderId="72" xfId="11" applyFont="1" applyFill="1" applyBorder="1" applyAlignment="1">
      <alignment horizontal="center" vertical="center" shrinkToFit="1"/>
    </xf>
    <xf numFmtId="0" fontId="25" fillId="0" borderId="71" xfId="11" applyFont="1" applyFill="1" applyBorder="1" applyAlignment="1">
      <alignment horizontal="center" vertical="center" shrinkToFit="1"/>
    </xf>
    <xf numFmtId="0" fontId="25" fillId="0" borderId="73" xfId="11" applyFont="1" applyFill="1" applyBorder="1" applyAlignment="1">
      <alignment horizontal="center" vertical="center" shrinkToFit="1"/>
    </xf>
    <xf numFmtId="0" fontId="25" fillId="0" borderId="70" xfId="11" applyFont="1" applyFill="1" applyBorder="1" applyAlignment="1">
      <alignment horizontal="center" vertical="center" shrinkToFit="1"/>
    </xf>
    <xf numFmtId="0" fontId="60" fillId="0" borderId="59" xfId="11" applyFont="1" applyFill="1" applyBorder="1" applyAlignment="1">
      <alignment horizontal="center" vertical="center" shrinkToFit="1"/>
    </xf>
    <xf numFmtId="0" fontId="60" fillId="0" borderId="25" xfId="11" applyFont="1" applyFill="1" applyBorder="1" applyAlignment="1">
      <alignment horizontal="center" vertical="center" shrinkToFit="1"/>
    </xf>
    <xf numFmtId="0" fontId="27" fillId="2" borderId="27" xfId="0" applyFont="1" applyFill="1" applyBorder="1" applyAlignment="1">
      <alignment horizontal="center" vertical="center" shrinkToFit="1"/>
    </xf>
    <xf numFmtId="0" fontId="27" fillId="2" borderId="28" xfId="0" applyFont="1" applyFill="1" applyBorder="1" applyAlignment="1">
      <alignment horizontal="center" vertical="center" shrinkToFit="1"/>
    </xf>
    <xf numFmtId="0" fontId="27" fillId="2" borderId="25" xfId="0" applyFont="1" applyFill="1" applyBorder="1" applyAlignment="1">
      <alignment horizontal="center" vertical="center" shrinkToFit="1"/>
    </xf>
    <xf numFmtId="0" fontId="27" fillId="2" borderId="27" xfId="0" applyFont="1" applyFill="1" applyBorder="1" applyAlignment="1">
      <alignment horizontal="center" shrinkToFit="1"/>
    </xf>
    <xf numFmtId="0" fontId="27" fillId="2" borderId="28" xfId="0" applyFont="1" applyFill="1" applyBorder="1" applyAlignment="1">
      <alignment horizontal="center" shrinkToFit="1"/>
    </xf>
    <xf numFmtId="0" fontId="27" fillId="2" borderId="25" xfId="0" applyFont="1" applyFill="1" applyBorder="1" applyAlignment="1">
      <alignment horizontal="center" shrinkToFit="1"/>
    </xf>
    <xf numFmtId="0" fontId="25" fillId="0" borderId="23" xfId="0" applyFont="1" applyBorder="1" applyAlignment="1">
      <alignment horizontal="center" vertical="center" wrapText="1" shrinkToFit="1"/>
    </xf>
    <xf numFmtId="0" fontId="25" fillId="0" borderId="29" xfId="0" applyFont="1" applyBorder="1" applyAlignment="1">
      <alignment horizontal="center" vertical="center" wrapText="1" shrinkToFit="1"/>
    </xf>
    <xf numFmtId="0" fontId="25" fillId="0" borderId="30" xfId="0" applyFont="1" applyBorder="1" applyAlignment="1">
      <alignment horizontal="center" vertical="center" wrapText="1" shrinkToFit="1"/>
    </xf>
    <xf numFmtId="0" fontId="6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27" fillId="2" borderId="35" xfId="0" applyFont="1" applyFill="1" applyBorder="1" applyAlignment="1">
      <alignment horizontal="center" vertical="center" shrinkToFit="1"/>
    </xf>
    <xf numFmtId="0" fontId="27" fillId="2" borderId="26" xfId="0" applyFont="1" applyFill="1" applyBorder="1" applyAlignment="1">
      <alignment horizontal="center" vertical="center" shrinkToFit="1"/>
    </xf>
    <xf numFmtId="0" fontId="27" fillId="2" borderId="36" xfId="0" applyFont="1" applyFill="1" applyBorder="1" applyAlignment="1">
      <alignment horizontal="center" vertical="center" shrinkToFit="1"/>
    </xf>
    <xf numFmtId="0" fontId="10" fillId="0" borderId="4" xfId="0" applyFont="1" applyBorder="1" applyAlignment="1">
      <alignment horizontal="center" shrinkToFit="1"/>
    </xf>
    <xf numFmtId="0" fontId="10" fillId="0" borderId="3" xfId="0" applyFont="1" applyBorder="1" applyAlignment="1">
      <alignment horizontal="center" shrinkToFit="1"/>
    </xf>
    <xf numFmtId="0" fontId="25" fillId="0" borderId="27" xfId="0" applyFont="1" applyBorder="1" applyAlignment="1">
      <alignment horizontal="center" vertical="center" shrinkToFit="1"/>
    </xf>
    <xf numFmtId="0" fontId="25" fillId="0" borderId="25" xfId="0" applyFont="1" applyBorder="1" applyAlignment="1">
      <alignment horizontal="center" vertical="center" shrinkToFit="1"/>
    </xf>
    <xf numFmtId="0" fontId="27" fillId="2" borderId="4" xfId="0" applyFont="1" applyFill="1" applyBorder="1" applyAlignment="1">
      <alignment horizontal="center" vertical="center" shrinkToFit="1"/>
    </xf>
    <xf numFmtId="0" fontId="27" fillId="2" borderId="2" xfId="0" applyFont="1" applyFill="1" applyBorder="1" applyAlignment="1">
      <alignment horizontal="center" vertical="center" shrinkToFit="1"/>
    </xf>
    <xf numFmtId="0" fontId="27" fillId="2" borderId="3" xfId="0" applyFont="1" applyFill="1" applyBorder="1" applyAlignment="1">
      <alignment horizontal="center" vertical="center"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25" fillId="0" borderId="22" xfId="0" applyFont="1" applyFill="1" applyBorder="1" applyAlignment="1">
      <alignment horizontal="center" vertical="center" shrinkToFit="1"/>
    </xf>
    <xf numFmtId="0" fontId="62" fillId="0" borderId="22" xfId="0" applyFont="1" applyFill="1" applyBorder="1" applyAlignment="1">
      <alignment horizontal="center" vertical="center" shrinkToFit="1"/>
    </xf>
    <xf numFmtId="0" fontId="25" fillId="8" borderId="22" xfId="0" applyFont="1" applyFill="1" applyBorder="1" applyAlignment="1">
      <alignment horizontal="center" vertical="center" shrinkToFit="1"/>
    </xf>
    <xf numFmtId="0" fontId="27" fillId="8" borderId="22" xfId="0" applyFont="1" applyFill="1" applyBorder="1" applyAlignment="1">
      <alignment horizontal="center" vertical="center" shrinkToFit="1"/>
    </xf>
    <xf numFmtId="0" fontId="115" fillId="0" borderId="4" xfId="0" applyFont="1" applyBorder="1" applyAlignment="1">
      <alignment horizontal="center" shrinkToFit="1"/>
    </xf>
    <xf numFmtId="0" fontId="32" fillId="0" borderId="22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6" fillId="2" borderId="4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11" fillId="2" borderId="4" xfId="0" applyFont="1" applyFill="1" applyBorder="1" applyAlignment="1">
      <alignment horizontal="center" vertical="center" shrinkToFit="1"/>
    </xf>
    <xf numFmtId="0" fontId="11" fillId="2" borderId="3" xfId="0" applyFont="1" applyFill="1" applyBorder="1" applyAlignment="1">
      <alignment horizontal="center" vertical="center" shrinkToFit="1"/>
    </xf>
    <xf numFmtId="0" fontId="32" fillId="0" borderId="22" xfId="0" applyFont="1" applyBorder="1" applyAlignment="1">
      <alignment horizontal="center" vertical="center" wrapText="1" shrinkToFit="1"/>
    </xf>
    <xf numFmtId="0" fontId="0" fillId="0" borderId="22" xfId="0" applyFont="1" applyBorder="1" applyAlignment="1">
      <alignment horizontal="center" vertical="center" wrapText="1" shrinkToFit="1"/>
    </xf>
    <xf numFmtId="0" fontId="6" fillId="2" borderId="0" xfId="0" applyFont="1" applyFill="1" applyBorder="1" applyAlignment="1">
      <alignment horizontal="center" vertical="center" shrinkToFit="1"/>
    </xf>
    <xf numFmtId="0" fontId="6" fillId="2" borderId="40" xfId="0" applyFont="1" applyFill="1" applyBorder="1" applyAlignment="1">
      <alignment horizontal="center" vertical="center" shrinkToFit="1"/>
    </xf>
    <xf numFmtId="0" fontId="6" fillId="2" borderId="39" xfId="0" applyFont="1" applyFill="1" applyBorder="1" applyAlignment="1">
      <alignment horizontal="center" shrinkToFit="1"/>
    </xf>
    <xf numFmtId="0" fontId="6" fillId="2" borderId="2" xfId="0" applyFont="1" applyFill="1" applyBorder="1" applyAlignment="1">
      <alignment horizontal="center" shrinkToFit="1"/>
    </xf>
    <xf numFmtId="0" fontId="6" fillId="2" borderId="3" xfId="0" applyFont="1" applyFill="1" applyBorder="1" applyAlignment="1">
      <alignment horizontal="center" shrinkToFit="1"/>
    </xf>
    <xf numFmtId="0" fontId="6" fillId="0" borderId="3" xfId="0" applyFont="1" applyBorder="1" applyAlignment="1">
      <alignment horizontal="center" shrinkToFit="1"/>
    </xf>
    <xf numFmtId="0" fontId="6" fillId="2" borderId="22" xfId="0" applyFont="1" applyFill="1" applyBorder="1" applyAlignment="1">
      <alignment horizontal="center" shrinkToFit="1"/>
    </xf>
    <xf numFmtId="0" fontId="6" fillId="2" borderId="22" xfId="0" applyFont="1" applyFill="1" applyBorder="1" applyAlignment="1">
      <alignment horizontal="center" vertical="center" shrinkToFit="1"/>
    </xf>
    <xf numFmtId="0" fontId="10" fillId="0" borderId="48" xfId="0" applyFont="1" applyBorder="1" applyAlignment="1">
      <alignment horizontal="center" shrinkToFit="1"/>
    </xf>
    <xf numFmtId="0" fontId="10" fillId="0" borderId="49" xfId="0" applyFont="1" applyBorder="1" applyAlignment="1">
      <alignment horizontal="center" shrinkToFit="1"/>
    </xf>
    <xf numFmtId="0" fontId="62" fillId="0" borderId="22" xfId="11" applyFont="1" applyFill="1" applyBorder="1" applyAlignment="1">
      <alignment horizontal="center" vertical="center" shrinkToFit="1"/>
    </xf>
    <xf numFmtId="0" fontId="25" fillId="8" borderId="22" xfId="11" applyFont="1" applyFill="1" applyBorder="1" applyAlignment="1">
      <alignment horizontal="center" vertical="center" shrinkToFit="1"/>
    </xf>
    <xf numFmtId="0" fontId="27" fillId="8" borderId="22" xfId="11" applyFont="1" applyFill="1" applyBorder="1" applyAlignment="1">
      <alignment horizontal="center" vertical="center" shrinkToFit="1"/>
    </xf>
    <xf numFmtId="0" fontId="120" fillId="0" borderId="4" xfId="0" applyFont="1" applyBorder="1" applyAlignment="1">
      <alignment horizont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7" fillId="2" borderId="22" xfId="0" applyFont="1" applyFill="1" applyBorder="1" applyAlignment="1">
      <alignment horizontal="center" vertical="center" shrinkToFit="1"/>
    </xf>
    <xf numFmtId="0" fontId="27" fillId="0" borderId="0" xfId="0" applyFont="1" applyFill="1" applyBorder="1" applyAlignment="1">
      <alignment horizontal="center" shrinkToFit="1"/>
    </xf>
    <xf numFmtId="0" fontId="27" fillId="0" borderId="38" xfId="0" applyFont="1" applyFill="1" applyBorder="1" applyAlignment="1">
      <alignment horizontal="center" shrinkToFit="1"/>
    </xf>
    <xf numFmtId="0" fontId="27" fillId="2" borderId="23" xfId="0" applyFont="1" applyFill="1" applyBorder="1" applyAlignment="1">
      <alignment horizontal="center" vertical="center" shrinkToFit="1"/>
    </xf>
    <xf numFmtId="0" fontId="27" fillId="2" borderId="29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7" fillId="2" borderId="33" xfId="0" applyFont="1" applyFill="1" applyBorder="1" applyAlignment="1">
      <alignment horizontal="center" vertical="center" shrinkToFit="1"/>
    </xf>
    <xf numFmtId="0" fontId="27" fillId="2" borderId="0" xfId="0" applyFont="1" applyFill="1" applyBorder="1" applyAlignment="1">
      <alignment horizontal="center" vertical="center" shrinkToFit="1"/>
    </xf>
    <xf numFmtId="0" fontId="51" fillId="5" borderId="31" xfId="5" applyFont="1" applyFill="1" applyBorder="1" applyAlignment="1">
      <alignment horizontal="center" vertical="center"/>
    </xf>
    <xf numFmtId="0" fontId="51" fillId="5" borderId="37" xfId="5" applyFont="1" applyFill="1" applyBorder="1" applyAlignment="1">
      <alignment horizontal="center" vertical="center"/>
    </xf>
    <xf numFmtId="0" fontId="51" fillId="5" borderId="32" xfId="5" applyFont="1" applyFill="1" applyBorder="1" applyAlignment="1">
      <alignment horizontal="center" vertical="center"/>
    </xf>
    <xf numFmtId="0" fontId="51" fillId="5" borderId="33" xfId="5" applyFont="1" applyFill="1" applyBorder="1" applyAlignment="1">
      <alignment horizontal="center" vertical="center"/>
    </xf>
    <xf numFmtId="0" fontId="51" fillId="5" borderId="0" xfId="5" applyFont="1" applyFill="1" applyBorder="1" applyAlignment="1">
      <alignment horizontal="center" vertical="center"/>
    </xf>
    <xf numFmtId="0" fontId="51" fillId="5" borderId="34" xfId="5" applyFont="1" applyFill="1" applyBorder="1" applyAlignment="1">
      <alignment horizontal="center" vertical="center"/>
    </xf>
    <xf numFmtId="0" fontId="51" fillId="5" borderId="35" xfId="5" applyFont="1" applyFill="1" applyBorder="1" applyAlignment="1">
      <alignment horizontal="center" vertical="center"/>
    </xf>
    <xf numFmtId="0" fontId="51" fillId="5" borderId="26" xfId="5" applyFont="1" applyFill="1" applyBorder="1" applyAlignment="1">
      <alignment horizontal="center" vertical="center"/>
    </xf>
    <xf numFmtId="0" fontId="51" fillId="5" borderId="36" xfId="5" applyFont="1" applyFill="1" applyBorder="1" applyAlignment="1">
      <alignment horizontal="center" vertical="center"/>
    </xf>
    <xf numFmtId="0" fontId="28" fillId="0" borderId="31" xfId="11" applyFont="1" applyBorder="1" applyAlignment="1">
      <alignment horizontal="center" vertical="center"/>
    </xf>
    <xf numFmtId="0" fontId="28" fillId="0" borderId="32" xfId="11" applyFont="1" applyBorder="1" applyAlignment="1">
      <alignment horizontal="center" vertical="center"/>
    </xf>
    <xf numFmtId="0" fontId="28" fillId="0" borderId="33" xfId="11" applyFont="1" applyBorder="1" applyAlignment="1">
      <alignment horizontal="center" vertical="center"/>
    </xf>
    <xf numFmtId="0" fontId="28" fillId="0" borderId="34" xfId="11" applyFont="1" applyBorder="1" applyAlignment="1">
      <alignment horizontal="center" vertical="center"/>
    </xf>
    <xf numFmtId="0" fontId="28" fillId="0" borderId="35" xfId="11" applyFont="1" applyBorder="1" applyAlignment="1">
      <alignment horizontal="center" vertical="center"/>
    </xf>
    <xf numFmtId="0" fontId="28" fillId="0" borderId="36" xfId="11" applyFont="1" applyBorder="1" applyAlignment="1">
      <alignment horizontal="center" vertical="center"/>
    </xf>
    <xf numFmtId="0" fontId="35" fillId="5" borderId="23" xfId="5" applyFont="1" applyFill="1" applyBorder="1" applyAlignment="1">
      <alignment horizontal="center" vertical="center"/>
    </xf>
    <xf numFmtId="0" fontId="35" fillId="5" borderId="30" xfId="5" applyFont="1" applyFill="1" applyBorder="1" applyAlignment="1">
      <alignment horizontal="center" vertical="center"/>
    </xf>
    <xf numFmtId="0" fontId="35" fillId="5" borderId="23" xfId="577" applyFont="1" applyFill="1" applyBorder="1" applyAlignment="1">
      <alignment horizontal="center" vertical="center" wrapText="1"/>
    </xf>
    <xf numFmtId="0" fontId="35" fillId="5" borderId="30" xfId="577" applyFont="1" applyFill="1" applyBorder="1" applyAlignment="1">
      <alignment horizontal="center" vertical="center" wrapText="1"/>
    </xf>
    <xf numFmtId="0" fontId="37" fillId="5" borderId="27" xfId="577" applyFont="1" applyFill="1" applyBorder="1" applyAlignment="1">
      <alignment horizontal="center" vertical="center"/>
    </xf>
    <xf numFmtId="0" fontId="37" fillId="5" borderId="25" xfId="577" applyFont="1" applyFill="1" applyBorder="1" applyAlignment="1">
      <alignment horizontal="center" vertical="center"/>
    </xf>
    <xf numFmtId="0" fontId="37" fillId="5" borderId="27" xfId="577" applyFont="1" applyFill="1" applyBorder="1" applyAlignment="1">
      <alignment horizontal="center" vertical="center" wrapText="1"/>
    </xf>
    <xf numFmtId="0" fontId="37" fillId="5" borderId="28" xfId="577" applyFont="1" applyFill="1" applyBorder="1" applyAlignment="1">
      <alignment horizontal="center" vertical="center" wrapText="1"/>
    </xf>
    <xf numFmtId="0" fontId="37" fillId="5" borderId="25" xfId="577" applyFont="1" applyFill="1" applyBorder="1" applyAlignment="1">
      <alignment horizontal="center" vertical="center" wrapText="1"/>
    </xf>
    <xf numFmtId="0" fontId="35" fillId="5" borderId="22" xfId="577" applyFont="1" applyFill="1" applyBorder="1" applyAlignment="1">
      <alignment horizontal="center" vertical="center" wrapText="1"/>
    </xf>
    <xf numFmtId="0" fontId="82" fillId="5" borderId="23" xfId="577" applyFont="1" applyFill="1" applyBorder="1" applyAlignment="1">
      <alignment horizontal="center" vertical="center" wrapText="1"/>
    </xf>
    <xf numFmtId="0" fontId="38" fillId="0" borderId="26" xfId="11" applyFont="1" applyBorder="1" applyAlignment="1">
      <alignment horizontal="center" vertical="center"/>
    </xf>
    <xf numFmtId="0" fontId="31" fillId="0" borderId="26" xfId="11" applyFont="1" applyBorder="1" applyAlignment="1">
      <alignment horizontal="center" vertical="center"/>
    </xf>
    <xf numFmtId="0" fontId="28" fillId="5" borderId="33" xfId="11" applyFont="1" applyFill="1" applyBorder="1" applyAlignment="1">
      <alignment horizontal="center" vertical="center"/>
    </xf>
    <xf numFmtId="0" fontId="28" fillId="5" borderId="34" xfId="11" applyFont="1" applyFill="1" applyBorder="1" applyAlignment="1">
      <alignment horizontal="center" vertical="center"/>
    </xf>
    <xf numFmtId="0" fontId="28" fillId="5" borderId="35" xfId="11" applyFont="1" applyFill="1" applyBorder="1" applyAlignment="1">
      <alignment horizontal="center" vertical="center"/>
    </xf>
    <xf numFmtId="0" fontId="28" fillId="5" borderId="36" xfId="11" applyFont="1" applyFill="1" applyBorder="1" applyAlignment="1">
      <alignment horizontal="center" vertical="center"/>
    </xf>
    <xf numFmtId="0" fontId="35" fillId="5" borderId="22" xfId="577" applyFont="1" applyFill="1" applyBorder="1" applyAlignment="1">
      <alignment horizontal="center" vertical="center"/>
    </xf>
    <xf numFmtId="0" fontId="82" fillId="5" borderId="22" xfId="577" applyFont="1" applyFill="1" applyBorder="1" applyAlignment="1">
      <alignment horizontal="center" vertical="center"/>
    </xf>
    <xf numFmtId="0" fontId="82" fillId="5" borderId="22" xfId="577" applyFont="1" applyFill="1" applyBorder="1" applyAlignment="1">
      <alignment horizontal="center" vertical="center" wrapText="1"/>
    </xf>
    <xf numFmtId="0" fontId="37" fillId="5" borderId="28" xfId="577" applyFont="1" applyFill="1" applyBorder="1" applyAlignment="1">
      <alignment horizontal="center" vertical="center"/>
    </xf>
    <xf numFmtId="195" fontId="112" fillId="15" borderId="22" xfId="578" applyNumberFormat="1" applyFont="1" applyFill="1" applyBorder="1" applyAlignment="1">
      <alignment horizontal="center" vertical="center"/>
    </xf>
    <xf numFmtId="195" fontId="112" fillId="5" borderId="22" xfId="578" applyNumberFormat="1" applyFont="1" applyFill="1" applyBorder="1" applyAlignment="1">
      <alignment horizontal="center" vertical="center"/>
    </xf>
    <xf numFmtId="0" fontId="104" fillId="0" borderId="27" xfId="578" applyFont="1" applyFill="1" applyBorder="1" applyAlignment="1">
      <alignment horizontal="center" vertical="center"/>
    </xf>
    <xf numFmtId="0" fontId="104" fillId="0" borderId="25" xfId="578" applyFont="1" applyFill="1" applyBorder="1" applyAlignment="1">
      <alignment horizontal="center" vertical="center"/>
    </xf>
    <xf numFmtId="0" fontId="102" fillId="20" borderId="22" xfId="578" applyFont="1" applyFill="1" applyBorder="1" applyAlignment="1">
      <alignment horizontal="center" vertical="center"/>
    </xf>
    <xf numFmtId="0" fontId="103" fillId="20" borderId="22" xfId="578" applyFont="1" applyFill="1" applyBorder="1" applyAlignment="1">
      <alignment horizontal="center" vertical="center"/>
    </xf>
    <xf numFmtId="0" fontId="36" fillId="5" borderId="22" xfId="5" applyFont="1" applyFill="1" applyBorder="1" applyAlignment="1">
      <alignment horizontal="center"/>
    </xf>
    <xf numFmtId="0" fontId="122" fillId="0" borderId="31" xfId="0" applyFont="1" applyBorder="1" applyAlignment="1">
      <alignment horizontal="center" vertical="center" wrapText="1" shrinkToFit="1"/>
    </xf>
    <xf numFmtId="0" fontId="27" fillId="0" borderId="32" xfId="0" applyFont="1" applyBorder="1" applyAlignment="1">
      <alignment horizontal="center" vertical="center" wrapText="1" shrinkToFit="1"/>
    </xf>
    <xf numFmtId="0" fontId="27" fillId="0" borderId="33" xfId="0" applyFont="1" applyBorder="1" applyAlignment="1">
      <alignment horizontal="center" vertical="center" wrapText="1" shrinkToFit="1"/>
    </xf>
    <xf numFmtId="0" fontId="27" fillId="0" borderId="34" xfId="0" applyFont="1" applyBorder="1" applyAlignment="1">
      <alignment horizontal="center" vertical="center" wrapText="1" shrinkToFit="1"/>
    </xf>
    <xf numFmtId="0" fontId="27" fillId="0" borderId="35" xfId="0" applyFont="1" applyBorder="1" applyAlignment="1">
      <alignment horizontal="center" vertical="center" wrapText="1" shrinkToFit="1"/>
    </xf>
    <xf numFmtId="0" fontId="27" fillId="0" borderId="36" xfId="0" applyFont="1" applyBorder="1" applyAlignment="1">
      <alignment horizontal="center" vertical="center" wrapText="1" shrinkToFit="1"/>
    </xf>
    <xf numFmtId="0" fontId="69" fillId="0" borderId="31" xfId="0" applyFont="1" applyBorder="1" applyAlignment="1">
      <alignment horizontal="center" vertical="center" shrinkToFit="1"/>
    </xf>
    <xf numFmtId="0" fontId="69" fillId="0" borderId="32" xfId="0" applyFont="1" applyBorder="1" applyAlignment="1">
      <alignment horizontal="center" vertical="center" shrinkToFit="1"/>
    </xf>
    <xf numFmtId="0" fontId="69" fillId="0" borderId="35" xfId="0" applyFont="1" applyBorder="1" applyAlignment="1">
      <alignment horizontal="center" vertical="center" shrinkToFit="1"/>
    </xf>
    <xf numFmtId="0" fontId="69" fillId="0" borderId="36" xfId="0" applyFont="1" applyBorder="1" applyAlignment="1">
      <alignment horizontal="center" vertical="center" shrinkToFit="1"/>
    </xf>
    <xf numFmtId="0" fontId="69" fillId="0" borderId="27" xfId="0" applyFont="1" applyBorder="1" applyAlignment="1">
      <alignment vertical="center" shrinkToFit="1"/>
    </xf>
    <xf numFmtId="0" fontId="51" fillId="0" borderId="25" xfId="0" applyFont="1" applyBorder="1" applyAlignment="1">
      <alignment vertical="center" shrinkToFit="1"/>
    </xf>
    <xf numFmtId="183" fontId="25" fillId="0" borderId="0" xfId="0" applyNumberFormat="1" applyFont="1" applyAlignment="1">
      <alignment horizontal="center" vertical="center" shrinkToFit="1"/>
    </xf>
    <xf numFmtId="1" fontId="25" fillId="0" borderId="0" xfId="0" applyNumberFormat="1" applyFont="1" applyAlignment="1">
      <alignment horizontal="center" vertical="center" shrinkToFit="1"/>
    </xf>
    <xf numFmtId="1" fontId="25" fillId="0" borderId="0" xfId="0" applyNumberFormat="1" applyFont="1" applyAlignment="1">
      <alignment shrinkToFit="1"/>
    </xf>
  </cellXfs>
  <cellStyles count="580">
    <cellStyle name="??_x000c_鞜_x0007__x000d_槉U_x0001_??_x0007__x0001__x0001_" xfId="25"/>
    <cellStyle name="_98-春節暫停營業明細-ToDC" xfId="26"/>
    <cellStyle name="_98-春節暫停營業明細-ToDC_1-晉欣鮮食廠-2012年春節作業體制" xfId="27"/>
    <cellStyle name="_excel報告書" xfId="28"/>
    <cellStyle name="_excel報告書_1-晉欣鮮食廠-2012年春節作業體制" xfId="29"/>
    <cellStyle name="_excel報告書_96年月餅預購競賽獎勵案" xfId="30"/>
    <cellStyle name="_excel報告書_96年月餅預購競賽獎勵案_1-晉欣鮮食廠-2012年春節作業體制" xfId="31"/>
    <cellStyle name="_excel報告書_96年月餅預購競賽獎勵案_97年春節保全回收報告書" xfId="32"/>
    <cellStyle name="_excel報告書_96年月餅預購競賽獎勵案_97年春節保全回收報告書_1-晉欣鮮食廠-2012年春節作業體制" xfId="33"/>
    <cellStyle name="_excel報告書_96年月餅預購競賽獎勵案_97年春節保全回收報告書_Book1" xfId="34"/>
    <cellStyle name="_excel報告書_96年月餅預購競賽獎勵案_97年春節保全回收報告書_Book1_1-晉欣鮮食廠-2012年春節作業體制" xfId="35"/>
    <cellStyle name="_excel報告書_96年月餅預購競賽獎勵案_97年春節保全回收報告書_春節作業手冊-981217" xfId="36"/>
    <cellStyle name="_excel報告書_96年月餅預購競賽獎勵案_97年春節保全回收報告書_春節作業手冊-981217_1-晉欣鮮食廠-2012年春節作業體制" xfId="37"/>
    <cellStyle name="_excel報告書_96年月餅預購競賽獎勵案_97年營業競賽提案報告書" xfId="38"/>
    <cellStyle name="_excel報告書_96年月餅預購競賽獎勵案_97年營業競賽提案報告書_1-晉欣鮮食廠-2012年春節作業體制" xfId="39"/>
    <cellStyle name="_excel報告書_96年月餅預購競賽獎勵案_97年營業競賽提案報告書_97年春節保全回收報告書" xfId="40"/>
    <cellStyle name="_excel報告書_96年月餅預購競賽獎勵案_97年營業競賽提案報告書_97年春節保全回收報告書_1-晉欣鮮食廠-2012年春節作業體制" xfId="41"/>
    <cellStyle name="_excel報告書_96年月餅預購競賽獎勵案_97年營業競賽提案報告書_97年春節保全回收報告書_Book1" xfId="42"/>
    <cellStyle name="_excel報告書_96年月餅預購競賽獎勵案_97年營業競賽提案報告書_97年春節保全回收報告書_Book1_1-晉欣鮮食廠-2012年春節作業體制" xfId="43"/>
    <cellStyle name="_excel報告書_96年月餅預購競賽獎勵案_97年營業競賽提案報告書_97年春節保全回收報告書_春節作業手冊-981217" xfId="44"/>
    <cellStyle name="_excel報告書_96年月餅預購競賽獎勵案_97年營業競賽提案報告書_97年春節保全回收報告書_春節作業手冊-981217_1-晉欣鮮食廠-2012年春節作業體制" xfId="45"/>
    <cellStyle name="_excel報告書_96年月餅預購競賽獎勵案_97年營業競賽提案報告書_97年營業競賽提案報告書" xfId="46"/>
    <cellStyle name="_excel報告書_96年月餅預購競賽獎勵案_97年營業競賽提案報告書_97年營業競賽提案報告書_1-晉欣鮮食廠-2012年春節作業體制" xfId="47"/>
    <cellStyle name="_excel報告書_96年月餅預購競賽獎勵案_97年營業競賽提案報告書_97年營業競賽提案報告書_97年春節保全回收報告書" xfId="48"/>
    <cellStyle name="_excel報告書_96年月餅預購競賽獎勵案_97年營業競賽提案報告書_97年營業競賽提案報告書_97年春節保全回收報告書_1-晉欣鮮食廠-2012年春節作業體制" xfId="49"/>
    <cellStyle name="_excel報告書_96年月餅預購競賽獎勵案_97年營業競賽提案報告書_97年營業競賽提案報告書_97年春節保全回收報告書_Book1" xfId="50"/>
    <cellStyle name="_excel報告書_96年月餅預購競賽獎勵案_97年營業競賽提案報告書_97年營業競賽提案報告書_97年春節保全回收報告書_Book1_1-晉欣鮮食廠-2012年春節作業體制" xfId="51"/>
    <cellStyle name="_excel報告書_96年月餅預購競賽獎勵案_97年營業競賽提案報告書_97年營業競賽提案報告書_97年春節保全回收報告書_春節作業手冊-981217" xfId="52"/>
    <cellStyle name="_excel報告書_96年月餅預購競賽獎勵案_97年營業競賽提案報告書_97年營業競賽提案報告書_97年春節保全回收報告書_春節作業手冊-981217_1-晉欣鮮食廠-2012年春節作業體制" xfId="53"/>
    <cellStyle name="_excel報告書_96年月餅預購競賽獎勵案_97年營業競賽提案報告書_97年營業競賽提案報告書_97年營業競賽提案報告書" xfId="54"/>
    <cellStyle name="_excel報告書_96年月餅預購競賽獎勵案_97年營業競賽提案報告書_97年營業競賽提案報告書_97年營業競賽提案報告書_1-晉欣鮮食廠-2012年春節作業體制" xfId="55"/>
    <cellStyle name="_excel報告書_96年月餅預購競賽獎勵案_97年營業競賽提案報告書_97年營業競賽提案報告書_97年營業競賽提案報告書_97年春節保全回收報告書" xfId="56"/>
    <cellStyle name="_excel報告書_96年月餅預購競賽獎勵案_97年營業競賽提案報告書_97年營業競賽提案報告書_97年營業競賽提案報告書_97年春節保全回收報告書_1-晉欣鮮食廠-2012年春節作業體制" xfId="57"/>
    <cellStyle name="_excel報告書_96年月餅預購競賽獎勵案_97年營業競賽提案報告書_97年營業競賽提案報告書_97年營業競賽提案報告書_97年春節保全回收報告書_Book1" xfId="58"/>
    <cellStyle name="_excel報告書_96年月餅預購競賽獎勵案_97年營業競賽提案報告書_97年營業競賽提案報告書_97年營業競賽提案報告書_97年春節保全回收報告書_Book1_1-晉欣鮮食廠-2012年春節作業體制" xfId="59"/>
    <cellStyle name="_excel報告書_96年月餅預購競賽獎勵案_97年營業競賽提案報告書_97年營業競賽提案報告書_97年營業競賽提案報告書_97年春節保全回收報告書_春節作業手冊-981217" xfId="60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/>
    <cellStyle name="_excel報告書_96年月餅預購競賽獎勵案_97年營業競賽提案報告書_97年營業競賽提案報告書_97年營業競賽提案報告書_Book1" xfId="62"/>
    <cellStyle name="_excel報告書_96年月餅預購競賽獎勵案_97年營業競賽提案報告書_97年營業競賽提案報告書_97年營業競賽提案報告書_Book1_1-晉欣鮮食廠-2012年春節作業體制" xfId="63"/>
    <cellStyle name="_excel報告書_96年月餅預購競賽獎勵案_97年營業競賽提案報告書_97年營業競賽提案報告書_97年營業競賽提案報告書_春節作業手冊-981217" xfId="64"/>
    <cellStyle name="_excel報告書_96年月餅預購競賽獎勵案_97年營業競賽提案報告書_97年營業競賽提案報告書_97年營業競賽提案報告書_春節作業手冊-981217_1-晉欣鮮食廠-2012年春節作業體制" xfId="65"/>
    <cellStyle name="_excel報告書_96年月餅預購競賽獎勵案_97年營業競賽提案報告書_97年營業競賽提案報告書_Book1" xfId="66"/>
    <cellStyle name="_excel報告書_96年月餅預購競賽獎勵案_97年營業競賽提案報告書_97年營業競賽提案報告書_Book1_1-晉欣鮮食廠-2012年春節作業體制" xfId="67"/>
    <cellStyle name="_excel報告書_96年月餅預購競賽獎勵案_97年營業競賽提案報告書_97年營業競賽提案報告書_春節作業手冊-981217" xfId="68"/>
    <cellStyle name="_excel報告書_96年月餅預購競賽獎勵案_97年營業競賽提案報告書_97年營業競賽提案報告書_春節作業手冊-981217_1-晉欣鮮食廠-2012年春節作業體制" xfId="69"/>
    <cellStyle name="_excel報告書_96年月餅預購競賽獎勵案_97年營業競賽提案報告書_Book1" xfId="70"/>
    <cellStyle name="_excel報告書_96年月餅預購競賽獎勵案_97年營業競賽提案報告書_Book1_1-晉欣鮮食廠-2012年春節作業體制" xfId="71"/>
    <cellStyle name="_excel報告書_96年月餅預購競賽獎勵案_97年營業競賽提案報告書_春節作業手冊-981217" xfId="72"/>
    <cellStyle name="_excel報告書_96年月餅預購競賽獎勵案_97年營業競賽提案報告書_春節作業手冊-981217_1-晉欣鮮食廠-2012年春節作業體制" xfId="73"/>
    <cellStyle name="_excel報告書_96年月餅預購競賽獎勵案_Book1" xfId="74"/>
    <cellStyle name="_excel報告書_96年月餅預購競賽獎勵案_Book1_1-晉欣鮮食廠-2012年春節作業體制" xfId="75"/>
    <cellStyle name="_excel報告書_96年月餅預購競賽獎勵案_春節作業手冊-981217" xfId="76"/>
    <cellStyle name="_excel報告書_96年月餅預購競賽獎勵案_春節作業手冊-981217_1-晉欣鮮食廠-2012年春節作業體制" xfId="77"/>
    <cellStyle name="_excel報告書_97年春節保全回收報告書" xfId="78"/>
    <cellStyle name="_excel報告書_97年春節保全回收報告書_1-晉欣鮮食廠-2012年春節作業體制" xfId="79"/>
    <cellStyle name="_excel報告書_97年春節保全回收報告書_Book1" xfId="80"/>
    <cellStyle name="_excel報告書_97年春節保全回收報告書_Book1_1-晉欣鮮食廠-2012年春節作業體制" xfId="81"/>
    <cellStyle name="_excel報告書_97年春節保全回收報告書_春節作業手冊-981217" xfId="82"/>
    <cellStyle name="_excel報告書_97年春節保全回收報告書_春節作業手冊-981217_1-晉欣鮮食廠-2012年春節作業體制" xfId="83"/>
    <cellStyle name="_excel報告書_97年營業競賽提案報告書" xfId="84"/>
    <cellStyle name="_excel報告書_97年營業競賽提案報告書_1-晉欣鮮食廠-2012年春節作業體制" xfId="85"/>
    <cellStyle name="_excel報告書_97年營業競賽提案報告書_97年春節保全回收報告書" xfId="86"/>
    <cellStyle name="_excel報告書_97年營業競賽提案報告書_97年春節保全回收報告書_1-晉欣鮮食廠-2012年春節作業體制" xfId="87"/>
    <cellStyle name="_excel報告書_97年營業競賽提案報告書_97年春節保全回收報告書_Book1" xfId="88"/>
    <cellStyle name="_excel報告書_97年營業競賽提案報告書_97年春節保全回收報告書_Book1_1-晉欣鮮食廠-2012年春節作業體制" xfId="89"/>
    <cellStyle name="_excel報告書_97年營業競賽提案報告書_97年春節保全回收報告書_春節作業手冊-981217" xfId="90"/>
    <cellStyle name="_excel報告書_97年營業競賽提案報告書_97年春節保全回收報告書_春節作業手冊-981217_1-晉欣鮮食廠-2012年春節作業體制" xfId="91"/>
    <cellStyle name="_excel報告書_97年營業競賽提案報告書_97年營業競賽提案報告書" xfId="92"/>
    <cellStyle name="_excel報告書_97年營業競賽提案報告書_97年營業競賽提案報告書_1-晉欣鮮食廠-2012年春節作業體制" xfId="93"/>
    <cellStyle name="_excel報告書_97年營業競賽提案報告書_97年營業競賽提案報告書_97年春節保全回收報告書" xfId="94"/>
    <cellStyle name="_excel報告書_97年營業競賽提案報告書_97年營業競賽提案報告書_97年春節保全回收報告書_1-晉欣鮮食廠-2012年春節作業體制" xfId="95"/>
    <cellStyle name="_excel報告書_97年營業競賽提案報告書_97年營業競賽提案報告書_97年春節保全回收報告書_Book1" xfId="96"/>
    <cellStyle name="_excel報告書_97年營業競賽提案報告書_97年營業競賽提案報告書_97年春節保全回收報告書_Book1_1-晉欣鮮食廠-2012年春節作業體制" xfId="97"/>
    <cellStyle name="_excel報告書_97年營業競賽提案報告書_97年營業競賽提案報告書_97年春節保全回收報告書_春節作業手冊-981217" xfId="98"/>
    <cellStyle name="_excel報告書_97年營業競賽提案報告書_97年營業競賽提案報告書_97年春節保全回收報告書_春節作業手冊-981217_1-晉欣鮮食廠-2012年春節作業體制" xfId="99"/>
    <cellStyle name="_excel報告書_97年營業競賽提案報告書_97年營業競賽提案報告書_97年營業競賽提案報告書" xfId="100"/>
    <cellStyle name="_excel報告書_97年營業競賽提案報告書_97年營業競賽提案報告書_97年營業競賽提案報告書_1-晉欣鮮食廠-2012年春節作業體制" xfId="101"/>
    <cellStyle name="_excel報告書_97年營業競賽提案報告書_97年營業競賽提案報告書_97年營業競賽提案報告書_97年春節保全回收報告書" xfId="102"/>
    <cellStyle name="_excel報告書_97年營業競賽提案報告書_97年營業競賽提案報告書_97年營業競賽提案報告書_97年春節保全回收報告書_1-晉欣鮮食廠-2012年春節作業體制" xfId="103"/>
    <cellStyle name="_excel報告書_97年營業競賽提案報告書_97年營業競賽提案報告書_97年營業競賽提案報告書_97年春節保全回收報告書_Book1" xfId="104"/>
    <cellStyle name="_excel報告書_97年營業競賽提案報告書_97年營業競賽提案報告書_97年營業競賽提案報告書_97年春節保全回收報告書_Book1_1-晉欣鮮食廠-2012年春節作業體制" xfId="105"/>
    <cellStyle name="_excel報告書_97年營業競賽提案報告書_97年營業競賽提案報告書_97年營業競賽提案報告書_97年春節保全回收報告書_春節作業手冊-981217" xfId="106"/>
    <cellStyle name="_excel報告書_97年營業競賽提案報告書_97年營業競賽提案報告書_97年營業競賽提案報告書_97年春節保全回收報告書_春節作業手冊-981217_1-晉欣鮮食廠-2012年春節作業體制" xfId="107"/>
    <cellStyle name="_excel報告書_97年營業競賽提案報告書_97年營業競賽提案報告書_97年營業競賽提案報告書_Book1" xfId="108"/>
    <cellStyle name="_excel報告書_97年營業競賽提案報告書_97年營業競賽提案報告書_97年營業競賽提案報告書_Book1_1-晉欣鮮食廠-2012年春節作業體制" xfId="109"/>
    <cellStyle name="_excel報告書_97年營業競賽提案報告書_97年營業競賽提案報告書_97年營業競賽提案報告書_春節作業手冊-981217" xfId="110"/>
    <cellStyle name="_excel報告書_97年營業競賽提案報告書_97年營業競賽提案報告書_97年營業競賽提案報告書_春節作業手冊-981217_1-晉欣鮮食廠-2012年春節作業體制" xfId="111"/>
    <cellStyle name="_excel報告書_97年營業競賽提案報告書_97年營業競賽提案報告書_Book1" xfId="112"/>
    <cellStyle name="_excel報告書_97年營業競賽提案報告書_97年營業競賽提案報告書_Book1_1-晉欣鮮食廠-2012年春節作業體制" xfId="113"/>
    <cellStyle name="_excel報告書_97年營業競賽提案報告書_97年營業競賽提案報告書_春節作業手冊-981217" xfId="114"/>
    <cellStyle name="_excel報告書_97年營業競賽提案報告書_97年營業競賽提案報告書_春節作業手冊-981217_1-晉欣鮮食廠-2012年春節作業體制" xfId="115"/>
    <cellStyle name="_excel報告書_97年營業競賽提案報告書_Book1" xfId="116"/>
    <cellStyle name="_excel報告書_97年營業競賽提案報告書_Book1_1-晉欣鮮食廠-2012年春節作業體制" xfId="117"/>
    <cellStyle name="_excel報告書_97年營業競賽提案報告書_春節作業手冊-981217" xfId="118"/>
    <cellStyle name="_excel報告書_97年營業競賽提案報告書_春節作業手冊-981217_1-晉欣鮮食廠-2012年春節作業體制" xfId="119"/>
    <cellStyle name="_excel報告書_Book1" xfId="120"/>
    <cellStyle name="_excel報告書_Book1_1-晉欣鮮食廠-2012年春節作業體制" xfId="121"/>
    <cellStyle name="_excel報告書_春節作業手冊-981217" xfId="122"/>
    <cellStyle name="_excel報告書_春節作業手冊-981217_1-晉欣鮮食廠-2012年春節作業體制" xfId="123"/>
    <cellStyle name="_日翊98年春節作業-To毓琦" xfId="124"/>
    <cellStyle name="_封閉型商圈日商" xfId="125"/>
    <cellStyle name="_封閉型商圈日商_1-晉欣鮮食廠-2012年春節作業體制" xfId="126"/>
    <cellStyle name="_封閉型商圈日商_97年春節保全回收報告書" xfId="127"/>
    <cellStyle name="_封閉型商圈日商_97年春節保全回收報告書_1-晉欣鮮食廠-2012年春節作業體制" xfId="128"/>
    <cellStyle name="_封閉型商圈日商_97年春節保全回收報告書_Book1" xfId="129"/>
    <cellStyle name="_封閉型商圈日商_97年春節保全回收報告書_Book1_1-晉欣鮮食廠-2012年春節作業體制" xfId="130"/>
    <cellStyle name="_封閉型商圈日商_97年春節保全回收報告書_春節作業手冊-981217" xfId="131"/>
    <cellStyle name="_封閉型商圈日商_97年春節保全回收報告書_春節作業手冊-981217_1-晉欣鮮食廠-2012年春節作業體制" xfId="132"/>
    <cellStyle name="_封閉型商圈日商_97年營業競賽提案報告書" xfId="133"/>
    <cellStyle name="_封閉型商圈日商_97年營業競賽提案報告書_1-晉欣鮮食廠-2012年春節作業體制" xfId="134"/>
    <cellStyle name="_封閉型商圈日商_97年營業競賽提案報告書_97年春節保全回收報告書" xfId="135"/>
    <cellStyle name="_封閉型商圈日商_97年營業競賽提案報告書_97年春節保全回收報告書_1-晉欣鮮食廠-2012年春節作業體制" xfId="136"/>
    <cellStyle name="_封閉型商圈日商_97年營業競賽提案報告書_97年春節保全回收報告書_Book1" xfId="137"/>
    <cellStyle name="_封閉型商圈日商_97年營業競賽提案報告書_97年春節保全回收報告書_Book1_1-晉欣鮮食廠-2012年春節作業體制" xfId="138"/>
    <cellStyle name="_封閉型商圈日商_97年營業競賽提案報告書_97年春節保全回收報告書_春節作業手冊-981217" xfId="139"/>
    <cellStyle name="_封閉型商圈日商_97年營業競賽提案報告書_97年春節保全回收報告書_春節作業手冊-981217_1-晉欣鮮食廠-2012年春節作業體制" xfId="140"/>
    <cellStyle name="_封閉型商圈日商_97年營業競賽提案報告書_97年營業競賽提案報告書" xfId="141"/>
    <cellStyle name="_封閉型商圈日商_97年營業競賽提案報告書_97年營業競賽提案報告書_1-晉欣鮮食廠-2012年春節作業體制" xfId="142"/>
    <cellStyle name="_封閉型商圈日商_97年營業競賽提案報告書_97年營業競賽提案報告書_97年春節保全回收報告書" xfId="143"/>
    <cellStyle name="_封閉型商圈日商_97年營業競賽提案報告書_97年營業競賽提案報告書_97年春節保全回收報告書_1-晉欣鮮食廠-2012年春節作業體制" xfId="144"/>
    <cellStyle name="_封閉型商圈日商_97年營業競賽提案報告書_97年營業競賽提案報告書_97年春節保全回收報告書_Book1" xfId="145"/>
    <cellStyle name="_封閉型商圈日商_97年營業競賽提案報告書_97年營業競賽提案報告書_97年春節保全回收報告書_Book1_1-晉欣鮮食廠-2012年春節作業體制" xfId="146"/>
    <cellStyle name="_封閉型商圈日商_97年營業競賽提案報告書_97年營業競賽提案報告書_97年春節保全回收報告書_春節作業手冊-981217" xfId="147"/>
    <cellStyle name="_封閉型商圈日商_97年營業競賽提案報告書_97年營業競賽提案報告書_97年春節保全回收報告書_春節作業手冊-981217_1-晉欣鮮食廠-2012年春節作業體制" xfId="148"/>
    <cellStyle name="_封閉型商圈日商_97年營業競賽提案報告書_97年營業競賽提案報告書_97年營業競賽提案報告書" xfId="149"/>
    <cellStyle name="_封閉型商圈日商_97年營業競賽提案報告書_97年營業競賽提案報告書_97年營業競賽提案報告書_1-晉欣鮮食廠-2012年春節作業體制" xfId="150"/>
    <cellStyle name="_封閉型商圈日商_97年營業競賽提案報告書_97年營業競賽提案報告書_97年營業競賽提案報告書_97年春節保全回收報告書" xfId="151"/>
    <cellStyle name="_封閉型商圈日商_97年營業競賽提案報告書_97年營業競賽提案報告書_97年營業競賽提案報告書_97年春節保全回收報告書_1-晉欣鮮食廠-2012年春節作業體制" xfId="152"/>
    <cellStyle name="_封閉型商圈日商_97年營業競賽提案報告書_97年營業競賽提案報告書_97年營業競賽提案報告書_97年春節保全回收報告書_Book1" xfId="153"/>
    <cellStyle name="_封閉型商圈日商_97年營業競賽提案報告書_97年營業競賽提案報告書_97年營業競賽提案報告書_97年春節保全回收報告書_Book1_1-晉欣鮮食廠-2012年春節作業體制" xfId="154"/>
    <cellStyle name="_封閉型商圈日商_97年營業競賽提案報告書_97年營業競賽提案報告書_97年營業競賽提案報告書_97年春節保全回收報告書_春節作業手冊-981217" xfId="155"/>
    <cellStyle name="_封閉型商圈日商_97年營業競賽提案報告書_97年營業競賽提案報告書_97年營業競賽提案報告書_97年春節保全回收報告書_春節作業手冊-981217_1-晉欣鮮食廠-2012年春節作業體制" xfId="156"/>
    <cellStyle name="_封閉型商圈日商_97年營業競賽提案報告書_97年營業競賽提案報告書_97年營業競賽提案報告書_Book1" xfId="157"/>
    <cellStyle name="_封閉型商圈日商_97年營業競賽提案報告書_97年營業競賽提案報告書_97年營業競賽提案報告書_Book1_1-晉欣鮮食廠-2012年春節作業體制" xfId="158"/>
    <cellStyle name="_封閉型商圈日商_97年營業競賽提案報告書_97年營業競賽提案報告書_97年營業競賽提案報告書_春節作業手冊-981217" xfId="159"/>
    <cellStyle name="_封閉型商圈日商_97年營業競賽提案報告書_97年營業競賽提案報告書_97年營業競賽提案報告書_春節作業手冊-981217_1-晉欣鮮食廠-2012年春節作業體制" xfId="160"/>
    <cellStyle name="_封閉型商圈日商_97年營業競賽提案報告書_97年營業競賽提案報告書_Book1" xfId="161"/>
    <cellStyle name="_封閉型商圈日商_97年營業競賽提案報告書_97年營業競賽提案報告書_Book1_1-晉欣鮮食廠-2012年春節作業體制" xfId="162"/>
    <cellStyle name="_封閉型商圈日商_97年營業競賽提案報告書_97年營業競賽提案報告書_春節作業手冊-981217" xfId="163"/>
    <cellStyle name="_封閉型商圈日商_97年營業競賽提案報告書_97年營業競賽提案報告書_春節作業手冊-981217_1-晉欣鮮食廠-2012年春節作業體制" xfId="164"/>
    <cellStyle name="_封閉型商圈日商_97年營業競賽提案報告書_Book1" xfId="165"/>
    <cellStyle name="_封閉型商圈日商_97年營業競賽提案報告書_Book1_1-晉欣鮮食廠-2012年春節作業體制" xfId="166"/>
    <cellStyle name="_封閉型商圈日商_97年營業競賽提案報告書_春節作業手冊-981217" xfId="167"/>
    <cellStyle name="_封閉型商圈日商_97年營業競賽提案報告書_春節作業手冊-981217_1-晉欣鮮食廠-2012年春節作業體制" xfId="168"/>
    <cellStyle name="_封閉型商圈日商_Book1" xfId="169"/>
    <cellStyle name="_封閉型商圈日商_Book1_1-晉欣鮮食廠-2012年春節作業體制" xfId="170"/>
    <cellStyle name="_封閉型商圈日商_春節作業手冊-981217" xfId="171"/>
    <cellStyle name="_封閉型商圈日商_春節作業手冊-981217_1-晉欣鮮食廠-2012年春節作業體制" xfId="172"/>
    <cellStyle name="_封閉型商圈日商-1" xfId="173"/>
    <cellStyle name="_封閉型商圈日商-1_1-晉欣鮮食廠-2012年春節作業體制" xfId="174"/>
    <cellStyle name="_封閉型商圈日商-1_97年春節保全回收報告書" xfId="175"/>
    <cellStyle name="_封閉型商圈日商-1_97年春節保全回收報告書_1-晉欣鮮食廠-2012年春節作業體制" xfId="176"/>
    <cellStyle name="_封閉型商圈日商-1_97年春節保全回收報告書_Book1" xfId="177"/>
    <cellStyle name="_封閉型商圈日商-1_97年春節保全回收報告書_Book1_1-晉欣鮮食廠-2012年春節作業體制" xfId="178"/>
    <cellStyle name="_封閉型商圈日商-1_97年春節保全回收報告書_春節作業手冊-981217" xfId="179"/>
    <cellStyle name="_封閉型商圈日商-1_97年春節保全回收報告書_春節作業手冊-981217_1-晉欣鮮食廠-2012年春節作業體制" xfId="180"/>
    <cellStyle name="_封閉型商圈日商-1_97年營業競賽提案報告書" xfId="181"/>
    <cellStyle name="_封閉型商圈日商-1_97年營業競賽提案報告書_1-晉欣鮮食廠-2012年春節作業體制" xfId="182"/>
    <cellStyle name="_封閉型商圈日商-1_97年營業競賽提案報告書_97年春節保全回收報告書" xfId="183"/>
    <cellStyle name="_封閉型商圈日商-1_97年營業競賽提案報告書_97年春節保全回收報告書_1-晉欣鮮食廠-2012年春節作業體制" xfId="184"/>
    <cellStyle name="_封閉型商圈日商-1_97年營業競賽提案報告書_97年春節保全回收報告書_Book1" xfId="185"/>
    <cellStyle name="_封閉型商圈日商-1_97年營業競賽提案報告書_97年春節保全回收報告書_Book1_1-晉欣鮮食廠-2012年春節作業體制" xfId="186"/>
    <cellStyle name="_封閉型商圈日商-1_97年營業競賽提案報告書_97年春節保全回收報告書_春節作業手冊-981217" xfId="187"/>
    <cellStyle name="_封閉型商圈日商-1_97年營業競賽提案報告書_97年春節保全回收報告書_春節作業手冊-981217_1-晉欣鮮食廠-2012年春節作業體制" xfId="188"/>
    <cellStyle name="_封閉型商圈日商-1_97年營業競賽提案報告書_97年營業競賽提案報告書" xfId="189"/>
    <cellStyle name="_封閉型商圈日商-1_97年營業競賽提案報告書_97年營業競賽提案報告書_1-晉欣鮮食廠-2012年春節作業體制" xfId="190"/>
    <cellStyle name="_封閉型商圈日商-1_97年營業競賽提案報告書_97年營業競賽提案報告書_97年春節保全回收報告書" xfId="191"/>
    <cellStyle name="_封閉型商圈日商-1_97年營業競賽提案報告書_97年營業競賽提案報告書_97年春節保全回收報告書_1-晉欣鮮食廠-2012年春節作業體制" xfId="192"/>
    <cellStyle name="_封閉型商圈日商-1_97年營業競賽提案報告書_97年營業競賽提案報告書_97年春節保全回收報告書_Book1" xfId="193"/>
    <cellStyle name="_封閉型商圈日商-1_97年營業競賽提案報告書_97年營業競賽提案報告書_97年春節保全回收報告書_Book1_1-晉欣鮮食廠-2012年春節作業體制" xfId="194"/>
    <cellStyle name="_封閉型商圈日商-1_97年營業競賽提案報告書_97年營業競賽提案報告書_97年春節保全回收報告書_春節作業手冊-981217" xfId="195"/>
    <cellStyle name="_封閉型商圈日商-1_97年營業競賽提案報告書_97年營業競賽提案報告書_97年春節保全回收報告書_春節作業手冊-981217_1-晉欣鮮食廠-2012年春節作業體制" xfId="196"/>
    <cellStyle name="_封閉型商圈日商-1_97年營業競賽提案報告書_97年營業競賽提案報告書_97年營業競賽提案報告書" xfId="197"/>
    <cellStyle name="_封閉型商圈日商-1_97年營業競賽提案報告書_97年營業競賽提案報告書_97年營業競賽提案報告書_1-晉欣鮮食廠-2012年春節作業體制" xfId="198"/>
    <cellStyle name="_封閉型商圈日商-1_97年營業競賽提案報告書_97年營業競賽提案報告書_97年營業競賽提案報告書_97年春節保全回收報告書" xfId="199"/>
    <cellStyle name="_封閉型商圈日商-1_97年營業競賽提案報告書_97年營業競賽提案報告書_97年營業競賽提案報告書_97年春節保全回收報告書_1-晉欣鮮食廠-2012年春節作業體制" xfId="200"/>
    <cellStyle name="_封閉型商圈日商-1_97年營業競賽提案報告書_97年營業競賽提案報告書_97年營業競賽提案報告書_97年春節保全回收報告書_Book1" xfId="201"/>
    <cellStyle name="_封閉型商圈日商-1_97年營業競賽提案報告書_97年營業競賽提案報告書_97年營業競賽提案報告書_97年春節保全回收報告書_Book1_1-晉欣鮮食廠-2012年春節作業體制" xfId="202"/>
    <cellStyle name="_封閉型商圈日商-1_97年營業競賽提案報告書_97年營業競賽提案報告書_97年營業競賽提案報告書_97年春節保全回收報告書_春節作業手冊-981217" xfId="203"/>
    <cellStyle name="_封閉型商圈日商-1_97年營業競賽提案報告書_97年營業競賽提案報告書_97年營業競賽提案報告書_97年春節保全回收報告書_春節作業手冊-981217_1-晉欣鮮食廠-2012年春節作業體制" xfId="204"/>
    <cellStyle name="_封閉型商圈日商-1_97年營業競賽提案報告書_97年營業競賽提案報告書_97年營業競賽提案報告書_Book1" xfId="205"/>
    <cellStyle name="_封閉型商圈日商-1_97年營業競賽提案報告書_97年營業競賽提案報告書_97年營業競賽提案報告書_Book1_1-晉欣鮮食廠-2012年春節作業體制" xfId="206"/>
    <cellStyle name="_封閉型商圈日商-1_97年營業競賽提案報告書_97年營業競賽提案報告書_97年營業競賽提案報告書_春節作業手冊-981217" xfId="207"/>
    <cellStyle name="_封閉型商圈日商-1_97年營業競賽提案報告書_97年營業競賽提案報告書_97年營業競賽提案報告書_春節作業手冊-981217_1-晉欣鮮食廠-2012年春節作業體制" xfId="208"/>
    <cellStyle name="_封閉型商圈日商-1_97年營業競賽提案報告書_97年營業競賽提案報告書_Book1" xfId="209"/>
    <cellStyle name="_封閉型商圈日商-1_97年營業競賽提案報告書_97年營業競賽提案報告書_Book1_1-晉欣鮮食廠-2012年春節作業體制" xfId="210"/>
    <cellStyle name="_封閉型商圈日商-1_97年營業競賽提案報告書_97年營業競賽提案報告書_春節作業手冊-981217" xfId="211"/>
    <cellStyle name="_封閉型商圈日商-1_97年營業競賽提案報告書_97年營業競賽提案報告書_春節作業手冊-981217_1-晉欣鮮食廠-2012年春節作業體制" xfId="212"/>
    <cellStyle name="_封閉型商圈日商-1_97年營業競賽提案報告書_Book1" xfId="213"/>
    <cellStyle name="_封閉型商圈日商-1_97年營業競賽提案報告書_Book1_1-晉欣鮮食廠-2012年春節作業體制" xfId="214"/>
    <cellStyle name="_封閉型商圈日商-1_97年營業競賽提案報告書_春節作業手冊-981217" xfId="215"/>
    <cellStyle name="_封閉型商圈日商-1_97年營業競賽提案報告書_春節作業手冊-981217_1-晉欣鮮食廠-2012年春節作業體制" xfId="216"/>
    <cellStyle name="_封閉型商圈日商-1_Book1" xfId="217"/>
    <cellStyle name="_封閉型商圈日商-1_Book1_1-晉欣鮮食廠-2012年春節作業體制" xfId="218"/>
    <cellStyle name="_封閉型商圈日商-1_春節作業手冊-981217" xfId="219"/>
    <cellStyle name="_封閉型商圈日商-1_春節作業手冊-981217_1-晉欣鮮食廠-2012年春節作業體制" xfId="220"/>
    <cellStyle name="_封閉型商圈店舖明細" xfId="221"/>
    <cellStyle name="_封閉型商圈店舖明細_1-晉欣鮮食廠-2012年春節作業體制" xfId="222"/>
    <cellStyle name="_封閉型商圈店舖明細_97年春節保全回收報告書" xfId="223"/>
    <cellStyle name="_封閉型商圈店舖明細_97年春節保全回收報告書_1-晉欣鮮食廠-2012年春節作業體制" xfId="224"/>
    <cellStyle name="_封閉型商圈店舖明細_97年春節保全回收報告書_Book1" xfId="225"/>
    <cellStyle name="_封閉型商圈店舖明細_97年春節保全回收報告書_Book1_1-晉欣鮮食廠-2012年春節作業體制" xfId="226"/>
    <cellStyle name="_封閉型商圈店舖明細_97年春節保全回收報告書_春節作業手冊-981217" xfId="227"/>
    <cellStyle name="_封閉型商圈店舖明細_97年春節保全回收報告書_春節作業手冊-981217_1-晉欣鮮食廠-2012年春節作業體制" xfId="228"/>
    <cellStyle name="_封閉型商圈店舖明細_97年營業競賽提案報告書" xfId="229"/>
    <cellStyle name="_封閉型商圈店舖明細_97年營業競賽提案報告書_1-晉欣鮮食廠-2012年春節作業體制" xfId="230"/>
    <cellStyle name="_封閉型商圈店舖明細_97年營業競賽提案報告書_97年春節保全回收報告書" xfId="231"/>
    <cellStyle name="_封閉型商圈店舖明細_97年營業競賽提案報告書_97年春節保全回收報告書_1-晉欣鮮食廠-2012年春節作業體制" xfId="232"/>
    <cellStyle name="_封閉型商圈店舖明細_97年營業競賽提案報告書_97年春節保全回收報告書_Book1" xfId="233"/>
    <cellStyle name="_封閉型商圈店舖明細_97年營業競賽提案報告書_97年春節保全回收報告書_Book1_1-晉欣鮮食廠-2012年春節作業體制" xfId="234"/>
    <cellStyle name="_封閉型商圈店舖明細_97年營業競賽提案報告書_97年春節保全回收報告書_春節作業手冊-981217" xfId="235"/>
    <cellStyle name="_封閉型商圈店舖明細_97年營業競賽提案報告書_97年春節保全回收報告書_春節作業手冊-981217_1-晉欣鮮食廠-2012年春節作業體制" xfId="236"/>
    <cellStyle name="_封閉型商圈店舖明細_97年營業競賽提案報告書_97年營業競賽提案報告書" xfId="237"/>
    <cellStyle name="_封閉型商圈店舖明細_97年營業競賽提案報告書_97年營業競賽提案報告書_1-晉欣鮮食廠-2012年春節作業體制" xfId="238"/>
    <cellStyle name="_封閉型商圈店舖明細_97年營業競賽提案報告書_97年營業競賽提案報告書_97年春節保全回收報告書" xfId="239"/>
    <cellStyle name="_封閉型商圈店舖明細_97年營業競賽提案報告書_97年營業競賽提案報告書_97年春節保全回收報告書_1-晉欣鮮食廠-2012年春節作業體制" xfId="240"/>
    <cellStyle name="_封閉型商圈店舖明細_97年營業競賽提案報告書_97年營業競賽提案報告書_97年春節保全回收報告書_Book1" xfId="241"/>
    <cellStyle name="_封閉型商圈店舖明細_97年營業競賽提案報告書_97年營業競賽提案報告書_97年春節保全回收報告書_Book1_1-晉欣鮮食廠-2012年春節作業體制" xfId="242"/>
    <cellStyle name="_封閉型商圈店舖明細_97年營業競賽提案報告書_97年營業競賽提案報告書_97年春節保全回收報告書_春節作業手冊-981217" xfId="243"/>
    <cellStyle name="_封閉型商圈店舖明細_97年營業競賽提案報告書_97年營業競賽提案報告書_97年春節保全回收報告書_春節作業手冊-981217_1-晉欣鮮食廠-2012年春節作業體制" xfId="244"/>
    <cellStyle name="_封閉型商圈店舖明細_97年營業競賽提案報告書_97年營業競賽提案報告書_97年營業競賽提案報告書" xfId="245"/>
    <cellStyle name="_封閉型商圈店舖明細_97年營業競賽提案報告書_97年營業競賽提案報告書_97年營業競賽提案報告書_1-晉欣鮮食廠-2012年春節作業體制" xfId="246"/>
    <cellStyle name="_封閉型商圈店舖明細_97年營業競賽提案報告書_97年營業競賽提案報告書_97年營業競賽提案報告書_97年春節保全回收報告書" xfId="247"/>
    <cellStyle name="_封閉型商圈店舖明細_97年營業競賽提案報告書_97年營業競賽提案報告書_97年營業競賽提案報告書_97年春節保全回收報告書_1-晉欣鮮食廠-2012年春節作業體制" xfId="248"/>
    <cellStyle name="_封閉型商圈店舖明細_97年營業競賽提案報告書_97年營業競賽提案報告書_97年營業競賽提案報告書_97年春節保全回收報告書_Book1" xfId="249"/>
    <cellStyle name="_封閉型商圈店舖明細_97年營業競賽提案報告書_97年營業競賽提案報告書_97年營業競賽提案報告書_97年春節保全回收報告書_Book1_1-晉欣鮮食廠-2012年春節作業體制" xfId="250"/>
    <cellStyle name="_封閉型商圈店舖明細_97年營業競賽提案報告書_97年營業競賽提案報告書_97年營業競賽提案報告書_97年春節保全回收報告書_春節作業手冊-981217" xfId="251"/>
    <cellStyle name="_封閉型商圈店舖明細_97年營業競賽提案報告書_97年營業競賽提案報告書_97年營業競賽提案報告書_97年春節保全回收報告書_春節作業手冊-981217_1-晉欣鮮食廠-2012年春節作業體制" xfId="252"/>
    <cellStyle name="_封閉型商圈店舖明細_97年營業競賽提案報告書_97年營業競賽提案報告書_97年營業競賽提案報告書_Book1" xfId="253"/>
    <cellStyle name="_封閉型商圈店舖明細_97年營業競賽提案報告書_97年營業競賽提案報告書_97年營業競賽提案報告書_Book1_1-晉欣鮮食廠-2012年春節作業體制" xfId="254"/>
    <cellStyle name="_封閉型商圈店舖明細_97年營業競賽提案報告書_97年營業競賽提案報告書_97年營業競賽提案報告書_春節作業手冊-981217" xfId="255"/>
    <cellStyle name="_封閉型商圈店舖明細_97年營業競賽提案報告書_97年營業競賽提案報告書_97年營業競賽提案報告書_春節作業手冊-981217_1-晉欣鮮食廠-2012年春節作業體制" xfId="256"/>
    <cellStyle name="_封閉型商圈店舖明細_97年營業競賽提案報告書_97年營業競賽提案報告書_Book1" xfId="257"/>
    <cellStyle name="_封閉型商圈店舖明細_97年營業競賽提案報告書_97年營業競賽提案報告書_Book1_1-晉欣鮮食廠-2012年春節作業體制" xfId="258"/>
    <cellStyle name="_封閉型商圈店舖明細_97年營業競賽提案報告書_97年營業競賽提案報告書_春節作業手冊-981217" xfId="259"/>
    <cellStyle name="_封閉型商圈店舖明細_97年營業競賽提案報告書_97年營業競賽提案報告書_春節作業手冊-981217_1-晉欣鮮食廠-2012年春節作業體制" xfId="260"/>
    <cellStyle name="_封閉型商圈店舖明細_97年營業競賽提案報告書_Book1" xfId="261"/>
    <cellStyle name="_封閉型商圈店舖明細_97年營業競賽提案報告書_Book1_1-晉欣鮮食廠-2012年春節作業體制" xfId="262"/>
    <cellStyle name="_封閉型商圈店舖明細_97年營業競賽提案報告書_春節作業手冊-981217" xfId="263"/>
    <cellStyle name="_封閉型商圈店舖明細_97年營業競賽提案報告書_春節作業手冊-981217_1-晉欣鮮食廠-2012年春節作業體制" xfId="264"/>
    <cellStyle name="_封閉型商圈店舖明細_Book1" xfId="265"/>
    <cellStyle name="_封閉型商圈店舖明細_Book1_1-晉欣鮮食廠-2012年春節作業體制" xfId="266"/>
    <cellStyle name="_封閉型商圈店舖明細_春節作業手冊-981217" xfId="267"/>
    <cellStyle name="_封閉型商圈店舖明細_春節作業手冊-981217_1-晉欣鮮食廠-2012年春節作業體制" xfId="268"/>
    <cellStyle name="_封閉型商圈建議台整品項" xfId="269"/>
    <cellStyle name="_封閉型商圈建議台整品項_1-晉欣鮮食廠-2012年春節作業體制" xfId="270"/>
    <cellStyle name="_封閉型商圈建議台整品項_97年春節保全回收報告書" xfId="271"/>
    <cellStyle name="_封閉型商圈建議台整品項_97年春節保全回收報告書_1-晉欣鮮食廠-2012年春節作業體制" xfId="272"/>
    <cellStyle name="_封閉型商圈建議台整品項_97年春節保全回收報告書_Book1" xfId="273"/>
    <cellStyle name="_封閉型商圈建議台整品項_97年春節保全回收報告書_Book1_1-晉欣鮮食廠-2012年春節作業體制" xfId="274"/>
    <cellStyle name="_封閉型商圈建議台整品項_97年春節保全回收報告書_春節作業手冊-981217" xfId="275"/>
    <cellStyle name="_封閉型商圈建議台整品項_97年春節保全回收報告書_春節作業手冊-981217_1-晉欣鮮食廠-2012年春節作業體制" xfId="276"/>
    <cellStyle name="_封閉型商圈建議台整品項_97年營業競賽提案報告書" xfId="277"/>
    <cellStyle name="_封閉型商圈建議台整品項_97年營業競賽提案報告書_1-晉欣鮮食廠-2012年春節作業體制" xfId="278"/>
    <cellStyle name="_封閉型商圈建議台整品項_97年營業競賽提案報告書_97年春節保全回收報告書" xfId="279"/>
    <cellStyle name="_封閉型商圈建議台整品項_97年營業競賽提案報告書_97年春節保全回收報告書_1-晉欣鮮食廠-2012年春節作業體制" xfId="280"/>
    <cellStyle name="_封閉型商圈建議台整品項_97年營業競賽提案報告書_97年春節保全回收報告書_Book1" xfId="281"/>
    <cellStyle name="_封閉型商圈建議台整品項_97年營業競賽提案報告書_97年春節保全回收報告書_Book1_1-晉欣鮮食廠-2012年春節作業體制" xfId="282"/>
    <cellStyle name="_封閉型商圈建議台整品項_97年營業競賽提案報告書_97年春節保全回收報告書_春節作業手冊-981217" xfId="283"/>
    <cellStyle name="_封閉型商圈建議台整品項_97年營業競賽提案報告書_97年春節保全回收報告書_春節作業手冊-981217_1-晉欣鮮食廠-2012年春節作業體制" xfId="284"/>
    <cellStyle name="_封閉型商圈建議台整品項_97年營業競賽提案報告書_97年營業競賽提案報告書" xfId="285"/>
    <cellStyle name="_封閉型商圈建議台整品項_97年營業競賽提案報告書_97年營業競賽提案報告書_1-晉欣鮮食廠-2012年春節作業體制" xfId="286"/>
    <cellStyle name="_封閉型商圈建議台整品項_97年營業競賽提案報告書_97年營業競賽提案報告書_97年春節保全回收報告書" xfId="287"/>
    <cellStyle name="_封閉型商圈建議台整品項_97年營業競賽提案報告書_97年營業競賽提案報告書_97年春節保全回收報告書_1-晉欣鮮食廠-2012年春節作業體制" xfId="288"/>
    <cellStyle name="_封閉型商圈建議台整品項_97年營業競賽提案報告書_97年營業競賽提案報告書_97年春節保全回收報告書_Book1" xfId="289"/>
    <cellStyle name="_封閉型商圈建議台整品項_97年營業競賽提案報告書_97年營業競賽提案報告書_97年春節保全回收報告書_Book1_1-晉欣鮮食廠-2012年春節作業體制" xfId="290"/>
    <cellStyle name="_封閉型商圈建議台整品項_97年營業競賽提案報告書_97年營業競賽提案報告書_97年春節保全回收報告書_春節作業手冊-981217" xfId="291"/>
    <cellStyle name="_封閉型商圈建議台整品項_97年營業競賽提案報告書_97年營業競賽提案報告書_97年春節保全回收報告書_春節作業手冊-981217_1-晉欣鮮食廠-2012年春節作業體制" xfId="292"/>
    <cellStyle name="_封閉型商圈建議台整品項_97年營業競賽提案報告書_97年營業競賽提案報告書_97年營業競賽提案報告書" xfId="293"/>
    <cellStyle name="_封閉型商圈建議台整品項_97年營業競賽提案報告書_97年營業競賽提案報告書_97年營業競賽提案報告書_1-晉欣鮮食廠-2012年春節作業體制" xfId="294"/>
    <cellStyle name="_封閉型商圈建議台整品項_97年營業競賽提案報告書_97年營業競賽提案報告書_97年營業競賽提案報告書_97年春節保全回收報告書" xfId="295"/>
    <cellStyle name="_封閉型商圈建議台整品項_97年營業競賽提案報告書_97年營業競賽提案報告書_97年營業競賽提案報告書_97年春節保全回收報告書_1-晉欣鮮食廠-2012年春節作業體制" xfId="296"/>
    <cellStyle name="_封閉型商圈建議台整品項_97年營業競賽提案報告書_97年營業競賽提案報告書_97年營業競賽提案報告書_97年春節保全回收報告書_Book1" xfId="297"/>
    <cellStyle name="_封閉型商圈建議台整品項_97年營業競賽提案報告書_97年營業競賽提案報告書_97年營業競賽提案報告書_97年春節保全回收報告書_Book1_1-晉欣鮮食廠-2012年春節作業體制" xfId="298"/>
    <cellStyle name="_封閉型商圈建議台整品項_97年營業競賽提案報告書_97年營業競賽提案報告書_97年營業競賽提案報告書_97年春節保全回收報告書_春節作業手冊-981217" xfId="299"/>
    <cellStyle name="_封閉型商圈建議台整品項_97年營業競賽提案報告書_97年營業競賽提案報告書_97年營業競賽提案報告書_97年春節保全回收報告書_春節作業手冊-981217_1-晉欣鮮食廠-2012年春節作業體制" xfId="300"/>
    <cellStyle name="_封閉型商圈建議台整品項_97年營業競賽提案報告書_97年營業競賽提案報告書_97年營業競賽提案報告書_Book1" xfId="301"/>
    <cellStyle name="_封閉型商圈建議台整品項_97年營業競賽提案報告書_97年營業競賽提案報告書_97年營業競賽提案報告書_Book1_1-晉欣鮮食廠-2012年春節作業體制" xfId="302"/>
    <cellStyle name="_封閉型商圈建議台整品項_97年營業競賽提案報告書_97年營業競賽提案報告書_97年營業競賽提案報告書_春節作業手冊-981217" xfId="303"/>
    <cellStyle name="_封閉型商圈建議台整品項_97年營業競賽提案報告書_97年營業競賽提案報告書_97年營業競賽提案報告書_春節作業手冊-981217_1-晉欣鮮食廠-2012年春節作業體制" xfId="304"/>
    <cellStyle name="_封閉型商圈建議台整品項_97年營業競賽提案報告書_97年營業競賽提案報告書_Book1" xfId="305"/>
    <cellStyle name="_封閉型商圈建議台整品項_97年營業競賽提案報告書_97年營業競賽提案報告書_Book1_1-晉欣鮮食廠-2012年春節作業體制" xfId="306"/>
    <cellStyle name="_封閉型商圈建議台整品項_97年營業競賽提案報告書_97年營業競賽提案報告書_春節作業手冊-981217" xfId="307"/>
    <cellStyle name="_封閉型商圈建議台整品項_97年營業競賽提案報告書_97年營業競賽提案報告書_春節作業手冊-981217_1-晉欣鮮食廠-2012年春節作業體制" xfId="308"/>
    <cellStyle name="_封閉型商圈建議台整品項_97年營業競賽提案報告書_Book1" xfId="309"/>
    <cellStyle name="_封閉型商圈建議台整品項_97年營業競賽提案報告書_Book1_1-晉欣鮮食廠-2012年春節作業體制" xfId="310"/>
    <cellStyle name="_封閉型商圈建議台整品項_97年營業競賽提案報告書_春節作業手冊-981217" xfId="311"/>
    <cellStyle name="_封閉型商圈建議台整品項_97年營業競賽提案報告書_春節作業手冊-981217_1-晉欣鮮食廠-2012年春節作業體制" xfId="312"/>
    <cellStyle name="_封閉型商圈建議台整品項_Book1" xfId="313"/>
    <cellStyle name="_封閉型商圈建議台整品項_Book1_1-晉欣鮮食廠-2012年春節作業體制" xfId="314"/>
    <cellStyle name="_封閉型商圈建議台整品項_春節作業手冊-981217" xfId="315"/>
    <cellStyle name="_封閉型商圈建議台整品項_春節作業手冊-981217_1-晉欣鮮食廠-2012年春節作業體制" xfId="316"/>
    <cellStyle name="_樂清9507租賃用品申請" xfId="317"/>
    <cellStyle name="_樂清9507租賃用品申請_1-晉欣鮮食廠-2012年春節作業體制" xfId="318"/>
    <cellStyle name="_樂清9507租賃用品申請_96年月餅預購競賽獎勵案" xfId="319"/>
    <cellStyle name="_樂清9507租賃用品申請_96年月餅預購競賽獎勵案_1-晉欣鮮食廠-2012年春節作業體制" xfId="320"/>
    <cellStyle name="_樂清9507租賃用品申請_96年月餅預購競賽獎勵案_96年月餅預購競賽獎勵案" xfId="321"/>
    <cellStyle name="_樂清9507租賃用品申請_96年月餅預購競賽獎勵案_96年月餅預購競賽獎勵案_1-晉欣鮮食廠-2012年春節作業體制" xfId="322"/>
    <cellStyle name="_樂清9507租賃用品申請_96年月餅預購競賽獎勵案_96年月餅預購競賽獎勵案_97年春節保全回收報告書" xfId="323"/>
    <cellStyle name="_樂清9507租賃用品申請_96年月餅預購競賽獎勵案_96年月餅預購競賽獎勵案_97年春節保全回收報告書_1-晉欣鮮食廠-2012年春節作業體制" xfId="324"/>
    <cellStyle name="_樂清9507租賃用品申請_96年月餅預購競賽獎勵案_96年月餅預購競賽獎勵案_97年春節保全回收報告書_Book1" xfId="325"/>
    <cellStyle name="_樂清9507租賃用品申請_96年月餅預購競賽獎勵案_96年月餅預購競賽獎勵案_97年春節保全回收報告書_Book1_1-晉欣鮮食廠-2012年春節作業體制" xfId="326"/>
    <cellStyle name="_樂清9507租賃用品申請_96年月餅預購競賽獎勵案_96年月餅預購競賽獎勵案_97年春節保全回收報告書_春節作業手冊-981217" xfId="327"/>
    <cellStyle name="_樂清9507租賃用品申請_96年月餅預購競賽獎勵案_96年月餅預購競賽獎勵案_97年春節保全回收報告書_春節作業手冊-981217_1-晉欣鮮食廠-2012年春節作業體制" xfId="328"/>
    <cellStyle name="_樂清9507租賃用品申請_96年月餅預購競賽獎勵案_96年月餅預購競賽獎勵案_97年營業競賽提案報告書" xfId="329"/>
    <cellStyle name="_樂清9507租賃用品申請_96年月餅預購競賽獎勵案_96年月餅預購競賽獎勵案_97年營業競賽提案報告書_1-晉欣鮮食廠-2012年春節作業體制" xfId="330"/>
    <cellStyle name="_樂清9507租賃用品申請_96年月餅預購競賽獎勵案_96年月餅預購競賽獎勵案_97年營業競賽提案報告書_97年春節保全回收報告書" xfId="331"/>
    <cellStyle name="_樂清9507租賃用品申請_96年月餅預購競賽獎勵案_96年月餅預購競賽獎勵案_97年營業競賽提案報告書_97年春節保全回收報告書_1-晉欣鮮食廠-2012年春節作業體制" xfId="332"/>
    <cellStyle name="_樂清9507租賃用品申請_96年月餅預購競賽獎勵案_96年月餅預購競賽獎勵案_97年營業競賽提案報告書_97年春節保全回收報告書_Book1" xfId="333"/>
    <cellStyle name="_樂清9507租賃用品申請_96年月餅預購競賽獎勵案_96年月餅預購競賽獎勵案_97年營業競賽提案報告書_97年春節保全回收報告書_Book1_1-晉欣鮮食廠-2012年春節作業體制" xfId="334"/>
    <cellStyle name="_樂清9507租賃用品申請_96年月餅預購競賽獎勵案_96年月餅預購競賽獎勵案_97年營業競賽提案報告書_97年春節保全回收報告書_春節作業手冊-981217" xfId="335"/>
    <cellStyle name="_樂清9507租賃用品申請_96年月餅預購競賽獎勵案_96年月餅預購競賽獎勵案_97年營業競賽提案報告書_97年春節保全回收報告書_春節作業手冊-981217_1-晉欣鮮食廠-2012年春節作業體制" xfId="336"/>
    <cellStyle name="_樂清9507租賃用品申請_96年月餅預購競賽獎勵案_96年月餅預購競賽獎勵案_97年營業競賽提案報告書_97年營業競賽提案報告書" xfId="337"/>
    <cellStyle name="_樂清9507租賃用品申請_96年月餅預購競賽獎勵案_96年月餅預購競賽獎勵案_97年營業競賽提案報告書_97年營業競賽提案報告書_1-晉欣鮮食廠-2012年春節作業體制" xfId="338"/>
    <cellStyle name="_樂清9507租賃用品申請_96年月餅預購競賽獎勵案_96年月餅預購競賽獎勵案_97年營業競賽提案報告書_97年營業競賽提案報告書_97年春節保全回收報告書" xfId="339"/>
    <cellStyle name="_樂清9507租賃用品申請_96年月餅預購競賽獎勵案_96年月餅預購競賽獎勵案_97年營業競賽提案報告書_97年營業競賽提案報告書_97年春節保全回收報告書_1-晉欣鮮食廠-2012年春節作業體制" xfId="340"/>
    <cellStyle name="_樂清9507租賃用品申請_96年月餅預購競賽獎勵案_96年月餅預購競賽獎勵案_97年營業競賽提案報告書_97年營業競賽提案報告書_97年春節保全回收報告書_Book1" xfId="341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/>
    <cellStyle name="_樂清9507租賃用品申請_96年月餅預購競賽獎勵案_96年月餅預購競賽獎勵案_97年營業競賽提案報告書_97年營業競賽提案報告書_97年春節保全回收報告書_春節作業手冊-981217" xfId="343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/>
    <cellStyle name="_樂清9507租賃用品申請_96年月餅預購競賽獎勵案_96年月餅預購競賽獎勵案_97年營業競賽提案報告書_97年營業競賽提案報告書_97年營業競賽提案報告書" xfId="345"/>
    <cellStyle name="_樂清9507租賃用品申請_96年月餅預購競賽獎勵案_96年月餅預購競賽獎勵案_97年營業競賽提案報告書_97年營業競賽提案報告書_97年營業競賽提案報告書_1-晉欣鮮食廠-2012年春節作業體制" xfId="346"/>
    <cellStyle name="_樂清9507租賃用品申請_96年月餅預購競賽獎勵案_96年月餅預購競賽獎勵案_97年營業競賽提案報告書_97年營業競賽提案報告書_97年營業競賽提案報告書_97年春節保全回收報告書" xfId="347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/>
    <cellStyle name="_樂清9507租賃用品申請_96年月餅預購競賽獎勵案_96年月餅預購競賽獎勵案_97年營業競賽提案報告書_97年營業競賽提案報告書_97年營業競賽提案報告書_97年春節保全回收報告書_Book1" xfId="349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/>
    <cellStyle name="_樂清9507租賃用品申請_96年月餅預購競賽獎勵案_96年月餅預購競賽獎勵案_97年營業競賽提案報告書_97年營業競賽提案報告書_97年營業競賽提案報告書_Book1" xfId="353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/>
    <cellStyle name="_樂清9507租賃用品申請_96年月餅預購競賽獎勵案_96年月餅預購競賽獎勵案_97年營業競賽提案報告書_97年營業競賽提案報告書_97年營業競賽提案報告書_春節作業手冊-981217" xfId="355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/>
    <cellStyle name="_樂清9507租賃用品申請_96年月餅預購競賽獎勵案_96年月餅預購競賽獎勵案_97年營業競賽提案報告書_97年營業競賽提案報告書_Book1" xfId="357"/>
    <cellStyle name="_樂清9507租賃用品申請_96年月餅預購競賽獎勵案_96年月餅預購競賽獎勵案_97年營業競賽提案報告書_97年營業競賽提案報告書_Book1_1-晉欣鮮食廠-2012年春節作業體制" xfId="358"/>
    <cellStyle name="_樂清9507租賃用品申請_96年月餅預購競賽獎勵案_96年月餅預購競賽獎勵案_97年營業競賽提案報告書_97年營業競賽提案報告書_春節作業手冊-981217" xfId="359"/>
    <cellStyle name="_樂清9507租賃用品申請_96年月餅預購競賽獎勵案_96年月餅預購競賽獎勵案_97年營業競賽提案報告書_97年營業競賽提案報告書_春節作業手冊-981217_1-晉欣鮮食廠-2012年春節作業體制" xfId="360"/>
    <cellStyle name="_樂清9507租賃用品申請_96年月餅預購競賽獎勵案_96年月餅預購競賽獎勵案_97年營業競賽提案報告書_Book1" xfId="361"/>
    <cellStyle name="_樂清9507租賃用品申請_96年月餅預購競賽獎勵案_96年月餅預購競賽獎勵案_97年營業競賽提案報告書_Book1_1-晉欣鮮食廠-2012年春節作業體制" xfId="362"/>
    <cellStyle name="_樂清9507租賃用品申請_96年月餅預購競賽獎勵案_96年月餅預購競賽獎勵案_97年營業競賽提案報告書_春節作業手冊-981217" xfId="363"/>
    <cellStyle name="_樂清9507租賃用品申請_96年月餅預購競賽獎勵案_96年月餅預購競賽獎勵案_97年營業競賽提案報告書_春節作業手冊-981217_1-晉欣鮮食廠-2012年春節作業體制" xfId="364"/>
    <cellStyle name="_樂清9507租賃用品申請_96年月餅預購競賽獎勵案_96年月餅預購競賽獎勵案_Book1" xfId="365"/>
    <cellStyle name="_樂清9507租賃用品申請_96年月餅預購競賽獎勵案_96年月餅預購競賽獎勵案_Book1_1-晉欣鮮食廠-2012年春節作業體制" xfId="366"/>
    <cellStyle name="_樂清9507租賃用品申請_96年月餅預購競賽獎勵案_96年月餅預購競賽獎勵案_春節作業手冊-981217" xfId="367"/>
    <cellStyle name="_樂清9507租賃用品申請_96年月餅預購競賽獎勵案_96年月餅預購競賽獎勵案_春節作業手冊-981217_1-晉欣鮮食廠-2012年春節作業體制" xfId="368"/>
    <cellStyle name="_樂清9507租賃用品申請_96年月餅預購競賽獎勵案_97年春節保全回收報告書" xfId="369"/>
    <cellStyle name="_樂清9507租賃用品申請_96年月餅預購競賽獎勵案_97年春節保全回收報告書_1-晉欣鮮食廠-2012年春節作業體制" xfId="370"/>
    <cellStyle name="_樂清9507租賃用品申請_96年月餅預購競賽獎勵案_97年春節保全回收報告書_Book1" xfId="371"/>
    <cellStyle name="_樂清9507租賃用品申請_96年月餅預購競賽獎勵案_97年春節保全回收報告書_Book1_1-晉欣鮮食廠-2012年春節作業體制" xfId="372"/>
    <cellStyle name="_樂清9507租賃用品申請_96年月餅預購競賽獎勵案_97年春節保全回收報告書_春節作業手冊-981217" xfId="373"/>
    <cellStyle name="_樂清9507租賃用品申請_96年月餅預購競賽獎勵案_97年春節保全回收報告書_春節作業手冊-981217_1-晉欣鮮食廠-2012年春節作業體制" xfId="374"/>
    <cellStyle name="_樂清9507租賃用品申請_96年月餅預購競賽獎勵案_97年營業競賽提案報告書" xfId="375"/>
    <cellStyle name="_樂清9507租賃用品申請_96年月餅預購競賽獎勵案_97年營業競賽提案報告書_1-晉欣鮮食廠-2012年春節作業體制" xfId="376"/>
    <cellStyle name="_樂清9507租賃用品申請_96年月餅預購競賽獎勵案_97年營業競賽提案報告書_97年春節保全回收報告書" xfId="377"/>
    <cellStyle name="_樂清9507租賃用品申請_96年月餅預購競賽獎勵案_97年營業競賽提案報告書_97年春節保全回收報告書_1-晉欣鮮食廠-2012年春節作業體制" xfId="378"/>
    <cellStyle name="_樂清9507租賃用品申請_96年月餅預購競賽獎勵案_97年營業競賽提案報告書_97年春節保全回收報告書_Book1" xfId="379"/>
    <cellStyle name="_樂清9507租賃用品申請_96年月餅預購競賽獎勵案_97年營業競賽提案報告書_97年春節保全回收報告書_Book1_1-晉欣鮮食廠-2012年春節作業體制" xfId="380"/>
    <cellStyle name="_樂清9507租賃用品申請_96年月餅預購競賽獎勵案_97年營業競賽提案報告書_97年春節保全回收報告書_春節作業手冊-981217" xfId="381"/>
    <cellStyle name="_樂清9507租賃用品申請_96年月餅預購競賽獎勵案_97年營業競賽提案報告書_97年春節保全回收報告書_春節作業手冊-981217_1-晉欣鮮食廠-2012年春節作業體制" xfId="382"/>
    <cellStyle name="_樂清9507租賃用品申請_96年月餅預購競賽獎勵案_97年營業競賽提案報告書_97年營業競賽提案報告書" xfId="383"/>
    <cellStyle name="_樂清9507租賃用品申請_96年月餅預購競賽獎勵案_97年營業競賽提案報告書_97年營業競賽提案報告書_1-晉欣鮮食廠-2012年春節作業體制" xfId="384"/>
    <cellStyle name="_樂清9507租賃用品申請_96年月餅預購競賽獎勵案_97年營業競賽提案報告書_97年營業競賽提案報告書_97年春節保全回收報告書" xfId="385"/>
    <cellStyle name="_樂清9507租賃用品申請_96年月餅預購競賽獎勵案_97年營業競賽提案報告書_97年營業競賽提案報告書_97年春節保全回收報告書_1-晉欣鮮食廠-2012年春節作業體制" xfId="386"/>
    <cellStyle name="_樂清9507租賃用品申請_96年月餅預購競賽獎勵案_97年營業競賽提案報告書_97年營業競賽提案報告書_97年春節保全回收報告書_Book1" xfId="387"/>
    <cellStyle name="_樂清9507租賃用品申請_96年月餅預購競賽獎勵案_97年營業競賽提案報告書_97年營業競賽提案報告書_97年春節保全回收報告書_Book1_1-晉欣鮮食廠-2012年春節作業體制" xfId="388"/>
    <cellStyle name="_樂清9507租賃用品申請_96年月餅預購競賽獎勵案_97年營業競賽提案報告書_97年營業競賽提案報告書_97年春節保全回收報告書_春節作業手冊-981217" xfId="389"/>
    <cellStyle name="_樂清9507租賃用品申請_96年月餅預購競賽獎勵案_97年營業競賽提案報告書_97年營業競賽提案報告書_97年春節保全回收報告書_春節作業手冊-981217_1-晉欣鮮食廠-2012年春節作業體制" xfId="390"/>
    <cellStyle name="_樂清9507租賃用品申請_96年月餅預購競賽獎勵案_97年營業競賽提案報告書_97年營業競賽提案報告書_97年營業競賽提案報告書" xfId="391"/>
    <cellStyle name="_樂清9507租賃用品申請_96年月餅預購競賽獎勵案_97年營業競賽提案報告書_97年營業競賽提案報告書_97年營業競賽提案報告書_1-晉欣鮮食廠-2012年春節作業體制" xfId="392"/>
    <cellStyle name="_樂清9507租賃用品申請_96年月餅預購競賽獎勵案_97年營業競賽提案報告書_97年營業競賽提案報告書_97年營業競賽提案報告書_97年春節保全回收報告書" xfId="393"/>
    <cellStyle name="_樂清9507租賃用品申請_96年月餅預購競賽獎勵案_97年營業競賽提案報告書_97年營業競賽提案報告書_97年營業競賽提案報告書_97年春節保全回收報告書_1-晉欣鮮食廠-2012年春節作業體制" xfId="394"/>
    <cellStyle name="_樂清9507租賃用品申請_96年月餅預購競賽獎勵案_97年營業競賽提案報告書_97年營業競賽提案報告書_97年營業競賽提案報告書_97年春節保全回收報告書_Book1" xfId="395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/>
    <cellStyle name="_樂清9507租賃用品申請_96年月餅預購競賽獎勵案_97年營業競賽提案報告書_97年營業競賽提案報告書_97年營業競賽提案報告書_97年春節保全回收報告書_春節作業手冊-981217" xfId="397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/>
    <cellStyle name="_樂清9507租賃用品申請_96年月餅預購競賽獎勵案_97年營業競賽提案報告書_97年營業競賽提案報告書_97年營業競賽提案報告書_Book1" xfId="399"/>
    <cellStyle name="_樂清9507租賃用品申請_96年月餅預購競賽獎勵案_97年營業競賽提案報告書_97年營業競賽提案報告書_97年營業競賽提案報告書_Book1_1-晉欣鮮食廠-2012年春節作業體制" xfId="400"/>
    <cellStyle name="_樂清9507租賃用品申請_96年月餅預購競賽獎勵案_97年營業競賽提案報告書_97年營業競賽提案報告書_97年營業競賽提案報告書_春節作業手冊-981217" xfId="401"/>
    <cellStyle name="_樂清9507租賃用品申請_96年月餅預購競賽獎勵案_97年營業競賽提案報告書_97年營業競賽提案報告書_97年營業競賽提案報告書_春節作業手冊-981217_1-晉欣鮮食廠-2012年春節作業體制" xfId="402"/>
    <cellStyle name="_樂清9507租賃用品申請_96年月餅預購競賽獎勵案_97年營業競賽提案報告書_97年營業競賽提案報告書_Book1" xfId="403"/>
    <cellStyle name="_樂清9507租賃用品申請_96年月餅預購競賽獎勵案_97年營業競賽提案報告書_97年營業競賽提案報告書_Book1_1-晉欣鮮食廠-2012年春節作業體制" xfId="404"/>
    <cellStyle name="_樂清9507租賃用品申請_96年月餅預購競賽獎勵案_97年營業競賽提案報告書_97年營業競賽提案報告書_春節作業手冊-981217" xfId="405"/>
    <cellStyle name="_樂清9507租賃用品申請_96年月餅預購競賽獎勵案_97年營業競賽提案報告書_97年營業競賽提案報告書_春節作業手冊-981217_1-晉欣鮮食廠-2012年春節作業體制" xfId="406"/>
    <cellStyle name="_樂清9507租賃用品申請_96年月餅預購競賽獎勵案_97年營業競賽提案報告書_Book1" xfId="407"/>
    <cellStyle name="_樂清9507租賃用品申請_96年月餅預購競賽獎勵案_97年營業競賽提案報告書_Book1_1-晉欣鮮食廠-2012年春節作業體制" xfId="408"/>
    <cellStyle name="_樂清9507租賃用品申請_96年月餅預購競賽獎勵案_97年營業競賽提案報告書_春節作業手冊-981217" xfId="409"/>
    <cellStyle name="_樂清9507租賃用品申請_96年月餅預購競賽獎勵案_97年營業競賽提案報告書_春節作業手冊-981217_1-晉欣鮮食廠-2012年春節作業體制" xfId="410"/>
    <cellStyle name="_樂清9507租賃用品申請_96年月餅預購競賽獎勵案_Book1" xfId="411"/>
    <cellStyle name="_樂清9507租賃用品申請_96年月餅預購競賽獎勵案_Book1_1-晉欣鮮食廠-2012年春節作業體制" xfId="412"/>
    <cellStyle name="_樂清9507租賃用品申請_96年月餅預購競賽獎勵案_春節作業手冊-981217" xfId="413"/>
    <cellStyle name="_樂清9507租賃用品申請_96年月餅預購競賽獎勵案_春節作業手冊-981217_1-晉欣鮮食廠-2012年春節作業體制" xfId="414"/>
    <cellStyle name="_樂清9507租賃用品申請_97年春節保全回收報告書" xfId="415"/>
    <cellStyle name="_樂清9507租賃用品申請_97年春節保全回收報告書_1-晉欣鮮食廠-2012年春節作業體制" xfId="416"/>
    <cellStyle name="_樂清9507租賃用品申請_97年春節保全回收報告書_Book1" xfId="417"/>
    <cellStyle name="_樂清9507租賃用品申請_97年春節保全回收報告書_Book1_1-晉欣鮮食廠-2012年春節作業體制" xfId="418"/>
    <cellStyle name="_樂清9507租賃用品申請_97年春節保全回收報告書_春節作業手冊-981217" xfId="419"/>
    <cellStyle name="_樂清9507租賃用品申請_97年春節保全回收報告書_春節作業手冊-981217_1-晉欣鮮食廠-2012年春節作業體制" xfId="420"/>
    <cellStyle name="_樂清9507租賃用品申請_97年營業競賽提案報告書" xfId="421"/>
    <cellStyle name="_樂清9507租賃用品申請_97年營業競賽提案報告書_1-晉欣鮮食廠-2012年春節作業體制" xfId="422"/>
    <cellStyle name="_樂清9507租賃用品申請_97年營業競賽提案報告書_97年春節保全回收報告書" xfId="423"/>
    <cellStyle name="_樂清9507租賃用品申請_97年營業競賽提案報告書_97年春節保全回收報告書_1-晉欣鮮食廠-2012年春節作業體制" xfId="424"/>
    <cellStyle name="_樂清9507租賃用品申請_97年營業競賽提案報告書_97年春節保全回收報告書_Book1" xfId="425"/>
    <cellStyle name="_樂清9507租賃用品申請_97年營業競賽提案報告書_97年春節保全回收報告書_Book1_1-晉欣鮮食廠-2012年春節作業體制" xfId="426"/>
    <cellStyle name="_樂清9507租賃用品申請_97年營業競賽提案報告書_97年春節保全回收報告書_春節作業手冊-981217" xfId="427"/>
    <cellStyle name="_樂清9507租賃用品申請_97年營業競賽提案報告書_97年春節保全回收報告書_春節作業手冊-981217_1-晉欣鮮食廠-2012年春節作業體制" xfId="428"/>
    <cellStyle name="_樂清9507租賃用品申請_97年營業競賽提案報告書_97年營業競賽提案報告書" xfId="429"/>
    <cellStyle name="_樂清9507租賃用品申請_97年營業競賽提案報告書_97年營業競賽提案報告書_1-晉欣鮮食廠-2012年春節作業體制" xfId="430"/>
    <cellStyle name="_樂清9507租賃用品申請_97年營業競賽提案報告書_97年營業競賽提案報告書_97年春節保全回收報告書" xfId="431"/>
    <cellStyle name="_樂清9507租賃用品申請_97年營業競賽提案報告書_97年營業競賽提案報告書_97年春節保全回收報告書_1-晉欣鮮食廠-2012年春節作業體制" xfId="432"/>
    <cellStyle name="_樂清9507租賃用品申請_97年營業競賽提案報告書_97年營業競賽提案報告書_97年春節保全回收報告書_Book1" xfId="433"/>
    <cellStyle name="_樂清9507租賃用品申請_97年營業競賽提案報告書_97年營業競賽提案報告書_97年春節保全回收報告書_Book1_1-晉欣鮮食廠-2012年春節作業體制" xfId="434"/>
    <cellStyle name="_樂清9507租賃用品申請_97年營業競賽提案報告書_97年營業競賽提案報告書_97年春節保全回收報告書_春節作業手冊-981217" xfId="435"/>
    <cellStyle name="_樂清9507租賃用品申請_97年營業競賽提案報告書_97年營業競賽提案報告書_97年春節保全回收報告書_春節作業手冊-981217_1-晉欣鮮食廠-2012年春節作業體制" xfId="436"/>
    <cellStyle name="_樂清9507租賃用品申請_97年營業競賽提案報告書_97年營業競賽提案報告書_97年營業競賽提案報告書" xfId="437"/>
    <cellStyle name="_樂清9507租賃用品申請_97年營業競賽提案報告書_97年營業競賽提案報告書_97年營業競賽提案報告書_1-晉欣鮮食廠-2012年春節作業體制" xfId="438"/>
    <cellStyle name="_樂清9507租賃用品申請_97年營業競賽提案報告書_97年營業競賽提案報告書_97年營業競賽提案報告書_97年春節保全回收報告書" xfId="439"/>
    <cellStyle name="_樂清9507租賃用品申請_97年營業競賽提案報告書_97年營業競賽提案報告書_97年營業競賽提案報告書_97年春節保全回收報告書_1-晉欣鮮食廠-2012年春節作業體制" xfId="440"/>
    <cellStyle name="_樂清9507租賃用品申請_97年營業競賽提案報告書_97年營業競賽提案報告書_97年營業競賽提案報告書_97年春節保全回收報告書_Book1" xfId="441"/>
    <cellStyle name="_樂清9507租賃用品申請_97年營業競賽提案報告書_97年營業競賽提案報告書_97年營業競賽提案報告書_97年春節保全回收報告書_Book1_1-晉欣鮮食廠-2012年春節作業體制" xfId="442"/>
    <cellStyle name="_樂清9507租賃用品申請_97年營業競賽提案報告書_97年營業競賽提案報告書_97年營業競賽提案報告書_97年春節保全回收報告書_春節作業手冊-981217" xfId="443"/>
    <cellStyle name="_樂清9507租賃用品申請_97年營業競賽提案報告書_97年營業競賽提案報告書_97年營業競賽提案報告書_97年春節保全回收報告書_春節作業手冊-981217_1-晉欣鮮食廠-2012年春節作業體制" xfId="444"/>
    <cellStyle name="_樂清9507租賃用品申請_97年營業競賽提案報告書_97年營業競賽提案報告書_97年營業競賽提案報告書_Book1" xfId="445"/>
    <cellStyle name="_樂清9507租賃用品申請_97年營業競賽提案報告書_97年營業競賽提案報告書_97年營業競賽提案報告書_Book1_1-晉欣鮮食廠-2012年春節作業體制" xfId="446"/>
    <cellStyle name="_樂清9507租賃用品申請_97年營業競賽提案報告書_97年營業競賽提案報告書_97年營業競賽提案報告書_春節作業手冊-981217" xfId="447"/>
    <cellStyle name="_樂清9507租賃用品申請_97年營業競賽提案報告書_97年營業競賽提案報告書_97年營業競賽提案報告書_春節作業手冊-981217_1-晉欣鮮食廠-2012年春節作業體制" xfId="448"/>
    <cellStyle name="_樂清9507租賃用品申請_97年營業競賽提案報告書_97年營業競賽提案報告書_Book1" xfId="449"/>
    <cellStyle name="_樂清9507租賃用品申請_97年營業競賽提案報告書_97年營業競賽提案報告書_Book1_1-晉欣鮮食廠-2012年春節作業體制" xfId="450"/>
    <cellStyle name="_樂清9507租賃用品申請_97年營業競賽提案報告書_97年營業競賽提案報告書_春節作業手冊-981217" xfId="451"/>
    <cellStyle name="_樂清9507租賃用品申請_97年營業競賽提案報告書_97年營業競賽提案報告書_春節作業手冊-981217_1-晉欣鮮食廠-2012年春節作業體制" xfId="452"/>
    <cellStyle name="_樂清9507租賃用品申請_97年營業競賽提案報告書_Book1" xfId="453"/>
    <cellStyle name="_樂清9507租賃用品申請_97年營業競賽提案報告書_Book1_1-晉欣鮮食廠-2012年春節作業體制" xfId="454"/>
    <cellStyle name="_樂清9507租賃用品申請_97年營業競賽提案報告書_春節作業手冊-981217" xfId="455"/>
    <cellStyle name="_樂清9507租賃用品申請_97年營業競賽提案報告書_春節作業手冊-981217_1-晉欣鮮食廠-2012年春節作業體制" xfId="456"/>
    <cellStyle name="_樂清9507租賃用品申請_Book1" xfId="457"/>
    <cellStyle name="_樂清9507租賃用品申請_Book1_1-晉欣鮮食廠-2012年春節作業體制" xfId="458"/>
    <cellStyle name="_樂清9507租賃用品申請_春節作業手冊-981217" xfId="459"/>
    <cellStyle name="_樂清9507租賃用品申請_春節作業手冊-981217_1-晉欣鮮食廠-2012年春節作業體制" xfId="460"/>
    <cellStyle name="Normal - Style1" xfId="461"/>
    <cellStyle name="Normal_Co-wide Monthly" xfId="462"/>
    <cellStyle name="一般" xfId="0" builtinId="0"/>
    <cellStyle name="一般 10" xfId="469"/>
    <cellStyle name="一般 10 2" xfId="470"/>
    <cellStyle name="一般 11" xfId="471"/>
    <cellStyle name="一般 12" xfId="472"/>
    <cellStyle name="一般 13" xfId="473"/>
    <cellStyle name="一般 14" xfId="474"/>
    <cellStyle name="一般 15" xfId="475"/>
    <cellStyle name="一般 15 2" xfId="476"/>
    <cellStyle name="一般 16" xfId="477"/>
    <cellStyle name="一般 17" xfId="478"/>
    <cellStyle name="一般 18" xfId="479"/>
    <cellStyle name="一般 19" xfId="480"/>
    <cellStyle name="一般 2" xfId="1"/>
    <cellStyle name="一般 2 2" xfId="481"/>
    <cellStyle name="一般 2 2 2" xfId="9"/>
    <cellStyle name="一般 2 2 2 2" xfId="482"/>
    <cellStyle name="一般 2 2 3" xfId="483"/>
    <cellStyle name="一般 2 2 30 2 2 30 2" xfId="4"/>
    <cellStyle name="一般 2 2 30 2 2 30 2 2" xfId="12"/>
    <cellStyle name="一般 2 2 30 2 2 30 2 2 2" xfId="15"/>
    <cellStyle name="一般 2 2 30 2 2 30 2 2 2 2 2" xfId="577"/>
    <cellStyle name="一般 2 2 30 2 2 30 2 2 3" xfId="16"/>
    <cellStyle name="一般 2 2 30 2 2 30 2 2 4" xfId="17"/>
    <cellStyle name="一般 2 2 30 2 2 30 2 3 2" xfId="578"/>
    <cellStyle name="一般 2 2 30 2 3 2" xfId="6"/>
    <cellStyle name="一般 2 2 30 2 3 2 2 2" xfId="18"/>
    <cellStyle name="一般 2 2 30 2 3 2 3" xfId="579"/>
    <cellStyle name="一般 2 2 30 3 30" xfId="7"/>
    <cellStyle name="一般 2 3" xfId="484"/>
    <cellStyle name="一般 2 4" xfId="485"/>
    <cellStyle name="一般 2 5" xfId="486"/>
    <cellStyle name="一般 2 6" xfId="487"/>
    <cellStyle name="一般 2 7" xfId="488"/>
    <cellStyle name="一般 2 8" xfId="489"/>
    <cellStyle name="一般 2 9" xfId="23"/>
    <cellStyle name="一般 20" xfId="490"/>
    <cellStyle name="一般 21" xfId="491"/>
    <cellStyle name="一般 22" xfId="492"/>
    <cellStyle name="一般 23" xfId="493"/>
    <cellStyle name="一般 24" xfId="21"/>
    <cellStyle name="一般 3" xfId="11"/>
    <cellStyle name="一般 3 2" xfId="494"/>
    <cellStyle name="一般 3 2 2" xfId="495"/>
    <cellStyle name="一般 3 3" xfId="496"/>
    <cellStyle name="一般 3 4" xfId="497"/>
    <cellStyle name="一般 3 5" xfId="498"/>
    <cellStyle name="一般 3 5 2" xfId="499"/>
    <cellStyle name="一般 3 6" xfId="500"/>
    <cellStyle name="一般 3 7" xfId="501"/>
    <cellStyle name="一般 3 8" xfId="463"/>
    <cellStyle name="一般 4" xfId="5"/>
    <cellStyle name="一般 4 2" xfId="502"/>
    <cellStyle name="一般 4 3" xfId="503"/>
    <cellStyle name="一般 4 4" xfId="464"/>
    <cellStyle name="一般 5" xfId="504"/>
    <cellStyle name="一般 5 2" xfId="505"/>
    <cellStyle name="一般 6" xfId="506"/>
    <cellStyle name="一般 6 2" xfId="507"/>
    <cellStyle name="一般 7" xfId="508"/>
    <cellStyle name="一般 8" xfId="509"/>
    <cellStyle name="一般 8 2" xfId="510"/>
    <cellStyle name="一般 9" xfId="511"/>
    <cellStyle name="一般 9 2" xfId="512"/>
    <cellStyle name="千分位" xfId="14" builtinId="3"/>
    <cellStyle name="千分位 2" xfId="2"/>
    <cellStyle name="千分位 2 2" xfId="514"/>
    <cellStyle name="千分位 2 3" xfId="515"/>
    <cellStyle name="千分位 2 4" xfId="516"/>
    <cellStyle name="千分位 2 5" xfId="517"/>
    <cellStyle name="千分位 2 6" xfId="518"/>
    <cellStyle name="千分位 2 7" xfId="519"/>
    <cellStyle name="千分位 2 8" xfId="513"/>
    <cellStyle name="千分位 3" xfId="19"/>
    <cellStyle name="千分位 3 2" xfId="520"/>
    <cellStyle name="千分位 4" xfId="521"/>
    <cellStyle name="千分位 5" xfId="522"/>
    <cellStyle name="千分位 5 2" xfId="523"/>
    <cellStyle name="千分位 6" xfId="524"/>
    <cellStyle name="千分位 7" xfId="525"/>
    <cellStyle name="千分位 8" xfId="526"/>
    <cellStyle name="千分位 9" xfId="576"/>
    <cellStyle name="好_1001024-晉欣重要管制流程 (3)" xfId="527"/>
    <cellStyle name="好_Sheet1" xfId="528"/>
    <cellStyle name="好_工作日報表---" xfId="529"/>
    <cellStyle name="好_晉欣重要管制流程-油炸作業" xfId="530"/>
    <cellStyle name="好_晉欣重要管制流程-原物料驗收" xfId="531"/>
    <cellStyle name="好_晉欣重要管制流程-烤箱作業" xfId="532"/>
    <cellStyle name="好_晉欣重要管制流程-理貨作業" xfId="533"/>
    <cellStyle name="好_晉欣重要管制流程-煮麵作業" xfId="534"/>
    <cellStyle name="好_晉欣重要管制流程-飯糰機操作&amp;丼飯作業&amp;三明治&amp;標籤&amp;炊飯&amp;美生菜" xfId="535"/>
    <cellStyle name="好_晉欣重要管制流程-準備室作業" xfId="536"/>
    <cellStyle name="好_晉欣重要管制流程-補料作業" xfId="537"/>
    <cellStyle name="好_配料相關一、二--------" xfId="538"/>
    <cellStyle name="百分比 2" xfId="8"/>
    <cellStyle name="百分比 2 2" xfId="10"/>
    <cellStyle name="百分比 2 2 2" xfId="20"/>
    <cellStyle name="百分比 2 2 2 2" xfId="540"/>
    <cellStyle name="百分比 2 2 3" xfId="539"/>
    <cellStyle name="百分比 2 3" xfId="541"/>
    <cellStyle name="百分比 2 4" xfId="542"/>
    <cellStyle name="百分比 2 5" xfId="24"/>
    <cellStyle name="百分比 3" xfId="3"/>
    <cellStyle name="百分比 3 2" xfId="544"/>
    <cellStyle name="百分比 3 3" xfId="545"/>
    <cellStyle name="百分比 3 4" xfId="543"/>
    <cellStyle name="百分比 4" xfId="13"/>
    <cellStyle name="百分比 4 2" xfId="547"/>
    <cellStyle name="百分比 4 2 2" xfId="548"/>
    <cellStyle name="百分比 4 2 2 2" xfId="549"/>
    <cellStyle name="百分比 4 2 3" xfId="550"/>
    <cellStyle name="百分比 4 3" xfId="551"/>
    <cellStyle name="百分比 4 3 2" xfId="552"/>
    <cellStyle name="百分比 4 3 2 2" xfId="553"/>
    <cellStyle name="百分比 4 3 2 2 2" xfId="554"/>
    <cellStyle name="百分比 4 3 2 2 2 2" xfId="555"/>
    <cellStyle name="百分比 4 3 2 2 2 2 2" xfId="556"/>
    <cellStyle name="百分比 4 4" xfId="557"/>
    <cellStyle name="百分比 4 5" xfId="546"/>
    <cellStyle name="百分比 5" xfId="558"/>
    <cellStyle name="百分比 5 2" xfId="559"/>
    <cellStyle name="百分比 5 3" xfId="560"/>
    <cellStyle name="百分比 6" xfId="561"/>
    <cellStyle name="百分比 7" xfId="22"/>
    <cellStyle name="貨幣 2" xfId="562"/>
    <cellStyle name="貨幣[0]_ AUDIT" xfId="465"/>
    <cellStyle name="超連結 2" xfId="466"/>
    <cellStyle name="標準 2_關所SOP" xfId="563"/>
    <cellStyle name="樣式 1" xfId="467"/>
    <cellStyle name="樣式 2" xfId="468"/>
    <cellStyle name="壞_1001024-晉欣重要管制流程 (3)" xfId="564"/>
    <cellStyle name="壞_Sheet1" xfId="565"/>
    <cellStyle name="壞_工作日報表---" xfId="566"/>
    <cellStyle name="壞_晉欣重要管制流程-油炸作業" xfId="567"/>
    <cellStyle name="壞_晉欣重要管制流程-原物料驗收" xfId="568"/>
    <cellStyle name="壞_晉欣重要管制流程-烤箱作業" xfId="569"/>
    <cellStyle name="壞_晉欣重要管制流程-理貨作業" xfId="570"/>
    <cellStyle name="壞_晉欣重要管制流程-煮麵作業" xfId="571"/>
    <cellStyle name="壞_晉欣重要管制流程-飯糰機操作&amp;丼飯作業&amp;三明治&amp;標籤&amp;炊飯&amp;美生菜" xfId="572"/>
    <cellStyle name="壞_晉欣重要管制流程-準備室作業" xfId="573"/>
    <cellStyle name="壞_晉欣重要管制流程-補料作業" xfId="574"/>
    <cellStyle name="壞_配料相關一、二--------" xfId="575"/>
  </cellStyles>
  <dxfs count="8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75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578" t="s">
        <v>12</v>
      </c>
      <c r="D21" s="561"/>
      <c r="E21" s="554"/>
      <c r="F21" s="50" t="s">
        <v>46</v>
      </c>
      <c r="G21" s="50" t="s">
        <v>48</v>
      </c>
      <c r="H21" s="50" t="s">
        <v>49</v>
      </c>
      <c r="I21" s="8" t="s">
        <v>13</v>
      </c>
      <c r="J21" s="570" t="s">
        <v>51</v>
      </c>
      <c r="K21" s="554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553" t="s">
        <v>14</v>
      </c>
      <c r="D22" s="561"/>
      <c r="E22" s="554"/>
      <c r="F22" s="4">
        <v>3</v>
      </c>
      <c r="G22" s="4">
        <v>3000</v>
      </c>
      <c r="H22" s="4">
        <v>1000</v>
      </c>
      <c r="I22" s="4">
        <v>10</v>
      </c>
      <c r="J22" s="560" t="s">
        <v>76</v>
      </c>
      <c r="K22" s="554"/>
      <c r="M22" s="53" t="s">
        <v>26</v>
      </c>
      <c r="N22" s="58" t="s">
        <v>47</v>
      </c>
      <c r="O22" s="566" t="s">
        <v>12</v>
      </c>
      <c r="P22" s="561"/>
      <c r="Q22" s="554"/>
      <c r="R22" s="572" t="s">
        <v>53</v>
      </c>
      <c r="S22" s="561"/>
      <c r="T22" s="554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570" t="s">
        <v>51</v>
      </c>
      <c r="AA22" s="554"/>
    </row>
    <row r="23" spans="1:27" ht="15.75" customHeight="1">
      <c r="A23" s="23"/>
      <c r="B23" s="6">
        <v>2</v>
      </c>
      <c r="C23" s="575"/>
      <c r="D23" s="561"/>
      <c r="E23" s="554"/>
      <c r="F23" s="4"/>
      <c r="G23" s="4"/>
      <c r="H23" s="4"/>
      <c r="I23" s="4"/>
      <c r="J23" s="575"/>
      <c r="K23" s="554"/>
      <c r="M23" s="57" t="s">
        <v>42</v>
      </c>
      <c r="N23" s="24">
        <v>1</v>
      </c>
      <c r="O23" s="560" t="s">
        <v>82</v>
      </c>
      <c r="P23" s="561"/>
      <c r="Q23" s="554"/>
      <c r="R23" s="560" t="s">
        <v>85</v>
      </c>
      <c r="S23" s="561"/>
      <c r="T23" s="554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560" t="s">
        <v>86</v>
      </c>
      <c r="AA23" s="554"/>
    </row>
    <row r="24" spans="1:27" ht="15.75" customHeight="1">
      <c r="A24" s="23"/>
      <c r="B24" s="6">
        <v>3</v>
      </c>
      <c r="C24" s="575"/>
      <c r="D24" s="561"/>
      <c r="E24" s="554"/>
      <c r="F24" s="4"/>
      <c r="G24" s="4"/>
      <c r="H24" s="4"/>
      <c r="I24" s="4"/>
      <c r="J24" s="575"/>
      <c r="K24" s="554"/>
      <c r="M24" s="25"/>
      <c r="N24" s="24">
        <v>2</v>
      </c>
      <c r="O24" s="553"/>
      <c r="P24" s="561"/>
      <c r="Q24" s="554"/>
      <c r="R24" s="553"/>
      <c r="S24" s="561"/>
      <c r="T24" s="554"/>
      <c r="U24" s="4"/>
      <c r="V24" s="14"/>
      <c r="W24" s="4"/>
      <c r="X24" s="16">
        <f>W24*U24</f>
        <v>0</v>
      </c>
      <c r="Y24" s="4"/>
      <c r="Z24" s="553"/>
      <c r="AA24" s="554"/>
    </row>
    <row r="25" spans="1:27" ht="15.75" customHeight="1">
      <c r="A25" s="23"/>
      <c r="B25" s="6">
        <v>4</v>
      </c>
      <c r="C25" s="575"/>
      <c r="D25" s="561"/>
      <c r="E25" s="554"/>
      <c r="F25" s="4"/>
      <c r="G25" s="4"/>
      <c r="H25" s="4"/>
      <c r="I25" s="4"/>
      <c r="J25" s="575"/>
      <c r="K25" s="554"/>
      <c r="M25" s="25"/>
      <c r="N25" s="24">
        <v>3</v>
      </c>
      <c r="O25" s="553"/>
      <c r="P25" s="561"/>
      <c r="Q25" s="554"/>
      <c r="R25" s="553"/>
      <c r="S25" s="561"/>
      <c r="T25" s="554"/>
      <c r="U25" s="4"/>
      <c r="V25" s="14"/>
      <c r="W25" s="4"/>
      <c r="X25" s="16">
        <f>W25*U25</f>
        <v>0</v>
      </c>
      <c r="Y25" s="4"/>
      <c r="Z25" s="553"/>
      <c r="AA25" s="554"/>
    </row>
    <row r="26" spans="1:27" ht="15.75" customHeight="1">
      <c r="A26" s="23"/>
      <c r="B26" s="26">
        <v>5</v>
      </c>
      <c r="C26" s="579"/>
      <c r="D26" s="562"/>
      <c r="E26" s="556"/>
      <c r="F26" s="27"/>
      <c r="G26" s="27"/>
      <c r="H26" s="27"/>
      <c r="I26" s="27"/>
      <c r="J26" s="579"/>
      <c r="K26" s="556"/>
      <c r="M26" s="25"/>
      <c r="N26" s="24">
        <v>4</v>
      </c>
      <c r="O26" s="553"/>
      <c r="P26" s="561"/>
      <c r="Q26" s="554"/>
      <c r="R26" s="553"/>
      <c r="S26" s="561"/>
      <c r="T26" s="554"/>
      <c r="U26" s="4"/>
      <c r="V26" s="14"/>
      <c r="W26" s="4"/>
      <c r="X26" s="16">
        <f>W26*U26</f>
        <v>0</v>
      </c>
      <c r="Y26" s="4"/>
      <c r="Z26" s="553"/>
      <c r="AA26" s="554"/>
    </row>
    <row r="27" spans="1:27" ht="15.75" customHeight="1">
      <c r="A27" s="23"/>
      <c r="B27" s="70" t="s">
        <v>101</v>
      </c>
      <c r="C27" s="563" t="s">
        <v>75</v>
      </c>
      <c r="D27" s="564"/>
      <c r="E27" s="565"/>
      <c r="F27" s="28">
        <v>4</v>
      </c>
      <c r="G27" s="28">
        <v>2800</v>
      </c>
      <c r="H27" s="28">
        <v>700</v>
      </c>
      <c r="I27" s="28" t="s">
        <v>15</v>
      </c>
      <c r="J27" s="563" t="s">
        <v>77</v>
      </c>
      <c r="K27" s="565"/>
      <c r="M27" s="25"/>
      <c r="N27" s="29">
        <v>5</v>
      </c>
      <c r="O27" s="555"/>
      <c r="P27" s="562"/>
      <c r="Q27" s="556"/>
      <c r="R27" s="555"/>
      <c r="S27" s="562"/>
      <c r="T27" s="556"/>
      <c r="U27" s="27"/>
      <c r="V27" s="30"/>
      <c r="W27" s="27"/>
      <c r="X27" s="31">
        <f>W27*U27</f>
        <v>0</v>
      </c>
      <c r="Y27" s="4"/>
      <c r="Z27" s="555"/>
      <c r="AA27" s="556"/>
    </row>
    <row r="28" spans="1:27" ht="15.75" customHeight="1">
      <c r="A28" s="23"/>
      <c r="B28" s="71" t="s">
        <v>102</v>
      </c>
      <c r="C28" s="575"/>
      <c r="D28" s="561"/>
      <c r="E28" s="554"/>
      <c r="F28" s="4"/>
      <c r="G28" s="4"/>
      <c r="H28" s="4"/>
      <c r="I28" s="4"/>
      <c r="J28" s="575"/>
      <c r="K28" s="554"/>
      <c r="M28" s="32"/>
      <c r="N28" s="56"/>
      <c r="O28" s="557"/>
      <c r="P28" s="561"/>
      <c r="Q28" s="561"/>
      <c r="R28" s="557"/>
      <c r="S28" s="561"/>
      <c r="T28" s="561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557"/>
      <c r="AA28" s="554"/>
    </row>
    <row r="29" spans="1:27" ht="15.75" customHeight="1">
      <c r="A29" s="23"/>
      <c r="B29" s="71" t="s">
        <v>100</v>
      </c>
      <c r="C29" s="575"/>
      <c r="D29" s="561"/>
      <c r="E29" s="554"/>
      <c r="F29" s="4"/>
      <c r="G29" s="4"/>
      <c r="H29" s="4"/>
      <c r="I29" s="4"/>
      <c r="J29" s="575"/>
      <c r="K29" s="554"/>
      <c r="M29" s="57" t="s">
        <v>43</v>
      </c>
      <c r="N29" s="24">
        <v>1</v>
      </c>
      <c r="O29" s="576" t="s">
        <v>16</v>
      </c>
      <c r="P29" s="577"/>
      <c r="Q29" s="559"/>
      <c r="R29" s="558" t="s">
        <v>87</v>
      </c>
      <c r="S29" s="577"/>
      <c r="T29" s="559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558" t="s">
        <v>88</v>
      </c>
      <c r="AA29" s="559"/>
    </row>
    <row r="30" spans="1:27" ht="15.75" customHeight="1">
      <c r="A30" s="23"/>
      <c r="B30" s="71" t="s">
        <v>99</v>
      </c>
      <c r="C30" s="575"/>
      <c r="D30" s="561"/>
      <c r="E30" s="554"/>
      <c r="F30" s="4"/>
      <c r="G30" s="4"/>
      <c r="H30" s="4"/>
      <c r="I30" s="4"/>
      <c r="J30" s="575"/>
      <c r="K30" s="554"/>
      <c r="M30" s="25"/>
      <c r="N30" s="24">
        <v>2</v>
      </c>
      <c r="O30" s="553"/>
      <c r="P30" s="561"/>
      <c r="Q30" s="554"/>
      <c r="R30" s="553"/>
      <c r="S30" s="561"/>
      <c r="T30" s="554"/>
      <c r="U30" s="4"/>
      <c r="V30" s="14"/>
      <c r="W30" s="4"/>
      <c r="X30" s="16">
        <f>W30*U30</f>
        <v>0</v>
      </c>
      <c r="Y30" s="4"/>
      <c r="Z30" s="553"/>
      <c r="AA30" s="554"/>
    </row>
    <row r="31" spans="1:27" ht="15.75" customHeight="1">
      <c r="A31" s="20"/>
      <c r="B31" s="71" t="s">
        <v>103</v>
      </c>
      <c r="C31" s="575"/>
      <c r="D31" s="561"/>
      <c r="E31" s="554"/>
      <c r="F31" s="4"/>
      <c r="G31" s="4"/>
      <c r="H31" s="4"/>
      <c r="I31" s="4"/>
      <c r="J31" s="575"/>
      <c r="K31" s="554"/>
      <c r="M31" s="25"/>
      <c r="N31" s="24">
        <v>3</v>
      </c>
      <c r="O31" s="553"/>
      <c r="P31" s="561"/>
      <c r="Q31" s="554"/>
      <c r="R31" s="553"/>
      <c r="S31" s="561"/>
      <c r="T31" s="554"/>
      <c r="U31" s="4"/>
      <c r="V31" s="14"/>
      <c r="W31" s="4"/>
      <c r="X31" s="16">
        <f>W31*U31</f>
        <v>0</v>
      </c>
      <c r="Y31" s="4"/>
      <c r="Z31" s="553"/>
      <c r="AA31" s="554"/>
    </row>
    <row r="32" spans="1:27" ht="15.75" customHeight="1">
      <c r="A32" s="68"/>
      <c r="M32" s="25"/>
      <c r="N32" s="24">
        <v>4</v>
      </c>
      <c r="O32" s="553"/>
      <c r="P32" s="561"/>
      <c r="Q32" s="554"/>
      <c r="R32" s="553"/>
      <c r="S32" s="561"/>
      <c r="T32" s="554"/>
      <c r="U32" s="4"/>
      <c r="V32" s="14"/>
      <c r="W32" s="4"/>
      <c r="X32" s="16">
        <f>W32*U32</f>
        <v>0</v>
      </c>
      <c r="Y32" s="4"/>
      <c r="Z32" s="553"/>
      <c r="AA32" s="554"/>
    </row>
    <row r="33" spans="1:27" ht="15.75" customHeight="1">
      <c r="A33" s="18"/>
      <c r="B33" s="50" t="s">
        <v>47</v>
      </c>
      <c r="C33" s="578" t="s">
        <v>12</v>
      </c>
      <c r="D33" s="561"/>
      <c r="E33" s="554"/>
      <c r="F33" s="50" t="s">
        <v>46</v>
      </c>
      <c r="G33" s="50" t="s">
        <v>48</v>
      </c>
      <c r="H33" s="50" t="s">
        <v>49</v>
      </c>
      <c r="I33" s="8" t="s">
        <v>13</v>
      </c>
      <c r="J33" s="570" t="s">
        <v>51</v>
      </c>
      <c r="K33" s="554"/>
      <c r="M33" s="25"/>
      <c r="N33" s="29">
        <v>5</v>
      </c>
      <c r="O33" s="553"/>
      <c r="P33" s="561"/>
      <c r="Q33" s="554"/>
      <c r="R33" s="553"/>
      <c r="S33" s="561"/>
      <c r="T33" s="554"/>
      <c r="U33" s="27"/>
      <c r="V33" s="30"/>
      <c r="W33" s="27"/>
      <c r="X33" s="31">
        <f>W33*U33</f>
        <v>0</v>
      </c>
      <c r="Y33" s="4"/>
      <c r="Z33" s="553"/>
      <c r="AA33" s="554"/>
    </row>
    <row r="34" spans="1:27" ht="15.75" customHeight="1">
      <c r="A34" s="53" t="s">
        <v>35</v>
      </c>
      <c r="B34" s="6">
        <v>1</v>
      </c>
      <c r="C34" s="560" t="s">
        <v>79</v>
      </c>
      <c r="D34" s="561"/>
      <c r="E34" s="554"/>
      <c r="F34" s="4">
        <v>3</v>
      </c>
      <c r="G34" s="4">
        <v>2500</v>
      </c>
      <c r="H34" s="4">
        <v>833.33</v>
      </c>
      <c r="I34" s="4">
        <v>20</v>
      </c>
      <c r="J34" s="560" t="s">
        <v>78</v>
      </c>
      <c r="K34" s="554"/>
      <c r="M34" s="69"/>
      <c r="N34" s="45"/>
      <c r="O34" s="557"/>
      <c r="P34" s="561"/>
      <c r="Q34" s="561"/>
      <c r="R34" s="557"/>
      <c r="S34" s="561"/>
      <c r="T34" s="561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557"/>
      <c r="AA34" s="554"/>
    </row>
    <row r="35" spans="1:27" ht="15.75" customHeight="1">
      <c r="A35" s="23"/>
      <c r="B35" s="6">
        <v>2</v>
      </c>
      <c r="C35" s="553"/>
      <c r="D35" s="561"/>
      <c r="E35" s="554"/>
      <c r="F35" s="4"/>
      <c r="G35" s="4"/>
      <c r="H35" s="4"/>
      <c r="I35" s="4"/>
      <c r="J35" s="553"/>
      <c r="K35" s="554"/>
      <c r="M35" s="1"/>
      <c r="N35" s="1"/>
      <c r="O35" s="568"/>
      <c r="P35" s="569"/>
      <c r="Q35" s="569"/>
      <c r="R35" s="568"/>
      <c r="S35" s="569"/>
      <c r="T35" s="569"/>
      <c r="U35" s="1"/>
      <c r="V35" s="38"/>
      <c r="W35" s="1"/>
      <c r="X35" s="1"/>
      <c r="Y35" s="568"/>
      <c r="Z35" s="569"/>
      <c r="AA35" s="569"/>
    </row>
    <row r="36" spans="1:27" ht="15.75" customHeight="1">
      <c r="A36" s="23"/>
      <c r="B36" s="6">
        <v>3</v>
      </c>
      <c r="C36" s="553"/>
      <c r="D36" s="561"/>
      <c r="E36" s="554"/>
      <c r="F36" s="4"/>
      <c r="G36" s="4"/>
      <c r="H36" s="4"/>
      <c r="I36" s="4"/>
      <c r="J36" s="553"/>
      <c r="K36" s="554"/>
      <c r="M36" s="53" t="s">
        <v>27</v>
      </c>
      <c r="N36" s="58" t="s">
        <v>47</v>
      </c>
      <c r="O36" s="566" t="s">
        <v>12</v>
      </c>
      <c r="P36" s="557"/>
      <c r="Q36" s="567"/>
      <c r="R36" s="572" t="s">
        <v>53</v>
      </c>
      <c r="S36" s="573"/>
      <c r="T36" s="574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570" t="s">
        <v>51</v>
      </c>
      <c r="AA36" s="571"/>
    </row>
    <row r="37" spans="1:27" ht="15.75" customHeight="1">
      <c r="A37" s="23"/>
      <c r="B37" s="6">
        <v>4</v>
      </c>
      <c r="C37" s="553"/>
      <c r="D37" s="561"/>
      <c r="E37" s="554"/>
      <c r="F37" s="4"/>
      <c r="G37" s="4"/>
      <c r="H37" s="4"/>
      <c r="I37" s="4"/>
      <c r="J37" s="553"/>
      <c r="K37" s="554"/>
      <c r="M37" s="57" t="s">
        <v>42</v>
      </c>
      <c r="N37" s="24">
        <v>1</v>
      </c>
      <c r="O37" s="560" t="s">
        <v>89</v>
      </c>
      <c r="P37" s="561"/>
      <c r="Q37" s="554"/>
      <c r="R37" s="560" t="s">
        <v>90</v>
      </c>
      <c r="S37" s="561"/>
      <c r="T37" s="554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560" t="s">
        <v>91</v>
      </c>
      <c r="AA37" s="554"/>
    </row>
    <row r="38" spans="1:27" ht="15.75" customHeight="1">
      <c r="A38" s="23"/>
      <c r="B38" s="26">
        <v>5</v>
      </c>
      <c r="C38" s="555"/>
      <c r="D38" s="562"/>
      <c r="E38" s="556"/>
      <c r="F38" s="27"/>
      <c r="G38" s="27"/>
      <c r="H38" s="27"/>
      <c r="I38" s="27"/>
      <c r="J38" s="555"/>
      <c r="K38" s="556"/>
      <c r="M38" s="25"/>
      <c r="N38" s="24">
        <v>2</v>
      </c>
      <c r="O38" s="553"/>
      <c r="P38" s="561"/>
      <c r="Q38" s="554"/>
      <c r="R38" s="553"/>
      <c r="S38" s="561"/>
      <c r="T38" s="554"/>
      <c r="U38" s="4"/>
      <c r="V38" s="14"/>
      <c r="W38" s="4"/>
      <c r="X38" s="16">
        <f>W38*U38</f>
        <v>0</v>
      </c>
      <c r="Y38" s="4"/>
      <c r="Z38" s="553"/>
      <c r="AA38" s="554"/>
    </row>
    <row r="39" spans="1:27" ht="14.25">
      <c r="A39" s="23"/>
      <c r="B39" s="70" t="s">
        <v>101</v>
      </c>
      <c r="C39" s="563" t="s">
        <v>80</v>
      </c>
      <c r="D39" s="564"/>
      <c r="E39" s="565"/>
      <c r="F39" s="28">
        <v>7</v>
      </c>
      <c r="G39" s="28">
        <v>2200</v>
      </c>
      <c r="H39" s="28">
        <v>314.29000000000002</v>
      </c>
      <c r="I39" s="28">
        <v>-15</v>
      </c>
      <c r="J39" s="563" t="s">
        <v>81</v>
      </c>
      <c r="K39" s="565"/>
      <c r="M39" s="25"/>
      <c r="N39" s="24">
        <v>3</v>
      </c>
      <c r="O39" s="553"/>
      <c r="P39" s="561"/>
      <c r="Q39" s="554"/>
      <c r="R39" s="553"/>
      <c r="S39" s="561"/>
      <c r="T39" s="554"/>
      <c r="U39" s="4"/>
      <c r="V39" s="14"/>
      <c r="W39" s="4"/>
      <c r="X39" s="16">
        <f>W39*U39</f>
        <v>0</v>
      </c>
      <c r="Y39" s="4"/>
      <c r="Z39" s="553"/>
      <c r="AA39" s="554"/>
    </row>
    <row r="40" spans="1:27" ht="14.25">
      <c r="A40" s="23"/>
      <c r="B40" s="71" t="s">
        <v>102</v>
      </c>
      <c r="C40" s="553"/>
      <c r="D40" s="561"/>
      <c r="E40" s="554"/>
      <c r="F40" s="4"/>
      <c r="G40" s="4"/>
      <c r="H40" s="4"/>
      <c r="I40" s="4"/>
      <c r="J40" s="553"/>
      <c r="K40" s="554"/>
      <c r="M40" s="25"/>
      <c r="N40" s="24">
        <v>4</v>
      </c>
      <c r="O40" s="553"/>
      <c r="P40" s="561"/>
      <c r="Q40" s="554"/>
      <c r="R40" s="553"/>
      <c r="S40" s="561"/>
      <c r="T40" s="554"/>
      <c r="U40" s="4"/>
      <c r="V40" s="14"/>
      <c r="W40" s="4"/>
      <c r="X40" s="16">
        <f>W40*U40</f>
        <v>0</v>
      </c>
      <c r="Y40" s="4"/>
      <c r="Z40" s="553"/>
      <c r="AA40" s="554"/>
    </row>
    <row r="41" spans="1:27" ht="14.25">
      <c r="A41" s="23"/>
      <c r="B41" s="71" t="s">
        <v>100</v>
      </c>
      <c r="C41" s="553"/>
      <c r="D41" s="561"/>
      <c r="E41" s="554"/>
      <c r="F41" s="4"/>
      <c r="G41" s="4"/>
      <c r="H41" s="4"/>
      <c r="I41" s="4"/>
      <c r="J41" s="553"/>
      <c r="K41" s="554"/>
      <c r="M41" s="25"/>
      <c r="N41" s="29">
        <v>5</v>
      </c>
      <c r="O41" s="555"/>
      <c r="P41" s="562"/>
      <c r="Q41" s="556"/>
      <c r="R41" s="555"/>
      <c r="S41" s="562"/>
      <c r="T41" s="556"/>
      <c r="U41" s="27"/>
      <c r="V41" s="30"/>
      <c r="W41" s="27"/>
      <c r="X41" s="31">
        <f>W41*U41</f>
        <v>0</v>
      </c>
      <c r="Y41" s="4"/>
      <c r="Z41" s="553"/>
      <c r="AA41" s="554"/>
    </row>
    <row r="42" spans="1:27" ht="14.25">
      <c r="A42" s="23"/>
      <c r="B42" s="71" t="s">
        <v>99</v>
      </c>
      <c r="C42" s="553"/>
      <c r="D42" s="561"/>
      <c r="E42" s="554"/>
      <c r="F42" s="4"/>
      <c r="G42" s="4"/>
      <c r="H42" s="4"/>
      <c r="I42" s="4"/>
      <c r="J42" s="553"/>
      <c r="K42" s="554"/>
      <c r="M42" s="32"/>
      <c r="N42" s="55"/>
      <c r="O42" s="557"/>
      <c r="P42" s="561"/>
      <c r="Q42" s="561"/>
      <c r="R42" s="557"/>
      <c r="S42" s="561"/>
      <c r="T42" s="561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557"/>
      <c r="AA42" s="554"/>
    </row>
    <row r="43" spans="1:27" ht="14.25">
      <c r="A43" s="20"/>
      <c r="B43" s="71" t="s">
        <v>103</v>
      </c>
      <c r="C43" s="553"/>
      <c r="D43" s="561"/>
      <c r="E43" s="554"/>
      <c r="F43" s="4"/>
      <c r="G43" s="4"/>
      <c r="H43" s="4"/>
      <c r="I43" s="4"/>
      <c r="J43" s="553"/>
      <c r="K43" s="554"/>
      <c r="M43" s="57" t="s">
        <v>43</v>
      </c>
      <c r="N43" s="24">
        <v>1</v>
      </c>
      <c r="O43" s="560" t="s">
        <v>89</v>
      </c>
      <c r="P43" s="561"/>
      <c r="Q43" s="554"/>
      <c r="R43" s="558" t="s">
        <v>93</v>
      </c>
      <c r="S43" s="577"/>
      <c r="T43" s="559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560" t="s">
        <v>92</v>
      </c>
      <c r="AA43" s="554"/>
    </row>
    <row r="44" spans="1:27" ht="14.25">
      <c r="A44" s="68"/>
      <c r="M44" s="25"/>
      <c r="N44" s="24">
        <v>2</v>
      </c>
      <c r="O44" s="553"/>
      <c r="P44" s="561"/>
      <c r="Q44" s="554"/>
      <c r="R44" s="553"/>
      <c r="S44" s="561"/>
      <c r="T44" s="554"/>
      <c r="U44" s="4"/>
      <c r="V44" s="14"/>
      <c r="W44" s="4"/>
      <c r="X44" s="37">
        <f>W44*U44</f>
        <v>0</v>
      </c>
      <c r="Y44" s="4"/>
      <c r="Z44" s="553"/>
      <c r="AA44" s="554"/>
    </row>
    <row r="45" spans="1:27" ht="14.25">
      <c r="A45" s="18"/>
      <c r="B45" s="50" t="s">
        <v>47</v>
      </c>
      <c r="C45" s="578" t="s">
        <v>12</v>
      </c>
      <c r="D45" s="561"/>
      <c r="E45" s="554"/>
      <c r="F45" s="50" t="s">
        <v>46</v>
      </c>
      <c r="G45" s="50" t="s">
        <v>48</v>
      </c>
      <c r="H45" s="50" t="s">
        <v>49</v>
      </c>
      <c r="I45" s="8" t="s">
        <v>13</v>
      </c>
      <c r="J45" s="570" t="s">
        <v>51</v>
      </c>
      <c r="K45" s="554"/>
      <c r="M45" s="25"/>
      <c r="N45" s="24">
        <v>3</v>
      </c>
      <c r="O45" s="553"/>
      <c r="P45" s="561"/>
      <c r="Q45" s="554"/>
      <c r="R45" s="553"/>
      <c r="S45" s="561"/>
      <c r="T45" s="554"/>
      <c r="U45" s="4"/>
      <c r="V45" s="14"/>
      <c r="W45" s="4"/>
      <c r="X45" s="37">
        <f>W45*U45</f>
        <v>0</v>
      </c>
      <c r="Y45" s="4"/>
      <c r="Z45" s="553"/>
      <c r="AA45" s="554"/>
    </row>
    <row r="46" spans="1:27" ht="14.25">
      <c r="A46" s="53" t="s">
        <v>36</v>
      </c>
      <c r="B46" s="6">
        <v>1</v>
      </c>
      <c r="C46" s="560" t="s">
        <v>82</v>
      </c>
      <c r="D46" s="561"/>
      <c r="E46" s="554"/>
      <c r="F46" s="4">
        <v>15</v>
      </c>
      <c r="G46" s="4">
        <v>1200</v>
      </c>
      <c r="H46" s="4">
        <v>80</v>
      </c>
      <c r="I46" s="4">
        <v>5</v>
      </c>
      <c r="J46" s="560" t="s">
        <v>83</v>
      </c>
      <c r="K46" s="554"/>
      <c r="M46" s="25"/>
      <c r="N46" s="24">
        <v>4</v>
      </c>
      <c r="O46" s="553"/>
      <c r="P46" s="561"/>
      <c r="Q46" s="554"/>
      <c r="R46" s="553"/>
      <c r="S46" s="561"/>
      <c r="T46" s="554"/>
      <c r="U46" s="4"/>
      <c r="V46" s="14"/>
      <c r="W46" s="4"/>
      <c r="X46" s="37">
        <f>W46*U46</f>
        <v>0</v>
      </c>
      <c r="Y46" s="4"/>
      <c r="Z46" s="553"/>
      <c r="AA46" s="554"/>
    </row>
    <row r="47" spans="1:27" ht="14.25">
      <c r="A47" s="23"/>
      <c r="B47" s="6">
        <v>2</v>
      </c>
      <c r="C47" s="553"/>
      <c r="D47" s="561"/>
      <c r="E47" s="554"/>
      <c r="F47" s="4"/>
      <c r="G47" s="4"/>
      <c r="H47" s="4"/>
      <c r="I47" s="4"/>
      <c r="J47" s="553"/>
      <c r="K47" s="554"/>
      <c r="M47" s="25"/>
      <c r="N47" s="29">
        <v>5</v>
      </c>
      <c r="O47" s="553"/>
      <c r="P47" s="561"/>
      <c r="Q47" s="554"/>
      <c r="R47" s="553"/>
      <c r="S47" s="561"/>
      <c r="T47" s="554"/>
      <c r="U47" s="27"/>
      <c r="V47" s="30"/>
      <c r="W47" s="27"/>
      <c r="X47" s="40">
        <f>W47*U47</f>
        <v>0</v>
      </c>
      <c r="Y47" s="4"/>
      <c r="Z47" s="553"/>
      <c r="AA47" s="554"/>
    </row>
    <row r="48" spans="1:27" ht="14.25">
      <c r="A48" s="23"/>
      <c r="B48" s="6">
        <v>3</v>
      </c>
      <c r="C48" s="553"/>
      <c r="D48" s="561"/>
      <c r="E48" s="554"/>
      <c r="F48" s="4"/>
      <c r="G48" s="4"/>
      <c r="H48" s="4"/>
      <c r="I48" s="4"/>
      <c r="J48" s="553"/>
      <c r="K48" s="554"/>
      <c r="M48" s="69"/>
      <c r="N48" s="45"/>
      <c r="O48" s="557"/>
      <c r="P48" s="561"/>
      <c r="Q48" s="561"/>
      <c r="R48" s="557"/>
      <c r="S48" s="561"/>
      <c r="T48" s="561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557"/>
      <c r="AA48" s="554"/>
    </row>
    <row r="49" spans="1:27" ht="14.25">
      <c r="A49" s="23"/>
      <c r="B49" s="6">
        <v>4</v>
      </c>
      <c r="C49" s="553"/>
      <c r="D49" s="561"/>
      <c r="E49" s="554"/>
      <c r="F49" s="4"/>
      <c r="G49" s="4"/>
      <c r="H49" s="4"/>
      <c r="I49" s="4"/>
      <c r="J49" s="553"/>
      <c r="K49" s="554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55"/>
      <c r="D50" s="562"/>
      <c r="E50" s="556"/>
      <c r="F50" s="27"/>
      <c r="G50" s="27"/>
      <c r="H50" s="27"/>
      <c r="I50" s="27"/>
      <c r="J50" s="555"/>
      <c r="K50" s="556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>
      <c r="A51" s="23"/>
      <c r="B51" s="70" t="s">
        <v>101</v>
      </c>
      <c r="C51" s="563" t="s">
        <v>89</v>
      </c>
      <c r="D51" s="564"/>
      <c r="E51" s="565"/>
      <c r="F51" s="28">
        <v>18</v>
      </c>
      <c r="G51" s="28">
        <v>800</v>
      </c>
      <c r="H51" s="28">
        <v>44.44</v>
      </c>
      <c r="I51" s="28">
        <v>-15</v>
      </c>
      <c r="J51" s="563" t="s">
        <v>84</v>
      </c>
      <c r="K51" s="565"/>
      <c r="M51" s="8"/>
      <c r="N51" s="8" t="s">
        <v>18</v>
      </c>
      <c r="O51" s="566" t="s">
        <v>12</v>
      </c>
      <c r="P51" s="557"/>
      <c r="Q51" s="567"/>
      <c r="R51" s="572" t="s">
        <v>53</v>
      </c>
      <c r="S51" s="573"/>
      <c r="T51" s="574"/>
      <c r="U51" s="58" t="s">
        <v>54</v>
      </c>
      <c r="V51" s="39" t="s">
        <v>19</v>
      </c>
      <c r="W51" s="58" t="s">
        <v>57</v>
      </c>
      <c r="X51" s="8" t="s">
        <v>2</v>
      </c>
      <c r="Y51" s="566" t="s">
        <v>50</v>
      </c>
      <c r="Z51" s="557"/>
      <c r="AA51" s="567"/>
    </row>
    <row r="52" spans="1:27" ht="14.25">
      <c r="A52" s="23"/>
      <c r="B52" s="71" t="s">
        <v>102</v>
      </c>
      <c r="C52" s="553"/>
      <c r="D52" s="561"/>
      <c r="E52" s="554"/>
      <c r="F52" s="4"/>
      <c r="G52" s="4"/>
      <c r="H52" s="4"/>
      <c r="I52" s="4"/>
      <c r="J52" s="553"/>
      <c r="K52" s="554"/>
      <c r="M52" s="57" t="s">
        <v>42</v>
      </c>
      <c r="N52" s="24">
        <v>1</v>
      </c>
      <c r="O52" s="560" t="s">
        <v>89</v>
      </c>
      <c r="P52" s="561"/>
      <c r="Q52" s="554"/>
      <c r="R52" s="558" t="s">
        <v>93</v>
      </c>
      <c r="S52" s="577"/>
      <c r="T52" s="559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560" t="s">
        <v>97</v>
      </c>
      <c r="Z52" s="561"/>
      <c r="AA52" s="554"/>
    </row>
    <row r="53" spans="1:27" ht="14.25">
      <c r="A53" s="23"/>
      <c r="B53" s="71" t="s">
        <v>100</v>
      </c>
      <c r="C53" s="553"/>
      <c r="D53" s="561"/>
      <c r="E53" s="554"/>
      <c r="F53" s="4"/>
      <c r="G53" s="4"/>
      <c r="H53" s="4"/>
      <c r="I53" s="4"/>
      <c r="J53" s="553"/>
      <c r="K53" s="554"/>
      <c r="M53" s="25"/>
      <c r="N53" s="29">
        <v>2</v>
      </c>
      <c r="O53" s="555"/>
      <c r="P53" s="562"/>
      <c r="Q53" s="556"/>
      <c r="R53" s="555"/>
      <c r="S53" s="562"/>
      <c r="T53" s="556"/>
      <c r="U53" s="27"/>
      <c r="V53" s="30"/>
      <c r="W53" s="30"/>
      <c r="X53" s="41">
        <f>W53-V53</f>
        <v>0</v>
      </c>
      <c r="Y53" s="555"/>
      <c r="Z53" s="562"/>
      <c r="AA53" s="556"/>
    </row>
    <row r="54" spans="1:27" ht="14.25">
      <c r="A54" s="23"/>
      <c r="B54" s="71" t="s">
        <v>99</v>
      </c>
      <c r="C54" s="553"/>
      <c r="D54" s="561"/>
      <c r="E54" s="554"/>
      <c r="F54" s="4"/>
      <c r="G54" s="4"/>
      <c r="H54" s="4"/>
      <c r="I54" s="4"/>
      <c r="J54" s="553"/>
      <c r="K54" s="554"/>
      <c r="M54" s="57" t="s">
        <v>43</v>
      </c>
      <c r="N54" s="42">
        <v>1</v>
      </c>
      <c r="O54" s="563" t="s">
        <v>94</v>
      </c>
      <c r="P54" s="564"/>
      <c r="Q54" s="565"/>
      <c r="R54" s="563" t="s">
        <v>95</v>
      </c>
      <c r="S54" s="564"/>
      <c r="T54" s="565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563" t="s">
        <v>96</v>
      </c>
      <c r="Z54" s="564"/>
      <c r="AA54" s="565"/>
    </row>
    <row r="55" spans="1:27" ht="14.25">
      <c r="A55" s="20"/>
      <c r="B55" s="71" t="s">
        <v>103</v>
      </c>
      <c r="C55" s="553"/>
      <c r="D55" s="561"/>
      <c r="E55" s="554"/>
      <c r="F55" s="4"/>
      <c r="G55" s="4"/>
      <c r="H55" s="4"/>
      <c r="I55" s="4"/>
      <c r="J55" s="553"/>
      <c r="K55" s="554"/>
      <c r="M55" s="22"/>
      <c r="N55" s="24">
        <v>2</v>
      </c>
      <c r="O55" s="553"/>
      <c r="P55" s="561"/>
      <c r="Q55" s="554"/>
      <c r="R55" s="553"/>
      <c r="S55" s="561"/>
      <c r="T55" s="554"/>
      <c r="U55" s="4"/>
      <c r="V55" s="14"/>
      <c r="W55" s="14"/>
      <c r="X55" s="13">
        <f>W55-V55</f>
        <v>0</v>
      </c>
      <c r="Y55" s="553"/>
      <c r="Z55" s="561"/>
      <c r="AA55" s="554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9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:B11"/>
    </sheetView>
  </sheetViews>
  <sheetFormatPr defaultColWidth="12.5703125" defaultRowHeight="15.75" customHeight="1"/>
  <cols>
    <col min="1" max="1" width="27.42578125" style="119" bestFit="1" customWidth="1"/>
    <col min="2" max="2" width="12.5703125" style="119" customWidth="1"/>
    <col min="3" max="4" width="12.5703125" style="119"/>
    <col min="5" max="5" width="16.42578125" style="119" customWidth="1"/>
    <col min="6" max="6" width="2.42578125" style="119" customWidth="1"/>
    <col min="7" max="7" width="24.85546875" style="119" bestFit="1" customWidth="1"/>
    <col min="8" max="10" width="12.5703125" style="119"/>
    <col min="11" max="11" width="16.42578125" style="119" customWidth="1"/>
    <col min="12" max="12" width="12.5703125" style="120"/>
    <col min="13" max="16384" width="12.5703125" style="119"/>
  </cols>
  <sheetData>
    <row r="1" spans="1:12" ht="15.75" customHeight="1">
      <c r="A1" s="580" t="s">
        <v>367</v>
      </c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119"/>
    </row>
    <row r="2" spans="1:12" s="120" customFormat="1" ht="15.75" customHeight="1">
      <c r="A2" s="580"/>
      <c r="B2" s="580"/>
      <c r="C2" s="580"/>
      <c r="D2" s="580"/>
      <c r="E2" s="580"/>
      <c r="F2" s="580"/>
      <c r="G2" s="580"/>
      <c r="H2" s="580"/>
      <c r="I2" s="580"/>
      <c r="J2" s="580"/>
      <c r="K2" s="580"/>
    </row>
    <row r="3" spans="1:12" ht="21.6" customHeight="1">
      <c r="A3" s="139" t="s">
        <v>307</v>
      </c>
      <c r="B3" s="140">
        <v>10</v>
      </c>
      <c r="C3" s="139" t="s">
        <v>20</v>
      </c>
      <c r="D3" s="581" t="s">
        <v>366</v>
      </c>
      <c r="E3" s="581"/>
      <c r="F3" s="130"/>
      <c r="G3" s="131"/>
      <c r="H3" s="130"/>
      <c r="I3" s="130"/>
      <c r="J3" s="130"/>
      <c r="K3" s="130"/>
    </row>
    <row r="4" spans="1:12" s="121" customFormat="1" ht="15.75" customHeight="1">
      <c r="A4" s="132" t="s">
        <v>177</v>
      </c>
      <c r="B4" s="133"/>
      <c r="C4" s="133"/>
      <c r="D4" s="133"/>
      <c r="E4" s="123" t="s">
        <v>23</v>
      </c>
      <c r="F4" s="133"/>
      <c r="G4" s="134" t="s">
        <v>125</v>
      </c>
      <c r="H4" s="133"/>
      <c r="I4" s="133"/>
      <c r="J4" s="133"/>
      <c r="K4" s="133"/>
    </row>
    <row r="5" spans="1:12" s="125" customFormat="1" ht="15.75" customHeight="1">
      <c r="A5" s="146" t="s">
        <v>179</v>
      </c>
      <c r="B5" s="141" t="s">
        <v>22</v>
      </c>
      <c r="C5" s="141" t="s">
        <v>1</v>
      </c>
      <c r="D5" s="141" t="s">
        <v>2</v>
      </c>
      <c r="E5" s="141" t="s">
        <v>3</v>
      </c>
      <c r="F5" s="135"/>
      <c r="G5" s="146" t="s">
        <v>179</v>
      </c>
      <c r="H5" s="141" t="s">
        <v>69</v>
      </c>
      <c r="I5" s="141" t="s">
        <v>22</v>
      </c>
      <c r="J5" s="141" t="s">
        <v>67</v>
      </c>
      <c r="K5" s="141" t="s">
        <v>3</v>
      </c>
      <c r="L5" s="126" t="s">
        <v>60</v>
      </c>
    </row>
    <row r="6" spans="1:12" s="121" customFormat="1" ht="18" customHeight="1">
      <c r="A6" s="128" t="s">
        <v>24</v>
      </c>
      <c r="B6" s="142">
        <f>'（１）收支狀況'!H10/1000</f>
        <v>74601.312999999995</v>
      </c>
      <c r="C6" s="280">
        <v>224463.48699999999</v>
      </c>
      <c r="D6" s="142">
        <f t="shared" ref="D6:D11" si="0">B6-C6</f>
        <v>-149862.174</v>
      </c>
      <c r="E6" s="142">
        <f t="shared" ref="E6:E11" si="1">B6</f>
        <v>74601.312999999995</v>
      </c>
      <c r="F6" s="133"/>
      <c r="G6" s="128" t="s">
        <v>180</v>
      </c>
      <c r="H6" s="283">
        <v>266</v>
      </c>
      <c r="I6" s="144">
        <f>'（２）ＫＰＩ達成進度'!H6</f>
        <v>0</v>
      </c>
      <c r="J6" s="295">
        <v>330.21457859125206</v>
      </c>
      <c r="K6" s="144">
        <f t="shared" ref="K6:K11" si="2">I6</f>
        <v>0</v>
      </c>
      <c r="L6" s="122" t="s">
        <v>176</v>
      </c>
    </row>
    <row r="7" spans="1:12" s="121" customFormat="1" ht="18" customHeight="1">
      <c r="A7" s="128" t="s">
        <v>25</v>
      </c>
      <c r="B7" s="142">
        <f>'（１）收支狀況'!K10</f>
        <v>2232677</v>
      </c>
      <c r="C7" s="280">
        <v>6964636</v>
      </c>
      <c r="D7" s="142">
        <f t="shared" si="0"/>
        <v>-4731959</v>
      </c>
      <c r="E7" s="142">
        <f t="shared" si="1"/>
        <v>2232677</v>
      </c>
      <c r="F7" s="133"/>
      <c r="G7" s="128" t="s">
        <v>181</v>
      </c>
      <c r="H7" s="252">
        <v>0.8</v>
      </c>
      <c r="I7" s="143">
        <f>'（２）ＫＰＩ達成進度'!K6</f>
        <v>0</v>
      </c>
      <c r="J7" s="281">
        <v>0.90222562456626254</v>
      </c>
      <c r="K7" s="143">
        <f t="shared" si="2"/>
        <v>0</v>
      </c>
      <c r="L7" s="122" t="s">
        <v>4</v>
      </c>
    </row>
    <row r="8" spans="1:12" s="121" customFormat="1" ht="18" customHeight="1">
      <c r="A8" s="128" t="s">
        <v>5</v>
      </c>
      <c r="B8" s="142">
        <f>'（１）收支狀況'!N10/1000</f>
        <v>49370.684999999998</v>
      </c>
      <c r="C8" s="280">
        <v>150244.29199999999</v>
      </c>
      <c r="D8" s="142">
        <f>B8-C8</f>
        <v>-100873.60699999999</v>
      </c>
      <c r="E8" s="142">
        <f t="shared" si="1"/>
        <v>49370.684999999998</v>
      </c>
      <c r="F8" s="133"/>
      <c r="G8" s="128" t="s">
        <v>182</v>
      </c>
      <c r="H8" s="247">
        <v>2.5000000000000001E-3</v>
      </c>
      <c r="I8" s="247">
        <f>'（２）ＫＰＩ達成進度'!N6</f>
        <v>0</v>
      </c>
      <c r="J8" s="296">
        <v>2.4646256819628254E-3</v>
      </c>
      <c r="K8" s="247">
        <f t="shared" si="2"/>
        <v>0</v>
      </c>
      <c r="L8" s="122" t="s">
        <v>55</v>
      </c>
    </row>
    <row r="9" spans="1:12" s="121" customFormat="1" ht="18" customHeight="1">
      <c r="A9" s="128" t="s">
        <v>6</v>
      </c>
      <c r="B9" s="143">
        <f>'（１）收支狀況'!Q10</f>
        <v>0.66179378102902831</v>
      </c>
      <c r="C9" s="281">
        <v>0.66934847180735457</v>
      </c>
      <c r="D9" s="143">
        <f t="shared" si="0"/>
        <v>-7.5546907783262673E-3</v>
      </c>
      <c r="E9" s="143">
        <f t="shared" si="1"/>
        <v>0.66179378102902831</v>
      </c>
      <c r="F9" s="133"/>
      <c r="G9" s="128" t="s">
        <v>183</v>
      </c>
      <c r="H9" s="247">
        <v>2.5999999999999999E-3</v>
      </c>
      <c r="I9" s="247">
        <f>'（２）ＫＰＩ達成進度'!Q6</f>
        <v>0</v>
      </c>
      <c r="J9" s="296">
        <v>2.3405370745029669E-3</v>
      </c>
      <c r="K9" s="247">
        <f t="shared" si="2"/>
        <v>0</v>
      </c>
      <c r="L9" s="122" t="s">
        <v>98</v>
      </c>
    </row>
    <row r="10" spans="1:12" s="121" customFormat="1" ht="18" customHeight="1">
      <c r="A10" s="128" t="s">
        <v>64</v>
      </c>
      <c r="B10" s="142">
        <f>'（１）收支狀況'!T10/1000</f>
        <v>8400.3886499793134</v>
      </c>
      <c r="C10" s="280">
        <v>32105.786706827967</v>
      </c>
      <c r="D10" s="142">
        <f t="shared" si="0"/>
        <v>-23705.398056848651</v>
      </c>
      <c r="E10" s="142">
        <f t="shared" si="1"/>
        <v>8400.3886499793134</v>
      </c>
      <c r="F10" s="133"/>
      <c r="G10" s="128" t="s">
        <v>184</v>
      </c>
      <c r="H10" s="249">
        <v>0.8</v>
      </c>
      <c r="I10" s="249">
        <f>'（２）ＫＰＩ達成進度'!T6</f>
        <v>0</v>
      </c>
      <c r="J10" s="297">
        <v>0.91666666666666707</v>
      </c>
      <c r="K10" s="249">
        <f t="shared" si="2"/>
        <v>0</v>
      </c>
      <c r="L10" s="122" t="s">
        <v>7</v>
      </c>
    </row>
    <row r="11" spans="1:12" s="121" customFormat="1" ht="18" customHeight="1">
      <c r="A11" s="128" t="s">
        <v>65</v>
      </c>
      <c r="B11" s="143">
        <f>'（１）收支狀況'!W10</f>
        <v>0.11260376409164961</v>
      </c>
      <c r="C11" s="281">
        <v>0.14303344894053066</v>
      </c>
      <c r="D11" s="143">
        <f t="shared" si="0"/>
        <v>-3.0429684848881047E-2</v>
      </c>
      <c r="E11" s="143">
        <f t="shared" si="1"/>
        <v>0.11260376409164961</v>
      </c>
      <c r="F11" s="133"/>
      <c r="G11" s="128" t="s">
        <v>185</v>
      </c>
      <c r="H11" s="249">
        <v>1</v>
      </c>
      <c r="I11" s="143">
        <f>'（２）ＫＰＩ達成進度'!W6</f>
        <v>0</v>
      </c>
      <c r="J11" s="281">
        <v>0.84941935483870945</v>
      </c>
      <c r="K11" s="143">
        <f t="shared" si="2"/>
        <v>0</v>
      </c>
      <c r="L11" s="122" t="s">
        <v>62</v>
      </c>
    </row>
    <row r="12" spans="1:12" s="121" customFormat="1" ht="9.6" customHeight="1">
      <c r="A12" s="133"/>
      <c r="B12" s="133"/>
      <c r="C12" s="133"/>
      <c r="D12" s="133"/>
      <c r="E12" s="133"/>
      <c r="F12" s="133"/>
      <c r="G12" s="133"/>
      <c r="H12" s="133"/>
      <c r="I12" s="133"/>
      <c r="J12" s="133"/>
      <c r="K12" s="133"/>
    </row>
    <row r="13" spans="1:12" s="121" customFormat="1" ht="15.75" customHeight="1">
      <c r="A13" s="132" t="s">
        <v>32</v>
      </c>
      <c r="B13" s="133"/>
      <c r="C13" s="133"/>
      <c r="D13" s="133"/>
      <c r="E13" s="133"/>
      <c r="F13" s="133"/>
      <c r="G13" s="132" t="s">
        <v>147</v>
      </c>
      <c r="H13" s="133"/>
      <c r="I13" s="133"/>
      <c r="J13" s="133"/>
      <c r="K13" s="133"/>
    </row>
    <row r="14" spans="1:12" s="127" customFormat="1" ht="14.25">
      <c r="A14" s="145"/>
      <c r="B14" s="145" t="s">
        <v>22</v>
      </c>
      <c r="C14" s="145" t="s">
        <v>66</v>
      </c>
      <c r="D14" s="145" t="s">
        <v>67</v>
      </c>
      <c r="E14" s="145" t="s">
        <v>68</v>
      </c>
      <c r="F14" s="136"/>
      <c r="G14" s="145"/>
      <c r="H14" s="145" t="s">
        <v>22</v>
      </c>
      <c r="I14" s="145" t="s">
        <v>66</v>
      </c>
      <c r="J14" s="145" t="s">
        <v>67</v>
      </c>
      <c r="K14" s="145" t="s">
        <v>68</v>
      </c>
    </row>
    <row r="15" spans="1:12" s="121" customFormat="1" ht="18" customHeight="1">
      <c r="A15" s="128" t="s">
        <v>209</v>
      </c>
      <c r="B15" s="142">
        <f>'（３）業績構成比'!M50/1000</f>
        <v>20431.44271755575</v>
      </c>
      <c r="C15" s="143">
        <f>IFERROR(B15/$B$6,"")</f>
        <v>0.27387510884098987</v>
      </c>
      <c r="D15" s="281">
        <v>0.19061185820038584</v>
      </c>
      <c r="E15" s="143">
        <f>IFERROR(C15-D15,"")</f>
        <v>8.3263250640604025E-2</v>
      </c>
      <c r="F15" s="133"/>
      <c r="G15" s="128" t="s">
        <v>214</v>
      </c>
      <c r="H15" s="142">
        <f>'（４）訂單數量構成比'!M50</f>
        <v>1153197</v>
      </c>
      <c r="I15" s="143">
        <f t="shared" ref="I15:I23" si="3">IFERROR(H15/$B$7,"")</f>
        <v>0.51650865754428432</v>
      </c>
      <c r="J15" s="281">
        <v>0.33067557299476957</v>
      </c>
      <c r="K15" s="143">
        <f t="shared" ref="K15:K23" si="4">IFERROR(I15-J15,"")</f>
        <v>0.18583308454951475</v>
      </c>
    </row>
    <row r="16" spans="1:12" s="121" customFormat="1" ht="18" customHeight="1">
      <c r="A16" s="128" t="s">
        <v>204</v>
      </c>
      <c r="B16" s="142">
        <f>'（３）業績構成比'!S50/1000</f>
        <v>1935.2469392002254</v>
      </c>
      <c r="C16" s="143">
        <f t="shared" ref="C16:C23" si="5">IFERROR(B16/$B$6,"")</f>
        <v>2.5941191399677183E-2</v>
      </c>
      <c r="D16" s="281">
        <v>4.2789233591899609E-2</v>
      </c>
      <c r="E16" s="143">
        <f t="shared" ref="E16:E23" si="6">IFERROR(C16-D16,"")</f>
        <v>-1.6848042192222426E-2</v>
      </c>
      <c r="F16" s="133"/>
      <c r="G16" s="128" t="s">
        <v>233</v>
      </c>
      <c r="H16" s="142">
        <f>'（４）訂單數量構成比'!S51</f>
        <v>72258</v>
      </c>
      <c r="I16" s="143">
        <f t="shared" si="3"/>
        <v>3.2363839462671941E-2</v>
      </c>
      <c r="J16" s="281">
        <v>6.1681041191528174E-2</v>
      </c>
      <c r="K16" s="143">
        <f t="shared" si="4"/>
        <v>-2.9317201728856233E-2</v>
      </c>
    </row>
    <row r="17" spans="1:18" s="121" customFormat="1" ht="18" customHeight="1">
      <c r="A17" s="128" t="s">
        <v>200</v>
      </c>
      <c r="B17" s="142">
        <f>'（３）業績構成比'!U50/1000</f>
        <v>13574.126792983647</v>
      </c>
      <c r="C17" s="143">
        <f t="shared" si="5"/>
        <v>0.18195560167933839</v>
      </c>
      <c r="D17" s="281">
        <v>8.6938303169141445E-2</v>
      </c>
      <c r="E17" s="143">
        <f t="shared" si="6"/>
        <v>9.501729851019694E-2</v>
      </c>
      <c r="F17" s="133"/>
      <c r="G17" s="128" t="s">
        <v>215</v>
      </c>
      <c r="H17" s="142">
        <f>'（４）訂單數量構成比'!U50</f>
        <v>407340</v>
      </c>
      <c r="I17" s="143">
        <f t="shared" si="3"/>
        <v>0.18244466172222851</v>
      </c>
      <c r="J17" s="281">
        <v>8.2530228428305513E-2</v>
      </c>
      <c r="K17" s="143">
        <f t="shared" si="4"/>
        <v>9.9914433293922994E-2</v>
      </c>
    </row>
    <row r="18" spans="1:18" s="121" customFormat="1" ht="18" customHeight="1">
      <c r="A18" s="128" t="s">
        <v>202</v>
      </c>
      <c r="B18" s="142">
        <f>'（３）業績構成比'!W50/1000</f>
        <v>983.18089816872805</v>
      </c>
      <c r="C18" s="143">
        <f t="shared" si="5"/>
        <v>1.3179136648288323E-2</v>
      </c>
      <c r="D18" s="281">
        <v>1.4659145993880142E-2</v>
      </c>
      <c r="E18" s="143">
        <f t="shared" si="6"/>
        <v>-1.4800093455918182E-3</v>
      </c>
      <c r="F18" s="133"/>
      <c r="G18" s="128" t="s">
        <v>201</v>
      </c>
      <c r="H18" s="142">
        <f>'（４）訂單數量構成比'!W50</f>
        <v>27144</v>
      </c>
      <c r="I18" s="143">
        <f t="shared" si="3"/>
        <v>1.2157602734296094E-2</v>
      </c>
      <c r="J18" s="281">
        <v>1.6773740939224964E-2</v>
      </c>
      <c r="K18" s="143">
        <f t="shared" si="4"/>
        <v>-4.6161382049288695E-3</v>
      </c>
    </row>
    <row r="19" spans="1:18" s="121" customFormat="1" ht="18" customHeight="1">
      <c r="A19" s="128" t="s">
        <v>206</v>
      </c>
      <c r="B19" s="142">
        <f>'（３）業績構成比'!AC50/1000</f>
        <v>22847.546098389423</v>
      </c>
      <c r="C19" s="143">
        <f t="shared" si="5"/>
        <v>0.30626198359792173</v>
      </c>
      <c r="D19" s="281">
        <v>0.24409177848792188</v>
      </c>
      <c r="E19" s="143">
        <f t="shared" si="6"/>
        <v>6.2170205109999849E-2</v>
      </c>
      <c r="F19" s="133"/>
      <c r="G19" s="128" t="s">
        <v>205</v>
      </c>
      <c r="H19" s="142">
        <f>'（４）訂單數量構成比'!AC50</f>
        <v>633315</v>
      </c>
      <c r="I19" s="143">
        <f t="shared" si="3"/>
        <v>0.28365724195662873</v>
      </c>
      <c r="J19" s="281">
        <v>0.19673059726308739</v>
      </c>
      <c r="K19" s="143">
        <f t="shared" si="4"/>
        <v>8.6926644693541333E-2</v>
      </c>
    </row>
    <row r="20" spans="1:18" s="121" customFormat="1" ht="18" customHeight="1">
      <c r="A20" s="128" t="s">
        <v>208</v>
      </c>
      <c r="B20" s="142">
        <f>'（３）業績構成比'!AE50/1000</f>
        <v>19849.912812509669</v>
      </c>
      <c r="C20" s="143">
        <f t="shared" si="5"/>
        <v>0.26607993900200749</v>
      </c>
      <c r="D20" s="281">
        <v>0.1397972381723295</v>
      </c>
      <c r="E20" s="143">
        <f t="shared" si="6"/>
        <v>0.12628270082967799</v>
      </c>
      <c r="F20" s="133"/>
      <c r="G20" s="128" t="s">
        <v>207</v>
      </c>
      <c r="H20" s="142">
        <f>'（４）訂單數量構成比'!AE50</f>
        <v>348996</v>
      </c>
      <c r="I20" s="143">
        <f t="shared" si="3"/>
        <v>0.15631280297150013</v>
      </c>
      <c r="J20" s="281">
        <v>7.9797709456746913E-2</v>
      </c>
      <c r="K20" s="143">
        <f t="shared" si="4"/>
        <v>7.6515093514753219E-2</v>
      </c>
    </row>
    <row r="21" spans="1:18" s="121" customFormat="1" ht="18" customHeight="1">
      <c r="A21" s="128" t="s">
        <v>210</v>
      </c>
      <c r="B21" s="142">
        <f>'（３）業績構成比'!AG50/1000</f>
        <v>13983.728652464095</v>
      </c>
      <c r="C21" s="143">
        <f>IFERROR(B21/$B$6,"")</f>
        <v>0.18744614659079922</v>
      </c>
      <c r="D21" s="281">
        <v>0.13619626613806221</v>
      </c>
      <c r="E21" s="143">
        <f>IFERROR(C21-D21,"")</f>
        <v>5.1249880452737012E-2</v>
      </c>
      <c r="F21" s="133"/>
      <c r="G21" s="128" t="s">
        <v>216</v>
      </c>
      <c r="H21" s="142">
        <f>'（４）訂單數量構成比'!AG50</f>
        <v>283966</v>
      </c>
      <c r="I21" s="143">
        <f>IFERROR(H21/$B$7,"")</f>
        <v>0.12718633281930167</v>
      </c>
      <c r="J21" s="281">
        <v>9.0009011239065476E-2</v>
      </c>
      <c r="K21" s="143">
        <f>IFERROR(I21-J21,"")</f>
        <v>3.7177321580236192E-2</v>
      </c>
    </row>
    <row r="22" spans="1:18" s="121" customFormat="1" ht="18" customHeight="1">
      <c r="A22" s="128" t="s">
        <v>211</v>
      </c>
      <c r="B22" s="142">
        <f>'（３）業績構成比'!AI50/1000</f>
        <v>21897.996805468516</v>
      </c>
      <c r="C22" s="143">
        <f t="shared" si="5"/>
        <v>0.29353366482260868</v>
      </c>
      <c r="D22" s="281">
        <v>6.8175373790099608E-2</v>
      </c>
      <c r="E22" s="143">
        <f t="shared" si="6"/>
        <v>0.22535829103250907</v>
      </c>
      <c r="F22" s="133"/>
      <c r="G22" s="128" t="s">
        <v>217</v>
      </c>
      <c r="H22" s="142">
        <f>'（４）訂單數量構成比'!AI50</f>
        <v>590507</v>
      </c>
      <c r="I22" s="143">
        <f t="shared" si="3"/>
        <v>0.26448384607357001</v>
      </c>
      <c r="J22" s="281">
        <v>5.972113976954431E-2</v>
      </c>
      <c r="K22" s="143">
        <f t="shared" si="4"/>
        <v>0.20476270630402571</v>
      </c>
    </row>
    <row r="23" spans="1:18" s="121" customFormat="1" ht="18" customHeight="1">
      <c r="A23" s="128" t="s">
        <v>213</v>
      </c>
      <c r="B23" s="142">
        <f>'（３）業績構成比'!AK50/1000</f>
        <v>11583.137032567729</v>
      </c>
      <c r="C23" s="143">
        <f t="shared" si="5"/>
        <v>0.15526720062645183</v>
      </c>
      <c r="D23" s="281">
        <v>7.674080245627983E-2</v>
      </c>
      <c r="E23" s="143">
        <f t="shared" si="6"/>
        <v>7.8526398170171999E-2</v>
      </c>
      <c r="F23" s="133"/>
      <c r="G23" s="128" t="s">
        <v>212</v>
      </c>
      <c r="H23" s="142">
        <f>'（４）訂單數量構成比'!AK50</f>
        <v>395384</v>
      </c>
      <c r="I23" s="143">
        <f t="shared" si="3"/>
        <v>0.17708965515388031</v>
      </c>
      <c r="J23" s="281">
        <v>8.2080958717727678E-2</v>
      </c>
      <c r="K23" s="143">
        <f t="shared" si="4"/>
        <v>9.5008696436152631E-2</v>
      </c>
    </row>
    <row r="24" spans="1:18" s="121" customFormat="1" ht="15.75" customHeight="1">
      <c r="A24" s="133"/>
      <c r="B24" s="133"/>
      <c r="C24" s="137">
        <f>SUM(C15:C23)</f>
        <v>1.7035399732080827</v>
      </c>
      <c r="D24" s="137">
        <f>SUM(D15:D23)</f>
        <v>1.0000000000000002</v>
      </c>
      <c r="E24" s="133"/>
      <c r="F24" s="133"/>
      <c r="G24" s="133"/>
      <c r="H24" s="133"/>
      <c r="I24" s="137">
        <f>SUM(I15:I23)</f>
        <v>1.752204640438362</v>
      </c>
      <c r="J24" s="137">
        <f>SUM(J15:J23)</f>
        <v>1</v>
      </c>
      <c r="K24" s="133"/>
    </row>
    <row r="25" spans="1:18" s="121" customFormat="1" ht="9.6" customHeight="1">
      <c r="A25" s="138"/>
      <c r="B25" s="133"/>
      <c r="C25" s="133"/>
      <c r="D25" s="133"/>
      <c r="E25" s="133"/>
      <c r="F25" s="133"/>
      <c r="G25" s="133"/>
      <c r="H25" s="133"/>
      <c r="I25" s="133"/>
      <c r="J25" s="133"/>
      <c r="K25" s="133"/>
    </row>
    <row r="26" spans="1:18" s="121" customFormat="1" ht="15.75" customHeight="1">
      <c r="A26" s="132" t="s">
        <v>178</v>
      </c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</row>
    <row r="27" spans="1:18" s="121" customFormat="1" ht="15.75" customHeight="1">
      <c r="A27" s="128" t="s">
        <v>168</v>
      </c>
      <c r="B27" s="128" t="s">
        <v>22</v>
      </c>
      <c r="C27" s="128" t="s">
        <v>1</v>
      </c>
      <c r="D27" s="128" t="s">
        <v>2</v>
      </c>
      <c r="E27" s="128" t="s">
        <v>3</v>
      </c>
      <c r="F27" s="133"/>
      <c r="G27" s="133"/>
      <c r="H27" s="133"/>
      <c r="I27" s="133"/>
      <c r="M27" s="135" t="s">
        <v>435</v>
      </c>
      <c r="N27" s="135" t="s">
        <v>436</v>
      </c>
      <c r="O27" s="135" t="s">
        <v>437</v>
      </c>
      <c r="P27" s="135" t="s">
        <v>438</v>
      </c>
      <c r="Q27" s="135" t="s">
        <v>439</v>
      </c>
      <c r="R27" s="133"/>
    </row>
    <row r="28" spans="1:18" s="121" customFormat="1" ht="18" customHeight="1">
      <c r="A28" s="128" t="s">
        <v>214</v>
      </c>
      <c r="B28" s="282">
        <f>'（５-1）品群別人時生產性（18℃-飯糰）'!$C$1</f>
        <v>839.9299347836602</v>
      </c>
      <c r="C28" s="311">
        <v>756.20246993670457</v>
      </c>
      <c r="D28" s="243">
        <f t="shared" ref="D28:D36" si="7">B28-C28</f>
        <v>83.727464846955627</v>
      </c>
      <c r="E28" s="282">
        <f>R28</f>
        <v>778.72873485580988</v>
      </c>
      <c r="F28" s="133"/>
      <c r="G28" s="147"/>
      <c r="H28" s="147"/>
      <c r="I28" s="147"/>
      <c r="M28" s="282">
        <v>717.52753492795955</v>
      </c>
      <c r="N28" s="282">
        <f>B28</f>
        <v>839.9299347836602</v>
      </c>
      <c r="O28" s="282"/>
      <c r="P28" s="282"/>
      <c r="Q28" s="282"/>
      <c r="R28" s="298">
        <f>AVERAGE(M28:Q28)</f>
        <v>778.72873485580988</v>
      </c>
    </row>
    <row r="29" spans="1:18" s="121" customFormat="1" ht="18" customHeight="1">
      <c r="A29" s="128" t="s">
        <v>203</v>
      </c>
      <c r="B29" s="282">
        <f>'（５-2）品群別人時生產性（18-壽司手卷)'!$C$1</f>
        <v>149.2790716030002</v>
      </c>
      <c r="C29" s="311">
        <v>198.82982221081653</v>
      </c>
      <c r="D29" s="243">
        <f t="shared" si="7"/>
        <v>-49.550750607816326</v>
      </c>
      <c r="E29" s="282">
        <f t="shared" ref="E29:E36" si="8">R29</f>
        <v>173.45589424465413</v>
      </c>
      <c r="F29" s="133"/>
      <c r="G29" s="148"/>
      <c r="H29" s="148"/>
      <c r="I29" s="148"/>
      <c r="M29" s="282">
        <v>197.63271688630809</v>
      </c>
      <c r="N29" s="282">
        <f t="shared" ref="N29:N36" si="9">B29</f>
        <v>149.2790716030002</v>
      </c>
      <c r="O29" s="282"/>
      <c r="P29" s="282"/>
      <c r="Q29" s="282"/>
      <c r="R29" s="298">
        <f t="shared" ref="R29:R36" si="10">AVERAGE(M29:Q29)</f>
        <v>173.45589424465413</v>
      </c>
    </row>
    <row r="30" spans="1:18" s="121" customFormat="1" ht="18" customHeight="1">
      <c r="A30" s="128" t="s">
        <v>215</v>
      </c>
      <c r="B30" s="282">
        <f>'（５-3）品群別人時生產性（4℃-飯糰)'!$C$1</f>
        <v>230.65620278854391</v>
      </c>
      <c r="C30" s="311">
        <v>253.36933201602551</v>
      </c>
      <c r="D30" s="243">
        <f t="shared" si="7"/>
        <v>-22.713129227481602</v>
      </c>
      <c r="E30" s="282">
        <f t="shared" si="8"/>
        <v>235.55738708342358</v>
      </c>
      <c r="F30" s="133"/>
      <c r="G30" s="133"/>
      <c r="H30" s="133"/>
      <c r="I30" s="133"/>
      <c r="M30" s="282">
        <v>240.45857137830325</v>
      </c>
      <c r="N30" s="282">
        <f t="shared" si="9"/>
        <v>230.65620278854391</v>
      </c>
      <c r="O30" s="282"/>
      <c r="P30" s="282"/>
      <c r="Q30" s="282"/>
      <c r="R30" s="298">
        <f t="shared" si="10"/>
        <v>235.55738708342358</v>
      </c>
    </row>
    <row r="31" spans="1:18" s="121" customFormat="1" ht="18" customHeight="1">
      <c r="A31" s="128" t="s">
        <v>201</v>
      </c>
      <c r="B31" s="282">
        <f>'（５-4）品群別人時生產性（4℃-壽司手卷)'!$C$1</f>
        <v>117.74621002247051</v>
      </c>
      <c r="C31" s="311">
        <v>112.99131142028241</v>
      </c>
      <c r="D31" s="243">
        <f t="shared" si="7"/>
        <v>4.7548986021880921</v>
      </c>
      <c r="E31" s="282">
        <f t="shared" si="8"/>
        <v>112.30566646530406</v>
      </c>
      <c r="F31" s="133"/>
      <c r="G31" s="133"/>
      <c r="H31" s="133"/>
      <c r="I31" s="133"/>
      <c r="M31" s="282">
        <v>106.86512290813759</v>
      </c>
      <c r="N31" s="282">
        <f t="shared" si="9"/>
        <v>117.74621002247051</v>
      </c>
      <c r="O31" s="282"/>
      <c r="P31" s="282"/>
      <c r="Q31" s="282"/>
      <c r="R31" s="298">
        <f t="shared" si="10"/>
        <v>112.30566646530406</v>
      </c>
    </row>
    <row r="32" spans="1:18" s="121" customFormat="1" ht="18" customHeight="1">
      <c r="A32" s="128" t="s">
        <v>205</v>
      </c>
      <c r="B32" s="282">
        <f>'（５-5）品群別人時生產性(主食) '!$C$1</f>
        <v>89.143177443223209</v>
      </c>
      <c r="C32" s="311">
        <v>85.495684450909806</v>
      </c>
      <c r="D32" s="243">
        <f t="shared" si="7"/>
        <v>3.6474929923134027</v>
      </c>
      <c r="E32" s="282">
        <f t="shared" si="8"/>
        <v>89.226802923978255</v>
      </c>
      <c r="F32" s="133"/>
      <c r="G32" s="133"/>
      <c r="H32" s="133"/>
      <c r="I32" s="133"/>
      <c r="M32" s="282">
        <v>89.310428404733287</v>
      </c>
      <c r="N32" s="282">
        <f t="shared" si="9"/>
        <v>89.143177443223209</v>
      </c>
      <c r="O32" s="282"/>
      <c r="P32" s="282"/>
      <c r="Q32" s="282"/>
      <c r="R32" s="298">
        <f t="shared" si="10"/>
        <v>89.226802923978255</v>
      </c>
    </row>
    <row r="33" spans="1:18" s="121" customFormat="1" ht="18" customHeight="1">
      <c r="A33" s="128" t="s">
        <v>207</v>
      </c>
      <c r="B33" s="282">
        <f>'（５-6）品群別人時生產性(便當)'!$C$1</f>
        <v>72.231893995914191</v>
      </c>
      <c r="C33" s="311">
        <v>66.943613625537381</v>
      </c>
      <c r="D33" s="243">
        <f t="shared" si="7"/>
        <v>5.2882803703768104</v>
      </c>
      <c r="E33" s="282">
        <f t="shared" si="8"/>
        <v>68.952318227596976</v>
      </c>
      <c r="F33" s="133"/>
      <c r="G33" s="133"/>
      <c r="H33" s="133"/>
      <c r="I33" s="133"/>
      <c r="M33" s="282">
        <v>65.67274245927976</v>
      </c>
      <c r="N33" s="282">
        <f t="shared" si="9"/>
        <v>72.231893995914191</v>
      </c>
      <c r="O33" s="282"/>
      <c r="P33" s="282"/>
      <c r="Q33" s="282"/>
      <c r="R33" s="298">
        <f t="shared" si="10"/>
        <v>68.952318227596976</v>
      </c>
    </row>
    <row r="34" spans="1:18" s="121" customFormat="1" ht="18" customHeight="1">
      <c r="A34" s="128" t="s">
        <v>216</v>
      </c>
      <c r="B34" s="282">
        <f>'（５-7）品群別人時生產性(熱食義麵) '!$C$1</f>
        <v>84.899067069228892</v>
      </c>
      <c r="C34" s="311">
        <v>80.555861357885718</v>
      </c>
      <c r="D34" s="243">
        <f t="shared" si="7"/>
        <v>4.3432057113431739</v>
      </c>
      <c r="E34" s="282">
        <f t="shared" si="8"/>
        <v>80.188818045590835</v>
      </c>
      <c r="F34" s="133"/>
      <c r="G34" s="133"/>
      <c r="H34" s="133"/>
      <c r="I34" s="133"/>
      <c r="M34" s="282">
        <v>75.478569021952779</v>
      </c>
      <c r="N34" s="282">
        <f t="shared" si="9"/>
        <v>84.899067069228892</v>
      </c>
      <c r="O34" s="282"/>
      <c r="P34" s="282"/>
      <c r="Q34" s="282"/>
      <c r="R34" s="298">
        <f t="shared" si="10"/>
        <v>80.188818045590835</v>
      </c>
    </row>
    <row r="35" spans="1:18" s="121" customFormat="1" ht="18" customHeight="1">
      <c r="A35" s="128" t="s">
        <v>217</v>
      </c>
      <c r="B35" s="282">
        <f>'（５-8）品群別人時生產性(季節調理麵) '!$C$1</f>
        <v>129.68771409773024</v>
      </c>
      <c r="C35" s="311">
        <v>121.13262609451999</v>
      </c>
      <c r="D35" s="243">
        <f t="shared" si="7"/>
        <v>8.5550880032102441</v>
      </c>
      <c r="E35" s="282">
        <f t="shared" si="8"/>
        <v>122.09664306216663</v>
      </c>
      <c r="F35" s="133"/>
      <c r="G35" s="133"/>
      <c r="H35" s="133"/>
      <c r="I35" s="133"/>
      <c r="M35" s="282">
        <v>114.50557202660302</v>
      </c>
      <c r="N35" s="282">
        <f t="shared" si="9"/>
        <v>129.68771409773024</v>
      </c>
      <c r="O35" s="282"/>
      <c r="P35" s="282"/>
      <c r="Q35" s="282"/>
      <c r="R35" s="298">
        <f t="shared" si="10"/>
        <v>122.09664306216663</v>
      </c>
    </row>
    <row r="36" spans="1:18" s="121" customFormat="1" ht="18" customHeight="1">
      <c r="A36" s="124" t="s">
        <v>212</v>
      </c>
      <c r="B36" s="282">
        <f>'（５-9）品群別人時生產性(微波小吃)'!$C$1</f>
        <v>146.11324523480693</v>
      </c>
      <c r="C36" s="311">
        <v>115.3662253913358</v>
      </c>
      <c r="D36" s="243">
        <f t="shared" si="7"/>
        <v>30.747019843471122</v>
      </c>
      <c r="E36" s="282">
        <f t="shared" si="8"/>
        <v>122.88079363833633</v>
      </c>
      <c r="F36" s="133"/>
      <c r="G36" s="133"/>
      <c r="H36" s="133"/>
      <c r="I36" s="133"/>
      <c r="M36" s="282">
        <v>99.648342041865732</v>
      </c>
      <c r="N36" s="282">
        <f t="shared" si="9"/>
        <v>146.11324523480693</v>
      </c>
      <c r="O36" s="282"/>
      <c r="P36" s="282"/>
      <c r="Q36" s="282"/>
      <c r="R36" s="298">
        <f t="shared" si="10"/>
        <v>122.88079363833633</v>
      </c>
    </row>
    <row r="37" spans="1:18" s="121" customFormat="1" ht="15.75" customHeight="1"/>
    <row r="38" spans="1:18" s="121" customFormat="1" ht="15.75" customHeight="1"/>
  </sheetData>
  <mergeCells count="2">
    <mergeCell ref="A1:K2"/>
    <mergeCell ref="D3:E3"/>
  </mergeCells>
  <phoneticPr fontId="1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8"/>
  <sheetViews>
    <sheetView zoomScale="85" zoomScaleNormal="85" zoomScaleSheetLayoutView="100" workbookViewId="0">
      <selection activeCell="B43" sqref="B43"/>
    </sheetView>
  </sheetViews>
  <sheetFormatPr defaultColWidth="12.5703125" defaultRowHeight="15.75" customHeight="1"/>
  <cols>
    <col min="1" max="1" width="27.42578125" style="119" bestFit="1" customWidth="1"/>
    <col min="2" max="2" width="12.5703125" style="119" customWidth="1"/>
    <col min="3" max="4" width="12.5703125" style="119"/>
    <col min="5" max="5" width="16.42578125" style="119" customWidth="1"/>
    <col min="6" max="6" width="2.42578125" style="119" customWidth="1"/>
    <col min="7" max="7" width="24.85546875" style="119" bestFit="1" customWidth="1"/>
    <col min="8" max="10" width="12.5703125" style="119"/>
    <col min="11" max="11" width="16.42578125" style="119" customWidth="1"/>
    <col min="12" max="12" width="12.5703125" style="120"/>
    <col min="13" max="16384" width="12.5703125" style="119"/>
  </cols>
  <sheetData>
    <row r="1" spans="1:18" ht="15.75" customHeight="1">
      <c r="A1" s="580" t="s">
        <v>367</v>
      </c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119"/>
    </row>
    <row r="2" spans="1:18" s="120" customFormat="1" ht="15.75" customHeight="1">
      <c r="A2" s="580"/>
      <c r="B2" s="580"/>
      <c r="C2" s="580"/>
      <c r="D2" s="580"/>
      <c r="E2" s="580"/>
      <c r="F2" s="580"/>
      <c r="G2" s="580"/>
      <c r="H2" s="580"/>
      <c r="I2" s="580"/>
      <c r="J2" s="580"/>
      <c r="K2" s="580"/>
    </row>
    <row r="3" spans="1:18" ht="21.6" customHeight="1">
      <c r="A3" s="139" t="s">
        <v>307</v>
      </c>
      <c r="B3" s="214">
        <v>6</v>
      </c>
      <c r="C3" s="216" t="s">
        <v>308</v>
      </c>
      <c r="D3" s="214" t="s">
        <v>752</v>
      </c>
      <c r="E3" s="139" t="s">
        <v>20</v>
      </c>
      <c r="F3" s="581" t="s">
        <v>366</v>
      </c>
      <c r="G3" s="581"/>
      <c r="H3" s="130"/>
      <c r="I3" s="131"/>
      <c r="J3" s="130"/>
      <c r="K3" s="130"/>
      <c r="L3" s="130"/>
      <c r="M3" s="130"/>
      <c r="N3" s="120"/>
    </row>
    <row r="4" spans="1:18" s="121" customFormat="1" ht="15.75" customHeight="1">
      <c r="A4" s="132" t="s">
        <v>177</v>
      </c>
      <c r="B4" s="133"/>
      <c r="C4" s="133"/>
      <c r="D4" s="133"/>
      <c r="E4" s="123" t="s">
        <v>23</v>
      </c>
      <c r="F4" s="133"/>
      <c r="G4" s="134" t="s">
        <v>125</v>
      </c>
      <c r="H4" s="133"/>
      <c r="I4" s="133"/>
      <c r="J4" s="133"/>
      <c r="K4" s="133"/>
    </row>
    <row r="5" spans="1:18" s="125" customFormat="1" ht="15.75" customHeight="1">
      <c r="A5" s="146" t="s">
        <v>179</v>
      </c>
      <c r="B5" s="146" t="s">
        <v>310</v>
      </c>
      <c r="C5" s="146" t="s">
        <v>312</v>
      </c>
      <c r="D5" s="141" t="s">
        <v>2</v>
      </c>
      <c r="E5" s="141" t="s">
        <v>3</v>
      </c>
      <c r="F5" s="135"/>
      <c r="G5" s="146" t="s">
        <v>179</v>
      </c>
      <c r="H5" s="141" t="s">
        <v>69</v>
      </c>
      <c r="I5" s="141" t="s">
        <v>309</v>
      </c>
      <c r="J5" s="141" t="s">
        <v>311</v>
      </c>
      <c r="K5" s="141" t="s">
        <v>3</v>
      </c>
      <c r="L5" s="126" t="s">
        <v>60</v>
      </c>
    </row>
    <row r="6" spans="1:18" s="121" customFormat="1" ht="18" customHeight="1">
      <c r="A6" s="128" t="s">
        <v>24</v>
      </c>
      <c r="B6" s="223">
        <f>'（１）收支狀況'!G12/1000</f>
        <v>65024.923999999999</v>
      </c>
      <c r="C6" s="253">
        <v>65939.024999999994</v>
      </c>
      <c r="D6" s="142">
        <f t="shared" ref="D6:D11" si="0">B6-C6</f>
        <v>-914.10099999999511</v>
      </c>
      <c r="E6" s="235">
        <f>'（１）收支狀況'!H10/1000</f>
        <v>74601.312999999995</v>
      </c>
      <c r="F6" s="133"/>
      <c r="G6" s="128" t="s">
        <v>180</v>
      </c>
      <c r="H6" s="237">
        <v>366</v>
      </c>
      <c r="I6" s="258">
        <f>'（２）ＫＰＩ達成進度'!G12</f>
        <v>364.54238052447869</v>
      </c>
      <c r="J6" s="259">
        <v>367.41015788179351</v>
      </c>
      <c r="K6" s="260">
        <f>'（２）ＫＰＩ達成進度'!H10</f>
        <v>365.43287323439995</v>
      </c>
      <c r="L6" s="122" t="s">
        <v>176</v>
      </c>
    </row>
    <row r="7" spans="1:18" s="121" customFormat="1" ht="18" customHeight="1">
      <c r="A7" s="128" t="s">
        <v>25</v>
      </c>
      <c r="B7" s="223">
        <f>'（１）收支狀況'!J12</f>
        <v>1939291</v>
      </c>
      <c r="C7" s="253">
        <v>1972816</v>
      </c>
      <c r="D7" s="142">
        <f t="shared" si="0"/>
        <v>-33525</v>
      </c>
      <c r="E7" s="235">
        <f>'（１）收支狀況'!K10</f>
        <v>2232677</v>
      </c>
      <c r="F7" s="133"/>
      <c r="G7" s="128" t="s">
        <v>181</v>
      </c>
      <c r="H7" s="251">
        <v>0.8</v>
      </c>
      <c r="I7" s="249">
        <f>'（２）ＫＰＩ達成進度'!J12</f>
        <v>0.9960174331269912</v>
      </c>
      <c r="J7" s="256">
        <v>1.003852890387414</v>
      </c>
      <c r="K7" s="252">
        <f>'（２）ＫＰＩ達成進度'!K10</f>
        <v>0.26625345955147534</v>
      </c>
      <c r="L7" s="122" t="s">
        <v>4</v>
      </c>
    </row>
    <row r="8" spans="1:18" s="121" customFormat="1" ht="18" customHeight="1">
      <c r="A8" s="128" t="s">
        <v>5</v>
      </c>
      <c r="B8" s="223">
        <f>'（１）收支狀況'!M12/1000</f>
        <v>43056.345999999998</v>
      </c>
      <c r="C8" s="253">
        <v>43853.226000000002</v>
      </c>
      <c r="D8" s="142">
        <f>B8-C8</f>
        <v>-796.88000000000466</v>
      </c>
      <c r="E8" s="235">
        <f>'（１）收支狀況'!N10/1000</f>
        <v>49370.684999999998</v>
      </c>
      <c r="F8" s="133"/>
      <c r="G8" s="128" t="s">
        <v>182</v>
      </c>
      <c r="H8" s="236">
        <v>2.5000000000000001E-3</v>
      </c>
      <c r="I8" s="247">
        <f>'（２）ＫＰＩ達成進度'!M12</f>
        <v>2.4182194076305835E-3</v>
      </c>
      <c r="J8" s="255">
        <v>2.423079576054621E-3</v>
      </c>
      <c r="K8" s="247">
        <f>'（２）ＫＰＩ達成進度'!N10</f>
        <v>2.4169115720933569E-3</v>
      </c>
      <c r="L8" s="122" t="s">
        <v>55</v>
      </c>
    </row>
    <row r="9" spans="1:18" s="121" customFormat="1" ht="18" customHeight="1">
      <c r="A9" s="128" t="s">
        <v>6</v>
      </c>
      <c r="B9" s="224">
        <f>'（１）收支狀況'!P12</f>
        <v>0.66215142366025681</v>
      </c>
      <c r="C9" s="254">
        <v>0.66505724038230773</v>
      </c>
      <c r="D9" s="143">
        <f t="shared" si="0"/>
        <v>-2.9058167220509246E-3</v>
      </c>
      <c r="E9" s="143">
        <f>'（１）收支狀況'!Q10</f>
        <v>0.66179378102902831</v>
      </c>
      <c r="F9" s="133"/>
      <c r="G9" s="128" t="s">
        <v>183</v>
      </c>
      <c r="H9" s="236">
        <v>2.5999999999999999E-3</v>
      </c>
      <c r="I9" s="247">
        <f>'（２）ＫＰＩ達成進度'!P12</f>
        <v>4.0596366230115557E-3</v>
      </c>
      <c r="J9" s="255">
        <v>4.2109245020056866E-3</v>
      </c>
      <c r="K9" s="247">
        <f>'（２）ＫＰＩ達成進度'!Q10</f>
        <v>4.050716133037412E-3</v>
      </c>
      <c r="L9" s="122" t="s">
        <v>98</v>
      </c>
    </row>
    <row r="10" spans="1:18" s="121" customFormat="1" ht="18" customHeight="1">
      <c r="A10" s="128" t="s">
        <v>64</v>
      </c>
      <c r="B10" s="223">
        <f>'（１）收支狀況'!S12/1000</f>
        <v>7317.7016346329601</v>
      </c>
      <c r="C10" s="253">
        <v>7722.861623816837</v>
      </c>
      <c r="D10" s="142">
        <f t="shared" si="0"/>
        <v>-405.15998918387686</v>
      </c>
      <c r="E10" s="235">
        <f>'（１）收支狀況'!T10/1000</f>
        <v>8400.3886499793134</v>
      </c>
      <c r="F10" s="133"/>
      <c r="G10" s="128" t="s">
        <v>184</v>
      </c>
      <c r="H10" s="248">
        <v>0.8</v>
      </c>
      <c r="I10" s="249">
        <v>0.91120000000000001</v>
      </c>
      <c r="J10" s="256">
        <v>0.9133</v>
      </c>
      <c r="K10" s="249">
        <v>0.91700000000000004</v>
      </c>
      <c r="L10" s="122" t="s">
        <v>7</v>
      </c>
    </row>
    <row r="11" spans="1:18" s="121" customFormat="1" ht="18" customHeight="1">
      <c r="A11" s="128" t="s">
        <v>65</v>
      </c>
      <c r="B11" s="224">
        <f>'（１）收支狀況'!V12</f>
        <v>0.11253687331696012</v>
      </c>
      <c r="C11" s="254">
        <v>0.1171212589785311</v>
      </c>
      <c r="D11" s="143">
        <f t="shared" si="0"/>
        <v>-4.5843856615709749E-3</v>
      </c>
      <c r="E11" s="143">
        <f>'（１）收支狀況'!W10</f>
        <v>0.11260376409164961</v>
      </c>
      <c r="F11" s="133"/>
      <c r="G11" s="128" t="s">
        <v>185</v>
      </c>
      <c r="H11" s="248">
        <v>1</v>
      </c>
      <c r="I11" s="249">
        <f>'（２）ＫＰＩ達成進度'!V12</f>
        <v>0.41571428571428576</v>
      </c>
      <c r="J11" s="256">
        <v>0.39885714285714291</v>
      </c>
      <c r="K11" s="249">
        <f>'（２）ＫＰＩ達成進度'!W10</f>
        <v>0.41450000000000004</v>
      </c>
      <c r="L11" s="122" t="s">
        <v>62</v>
      </c>
    </row>
    <row r="12" spans="1:18" s="121" customFormat="1" ht="9.6" customHeight="1">
      <c r="A12" s="133"/>
      <c r="B12" s="133"/>
      <c r="C12" s="133"/>
      <c r="D12" s="133"/>
      <c r="E12" s="133"/>
      <c r="F12" s="133"/>
      <c r="G12" s="133"/>
      <c r="H12" s="133"/>
      <c r="I12" s="133"/>
      <c r="J12" s="133"/>
      <c r="K12" s="133"/>
    </row>
    <row r="13" spans="1:18" s="121" customFormat="1" ht="15.75" customHeight="1">
      <c r="A13" s="132" t="s">
        <v>32</v>
      </c>
      <c r="B13" s="133"/>
      <c r="C13" s="133"/>
      <c r="D13" s="133"/>
      <c r="E13" s="133"/>
      <c r="F13" s="133"/>
      <c r="G13" s="132" t="s">
        <v>147</v>
      </c>
      <c r="H13" s="133"/>
      <c r="I13" s="133"/>
      <c r="J13" s="133"/>
      <c r="K13" s="133"/>
    </row>
    <row r="14" spans="1:18" s="127" customFormat="1" ht="14.25">
      <c r="A14" s="145"/>
      <c r="B14" s="217" t="s">
        <v>310</v>
      </c>
      <c r="C14" s="145" t="s">
        <v>66</v>
      </c>
      <c r="D14" s="217" t="s">
        <v>313</v>
      </c>
      <c r="E14" s="145" t="s">
        <v>68</v>
      </c>
      <c r="F14" s="136"/>
      <c r="G14" s="145"/>
      <c r="H14" s="217" t="s">
        <v>310</v>
      </c>
      <c r="I14" s="145" t="s">
        <v>66</v>
      </c>
      <c r="J14" s="217" t="s">
        <v>313</v>
      </c>
      <c r="K14" s="145" t="s">
        <v>68</v>
      </c>
      <c r="M14" s="121"/>
      <c r="N14" s="121"/>
      <c r="O14" s="121"/>
      <c r="P14" s="121"/>
      <c r="Q14" s="121"/>
      <c r="R14" s="121"/>
    </row>
    <row r="15" spans="1:18" s="121" customFormat="1" ht="18" customHeight="1">
      <c r="A15" s="128" t="s">
        <v>317</v>
      </c>
      <c r="B15" s="238">
        <f>SUM('（３）業績構成比'!I35:I41,'（３）業績構成比'!K35:K41)/1000</f>
        <v>0</v>
      </c>
      <c r="C15" s="143">
        <f>IFERROR(B15/$B$6,"")</f>
        <v>0</v>
      </c>
      <c r="D15" s="254">
        <v>0.17271217331773625</v>
      </c>
      <c r="E15" s="143">
        <f>IFERROR(C15-D15,"")</f>
        <v>-0.17271217331773625</v>
      </c>
      <c r="F15" s="133"/>
      <c r="G15" s="128" t="s">
        <v>317</v>
      </c>
      <c r="H15" s="238">
        <f>SUM(,'（４）訂單數量構成比'!I14:I20,'（４）訂單數量構成比'!K14:K20)</f>
        <v>563060</v>
      </c>
      <c r="I15" s="143">
        <f t="shared" ref="I15:I23" si="1">IFERROR(H15/$B$7,"")</f>
        <v>0.29034322337390317</v>
      </c>
      <c r="J15" s="254">
        <v>0.29913433386590538</v>
      </c>
      <c r="K15" s="143">
        <f t="shared" ref="K15:K23" si="2">IFERROR(I15-J15,"")</f>
        <v>-8.7911104920022076E-3</v>
      </c>
    </row>
    <row r="16" spans="1:18" s="121" customFormat="1" ht="18" customHeight="1">
      <c r="A16" s="128" t="s">
        <v>204</v>
      </c>
      <c r="B16" s="238">
        <f>SUM('（３）業績構成比'!O35:O41,'（３）業績構成比'!Q35:Q41)/1000</f>
        <v>0</v>
      </c>
      <c r="C16" s="143">
        <f t="shared" ref="C16:C23" si="3">IFERROR(B16/$B$6,"")</f>
        <v>0</v>
      </c>
      <c r="D16" s="254">
        <v>1.581955633043422E-2</v>
      </c>
      <c r="E16" s="143">
        <f t="shared" ref="E16:E23" si="4">IFERROR(C16-D16,"")</f>
        <v>-1.581955633043422E-2</v>
      </c>
      <c r="F16" s="133"/>
      <c r="G16" s="128" t="s">
        <v>233</v>
      </c>
      <c r="H16" s="238">
        <f>SUM('（４）訂單數量構成比'!O14:O20,'（４）訂單數量構成比'!Q14:Q20)</f>
        <v>36109</v>
      </c>
      <c r="I16" s="143">
        <f t="shared" si="1"/>
        <v>1.8619691423308826E-2</v>
      </c>
      <c r="J16" s="254">
        <v>1.8323553742467621E-2</v>
      </c>
      <c r="K16" s="143">
        <f t="shared" si="2"/>
        <v>2.9613768084120473E-4</v>
      </c>
    </row>
    <row r="17" spans="1:11" s="121" customFormat="1" ht="18" customHeight="1">
      <c r="A17" s="128" t="s">
        <v>200</v>
      </c>
      <c r="B17" s="238">
        <f>SUM('（３）業績構成比'!U35:U41)/1000</f>
        <v>0</v>
      </c>
      <c r="C17" s="143">
        <f t="shared" si="3"/>
        <v>0</v>
      </c>
      <c r="D17" s="254">
        <v>0.10437153545615194</v>
      </c>
      <c r="E17" s="143">
        <f t="shared" si="4"/>
        <v>-0.10437153545615194</v>
      </c>
      <c r="F17" s="133"/>
      <c r="G17" s="128" t="s">
        <v>215</v>
      </c>
      <c r="H17" s="238">
        <f>SUM('（４）訂單數量構成比'!U14:U20)</f>
        <v>200369</v>
      </c>
      <c r="I17" s="143">
        <f t="shared" si="1"/>
        <v>0.10332074969666749</v>
      </c>
      <c r="J17" s="254">
        <v>0.10491145651697878</v>
      </c>
      <c r="K17" s="143">
        <f t="shared" si="2"/>
        <v>-1.5907068203112884E-3</v>
      </c>
    </row>
    <row r="18" spans="1:11" s="121" customFormat="1" ht="18" customHeight="1">
      <c r="A18" s="128" t="s">
        <v>202</v>
      </c>
      <c r="B18" s="238">
        <f>SUM('（３）業績構成比'!W35:W41)/1000</f>
        <v>0</v>
      </c>
      <c r="C18" s="143">
        <f t="shared" si="3"/>
        <v>0</v>
      </c>
      <c r="D18" s="254">
        <v>8.2730264729290182E-3</v>
      </c>
      <c r="E18" s="143">
        <f t="shared" si="4"/>
        <v>-8.2730264729290182E-3</v>
      </c>
      <c r="F18" s="133"/>
      <c r="G18" s="128" t="s">
        <v>201</v>
      </c>
      <c r="H18" s="238">
        <f>SUM('（４）訂單數量構成比'!W14:W20)</f>
        <v>12051</v>
      </c>
      <c r="I18" s="143">
        <f t="shared" si="1"/>
        <v>6.2141267091942367E-3</v>
      </c>
      <c r="J18" s="254">
        <v>7.6504853975231345E-3</v>
      </c>
      <c r="K18" s="143">
        <f t="shared" si="2"/>
        <v>-1.4363586883288978E-3</v>
      </c>
    </row>
    <row r="19" spans="1:11" s="121" customFormat="1" ht="18" customHeight="1">
      <c r="A19" s="128" t="s">
        <v>206</v>
      </c>
      <c r="B19" s="238">
        <f>SUM('（３）業績構成比'!Y35:Y41,'（３）業績構成比'!AA35:AA41)/1000</f>
        <v>0</v>
      </c>
      <c r="C19" s="143">
        <f t="shared" si="3"/>
        <v>0</v>
      </c>
      <c r="D19" s="254">
        <v>0.18792609057327189</v>
      </c>
      <c r="E19" s="143">
        <f t="shared" si="4"/>
        <v>-0.18792609057327189</v>
      </c>
      <c r="F19" s="133"/>
      <c r="G19" s="128" t="s">
        <v>205</v>
      </c>
      <c r="H19" s="238">
        <f>SUM('（４）訂單數量構成比'!Y14:Y20,'（４）訂單數量構成比'!AA14:AA20)</f>
        <v>314304</v>
      </c>
      <c r="I19" s="143">
        <f t="shared" si="1"/>
        <v>0.16207160245677416</v>
      </c>
      <c r="J19" s="254">
        <v>0.16170337223542389</v>
      </c>
      <c r="K19" s="143">
        <f t="shared" si="2"/>
        <v>3.6823022135026862E-4</v>
      </c>
    </row>
    <row r="20" spans="1:11" s="121" customFormat="1" ht="18" customHeight="1">
      <c r="A20" s="128" t="s">
        <v>208</v>
      </c>
      <c r="B20" s="238">
        <f>SUM('（３）業績構成比'!AE35:AE41)/1000</f>
        <v>0</v>
      </c>
      <c r="C20" s="143">
        <f t="shared" si="3"/>
        <v>0</v>
      </c>
      <c r="D20" s="254">
        <v>0.15190347082910566</v>
      </c>
      <c r="E20" s="143">
        <f t="shared" si="4"/>
        <v>-0.15190347082910566</v>
      </c>
      <c r="F20" s="133"/>
      <c r="G20" s="128" t="s">
        <v>207</v>
      </c>
      <c r="H20" s="238">
        <f>SUM('（４）訂單數量構成比'!AE14:AE20)</f>
        <v>172672</v>
      </c>
      <c r="I20" s="143">
        <f t="shared" si="1"/>
        <v>8.9038726008628929E-2</v>
      </c>
      <c r="J20" s="254">
        <v>8.9376809596029227E-2</v>
      </c>
      <c r="K20" s="143">
        <f t="shared" si="2"/>
        <v>-3.3808358740029798E-4</v>
      </c>
    </row>
    <row r="21" spans="1:11" s="121" customFormat="1" ht="18" customHeight="1">
      <c r="A21" s="128" t="s">
        <v>210</v>
      </c>
      <c r="B21" s="238">
        <f>SUM('（３）業績構成比'!AG35:AG41)/1000</f>
        <v>0</v>
      </c>
      <c r="C21" s="143">
        <f t="shared" si="3"/>
        <v>0</v>
      </c>
      <c r="D21" s="254">
        <v>0.11293898911185705</v>
      </c>
      <c r="E21" s="143">
        <f t="shared" si="4"/>
        <v>-0.11293898911185705</v>
      </c>
      <c r="F21" s="133"/>
      <c r="G21" s="128" t="s">
        <v>216</v>
      </c>
      <c r="H21" s="238">
        <f>SUM('（４）訂單數量構成比'!AG14:AG20)</f>
        <v>132492</v>
      </c>
      <c r="I21" s="143">
        <f t="shared" si="1"/>
        <v>6.8319813787616201E-2</v>
      </c>
      <c r="J21" s="254">
        <v>7.6780601941590088E-2</v>
      </c>
      <c r="K21" s="143">
        <f t="shared" si="2"/>
        <v>-8.4607881539738861E-3</v>
      </c>
    </row>
    <row r="22" spans="1:11" s="121" customFormat="1" ht="18" customHeight="1">
      <c r="A22" s="128" t="s">
        <v>211</v>
      </c>
      <c r="B22" s="238">
        <f>SUM('（３）業績構成比'!AI35:AI41)/1000</f>
        <v>0</v>
      </c>
      <c r="C22" s="143">
        <f t="shared" si="3"/>
        <v>0</v>
      </c>
      <c r="D22" s="254">
        <v>0.16631294702972604</v>
      </c>
      <c r="E22" s="143">
        <f t="shared" si="4"/>
        <v>-0.16631294702972604</v>
      </c>
      <c r="F22" s="133"/>
      <c r="G22" s="128" t="s">
        <v>217</v>
      </c>
      <c r="H22" s="238">
        <f>SUM('（４）訂單數量構成比'!AI14:AI20)</f>
        <v>292359</v>
      </c>
      <c r="I22" s="143">
        <f t="shared" si="1"/>
        <v>0.15075561120017572</v>
      </c>
      <c r="J22" s="254">
        <v>0.15112813359177946</v>
      </c>
      <c r="K22" s="143">
        <f t="shared" si="2"/>
        <v>-3.7252239160373568E-4</v>
      </c>
    </row>
    <row r="23" spans="1:11" s="121" customFormat="1" ht="18" customHeight="1">
      <c r="A23" s="128" t="s">
        <v>213</v>
      </c>
      <c r="B23" s="238">
        <f>SUM('（３）業績構成比'!AK35:AK41)/1000</f>
        <v>0</v>
      </c>
      <c r="C23" s="143">
        <f t="shared" si="3"/>
        <v>0</v>
      </c>
      <c r="D23" s="254">
        <v>7.9742210878788064E-2</v>
      </c>
      <c r="E23" s="143">
        <f t="shared" si="4"/>
        <v>-7.9742210878788064E-2</v>
      </c>
      <c r="F23" s="133"/>
      <c r="G23" s="128" t="s">
        <v>212</v>
      </c>
      <c r="H23" s="238">
        <f>SUM('（４）訂單數量構成比'!AK14:AK20)</f>
        <v>215875</v>
      </c>
      <c r="I23" s="143">
        <f t="shared" si="1"/>
        <v>0.11131645534373129</v>
      </c>
      <c r="J23" s="254">
        <v>9.0991253112302412E-2</v>
      </c>
      <c r="K23" s="143">
        <f t="shared" si="2"/>
        <v>2.0325202231428877E-2</v>
      </c>
    </row>
    <row r="24" spans="1:11" s="121" customFormat="1" ht="15.75" customHeight="1">
      <c r="A24" s="133"/>
      <c r="B24" s="133"/>
      <c r="C24" s="137">
        <f>SUM(C15:C23)</f>
        <v>0</v>
      </c>
      <c r="D24" s="137">
        <f>SUM(D15:D23)</f>
        <v>1</v>
      </c>
      <c r="E24" s="133"/>
      <c r="F24" s="133"/>
      <c r="G24" s="133"/>
      <c r="H24" s="133"/>
      <c r="I24" s="137">
        <f>SUM(I15:I23)</f>
        <v>1.0000000000000002</v>
      </c>
      <c r="J24" s="137">
        <f>SUM(J15:J23)</f>
        <v>0.99999999999999989</v>
      </c>
      <c r="K24" s="133"/>
    </row>
    <row r="25" spans="1:11" s="121" customFormat="1" ht="9.6" customHeight="1">
      <c r="A25" s="138"/>
      <c r="B25" s="133"/>
      <c r="C25" s="133"/>
      <c r="D25" s="133"/>
      <c r="E25" s="133"/>
      <c r="F25" s="133"/>
      <c r="G25" s="133"/>
      <c r="H25" s="133"/>
      <c r="I25" s="133"/>
      <c r="J25" s="133"/>
      <c r="K25" s="133"/>
    </row>
    <row r="26" spans="1:11" s="121" customFormat="1" ht="15.75" customHeight="1">
      <c r="A26" s="132" t="s">
        <v>456</v>
      </c>
      <c r="B26" s="133"/>
      <c r="C26" s="133"/>
      <c r="D26" s="133"/>
      <c r="E26" s="133"/>
      <c r="F26" s="133"/>
      <c r="G26" s="133"/>
      <c r="H26" s="133"/>
      <c r="I26" s="133"/>
      <c r="J26" s="133"/>
      <c r="K26" s="133"/>
    </row>
    <row r="27" spans="1:11" s="121" customFormat="1" ht="15.75" customHeight="1">
      <c r="A27" s="128" t="s">
        <v>168</v>
      </c>
      <c r="B27" s="218" t="s">
        <v>310</v>
      </c>
      <c r="C27" s="218" t="s">
        <v>312</v>
      </c>
      <c r="D27" s="128" t="s">
        <v>2</v>
      </c>
      <c r="E27" s="128" t="s">
        <v>368</v>
      </c>
      <c r="F27" s="133"/>
      <c r="G27" s="133"/>
      <c r="H27" s="133"/>
      <c r="I27" s="133"/>
      <c r="J27" s="133"/>
      <c r="K27" s="133"/>
    </row>
    <row r="28" spans="1:11" s="121" customFormat="1" ht="18" customHeight="1">
      <c r="A28" s="128" t="s">
        <v>317</v>
      </c>
      <c r="B28" s="242">
        <f>'（５-1）品群別人時生產性（18℃-飯糰）'!L42</f>
        <v>840.02597703985577</v>
      </c>
      <c r="C28" s="257">
        <v>839.83389252746474</v>
      </c>
      <c r="D28" s="243">
        <f t="shared" ref="D28:D36" si="5">B28-C28</f>
        <v>0.19208451239103397</v>
      </c>
      <c r="E28" s="129">
        <f>'（５-1）品群別人時生產性（18℃-飯糰）'!C1</f>
        <v>839.9299347836602</v>
      </c>
      <c r="F28" s="261"/>
      <c r="G28" s="147"/>
      <c r="H28" s="147"/>
      <c r="I28" s="147"/>
      <c r="J28" s="147"/>
      <c r="K28" s="133"/>
    </row>
    <row r="29" spans="1:11" s="121" customFormat="1" ht="18" customHeight="1">
      <c r="A29" s="128" t="s">
        <v>203</v>
      </c>
      <c r="B29" s="242">
        <f>'（５-2）品群別人時生產性（18-壽司手卷)'!L27</f>
        <v>147.47154413047278</v>
      </c>
      <c r="C29" s="257">
        <v>151.08659907552763</v>
      </c>
      <c r="D29" s="243">
        <f t="shared" si="5"/>
        <v>-3.615054945054851</v>
      </c>
      <c r="E29" s="129">
        <f>'（５-2）品群別人時生產性（18-壽司手卷)'!C1</f>
        <v>149.2790716030002</v>
      </c>
      <c r="F29" s="386"/>
      <c r="G29" s="148"/>
      <c r="H29" s="148"/>
      <c r="I29" s="149"/>
      <c r="J29" s="150"/>
      <c r="K29" s="133"/>
    </row>
    <row r="30" spans="1:11" s="121" customFormat="1" ht="18" customHeight="1">
      <c r="A30" s="128" t="s">
        <v>215</v>
      </c>
      <c r="B30" s="242">
        <f>'（５-3）品群別人時生產性（4℃-飯糰)'!L27</f>
        <v>229.24447085258544</v>
      </c>
      <c r="C30" s="257">
        <v>231.90977469766676</v>
      </c>
      <c r="D30" s="243">
        <f t="shared" si="5"/>
        <v>-2.6653038450813256</v>
      </c>
      <c r="E30" s="129">
        <f>'（５-3）品群別人時生產性（4℃-飯糰)'!C1</f>
        <v>230.65620278854391</v>
      </c>
      <c r="F30" s="386"/>
      <c r="G30" s="133"/>
      <c r="H30" s="133"/>
      <c r="I30" s="133"/>
      <c r="J30" s="133"/>
      <c r="K30" s="133"/>
    </row>
    <row r="31" spans="1:11" s="121" customFormat="1" ht="18" customHeight="1">
      <c r="A31" s="128" t="s">
        <v>201</v>
      </c>
      <c r="B31" s="242">
        <f>'（５-4）品群別人時生產性（4℃-壽司手卷)'!L27</f>
        <v>117.78207744636315</v>
      </c>
      <c r="C31" s="257">
        <v>117.71034259857785</v>
      </c>
      <c r="D31" s="243">
        <f t="shared" si="5"/>
        <v>7.1734847785293709E-2</v>
      </c>
      <c r="E31" s="129">
        <f>'（５-4）品群別人時生產性（4℃-壽司手卷)'!C1</f>
        <v>117.74621002247051</v>
      </c>
      <c r="F31" s="386"/>
      <c r="G31" s="133"/>
      <c r="H31" s="133"/>
      <c r="I31" s="133"/>
      <c r="J31" s="133"/>
      <c r="K31" s="133"/>
    </row>
    <row r="32" spans="1:11" s="121" customFormat="1" ht="18" customHeight="1">
      <c r="A32" s="128" t="s">
        <v>205</v>
      </c>
      <c r="B32" s="242">
        <f>'（５-5）品群別人時生產性(主食) '!L42</f>
        <v>89.04297848666188</v>
      </c>
      <c r="C32" s="257">
        <v>89.243376399784552</v>
      </c>
      <c r="D32" s="243">
        <f t="shared" si="5"/>
        <v>-0.20039791312267141</v>
      </c>
      <c r="E32" s="129">
        <f>'（５-5）品群別人時生產性(主食) '!C1</f>
        <v>89.143177443223209</v>
      </c>
      <c r="F32" s="261"/>
      <c r="G32" s="133"/>
      <c r="H32" s="133"/>
      <c r="I32" s="133"/>
      <c r="J32" s="133"/>
      <c r="K32" s="133"/>
    </row>
    <row r="33" spans="1:11" s="121" customFormat="1" ht="18" customHeight="1">
      <c r="A33" s="128" t="s">
        <v>207</v>
      </c>
      <c r="B33" s="242">
        <f>'（５-6）品群別人時生產性(便當)'!L27</f>
        <v>71.995438102013637</v>
      </c>
      <c r="C33" s="257">
        <v>72.468349889814732</v>
      </c>
      <c r="D33" s="243">
        <f t="shared" si="5"/>
        <v>-0.47291178780109533</v>
      </c>
      <c r="E33" s="129">
        <f>'（５-6）品群別人時生產性(便當)'!C1</f>
        <v>72.231893995914191</v>
      </c>
      <c r="F33" s="386"/>
      <c r="G33" s="133"/>
      <c r="H33" s="133"/>
      <c r="I33" s="133"/>
      <c r="J33" s="133"/>
      <c r="K33" s="133"/>
    </row>
    <row r="34" spans="1:11" s="121" customFormat="1" ht="18" customHeight="1">
      <c r="A34" s="128" t="s">
        <v>216</v>
      </c>
      <c r="B34" s="242">
        <f>'（５-7）品群別人時生產性(熱食義麵) '!L27</f>
        <v>84.277714828679365</v>
      </c>
      <c r="C34" s="257">
        <v>85.520419309778418</v>
      </c>
      <c r="D34" s="243">
        <f t="shared" si="5"/>
        <v>-1.2427044810990537</v>
      </c>
      <c r="E34" s="129">
        <f>'（５-7）品群別人時生產性(熱食義麵) '!C1</f>
        <v>84.899067069228892</v>
      </c>
      <c r="F34" s="386"/>
      <c r="G34" s="133"/>
      <c r="H34" s="133"/>
      <c r="I34" s="133"/>
      <c r="J34" s="133"/>
      <c r="K34" s="133"/>
    </row>
    <row r="35" spans="1:11" s="121" customFormat="1" ht="18" customHeight="1">
      <c r="A35" s="128" t="s">
        <v>217</v>
      </c>
      <c r="B35" s="242">
        <f>'（５-8）品群別人時生產性(季節調理麵) '!L27</f>
        <v>129.42800050234527</v>
      </c>
      <c r="C35" s="257">
        <v>129.9474276931152</v>
      </c>
      <c r="D35" s="243">
        <f t="shared" si="5"/>
        <v>-0.51942719076993171</v>
      </c>
      <c r="E35" s="129">
        <f>'（５-8）品群別人時生產性(季節調理麵) '!C1</f>
        <v>129.68771409773024</v>
      </c>
      <c r="F35" s="386"/>
      <c r="G35" s="133"/>
      <c r="H35" s="133"/>
      <c r="I35" s="133"/>
      <c r="J35" s="133"/>
      <c r="K35" s="133"/>
    </row>
    <row r="36" spans="1:11" s="121" customFormat="1" ht="18" customHeight="1">
      <c r="A36" s="124" t="s">
        <v>212</v>
      </c>
      <c r="B36" s="242">
        <f>'（５-9）品群別人時生產性(微波小吃)'!L27</f>
        <v>148.81056237666323</v>
      </c>
      <c r="C36" s="257">
        <v>143.41592809295065</v>
      </c>
      <c r="D36" s="243">
        <f t="shared" si="5"/>
        <v>5.3946342837125769</v>
      </c>
      <c r="E36" s="129">
        <f>'（５-9）品群別人時生產性(微波小吃)'!C1</f>
        <v>146.11324523480693</v>
      </c>
      <c r="F36" s="386"/>
      <c r="G36" s="133"/>
      <c r="H36" s="133"/>
      <c r="I36" s="133"/>
      <c r="J36" s="133"/>
      <c r="K36" s="133"/>
    </row>
    <row r="37" spans="1:11" s="121" customFormat="1" ht="15.75" customHeight="1">
      <c r="D37" s="305"/>
    </row>
    <row r="38" spans="1:11" s="121" customFormat="1" ht="15.75" customHeight="1"/>
  </sheetData>
  <mergeCells count="2">
    <mergeCell ref="A1:K2"/>
    <mergeCell ref="F3:G3"/>
  </mergeCells>
  <phoneticPr fontId="1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W58"/>
  <sheetViews>
    <sheetView zoomScale="65" zoomScaleNormal="6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G56" sqref="G56"/>
    </sheetView>
  </sheetViews>
  <sheetFormatPr defaultColWidth="8.85546875" defaultRowHeight="14.25"/>
  <cols>
    <col min="1" max="1" width="10.42578125" style="83" bestFit="1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19.5703125" style="86" customWidth="1"/>
    <col min="9" max="13" width="19.5703125" style="87" customWidth="1"/>
    <col min="14" max="14" width="19.5703125" style="88" customWidth="1"/>
    <col min="15" max="17" width="19.5703125" style="89" customWidth="1"/>
    <col min="18" max="20" width="19.5703125" style="88" customWidth="1"/>
    <col min="21" max="21" width="19.5703125" style="89" customWidth="1"/>
    <col min="22" max="23" width="19.5703125" style="83" customWidth="1"/>
    <col min="24" max="16384" width="8.85546875" style="83"/>
  </cols>
  <sheetData>
    <row r="2" spans="1:23" ht="38.1" customHeight="1">
      <c r="B2" s="583" t="s">
        <v>121</v>
      </c>
      <c r="C2" s="583"/>
      <c r="D2" s="583"/>
      <c r="E2" s="583"/>
      <c r="F2" s="583"/>
      <c r="G2" s="583"/>
      <c r="H2" s="583"/>
      <c r="I2" s="583"/>
      <c r="J2" s="583"/>
      <c r="K2" s="583"/>
      <c r="L2" s="583"/>
      <c r="M2" s="583"/>
      <c r="N2" s="583"/>
      <c r="O2" s="583"/>
      <c r="P2" s="583"/>
      <c r="Q2" s="583"/>
      <c r="R2" s="583"/>
      <c r="S2" s="583"/>
      <c r="T2" s="583"/>
      <c r="U2" s="583"/>
      <c r="V2" s="583"/>
      <c r="W2" s="583"/>
    </row>
    <row r="3" spans="1:23" s="84" customFormat="1" ht="23.45" customHeight="1">
      <c r="B3" s="97"/>
      <c r="C3" s="587" t="s">
        <v>116</v>
      </c>
      <c r="D3" s="588" t="s">
        <v>105</v>
      </c>
      <c r="E3" s="588"/>
      <c r="F3" s="586" t="s">
        <v>335</v>
      </c>
      <c r="G3" s="586"/>
      <c r="H3" s="586"/>
      <c r="I3" s="584" t="s">
        <v>119</v>
      </c>
      <c r="J3" s="584"/>
      <c r="K3" s="584"/>
      <c r="L3" s="585" t="s">
        <v>120</v>
      </c>
      <c r="M3" s="585"/>
      <c r="N3" s="585"/>
      <c r="O3" s="582" t="s">
        <v>122</v>
      </c>
      <c r="P3" s="582"/>
      <c r="Q3" s="582"/>
      <c r="R3" s="589" t="s">
        <v>123</v>
      </c>
      <c r="S3" s="589"/>
      <c r="T3" s="589"/>
      <c r="U3" s="582" t="s">
        <v>124</v>
      </c>
      <c r="V3" s="582"/>
      <c r="W3" s="582"/>
    </row>
    <row r="4" spans="1:23" s="84" customFormat="1" ht="23.45" customHeight="1">
      <c r="A4" s="97"/>
      <c r="B4" s="97"/>
      <c r="C4" s="587"/>
      <c r="D4" s="588"/>
      <c r="E4" s="588"/>
      <c r="F4" s="78" t="s">
        <v>115</v>
      </c>
      <c r="G4" s="78" t="s">
        <v>117</v>
      </c>
      <c r="H4" s="78" t="s">
        <v>118</v>
      </c>
      <c r="I4" s="91" t="s">
        <v>115</v>
      </c>
      <c r="J4" s="91" t="s">
        <v>117</v>
      </c>
      <c r="K4" s="91" t="s">
        <v>118</v>
      </c>
      <c r="L4" s="90" t="s">
        <v>115</v>
      </c>
      <c r="M4" s="90" t="s">
        <v>117</v>
      </c>
      <c r="N4" s="90" t="s">
        <v>118</v>
      </c>
      <c r="O4" s="85" t="s">
        <v>115</v>
      </c>
      <c r="P4" s="85" t="s">
        <v>117</v>
      </c>
      <c r="Q4" s="309" t="s">
        <v>464</v>
      </c>
      <c r="R4" s="85" t="s">
        <v>115</v>
      </c>
      <c r="S4" s="85" t="s">
        <v>117</v>
      </c>
      <c r="T4" s="85" t="s">
        <v>118</v>
      </c>
      <c r="U4" s="85" t="s">
        <v>115</v>
      </c>
      <c r="V4" s="85" t="s">
        <v>117</v>
      </c>
      <c r="W4" s="309" t="s">
        <v>464</v>
      </c>
    </row>
    <row r="5" spans="1:23">
      <c r="A5" s="97"/>
      <c r="B5" s="97"/>
      <c r="C5" s="97"/>
      <c r="D5" s="308">
        <v>46168</v>
      </c>
      <c r="E5" s="308" t="s">
        <v>458</v>
      </c>
      <c r="F5" s="508">
        <v>9911969</v>
      </c>
      <c r="H5" s="329"/>
      <c r="I5" s="511">
        <v>293602</v>
      </c>
      <c r="K5" s="330"/>
      <c r="L5" s="508">
        <v>6374930</v>
      </c>
      <c r="M5" s="306"/>
      <c r="N5" s="329"/>
      <c r="O5" s="89">
        <f t="shared" ref="O5:O39" si="0">L5/F5</f>
        <v>0.64315475562928015</v>
      </c>
      <c r="P5" s="307"/>
      <c r="Q5" s="328"/>
      <c r="R5" s="508">
        <v>1112117.709822048</v>
      </c>
      <c r="S5" s="306"/>
      <c r="T5" s="329"/>
      <c r="U5" s="89">
        <f t="shared" ref="U5:U40" si="1">R5/F5</f>
        <v>0.11219947417329977</v>
      </c>
      <c r="V5" s="307"/>
      <c r="W5" s="328"/>
    </row>
    <row r="6" spans="1:23">
      <c r="A6" s="97"/>
      <c r="B6" s="97"/>
      <c r="C6" s="97"/>
      <c r="D6" s="308">
        <f t="shared" ref="D6" si="2">D5+1</f>
        <v>46169</v>
      </c>
      <c r="E6" s="308" t="s">
        <v>459</v>
      </c>
      <c r="F6" s="508">
        <v>9723654</v>
      </c>
      <c r="G6" s="306">
        <f>SUM(F5:F11)</f>
        <v>65939025</v>
      </c>
      <c r="H6" s="329"/>
      <c r="I6" s="511">
        <v>289569</v>
      </c>
      <c r="J6" s="87">
        <f>SUM(I5:I11)</f>
        <v>1972816</v>
      </c>
      <c r="K6" s="330"/>
      <c r="L6" s="508">
        <v>6417155</v>
      </c>
      <c r="M6" s="306">
        <f>SUM(L5:L11)</f>
        <v>43853226</v>
      </c>
      <c r="N6" s="329"/>
      <c r="O6" s="89">
        <f t="shared" si="0"/>
        <v>0.6599530382302784</v>
      </c>
      <c r="P6" s="89">
        <f>M6/G6</f>
        <v>0.66505724038230773</v>
      </c>
      <c r="Q6" s="328"/>
      <c r="R6" s="508">
        <v>1109096.6216519091</v>
      </c>
      <c r="S6" s="306">
        <f>SUM(R5:R11)</f>
        <v>7722861.6238168366</v>
      </c>
      <c r="T6" s="329"/>
      <c r="U6" s="89">
        <f t="shared" si="1"/>
        <v>0.11406171195025132</v>
      </c>
      <c r="V6" s="89">
        <f>S6/G6</f>
        <v>0.1171212589785311</v>
      </c>
      <c r="W6" s="328"/>
    </row>
    <row r="7" spans="1:23" ht="16.5" customHeight="1">
      <c r="A7" s="97"/>
      <c r="B7" s="97"/>
      <c r="C7" s="97"/>
      <c r="D7" s="308">
        <f>D6+1</f>
        <v>46170</v>
      </c>
      <c r="E7" s="308" t="s">
        <v>460</v>
      </c>
      <c r="F7" s="508">
        <v>9072400</v>
      </c>
      <c r="I7" s="511">
        <v>272954</v>
      </c>
      <c r="L7" s="508">
        <v>6318977</v>
      </c>
      <c r="M7" s="86"/>
      <c r="N7" s="86"/>
      <c r="O7" s="89">
        <f t="shared" si="0"/>
        <v>0.69650555531061242</v>
      </c>
      <c r="R7" s="508">
        <v>1092100.0396727426</v>
      </c>
      <c r="S7" s="86"/>
      <c r="T7" s="86"/>
      <c r="U7" s="89">
        <f t="shared" si="1"/>
        <v>0.1203760900834115</v>
      </c>
      <c r="V7" s="89"/>
    </row>
    <row r="8" spans="1:23" ht="16.5" customHeight="1">
      <c r="A8" s="97"/>
      <c r="B8" s="97"/>
      <c r="C8" s="97"/>
      <c r="D8" s="308">
        <f t="shared" ref="D8:D11" si="3">D7+1</f>
        <v>46171</v>
      </c>
      <c r="E8" s="308" t="s">
        <v>461</v>
      </c>
      <c r="F8" s="508">
        <v>8447568.0000000019</v>
      </c>
      <c r="G8" s="306"/>
      <c r="H8" s="329"/>
      <c r="I8" s="511">
        <v>253473</v>
      </c>
      <c r="K8" s="330"/>
      <c r="L8" s="508">
        <v>5651856</v>
      </c>
      <c r="M8" s="306"/>
      <c r="N8" s="329"/>
      <c r="O8" s="89">
        <f t="shared" si="0"/>
        <v>0.66905125830298129</v>
      </c>
      <c r="P8" s="307"/>
      <c r="Q8" s="328"/>
      <c r="R8" s="508">
        <v>1098880.0247352428</v>
      </c>
      <c r="S8" s="306"/>
      <c r="T8" s="329"/>
      <c r="U8" s="89">
        <f t="shared" si="1"/>
        <v>0.13008241244524371</v>
      </c>
      <c r="V8" s="307"/>
      <c r="W8" s="328"/>
    </row>
    <row r="9" spans="1:23" ht="16.5" customHeight="1">
      <c r="A9" s="97"/>
      <c r="B9" s="97"/>
      <c r="C9" s="97"/>
      <c r="D9" s="308">
        <f t="shared" si="3"/>
        <v>46172</v>
      </c>
      <c r="E9" s="308" t="s">
        <v>462</v>
      </c>
      <c r="F9" s="508">
        <v>8820596</v>
      </c>
      <c r="G9" s="306"/>
      <c r="H9" s="329"/>
      <c r="I9" s="511">
        <v>262061</v>
      </c>
      <c r="K9" s="330"/>
      <c r="L9" s="508">
        <v>6178518</v>
      </c>
      <c r="M9" s="306"/>
      <c r="N9" s="329"/>
      <c r="O9" s="89">
        <f t="shared" si="0"/>
        <v>0.7004649118948425</v>
      </c>
      <c r="P9" s="307"/>
      <c r="Q9" s="328"/>
      <c r="R9" s="508">
        <v>1087933.1205581594</v>
      </c>
      <c r="S9" s="306"/>
      <c r="T9" s="329"/>
      <c r="U9" s="89">
        <f t="shared" si="1"/>
        <v>0.12334009182125101</v>
      </c>
      <c r="V9" s="307"/>
      <c r="W9" s="328"/>
    </row>
    <row r="10" spans="1:23" ht="16.5" customHeight="1">
      <c r="A10" s="97"/>
      <c r="B10" s="97"/>
      <c r="C10" s="97"/>
      <c r="D10" s="308">
        <f t="shared" si="3"/>
        <v>46173</v>
      </c>
      <c r="E10" s="308" t="s">
        <v>463</v>
      </c>
      <c r="F10" s="508">
        <v>10386449</v>
      </c>
      <c r="H10" s="329">
        <f>SUM(F11:F40)</f>
        <v>74601313</v>
      </c>
      <c r="I10" s="511">
        <v>307771</v>
      </c>
      <c r="K10" s="330">
        <f>SUM(I11:I40)</f>
        <v>2232677</v>
      </c>
      <c r="L10" s="508">
        <v>6597451</v>
      </c>
      <c r="M10" s="86"/>
      <c r="N10" s="329">
        <f>SUM(L11:L40)</f>
        <v>49370685</v>
      </c>
      <c r="O10" s="89">
        <f t="shared" si="0"/>
        <v>0.63519793916092016</v>
      </c>
      <c r="P10" s="307"/>
      <c r="Q10" s="328">
        <f>N10/H10</f>
        <v>0.66179378102902831</v>
      </c>
      <c r="R10" s="508">
        <v>1140047.0920303811</v>
      </c>
      <c r="S10" s="86"/>
      <c r="T10" s="329">
        <f>SUM(R11:R40)</f>
        <v>8400388.6499793138</v>
      </c>
      <c r="U10" s="89">
        <f t="shared" si="1"/>
        <v>0.1097629316843881</v>
      </c>
      <c r="V10" s="307"/>
      <c r="W10" s="328">
        <f>T10/H10</f>
        <v>0.11260376409164961</v>
      </c>
    </row>
    <row r="11" spans="1:23" ht="16.5" customHeight="1">
      <c r="A11" s="97"/>
      <c r="B11" s="97"/>
      <c r="C11" s="97"/>
      <c r="D11" s="308">
        <f t="shared" si="3"/>
        <v>46174</v>
      </c>
      <c r="E11" s="308" t="s">
        <v>457</v>
      </c>
      <c r="F11" s="508">
        <v>9576389</v>
      </c>
      <c r="G11" s="306"/>
      <c r="H11" s="329"/>
      <c r="I11" s="511">
        <v>293386</v>
      </c>
      <c r="K11" s="330"/>
      <c r="L11" s="508">
        <v>6314339</v>
      </c>
      <c r="M11" s="306"/>
      <c r="N11" s="329"/>
      <c r="O11" s="89">
        <f t="shared" si="0"/>
        <v>0.65936534115312151</v>
      </c>
      <c r="Q11" s="328"/>
      <c r="R11" s="508">
        <v>1082687.0153463539</v>
      </c>
      <c r="S11" s="306"/>
      <c r="T11" s="329"/>
      <c r="U11" s="89">
        <f t="shared" si="1"/>
        <v>0.11305796113194168</v>
      </c>
      <c r="V11" s="89"/>
      <c r="W11" s="328"/>
    </row>
    <row r="12" spans="1:23" ht="16.5" customHeight="1">
      <c r="A12" s="97"/>
      <c r="B12" s="97"/>
      <c r="C12" s="97"/>
      <c r="D12" s="378">
        <f t="shared" ref="D12:D34" si="4">D11+1</f>
        <v>46175</v>
      </c>
      <c r="E12" s="378" t="s">
        <v>458</v>
      </c>
      <c r="F12" s="229">
        <v>10050370</v>
      </c>
      <c r="G12" s="306">
        <f>SUM(F12:F18)</f>
        <v>65024924</v>
      </c>
      <c r="H12" s="329"/>
      <c r="I12" s="230">
        <v>300488</v>
      </c>
      <c r="J12" s="87">
        <f>SUM(I12:I18)</f>
        <v>1939291</v>
      </c>
      <c r="K12" s="330"/>
      <c r="L12" s="229">
        <v>6827923</v>
      </c>
      <c r="M12" s="306">
        <f>SUM(L12:L18)</f>
        <v>43056346</v>
      </c>
      <c r="N12" s="329"/>
      <c r="O12" s="89">
        <f t="shared" si="0"/>
        <v>0.67937031173976681</v>
      </c>
      <c r="P12" s="89">
        <f>M12/G12</f>
        <v>0.66215142366025681</v>
      </c>
      <c r="Q12" s="328"/>
      <c r="R12" s="231">
        <v>1044240.7851132404</v>
      </c>
      <c r="S12" s="306">
        <f>SUM(R12:R18)</f>
        <v>7317701.63463296</v>
      </c>
      <c r="T12" s="329"/>
      <c r="U12" s="89">
        <f t="shared" si="1"/>
        <v>0.10390073053163619</v>
      </c>
      <c r="V12" s="89">
        <f>S12/G12</f>
        <v>0.11253687331696012</v>
      </c>
      <c r="W12" s="328"/>
    </row>
    <row r="13" spans="1:23" ht="16.5" customHeight="1">
      <c r="A13" s="97"/>
      <c r="B13" s="97"/>
      <c r="C13" s="97"/>
      <c r="D13" s="378">
        <f t="shared" si="4"/>
        <v>46176</v>
      </c>
      <c r="E13" s="378" t="s">
        <v>459</v>
      </c>
      <c r="F13" s="229">
        <v>9327317</v>
      </c>
      <c r="H13" s="329"/>
      <c r="I13" s="230">
        <v>281796</v>
      </c>
      <c r="K13" s="330"/>
      <c r="L13" s="229">
        <v>6140510</v>
      </c>
      <c r="M13" s="86"/>
      <c r="N13" s="329"/>
      <c r="O13" s="89">
        <f t="shared" si="0"/>
        <v>0.65833615390149169</v>
      </c>
      <c r="P13" s="307"/>
      <c r="Q13" s="328"/>
      <c r="R13" s="229">
        <v>1042886.6173215734</v>
      </c>
      <c r="S13" s="86"/>
      <c r="T13" s="329"/>
      <c r="U13" s="89">
        <f t="shared" si="1"/>
        <v>0.11180992533239445</v>
      </c>
      <c r="V13" s="307"/>
      <c r="W13" s="328"/>
    </row>
    <row r="14" spans="1:23" ht="16.5" customHeight="1">
      <c r="A14" s="97"/>
      <c r="B14" s="97"/>
      <c r="C14" s="97"/>
      <c r="D14" s="378">
        <f t="shared" si="4"/>
        <v>46177</v>
      </c>
      <c r="E14" s="378" t="s">
        <v>460</v>
      </c>
      <c r="F14" s="229">
        <v>8845232</v>
      </c>
      <c r="G14" s="306"/>
      <c r="H14" s="329"/>
      <c r="I14" s="230">
        <v>268178</v>
      </c>
      <c r="K14" s="330"/>
      <c r="L14" s="229">
        <v>6237287</v>
      </c>
      <c r="M14" s="306"/>
      <c r="N14" s="329"/>
      <c r="O14" s="89">
        <f t="shared" si="0"/>
        <v>0.70515810099723786</v>
      </c>
      <c r="P14" s="307"/>
      <c r="Q14" s="328"/>
      <c r="R14" s="229">
        <v>1038657.1720785184</v>
      </c>
      <c r="S14" s="306"/>
      <c r="T14" s="329"/>
      <c r="U14" s="89">
        <f t="shared" si="1"/>
        <v>0.11742565622682576</v>
      </c>
      <c r="V14" s="307"/>
      <c r="W14" s="328"/>
    </row>
    <row r="15" spans="1:23" ht="16.5" customHeight="1">
      <c r="A15" s="97"/>
      <c r="B15" s="97"/>
      <c r="C15" s="97"/>
      <c r="D15" s="378">
        <f t="shared" si="4"/>
        <v>46178</v>
      </c>
      <c r="E15" s="378" t="s">
        <v>461</v>
      </c>
      <c r="F15" s="229">
        <v>7987767</v>
      </c>
      <c r="G15" s="306"/>
      <c r="H15" s="329"/>
      <c r="I15" s="230">
        <v>238249</v>
      </c>
      <c r="K15" s="330"/>
      <c r="L15" s="229">
        <v>5421982</v>
      </c>
      <c r="M15" s="306"/>
      <c r="N15" s="329"/>
      <c r="O15" s="89">
        <f t="shared" si="0"/>
        <v>0.67878569818073065</v>
      </c>
      <c r="Q15" s="328"/>
      <c r="R15" s="229">
        <v>1029297.8272243517</v>
      </c>
      <c r="S15" s="306"/>
      <c r="T15" s="329"/>
      <c r="U15" s="89">
        <f t="shared" si="1"/>
        <v>0.12885927033479466</v>
      </c>
      <c r="V15" s="89"/>
      <c r="W15" s="328"/>
    </row>
    <row r="16" spans="1:23" ht="16.5" customHeight="1">
      <c r="A16" s="97"/>
      <c r="B16" s="97"/>
      <c r="C16" s="97"/>
      <c r="D16" s="378">
        <f t="shared" si="4"/>
        <v>46179</v>
      </c>
      <c r="E16" s="378" t="s">
        <v>462</v>
      </c>
      <c r="F16" s="229">
        <v>8617242</v>
      </c>
      <c r="G16" s="306"/>
      <c r="H16" s="329"/>
      <c r="I16" s="230">
        <v>254956</v>
      </c>
      <c r="K16" s="330"/>
      <c r="L16" s="229">
        <v>5373030</v>
      </c>
      <c r="M16" s="306"/>
      <c r="N16" s="329"/>
      <c r="O16" s="89">
        <f t="shared" si="0"/>
        <v>0.62352084344387682</v>
      </c>
      <c r="P16" s="307"/>
      <c r="Q16" s="328"/>
      <c r="R16" s="229">
        <v>1010558.9937590735</v>
      </c>
      <c r="S16" s="306"/>
      <c r="T16" s="329"/>
      <c r="U16" s="89">
        <f t="shared" si="1"/>
        <v>0.11727174352989896</v>
      </c>
      <c r="V16" s="307"/>
      <c r="W16" s="328"/>
    </row>
    <row r="17" spans="1:23" ht="16.5" customHeight="1">
      <c r="A17" s="97"/>
      <c r="B17" s="97"/>
      <c r="C17" s="97"/>
      <c r="D17" s="378">
        <f t="shared" si="4"/>
        <v>46180</v>
      </c>
      <c r="E17" s="378" t="s">
        <v>463</v>
      </c>
      <c r="F17" s="229">
        <v>10141059</v>
      </c>
      <c r="H17" s="329"/>
      <c r="I17" s="230">
        <v>300446</v>
      </c>
      <c r="K17" s="330"/>
      <c r="L17" s="229">
        <v>6560474</v>
      </c>
      <c r="M17" s="86"/>
      <c r="N17" s="329"/>
      <c r="O17" s="89">
        <f t="shared" si="0"/>
        <v>0.64692198319721839</v>
      </c>
      <c r="P17" s="307"/>
      <c r="Q17" s="328"/>
      <c r="R17" s="229">
        <v>1066733.015842407</v>
      </c>
      <c r="S17" s="86"/>
      <c r="T17" s="329"/>
      <c r="U17" s="89">
        <f t="shared" si="1"/>
        <v>0.10518950889077827</v>
      </c>
      <c r="V17" s="307"/>
      <c r="W17" s="328"/>
    </row>
    <row r="18" spans="1:23" ht="16.5" customHeight="1">
      <c r="A18" s="97"/>
      <c r="B18" s="97"/>
      <c r="C18" s="97"/>
      <c r="D18" s="378">
        <f t="shared" si="4"/>
        <v>46181</v>
      </c>
      <c r="E18" s="378" t="s">
        <v>457</v>
      </c>
      <c r="F18" s="229">
        <v>10055937</v>
      </c>
      <c r="G18" s="306"/>
      <c r="H18" s="329"/>
      <c r="I18" s="230">
        <v>295178</v>
      </c>
      <c r="K18" s="330"/>
      <c r="L18" s="229">
        <v>6495140</v>
      </c>
      <c r="M18" s="306"/>
      <c r="N18" s="329"/>
      <c r="O18" s="89">
        <f t="shared" si="0"/>
        <v>0.64590102344515488</v>
      </c>
      <c r="P18" s="307"/>
      <c r="Q18" s="328"/>
      <c r="R18" s="229">
        <v>1085327.2232937957</v>
      </c>
      <c r="S18" s="306"/>
      <c r="T18" s="329"/>
      <c r="U18" s="89">
        <f t="shared" si="1"/>
        <v>0.10792899988273551</v>
      </c>
      <c r="V18" s="307"/>
      <c r="W18" s="328"/>
    </row>
    <row r="19" spans="1:23" ht="16.5" customHeight="1">
      <c r="A19" s="97"/>
      <c r="B19" s="97"/>
      <c r="C19" s="97"/>
      <c r="D19" s="308">
        <f t="shared" si="4"/>
        <v>46182</v>
      </c>
      <c r="E19" s="308" t="s">
        <v>458</v>
      </c>
      <c r="F19" s="229"/>
      <c r="G19" s="306">
        <f>SUM(F19:F25)</f>
        <v>0</v>
      </c>
      <c r="H19" s="329"/>
      <c r="I19" s="230"/>
      <c r="J19" s="87">
        <f>SUM(I19:I25)</f>
        <v>0</v>
      </c>
      <c r="K19" s="330"/>
      <c r="L19" s="229"/>
      <c r="M19" s="306">
        <f>SUM(L19:L25)</f>
        <v>0</v>
      </c>
      <c r="N19" s="329"/>
      <c r="O19" s="89" t="e">
        <f t="shared" si="0"/>
        <v>#DIV/0!</v>
      </c>
      <c r="P19" s="89" t="e">
        <f>M19/G19</f>
        <v>#DIV/0!</v>
      </c>
      <c r="Q19" s="328"/>
      <c r="R19" s="229"/>
      <c r="S19" s="306">
        <f>SUM(R19:R25)</f>
        <v>0</v>
      </c>
      <c r="T19" s="329"/>
      <c r="U19" s="89" t="e">
        <f t="shared" si="1"/>
        <v>#DIV/0!</v>
      </c>
      <c r="V19" s="89" t="e">
        <f>S19/G19</f>
        <v>#DIV/0!</v>
      </c>
      <c r="W19" s="328"/>
    </row>
    <row r="20" spans="1:23" ht="16.5" customHeight="1">
      <c r="A20" s="97"/>
      <c r="B20" s="97"/>
      <c r="C20" s="97"/>
      <c r="D20" s="308">
        <f t="shared" si="4"/>
        <v>46183</v>
      </c>
      <c r="E20" s="308" t="s">
        <v>459</v>
      </c>
      <c r="F20" s="229"/>
      <c r="G20" s="306"/>
      <c r="H20" s="329"/>
      <c r="I20" s="230"/>
      <c r="K20" s="330"/>
      <c r="L20" s="229"/>
      <c r="M20" s="306"/>
      <c r="N20" s="329"/>
      <c r="O20" s="89" t="e">
        <f t="shared" si="0"/>
        <v>#DIV/0!</v>
      </c>
      <c r="P20" s="307"/>
      <c r="Q20" s="328"/>
      <c r="R20" s="229"/>
      <c r="S20" s="306"/>
      <c r="T20" s="329"/>
      <c r="U20" s="89" t="e">
        <f t="shared" si="1"/>
        <v>#DIV/0!</v>
      </c>
      <c r="V20" s="307"/>
      <c r="W20" s="328"/>
    </row>
    <row r="21" spans="1:23" ht="16.5" customHeight="1">
      <c r="A21" s="97"/>
      <c r="B21" s="97"/>
      <c r="C21" s="97"/>
      <c r="D21" s="308">
        <f t="shared" si="4"/>
        <v>46184</v>
      </c>
      <c r="E21" s="308" t="s">
        <v>460</v>
      </c>
      <c r="F21" s="229"/>
      <c r="H21" s="329"/>
      <c r="I21" s="230"/>
      <c r="K21" s="330"/>
      <c r="L21" s="229"/>
      <c r="M21" s="86"/>
      <c r="N21" s="329"/>
      <c r="O21" s="89" t="e">
        <f t="shared" si="0"/>
        <v>#DIV/0!</v>
      </c>
      <c r="P21" s="307"/>
      <c r="Q21" s="328"/>
      <c r="R21" s="229"/>
      <c r="S21" s="86"/>
      <c r="T21" s="329"/>
      <c r="U21" s="89" t="e">
        <f t="shared" si="1"/>
        <v>#DIV/0!</v>
      </c>
      <c r="V21" s="307"/>
      <c r="W21" s="328"/>
    </row>
    <row r="22" spans="1:23" ht="16.5" customHeight="1">
      <c r="A22" s="97"/>
      <c r="B22" s="97"/>
      <c r="C22" s="97"/>
      <c r="D22" s="308">
        <f t="shared" si="4"/>
        <v>46185</v>
      </c>
      <c r="E22" s="308" t="s">
        <v>461</v>
      </c>
      <c r="F22" s="229"/>
      <c r="G22" s="306"/>
      <c r="H22" s="329"/>
      <c r="I22" s="230"/>
      <c r="K22" s="330"/>
      <c r="L22" s="229"/>
      <c r="M22" s="306"/>
      <c r="N22" s="329"/>
      <c r="O22" s="89" t="e">
        <f t="shared" si="0"/>
        <v>#DIV/0!</v>
      </c>
      <c r="Q22" s="328"/>
      <c r="R22" s="229"/>
      <c r="S22" s="306"/>
      <c r="T22" s="329"/>
      <c r="U22" s="89" t="e">
        <f t="shared" si="1"/>
        <v>#DIV/0!</v>
      </c>
      <c r="V22" s="89"/>
      <c r="W22" s="328"/>
    </row>
    <row r="23" spans="1:23" ht="16.5" customHeight="1">
      <c r="A23" s="97"/>
      <c r="B23" s="97"/>
      <c r="C23" s="97"/>
      <c r="D23" s="308">
        <f t="shared" si="4"/>
        <v>46186</v>
      </c>
      <c r="E23" s="308" t="s">
        <v>462</v>
      </c>
      <c r="F23" s="229"/>
      <c r="G23" s="306"/>
      <c r="H23" s="329"/>
      <c r="I23" s="230"/>
      <c r="K23" s="330"/>
      <c r="L23" s="229"/>
      <c r="M23" s="306"/>
      <c r="N23" s="329"/>
      <c r="O23" s="89" t="e">
        <f t="shared" si="0"/>
        <v>#DIV/0!</v>
      </c>
      <c r="P23" s="307"/>
      <c r="Q23" s="328"/>
      <c r="R23" s="229"/>
      <c r="S23" s="306"/>
      <c r="T23" s="329"/>
      <c r="U23" s="89" t="e">
        <f t="shared" si="1"/>
        <v>#DIV/0!</v>
      </c>
      <c r="V23" s="307"/>
      <c r="W23" s="328"/>
    </row>
    <row r="24" spans="1:23" ht="16.5" customHeight="1">
      <c r="A24" s="97"/>
      <c r="B24" s="97"/>
      <c r="C24" s="97"/>
      <c r="D24" s="308">
        <f t="shared" si="4"/>
        <v>46187</v>
      </c>
      <c r="E24" s="308" t="s">
        <v>463</v>
      </c>
      <c r="F24" s="229"/>
      <c r="G24" s="306"/>
      <c r="H24" s="329"/>
      <c r="I24" s="230"/>
      <c r="K24" s="330"/>
      <c r="L24" s="229"/>
      <c r="M24" s="306"/>
      <c r="N24" s="329"/>
      <c r="O24" s="89" t="e">
        <f t="shared" si="0"/>
        <v>#DIV/0!</v>
      </c>
      <c r="P24" s="307"/>
      <c r="Q24" s="328"/>
      <c r="R24" s="229"/>
      <c r="S24" s="306"/>
      <c r="T24" s="329"/>
      <c r="U24" s="89" t="e">
        <f t="shared" si="1"/>
        <v>#DIV/0!</v>
      </c>
      <c r="V24" s="307"/>
      <c r="W24" s="328"/>
    </row>
    <row r="25" spans="1:23" ht="16.5" customHeight="1">
      <c r="A25" s="97"/>
      <c r="B25" s="97"/>
      <c r="C25" s="97"/>
      <c r="D25" s="308">
        <f t="shared" si="4"/>
        <v>46188</v>
      </c>
      <c r="E25" s="308" t="s">
        <v>457</v>
      </c>
      <c r="F25" s="229"/>
      <c r="H25" s="329"/>
      <c r="I25" s="230"/>
      <c r="K25" s="330"/>
      <c r="L25" s="229"/>
      <c r="M25" s="86"/>
      <c r="N25" s="329"/>
      <c r="O25" s="89" t="e">
        <f t="shared" si="0"/>
        <v>#DIV/0!</v>
      </c>
      <c r="P25" s="307"/>
      <c r="Q25" s="328"/>
      <c r="R25" s="229"/>
      <c r="S25" s="86"/>
      <c r="T25" s="329"/>
      <c r="U25" s="89" t="e">
        <f t="shared" si="1"/>
        <v>#DIV/0!</v>
      </c>
      <c r="V25" s="307"/>
      <c r="W25" s="328"/>
    </row>
    <row r="26" spans="1:23" ht="16.5" customHeight="1">
      <c r="A26" s="97"/>
      <c r="B26" s="97"/>
      <c r="C26" s="97"/>
      <c r="D26" s="378">
        <f t="shared" si="4"/>
        <v>46189</v>
      </c>
      <c r="E26" s="378" t="s">
        <v>458</v>
      </c>
      <c r="F26" s="229"/>
      <c r="G26" s="306">
        <f>SUM(F26:F32)</f>
        <v>0</v>
      </c>
      <c r="H26" s="329"/>
      <c r="I26" s="230"/>
      <c r="J26" s="87">
        <f>SUM(I26:I32)</f>
        <v>0</v>
      </c>
      <c r="K26" s="330"/>
      <c r="L26" s="229"/>
      <c r="M26" s="306">
        <f>SUM(L26:L32)</f>
        <v>0</v>
      </c>
      <c r="N26" s="329"/>
      <c r="O26" s="89" t="e">
        <f t="shared" si="0"/>
        <v>#DIV/0!</v>
      </c>
      <c r="P26" s="89" t="e">
        <f>M26/G26</f>
        <v>#DIV/0!</v>
      </c>
      <c r="Q26" s="328"/>
      <c r="R26" s="229"/>
      <c r="S26" s="306">
        <f>SUM(R26:R32)</f>
        <v>0</v>
      </c>
      <c r="T26" s="329"/>
      <c r="U26" s="89" t="e">
        <f t="shared" si="1"/>
        <v>#DIV/0!</v>
      </c>
      <c r="V26" s="89" t="e">
        <f>S26/G26</f>
        <v>#DIV/0!</v>
      </c>
      <c r="W26" s="328"/>
    </row>
    <row r="27" spans="1:23">
      <c r="A27" s="97"/>
      <c r="B27" s="97"/>
      <c r="C27" s="97"/>
      <c r="D27" s="378">
        <f t="shared" si="4"/>
        <v>46190</v>
      </c>
      <c r="E27" s="378" t="s">
        <v>459</v>
      </c>
      <c r="F27" s="229"/>
      <c r="G27" s="306"/>
      <c r="H27" s="329"/>
      <c r="I27" s="230"/>
      <c r="K27" s="330"/>
      <c r="L27" s="229"/>
      <c r="M27" s="306"/>
      <c r="N27" s="329"/>
      <c r="O27" s="89" t="e">
        <f t="shared" si="0"/>
        <v>#DIV/0!</v>
      </c>
      <c r="P27" s="307"/>
      <c r="Q27" s="328"/>
      <c r="R27" s="229"/>
      <c r="S27" s="306"/>
      <c r="T27" s="329"/>
      <c r="U27" s="89" t="e">
        <f t="shared" si="1"/>
        <v>#DIV/0!</v>
      </c>
      <c r="V27" s="307"/>
      <c r="W27" s="328"/>
    </row>
    <row r="28" spans="1:23">
      <c r="A28" s="97"/>
      <c r="B28" s="97"/>
      <c r="C28" s="97"/>
      <c r="D28" s="378">
        <f t="shared" si="4"/>
        <v>46191</v>
      </c>
      <c r="E28" s="378" t="s">
        <v>460</v>
      </c>
      <c r="F28" s="229"/>
      <c r="H28" s="329"/>
      <c r="I28" s="230"/>
      <c r="K28" s="330"/>
      <c r="L28" s="229"/>
      <c r="M28" s="86"/>
      <c r="N28" s="329"/>
      <c r="O28" s="89" t="e">
        <f t="shared" si="0"/>
        <v>#DIV/0!</v>
      </c>
      <c r="P28" s="307"/>
      <c r="Q28" s="328"/>
      <c r="R28" s="229"/>
      <c r="S28" s="86"/>
      <c r="T28" s="329"/>
      <c r="U28" s="89" t="e">
        <f t="shared" si="1"/>
        <v>#DIV/0!</v>
      </c>
      <c r="V28" s="307"/>
      <c r="W28" s="328"/>
    </row>
    <row r="29" spans="1:23">
      <c r="A29" s="97"/>
      <c r="B29" s="97"/>
      <c r="C29" s="97"/>
      <c r="D29" s="378">
        <f t="shared" si="4"/>
        <v>46192</v>
      </c>
      <c r="E29" s="378" t="s">
        <v>461</v>
      </c>
      <c r="F29" s="229"/>
      <c r="G29" s="306"/>
      <c r="H29" s="329"/>
      <c r="I29" s="230"/>
      <c r="K29" s="330"/>
      <c r="L29" s="229"/>
      <c r="M29" s="306"/>
      <c r="N29" s="329"/>
      <c r="O29" s="89" t="e">
        <f t="shared" si="0"/>
        <v>#DIV/0!</v>
      </c>
      <c r="Q29" s="328"/>
      <c r="R29" s="229"/>
      <c r="S29" s="306"/>
      <c r="T29" s="329"/>
      <c r="U29" s="89" t="e">
        <f t="shared" si="1"/>
        <v>#DIV/0!</v>
      </c>
      <c r="V29" s="89"/>
      <c r="W29" s="328"/>
    </row>
    <row r="30" spans="1:23">
      <c r="A30" s="97"/>
      <c r="B30" s="97"/>
      <c r="C30" s="97"/>
      <c r="D30" s="378">
        <f t="shared" si="4"/>
        <v>46193</v>
      </c>
      <c r="E30" s="378" t="s">
        <v>462</v>
      </c>
      <c r="F30" s="229"/>
      <c r="G30" s="306"/>
      <c r="H30" s="329"/>
      <c r="I30" s="230"/>
      <c r="K30" s="330"/>
      <c r="L30" s="229"/>
      <c r="M30" s="306"/>
      <c r="N30" s="329"/>
      <c r="O30" s="89" t="e">
        <f t="shared" si="0"/>
        <v>#DIV/0!</v>
      </c>
      <c r="P30" s="307"/>
      <c r="Q30" s="328"/>
      <c r="R30" s="229"/>
      <c r="S30" s="306"/>
      <c r="T30" s="329"/>
      <c r="U30" s="89" t="e">
        <f t="shared" si="1"/>
        <v>#DIV/0!</v>
      </c>
      <c r="V30" s="307"/>
      <c r="W30" s="328"/>
    </row>
    <row r="31" spans="1:23">
      <c r="A31" s="97"/>
      <c r="B31" s="97"/>
      <c r="C31" s="97"/>
      <c r="D31" s="378">
        <f t="shared" si="4"/>
        <v>46194</v>
      </c>
      <c r="E31" s="378" t="s">
        <v>463</v>
      </c>
      <c r="F31" s="229"/>
      <c r="G31" s="306"/>
      <c r="H31" s="329"/>
      <c r="I31" s="230"/>
      <c r="K31" s="330"/>
      <c r="L31" s="229"/>
      <c r="M31" s="306"/>
      <c r="N31" s="329"/>
      <c r="O31" s="89" t="e">
        <f t="shared" si="0"/>
        <v>#DIV/0!</v>
      </c>
      <c r="P31" s="307"/>
      <c r="Q31" s="328"/>
      <c r="R31" s="229"/>
      <c r="S31" s="306"/>
      <c r="T31" s="329"/>
      <c r="U31" s="89" t="e">
        <f t="shared" si="1"/>
        <v>#DIV/0!</v>
      </c>
      <c r="V31" s="307"/>
      <c r="W31" s="328"/>
    </row>
    <row r="32" spans="1:23">
      <c r="A32" s="97"/>
      <c r="B32" s="97"/>
      <c r="C32" s="97"/>
      <c r="D32" s="378">
        <f t="shared" si="4"/>
        <v>46195</v>
      </c>
      <c r="E32" s="378" t="s">
        <v>457</v>
      </c>
      <c r="F32" s="229"/>
      <c r="H32" s="329"/>
      <c r="I32" s="230"/>
      <c r="K32" s="330"/>
      <c r="L32" s="229"/>
      <c r="M32" s="86"/>
      <c r="N32" s="329"/>
      <c r="O32" s="89" t="e">
        <f t="shared" si="0"/>
        <v>#DIV/0!</v>
      </c>
      <c r="P32" s="307"/>
      <c r="Q32" s="328"/>
      <c r="R32" s="229"/>
      <c r="S32" s="86"/>
      <c r="T32" s="329"/>
      <c r="U32" s="89" t="e">
        <f t="shared" si="1"/>
        <v>#DIV/0!</v>
      </c>
      <c r="V32" s="307"/>
      <c r="W32" s="328"/>
    </row>
    <row r="33" spans="1:23" s="513" customFormat="1">
      <c r="A33" s="507"/>
      <c r="B33" s="507"/>
      <c r="C33" s="507"/>
      <c r="D33" s="308">
        <f t="shared" si="4"/>
        <v>46196</v>
      </c>
      <c r="E33" s="308" t="s">
        <v>458</v>
      </c>
      <c r="F33" s="515"/>
      <c r="G33" s="516">
        <f>SUM(F33:F39)</f>
        <v>0</v>
      </c>
      <c r="H33" s="517"/>
      <c r="I33" s="518"/>
      <c r="J33" s="350">
        <f>SUM(I33:I39)</f>
        <v>0</v>
      </c>
      <c r="K33" s="519"/>
      <c r="L33" s="515"/>
      <c r="M33" s="516">
        <f>SUM(L33:L39)</f>
        <v>0</v>
      </c>
      <c r="N33" s="517"/>
      <c r="O33" s="520" t="e">
        <f t="shared" si="0"/>
        <v>#DIV/0!</v>
      </c>
      <c r="P33" s="520" t="e">
        <f>M33/G33</f>
        <v>#DIV/0!</v>
      </c>
      <c r="Q33" s="521"/>
      <c r="R33" s="515"/>
      <c r="S33" s="516">
        <f>SUM(R33:R39)</f>
        <v>0</v>
      </c>
      <c r="T33" s="517"/>
      <c r="U33" s="520" t="e">
        <f t="shared" si="1"/>
        <v>#DIV/0!</v>
      </c>
      <c r="V33" s="520" t="e">
        <f>S33/G33</f>
        <v>#DIV/0!</v>
      </c>
      <c r="W33" s="512"/>
    </row>
    <row r="34" spans="1:23" s="513" customFormat="1">
      <c r="A34" s="507"/>
      <c r="B34" s="507"/>
      <c r="C34" s="507"/>
      <c r="D34" s="308">
        <f t="shared" si="4"/>
        <v>46197</v>
      </c>
      <c r="E34" s="308" t="s">
        <v>459</v>
      </c>
      <c r="F34" s="515"/>
      <c r="G34" s="522"/>
      <c r="H34" s="517"/>
      <c r="I34" s="518"/>
      <c r="J34" s="350"/>
      <c r="K34" s="519"/>
      <c r="L34" s="515"/>
      <c r="M34" s="516"/>
      <c r="N34" s="517"/>
      <c r="O34" s="520" t="e">
        <f t="shared" si="0"/>
        <v>#DIV/0!</v>
      </c>
      <c r="P34" s="520"/>
      <c r="Q34" s="521"/>
      <c r="R34" s="515"/>
      <c r="S34" s="516"/>
      <c r="T34" s="517"/>
      <c r="U34" s="520" t="e">
        <f t="shared" si="1"/>
        <v>#DIV/0!</v>
      </c>
      <c r="V34" s="520"/>
      <c r="W34" s="512"/>
    </row>
    <row r="35" spans="1:23" s="513" customFormat="1">
      <c r="A35" s="507"/>
      <c r="B35" s="507"/>
      <c r="D35" s="308">
        <f>D34+1</f>
        <v>46198</v>
      </c>
      <c r="E35" s="308" t="s">
        <v>460</v>
      </c>
      <c r="F35" s="515"/>
      <c r="G35" s="516"/>
      <c r="H35" s="522"/>
      <c r="I35" s="518"/>
      <c r="J35" s="350"/>
      <c r="K35" s="350"/>
      <c r="L35" s="515"/>
      <c r="M35" s="516"/>
      <c r="N35" s="522"/>
      <c r="O35" s="520" t="e">
        <f t="shared" si="0"/>
        <v>#DIV/0!</v>
      </c>
      <c r="P35" s="520"/>
      <c r="Q35" s="522"/>
      <c r="R35" s="515"/>
      <c r="S35" s="516"/>
      <c r="T35" s="522"/>
      <c r="U35" s="520" t="e">
        <f t="shared" si="1"/>
        <v>#DIV/0!</v>
      </c>
      <c r="V35" s="520"/>
      <c r="W35" s="514"/>
    </row>
    <row r="36" spans="1:23" s="513" customFormat="1">
      <c r="A36" s="507"/>
      <c r="B36" s="507"/>
      <c r="C36" s="507"/>
      <c r="D36" s="308">
        <f t="shared" ref="D36:D46" si="5">D35+1</f>
        <v>46199</v>
      </c>
      <c r="E36" s="308" t="s">
        <v>461</v>
      </c>
      <c r="F36" s="515"/>
      <c r="G36" s="516"/>
      <c r="H36" s="517"/>
      <c r="I36" s="518"/>
      <c r="J36" s="350"/>
      <c r="K36" s="519"/>
      <c r="L36" s="515"/>
      <c r="M36" s="516"/>
      <c r="N36" s="517"/>
      <c r="O36" s="520" t="e">
        <f t="shared" si="0"/>
        <v>#DIV/0!</v>
      </c>
      <c r="P36" s="520"/>
      <c r="Q36" s="521"/>
      <c r="R36" s="515"/>
      <c r="S36" s="516"/>
      <c r="T36" s="517"/>
      <c r="U36" s="520" t="e">
        <f t="shared" si="1"/>
        <v>#DIV/0!</v>
      </c>
      <c r="V36" s="520"/>
      <c r="W36" s="512"/>
    </row>
    <row r="37" spans="1:23" s="513" customFormat="1">
      <c r="A37" s="507"/>
      <c r="B37" s="507"/>
      <c r="D37" s="308">
        <f t="shared" si="5"/>
        <v>46200</v>
      </c>
      <c r="E37" s="308" t="s">
        <v>462</v>
      </c>
      <c r="F37" s="515"/>
      <c r="G37" s="516"/>
      <c r="H37" s="522"/>
      <c r="I37" s="518"/>
      <c r="J37" s="350"/>
      <c r="K37" s="350"/>
      <c r="L37" s="515"/>
      <c r="M37" s="516"/>
      <c r="N37" s="522"/>
      <c r="O37" s="520" t="e">
        <f t="shared" si="0"/>
        <v>#DIV/0!</v>
      </c>
      <c r="P37" s="520"/>
      <c r="Q37" s="522"/>
      <c r="R37" s="515"/>
      <c r="S37" s="516"/>
      <c r="T37" s="522"/>
      <c r="U37" s="520" t="e">
        <f t="shared" si="1"/>
        <v>#DIV/0!</v>
      </c>
      <c r="V37" s="520"/>
      <c r="W37" s="514"/>
    </row>
    <row r="38" spans="1:23" s="513" customFormat="1">
      <c r="A38" s="507"/>
      <c r="B38" s="507"/>
      <c r="D38" s="308">
        <f t="shared" si="5"/>
        <v>46201</v>
      </c>
      <c r="E38" s="308" t="s">
        <v>463</v>
      </c>
      <c r="F38" s="515"/>
      <c r="G38" s="516"/>
      <c r="H38" s="522"/>
      <c r="I38" s="518"/>
      <c r="J38" s="350"/>
      <c r="K38" s="350"/>
      <c r="L38" s="515"/>
      <c r="M38" s="516"/>
      <c r="N38" s="522"/>
      <c r="O38" s="520" t="e">
        <f t="shared" si="0"/>
        <v>#DIV/0!</v>
      </c>
      <c r="P38" s="520"/>
      <c r="Q38" s="522"/>
      <c r="R38" s="515"/>
      <c r="S38" s="516"/>
      <c r="T38" s="522"/>
      <c r="U38" s="520" t="e">
        <f t="shared" si="1"/>
        <v>#DIV/0!</v>
      </c>
      <c r="V38" s="520"/>
      <c r="W38" s="514"/>
    </row>
    <row r="39" spans="1:23" s="513" customFormat="1">
      <c r="A39" s="507"/>
      <c r="B39" s="507"/>
      <c r="D39" s="308">
        <f t="shared" si="5"/>
        <v>46202</v>
      </c>
      <c r="E39" s="308" t="s">
        <v>457</v>
      </c>
      <c r="F39" s="515"/>
      <c r="G39" s="516"/>
      <c r="H39" s="522"/>
      <c r="I39" s="518"/>
      <c r="J39" s="350"/>
      <c r="K39" s="350"/>
      <c r="L39" s="515"/>
      <c r="M39" s="516"/>
      <c r="N39" s="522"/>
      <c r="O39" s="520" t="e">
        <f t="shared" si="0"/>
        <v>#DIV/0!</v>
      </c>
      <c r="P39" s="520"/>
      <c r="Q39" s="522"/>
      <c r="R39" s="515"/>
      <c r="S39" s="516"/>
      <c r="T39" s="522"/>
      <c r="U39" s="520" t="e">
        <f t="shared" si="1"/>
        <v>#DIV/0!</v>
      </c>
      <c r="V39" s="520"/>
      <c r="W39" s="514"/>
    </row>
    <row r="40" spans="1:23">
      <c r="A40" s="97"/>
      <c r="B40" s="97"/>
      <c r="D40" s="378">
        <f t="shared" si="5"/>
        <v>46203</v>
      </c>
      <c r="E40" s="378" t="s">
        <v>458</v>
      </c>
      <c r="F40" s="229"/>
      <c r="G40" s="306"/>
      <c r="I40" s="230"/>
      <c r="L40" s="229"/>
      <c r="M40" s="306"/>
      <c r="N40" s="86"/>
      <c r="O40" s="89" t="e">
        <f>L40/F40</f>
        <v>#DIV/0!</v>
      </c>
      <c r="Q40" s="86"/>
      <c r="R40" s="229"/>
      <c r="S40" s="306"/>
      <c r="T40" s="86"/>
      <c r="U40" s="89" t="e">
        <f t="shared" si="1"/>
        <v>#DIV/0!</v>
      </c>
      <c r="V40" s="89"/>
      <c r="W40" s="86"/>
    </row>
    <row r="41" spans="1:23">
      <c r="A41" s="97"/>
      <c r="B41" s="97"/>
      <c r="D41" s="378">
        <f t="shared" si="5"/>
        <v>46204</v>
      </c>
      <c r="E41" s="378" t="s">
        <v>459</v>
      </c>
      <c r="F41" s="229"/>
      <c r="G41" s="306"/>
      <c r="I41" s="230"/>
      <c r="L41" s="229"/>
      <c r="M41" s="306"/>
      <c r="N41" s="86"/>
      <c r="O41" s="89" t="e">
        <f t="shared" ref="O41:O46" si="6">L41/F41</f>
        <v>#DIV/0!</v>
      </c>
      <c r="Q41" s="86"/>
      <c r="R41" s="229"/>
      <c r="S41" s="306"/>
      <c r="T41" s="86"/>
      <c r="U41" s="89" t="e">
        <f t="shared" ref="U41:U46" si="7">R41/F41</f>
        <v>#DIV/0!</v>
      </c>
      <c r="V41" s="89"/>
      <c r="W41" s="86"/>
    </row>
    <row r="42" spans="1:23">
      <c r="A42" s="97"/>
      <c r="B42" s="97"/>
      <c r="D42" s="378">
        <f t="shared" si="5"/>
        <v>46205</v>
      </c>
      <c r="E42" s="378" t="s">
        <v>460</v>
      </c>
      <c r="F42" s="229"/>
      <c r="G42" s="306"/>
      <c r="I42" s="230"/>
      <c r="L42" s="229"/>
      <c r="M42" s="306"/>
      <c r="N42" s="86"/>
      <c r="O42" s="89" t="e">
        <f t="shared" si="6"/>
        <v>#DIV/0!</v>
      </c>
      <c r="Q42" s="86"/>
      <c r="R42" s="229"/>
      <c r="S42" s="306"/>
      <c r="T42" s="86"/>
      <c r="U42" s="89" t="e">
        <f t="shared" si="7"/>
        <v>#DIV/0!</v>
      </c>
      <c r="V42" s="89"/>
      <c r="W42" s="86"/>
    </row>
    <row r="43" spans="1:23">
      <c r="A43" s="97"/>
      <c r="B43" s="97"/>
      <c r="D43" s="378">
        <f t="shared" si="5"/>
        <v>46206</v>
      </c>
      <c r="E43" s="378" t="s">
        <v>461</v>
      </c>
      <c r="F43" s="229"/>
      <c r="G43" s="306"/>
      <c r="I43" s="230"/>
      <c r="L43" s="229"/>
      <c r="M43" s="306"/>
      <c r="N43" s="86"/>
      <c r="O43" s="89" t="e">
        <f t="shared" si="6"/>
        <v>#DIV/0!</v>
      </c>
      <c r="Q43" s="86"/>
      <c r="R43" s="229"/>
      <c r="S43" s="306"/>
      <c r="T43" s="86"/>
      <c r="U43" s="89" t="e">
        <f t="shared" si="7"/>
        <v>#DIV/0!</v>
      </c>
      <c r="V43" s="89"/>
      <c r="W43" s="86"/>
    </row>
    <row r="44" spans="1:23">
      <c r="A44" s="97"/>
      <c r="B44" s="97"/>
      <c r="D44" s="378">
        <f t="shared" si="5"/>
        <v>46207</v>
      </c>
      <c r="E44" s="378" t="s">
        <v>462</v>
      </c>
      <c r="F44" s="229"/>
      <c r="G44" s="306"/>
      <c r="I44" s="230"/>
      <c r="L44" s="229"/>
      <c r="M44" s="306"/>
      <c r="N44" s="86"/>
      <c r="O44" s="89" t="e">
        <f t="shared" si="6"/>
        <v>#DIV/0!</v>
      </c>
      <c r="Q44" s="86"/>
      <c r="R44" s="229"/>
      <c r="S44" s="306"/>
      <c r="T44" s="86"/>
      <c r="U44" s="89" t="e">
        <f t="shared" si="7"/>
        <v>#DIV/0!</v>
      </c>
      <c r="V44" s="89"/>
      <c r="W44" s="86"/>
    </row>
    <row r="45" spans="1:23">
      <c r="A45" s="97"/>
      <c r="B45" s="97"/>
      <c r="D45" s="378">
        <f t="shared" si="5"/>
        <v>46208</v>
      </c>
      <c r="E45" s="378" t="s">
        <v>463</v>
      </c>
      <c r="F45" s="229"/>
      <c r="G45" s="306"/>
      <c r="I45" s="230"/>
      <c r="L45" s="229"/>
      <c r="M45" s="306"/>
      <c r="N45" s="86"/>
      <c r="O45" s="89" t="e">
        <f t="shared" si="6"/>
        <v>#DIV/0!</v>
      </c>
      <c r="Q45" s="86"/>
      <c r="R45" s="229"/>
      <c r="S45" s="306"/>
      <c r="T45" s="86"/>
      <c r="U45" s="89" t="e">
        <f t="shared" si="7"/>
        <v>#DIV/0!</v>
      </c>
      <c r="V45" s="89"/>
      <c r="W45" s="86"/>
    </row>
    <row r="46" spans="1:23">
      <c r="A46" s="97"/>
      <c r="B46" s="97"/>
      <c r="D46" s="378">
        <f t="shared" si="5"/>
        <v>46209</v>
      </c>
      <c r="E46" s="378" t="s">
        <v>457</v>
      </c>
      <c r="F46" s="229"/>
      <c r="G46" s="306"/>
      <c r="I46" s="230"/>
      <c r="L46" s="229"/>
      <c r="M46" s="306"/>
      <c r="N46" s="86"/>
      <c r="O46" s="89" t="e">
        <f t="shared" si="6"/>
        <v>#DIV/0!</v>
      </c>
      <c r="Q46" s="86"/>
      <c r="R46" s="229"/>
      <c r="S46" s="306"/>
      <c r="T46" s="86"/>
      <c r="U46" s="89" t="e">
        <f t="shared" si="7"/>
        <v>#DIV/0!</v>
      </c>
      <c r="V46" s="89"/>
      <c r="W46" s="86"/>
    </row>
    <row r="47" spans="1:23">
      <c r="A47" s="97"/>
      <c r="B47" s="97"/>
      <c r="M47" s="86"/>
    </row>
    <row r="48" spans="1:23">
      <c r="A48" s="97"/>
      <c r="B48" s="97"/>
      <c r="M48" s="86"/>
    </row>
    <row r="49" spans="1:13">
      <c r="A49" s="97"/>
      <c r="B49" s="97"/>
      <c r="M49" s="86"/>
    </row>
    <row r="50" spans="1:13">
      <c r="B50" s="97"/>
      <c r="M50" s="86"/>
    </row>
    <row r="51" spans="1:13">
      <c r="M51" s="86"/>
    </row>
    <row r="52" spans="1:13">
      <c r="M52" s="86"/>
    </row>
    <row r="53" spans="1:13">
      <c r="M53" s="86"/>
    </row>
    <row r="54" spans="1:13">
      <c r="M54" s="86"/>
    </row>
    <row r="55" spans="1:13">
      <c r="M55" s="86"/>
    </row>
    <row r="56" spans="1:13">
      <c r="M56" s="86"/>
    </row>
    <row r="57" spans="1:13">
      <c r="M57" s="86"/>
    </row>
    <row r="58" spans="1:13">
      <c r="M58" s="86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50"/>
  <sheetViews>
    <sheetView tabSelected="1"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H31" sqref="H31"/>
    </sheetView>
  </sheetViews>
  <sheetFormatPr defaultColWidth="8.85546875" defaultRowHeight="14.25"/>
  <cols>
    <col min="1" max="1" width="4.42578125" style="74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25.5703125" style="93" customWidth="1"/>
    <col min="9" max="11" width="15" style="73" customWidth="1"/>
    <col min="12" max="17" width="14.5703125" style="73" customWidth="1"/>
    <col min="18" max="21" width="14.140625" style="73" customWidth="1"/>
    <col min="22" max="23" width="14.140625" style="74" customWidth="1"/>
    <col min="24" max="16384" width="8.85546875" style="74"/>
  </cols>
  <sheetData>
    <row r="1" spans="2:23">
      <c r="B1" s="82" t="s">
        <v>316</v>
      </c>
      <c r="C1" s="83">
        <v>366</v>
      </c>
    </row>
    <row r="2" spans="2:23" ht="38.1" customHeight="1">
      <c r="B2" s="583" t="s">
        <v>126</v>
      </c>
      <c r="C2" s="590"/>
      <c r="D2" s="590"/>
      <c r="E2" s="590"/>
      <c r="F2" s="590"/>
      <c r="G2" s="590"/>
      <c r="H2" s="590"/>
      <c r="I2" s="590"/>
      <c r="J2" s="590"/>
      <c r="K2" s="590"/>
      <c r="L2" s="590"/>
      <c r="M2" s="590"/>
      <c r="N2" s="590"/>
      <c r="O2" s="590"/>
      <c r="P2" s="590"/>
      <c r="Q2" s="590"/>
      <c r="R2" s="590"/>
      <c r="S2" s="590"/>
      <c r="T2" s="590"/>
      <c r="U2" s="590"/>
    </row>
    <row r="3" spans="2:23" s="72" customFormat="1" ht="23.45" customHeight="1">
      <c r="B3" s="97"/>
      <c r="C3" s="587" t="s">
        <v>116</v>
      </c>
      <c r="D3" s="588" t="s">
        <v>105</v>
      </c>
      <c r="E3" s="588"/>
      <c r="F3" s="591" t="s">
        <v>107</v>
      </c>
      <c r="G3" s="591"/>
      <c r="H3" s="591"/>
      <c r="I3" s="593" t="s">
        <v>108</v>
      </c>
      <c r="J3" s="593"/>
      <c r="K3" s="593"/>
      <c r="L3" s="592" t="s">
        <v>306</v>
      </c>
      <c r="M3" s="592"/>
      <c r="N3" s="592"/>
      <c r="O3" s="592" t="s">
        <v>106</v>
      </c>
      <c r="P3" s="592"/>
      <c r="Q3" s="592"/>
      <c r="R3" s="592" t="s">
        <v>109</v>
      </c>
      <c r="S3" s="592"/>
      <c r="T3" s="592"/>
      <c r="U3" s="592" t="s">
        <v>110</v>
      </c>
      <c r="V3" s="592"/>
      <c r="W3" s="592"/>
    </row>
    <row r="4" spans="2:23" ht="15.75">
      <c r="B4" s="97"/>
      <c r="C4" s="587"/>
      <c r="D4" s="588"/>
      <c r="E4" s="588"/>
      <c r="F4" s="85" t="s">
        <v>115</v>
      </c>
      <c r="G4" s="95" t="s">
        <v>127</v>
      </c>
      <c r="H4" s="95" t="s">
        <v>128</v>
      </c>
      <c r="I4" s="85" t="s">
        <v>115</v>
      </c>
      <c r="J4" s="94" t="s">
        <v>127</v>
      </c>
      <c r="K4" s="94" t="s">
        <v>128</v>
      </c>
      <c r="L4" s="85" t="s">
        <v>115</v>
      </c>
      <c r="M4" s="94" t="s">
        <v>127</v>
      </c>
      <c r="N4" s="94" t="s">
        <v>128</v>
      </c>
      <c r="O4" s="85" t="s">
        <v>115</v>
      </c>
      <c r="P4" s="94" t="s">
        <v>127</v>
      </c>
      <c r="Q4" s="94" t="s">
        <v>128</v>
      </c>
      <c r="R4" s="85" t="s">
        <v>115</v>
      </c>
      <c r="S4" s="94" t="s">
        <v>127</v>
      </c>
      <c r="T4" s="94" t="s">
        <v>128</v>
      </c>
      <c r="U4" s="85" t="s">
        <v>115</v>
      </c>
      <c r="V4" s="94" t="s">
        <v>127</v>
      </c>
      <c r="W4" s="94" t="s">
        <v>128</v>
      </c>
    </row>
    <row r="5" spans="2:23" ht="14.45" customHeight="1">
      <c r="B5" s="97"/>
      <c r="C5" s="97"/>
      <c r="D5" s="308">
        <v>46168</v>
      </c>
      <c r="E5" s="308" t="s">
        <v>458</v>
      </c>
      <c r="F5" s="228">
        <v>365.46905058336091</v>
      </c>
      <c r="G5" s="92"/>
      <c r="H5" s="92"/>
      <c r="I5" s="89">
        <f>F5/$C$1</f>
        <v>0.99854931853377293</v>
      </c>
      <c r="J5" s="213"/>
      <c r="K5" s="213"/>
      <c r="L5" s="246">
        <v>2.4291591307438539E-3</v>
      </c>
      <c r="M5" s="307"/>
      <c r="N5" s="307"/>
      <c r="O5" s="246">
        <v>4.1233462339200768E-3</v>
      </c>
      <c r="P5" s="307"/>
      <c r="Q5" s="307"/>
      <c r="R5" s="232">
        <v>0.91700000000000004</v>
      </c>
      <c r="S5" s="213"/>
      <c r="T5" s="307"/>
      <c r="U5" s="232">
        <v>0.39</v>
      </c>
      <c r="V5" s="213"/>
      <c r="W5" s="307"/>
    </row>
    <row r="6" spans="2:23" ht="14.45" customHeight="1">
      <c r="B6" s="97"/>
      <c r="C6" s="97"/>
      <c r="D6" s="308">
        <f t="shared" ref="D6" si="0">D5+1</f>
        <v>46169</v>
      </c>
      <c r="E6" s="308" t="s">
        <v>459</v>
      </c>
      <c r="F6" s="228">
        <v>366.33393632421536</v>
      </c>
      <c r="G6" s="93">
        <f>AVERAGE(F5:F11)</f>
        <v>367.41015788179351</v>
      </c>
      <c r="H6" s="92"/>
      <c r="I6" s="89">
        <f>F6/$C$1</f>
        <v>1.0009123943284572</v>
      </c>
      <c r="J6" s="213">
        <f>AVERAGE(I5:I11)</f>
        <v>1.003852890387414</v>
      </c>
      <c r="K6" s="213"/>
      <c r="L6" s="246">
        <v>2.4428816574509973E-3</v>
      </c>
      <c r="M6" s="307">
        <f>AVERAGE(L5:L11)</f>
        <v>2.423079576054621E-3</v>
      </c>
      <c r="N6" s="307"/>
      <c r="O6" s="246">
        <v>4.2721648534914764E-3</v>
      </c>
      <c r="P6" s="307">
        <f>AVERAGE(O5:O11)</f>
        <v>4.2109245020056866E-3</v>
      </c>
      <c r="Q6" s="307"/>
      <c r="R6" s="232">
        <v>0.91700000000000004</v>
      </c>
      <c r="S6" s="213">
        <f>AVERAGE(R5:R11)</f>
        <v>0.91699999999999993</v>
      </c>
      <c r="T6" s="307"/>
      <c r="U6" s="232">
        <v>0.39</v>
      </c>
      <c r="V6" s="213">
        <f>AVERAGE(U5:U11)</f>
        <v>0.39885714285714291</v>
      </c>
      <c r="W6" s="307"/>
    </row>
    <row r="7" spans="2:23" ht="14.45" customHeight="1">
      <c r="B7" s="97"/>
      <c r="C7" s="97"/>
      <c r="D7" s="308">
        <f>D6+1</f>
        <v>46170</v>
      </c>
      <c r="E7" s="308" t="s">
        <v>460</v>
      </c>
      <c r="F7" s="228">
        <v>364.47071363318878</v>
      </c>
      <c r="I7" s="89">
        <f t="shared" ref="I7:I40" si="1">F7/$C$1</f>
        <v>0.99582162194860324</v>
      </c>
      <c r="J7" s="213"/>
      <c r="L7" s="246">
        <v>2.4289742515762086E-3</v>
      </c>
      <c r="M7" s="307"/>
      <c r="O7" s="246">
        <v>4.2996410084721959E-3</v>
      </c>
      <c r="P7" s="307"/>
      <c r="R7" s="232">
        <v>0.91700000000000004</v>
      </c>
      <c r="S7" s="213"/>
      <c r="U7" s="232">
        <v>0.39400000000000002</v>
      </c>
      <c r="V7" s="213"/>
    </row>
    <row r="8" spans="2:23" ht="14.45" customHeight="1">
      <c r="B8" s="97"/>
      <c r="C8" s="97"/>
      <c r="D8" s="308">
        <f t="shared" ref="D8:D34" si="2">D7+1</f>
        <v>46171</v>
      </c>
      <c r="E8" s="308" t="s">
        <v>461</v>
      </c>
      <c r="F8" s="228">
        <v>368.63145321602957</v>
      </c>
      <c r="G8" s="92"/>
      <c r="H8" s="92"/>
      <c r="I8" s="89">
        <f t="shared" si="1"/>
        <v>1.0071897628853268</v>
      </c>
      <c r="J8" s="213"/>
      <c r="K8" s="213"/>
      <c r="L8" s="246">
        <v>2.4027455002433853E-3</v>
      </c>
      <c r="M8" s="307"/>
      <c r="N8" s="307"/>
      <c r="O8" s="246">
        <v>4.3797813812339898E-3</v>
      </c>
      <c r="P8" s="307"/>
      <c r="Q8" s="307"/>
      <c r="R8" s="232">
        <v>0.91700000000000004</v>
      </c>
      <c r="S8" s="213"/>
      <c r="T8" s="307"/>
      <c r="U8" s="232">
        <v>0.4</v>
      </c>
      <c r="V8" s="213"/>
      <c r="W8" s="307"/>
    </row>
    <row r="9" spans="2:23" ht="14.45" customHeight="1">
      <c r="B9" s="97"/>
      <c r="C9" s="97"/>
      <c r="D9" s="308">
        <f t="shared" si="2"/>
        <v>46172</v>
      </c>
      <c r="E9" s="308" t="s">
        <v>462</v>
      </c>
      <c r="F9" s="228">
        <v>368.64391449436005</v>
      </c>
      <c r="G9" s="92"/>
      <c r="H9" s="92"/>
      <c r="I9" s="89">
        <f t="shared" si="1"/>
        <v>1.00722381009388</v>
      </c>
      <c r="J9" s="213"/>
      <c r="K9" s="213"/>
      <c r="L9" s="246">
        <v>2.4216396488400587E-3</v>
      </c>
      <c r="M9" s="307"/>
      <c r="N9" s="307"/>
      <c r="O9" s="246">
        <v>4.3383675572087289E-3</v>
      </c>
      <c r="P9" s="307"/>
      <c r="Q9" s="307"/>
      <c r="R9" s="232">
        <v>0.91700000000000004</v>
      </c>
      <c r="S9" s="213"/>
      <c r="T9" s="307"/>
      <c r="U9" s="232">
        <v>0.40600000000000003</v>
      </c>
      <c r="V9" s="213"/>
      <c r="W9" s="307"/>
    </row>
    <row r="10" spans="2:23" ht="14.45" customHeight="1">
      <c r="B10" s="97"/>
      <c r="C10" s="97"/>
      <c r="D10" s="308">
        <f t="shared" si="2"/>
        <v>46173</v>
      </c>
      <c r="E10" s="308" t="s">
        <v>463</v>
      </c>
      <c r="F10" s="228">
        <v>366.65571471755152</v>
      </c>
      <c r="G10" s="92"/>
      <c r="H10" s="92">
        <f>AVERAGE(F11:F40)</f>
        <v>365.43287323439995</v>
      </c>
      <c r="I10" s="89">
        <f t="shared" si="1"/>
        <v>1.0017915702665341</v>
      </c>
      <c r="J10" s="213"/>
      <c r="K10" s="213">
        <f>AVERAGE(I11:I40)</f>
        <v>0.26625345955147534</v>
      </c>
      <c r="L10" s="246">
        <v>2.4284001201950716E-3</v>
      </c>
      <c r="M10" s="307"/>
      <c r="N10" s="307">
        <f>AVERAGE(L11:L40)</f>
        <v>2.4169115720933569E-3</v>
      </c>
      <c r="O10" s="246">
        <v>4.074897776494924E-3</v>
      </c>
      <c r="P10" s="307"/>
      <c r="Q10" s="307">
        <f>AVERAGE(O11:O40)</f>
        <v>4.050716133037412E-3</v>
      </c>
      <c r="R10" s="232">
        <v>0.91700000000000004</v>
      </c>
      <c r="S10" s="213"/>
      <c r="T10" s="213">
        <f>AVERAGE(R11:R40)</f>
        <v>0.91699999999999993</v>
      </c>
      <c r="U10" s="232">
        <v>0.40600000000000003</v>
      </c>
      <c r="V10" s="213"/>
      <c r="W10" s="213">
        <f>AVERAGE(U11:U40)</f>
        <v>0.41450000000000004</v>
      </c>
    </row>
    <row r="11" spans="2:23" ht="14.45" customHeight="1">
      <c r="B11" s="97"/>
      <c r="C11" s="97"/>
      <c r="D11" s="308">
        <f t="shared" si="2"/>
        <v>46174</v>
      </c>
      <c r="E11" s="308" t="s">
        <v>457</v>
      </c>
      <c r="F11" s="228">
        <v>371.66632220384838</v>
      </c>
      <c r="G11" s="92"/>
      <c r="H11" s="92"/>
      <c r="I11" s="89">
        <f t="shared" si="1"/>
        <v>1.0154817546553234</v>
      </c>
      <c r="J11" s="213"/>
      <c r="K11" s="213"/>
      <c r="L11" s="246">
        <v>2.4077567233327713E-3</v>
      </c>
      <c r="M11" s="307"/>
      <c r="N11" s="307"/>
      <c r="O11" s="246">
        <v>3.9882727032184108E-3</v>
      </c>
      <c r="P11" s="307"/>
      <c r="Q11" s="307"/>
      <c r="R11" s="232">
        <v>0.91700000000000004</v>
      </c>
      <c r="S11" s="213"/>
      <c r="T11" s="307"/>
      <c r="U11" s="232">
        <v>0.40600000000000003</v>
      </c>
      <c r="V11" s="213"/>
      <c r="W11" s="213"/>
    </row>
    <row r="12" spans="2:23" ht="14.45" customHeight="1">
      <c r="B12" s="97"/>
      <c r="C12" s="97"/>
      <c r="D12" s="378">
        <f t="shared" si="2"/>
        <v>46175</v>
      </c>
      <c r="E12" s="378" t="s">
        <v>458</v>
      </c>
      <c r="F12" s="228">
        <v>370.6765819883754</v>
      </c>
      <c r="G12" s="92">
        <f>AVERAGE(F12:F18)</f>
        <v>364.54238052447869</v>
      </c>
      <c r="H12" s="92"/>
      <c r="I12" s="89">
        <f t="shared" si="1"/>
        <v>1.0127775464163262</v>
      </c>
      <c r="J12" s="213">
        <f>AVERAGE(I12:I18)</f>
        <v>0.9960174331269912</v>
      </c>
      <c r="K12" s="213"/>
      <c r="L12" s="246">
        <v>2.4227496102133548E-3</v>
      </c>
      <c r="M12" s="307">
        <f>AVERAGE(L12:L18)</f>
        <v>2.4182194076305835E-3</v>
      </c>
      <c r="N12" s="307"/>
      <c r="O12" s="246">
        <v>4.0124284104071537E-3</v>
      </c>
      <c r="P12" s="307">
        <f>AVERAGE(O12:O18)</f>
        <v>4.0596366230115557E-3</v>
      </c>
      <c r="Q12" s="307"/>
      <c r="R12" s="232">
        <v>0.91700000000000004</v>
      </c>
      <c r="S12" s="213">
        <f>AVERAGE(R12:R18)</f>
        <v>0.91699999999999993</v>
      </c>
      <c r="T12" s="307"/>
      <c r="U12" s="232">
        <v>0.41</v>
      </c>
      <c r="V12" s="213">
        <f>AVERAGE(U12:U18)</f>
        <v>0.41571428571428576</v>
      </c>
      <c r="W12" s="307"/>
    </row>
    <row r="13" spans="2:23" ht="14.45" customHeight="1">
      <c r="B13" s="97"/>
      <c r="C13" s="97"/>
      <c r="D13" s="378">
        <f t="shared" si="2"/>
        <v>46176</v>
      </c>
      <c r="E13" s="378" t="s">
        <v>459</v>
      </c>
      <c r="F13" s="228">
        <v>366.86756063717303</v>
      </c>
      <c r="G13" s="92"/>
      <c r="H13" s="92"/>
      <c r="I13" s="89">
        <f t="shared" si="1"/>
        <v>1.002370384254571</v>
      </c>
      <c r="J13" s="213"/>
      <c r="K13" s="213"/>
      <c r="L13" s="246">
        <v>2.410244124864631E-3</v>
      </c>
      <c r="M13" s="307"/>
      <c r="N13" s="307"/>
      <c r="O13" s="246">
        <v>3.9593730259965317E-3</v>
      </c>
      <c r="P13" s="307"/>
      <c r="Q13" s="307"/>
      <c r="R13" s="232">
        <v>0.91700000000000004</v>
      </c>
      <c r="S13" s="213"/>
      <c r="T13" s="307"/>
      <c r="U13" s="232">
        <v>0.41199999999999998</v>
      </c>
      <c r="V13" s="213"/>
      <c r="W13" s="307"/>
    </row>
    <row r="14" spans="2:23" ht="14.45" customHeight="1">
      <c r="B14" s="97"/>
      <c r="C14" s="97"/>
      <c r="D14" s="378">
        <f t="shared" si="2"/>
        <v>46177</v>
      </c>
      <c r="E14" s="378" t="s">
        <v>460</v>
      </c>
      <c r="F14" s="228">
        <v>359.41813959758542</v>
      </c>
      <c r="H14" s="92"/>
      <c r="I14" s="89">
        <f t="shared" si="1"/>
        <v>0.98201677485679073</v>
      </c>
      <c r="J14" s="213"/>
      <c r="K14" s="213"/>
      <c r="L14" s="246">
        <v>2.427612865326766E-3</v>
      </c>
      <c r="M14" s="307"/>
      <c r="N14" s="307"/>
      <c r="O14" s="246">
        <v>4.1764267791059954E-3</v>
      </c>
      <c r="P14" s="307"/>
      <c r="Q14" s="307"/>
      <c r="R14" s="232">
        <v>0.91700000000000004</v>
      </c>
      <c r="S14" s="213"/>
      <c r="T14" s="307"/>
      <c r="U14" s="232">
        <v>0.41399999999999998</v>
      </c>
      <c r="V14" s="213"/>
      <c r="W14" s="307"/>
    </row>
    <row r="15" spans="2:23" ht="14.45" customHeight="1">
      <c r="B15" s="97"/>
      <c r="C15" s="97"/>
      <c r="D15" s="378">
        <f t="shared" si="2"/>
        <v>46178</v>
      </c>
      <c r="E15" s="378" t="s">
        <v>461</v>
      </c>
      <c r="F15" s="228">
        <v>369.02787188026963</v>
      </c>
      <c r="G15" s="92"/>
      <c r="H15" s="92"/>
      <c r="I15" s="89">
        <f t="shared" si="1"/>
        <v>1.0082728739898077</v>
      </c>
      <c r="J15" s="213"/>
      <c r="K15" s="213"/>
      <c r="L15" s="246">
        <v>2.4222501732962414E-3</v>
      </c>
      <c r="M15" s="307"/>
      <c r="N15" s="307"/>
      <c r="O15" s="246">
        <v>4.092319219585307E-3</v>
      </c>
      <c r="P15" s="307"/>
      <c r="Q15" s="307"/>
      <c r="R15" s="232">
        <v>0.91700000000000004</v>
      </c>
      <c r="S15" s="213"/>
      <c r="T15" s="307"/>
      <c r="U15" s="232">
        <v>0.41399999999999998</v>
      </c>
      <c r="V15" s="213"/>
      <c r="W15" s="307"/>
    </row>
    <row r="16" spans="2:23" ht="14.45" customHeight="1">
      <c r="B16" s="97"/>
      <c r="C16" s="97"/>
      <c r="D16" s="378">
        <f t="shared" si="2"/>
        <v>46179</v>
      </c>
      <c r="E16" s="378" t="s">
        <v>462</v>
      </c>
      <c r="F16" s="228">
        <v>363.33291104427332</v>
      </c>
      <c r="G16" s="92"/>
      <c r="H16" s="92"/>
      <c r="I16" s="89">
        <f t="shared" si="1"/>
        <v>0.9927128717056648</v>
      </c>
      <c r="J16" s="213"/>
      <c r="K16" s="213"/>
      <c r="L16" s="246">
        <v>2.4053682140991275E-3</v>
      </c>
      <c r="M16" s="307"/>
      <c r="N16" s="307"/>
      <c r="O16" s="246">
        <v>4.1366707256723255E-3</v>
      </c>
      <c r="P16" s="307"/>
      <c r="Q16" s="307"/>
      <c r="R16" s="232">
        <v>0.91700000000000004</v>
      </c>
      <c r="S16" s="213"/>
      <c r="T16" s="307"/>
      <c r="U16" s="232">
        <v>0.41799999999999998</v>
      </c>
      <c r="V16" s="213"/>
      <c r="W16" s="307"/>
    </row>
    <row r="17" spans="2:23" ht="14.45" customHeight="1">
      <c r="B17" s="97"/>
      <c r="C17" s="97"/>
      <c r="D17" s="378">
        <f t="shared" si="2"/>
        <v>46180</v>
      </c>
      <c r="E17" s="378" t="s">
        <v>463</v>
      </c>
      <c r="F17" s="228">
        <v>365.40694922840197</v>
      </c>
      <c r="G17" s="92"/>
      <c r="H17" s="92"/>
      <c r="I17" s="89">
        <f t="shared" si="1"/>
        <v>0.99837964270055179</v>
      </c>
      <c r="J17" s="213"/>
      <c r="K17" s="213"/>
      <c r="L17" s="246">
        <v>2.42703193029446E-3</v>
      </c>
      <c r="M17" s="307"/>
      <c r="N17" s="307"/>
      <c r="O17" s="246">
        <v>3.9796121157519041E-3</v>
      </c>
      <c r="P17" s="307"/>
      <c r="Q17" s="307"/>
      <c r="R17" s="232">
        <v>0.91700000000000004</v>
      </c>
      <c r="S17" s="213"/>
      <c r="T17" s="307"/>
      <c r="U17" s="232">
        <v>0.42</v>
      </c>
      <c r="V17" s="213"/>
      <c r="W17" s="307"/>
    </row>
    <row r="18" spans="2:23" ht="14.45" customHeight="1">
      <c r="B18" s="97"/>
      <c r="C18" s="97"/>
      <c r="D18" s="378">
        <f t="shared" si="2"/>
        <v>46181</v>
      </c>
      <c r="E18" s="378" t="s">
        <v>457</v>
      </c>
      <c r="F18" s="228">
        <v>357.06664929527255</v>
      </c>
      <c r="G18" s="92"/>
      <c r="H18" s="92"/>
      <c r="I18" s="89">
        <f t="shared" si="1"/>
        <v>0.97559193796522559</v>
      </c>
      <c r="J18" s="213"/>
      <c r="K18" s="213"/>
      <c r="L18" s="246">
        <v>2.4122789353195032E-3</v>
      </c>
      <c r="M18" s="307"/>
      <c r="N18" s="307"/>
      <c r="O18" s="246">
        <v>4.060626084561667E-3</v>
      </c>
      <c r="P18" s="307"/>
      <c r="Q18" s="307"/>
      <c r="R18" s="232">
        <v>0.91700000000000004</v>
      </c>
      <c r="S18" s="213"/>
      <c r="T18" s="307"/>
      <c r="U18" s="232">
        <v>0.42199999999999999</v>
      </c>
      <c r="V18" s="213"/>
      <c r="W18" s="307"/>
    </row>
    <row r="19" spans="2:23" ht="14.45" customHeight="1">
      <c r="B19" s="97"/>
      <c r="C19" s="97"/>
      <c r="D19" s="308">
        <f t="shared" si="2"/>
        <v>46182</v>
      </c>
      <c r="E19" s="308" t="s">
        <v>458</v>
      </c>
      <c r="F19" s="228"/>
      <c r="G19" s="92" t="e">
        <f>AVERAGE(F19:F25)</f>
        <v>#DIV/0!</v>
      </c>
      <c r="H19" s="92"/>
      <c r="I19" s="89">
        <f t="shared" si="1"/>
        <v>0</v>
      </c>
      <c r="J19" s="213">
        <f>AVERAGE(I19:I25)</f>
        <v>0</v>
      </c>
      <c r="K19" s="213"/>
      <c r="L19" s="246"/>
      <c r="M19" s="307" t="e">
        <f>AVERAGE(L19:L25)</f>
        <v>#DIV/0!</v>
      </c>
      <c r="N19" s="307"/>
      <c r="O19" s="246"/>
      <c r="P19" s="307" t="e">
        <f>AVERAGE(O19:O25)</f>
        <v>#DIV/0!</v>
      </c>
      <c r="Q19" s="307"/>
      <c r="R19" s="232"/>
      <c r="S19" s="213" t="e">
        <f>AVERAGE(R19:R25)</f>
        <v>#DIV/0!</v>
      </c>
      <c r="T19" s="307"/>
      <c r="U19" s="232"/>
      <c r="V19" s="213" t="e">
        <f>AVERAGE(U19:U25)</f>
        <v>#DIV/0!</v>
      </c>
      <c r="W19" s="307"/>
    </row>
    <row r="20" spans="2:23" ht="14.45" customHeight="1">
      <c r="B20" s="97"/>
      <c r="C20" s="97"/>
      <c r="D20" s="308">
        <f t="shared" si="2"/>
        <v>46183</v>
      </c>
      <c r="E20" s="308" t="s">
        <v>459</v>
      </c>
      <c r="F20" s="228"/>
      <c r="G20" s="92"/>
      <c r="H20" s="92"/>
      <c r="I20" s="89">
        <f t="shared" si="1"/>
        <v>0</v>
      </c>
      <c r="J20" s="213"/>
      <c r="K20" s="213"/>
      <c r="L20" s="246"/>
      <c r="M20" s="307"/>
      <c r="N20" s="307"/>
      <c r="O20" s="246"/>
      <c r="P20" s="307"/>
      <c r="Q20" s="307"/>
      <c r="R20" s="232"/>
      <c r="S20" s="213"/>
      <c r="T20" s="307"/>
      <c r="U20" s="232"/>
      <c r="V20" s="213"/>
      <c r="W20" s="307"/>
    </row>
    <row r="21" spans="2:23" ht="14.45" customHeight="1">
      <c r="B21" s="97"/>
      <c r="C21" s="97"/>
      <c r="D21" s="308">
        <f t="shared" si="2"/>
        <v>46184</v>
      </c>
      <c r="E21" s="308" t="s">
        <v>460</v>
      </c>
      <c r="F21" s="228"/>
      <c r="G21" s="92"/>
      <c r="H21" s="92"/>
      <c r="I21" s="89">
        <f t="shared" si="1"/>
        <v>0</v>
      </c>
      <c r="J21" s="213"/>
      <c r="K21" s="213"/>
      <c r="L21" s="246"/>
      <c r="M21" s="307"/>
      <c r="N21" s="307"/>
      <c r="O21" s="246"/>
      <c r="P21" s="307"/>
      <c r="Q21" s="307"/>
      <c r="R21" s="232"/>
      <c r="S21" s="213"/>
      <c r="T21" s="307"/>
      <c r="U21" s="232"/>
      <c r="V21" s="213"/>
      <c r="W21" s="307"/>
    </row>
    <row r="22" spans="2:23" ht="14.45" customHeight="1">
      <c r="B22" s="97"/>
      <c r="C22" s="97"/>
      <c r="D22" s="308">
        <f t="shared" si="2"/>
        <v>46185</v>
      </c>
      <c r="E22" s="308" t="s">
        <v>461</v>
      </c>
      <c r="F22" s="228"/>
      <c r="G22" s="92"/>
      <c r="H22" s="92"/>
      <c r="I22" s="89">
        <f t="shared" si="1"/>
        <v>0</v>
      </c>
      <c r="J22" s="213"/>
      <c r="K22" s="213"/>
      <c r="L22" s="246"/>
      <c r="M22" s="307"/>
      <c r="N22" s="307"/>
      <c r="O22" s="246"/>
      <c r="P22" s="307"/>
      <c r="Q22" s="307"/>
      <c r="R22" s="232"/>
      <c r="S22" s="213"/>
      <c r="T22" s="307"/>
      <c r="U22" s="232"/>
      <c r="V22" s="213"/>
      <c r="W22" s="307"/>
    </row>
    <row r="23" spans="2:23" ht="14.45" customHeight="1">
      <c r="B23" s="97"/>
      <c r="C23" s="97"/>
      <c r="D23" s="308">
        <f t="shared" si="2"/>
        <v>46186</v>
      </c>
      <c r="E23" s="308" t="s">
        <v>462</v>
      </c>
      <c r="F23" s="228"/>
      <c r="G23" s="92"/>
      <c r="H23" s="92"/>
      <c r="I23" s="89">
        <f t="shared" si="1"/>
        <v>0</v>
      </c>
      <c r="J23" s="213"/>
      <c r="K23" s="213"/>
      <c r="L23" s="246"/>
      <c r="M23" s="307"/>
      <c r="N23" s="307"/>
      <c r="O23" s="246"/>
      <c r="P23" s="307"/>
      <c r="Q23" s="307"/>
      <c r="R23" s="232"/>
      <c r="S23" s="213"/>
      <c r="T23" s="307"/>
      <c r="U23" s="232"/>
      <c r="V23" s="213"/>
      <c r="W23" s="307"/>
    </row>
    <row r="24" spans="2:23" ht="14.45" customHeight="1">
      <c r="B24" s="97"/>
      <c r="C24" s="97"/>
      <c r="D24" s="308">
        <f t="shared" si="2"/>
        <v>46187</v>
      </c>
      <c r="E24" s="308" t="s">
        <v>463</v>
      </c>
      <c r="F24" s="228"/>
      <c r="G24" s="92"/>
      <c r="H24" s="92"/>
      <c r="I24" s="89">
        <f t="shared" si="1"/>
        <v>0</v>
      </c>
      <c r="J24" s="213"/>
      <c r="K24" s="213"/>
      <c r="L24" s="246"/>
      <c r="M24" s="307"/>
      <c r="N24" s="307"/>
      <c r="O24" s="246"/>
      <c r="P24" s="307"/>
      <c r="Q24" s="307"/>
      <c r="R24" s="232"/>
      <c r="S24" s="213"/>
      <c r="T24" s="307"/>
      <c r="U24" s="232"/>
      <c r="V24" s="213"/>
      <c r="W24" s="307"/>
    </row>
    <row r="25" spans="2:23" ht="14.45" customHeight="1">
      <c r="B25" s="97"/>
      <c r="C25" s="97"/>
      <c r="D25" s="308">
        <f t="shared" si="2"/>
        <v>46188</v>
      </c>
      <c r="E25" s="308" t="s">
        <v>457</v>
      </c>
      <c r="F25" s="228"/>
      <c r="G25" s="92"/>
      <c r="H25" s="92"/>
      <c r="I25" s="89">
        <f t="shared" si="1"/>
        <v>0</v>
      </c>
      <c r="J25" s="213"/>
      <c r="K25" s="213"/>
      <c r="L25" s="246"/>
      <c r="M25" s="307"/>
      <c r="N25" s="307"/>
      <c r="O25" s="246"/>
      <c r="P25" s="307"/>
      <c r="Q25" s="307"/>
      <c r="R25" s="232"/>
      <c r="S25" s="213"/>
      <c r="T25" s="307"/>
      <c r="U25" s="232"/>
      <c r="V25" s="213"/>
      <c r="W25" s="307"/>
    </row>
    <row r="26" spans="2:23" ht="14.45" customHeight="1">
      <c r="B26" s="97"/>
      <c r="C26" s="97"/>
      <c r="D26" s="378">
        <f t="shared" si="2"/>
        <v>46189</v>
      </c>
      <c r="E26" s="378" t="s">
        <v>458</v>
      </c>
      <c r="F26" s="228"/>
      <c r="G26" s="92" t="e">
        <f>AVERAGE(F26:F32)</f>
        <v>#DIV/0!</v>
      </c>
      <c r="H26" s="92"/>
      <c r="I26" s="89">
        <f t="shared" si="1"/>
        <v>0</v>
      </c>
      <c r="J26" s="213">
        <f>AVERAGE(I26:I32)</f>
        <v>0</v>
      </c>
      <c r="K26" s="213"/>
      <c r="L26" s="246"/>
      <c r="M26" s="307" t="e">
        <f>AVERAGE(L26:L32)</f>
        <v>#DIV/0!</v>
      </c>
      <c r="N26" s="307"/>
      <c r="O26" s="246"/>
      <c r="P26" s="307" t="e">
        <f>AVERAGE(O26:O32)</f>
        <v>#DIV/0!</v>
      </c>
      <c r="Q26" s="307"/>
      <c r="R26" s="232"/>
      <c r="S26" s="213" t="e">
        <f>AVERAGE(R26:R32)</f>
        <v>#DIV/0!</v>
      </c>
      <c r="T26" s="307"/>
      <c r="U26" s="232"/>
      <c r="V26" s="213" t="e">
        <f>AVERAGE(U26:U32)</f>
        <v>#DIV/0!</v>
      </c>
      <c r="W26" s="307"/>
    </row>
    <row r="27" spans="2:23" ht="14.45" customHeight="1">
      <c r="B27" s="97"/>
      <c r="C27" s="97"/>
      <c r="D27" s="378">
        <f t="shared" si="2"/>
        <v>46190</v>
      </c>
      <c r="E27" s="378" t="s">
        <v>459</v>
      </c>
      <c r="F27" s="228"/>
      <c r="G27" s="92"/>
      <c r="H27" s="92"/>
      <c r="I27" s="89">
        <f t="shared" si="1"/>
        <v>0</v>
      </c>
      <c r="J27" s="213"/>
      <c r="K27" s="213"/>
      <c r="L27" s="246"/>
      <c r="M27" s="307"/>
      <c r="N27" s="307"/>
      <c r="O27" s="246"/>
      <c r="P27" s="307"/>
      <c r="Q27" s="307"/>
      <c r="R27" s="232"/>
      <c r="S27" s="213"/>
      <c r="T27" s="307"/>
      <c r="U27" s="232"/>
      <c r="V27" s="213"/>
      <c r="W27" s="307"/>
    </row>
    <row r="28" spans="2:23" ht="14.45" customHeight="1">
      <c r="B28" s="97"/>
      <c r="C28" s="97"/>
      <c r="D28" s="378">
        <f t="shared" si="2"/>
        <v>46191</v>
      </c>
      <c r="E28" s="378" t="s">
        <v>460</v>
      </c>
      <c r="F28" s="228"/>
      <c r="G28" s="92"/>
      <c r="H28" s="92"/>
      <c r="I28" s="89">
        <f t="shared" si="1"/>
        <v>0</v>
      </c>
      <c r="J28" s="213"/>
      <c r="K28" s="213"/>
      <c r="L28" s="246"/>
      <c r="M28" s="307"/>
      <c r="N28" s="307"/>
      <c r="O28" s="246"/>
      <c r="P28" s="307"/>
      <c r="Q28" s="307"/>
      <c r="R28" s="232"/>
      <c r="S28" s="213"/>
      <c r="T28" s="307"/>
      <c r="U28" s="232"/>
      <c r="V28" s="213"/>
      <c r="W28" s="307"/>
    </row>
    <row r="29" spans="2:23" ht="14.45" customHeight="1">
      <c r="B29" s="97"/>
      <c r="C29" s="97"/>
      <c r="D29" s="378">
        <f t="shared" si="2"/>
        <v>46192</v>
      </c>
      <c r="E29" s="378" t="s">
        <v>461</v>
      </c>
      <c r="F29" s="228"/>
      <c r="G29" s="92"/>
      <c r="H29" s="92"/>
      <c r="I29" s="89">
        <f t="shared" si="1"/>
        <v>0</v>
      </c>
      <c r="J29" s="213"/>
      <c r="K29" s="213"/>
      <c r="L29" s="246"/>
      <c r="M29" s="307"/>
      <c r="N29" s="307"/>
      <c r="O29" s="246"/>
      <c r="P29" s="307"/>
      <c r="Q29" s="307"/>
      <c r="R29" s="232"/>
      <c r="S29" s="213"/>
      <c r="T29" s="307"/>
      <c r="U29" s="232"/>
      <c r="V29" s="213"/>
      <c r="W29" s="307"/>
    </row>
    <row r="30" spans="2:23" ht="14.45" customHeight="1">
      <c r="B30" s="97"/>
      <c r="C30" s="97"/>
      <c r="D30" s="378">
        <f t="shared" si="2"/>
        <v>46193</v>
      </c>
      <c r="E30" s="378" t="s">
        <v>462</v>
      </c>
      <c r="F30" s="228"/>
      <c r="G30" s="92"/>
      <c r="H30" s="92"/>
      <c r="I30" s="89">
        <f t="shared" si="1"/>
        <v>0</v>
      </c>
      <c r="J30" s="213"/>
      <c r="K30" s="213"/>
      <c r="L30" s="246"/>
      <c r="M30" s="307"/>
      <c r="N30" s="307"/>
      <c r="O30" s="246"/>
      <c r="P30" s="307"/>
      <c r="Q30" s="307"/>
      <c r="R30" s="232"/>
      <c r="S30" s="213"/>
      <c r="T30" s="307"/>
      <c r="U30" s="232"/>
      <c r="V30" s="213"/>
      <c r="W30" s="307"/>
    </row>
    <row r="31" spans="2:23" ht="14.45" customHeight="1">
      <c r="B31" s="97"/>
      <c r="C31" s="97"/>
      <c r="D31" s="378">
        <f t="shared" si="2"/>
        <v>46194</v>
      </c>
      <c r="E31" s="378" t="s">
        <v>463</v>
      </c>
      <c r="F31" s="228"/>
      <c r="G31" s="92"/>
      <c r="H31" s="92"/>
      <c r="I31" s="89">
        <f t="shared" si="1"/>
        <v>0</v>
      </c>
      <c r="J31" s="213"/>
      <c r="K31" s="213"/>
      <c r="L31" s="246"/>
      <c r="M31" s="307"/>
      <c r="N31" s="307"/>
      <c r="O31" s="246"/>
      <c r="P31" s="307"/>
      <c r="Q31" s="307"/>
      <c r="R31" s="232"/>
      <c r="S31" s="213"/>
      <c r="T31" s="307"/>
      <c r="U31" s="232"/>
      <c r="V31" s="213"/>
      <c r="W31" s="307"/>
    </row>
    <row r="32" spans="2:23" ht="14.45" customHeight="1">
      <c r="B32" s="97"/>
      <c r="C32" s="97"/>
      <c r="D32" s="378">
        <f t="shared" si="2"/>
        <v>46195</v>
      </c>
      <c r="E32" s="378" t="s">
        <v>457</v>
      </c>
      <c r="F32" s="228"/>
      <c r="G32" s="92"/>
      <c r="H32" s="92"/>
      <c r="I32" s="89">
        <f t="shared" si="1"/>
        <v>0</v>
      </c>
      <c r="J32" s="213"/>
      <c r="K32" s="213"/>
      <c r="L32" s="246"/>
      <c r="M32" s="307"/>
      <c r="N32" s="307"/>
      <c r="O32" s="246"/>
      <c r="P32" s="307"/>
      <c r="Q32" s="307"/>
      <c r="R32" s="232"/>
      <c r="S32" s="213"/>
      <c r="T32" s="307"/>
      <c r="U32" s="232"/>
      <c r="V32" s="213"/>
      <c r="W32" s="307"/>
    </row>
    <row r="33" spans="2:23" s="534" customFormat="1" ht="14.45" customHeight="1">
      <c r="B33" s="531"/>
      <c r="C33" s="531"/>
      <c r="D33" s="308">
        <f t="shared" si="2"/>
        <v>46196</v>
      </c>
      <c r="E33" s="308" t="s">
        <v>458</v>
      </c>
      <c r="F33" s="523"/>
      <c r="G33" s="524" t="e">
        <f>AVERAGE(F33:F39)</f>
        <v>#DIV/0!</v>
      </c>
      <c r="H33" s="524"/>
      <c r="I33" s="520">
        <f t="shared" si="1"/>
        <v>0</v>
      </c>
      <c r="J33" s="525">
        <f>AVERAGE(I33:I39)</f>
        <v>0</v>
      </c>
      <c r="K33" s="525"/>
      <c r="L33" s="526"/>
      <c r="M33" s="527" t="e">
        <f>AVERAGE(L33:L39)</f>
        <v>#DIV/0!</v>
      </c>
      <c r="N33" s="527"/>
      <c r="O33" s="526"/>
      <c r="P33" s="527" t="e">
        <f>AVERAGE(O33:O39)</f>
        <v>#DIV/0!</v>
      </c>
      <c r="Q33" s="527"/>
      <c r="R33" s="528"/>
      <c r="S33" s="213" t="e">
        <f>AVERAGE(R33:R39)</f>
        <v>#DIV/0!</v>
      </c>
      <c r="T33" s="527"/>
      <c r="U33" s="528"/>
      <c r="V33" s="525" t="e">
        <f>AVERAGE(U33:U39)</f>
        <v>#DIV/0!</v>
      </c>
      <c r="W33" s="533"/>
    </row>
    <row r="34" spans="2:23" s="534" customFormat="1" ht="14.45" customHeight="1">
      <c r="B34" s="531"/>
      <c r="C34" s="531"/>
      <c r="D34" s="308">
        <f t="shared" si="2"/>
        <v>46197</v>
      </c>
      <c r="E34" s="308" t="s">
        <v>459</v>
      </c>
      <c r="F34" s="523"/>
      <c r="G34" s="524"/>
      <c r="H34" s="524"/>
      <c r="I34" s="520">
        <f t="shared" si="1"/>
        <v>0</v>
      </c>
      <c r="J34" s="525"/>
      <c r="K34" s="525"/>
      <c r="L34" s="526"/>
      <c r="M34" s="527"/>
      <c r="N34" s="527"/>
      <c r="O34" s="526"/>
      <c r="P34" s="527"/>
      <c r="Q34" s="527"/>
      <c r="R34" s="528"/>
      <c r="S34" s="525"/>
      <c r="T34" s="527"/>
      <c r="U34" s="528"/>
      <c r="V34" s="525"/>
      <c r="W34" s="533"/>
    </row>
    <row r="35" spans="2:23" s="534" customFormat="1">
      <c r="B35" s="531"/>
      <c r="C35" s="513"/>
      <c r="D35" s="308">
        <f>D34+1</f>
        <v>46198</v>
      </c>
      <c r="E35" s="308" t="s">
        <v>460</v>
      </c>
      <c r="F35" s="523"/>
      <c r="G35" s="524"/>
      <c r="H35" s="529"/>
      <c r="I35" s="520">
        <f t="shared" si="1"/>
        <v>0</v>
      </c>
      <c r="J35" s="525"/>
      <c r="K35" s="530"/>
      <c r="L35" s="526"/>
      <c r="M35" s="527"/>
      <c r="N35" s="530"/>
      <c r="O35" s="526"/>
      <c r="P35" s="527"/>
      <c r="Q35" s="530"/>
      <c r="R35" s="528"/>
      <c r="S35" s="525"/>
      <c r="T35" s="530"/>
      <c r="U35" s="528"/>
      <c r="V35" s="525"/>
    </row>
    <row r="36" spans="2:23" s="534" customFormat="1">
      <c r="B36" s="531"/>
      <c r="C36" s="531"/>
      <c r="D36" s="308">
        <f t="shared" ref="D36:D46" si="3">D35+1</f>
        <v>46199</v>
      </c>
      <c r="E36" s="308" t="s">
        <v>461</v>
      </c>
      <c r="F36" s="523"/>
      <c r="G36" s="524"/>
      <c r="H36" s="524"/>
      <c r="I36" s="520">
        <f t="shared" si="1"/>
        <v>0</v>
      </c>
      <c r="J36" s="525"/>
      <c r="K36" s="525"/>
      <c r="L36" s="526"/>
      <c r="M36" s="525"/>
      <c r="N36" s="527"/>
      <c r="O36" s="526"/>
      <c r="P36" s="525"/>
      <c r="Q36" s="527"/>
      <c r="R36" s="528"/>
      <c r="S36" s="525"/>
      <c r="T36" s="525"/>
      <c r="U36" s="528"/>
      <c r="V36" s="525"/>
      <c r="W36" s="532"/>
    </row>
    <row r="37" spans="2:23" s="534" customFormat="1">
      <c r="B37" s="531"/>
      <c r="C37" s="513"/>
      <c r="D37" s="308">
        <f t="shared" si="3"/>
        <v>46200</v>
      </c>
      <c r="E37" s="308" t="s">
        <v>462</v>
      </c>
      <c r="F37" s="523"/>
      <c r="G37" s="524"/>
      <c r="H37" s="524"/>
      <c r="I37" s="520">
        <f t="shared" si="1"/>
        <v>0</v>
      </c>
      <c r="J37" s="525"/>
      <c r="K37" s="522"/>
      <c r="L37" s="526"/>
      <c r="M37" s="525"/>
      <c r="N37" s="520"/>
      <c r="O37" s="526"/>
      <c r="P37" s="525"/>
      <c r="Q37" s="520"/>
      <c r="R37" s="528"/>
      <c r="S37" s="525"/>
      <c r="T37" s="525"/>
      <c r="U37" s="528"/>
      <c r="V37" s="525"/>
      <c r="W37" s="532"/>
    </row>
    <row r="38" spans="2:23" s="534" customFormat="1">
      <c r="B38" s="531"/>
      <c r="C38" s="513"/>
      <c r="D38" s="308">
        <f t="shared" si="3"/>
        <v>46201</v>
      </c>
      <c r="E38" s="308" t="s">
        <v>463</v>
      </c>
      <c r="F38" s="523"/>
      <c r="G38" s="524"/>
      <c r="H38" s="524"/>
      <c r="I38" s="520">
        <f t="shared" si="1"/>
        <v>0</v>
      </c>
      <c r="J38" s="525"/>
      <c r="K38" s="522"/>
      <c r="L38" s="526"/>
      <c r="M38" s="525"/>
      <c r="N38" s="520"/>
      <c r="O38" s="526"/>
      <c r="P38" s="525"/>
      <c r="Q38" s="520"/>
      <c r="R38" s="528"/>
      <c r="S38" s="525"/>
      <c r="T38" s="525"/>
      <c r="U38" s="528"/>
      <c r="V38" s="525"/>
      <c r="W38" s="532"/>
    </row>
    <row r="39" spans="2:23" s="534" customFormat="1">
      <c r="B39" s="531"/>
      <c r="C39" s="513"/>
      <c r="D39" s="308">
        <f t="shared" si="3"/>
        <v>46202</v>
      </c>
      <c r="E39" s="308" t="s">
        <v>457</v>
      </c>
      <c r="F39" s="523"/>
      <c r="G39" s="524"/>
      <c r="H39" s="524"/>
      <c r="I39" s="520">
        <f t="shared" si="1"/>
        <v>0</v>
      </c>
      <c r="J39" s="525"/>
      <c r="K39" s="522"/>
      <c r="L39" s="526"/>
      <c r="M39" s="525"/>
      <c r="N39" s="520"/>
      <c r="O39" s="526"/>
      <c r="P39" s="525"/>
      <c r="Q39" s="520"/>
      <c r="R39" s="528"/>
      <c r="S39" s="525"/>
      <c r="T39" s="525"/>
      <c r="U39" s="528"/>
      <c r="V39" s="525"/>
      <c r="W39" s="532"/>
    </row>
    <row r="40" spans="2:23">
      <c r="B40" s="97"/>
      <c r="D40" s="378">
        <f t="shared" si="3"/>
        <v>46203</v>
      </c>
      <c r="E40" s="378" t="s">
        <v>458</v>
      </c>
      <c r="F40" s="228"/>
      <c r="G40" s="92"/>
      <c r="H40" s="92"/>
      <c r="I40" s="89">
        <f t="shared" si="1"/>
        <v>0</v>
      </c>
      <c r="J40" s="213"/>
      <c r="K40" s="86"/>
      <c r="L40" s="246"/>
      <c r="M40" s="213"/>
      <c r="N40" s="89"/>
      <c r="O40" s="246"/>
      <c r="P40" s="213"/>
      <c r="Q40" s="89"/>
      <c r="R40" s="232"/>
      <c r="S40" s="213"/>
      <c r="T40" s="213"/>
      <c r="U40" s="232"/>
      <c r="V40" s="213"/>
      <c r="W40" s="213"/>
    </row>
    <row r="41" spans="2:23">
      <c r="B41" s="97"/>
      <c r="D41" s="378">
        <f t="shared" si="3"/>
        <v>46204</v>
      </c>
      <c r="E41" s="378" t="s">
        <v>459</v>
      </c>
      <c r="F41" s="228"/>
      <c r="G41" s="92"/>
      <c r="H41" s="92"/>
      <c r="I41" s="89">
        <f t="shared" ref="I41:I45" si="4">F41/$C$1</f>
        <v>0</v>
      </c>
      <c r="J41" s="213"/>
      <c r="K41" s="86"/>
      <c r="L41" s="246"/>
      <c r="M41" s="213"/>
      <c r="N41" s="89"/>
      <c r="O41" s="246"/>
      <c r="P41" s="213"/>
      <c r="Q41" s="89"/>
      <c r="R41" s="232"/>
      <c r="S41" s="213"/>
      <c r="T41" s="213"/>
      <c r="U41" s="232"/>
      <c r="V41" s="213"/>
      <c r="W41" s="213"/>
    </row>
    <row r="42" spans="2:23">
      <c r="B42" s="97"/>
      <c r="D42" s="378">
        <f t="shared" si="3"/>
        <v>46205</v>
      </c>
      <c r="E42" s="378" t="s">
        <v>460</v>
      </c>
      <c r="F42" s="228"/>
      <c r="G42" s="92"/>
      <c r="H42" s="92"/>
      <c r="I42" s="89">
        <f t="shared" si="4"/>
        <v>0</v>
      </c>
      <c r="J42" s="213"/>
      <c r="K42" s="86"/>
      <c r="L42" s="246"/>
      <c r="M42" s="213"/>
      <c r="N42" s="89"/>
      <c r="O42" s="246"/>
      <c r="P42" s="213"/>
      <c r="Q42" s="89"/>
      <c r="R42" s="232"/>
      <c r="S42" s="213"/>
      <c r="T42" s="213"/>
      <c r="U42" s="232"/>
      <c r="V42" s="213"/>
      <c r="W42" s="213"/>
    </row>
    <row r="43" spans="2:23">
      <c r="B43" s="97"/>
      <c r="D43" s="378">
        <f t="shared" si="3"/>
        <v>46206</v>
      </c>
      <c r="E43" s="378" t="s">
        <v>461</v>
      </c>
      <c r="F43" s="228"/>
      <c r="G43" s="92"/>
      <c r="H43" s="92"/>
      <c r="I43" s="89">
        <f t="shared" si="4"/>
        <v>0</v>
      </c>
      <c r="J43" s="213"/>
      <c r="K43" s="86"/>
      <c r="L43" s="246"/>
      <c r="M43" s="213"/>
      <c r="N43" s="89"/>
      <c r="O43" s="246"/>
      <c r="P43" s="213"/>
      <c r="Q43" s="89"/>
      <c r="R43" s="232"/>
      <c r="S43" s="213"/>
      <c r="T43" s="213"/>
      <c r="U43" s="232"/>
      <c r="V43" s="213"/>
      <c r="W43" s="213"/>
    </row>
    <row r="44" spans="2:23">
      <c r="B44" s="97"/>
      <c r="D44" s="378">
        <f t="shared" si="3"/>
        <v>46207</v>
      </c>
      <c r="E44" s="378" t="s">
        <v>462</v>
      </c>
      <c r="F44" s="228"/>
      <c r="G44" s="92"/>
      <c r="H44" s="92"/>
      <c r="I44" s="89">
        <f t="shared" si="4"/>
        <v>0</v>
      </c>
      <c r="J44" s="213"/>
      <c r="K44" s="86"/>
      <c r="L44" s="246"/>
      <c r="M44" s="213"/>
      <c r="N44" s="89"/>
      <c r="O44" s="246"/>
      <c r="P44" s="213"/>
      <c r="Q44" s="89"/>
      <c r="R44" s="232"/>
      <c r="S44" s="213"/>
      <c r="T44" s="213"/>
      <c r="U44" s="232"/>
      <c r="V44" s="213"/>
      <c r="W44" s="213"/>
    </row>
    <row r="45" spans="2:23">
      <c r="B45" s="97"/>
      <c r="D45" s="378">
        <f t="shared" si="3"/>
        <v>46208</v>
      </c>
      <c r="E45" s="378" t="s">
        <v>463</v>
      </c>
      <c r="F45" s="228"/>
      <c r="G45" s="92"/>
      <c r="H45" s="92"/>
      <c r="I45" s="89">
        <f t="shared" si="4"/>
        <v>0</v>
      </c>
      <c r="J45" s="213"/>
      <c r="K45" s="86"/>
      <c r="L45" s="246"/>
      <c r="M45" s="213"/>
      <c r="N45" s="89"/>
      <c r="O45" s="246"/>
      <c r="P45" s="213"/>
      <c r="Q45" s="89"/>
      <c r="R45" s="232"/>
      <c r="S45" s="213"/>
      <c r="T45" s="213"/>
      <c r="U45" s="232"/>
      <c r="V45" s="213"/>
      <c r="W45" s="213"/>
    </row>
    <row r="46" spans="2:23">
      <c r="B46" s="97"/>
      <c r="D46" s="378">
        <f t="shared" si="3"/>
        <v>46209</v>
      </c>
      <c r="E46" s="378" t="s">
        <v>457</v>
      </c>
      <c r="F46" s="228"/>
      <c r="G46" s="92"/>
      <c r="H46" s="92"/>
      <c r="I46" s="89">
        <f t="shared" ref="I46" si="5">F46/$C$1</f>
        <v>0</v>
      </c>
      <c r="J46" s="213"/>
      <c r="K46" s="86"/>
      <c r="L46" s="246"/>
      <c r="M46" s="213"/>
      <c r="N46" s="89"/>
      <c r="O46" s="246"/>
      <c r="P46" s="213"/>
      <c r="Q46" s="89"/>
      <c r="R46" s="232"/>
      <c r="S46" s="213"/>
      <c r="T46" s="213"/>
      <c r="U46" s="232"/>
      <c r="V46" s="213"/>
      <c r="W46" s="213"/>
    </row>
    <row r="47" spans="2:23">
      <c r="B47" s="97"/>
    </row>
    <row r="48" spans="2:23">
      <c r="B48" s="97"/>
    </row>
    <row r="49" spans="2:2">
      <c r="B49" s="97"/>
    </row>
    <row r="50" spans="2:2">
      <c r="B50" s="97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T106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AK14" sqref="AK14:AK20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2" hidden="1" customWidth="1"/>
    <col min="4" max="4" width="11" style="102" bestFit="1" customWidth="1"/>
    <col min="5" max="5" width="8.5703125" style="84" customWidth="1"/>
    <col min="6" max="8" width="17.42578125" style="101" customWidth="1"/>
    <col min="9" max="9" width="10.5703125" style="96" customWidth="1"/>
    <col min="10" max="10" width="10.5703125" style="89" customWidth="1"/>
    <col min="11" max="11" width="10.5703125" style="96" customWidth="1"/>
    <col min="12" max="14" width="10.5703125" style="89" customWidth="1"/>
    <col min="15" max="15" width="10.5703125" style="96" customWidth="1"/>
    <col min="16" max="16" width="10.5703125" style="89" customWidth="1"/>
    <col min="17" max="17" width="10.5703125" style="96" customWidth="1"/>
    <col min="18" max="18" width="10.5703125" style="89" customWidth="1"/>
    <col min="19" max="19" width="10.5703125" style="96" customWidth="1"/>
    <col min="20" max="20" width="10.5703125" style="89" customWidth="1"/>
    <col min="21" max="21" width="10.5703125" style="96" customWidth="1"/>
    <col min="22" max="22" width="10.5703125" style="89" customWidth="1"/>
    <col min="23" max="23" width="10.5703125" style="96" customWidth="1"/>
    <col min="24" max="24" width="10.5703125" style="89" customWidth="1"/>
    <col min="25" max="25" width="10.5703125" style="96" customWidth="1"/>
    <col min="26" max="26" width="10.5703125" style="89" customWidth="1"/>
    <col min="27" max="27" width="10.5703125" style="96" customWidth="1"/>
    <col min="28" max="28" width="10.5703125" style="89" customWidth="1"/>
    <col min="29" max="29" width="10.5703125" style="96" customWidth="1"/>
    <col min="30" max="30" width="10.5703125" style="89" customWidth="1"/>
    <col min="31" max="31" width="10.5703125" style="96" customWidth="1"/>
    <col min="32" max="32" width="10.5703125" style="89" customWidth="1"/>
    <col min="33" max="33" width="10.42578125" style="96" customWidth="1"/>
    <col min="34" max="34" width="10.42578125" style="89" customWidth="1"/>
    <col min="35" max="35" width="10.42578125" style="96" customWidth="1"/>
    <col min="36" max="36" width="10.42578125" style="89" customWidth="1"/>
    <col min="37" max="37" width="10.42578125" style="96" customWidth="1"/>
    <col min="38" max="38" width="10.42578125" style="89" customWidth="1"/>
    <col min="39" max="16384" width="8.85546875" style="77"/>
  </cols>
  <sheetData>
    <row r="2" spans="1:38" ht="38.1" customHeight="1">
      <c r="A2" s="75"/>
      <c r="B2" s="597" t="s">
        <v>301</v>
      </c>
      <c r="C2" s="597"/>
      <c r="D2" s="597"/>
      <c r="E2" s="597"/>
      <c r="F2" s="597"/>
      <c r="G2" s="597"/>
      <c r="H2" s="597"/>
      <c r="I2" s="597"/>
      <c r="J2" s="597"/>
      <c r="K2" s="597"/>
      <c r="L2" s="597"/>
      <c r="M2" s="597"/>
      <c r="N2" s="597"/>
      <c r="O2" s="597"/>
      <c r="P2" s="597"/>
      <c r="Q2" s="597"/>
      <c r="R2" s="597"/>
      <c r="S2" s="597"/>
      <c r="T2" s="597"/>
      <c r="U2" s="597"/>
      <c r="V2" s="597"/>
      <c r="W2" s="597"/>
      <c r="X2" s="597"/>
      <c r="Y2" s="597"/>
      <c r="Z2" s="597"/>
      <c r="AA2" s="597"/>
      <c r="AB2" s="597"/>
      <c r="AC2" s="597"/>
      <c r="AD2" s="597"/>
      <c r="AE2" s="597"/>
      <c r="AF2" s="597"/>
      <c r="AG2" s="597"/>
      <c r="AH2" s="597"/>
      <c r="AI2" s="597"/>
      <c r="AJ2" s="597"/>
      <c r="AK2" s="597"/>
      <c r="AL2" s="597"/>
    </row>
    <row r="3" spans="1:38" ht="25.35" customHeight="1">
      <c r="B3" s="97"/>
      <c r="C3" s="598" t="s">
        <v>139</v>
      </c>
      <c r="D3" s="599" t="s">
        <v>105</v>
      </c>
      <c r="E3" s="599"/>
      <c r="F3" s="600" t="s">
        <v>336</v>
      </c>
      <c r="G3" s="600"/>
      <c r="H3" s="600"/>
      <c r="I3" s="601" t="s">
        <v>111</v>
      </c>
      <c r="J3" s="601"/>
      <c r="K3" s="601"/>
      <c r="L3" s="601"/>
      <c r="M3" s="601"/>
      <c r="N3" s="601"/>
      <c r="O3" s="601"/>
      <c r="P3" s="601"/>
      <c r="Q3" s="601"/>
      <c r="R3" s="601"/>
      <c r="S3" s="601"/>
      <c r="T3" s="601"/>
      <c r="U3" s="601"/>
      <c r="V3" s="601"/>
      <c r="W3" s="601"/>
      <c r="X3" s="601"/>
      <c r="Y3" s="601"/>
      <c r="Z3" s="601"/>
      <c r="AA3" s="601"/>
      <c r="AB3" s="601"/>
      <c r="AC3" s="601"/>
      <c r="AD3" s="601"/>
      <c r="AE3" s="601"/>
      <c r="AF3" s="601"/>
      <c r="AG3" s="601"/>
      <c r="AH3" s="601"/>
      <c r="AI3" s="601"/>
      <c r="AJ3" s="601"/>
      <c r="AK3" s="601"/>
      <c r="AL3" s="601"/>
    </row>
    <row r="4" spans="1:38" ht="25.35" customHeight="1">
      <c r="B4" s="97"/>
      <c r="C4" s="598"/>
      <c r="D4" s="599"/>
      <c r="E4" s="599"/>
      <c r="F4" s="600"/>
      <c r="G4" s="600"/>
      <c r="H4" s="600"/>
      <c r="I4" s="595" t="s">
        <v>140</v>
      </c>
      <c r="J4" s="595"/>
      <c r="K4" s="595"/>
      <c r="L4" s="595"/>
      <c r="M4" s="595"/>
      <c r="N4" s="595"/>
      <c r="O4" s="595" t="s">
        <v>141</v>
      </c>
      <c r="P4" s="595"/>
      <c r="Q4" s="595"/>
      <c r="R4" s="595"/>
      <c r="S4" s="595"/>
      <c r="T4" s="595"/>
      <c r="U4" s="595" t="s">
        <v>325</v>
      </c>
      <c r="V4" s="595"/>
      <c r="W4" s="595" t="s">
        <v>143</v>
      </c>
      <c r="X4" s="595"/>
      <c r="Y4" s="595" t="s">
        <v>134</v>
      </c>
      <c r="Z4" s="595"/>
      <c r="AA4" s="595"/>
      <c r="AB4" s="595"/>
      <c r="AC4" s="595"/>
      <c r="AD4" s="595"/>
      <c r="AE4" s="595" t="s">
        <v>132</v>
      </c>
      <c r="AF4" s="595"/>
      <c r="AG4" s="595" t="s">
        <v>144</v>
      </c>
      <c r="AH4" s="595"/>
      <c r="AI4" s="595" t="s">
        <v>145</v>
      </c>
      <c r="AJ4" s="595"/>
      <c r="AK4" s="595" t="s">
        <v>138</v>
      </c>
      <c r="AL4" s="595"/>
    </row>
    <row r="5" spans="1:38" ht="25.35" customHeight="1">
      <c r="B5" s="97"/>
      <c r="C5" s="598"/>
      <c r="D5" s="599"/>
      <c r="E5" s="599"/>
      <c r="F5" s="594" t="s">
        <v>115</v>
      </c>
      <c r="G5" s="594" t="s">
        <v>117</v>
      </c>
      <c r="H5" s="594" t="s">
        <v>118</v>
      </c>
      <c r="I5" s="595" t="s">
        <v>129</v>
      </c>
      <c r="J5" s="595"/>
      <c r="K5" s="595" t="s">
        <v>130</v>
      </c>
      <c r="L5" s="595"/>
      <c r="M5" s="596" t="s">
        <v>146</v>
      </c>
      <c r="N5" s="595"/>
      <c r="O5" s="595" t="s">
        <v>129</v>
      </c>
      <c r="P5" s="595"/>
      <c r="Q5" s="595" t="s">
        <v>130</v>
      </c>
      <c r="R5" s="595"/>
      <c r="S5" s="596" t="s">
        <v>146</v>
      </c>
      <c r="T5" s="595"/>
      <c r="U5" s="595" t="s">
        <v>129</v>
      </c>
      <c r="V5" s="595"/>
      <c r="W5" s="595" t="s">
        <v>129</v>
      </c>
      <c r="X5" s="595"/>
      <c r="Y5" s="595" t="s">
        <v>129</v>
      </c>
      <c r="Z5" s="595"/>
      <c r="AA5" s="595" t="s">
        <v>130</v>
      </c>
      <c r="AB5" s="595"/>
      <c r="AC5" s="596" t="s">
        <v>146</v>
      </c>
      <c r="AD5" s="595"/>
      <c r="AE5" s="595" t="s">
        <v>129</v>
      </c>
      <c r="AF5" s="595"/>
      <c r="AG5" s="595" t="s">
        <v>129</v>
      </c>
      <c r="AH5" s="595"/>
      <c r="AI5" s="595" t="s">
        <v>129</v>
      </c>
      <c r="AJ5" s="595"/>
      <c r="AK5" s="595" t="s">
        <v>129</v>
      </c>
      <c r="AL5" s="595"/>
    </row>
    <row r="6" spans="1:38" s="80" customFormat="1" ht="23.45" customHeight="1">
      <c r="B6" s="97"/>
      <c r="C6" s="598"/>
      <c r="D6" s="599"/>
      <c r="E6" s="599"/>
      <c r="F6" s="594"/>
      <c r="G6" s="594"/>
      <c r="H6" s="594"/>
      <c r="I6" s="98" t="s">
        <v>112</v>
      </c>
      <c r="J6" s="99" t="s">
        <v>113</v>
      </c>
      <c r="K6" s="98" t="s">
        <v>112</v>
      </c>
      <c r="L6" s="99" t="s">
        <v>113</v>
      </c>
      <c r="M6" s="98" t="s">
        <v>112</v>
      </c>
      <c r="N6" s="99" t="s">
        <v>113</v>
      </c>
      <c r="O6" s="98" t="s">
        <v>112</v>
      </c>
      <c r="P6" s="99" t="s">
        <v>113</v>
      </c>
      <c r="Q6" s="98" t="s">
        <v>112</v>
      </c>
      <c r="R6" s="99" t="s">
        <v>113</v>
      </c>
      <c r="S6" s="98" t="s">
        <v>112</v>
      </c>
      <c r="T6" s="99" t="s">
        <v>113</v>
      </c>
      <c r="U6" s="98" t="s">
        <v>112</v>
      </c>
      <c r="V6" s="99" t="s">
        <v>113</v>
      </c>
      <c r="W6" s="98" t="s">
        <v>112</v>
      </c>
      <c r="X6" s="99" t="s">
        <v>113</v>
      </c>
      <c r="Y6" s="98" t="s">
        <v>112</v>
      </c>
      <c r="Z6" s="99" t="s">
        <v>113</v>
      </c>
      <c r="AA6" s="98" t="s">
        <v>112</v>
      </c>
      <c r="AB6" s="99" t="s">
        <v>113</v>
      </c>
      <c r="AC6" s="98" t="s">
        <v>112</v>
      </c>
      <c r="AD6" s="99" t="s">
        <v>113</v>
      </c>
      <c r="AE6" s="98" t="s">
        <v>112</v>
      </c>
      <c r="AF6" s="99" t="s">
        <v>113</v>
      </c>
      <c r="AG6" s="98" t="s">
        <v>112</v>
      </c>
      <c r="AH6" s="99" t="s">
        <v>113</v>
      </c>
      <c r="AI6" s="98" t="s">
        <v>112</v>
      </c>
      <c r="AJ6" s="99" t="s">
        <v>113</v>
      </c>
      <c r="AK6" s="98" t="s">
        <v>112</v>
      </c>
      <c r="AL6" s="99" t="s">
        <v>113</v>
      </c>
    </row>
    <row r="7" spans="1:38" ht="14.25">
      <c r="B7" s="97"/>
      <c r="C7" s="83"/>
      <c r="D7" s="308">
        <v>46168</v>
      </c>
      <c r="E7" s="308" t="s">
        <v>458</v>
      </c>
      <c r="F7" s="227">
        <f t="shared" ref="F7" si="0">SUM(M7,S7,U7,W7,AC7,AE7,AG7,AI7,AK7)</f>
        <v>9911969</v>
      </c>
      <c r="G7" s="306"/>
      <c r="I7" s="538">
        <v>871356.86261280871</v>
      </c>
      <c r="J7" s="100">
        <f t="shared" ref="J7:J13" si="1">I7/F7</f>
        <v>8.7909562934751787E-2</v>
      </c>
      <c r="K7" s="538">
        <v>893565.50574186875</v>
      </c>
      <c r="L7" s="100">
        <f t="shared" ref="L7:L13" si="2">K7/F7</f>
        <v>9.0150151371727327E-2</v>
      </c>
      <c r="M7" s="226">
        <f t="shared" ref="M7:M13" si="3">SUM(I7+K7)</f>
        <v>1764922.3683546775</v>
      </c>
      <c r="N7" s="100">
        <f t="shared" ref="N7:N13" si="4">M7/F7</f>
        <v>0.1780597143064791</v>
      </c>
      <c r="O7" s="538">
        <v>155000.81282695747</v>
      </c>
      <c r="P7" s="100">
        <f t="shared" ref="P7:P13" si="5">O7/F7</f>
        <v>1.5637741888312753E-2</v>
      </c>
      <c r="Q7" s="233"/>
      <c r="R7" s="100">
        <f t="shared" ref="R7:R13" si="6">Q7/$F7</f>
        <v>0</v>
      </c>
      <c r="S7" s="226">
        <f t="shared" ref="S7:S13" si="7">SUM(O7+Q7)</f>
        <v>155000.81282695747</v>
      </c>
      <c r="T7" s="100">
        <f t="shared" ref="T7:T13" si="8">S7/F7</f>
        <v>1.5637741888312753E-2</v>
      </c>
      <c r="U7" s="538">
        <v>1032613.8715824983</v>
      </c>
      <c r="V7" s="100">
        <f t="shared" ref="V7:V13" si="9">U7/F7</f>
        <v>0.10417848074207035</v>
      </c>
      <c r="W7" s="538">
        <v>90946.692815278613</v>
      </c>
      <c r="X7" s="100">
        <f t="shared" ref="X7:X13" si="10">W7/F7</f>
        <v>9.1754416115787506E-3</v>
      </c>
      <c r="Y7" s="538">
        <v>715867.98766669852</v>
      </c>
      <c r="Z7" s="100">
        <f t="shared" ref="Z7:Z16" si="11">Y7/F7</f>
        <v>7.2222581372752323E-2</v>
      </c>
      <c r="AA7" s="538">
        <v>1241839.0818438851</v>
      </c>
      <c r="AB7" s="100">
        <f t="shared" ref="AB7:AB40" si="12">AA7/$F7</f>
        <v>0.12528682059476631</v>
      </c>
      <c r="AC7" s="226">
        <f t="shared" ref="AC7:AC16" si="13">SUM(Y7+AA7)</f>
        <v>1957707.0695105838</v>
      </c>
      <c r="AD7" s="100">
        <f t="shared" ref="AD7:AD16" si="14">AC7/F7</f>
        <v>0.19750940196751865</v>
      </c>
      <c r="AE7" s="538">
        <v>1474753.2942983359</v>
      </c>
      <c r="AF7" s="100">
        <f t="shared" ref="AF7:AF16" si="15">AE7/F7</f>
        <v>0.14878509953959057</v>
      </c>
      <c r="AG7" s="538">
        <v>1325583.4416493857</v>
      </c>
      <c r="AH7" s="100">
        <f t="shared" ref="AH7:AH16" si="16">AG7/F7</f>
        <v>0.13373563230972429</v>
      </c>
      <c r="AI7" s="538">
        <v>1340614.1865086448</v>
      </c>
      <c r="AJ7" s="100">
        <f t="shared" ref="AJ7:AJ16" si="17">AI7/F7</f>
        <v>0.13525205602526044</v>
      </c>
      <c r="AK7" s="538">
        <v>769827.26245363872</v>
      </c>
      <c r="AL7" s="100">
        <f t="shared" ref="AL7:AL13" si="18">AK7/F7</f>
        <v>7.7666431609465153E-2</v>
      </c>
    </row>
    <row r="8" spans="1:38" ht="14.25">
      <c r="B8" s="97"/>
      <c r="C8" s="356"/>
      <c r="D8" s="308">
        <f t="shared" ref="D8" si="19">D7+1</f>
        <v>46169</v>
      </c>
      <c r="E8" s="308" t="s">
        <v>459</v>
      </c>
      <c r="F8" s="227">
        <f>SUM(M8,S8,U8,W8,AC8,AE8,AG8,AI8,AK8)</f>
        <v>9723654</v>
      </c>
      <c r="G8" s="306">
        <f>SUM(F7:F13)</f>
        <v>65939025</v>
      </c>
      <c r="H8" s="329"/>
      <c r="I8" s="538">
        <v>834226.3956515824</v>
      </c>
      <c r="J8" s="100">
        <f t="shared" si="1"/>
        <v>8.5793508865245754E-2</v>
      </c>
      <c r="K8" s="538">
        <v>880855.4378574302</v>
      </c>
      <c r="L8" s="100">
        <f t="shared" si="2"/>
        <v>9.0588932705486042E-2</v>
      </c>
      <c r="M8" s="226">
        <f t="shared" si="3"/>
        <v>1715081.8335090126</v>
      </c>
      <c r="N8" s="100">
        <f t="shared" si="4"/>
        <v>0.1763824415707318</v>
      </c>
      <c r="O8" s="538">
        <v>155740.60490622802</v>
      </c>
      <c r="P8" s="100">
        <f t="shared" si="5"/>
        <v>1.6016674894666967E-2</v>
      </c>
      <c r="Q8" s="233"/>
      <c r="R8" s="100">
        <f t="shared" si="6"/>
        <v>0</v>
      </c>
      <c r="S8" s="226">
        <f t="shared" si="7"/>
        <v>155740.60490622802</v>
      </c>
      <c r="T8" s="100">
        <f t="shared" si="8"/>
        <v>1.6016674894666967E-2</v>
      </c>
      <c r="U8" s="538">
        <v>1021176.416535186</v>
      </c>
      <c r="V8" s="100">
        <f t="shared" si="9"/>
        <v>0.10501982243868262</v>
      </c>
      <c r="W8" s="538">
        <v>91019.33888209032</v>
      </c>
      <c r="X8" s="100">
        <f t="shared" si="10"/>
        <v>9.3606106184043903E-3</v>
      </c>
      <c r="Y8" s="538">
        <v>712653.0236537056</v>
      </c>
      <c r="Z8" s="100">
        <f t="shared" si="11"/>
        <v>7.3290660450660378E-2</v>
      </c>
      <c r="AA8" s="538">
        <v>1161243.7729789983</v>
      </c>
      <c r="AB8" s="100">
        <f t="shared" si="12"/>
        <v>0.11942462915473939</v>
      </c>
      <c r="AC8" s="226">
        <f t="shared" si="13"/>
        <v>1873896.7966327039</v>
      </c>
      <c r="AD8" s="100">
        <f t="shared" si="14"/>
        <v>0.19271528960539977</v>
      </c>
      <c r="AE8" s="538">
        <v>1479080.3943255865</v>
      </c>
      <c r="AF8" s="100">
        <f t="shared" si="15"/>
        <v>0.15211158216094345</v>
      </c>
      <c r="AG8" s="538">
        <v>1013065.1896702752</v>
      </c>
      <c r="AH8" s="100">
        <f t="shared" si="16"/>
        <v>0.10418564766601889</v>
      </c>
      <c r="AI8" s="538">
        <v>1617802.7563027462</v>
      </c>
      <c r="AJ8" s="100">
        <f t="shared" si="17"/>
        <v>0.16637806695947288</v>
      </c>
      <c r="AK8" s="538">
        <v>756790.66923617048</v>
      </c>
      <c r="AL8" s="100">
        <f t="shared" si="18"/>
        <v>7.7829864085679157E-2</v>
      </c>
    </row>
    <row r="9" spans="1:38" ht="14.25">
      <c r="B9" s="97"/>
      <c r="C9" s="97"/>
      <c r="D9" s="308">
        <f>D8+1</f>
        <v>46170</v>
      </c>
      <c r="E9" s="308" t="s">
        <v>460</v>
      </c>
      <c r="F9" s="227">
        <f t="shared" ref="F9:F49" si="20">SUM(M9,S9,U9,W9,AC9,AE9,AG9,AI9,AK9)</f>
        <v>9072400</v>
      </c>
      <c r="G9" s="86"/>
      <c r="H9" s="86"/>
      <c r="I9" s="538">
        <v>796967.55440973805</v>
      </c>
      <c r="J9" s="100">
        <f t="shared" si="1"/>
        <v>8.7845283983261108E-2</v>
      </c>
      <c r="K9" s="538">
        <v>802490.73208411667</v>
      </c>
      <c r="L9" s="100">
        <f t="shared" si="2"/>
        <v>8.8454073021925469E-2</v>
      </c>
      <c r="M9" s="226">
        <f t="shared" si="3"/>
        <v>1599458.2864938546</v>
      </c>
      <c r="N9" s="100">
        <f t="shared" si="4"/>
        <v>0.17629935700518656</v>
      </c>
      <c r="O9" s="538">
        <v>156572.68974813298</v>
      </c>
      <c r="P9" s="100">
        <f t="shared" si="5"/>
        <v>1.7258133431962103E-2</v>
      </c>
      <c r="Q9" s="233"/>
      <c r="R9" s="100">
        <f t="shared" si="6"/>
        <v>0</v>
      </c>
      <c r="S9" s="226">
        <f t="shared" si="7"/>
        <v>156572.68974813298</v>
      </c>
      <c r="T9" s="100">
        <f t="shared" si="8"/>
        <v>1.7258133431962103E-2</v>
      </c>
      <c r="U9" s="538">
        <v>919622.63002488343</v>
      </c>
      <c r="V9" s="100">
        <f t="shared" si="9"/>
        <v>0.10136486817434014</v>
      </c>
      <c r="W9" s="538">
        <v>80701.49904316591</v>
      </c>
      <c r="X9" s="100">
        <f t="shared" si="10"/>
        <v>8.8952756760246367E-3</v>
      </c>
      <c r="Y9" s="538">
        <v>684780.20716838562</v>
      </c>
      <c r="Z9" s="100">
        <f t="shared" si="11"/>
        <v>7.5479499048585336E-2</v>
      </c>
      <c r="AA9" s="538">
        <v>910019.21405658184</v>
      </c>
      <c r="AB9" s="100">
        <f t="shared" si="12"/>
        <v>0.10030633724886269</v>
      </c>
      <c r="AC9" s="226">
        <f t="shared" si="13"/>
        <v>1594799.4212249676</v>
      </c>
      <c r="AD9" s="100">
        <f t="shared" si="14"/>
        <v>0.17578583629744804</v>
      </c>
      <c r="AE9" s="538">
        <v>1371164.7213054858</v>
      </c>
      <c r="AF9" s="100">
        <f t="shared" si="15"/>
        <v>0.15113583189734645</v>
      </c>
      <c r="AG9" s="538">
        <v>953952.60160560557</v>
      </c>
      <c r="AH9" s="100">
        <f t="shared" si="16"/>
        <v>0.10514886927445941</v>
      </c>
      <c r="AI9" s="538">
        <v>1655180.1736219691</v>
      </c>
      <c r="AJ9" s="100">
        <f t="shared" si="17"/>
        <v>0.18244126952316575</v>
      </c>
      <c r="AK9" s="538">
        <v>740947.97693193483</v>
      </c>
      <c r="AL9" s="100">
        <f t="shared" si="18"/>
        <v>8.1670558720066885E-2</v>
      </c>
    </row>
    <row r="10" spans="1:38" ht="14.25">
      <c r="B10" s="97"/>
      <c r="C10" s="97"/>
      <c r="D10" s="308">
        <f t="shared" ref="D10:D36" si="21">D9+1</f>
        <v>46171</v>
      </c>
      <c r="E10" s="308" t="s">
        <v>461</v>
      </c>
      <c r="F10" s="227">
        <f t="shared" si="20"/>
        <v>8447568.0000000019</v>
      </c>
      <c r="G10" s="306"/>
      <c r="H10" s="329"/>
      <c r="I10" s="538">
        <v>717668.83110199892</v>
      </c>
      <c r="J10" s="100">
        <f t="shared" si="1"/>
        <v>8.4955673763383588E-2</v>
      </c>
      <c r="K10" s="538">
        <v>754001.25866710825</v>
      </c>
      <c r="L10" s="100">
        <f t="shared" si="2"/>
        <v>8.9256607187667272E-2</v>
      </c>
      <c r="M10" s="226">
        <f t="shared" si="3"/>
        <v>1471670.0897691073</v>
      </c>
      <c r="N10" s="100">
        <f t="shared" si="4"/>
        <v>0.17421228095105087</v>
      </c>
      <c r="O10" s="538">
        <v>131174.99331250542</v>
      </c>
      <c r="P10" s="100">
        <f t="shared" si="5"/>
        <v>1.552813701085394E-2</v>
      </c>
      <c r="Q10" s="233"/>
      <c r="R10" s="100">
        <f t="shared" si="6"/>
        <v>0</v>
      </c>
      <c r="S10" s="226">
        <f t="shared" si="7"/>
        <v>131174.99331250542</v>
      </c>
      <c r="T10" s="100">
        <f t="shared" si="8"/>
        <v>1.552813701085394E-2</v>
      </c>
      <c r="U10" s="538">
        <v>827052.81841553969</v>
      </c>
      <c r="V10" s="100">
        <f t="shared" si="9"/>
        <v>9.7904251071496501E-2</v>
      </c>
      <c r="W10" s="538">
        <v>57382.900659552128</v>
      </c>
      <c r="X10" s="100">
        <f t="shared" si="10"/>
        <v>6.7928308667716099E-3</v>
      </c>
      <c r="Y10" s="538">
        <v>602253.05167162046</v>
      </c>
      <c r="Z10" s="100">
        <f t="shared" si="11"/>
        <v>7.1293069398390196E-2</v>
      </c>
      <c r="AA10" s="538">
        <v>925631.31398767326</v>
      </c>
      <c r="AB10" s="100">
        <f t="shared" si="12"/>
        <v>0.1095737038148344</v>
      </c>
      <c r="AC10" s="226">
        <f t="shared" si="13"/>
        <v>1527884.3656592937</v>
      </c>
      <c r="AD10" s="100">
        <f t="shared" si="14"/>
        <v>0.18086677321322461</v>
      </c>
      <c r="AE10" s="538">
        <v>1186754.4398286883</v>
      </c>
      <c r="AF10" s="100">
        <f t="shared" si="15"/>
        <v>0.14048474541177863</v>
      </c>
      <c r="AG10" s="538">
        <v>870174.14963696664</v>
      </c>
      <c r="AH10" s="100">
        <f t="shared" si="16"/>
        <v>0.1030088363463859</v>
      </c>
      <c r="AI10" s="538">
        <v>1740638.118244169</v>
      </c>
      <c r="AJ10" s="100">
        <f t="shared" si="17"/>
        <v>0.20605198066995953</v>
      </c>
      <c r="AK10" s="538">
        <v>634836.12447417818</v>
      </c>
      <c r="AL10" s="100">
        <f t="shared" si="18"/>
        <v>7.5150164458478233E-2</v>
      </c>
    </row>
    <row r="11" spans="1:38" ht="14.25">
      <c r="B11" s="97"/>
      <c r="C11" s="97"/>
      <c r="D11" s="308">
        <f t="shared" si="21"/>
        <v>46172</v>
      </c>
      <c r="E11" s="308" t="s">
        <v>462</v>
      </c>
      <c r="F11" s="227">
        <f t="shared" si="20"/>
        <v>8820596</v>
      </c>
      <c r="G11" s="306"/>
      <c r="H11" s="329"/>
      <c r="I11" s="538">
        <v>648392.83706877509</v>
      </c>
      <c r="J11" s="100">
        <f t="shared" si="1"/>
        <v>7.3508959833187587E-2</v>
      </c>
      <c r="K11" s="538">
        <v>833488.45598268241</v>
      </c>
      <c r="L11" s="100">
        <f t="shared" si="2"/>
        <v>9.4493439670367219E-2</v>
      </c>
      <c r="M11" s="226">
        <f t="shared" si="3"/>
        <v>1481881.2930514575</v>
      </c>
      <c r="N11" s="100">
        <f t="shared" si="4"/>
        <v>0.16800239950355481</v>
      </c>
      <c r="O11" s="538">
        <v>131347.19742287829</v>
      </c>
      <c r="P11" s="100">
        <f t="shared" si="5"/>
        <v>1.4890966259295663E-2</v>
      </c>
      <c r="Q11" s="233"/>
      <c r="R11" s="100">
        <f t="shared" si="6"/>
        <v>0</v>
      </c>
      <c r="S11" s="226">
        <f t="shared" si="7"/>
        <v>131347.19742287829</v>
      </c>
      <c r="T11" s="100">
        <f t="shared" si="8"/>
        <v>1.4890966259295663E-2</v>
      </c>
      <c r="U11" s="538">
        <v>890786.35354303638</v>
      </c>
      <c r="V11" s="100">
        <f t="shared" si="9"/>
        <v>0.10098936098456798</v>
      </c>
      <c r="W11" s="538">
        <v>66013.287798413949</v>
      </c>
      <c r="X11" s="100">
        <f t="shared" si="10"/>
        <v>7.4839940292485843E-3</v>
      </c>
      <c r="Y11" s="538">
        <v>662404.94660462544</v>
      </c>
      <c r="Z11" s="100">
        <f t="shared" si="11"/>
        <v>7.509752703837988E-2</v>
      </c>
      <c r="AA11" s="538">
        <v>1013745.5615263516</v>
      </c>
      <c r="AB11" s="100">
        <f t="shared" si="12"/>
        <v>0.11492937229256975</v>
      </c>
      <c r="AC11" s="226">
        <f t="shared" si="13"/>
        <v>1676150.5081309769</v>
      </c>
      <c r="AD11" s="100">
        <f t="shared" si="14"/>
        <v>0.19002689933094963</v>
      </c>
      <c r="AE11" s="538">
        <v>1325867.2139701014</v>
      </c>
      <c r="AF11" s="100">
        <f t="shared" si="15"/>
        <v>0.15031492361401672</v>
      </c>
      <c r="AG11" s="538">
        <v>1014306.5630493577</v>
      </c>
      <c r="AH11" s="100">
        <f t="shared" si="16"/>
        <v>0.11499297360964698</v>
      </c>
      <c r="AI11" s="538">
        <v>1536567.1927081044</v>
      </c>
      <c r="AJ11" s="100">
        <f t="shared" si="17"/>
        <v>0.17420219594096639</v>
      </c>
      <c r="AK11" s="538">
        <v>697676.39032567362</v>
      </c>
      <c r="AL11" s="100">
        <f t="shared" si="18"/>
        <v>7.9096286727753276E-2</v>
      </c>
    </row>
    <row r="12" spans="1:38" ht="14.25">
      <c r="B12" s="97"/>
      <c r="C12" s="97"/>
      <c r="D12" s="308">
        <f t="shared" si="21"/>
        <v>46173</v>
      </c>
      <c r="E12" s="308" t="s">
        <v>463</v>
      </c>
      <c r="F12" s="227">
        <f t="shared" si="20"/>
        <v>10386449</v>
      </c>
      <c r="G12" s="86"/>
      <c r="H12" s="329">
        <f>SUM(F13:F42)</f>
        <v>74601313</v>
      </c>
      <c r="I12" s="538">
        <v>803405.44308915967</v>
      </c>
      <c r="J12" s="100">
        <f t="shared" si="1"/>
        <v>7.7351310644201851E-2</v>
      </c>
      <c r="K12" s="538">
        <v>920092.34586502786</v>
      </c>
      <c r="L12" s="100">
        <f t="shared" si="2"/>
        <v>8.8585843522172775E-2</v>
      </c>
      <c r="M12" s="226">
        <f t="shared" si="3"/>
        <v>1723497.7889541877</v>
      </c>
      <c r="N12" s="100">
        <f t="shared" si="4"/>
        <v>0.16593715416637464</v>
      </c>
      <c r="O12" s="538">
        <v>159681.46041312834</v>
      </c>
      <c r="P12" s="100">
        <f t="shared" si="5"/>
        <v>1.5374018628804545E-2</v>
      </c>
      <c r="Q12" s="233"/>
      <c r="R12" s="100">
        <f t="shared" si="6"/>
        <v>0</v>
      </c>
      <c r="S12" s="226">
        <f t="shared" si="7"/>
        <v>159681.46041312834</v>
      </c>
      <c r="T12" s="100">
        <f t="shared" si="8"/>
        <v>1.5374018628804545E-2</v>
      </c>
      <c r="U12" s="538">
        <v>1123376.7130661339</v>
      </c>
      <c r="V12" s="100">
        <f t="shared" si="9"/>
        <v>0.10815791932990129</v>
      </c>
      <c r="W12" s="538">
        <v>78012.345440771693</v>
      </c>
      <c r="X12" s="100">
        <f t="shared" si="10"/>
        <v>7.5109737159227081E-3</v>
      </c>
      <c r="Y12" s="538">
        <v>760064.25510615727</v>
      </c>
      <c r="Z12" s="100">
        <f t="shared" si="11"/>
        <v>7.3178451567629824E-2</v>
      </c>
      <c r="AA12" s="538">
        <v>1143849.685426282</v>
      </c>
      <c r="AB12" s="100">
        <f t="shared" si="12"/>
        <v>0.11012904270037642</v>
      </c>
      <c r="AC12" s="226">
        <f t="shared" si="13"/>
        <v>1903913.9405324394</v>
      </c>
      <c r="AD12" s="100">
        <f t="shared" si="14"/>
        <v>0.18330749426800627</v>
      </c>
      <c r="AE12" s="538">
        <v>1637466.4028524798</v>
      </c>
      <c r="AF12" s="100">
        <f t="shared" si="15"/>
        <v>0.15765411285921491</v>
      </c>
      <c r="AG12" s="538">
        <v>1228518.6766198454</v>
      </c>
      <c r="AH12" s="100">
        <f t="shared" si="16"/>
        <v>0.11828091358459907</v>
      </c>
      <c r="AI12" s="538">
        <v>1703467.5158396543</v>
      </c>
      <c r="AJ12" s="100">
        <f t="shared" si="17"/>
        <v>0.16400865356770675</v>
      </c>
      <c r="AK12" s="538">
        <v>828514.15628135926</v>
      </c>
      <c r="AL12" s="100">
        <f t="shared" si="18"/>
        <v>7.9768759879469797E-2</v>
      </c>
    </row>
    <row r="13" spans="1:38" ht="14.25">
      <c r="B13" s="97"/>
      <c r="C13" s="97"/>
      <c r="D13" s="308">
        <f t="shared" si="21"/>
        <v>46174</v>
      </c>
      <c r="E13" s="308" t="s">
        <v>457</v>
      </c>
      <c r="F13" s="227">
        <f t="shared" si="20"/>
        <v>9576389.0000000019</v>
      </c>
      <c r="G13" s="306"/>
      <c r="H13" s="329"/>
      <c r="I13" s="538">
        <v>758567.62376426673</v>
      </c>
      <c r="J13" s="100">
        <f t="shared" si="1"/>
        <v>7.9212281765524209E-2</v>
      </c>
      <c r="K13" s="538">
        <v>873393.03030597779</v>
      </c>
      <c r="L13" s="100">
        <f t="shared" si="2"/>
        <v>9.120275192517531E-2</v>
      </c>
      <c r="M13" s="226">
        <f t="shared" si="3"/>
        <v>1631960.6540702446</v>
      </c>
      <c r="N13" s="100">
        <f t="shared" si="4"/>
        <v>0.17041503369069952</v>
      </c>
      <c r="O13" s="538">
        <v>153608.36173157959</v>
      </c>
      <c r="P13" s="100">
        <f t="shared" si="5"/>
        <v>1.6040321851125677E-2</v>
      </c>
      <c r="Q13" s="233"/>
      <c r="R13" s="100">
        <f t="shared" si="6"/>
        <v>0</v>
      </c>
      <c r="S13" s="226">
        <f t="shared" si="7"/>
        <v>153608.36173157959</v>
      </c>
      <c r="T13" s="100">
        <f t="shared" si="8"/>
        <v>1.6040321851125677E-2</v>
      </c>
      <c r="U13" s="538">
        <v>1067528.4825643103</v>
      </c>
      <c r="V13" s="100">
        <f t="shared" si="9"/>
        <v>0.11147505417379244</v>
      </c>
      <c r="W13" s="538">
        <v>81439.234784855682</v>
      </c>
      <c r="X13" s="100">
        <f t="shared" si="10"/>
        <v>8.5041694510170456E-3</v>
      </c>
      <c r="Y13" s="538">
        <v>738854.27567746351</v>
      </c>
      <c r="Z13" s="100">
        <f t="shared" si="11"/>
        <v>7.7153745078386363E-2</v>
      </c>
      <c r="AA13" s="538">
        <v>1118456.8070948101</v>
      </c>
      <c r="AB13" s="100">
        <f t="shared" si="12"/>
        <v>0.11679316776864535</v>
      </c>
      <c r="AC13" s="226">
        <f t="shared" si="13"/>
        <v>1857311.0827722736</v>
      </c>
      <c r="AD13" s="100">
        <f t="shared" si="14"/>
        <v>0.19394691284703172</v>
      </c>
      <c r="AE13" s="538">
        <v>1541280.2940064897</v>
      </c>
      <c r="AF13" s="100">
        <f t="shared" si="15"/>
        <v>0.16094587364887636</v>
      </c>
      <c r="AG13" s="538">
        <v>1041486.2042900332</v>
      </c>
      <c r="AH13" s="100">
        <f t="shared" si="16"/>
        <v>0.10875562848272277</v>
      </c>
      <c r="AI13" s="538">
        <v>1372243.6287914908</v>
      </c>
      <c r="AJ13" s="100">
        <f t="shared" si="17"/>
        <v>0.14329447444036478</v>
      </c>
      <c r="AK13" s="538">
        <v>829531.05698872299</v>
      </c>
      <c r="AL13" s="100">
        <f t="shared" si="18"/>
        <v>8.6622531414369527E-2</v>
      </c>
    </row>
    <row r="14" spans="1:38" ht="14.25">
      <c r="B14" s="97"/>
      <c r="C14" s="97"/>
      <c r="D14" s="378">
        <f t="shared" si="21"/>
        <v>46175</v>
      </c>
      <c r="E14" s="378" t="s">
        <v>458</v>
      </c>
      <c r="F14" s="227">
        <f t="shared" si="20"/>
        <v>10050370</v>
      </c>
      <c r="G14" s="306">
        <f>SUM(F14:F20)</f>
        <v>65024924</v>
      </c>
      <c r="H14" s="329"/>
      <c r="I14" s="233">
        <v>776227.97016374173</v>
      </c>
      <c r="J14" s="100">
        <f>I14/F14</f>
        <v>7.723377051429367E-2</v>
      </c>
      <c r="K14" s="233">
        <v>874306.94600702578</v>
      </c>
      <c r="L14" s="100">
        <f>K14/F14</f>
        <v>8.699251331115429E-2</v>
      </c>
      <c r="M14" s="226">
        <f>SUM(I14+K14)</f>
        <v>1650534.9161707675</v>
      </c>
      <c r="N14" s="100">
        <f>M14/F14</f>
        <v>0.16422628382544796</v>
      </c>
      <c r="O14" s="233">
        <v>157334.02227488349</v>
      </c>
      <c r="P14" s="100">
        <f>O14/F14</f>
        <v>1.565455025783961E-2</v>
      </c>
      <c r="Q14" s="233"/>
      <c r="R14" s="100">
        <f t="shared" ref="R14" si="22">Q14/$F14</f>
        <v>0</v>
      </c>
      <c r="S14" s="226">
        <f t="shared" ref="S14" si="23">SUM(O14+Q14)</f>
        <v>157334.02227488349</v>
      </c>
      <c r="T14" s="100">
        <f>S14/F14</f>
        <v>1.565455025783961E-2</v>
      </c>
      <c r="U14" s="233">
        <v>1066987.1660075986</v>
      </c>
      <c r="V14" s="100">
        <f>U14/F14</f>
        <v>0.10616396869046599</v>
      </c>
      <c r="W14" s="233">
        <v>70828.107645685261</v>
      </c>
      <c r="X14" s="100">
        <f>W14/F14</f>
        <v>7.0473134467373098E-3</v>
      </c>
      <c r="Y14" s="233">
        <v>745103.59594110854</v>
      </c>
      <c r="Z14" s="100">
        <f t="shared" si="11"/>
        <v>7.4136931868290276E-2</v>
      </c>
      <c r="AA14" s="233">
        <v>1115672.4634940836</v>
      </c>
      <c r="AB14" s="100">
        <f t="shared" si="12"/>
        <v>0.11100809855697687</v>
      </c>
      <c r="AC14" s="226">
        <f t="shared" si="13"/>
        <v>1860776.059435192</v>
      </c>
      <c r="AD14" s="100">
        <f t="shared" si="14"/>
        <v>0.18514503042526714</v>
      </c>
      <c r="AE14" s="233">
        <v>1522372.0364729548</v>
      </c>
      <c r="AF14" s="100">
        <f t="shared" si="15"/>
        <v>0.15147422796105564</v>
      </c>
      <c r="AG14" s="233">
        <v>983263.56753131968</v>
      </c>
      <c r="AH14" s="100">
        <f t="shared" si="16"/>
        <v>9.7833569065747791E-2</v>
      </c>
      <c r="AI14" s="233">
        <v>1653855.9693168853</v>
      </c>
      <c r="AJ14" s="100">
        <f t="shared" si="17"/>
        <v>0.16455672470932764</v>
      </c>
      <c r="AK14" s="233">
        <v>1084418.1551447148</v>
      </c>
      <c r="AL14" s="100">
        <f>AK14/F14</f>
        <v>0.10789833161811105</v>
      </c>
    </row>
    <row r="15" spans="1:38" ht="14.25">
      <c r="B15" s="97"/>
      <c r="C15" s="97"/>
      <c r="D15" s="378">
        <f t="shared" si="21"/>
        <v>46176</v>
      </c>
      <c r="E15" s="378" t="s">
        <v>459</v>
      </c>
      <c r="F15" s="227">
        <f t="shared" si="20"/>
        <v>9327316.9999999981</v>
      </c>
      <c r="G15" s="86"/>
      <c r="H15" s="329"/>
      <c r="I15" s="233">
        <v>768978.49049738457</v>
      </c>
      <c r="J15" s="100">
        <f t="shared" ref="J15" si="24">I15/F15</f>
        <v>8.2443696348841231E-2</v>
      </c>
      <c r="K15" s="233">
        <v>854550.85197674879</v>
      </c>
      <c r="L15" s="100">
        <f t="shared" ref="L15" si="25">K15/F15</f>
        <v>9.1618077521837094E-2</v>
      </c>
      <c r="M15" s="226">
        <f t="shared" ref="M15" si="26">SUM(I15+K15)</f>
        <v>1623529.3424741332</v>
      </c>
      <c r="N15" s="100">
        <f t="shared" ref="N15" si="27">M15/F15</f>
        <v>0.17406177387067831</v>
      </c>
      <c r="O15" s="233">
        <v>157836.05512807792</v>
      </c>
      <c r="P15" s="100">
        <f t="shared" ref="P15" si="28">O15/F15</f>
        <v>1.6921913893146116E-2</v>
      </c>
      <c r="Q15" s="233"/>
      <c r="R15" s="100">
        <f t="shared" ref="R15" si="29">Q15/$F15</f>
        <v>0</v>
      </c>
      <c r="S15" s="226">
        <f t="shared" ref="S15" si="30">SUM(O15+Q15)</f>
        <v>157836.05512807792</v>
      </c>
      <c r="T15" s="100">
        <f t="shared" ref="T15" si="31">S15/F15</f>
        <v>1.6921913893146116E-2</v>
      </c>
      <c r="U15" s="233">
        <v>963305.63175247528</v>
      </c>
      <c r="V15" s="100">
        <f t="shared" ref="V15" si="32">U15/F15</f>
        <v>0.10327789135423139</v>
      </c>
      <c r="W15" s="233">
        <v>66246.106227989832</v>
      </c>
      <c r="X15" s="100">
        <f t="shared" ref="X15" si="33">W15/F15</f>
        <v>7.1023753377300082E-3</v>
      </c>
      <c r="Y15" s="233">
        <v>684220.48510644294</v>
      </c>
      <c r="Z15" s="100">
        <f t="shared" si="11"/>
        <v>7.3356623893713821E-2</v>
      </c>
      <c r="AA15" s="233">
        <v>1013653.8566579369</v>
      </c>
      <c r="AB15" s="100">
        <f t="shared" si="12"/>
        <v>0.10867582356833558</v>
      </c>
      <c r="AC15" s="226">
        <f t="shared" si="13"/>
        <v>1697874.3417643798</v>
      </c>
      <c r="AD15" s="100">
        <f t="shared" si="14"/>
        <v>0.18203244746204938</v>
      </c>
      <c r="AE15" s="233">
        <v>1400737.9796750215</v>
      </c>
      <c r="AF15" s="100">
        <f t="shared" si="15"/>
        <v>0.15017587369176172</v>
      </c>
      <c r="AG15" s="233">
        <v>902576.83235307061</v>
      </c>
      <c r="AH15" s="100">
        <f t="shared" si="16"/>
        <v>9.6767037332715383E-2</v>
      </c>
      <c r="AI15" s="233">
        <v>1582861.5934110018</v>
      </c>
      <c r="AJ15" s="100">
        <f t="shared" si="17"/>
        <v>0.16970170451063282</v>
      </c>
      <c r="AK15" s="233">
        <v>932349.11721384875</v>
      </c>
      <c r="AL15" s="100">
        <f t="shared" ref="AL15" si="34">AK15/F15</f>
        <v>9.9958982547054945E-2</v>
      </c>
    </row>
    <row r="16" spans="1:38" ht="14.25">
      <c r="B16" s="97"/>
      <c r="C16" s="97"/>
      <c r="D16" s="378">
        <f t="shared" si="21"/>
        <v>46177</v>
      </c>
      <c r="E16" s="378" t="s">
        <v>460</v>
      </c>
      <c r="F16" s="227">
        <f t="shared" si="20"/>
        <v>8845232</v>
      </c>
      <c r="G16" s="306"/>
      <c r="H16" s="329"/>
      <c r="I16" s="233">
        <v>735925.14265433885</v>
      </c>
      <c r="J16" s="100">
        <f t="shared" ref="J16:J41" si="35">I16/F16</f>
        <v>8.3200208050432017E-2</v>
      </c>
      <c r="K16" s="233">
        <v>785898.53541942325</v>
      </c>
      <c r="L16" s="100">
        <f t="shared" ref="L16:L41" si="36">K16/F16</f>
        <v>8.8849962942681798E-2</v>
      </c>
      <c r="M16" s="226">
        <f t="shared" ref="M16:M41" si="37">SUM(I16+K16)</f>
        <v>1521823.678073762</v>
      </c>
      <c r="N16" s="100">
        <f t="shared" ref="N16:N41" si="38">M16/F16</f>
        <v>0.17205017099311382</v>
      </c>
      <c r="O16" s="233">
        <v>155084.36972934002</v>
      </c>
      <c r="P16" s="100">
        <f t="shared" ref="P16:P41" si="39">O16/F16</f>
        <v>1.753310367996453E-2</v>
      </c>
      <c r="Q16" s="233"/>
      <c r="R16" s="100">
        <f t="shared" ref="R16:R49" si="40">Q16/$F16</f>
        <v>0</v>
      </c>
      <c r="S16" s="226">
        <f t="shared" ref="S16:S49" si="41">SUM(O16+Q16)</f>
        <v>155084.36972934002</v>
      </c>
      <c r="T16" s="100">
        <f t="shared" ref="T16:T41" si="42">S16/F16</f>
        <v>1.753310367996453E-2</v>
      </c>
      <c r="U16" s="233">
        <v>836907.05557428789</v>
      </c>
      <c r="V16" s="100">
        <f t="shared" ref="V16:V41" si="43">U16/F16</f>
        <v>9.461674443070435E-2</v>
      </c>
      <c r="W16" s="233">
        <v>65483.383269799589</v>
      </c>
      <c r="X16" s="100">
        <f t="shared" ref="X16:X41" si="44">W16/F16</f>
        <v>7.403240895185066E-3</v>
      </c>
      <c r="Y16" s="233">
        <v>648023.46358837152</v>
      </c>
      <c r="Z16" s="100">
        <f t="shared" si="11"/>
        <v>7.3262460904176568E-2</v>
      </c>
      <c r="AA16" s="233">
        <v>845764.07327764668</v>
      </c>
      <c r="AB16" s="100">
        <f t="shared" si="12"/>
        <v>9.5618076866457166E-2</v>
      </c>
      <c r="AC16" s="226">
        <f t="shared" si="13"/>
        <v>1493787.5368660181</v>
      </c>
      <c r="AD16" s="100">
        <f t="shared" si="14"/>
        <v>0.16888053777063372</v>
      </c>
      <c r="AE16" s="233">
        <v>1297291.9906407727</v>
      </c>
      <c r="AF16" s="100">
        <f t="shared" si="15"/>
        <v>0.1466656827815</v>
      </c>
      <c r="AG16" s="233">
        <v>911147.40707169625</v>
      </c>
      <c r="AH16" s="100">
        <f t="shared" si="16"/>
        <v>0.10301000664218828</v>
      </c>
      <c r="AI16" s="233">
        <v>1684698.6962041534</v>
      </c>
      <c r="AJ16" s="100">
        <f t="shared" si="17"/>
        <v>0.19046404845052717</v>
      </c>
      <c r="AK16" s="233">
        <v>879007.88257016975</v>
      </c>
      <c r="AL16" s="100">
        <f t="shared" ref="AL16:AL41" si="45">AK16/F16</f>
        <v>9.9376464356183053E-2</v>
      </c>
    </row>
    <row r="17" spans="2:38" ht="14.25">
      <c r="B17" s="97"/>
      <c r="C17" s="97"/>
      <c r="D17" s="378">
        <f t="shared" si="21"/>
        <v>46178</v>
      </c>
      <c r="E17" s="378" t="s">
        <v>461</v>
      </c>
      <c r="F17" s="227">
        <f t="shared" si="20"/>
        <v>7987767</v>
      </c>
      <c r="G17" s="306"/>
      <c r="H17" s="329"/>
      <c r="I17" s="233">
        <v>623153.87688130466</v>
      </c>
      <c r="J17" s="100">
        <f t="shared" si="35"/>
        <v>7.8013527044705322E-2</v>
      </c>
      <c r="K17" s="233">
        <v>731322.56682185188</v>
      </c>
      <c r="L17" s="100">
        <f t="shared" si="36"/>
        <v>9.1555320382010627E-2</v>
      </c>
      <c r="M17" s="226">
        <f t="shared" si="37"/>
        <v>1354476.4437031564</v>
      </c>
      <c r="N17" s="100">
        <f t="shared" si="38"/>
        <v>0.16956884742671594</v>
      </c>
      <c r="O17" s="233">
        <v>131304.08632336953</v>
      </c>
      <c r="P17" s="100">
        <f t="shared" si="39"/>
        <v>1.643814677160332E-2</v>
      </c>
      <c r="Q17" s="233"/>
      <c r="R17" s="100">
        <f t="shared" si="40"/>
        <v>0</v>
      </c>
      <c r="S17" s="226">
        <f t="shared" si="41"/>
        <v>131304.08632336953</v>
      </c>
      <c r="T17" s="100">
        <f t="shared" si="42"/>
        <v>1.643814677160332E-2</v>
      </c>
      <c r="U17" s="233">
        <v>742630.20188001613</v>
      </c>
      <c r="V17" s="100">
        <f t="shared" si="43"/>
        <v>9.2970939422746826E-2</v>
      </c>
      <c r="W17" s="233">
        <v>44629.247322923809</v>
      </c>
      <c r="X17" s="100">
        <f t="shared" si="44"/>
        <v>5.5871994417117836E-3</v>
      </c>
      <c r="Y17" s="233">
        <v>541834.81108824199</v>
      </c>
      <c r="Z17" s="100">
        <f>Y17/F17</f>
        <v>6.7833076639346387E-2</v>
      </c>
      <c r="AA17" s="233">
        <v>938200.46547261078</v>
      </c>
      <c r="AB17" s="100">
        <f t="shared" si="12"/>
        <v>0.11745466104264318</v>
      </c>
      <c r="AC17" s="226">
        <f>SUM(Y17+AA17)</f>
        <v>1480035.2765608528</v>
      </c>
      <c r="AD17" s="100">
        <f>AC17/F17</f>
        <v>0.18528773768198956</v>
      </c>
      <c r="AE17" s="233">
        <v>1075180.8393734994</v>
      </c>
      <c r="AF17" s="100">
        <f>AE17/F17</f>
        <v>0.13460343039218586</v>
      </c>
      <c r="AG17" s="233">
        <v>860019.00200681738</v>
      </c>
      <c r="AH17" s="100">
        <f>AG17/F17</f>
        <v>0.10766701156991902</v>
      </c>
      <c r="AI17" s="233">
        <v>1584901.4773830532</v>
      </c>
      <c r="AJ17" s="100">
        <f>AI17/F17</f>
        <v>0.19841608767294452</v>
      </c>
      <c r="AK17" s="233">
        <v>714590.42544631148</v>
      </c>
      <c r="AL17" s="100">
        <f t="shared" si="45"/>
        <v>8.9460599620183143E-2</v>
      </c>
    </row>
    <row r="18" spans="2:38" ht="14.25">
      <c r="B18" s="97"/>
      <c r="C18" s="97"/>
      <c r="D18" s="378">
        <f t="shared" si="21"/>
        <v>46179</v>
      </c>
      <c r="E18" s="378" t="s">
        <v>462</v>
      </c>
      <c r="F18" s="227">
        <f t="shared" si="20"/>
        <v>8617242</v>
      </c>
      <c r="G18" s="306"/>
      <c r="H18" s="329"/>
      <c r="I18" s="233">
        <v>598521.22708459792</v>
      </c>
      <c r="J18" s="100">
        <f t="shared" si="35"/>
        <v>6.9456239836898845E-2</v>
      </c>
      <c r="K18" s="233">
        <v>817046.41850068246</v>
      </c>
      <c r="L18" s="100">
        <f t="shared" si="36"/>
        <v>9.4815303840913648E-2</v>
      </c>
      <c r="M18" s="226">
        <f t="shared" si="37"/>
        <v>1415567.6455852804</v>
      </c>
      <c r="N18" s="100">
        <f t="shared" si="38"/>
        <v>0.16427154367781249</v>
      </c>
      <c r="O18" s="233">
        <v>128955.43299084235</v>
      </c>
      <c r="P18" s="100">
        <f t="shared" si="39"/>
        <v>1.4964815075501228E-2</v>
      </c>
      <c r="Q18" s="233"/>
      <c r="R18" s="100">
        <f t="shared" si="40"/>
        <v>0</v>
      </c>
      <c r="S18" s="226">
        <f t="shared" si="41"/>
        <v>128955.43299084235</v>
      </c>
      <c r="T18" s="100">
        <f t="shared" si="42"/>
        <v>1.4964815075501228E-2</v>
      </c>
      <c r="U18" s="233">
        <v>864995.15827889112</v>
      </c>
      <c r="V18" s="100">
        <f t="shared" si="43"/>
        <v>0.10037958296620787</v>
      </c>
      <c r="W18" s="233">
        <v>55585.291953219399</v>
      </c>
      <c r="X18" s="100">
        <f t="shared" si="44"/>
        <v>6.4504735915759817E-3</v>
      </c>
      <c r="Y18" s="233">
        <v>645360.39518600702</v>
      </c>
      <c r="Z18" s="100">
        <f t="shared" ref="Z18:Z40" si="46">Y18/F18</f>
        <v>7.4891757152231189E-2</v>
      </c>
      <c r="AA18" s="233">
        <v>1119176.905429852</v>
      </c>
      <c r="AB18" s="100">
        <f t="shared" si="12"/>
        <v>0.12987646226366301</v>
      </c>
      <c r="AC18" s="226">
        <f t="shared" ref="AC18:AC40" si="47">SUM(Y18+AA18)</f>
        <v>1764537.300615859</v>
      </c>
      <c r="AD18" s="100">
        <f t="shared" ref="AD18:AD40" si="48">AC18/F18</f>
        <v>0.20476821941589421</v>
      </c>
      <c r="AE18" s="233">
        <v>1272716.6677971659</v>
      </c>
      <c r="AF18" s="100">
        <f t="shared" ref="AF18:AF40" si="49">AE18/F18</f>
        <v>0.1476942005106931</v>
      </c>
      <c r="AG18" s="233">
        <v>838470.50125253329</v>
      </c>
      <c r="AH18" s="100">
        <f t="shared" ref="AH18:AH40" si="50">AG18/F18</f>
        <v>9.7301491736280971E-2</v>
      </c>
      <c r="AI18" s="233">
        <v>1474850.370051014</v>
      </c>
      <c r="AJ18" s="100">
        <f t="shared" ref="AJ18:AJ40" si="51">AI18/F18</f>
        <v>0.17115109103945486</v>
      </c>
      <c r="AK18" s="233">
        <v>801563.63147519459</v>
      </c>
      <c r="AL18" s="100">
        <f t="shared" si="45"/>
        <v>9.3018581986579307E-2</v>
      </c>
    </row>
    <row r="19" spans="2:38" ht="14.25">
      <c r="B19" s="97"/>
      <c r="C19" s="97"/>
      <c r="D19" s="378">
        <f t="shared" si="21"/>
        <v>46180</v>
      </c>
      <c r="E19" s="378" t="s">
        <v>463</v>
      </c>
      <c r="F19" s="227">
        <f t="shared" si="20"/>
        <v>10141059</v>
      </c>
      <c r="G19" s="86"/>
      <c r="H19" s="329"/>
      <c r="I19" s="233">
        <v>742266.91819534521</v>
      </c>
      <c r="J19" s="100">
        <f t="shared" si="35"/>
        <v>7.3194221451166511E-2</v>
      </c>
      <c r="K19" s="233">
        <v>889983.2951782766</v>
      </c>
      <c r="L19" s="100">
        <f t="shared" si="36"/>
        <v>8.7760390229292287E-2</v>
      </c>
      <c r="M19" s="226">
        <f t="shared" si="37"/>
        <v>1632250.2133736219</v>
      </c>
      <c r="N19" s="100">
        <f t="shared" si="38"/>
        <v>0.1609546116804588</v>
      </c>
      <c r="O19" s="233">
        <v>159070.50047099162</v>
      </c>
      <c r="P19" s="100">
        <f t="shared" si="39"/>
        <v>1.5685787891677943E-2</v>
      </c>
      <c r="Q19" s="233"/>
      <c r="R19" s="100">
        <f t="shared" si="40"/>
        <v>0</v>
      </c>
      <c r="S19" s="226">
        <f t="shared" si="41"/>
        <v>159070.50047099162</v>
      </c>
      <c r="T19" s="100">
        <f t="shared" si="42"/>
        <v>1.5685787891677943E-2</v>
      </c>
      <c r="U19" s="233">
        <v>1112996.8018011325</v>
      </c>
      <c r="V19" s="100">
        <f t="shared" si="43"/>
        <v>0.1097515359886115</v>
      </c>
      <c r="W19" s="233">
        <v>64975.336598529189</v>
      </c>
      <c r="X19" s="100">
        <f t="shared" si="44"/>
        <v>6.4071549725259651E-3</v>
      </c>
      <c r="Y19" s="233">
        <v>764878.70525040256</v>
      </c>
      <c r="Z19" s="100">
        <f t="shared" si="46"/>
        <v>7.5423947858936885E-2</v>
      </c>
      <c r="AA19" s="233">
        <v>1179982.186455074</v>
      </c>
      <c r="AB19" s="100">
        <f t="shared" si="12"/>
        <v>0.11635689985188667</v>
      </c>
      <c r="AC19" s="226">
        <f t="shared" si="47"/>
        <v>1944860.8917054767</v>
      </c>
      <c r="AD19" s="100">
        <f t="shared" si="48"/>
        <v>0.19178084771082357</v>
      </c>
      <c r="AE19" s="233">
        <v>1631844.7767760011</v>
      </c>
      <c r="AF19" s="100">
        <f t="shared" si="49"/>
        <v>0.16091463197048761</v>
      </c>
      <c r="AG19" s="233">
        <v>1028677.6023277253</v>
      </c>
      <c r="AH19" s="100">
        <f t="shared" si="50"/>
        <v>0.10143690144468397</v>
      </c>
      <c r="AI19" s="233">
        <v>1578374.1482532206</v>
      </c>
      <c r="AJ19" s="100">
        <f t="shared" si="51"/>
        <v>0.15564194511176993</v>
      </c>
      <c r="AK19" s="233">
        <v>988008.72869330109</v>
      </c>
      <c r="AL19" s="100">
        <f t="shared" si="45"/>
        <v>9.7426583228960709E-2</v>
      </c>
    </row>
    <row r="20" spans="2:38" ht="14.25">
      <c r="B20" s="97"/>
      <c r="C20" s="97"/>
      <c r="D20" s="378">
        <f t="shared" si="21"/>
        <v>46181</v>
      </c>
      <c r="E20" s="378" t="s">
        <v>457</v>
      </c>
      <c r="F20" s="227">
        <f t="shared" si="20"/>
        <v>10055937</v>
      </c>
      <c r="G20" s="306"/>
      <c r="H20" s="329"/>
      <c r="I20" s="233">
        <v>728725.80370929465</v>
      </c>
      <c r="J20" s="100">
        <f t="shared" si="35"/>
        <v>7.2467220479731989E-2</v>
      </c>
      <c r="K20" s="233">
        <v>880984.72861787083</v>
      </c>
      <c r="L20" s="100">
        <f t="shared" si="36"/>
        <v>8.7608417655945028E-2</v>
      </c>
      <c r="M20" s="226">
        <f t="shared" si="37"/>
        <v>1609710.5323271654</v>
      </c>
      <c r="N20" s="100">
        <f t="shared" si="38"/>
        <v>0.16007563813567699</v>
      </c>
      <c r="O20" s="233">
        <v>157537.16474826771</v>
      </c>
      <c r="P20" s="100">
        <f t="shared" si="39"/>
        <v>1.5666085094632923E-2</v>
      </c>
      <c r="Q20" s="233"/>
      <c r="R20" s="100">
        <f t="shared" si="40"/>
        <v>0</v>
      </c>
      <c r="S20" s="226">
        <f t="shared" si="41"/>
        <v>157537.16474826771</v>
      </c>
      <c r="T20" s="100">
        <f t="shared" si="42"/>
        <v>1.5666085094632923E-2</v>
      </c>
      <c r="U20" s="233">
        <v>1104147.4919576573</v>
      </c>
      <c r="V20" s="100">
        <f t="shared" si="43"/>
        <v>0.10980055781551309</v>
      </c>
      <c r="W20" s="233">
        <v>69918.125726452432</v>
      </c>
      <c r="X20" s="100">
        <f t="shared" si="44"/>
        <v>6.9529200239075118E-3</v>
      </c>
      <c r="Y20" s="233">
        <v>793317.63267213001</v>
      </c>
      <c r="Z20" s="100">
        <f t="shared" si="46"/>
        <v>7.8890473624897414E-2</v>
      </c>
      <c r="AA20" s="233">
        <v>1378400.9438168637</v>
      </c>
      <c r="AB20" s="100">
        <f t="shared" si="12"/>
        <v>0.13707334719945677</v>
      </c>
      <c r="AC20" s="226">
        <f t="shared" si="47"/>
        <v>2171718.5764889936</v>
      </c>
      <c r="AD20" s="100">
        <f t="shared" si="48"/>
        <v>0.21596382082435417</v>
      </c>
      <c r="AE20" s="233">
        <v>1633401.7611870861</v>
      </c>
      <c r="AF20" s="100">
        <f t="shared" si="49"/>
        <v>0.16243158257525739</v>
      </c>
      <c r="AG20" s="233">
        <v>1012486.9133994627</v>
      </c>
      <c r="AH20" s="100">
        <f t="shared" si="50"/>
        <v>0.10068548693169645</v>
      </c>
      <c r="AI20" s="233">
        <v>1371940.9788324053</v>
      </c>
      <c r="AJ20" s="100">
        <f t="shared" si="51"/>
        <v>0.13643094411116591</v>
      </c>
      <c r="AK20" s="233">
        <v>925075.45533251041</v>
      </c>
      <c r="AL20" s="100">
        <f t="shared" si="45"/>
        <v>9.1992964487795661E-2</v>
      </c>
    </row>
    <row r="21" spans="2:38" ht="14.25">
      <c r="B21" s="97"/>
      <c r="C21" s="97"/>
      <c r="D21" s="308">
        <f t="shared" si="21"/>
        <v>46182</v>
      </c>
      <c r="E21" s="308" t="s">
        <v>458</v>
      </c>
      <c r="F21" s="227">
        <f t="shared" si="20"/>
        <v>0</v>
      </c>
      <c r="G21" s="306">
        <f>SUM(F21:F27)</f>
        <v>0</v>
      </c>
      <c r="H21" s="329"/>
      <c r="I21" s="233"/>
      <c r="J21" s="100" t="e">
        <f t="shared" si="35"/>
        <v>#DIV/0!</v>
      </c>
      <c r="K21" s="233"/>
      <c r="L21" s="100" t="e">
        <f t="shared" si="36"/>
        <v>#DIV/0!</v>
      </c>
      <c r="M21" s="226">
        <f t="shared" si="37"/>
        <v>0</v>
      </c>
      <c r="N21" s="100" t="e">
        <f t="shared" si="38"/>
        <v>#DIV/0!</v>
      </c>
      <c r="O21" s="233"/>
      <c r="P21" s="100" t="e">
        <f t="shared" si="39"/>
        <v>#DIV/0!</v>
      </c>
      <c r="Q21" s="233"/>
      <c r="R21" s="100" t="e">
        <f t="shared" si="40"/>
        <v>#DIV/0!</v>
      </c>
      <c r="S21" s="226">
        <f t="shared" si="41"/>
        <v>0</v>
      </c>
      <c r="T21" s="100" t="e">
        <f t="shared" si="42"/>
        <v>#DIV/0!</v>
      </c>
      <c r="U21" s="233"/>
      <c r="V21" s="100" t="e">
        <f t="shared" si="43"/>
        <v>#DIV/0!</v>
      </c>
      <c r="W21" s="233"/>
      <c r="X21" s="100" t="e">
        <f t="shared" si="44"/>
        <v>#DIV/0!</v>
      </c>
      <c r="Y21" s="233"/>
      <c r="Z21" s="100" t="e">
        <f t="shared" si="46"/>
        <v>#DIV/0!</v>
      </c>
      <c r="AA21" s="233"/>
      <c r="AB21" s="100" t="e">
        <f t="shared" si="12"/>
        <v>#DIV/0!</v>
      </c>
      <c r="AC21" s="226">
        <f t="shared" si="47"/>
        <v>0</v>
      </c>
      <c r="AD21" s="100" t="e">
        <f t="shared" si="48"/>
        <v>#DIV/0!</v>
      </c>
      <c r="AE21" s="233"/>
      <c r="AF21" s="100" t="e">
        <f t="shared" si="49"/>
        <v>#DIV/0!</v>
      </c>
      <c r="AG21" s="233"/>
      <c r="AH21" s="100" t="e">
        <f t="shared" si="50"/>
        <v>#DIV/0!</v>
      </c>
      <c r="AI21" s="233"/>
      <c r="AJ21" s="100" t="e">
        <f t="shared" si="51"/>
        <v>#DIV/0!</v>
      </c>
      <c r="AK21" s="233"/>
      <c r="AL21" s="100" t="e">
        <f t="shared" si="45"/>
        <v>#DIV/0!</v>
      </c>
    </row>
    <row r="22" spans="2:38" ht="14.25">
      <c r="B22" s="97"/>
      <c r="C22" s="97"/>
      <c r="D22" s="308">
        <f t="shared" si="21"/>
        <v>46183</v>
      </c>
      <c r="E22" s="308" t="s">
        <v>459</v>
      </c>
      <c r="F22" s="227">
        <f t="shared" si="20"/>
        <v>0</v>
      </c>
      <c r="G22" s="306"/>
      <c r="H22" s="329"/>
      <c r="I22" s="233"/>
      <c r="J22" s="100" t="e">
        <f t="shared" si="35"/>
        <v>#DIV/0!</v>
      </c>
      <c r="K22" s="233"/>
      <c r="L22" s="100" t="e">
        <f t="shared" si="36"/>
        <v>#DIV/0!</v>
      </c>
      <c r="M22" s="226">
        <f t="shared" si="37"/>
        <v>0</v>
      </c>
      <c r="N22" s="100" t="e">
        <f t="shared" si="38"/>
        <v>#DIV/0!</v>
      </c>
      <c r="O22" s="233"/>
      <c r="P22" s="100" t="e">
        <f t="shared" si="39"/>
        <v>#DIV/0!</v>
      </c>
      <c r="Q22" s="233"/>
      <c r="R22" s="100" t="e">
        <f t="shared" si="40"/>
        <v>#DIV/0!</v>
      </c>
      <c r="S22" s="226">
        <f t="shared" si="41"/>
        <v>0</v>
      </c>
      <c r="T22" s="100" t="e">
        <f t="shared" si="42"/>
        <v>#DIV/0!</v>
      </c>
      <c r="U22" s="233"/>
      <c r="V22" s="100" t="e">
        <f t="shared" si="43"/>
        <v>#DIV/0!</v>
      </c>
      <c r="W22" s="233"/>
      <c r="X22" s="100" t="e">
        <f t="shared" si="44"/>
        <v>#DIV/0!</v>
      </c>
      <c r="Y22" s="233"/>
      <c r="Z22" s="100" t="e">
        <f t="shared" si="46"/>
        <v>#DIV/0!</v>
      </c>
      <c r="AA22" s="233"/>
      <c r="AB22" s="100" t="e">
        <f t="shared" si="12"/>
        <v>#DIV/0!</v>
      </c>
      <c r="AC22" s="226">
        <f t="shared" si="47"/>
        <v>0</v>
      </c>
      <c r="AD22" s="100" t="e">
        <f t="shared" si="48"/>
        <v>#DIV/0!</v>
      </c>
      <c r="AE22" s="233"/>
      <c r="AF22" s="100" t="e">
        <f t="shared" si="49"/>
        <v>#DIV/0!</v>
      </c>
      <c r="AG22" s="233"/>
      <c r="AH22" s="100" t="e">
        <f t="shared" si="50"/>
        <v>#DIV/0!</v>
      </c>
      <c r="AI22" s="233"/>
      <c r="AJ22" s="100" t="e">
        <f t="shared" si="51"/>
        <v>#DIV/0!</v>
      </c>
      <c r="AK22" s="233"/>
      <c r="AL22" s="100" t="e">
        <f t="shared" si="45"/>
        <v>#DIV/0!</v>
      </c>
    </row>
    <row r="23" spans="2:38" ht="14.25">
      <c r="B23" s="97"/>
      <c r="C23" s="97"/>
      <c r="D23" s="308">
        <f t="shared" si="21"/>
        <v>46184</v>
      </c>
      <c r="E23" s="308" t="s">
        <v>460</v>
      </c>
      <c r="F23" s="227">
        <f t="shared" si="20"/>
        <v>0</v>
      </c>
      <c r="G23" s="86"/>
      <c r="H23" s="329"/>
      <c r="I23" s="233"/>
      <c r="J23" s="100" t="e">
        <f t="shared" si="35"/>
        <v>#DIV/0!</v>
      </c>
      <c r="K23" s="233"/>
      <c r="L23" s="100" t="e">
        <f t="shared" si="36"/>
        <v>#DIV/0!</v>
      </c>
      <c r="M23" s="226">
        <f t="shared" si="37"/>
        <v>0</v>
      </c>
      <c r="N23" s="100" t="e">
        <f t="shared" si="38"/>
        <v>#DIV/0!</v>
      </c>
      <c r="O23" s="233"/>
      <c r="P23" s="100" t="e">
        <f t="shared" si="39"/>
        <v>#DIV/0!</v>
      </c>
      <c r="Q23" s="233"/>
      <c r="R23" s="100" t="e">
        <f t="shared" si="40"/>
        <v>#DIV/0!</v>
      </c>
      <c r="S23" s="226">
        <f t="shared" si="41"/>
        <v>0</v>
      </c>
      <c r="T23" s="100" t="e">
        <f t="shared" si="42"/>
        <v>#DIV/0!</v>
      </c>
      <c r="U23" s="233"/>
      <c r="V23" s="100" t="e">
        <f t="shared" si="43"/>
        <v>#DIV/0!</v>
      </c>
      <c r="W23" s="233"/>
      <c r="X23" s="100" t="e">
        <f t="shared" si="44"/>
        <v>#DIV/0!</v>
      </c>
      <c r="Y23" s="233"/>
      <c r="Z23" s="100" t="e">
        <f t="shared" si="46"/>
        <v>#DIV/0!</v>
      </c>
      <c r="AA23" s="233"/>
      <c r="AB23" s="100" t="e">
        <f t="shared" si="12"/>
        <v>#DIV/0!</v>
      </c>
      <c r="AC23" s="226">
        <f t="shared" si="47"/>
        <v>0</v>
      </c>
      <c r="AD23" s="100" t="e">
        <f t="shared" si="48"/>
        <v>#DIV/0!</v>
      </c>
      <c r="AE23" s="233"/>
      <c r="AF23" s="100" t="e">
        <f t="shared" si="49"/>
        <v>#DIV/0!</v>
      </c>
      <c r="AG23" s="233"/>
      <c r="AH23" s="100" t="e">
        <f t="shared" si="50"/>
        <v>#DIV/0!</v>
      </c>
      <c r="AI23" s="233"/>
      <c r="AJ23" s="100" t="e">
        <f t="shared" si="51"/>
        <v>#DIV/0!</v>
      </c>
      <c r="AK23" s="233"/>
      <c r="AL23" s="100" t="e">
        <f t="shared" si="45"/>
        <v>#DIV/0!</v>
      </c>
    </row>
    <row r="24" spans="2:38" ht="14.25">
      <c r="B24" s="97"/>
      <c r="C24" s="97"/>
      <c r="D24" s="308">
        <f t="shared" si="21"/>
        <v>46185</v>
      </c>
      <c r="E24" s="308" t="s">
        <v>461</v>
      </c>
      <c r="F24" s="227">
        <f t="shared" si="20"/>
        <v>0</v>
      </c>
      <c r="G24" s="306"/>
      <c r="H24" s="329"/>
      <c r="I24" s="233"/>
      <c r="J24" s="100" t="e">
        <f t="shared" si="35"/>
        <v>#DIV/0!</v>
      </c>
      <c r="K24" s="233"/>
      <c r="L24" s="100" t="e">
        <f t="shared" si="36"/>
        <v>#DIV/0!</v>
      </c>
      <c r="M24" s="226">
        <f t="shared" si="37"/>
        <v>0</v>
      </c>
      <c r="N24" s="100" t="e">
        <f t="shared" si="38"/>
        <v>#DIV/0!</v>
      </c>
      <c r="O24" s="233"/>
      <c r="P24" s="100" t="e">
        <f t="shared" si="39"/>
        <v>#DIV/0!</v>
      </c>
      <c r="Q24" s="233"/>
      <c r="R24" s="100" t="e">
        <f t="shared" si="40"/>
        <v>#DIV/0!</v>
      </c>
      <c r="S24" s="226">
        <f t="shared" si="41"/>
        <v>0</v>
      </c>
      <c r="T24" s="100" t="e">
        <f t="shared" si="42"/>
        <v>#DIV/0!</v>
      </c>
      <c r="U24" s="233"/>
      <c r="V24" s="100" t="e">
        <f t="shared" si="43"/>
        <v>#DIV/0!</v>
      </c>
      <c r="W24" s="233"/>
      <c r="X24" s="100" t="e">
        <f t="shared" si="44"/>
        <v>#DIV/0!</v>
      </c>
      <c r="Y24" s="233"/>
      <c r="Z24" s="100" t="e">
        <f t="shared" si="46"/>
        <v>#DIV/0!</v>
      </c>
      <c r="AA24" s="233"/>
      <c r="AB24" s="100" t="e">
        <f t="shared" si="12"/>
        <v>#DIV/0!</v>
      </c>
      <c r="AC24" s="226">
        <f t="shared" si="47"/>
        <v>0</v>
      </c>
      <c r="AD24" s="100" t="e">
        <f t="shared" si="48"/>
        <v>#DIV/0!</v>
      </c>
      <c r="AE24" s="233"/>
      <c r="AF24" s="100" t="e">
        <f t="shared" si="49"/>
        <v>#DIV/0!</v>
      </c>
      <c r="AG24" s="233"/>
      <c r="AH24" s="100" t="e">
        <f t="shared" si="50"/>
        <v>#DIV/0!</v>
      </c>
      <c r="AI24" s="233"/>
      <c r="AJ24" s="100" t="e">
        <f t="shared" si="51"/>
        <v>#DIV/0!</v>
      </c>
      <c r="AK24" s="233"/>
      <c r="AL24" s="100" t="e">
        <f t="shared" si="45"/>
        <v>#DIV/0!</v>
      </c>
    </row>
    <row r="25" spans="2:38" ht="14.25">
      <c r="B25" s="97"/>
      <c r="C25" s="97"/>
      <c r="D25" s="308">
        <f t="shared" si="21"/>
        <v>46186</v>
      </c>
      <c r="E25" s="308" t="s">
        <v>462</v>
      </c>
      <c r="F25" s="227">
        <f t="shared" si="20"/>
        <v>0</v>
      </c>
      <c r="G25" s="306"/>
      <c r="H25" s="329"/>
      <c r="I25" s="233"/>
      <c r="J25" s="100" t="e">
        <f t="shared" si="35"/>
        <v>#DIV/0!</v>
      </c>
      <c r="K25" s="233"/>
      <c r="L25" s="100" t="e">
        <f t="shared" si="36"/>
        <v>#DIV/0!</v>
      </c>
      <c r="M25" s="226">
        <f t="shared" si="37"/>
        <v>0</v>
      </c>
      <c r="N25" s="100" t="e">
        <f t="shared" si="38"/>
        <v>#DIV/0!</v>
      </c>
      <c r="O25" s="233"/>
      <c r="P25" s="100" t="e">
        <f t="shared" si="39"/>
        <v>#DIV/0!</v>
      </c>
      <c r="Q25" s="233"/>
      <c r="R25" s="100" t="e">
        <f t="shared" si="40"/>
        <v>#DIV/0!</v>
      </c>
      <c r="S25" s="226">
        <f t="shared" si="41"/>
        <v>0</v>
      </c>
      <c r="T25" s="100" t="e">
        <f t="shared" si="42"/>
        <v>#DIV/0!</v>
      </c>
      <c r="U25" s="233"/>
      <c r="V25" s="100" t="e">
        <f t="shared" si="43"/>
        <v>#DIV/0!</v>
      </c>
      <c r="W25" s="233"/>
      <c r="X25" s="100" t="e">
        <f t="shared" si="44"/>
        <v>#DIV/0!</v>
      </c>
      <c r="Y25" s="233"/>
      <c r="Z25" s="100" t="e">
        <f t="shared" si="46"/>
        <v>#DIV/0!</v>
      </c>
      <c r="AA25" s="233"/>
      <c r="AB25" s="100" t="e">
        <f t="shared" si="12"/>
        <v>#DIV/0!</v>
      </c>
      <c r="AC25" s="226">
        <f t="shared" si="47"/>
        <v>0</v>
      </c>
      <c r="AD25" s="100" t="e">
        <f t="shared" si="48"/>
        <v>#DIV/0!</v>
      </c>
      <c r="AE25" s="233"/>
      <c r="AF25" s="100" t="e">
        <f t="shared" si="49"/>
        <v>#DIV/0!</v>
      </c>
      <c r="AG25" s="233"/>
      <c r="AH25" s="100" t="e">
        <f t="shared" si="50"/>
        <v>#DIV/0!</v>
      </c>
      <c r="AI25" s="233"/>
      <c r="AJ25" s="100" t="e">
        <f t="shared" si="51"/>
        <v>#DIV/0!</v>
      </c>
      <c r="AK25" s="233"/>
      <c r="AL25" s="100" t="e">
        <f t="shared" si="45"/>
        <v>#DIV/0!</v>
      </c>
    </row>
    <row r="26" spans="2:38" ht="14.25">
      <c r="B26" s="97"/>
      <c r="C26" s="97"/>
      <c r="D26" s="308">
        <f t="shared" si="21"/>
        <v>46187</v>
      </c>
      <c r="E26" s="308" t="s">
        <v>463</v>
      </c>
      <c r="F26" s="227">
        <f t="shared" si="20"/>
        <v>0</v>
      </c>
      <c r="G26" s="306"/>
      <c r="H26" s="329"/>
      <c r="I26" s="233"/>
      <c r="J26" s="100" t="e">
        <f t="shared" si="35"/>
        <v>#DIV/0!</v>
      </c>
      <c r="K26" s="233"/>
      <c r="L26" s="100" t="e">
        <f t="shared" si="36"/>
        <v>#DIV/0!</v>
      </c>
      <c r="M26" s="226">
        <f t="shared" si="37"/>
        <v>0</v>
      </c>
      <c r="N26" s="100" t="e">
        <f t="shared" si="38"/>
        <v>#DIV/0!</v>
      </c>
      <c r="O26" s="233"/>
      <c r="P26" s="100" t="e">
        <f t="shared" si="39"/>
        <v>#DIV/0!</v>
      </c>
      <c r="Q26" s="233"/>
      <c r="R26" s="100" t="e">
        <f t="shared" si="40"/>
        <v>#DIV/0!</v>
      </c>
      <c r="S26" s="226">
        <f t="shared" si="41"/>
        <v>0</v>
      </c>
      <c r="T26" s="100" t="e">
        <f t="shared" si="42"/>
        <v>#DIV/0!</v>
      </c>
      <c r="U26" s="233"/>
      <c r="V26" s="100" t="e">
        <f t="shared" si="43"/>
        <v>#DIV/0!</v>
      </c>
      <c r="W26" s="233"/>
      <c r="X26" s="100" t="e">
        <f t="shared" si="44"/>
        <v>#DIV/0!</v>
      </c>
      <c r="Y26" s="233"/>
      <c r="Z26" s="100" t="e">
        <f t="shared" si="46"/>
        <v>#DIV/0!</v>
      </c>
      <c r="AA26" s="233"/>
      <c r="AB26" s="100" t="e">
        <f t="shared" si="12"/>
        <v>#DIV/0!</v>
      </c>
      <c r="AC26" s="226">
        <f t="shared" si="47"/>
        <v>0</v>
      </c>
      <c r="AD26" s="100" t="e">
        <f t="shared" si="48"/>
        <v>#DIV/0!</v>
      </c>
      <c r="AE26" s="233"/>
      <c r="AF26" s="100" t="e">
        <f t="shared" si="49"/>
        <v>#DIV/0!</v>
      </c>
      <c r="AG26" s="233"/>
      <c r="AH26" s="100" t="e">
        <f t="shared" si="50"/>
        <v>#DIV/0!</v>
      </c>
      <c r="AI26" s="233"/>
      <c r="AJ26" s="100" t="e">
        <f t="shared" si="51"/>
        <v>#DIV/0!</v>
      </c>
      <c r="AK26" s="233"/>
      <c r="AL26" s="100" t="e">
        <f t="shared" si="45"/>
        <v>#DIV/0!</v>
      </c>
    </row>
    <row r="27" spans="2:38" ht="14.25">
      <c r="B27" s="97"/>
      <c r="C27" s="97"/>
      <c r="D27" s="308">
        <f t="shared" si="21"/>
        <v>46188</v>
      </c>
      <c r="E27" s="308" t="s">
        <v>457</v>
      </c>
      <c r="F27" s="227">
        <f t="shared" si="20"/>
        <v>0</v>
      </c>
      <c r="G27" s="86"/>
      <c r="H27" s="329"/>
      <c r="I27" s="233"/>
      <c r="J27" s="100" t="e">
        <f t="shared" si="35"/>
        <v>#DIV/0!</v>
      </c>
      <c r="K27" s="233"/>
      <c r="L27" s="100" t="e">
        <f t="shared" si="36"/>
        <v>#DIV/0!</v>
      </c>
      <c r="M27" s="226">
        <f t="shared" si="37"/>
        <v>0</v>
      </c>
      <c r="N27" s="100" t="e">
        <f t="shared" si="38"/>
        <v>#DIV/0!</v>
      </c>
      <c r="O27" s="233"/>
      <c r="P27" s="100" t="e">
        <f t="shared" si="39"/>
        <v>#DIV/0!</v>
      </c>
      <c r="Q27" s="233"/>
      <c r="R27" s="100" t="e">
        <f t="shared" si="40"/>
        <v>#DIV/0!</v>
      </c>
      <c r="S27" s="226">
        <f t="shared" si="41"/>
        <v>0</v>
      </c>
      <c r="T27" s="100" t="e">
        <f t="shared" si="42"/>
        <v>#DIV/0!</v>
      </c>
      <c r="U27" s="233"/>
      <c r="V27" s="100" t="e">
        <f t="shared" si="43"/>
        <v>#DIV/0!</v>
      </c>
      <c r="W27" s="233"/>
      <c r="X27" s="100" t="e">
        <f t="shared" si="44"/>
        <v>#DIV/0!</v>
      </c>
      <c r="Y27" s="233"/>
      <c r="Z27" s="100" t="e">
        <f t="shared" si="46"/>
        <v>#DIV/0!</v>
      </c>
      <c r="AA27" s="233"/>
      <c r="AB27" s="100" t="e">
        <f t="shared" si="12"/>
        <v>#DIV/0!</v>
      </c>
      <c r="AC27" s="226">
        <f t="shared" si="47"/>
        <v>0</v>
      </c>
      <c r="AD27" s="100" t="e">
        <f t="shared" si="48"/>
        <v>#DIV/0!</v>
      </c>
      <c r="AE27" s="233"/>
      <c r="AF27" s="100" t="e">
        <f t="shared" si="49"/>
        <v>#DIV/0!</v>
      </c>
      <c r="AG27" s="233"/>
      <c r="AH27" s="100" t="e">
        <f t="shared" si="50"/>
        <v>#DIV/0!</v>
      </c>
      <c r="AI27" s="233"/>
      <c r="AJ27" s="100" t="e">
        <f t="shared" si="51"/>
        <v>#DIV/0!</v>
      </c>
      <c r="AK27" s="233"/>
      <c r="AL27" s="100" t="e">
        <f t="shared" si="45"/>
        <v>#DIV/0!</v>
      </c>
    </row>
    <row r="28" spans="2:38" ht="14.25">
      <c r="B28" s="97"/>
      <c r="C28" s="97"/>
      <c r="D28" s="378">
        <f t="shared" si="21"/>
        <v>46189</v>
      </c>
      <c r="E28" s="378" t="s">
        <v>458</v>
      </c>
      <c r="F28" s="227">
        <f t="shared" si="20"/>
        <v>0</v>
      </c>
      <c r="G28" s="306">
        <f>SUM(F28:F34)</f>
        <v>0</v>
      </c>
      <c r="H28" s="329"/>
      <c r="I28" s="233"/>
      <c r="J28" s="100" t="e">
        <f t="shared" si="35"/>
        <v>#DIV/0!</v>
      </c>
      <c r="K28" s="233"/>
      <c r="L28" s="100" t="e">
        <f t="shared" si="36"/>
        <v>#DIV/0!</v>
      </c>
      <c r="M28" s="226">
        <f t="shared" si="37"/>
        <v>0</v>
      </c>
      <c r="N28" s="100" t="e">
        <f t="shared" si="38"/>
        <v>#DIV/0!</v>
      </c>
      <c r="O28" s="233"/>
      <c r="P28" s="100" t="e">
        <f t="shared" si="39"/>
        <v>#DIV/0!</v>
      </c>
      <c r="Q28" s="233"/>
      <c r="R28" s="100" t="e">
        <f t="shared" si="40"/>
        <v>#DIV/0!</v>
      </c>
      <c r="S28" s="226">
        <f t="shared" si="41"/>
        <v>0</v>
      </c>
      <c r="T28" s="100" t="e">
        <f t="shared" si="42"/>
        <v>#DIV/0!</v>
      </c>
      <c r="U28" s="233"/>
      <c r="V28" s="100" t="e">
        <f t="shared" si="43"/>
        <v>#DIV/0!</v>
      </c>
      <c r="W28" s="233"/>
      <c r="X28" s="100" t="e">
        <f t="shared" si="44"/>
        <v>#DIV/0!</v>
      </c>
      <c r="Y28" s="233"/>
      <c r="Z28" s="100" t="e">
        <f t="shared" si="46"/>
        <v>#DIV/0!</v>
      </c>
      <c r="AA28" s="233"/>
      <c r="AB28" s="100" t="e">
        <f t="shared" si="12"/>
        <v>#DIV/0!</v>
      </c>
      <c r="AC28" s="226">
        <f t="shared" si="47"/>
        <v>0</v>
      </c>
      <c r="AD28" s="100" t="e">
        <f t="shared" si="48"/>
        <v>#DIV/0!</v>
      </c>
      <c r="AE28" s="233"/>
      <c r="AF28" s="100" t="e">
        <f t="shared" si="49"/>
        <v>#DIV/0!</v>
      </c>
      <c r="AG28" s="233"/>
      <c r="AH28" s="100" t="e">
        <f t="shared" si="50"/>
        <v>#DIV/0!</v>
      </c>
      <c r="AI28" s="233"/>
      <c r="AJ28" s="100" t="e">
        <f t="shared" si="51"/>
        <v>#DIV/0!</v>
      </c>
      <c r="AK28" s="233"/>
      <c r="AL28" s="100" t="e">
        <f t="shared" si="45"/>
        <v>#DIV/0!</v>
      </c>
    </row>
    <row r="29" spans="2:38" ht="14.25">
      <c r="B29" s="97"/>
      <c r="C29" s="97"/>
      <c r="D29" s="378">
        <f t="shared" si="21"/>
        <v>46190</v>
      </c>
      <c r="E29" s="378" t="s">
        <v>459</v>
      </c>
      <c r="F29" s="227">
        <f t="shared" si="20"/>
        <v>0</v>
      </c>
      <c r="G29" s="306"/>
      <c r="H29" s="329"/>
      <c r="I29" s="233"/>
      <c r="J29" s="100" t="e">
        <f t="shared" si="35"/>
        <v>#DIV/0!</v>
      </c>
      <c r="K29" s="233"/>
      <c r="L29" s="100" t="e">
        <f t="shared" si="36"/>
        <v>#DIV/0!</v>
      </c>
      <c r="M29" s="226">
        <f t="shared" si="37"/>
        <v>0</v>
      </c>
      <c r="N29" s="100" t="e">
        <f t="shared" si="38"/>
        <v>#DIV/0!</v>
      </c>
      <c r="O29" s="233"/>
      <c r="P29" s="100" t="e">
        <f t="shared" si="39"/>
        <v>#DIV/0!</v>
      </c>
      <c r="Q29" s="233"/>
      <c r="R29" s="100" t="e">
        <f t="shared" si="40"/>
        <v>#DIV/0!</v>
      </c>
      <c r="S29" s="226">
        <f t="shared" si="41"/>
        <v>0</v>
      </c>
      <c r="T29" s="100" t="e">
        <f t="shared" si="42"/>
        <v>#DIV/0!</v>
      </c>
      <c r="U29" s="233"/>
      <c r="V29" s="100" t="e">
        <f t="shared" si="43"/>
        <v>#DIV/0!</v>
      </c>
      <c r="W29" s="233"/>
      <c r="X29" s="100" t="e">
        <f t="shared" si="44"/>
        <v>#DIV/0!</v>
      </c>
      <c r="Y29" s="233"/>
      <c r="Z29" s="100" t="e">
        <f t="shared" si="46"/>
        <v>#DIV/0!</v>
      </c>
      <c r="AA29" s="233"/>
      <c r="AB29" s="100" t="e">
        <f t="shared" si="12"/>
        <v>#DIV/0!</v>
      </c>
      <c r="AC29" s="226">
        <f t="shared" si="47"/>
        <v>0</v>
      </c>
      <c r="AD29" s="100" t="e">
        <f t="shared" si="48"/>
        <v>#DIV/0!</v>
      </c>
      <c r="AE29" s="233"/>
      <c r="AF29" s="100" t="e">
        <f t="shared" si="49"/>
        <v>#DIV/0!</v>
      </c>
      <c r="AG29" s="233"/>
      <c r="AH29" s="100" t="e">
        <f t="shared" si="50"/>
        <v>#DIV/0!</v>
      </c>
      <c r="AI29" s="233"/>
      <c r="AJ29" s="100" t="e">
        <f t="shared" si="51"/>
        <v>#DIV/0!</v>
      </c>
      <c r="AK29" s="233"/>
      <c r="AL29" s="100" t="e">
        <f t="shared" si="45"/>
        <v>#DIV/0!</v>
      </c>
    </row>
    <row r="30" spans="2:38" ht="14.25">
      <c r="B30" s="97"/>
      <c r="C30" s="97"/>
      <c r="D30" s="378">
        <f t="shared" si="21"/>
        <v>46191</v>
      </c>
      <c r="E30" s="378" t="s">
        <v>460</v>
      </c>
      <c r="F30" s="227">
        <f t="shared" si="20"/>
        <v>0</v>
      </c>
      <c r="G30" s="86"/>
      <c r="H30" s="329"/>
      <c r="I30" s="233"/>
      <c r="J30" s="100" t="e">
        <f t="shared" si="35"/>
        <v>#DIV/0!</v>
      </c>
      <c r="K30" s="233"/>
      <c r="L30" s="100" t="e">
        <f t="shared" si="36"/>
        <v>#DIV/0!</v>
      </c>
      <c r="M30" s="226">
        <f t="shared" si="37"/>
        <v>0</v>
      </c>
      <c r="N30" s="100" t="e">
        <f t="shared" si="38"/>
        <v>#DIV/0!</v>
      </c>
      <c r="O30" s="233"/>
      <c r="P30" s="100" t="e">
        <f t="shared" si="39"/>
        <v>#DIV/0!</v>
      </c>
      <c r="Q30" s="233"/>
      <c r="R30" s="100" t="e">
        <f t="shared" si="40"/>
        <v>#DIV/0!</v>
      </c>
      <c r="S30" s="226">
        <f t="shared" si="41"/>
        <v>0</v>
      </c>
      <c r="T30" s="100" t="e">
        <f t="shared" si="42"/>
        <v>#DIV/0!</v>
      </c>
      <c r="U30" s="233"/>
      <c r="V30" s="100" t="e">
        <f t="shared" si="43"/>
        <v>#DIV/0!</v>
      </c>
      <c r="W30" s="233"/>
      <c r="X30" s="100" t="e">
        <f t="shared" si="44"/>
        <v>#DIV/0!</v>
      </c>
      <c r="Y30" s="233"/>
      <c r="Z30" s="100" t="e">
        <f t="shared" si="46"/>
        <v>#DIV/0!</v>
      </c>
      <c r="AA30" s="233"/>
      <c r="AB30" s="100" t="e">
        <f t="shared" si="12"/>
        <v>#DIV/0!</v>
      </c>
      <c r="AC30" s="226">
        <f t="shared" si="47"/>
        <v>0</v>
      </c>
      <c r="AD30" s="100" t="e">
        <f t="shared" si="48"/>
        <v>#DIV/0!</v>
      </c>
      <c r="AE30" s="233"/>
      <c r="AF30" s="100" t="e">
        <f t="shared" si="49"/>
        <v>#DIV/0!</v>
      </c>
      <c r="AG30" s="233"/>
      <c r="AH30" s="100" t="e">
        <f t="shared" si="50"/>
        <v>#DIV/0!</v>
      </c>
      <c r="AI30" s="233"/>
      <c r="AJ30" s="100" t="e">
        <f t="shared" si="51"/>
        <v>#DIV/0!</v>
      </c>
      <c r="AK30" s="233"/>
      <c r="AL30" s="100" t="e">
        <f t="shared" si="45"/>
        <v>#DIV/0!</v>
      </c>
    </row>
    <row r="31" spans="2:38" ht="14.25">
      <c r="B31" s="97"/>
      <c r="C31" s="97"/>
      <c r="D31" s="378">
        <f t="shared" si="21"/>
        <v>46192</v>
      </c>
      <c r="E31" s="378" t="s">
        <v>461</v>
      </c>
      <c r="F31" s="227">
        <f t="shared" si="20"/>
        <v>0</v>
      </c>
      <c r="G31" s="306"/>
      <c r="H31" s="329"/>
      <c r="I31" s="233"/>
      <c r="J31" s="100" t="e">
        <f t="shared" si="35"/>
        <v>#DIV/0!</v>
      </c>
      <c r="K31" s="233"/>
      <c r="L31" s="100" t="e">
        <f t="shared" si="36"/>
        <v>#DIV/0!</v>
      </c>
      <c r="M31" s="226">
        <f t="shared" si="37"/>
        <v>0</v>
      </c>
      <c r="N31" s="100" t="e">
        <f t="shared" si="38"/>
        <v>#DIV/0!</v>
      </c>
      <c r="O31" s="233"/>
      <c r="P31" s="100" t="e">
        <f t="shared" si="39"/>
        <v>#DIV/0!</v>
      </c>
      <c r="Q31" s="233"/>
      <c r="R31" s="100" t="e">
        <f t="shared" si="40"/>
        <v>#DIV/0!</v>
      </c>
      <c r="S31" s="226">
        <f t="shared" si="41"/>
        <v>0</v>
      </c>
      <c r="T31" s="100" t="e">
        <f t="shared" si="42"/>
        <v>#DIV/0!</v>
      </c>
      <c r="U31" s="233"/>
      <c r="V31" s="100" t="e">
        <f t="shared" si="43"/>
        <v>#DIV/0!</v>
      </c>
      <c r="W31" s="233"/>
      <c r="X31" s="100" t="e">
        <f t="shared" si="44"/>
        <v>#DIV/0!</v>
      </c>
      <c r="Y31" s="233"/>
      <c r="Z31" s="100" t="e">
        <f t="shared" si="46"/>
        <v>#DIV/0!</v>
      </c>
      <c r="AA31" s="233"/>
      <c r="AB31" s="100" t="e">
        <f t="shared" si="12"/>
        <v>#DIV/0!</v>
      </c>
      <c r="AC31" s="226">
        <f t="shared" si="47"/>
        <v>0</v>
      </c>
      <c r="AD31" s="100" t="e">
        <f t="shared" si="48"/>
        <v>#DIV/0!</v>
      </c>
      <c r="AE31" s="233"/>
      <c r="AF31" s="100" t="e">
        <f t="shared" si="49"/>
        <v>#DIV/0!</v>
      </c>
      <c r="AG31" s="233"/>
      <c r="AH31" s="100" t="e">
        <f t="shared" si="50"/>
        <v>#DIV/0!</v>
      </c>
      <c r="AI31" s="233"/>
      <c r="AJ31" s="100" t="e">
        <f t="shared" si="51"/>
        <v>#DIV/0!</v>
      </c>
      <c r="AK31" s="233"/>
      <c r="AL31" s="100" t="e">
        <f t="shared" si="45"/>
        <v>#DIV/0!</v>
      </c>
    </row>
    <row r="32" spans="2:38" ht="14.25">
      <c r="B32" s="97"/>
      <c r="C32" s="97"/>
      <c r="D32" s="378">
        <f t="shared" si="21"/>
        <v>46193</v>
      </c>
      <c r="E32" s="378" t="s">
        <v>462</v>
      </c>
      <c r="F32" s="227">
        <f t="shared" si="20"/>
        <v>0</v>
      </c>
      <c r="G32" s="306"/>
      <c r="H32" s="329"/>
      <c r="I32" s="233"/>
      <c r="J32" s="100" t="e">
        <f t="shared" si="35"/>
        <v>#DIV/0!</v>
      </c>
      <c r="K32" s="233"/>
      <c r="L32" s="100" t="e">
        <f t="shared" si="36"/>
        <v>#DIV/0!</v>
      </c>
      <c r="M32" s="226">
        <f t="shared" si="37"/>
        <v>0</v>
      </c>
      <c r="N32" s="100" t="e">
        <f t="shared" si="38"/>
        <v>#DIV/0!</v>
      </c>
      <c r="O32" s="233"/>
      <c r="P32" s="100" t="e">
        <f t="shared" si="39"/>
        <v>#DIV/0!</v>
      </c>
      <c r="Q32" s="233"/>
      <c r="R32" s="100" t="e">
        <f t="shared" si="40"/>
        <v>#DIV/0!</v>
      </c>
      <c r="S32" s="226">
        <f t="shared" si="41"/>
        <v>0</v>
      </c>
      <c r="T32" s="100" t="e">
        <f t="shared" si="42"/>
        <v>#DIV/0!</v>
      </c>
      <c r="U32" s="233"/>
      <c r="V32" s="100" t="e">
        <f t="shared" si="43"/>
        <v>#DIV/0!</v>
      </c>
      <c r="W32" s="233"/>
      <c r="X32" s="100" t="e">
        <f t="shared" si="44"/>
        <v>#DIV/0!</v>
      </c>
      <c r="Y32" s="233"/>
      <c r="Z32" s="100" t="e">
        <f t="shared" si="46"/>
        <v>#DIV/0!</v>
      </c>
      <c r="AA32" s="233"/>
      <c r="AB32" s="100" t="e">
        <f t="shared" si="12"/>
        <v>#DIV/0!</v>
      </c>
      <c r="AC32" s="226">
        <f t="shared" si="47"/>
        <v>0</v>
      </c>
      <c r="AD32" s="100" t="e">
        <f t="shared" si="48"/>
        <v>#DIV/0!</v>
      </c>
      <c r="AE32" s="233"/>
      <c r="AF32" s="100" t="e">
        <f t="shared" si="49"/>
        <v>#DIV/0!</v>
      </c>
      <c r="AG32" s="233"/>
      <c r="AH32" s="100" t="e">
        <f t="shared" si="50"/>
        <v>#DIV/0!</v>
      </c>
      <c r="AI32" s="233"/>
      <c r="AJ32" s="100" t="e">
        <f t="shared" si="51"/>
        <v>#DIV/0!</v>
      </c>
      <c r="AK32" s="233"/>
      <c r="AL32" s="100" t="e">
        <f t="shared" si="45"/>
        <v>#DIV/0!</v>
      </c>
    </row>
    <row r="33" spans="2:38" ht="14.25">
      <c r="B33" s="97"/>
      <c r="C33" s="97"/>
      <c r="D33" s="378">
        <f t="shared" si="21"/>
        <v>46194</v>
      </c>
      <c r="E33" s="378" t="s">
        <v>463</v>
      </c>
      <c r="F33" s="227">
        <f t="shared" si="20"/>
        <v>0</v>
      </c>
      <c r="G33" s="306"/>
      <c r="H33" s="329"/>
      <c r="I33" s="233"/>
      <c r="J33" s="100" t="e">
        <f t="shared" si="35"/>
        <v>#DIV/0!</v>
      </c>
      <c r="K33" s="233"/>
      <c r="L33" s="100" t="e">
        <f t="shared" si="36"/>
        <v>#DIV/0!</v>
      </c>
      <c r="M33" s="226">
        <f t="shared" si="37"/>
        <v>0</v>
      </c>
      <c r="N33" s="100" t="e">
        <f t="shared" si="38"/>
        <v>#DIV/0!</v>
      </c>
      <c r="O33" s="233"/>
      <c r="P33" s="100" t="e">
        <f t="shared" si="39"/>
        <v>#DIV/0!</v>
      </c>
      <c r="Q33" s="233"/>
      <c r="R33" s="100" t="e">
        <f t="shared" si="40"/>
        <v>#DIV/0!</v>
      </c>
      <c r="S33" s="226">
        <f t="shared" si="41"/>
        <v>0</v>
      </c>
      <c r="T33" s="100" t="e">
        <f t="shared" si="42"/>
        <v>#DIV/0!</v>
      </c>
      <c r="U33" s="233"/>
      <c r="V33" s="100" t="e">
        <f t="shared" si="43"/>
        <v>#DIV/0!</v>
      </c>
      <c r="W33" s="233"/>
      <c r="X33" s="100" t="e">
        <f t="shared" si="44"/>
        <v>#DIV/0!</v>
      </c>
      <c r="Y33" s="233"/>
      <c r="Z33" s="100" t="e">
        <f t="shared" si="46"/>
        <v>#DIV/0!</v>
      </c>
      <c r="AA33" s="233"/>
      <c r="AB33" s="100" t="e">
        <f t="shared" si="12"/>
        <v>#DIV/0!</v>
      </c>
      <c r="AC33" s="226">
        <f t="shared" si="47"/>
        <v>0</v>
      </c>
      <c r="AD33" s="100" t="e">
        <f t="shared" si="48"/>
        <v>#DIV/0!</v>
      </c>
      <c r="AE33" s="233"/>
      <c r="AF33" s="100" t="e">
        <f t="shared" si="49"/>
        <v>#DIV/0!</v>
      </c>
      <c r="AG33" s="233"/>
      <c r="AH33" s="100" t="e">
        <f t="shared" si="50"/>
        <v>#DIV/0!</v>
      </c>
      <c r="AI33" s="233"/>
      <c r="AJ33" s="100" t="e">
        <f t="shared" si="51"/>
        <v>#DIV/0!</v>
      </c>
      <c r="AK33" s="233"/>
      <c r="AL33" s="100" t="e">
        <f t="shared" si="45"/>
        <v>#DIV/0!</v>
      </c>
    </row>
    <row r="34" spans="2:38" ht="14.25">
      <c r="B34" s="97"/>
      <c r="C34" s="97"/>
      <c r="D34" s="378">
        <f t="shared" si="21"/>
        <v>46195</v>
      </c>
      <c r="E34" s="378" t="s">
        <v>457</v>
      </c>
      <c r="F34" s="227">
        <f t="shared" si="20"/>
        <v>0</v>
      </c>
      <c r="G34" s="86"/>
      <c r="H34" s="329"/>
      <c r="I34" s="233"/>
      <c r="J34" s="100" t="e">
        <f t="shared" si="35"/>
        <v>#DIV/0!</v>
      </c>
      <c r="K34" s="233"/>
      <c r="L34" s="100" t="e">
        <f t="shared" si="36"/>
        <v>#DIV/0!</v>
      </c>
      <c r="M34" s="226">
        <f t="shared" si="37"/>
        <v>0</v>
      </c>
      <c r="N34" s="100" t="e">
        <f t="shared" si="38"/>
        <v>#DIV/0!</v>
      </c>
      <c r="O34" s="233"/>
      <c r="P34" s="100" t="e">
        <f t="shared" si="39"/>
        <v>#DIV/0!</v>
      </c>
      <c r="Q34" s="233"/>
      <c r="R34" s="100" t="e">
        <f t="shared" si="40"/>
        <v>#DIV/0!</v>
      </c>
      <c r="S34" s="226">
        <f t="shared" si="41"/>
        <v>0</v>
      </c>
      <c r="T34" s="100" t="e">
        <f t="shared" si="42"/>
        <v>#DIV/0!</v>
      </c>
      <c r="U34" s="233"/>
      <c r="V34" s="100" t="e">
        <f t="shared" si="43"/>
        <v>#DIV/0!</v>
      </c>
      <c r="W34" s="233"/>
      <c r="X34" s="100" t="e">
        <f t="shared" si="44"/>
        <v>#DIV/0!</v>
      </c>
      <c r="Y34" s="233"/>
      <c r="Z34" s="100" t="e">
        <f t="shared" si="46"/>
        <v>#DIV/0!</v>
      </c>
      <c r="AA34" s="233"/>
      <c r="AB34" s="100" t="e">
        <f t="shared" si="12"/>
        <v>#DIV/0!</v>
      </c>
      <c r="AC34" s="226">
        <f t="shared" si="47"/>
        <v>0</v>
      </c>
      <c r="AD34" s="100" t="e">
        <f t="shared" si="48"/>
        <v>#DIV/0!</v>
      </c>
      <c r="AE34" s="233"/>
      <c r="AF34" s="100" t="e">
        <f t="shared" si="49"/>
        <v>#DIV/0!</v>
      </c>
      <c r="AG34" s="233"/>
      <c r="AH34" s="100" t="e">
        <f t="shared" si="50"/>
        <v>#DIV/0!</v>
      </c>
      <c r="AI34" s="233"/>
      <c r="AJ34" s="100" t="e">
        <f t="shared" si="51"/>
        <v>#DIV/0!</v>
      </c>
      <c r="AK34" s="233"/>
      <c r="AL34" s="100" t="e">
        <f t="shared" si="45"/>
        <v>#DIV/0!</v>
      </c>
    </row>
    <row r="35" spans="2:38" s="534" customFormat="1" ht="14.25">
      <c r="B35" s="507"/>
      <c r="C35" s="507"/>
      <c r="D35" s="308">
        <f t="shared" si="21"/>
        <v>46196</v>
      </c>
      <c r="E35" s="308" t="s">
        <v>458</v>
      </c>
      <c r="F35" s="535">
        <f t="shared" si="20"/>
        <v>0</v>
      </c>
      <c r="G35" s="509">
        <f>SUM(F35:F41)</f>
        <v>0</v>
      </c>
      <c r="H35" s="510"/>
      <c r="I35" s="538"/>
      <c r="J35" s="353" t="e">
        <f t="shared" si="35"/>
        <v>#DIV/0!</v>
      </c>
      <c r="K35" s="538"/>
      <c r="L35" s="353" t="e">
        <f t="shared" si="36"/>
        <v>#DIV/0!</v>
      </c>
      <c r="M35" s="539">
        <f t="shared" si="37"/>
        <v>0</v>
      </c>
      <c r="N35" s="353" t="e">
        <f t="shared" si="38"/>
        <v>#DIV/0!</v>
      </c>
      <c r="O35" s="538"/>
      <c r="P35" s="353" t="e">
        <f t="shared" si="39"/>
        <v>#DIV/0!</v>
      </c>
      <c r="Q35" s="538"/>
      <c r="R35" s="353" t="e">
        <f t="shared" si="40"/>
        <v>#DIV/0!</v>
      </c>
      <c r="S35" s="539">
        <f t="shared" si="41"/>
        <v>0</v>
      </c>
      <c r="T35" s="353" t="e">
        <f t="shared" si="42"/>
        <v>#DIV/0!</v>
      </c>
      <c r="U35" s="538"/>
      <c r="V35" s="353" t="e">
        <f t="shared" si="43"/>
        <v>#DIV/0!</v>
      </c>
      <c r="W35" s="538"/>
      <c r="X35" s="353" t="e">
        <f t="shared" si="44"/>
        <v>#DIV/0!</v>
      </c>
      <c r="Y35" s="538"/>
      <c r="Z35" s="353" t="e">
        <f t="shared" si="46"/>
        <v>#DIV/0!</v>
      </c>
      <c r="AA35" s="538"/>
      <c r="AB35" s="353" t="e">
        <f t="shared" si="12"/>
        <v>#DIV/0!</v>
      </c>
      <c r="AC35" s="539">
        <f t="shared" si="47"/>
        <v>0</v>
      </c>
      <c r="AD35" s="353" t="e">
        <f t="shared" si="48"/>
        <v>#DIV/0!</v>
      </c>
      <c r="AE35" s="538"/>
      <c r="AF35" s="353" t="e">
        <f t="shared" si="49"/>
        <v>#DIV/0!</v>
      </c>
      <c r="AG35" s="538"/>
      <c r="AH35" s="353" t="e">
        <f t="shared" si="50"/>
        <v>#DIV/0!</v>
      </c>
      <c r="AI35" s="538"/>
      <c r="AJ35" s="353" t="e">
        <f t="shared" si="51"/>
        <v>#DIV/0!</v>
      </c>
      <c r="AK35" s="538"/>
      <c r="AL35" s="353" t="e">
        <f t="shared" si="45"/>
        <v>#DIV/0!</v>
      </c>
    </row>
    <row r="36" spans="2:38" s="534" customFormat="1" ht="14.25">
      <c r="B36" s="507"/>
      <c r="C36" s="507"/>
      <c r="D36" s="308">
        <f t="shared" si="21"/>
        <v>46197</v>
      </c>
      <c r="E36" s="308" t="s">
        <v>459</v>
      </c>
      <c r="F36" s="535">
        <f t="shared" si="20"/>
        <v>0</v>
      </c>
      <c r="G36" s="509"/>
      <c r="H36" s="536"/>
      <c r="I36" s="538"/>
      <c r="J36" s="353" t="e">
        <f t="shared" si="35"/>
        <v>#DIV/0!</v>
      </c>
      <c r="K36" s="538"/>
      <c r="L36" s="353" t="e">
        <f t="shared" si="36"/>
        <v>#DIV/0!</v>
      </c>
      <c r="M36" s="539">
        <f t="shared" si="37"/>
        <v>0</v>
      </c>
      <c r="N36" s="353" t="e">
        <f t="shared" si="38"/>
        <v>#DIV/0!</v>
      </c>
      <c r="O36" s="538"/>
      <c r="P36" s="353" t="e">
        <f t="shared" si="39"/>
        <v>#DIV/0!</v>
      </c>
      <c r="Q36" s="538"/>
      <c r="R36" s="353" t="e">
        <f t="shared" si="40"/>
        <v>#DIV/0!</v>
      </c>
      <c r="S36" s="539">
        <f t="shared" si="41"/>
        <v>0</v>
      </c>
      <c r="T36" s="353" t="e">
        <f t="shared" si="42"/>
        <v>#DIV/0!</v>
      </c>
      <c r="U36" s="538"/>
      <c r="V36" s="353" t="e">
        <f t="shared" si="43"/>
        <v>#DIV/0!</v>
      </c>
      <c r="W36" s="538"/>
      <c r="X36" s="353" t="e">
        <f t="shared" si="44"/>
        <v>#DIV/0!</v>
      </c>
      <c r="Y36" s="538"/>
      <c r="Z36" s="353" t="e">
        <f t="shared" si="46"/>
        <v>#DIV/0!</v>
      </c>
      <c r="AA36" s="538"/>
      <c r="AB36" s="353" t="e">
        <f t="shared" si="12"/>
        <v>#DIV/0!</v>
      </c>
      <c r="AC36" s="539">
        <f t="shared" si="47"/>
        <v>0</v>
      </c>
      <c r="AD36" s="353" t="e">
        <f t="shared" si="48"/>
        <v>#DIV/0!</v>
      </c>
      <c r="AE36" s="538"/>
      <c r="AF36" s="353" t="e">
        <f t="shared" si="49"/>
        <v>#DIV/0!</v>
      </c>
      <c r="AG36" s="538"/>
      <c r="AH36" s="353" t="e">
        <f t="shared" si="50"/>
        <v>#DIV/0!</v>
      </c>
      <c r="AI36" s="538"/>
      <c r="AJ36" s="353" t="e">
        <f t="shared" si="51"/>
        <v>#DIV/0!</v>
      </c>
      <c r="AK36" s="538"/>
      <c r="AL36" s="353" t="e">
        <f t="shared" si="45"/>
        <v>#DIV/0!</v>
      </c>
    </row>
    <row r="37" spans="2:38" s="534" customFormat="1" ht="14.25">
      <c r="B37" s="507"/>
      <c r="C37" s="507"/>
      <c r="D37" s="308">
        <f>D36+1</f>
        <v>46198</v>
      </c>
      <c r="E37" s="308" t="s">
        <v>460</v>
      </c>
      <c r="F37" s="535">
        <f t="shared" si="20"/>
        <v>0</v>
      </c>
      <c r="G37" s="509"/>
      <c r="H37" s="536"/>
      <c r="I37" s="538"/>
      <c r="J37" s="353" t="e">
        <f t="shared" si="35"/>
        <v>#DIV/0!</v>
      </c>
      <c r="K37" s="538"/>
      <c r="L37" s="353" t="e">
        <f t="shared" si="36"/>
        <v>#DIV/0!</v>
      </c>
      <c r="M37" s="539">
        <f t="shared" si="37"/>
        <v>0</v>
      </c>
      <c r="N37" s="353" t="e">
        <f t="shared" si="38"/>
        <v>#DIV/0!</v>
      </c>
      <c r="O37" s="538"/>
      <c r="P37" s="353" t="e">
        <f t="shared" si="39"/>
        <v>#DIV/0!</v>
      </c>
      <c r="Q37" s="538"/>
      <c r="R37" s="353" t="e">
        <f t="shared" si="40"/>
        <v>#DIV/0!</v>
      </c>
      <c r="S37" s="539">
        <f t="shared" si="41"/>
        <v>0</v>
      </c>
      <c r="T37" s="353" t="e">
        <f t="shared" si="42"/>
        <v>#DIV/0!</v>
      </c>
      <c r="U37" s="538"/>
      <c r="V37" s="353" t="e">
        <f t="shared" si="43"/>
        <v>#DIV/0!</v>
      </c>
      <c r="W37" s="538"/>
      <c r="X37" s="353" t="e">
        <f t="shared" si="44"/>
        <v>#DIV/0!</v>
      </c>
      <c r="Y37" s="538"/>
      <c r="Z37" s="353" t="e">
        <f t="shared" si="46"/>
        <v>#DIV/0!</v>
      </c>
      <c r="AA37" s="538"/>
      <c r="AB37" s="353" t="e">
        <f t="shared" si="12"/>
        <v>#DIV/0!</v>
      </c>
      <c r="AC37" s="539">
        <f t="shared" si="47"/>
        <v>0</v>
      </c>
      <c r="AD37" s="353" t="e">
        <f t="shared" si="48"/>
        <v>#DIV/0!</v>
      </c>
      <c r="AE37" s="538"/>
      <c r="AF37" s="353" t="e">
        <f t="shared" si="49"/>
        <v>#DIV/0!</v>
      </c>
      <c r="AG37" s="538"/>
      <c r="AH37" s="353" t="e">
        <f t="shared" si="50"/>
        <v>#DIV/0!</v>
      </c>
      <c r="AI37" s="538"/>
      <c r="AJ37" s="353" t="e">
        <f t="shared" si="51"/>
        <v>#DIV/0!</v>
      </c>
      <c r="AK37" s="538"/>
      <c r="AL37" s="353" t="e">
        <f t="shared" si="45"/>
        <v>#DIV/0!</v>
      </c>
    </row>
    <row r="38" spans="2:38" s="534" customFormat="1" ht="14.25">
      <c r="B38" s="507"/>
      <c r="C38" s="507"/>
      <c r="D38" s="308">
        <f t="shared" ref="D38:D48" si="52">D37+1</f>
        <v>46199</v>
      </c>
      <c r="E38" s="308" t="s">
        <v>461</v>
      </c>
      <c r="F38" s="535">
        <f t="shared" si="20"/>
        <v>0</v>
      </c>
      <c r="G38" s="509"/>
      <c r="H38" s="536"/>
      <c r="I38" s="538"/>
      <c r="J38" s="353" t="e">
        <f t="shared" si="35"/>
        <v>#DIV/0!</v>
      </c>
      <c r="K38" s="538"/>
      <c r="L38" s="353" t="e">
        <f t="shared" si="36"/>
        <v>#DIV/0!</v>
      </c>
      <c r="M38" s="539">
        <f t="shared" si="37"/>
        <v>0</v>
      </c>
      <c r="N38" s="353" t="e">
        <f t="shared" si="38"/>
        <v>#DIV/0!</v>
      </c>
      <c r="O38" s="538"/>
      <c r="P38" s="353" t="e">
        <f t="shared" si="39"/>
        <v>#DIV/0!</v>
      </c>
      <c r="Q38" s="538"/>
      <c r="R38" s="353" t="e">
        <f t="shared" si="40"/>
        <v>#DIV/0!</v>
      </c>
      <c r="S38" s="539">
        <f t="shared" si="41"/>
        <v>0</v>
      </c>
      <c r="T38" s="353" t="e">
        <f t="shared" si="42"/>
        <v>#DIV/0!</v>
      </c>
      <c r="U38" s="538"/>
      <c r="V38" s="353" t="e">
        <f t="shared" si="43"/>
        <v>#DIV/0!</v>
      </c>
      <c r="W38" s="538"/>
      <c r="X38" s="353" t="e">
        <f t="shared" si="44"/>
        <v>#DIV/0!</v>
      </c>
      <c r="Y38" s="538"/>
      <c r="Z38" s="353" t="e">
        <f t="shared" si="46"/>
        <v>#DIV/0!</v>
      </c>
      <c r="AA38" s="538"/>
      <c r="AB38" s="353" t="e">
        <f t="shared" si="12"/>
        <v>#DIV/0!</v>
      </c>
      <c r="AC38" s="539">
        <f t="shared" si="47"/>
        <v>0</v>
      </c>
      <c r="AD38" s="353" t="e">
        <f t="shared" si="48"/>
        <v>#DIV/0!</v>
      </c>
      <c r="AE38" s="538"/>
      <c r="AF38" s="353" t="e">
        <f t="shared" si="49"/>
        <v>#DIV/0!</v>
      </c>
      <c r="AG38" s="538"/>
      <c r="AH38" s="353" t="e">
        <f t="shared" si="50"/>
        <v>#DIV/0!</v>
      </c>
      <c r="AI38" s="538"/>
      <c r="AJ38" s="353" t="e">
        <f t="shared" si="51"/>
        <v>#DIV/0!</v>
      </c>
      <c r="AK38" s="538"/>
      <c r="AL38" s="353" t="e">
        <f t="shared" si="45"/>
        <v>#DIV/0!</v>
      </c>
    </row>
    <row r="39" spans="2:38" s="534" customFormat="1" ht="14.25">
      <c r="B39" s="507"/>
      <c r="C39" s="513"/>
      <c r="D39" s="308">
        <f t="shared" si="52"/>
        <v>46200</v>
      </c>
      <c r="E39" s="308" t="s">
        <v>462</v>
      </c>
      <c r="F39" s="535">
        <f t="shared" si="20"/>
        <v>0</v>
      </c>
      <c r="G39" s="509"/>
      <c r="H39" s="537"/>
      <c r="I39" s="538"/>
      <c r="J39" s="353" t="e">
        <f t="shared" si="35"/>
        <v>#DIV/0!</v>
      </c>
      <c r="K39" s="538"/>
      <c r="L39" s="353" t="e">
        <f t="shared" si="36"/>
        <v>#DIV/0!</v>
      </c>
      <c r="M39" s="539">
        <f t="shared" si="37"/>
        <v>0</v>
      </c>
      <c r="N39" s="353" t="e">
        <f t="shared" si="38"/>
        <v>#DIV/0!</v>
      </c>
      <c r="O39" s="538"/>
      <c r="P39" s="353" t="e">
        <f t="shared" si="39"/>
        <v>#DIV/0!</v>
      </c>
      <c r="Q39" s="538"/>
      <c r="R39" s="353" t="e">
        <f t="shared" si="40"/>
        <v>#DIV/0!</v>
      </c>
      <c r="S39" s="539">
        <f t="shared" si="41"/>
        <v>0</v>
      </c>
      <c r="T39" s="353" t="e">
        <f t="shared" si="42"/>
        <v>#DIV/0!</v>
      </c>
      <c r="U39" s="538"/>
      <c r="V39" s="353" t="e">
        <f t="shared" si="43"/>
        <v>#DIV/0!</v>
      </c>
      <c r="W39" s="538"/>
      <c r="X39" s="353" t="e">
        <f t="shared" si="44"/>
        <v>#DIV/0!</v>
      </c>
      <c r="Y39" s="538"/>
      <c r="Z39" s="353" t="e">
        <f t="shared" si="46"/>
        <v>#DIV/0!</v>
      </c>
      <c r="AA39" s="538"/>
      <c r="AB39" s="353" t="e">
        <f t="shared" si="12"/>
        <v>#DIV/0!</v>
      </c>
      <c r="AC39" s="539">
        <f t="shared" si="47"/>
        <v>0</v>
      </c>
      <c r="AD39" s="353" t="e">
        <f t="shared" si="48"/>
        <v>#DIV/0!</v>
      </c>
      <c r="AE39" s="538"/>
      <c r="AF39" s="353" t="e">
        <f t="shared" si="49"/>
        <v>#DIV/0!</v>
      </c>
      <c r="AG39" s="538"/>
      <c r="AH39" s="353" t="e">
        <f t="shared" si="50"/>
        <v>#DIV/0!</v>
      </c>
      <c r="AI39" s="538"/>
      <c r="AJ39" s="353" t="e">
        <f t="shared" si="51"/>
        <v>#DIV/0!</v>
      </c>
      <c r="AK39" s="538"/>
      <c r="AL39" s="353" t="e">
        <f t="shared" si="45"/>
        <v>#DIV/0!</v>
      </c>
    </row>
    <row r="40" spans="2:38" s="534" customFormat="1" ht="14.25">
      <c r="B40" s="507"/>
      <c r="C40" s="513"/>
      <c r="D40" s="308">
        <f t="shared" si="52"/>
        <v>46201</v>
      </c>
      <c r="E40" s="308" t="s">
        <v>463</v>
      </c>
      <c r="F40" s="535">
        <f t="shared" si="20"/>
        <v>0</v>
      </c>
      <c r="G40" s="509"/>
      <c r="H40" s="537"/>
      <c r="I40" s="538"/>
      <c r="J40" s="353" t="e">
        <f t="shared" si="35"/>
        <v>#DIV/0!</v>
      </c>
      <c r="K40" s="538"/>
      <c r="L40" s="353" t="e">
        <f t="shared" si="36"/>
        <v>#DIV/0!</v>
      </c>
      <c r="M40" s="539">
        <f t="shared" si="37"/>
        <v>0</v>
      </c>
      <c r="N40" s="353" t="e">
        <f t="shared" si="38"/>
        <v>#DIV/0!</v>
      </c>
      <c r="O40" s="538"/>
      <c r="P40" s="353" t="e">
        <f t="shared" si="39"/>
        <v>#DIV/0!</v>
      </c>
      <c r="Q40" s="538"/>
      <c r="R40" s="353" t="e">
        <f t="shared" si="40"/>
        <v>#DIV/0!</v>
      </c>
      <c r="S40" s="539">
        <f t="shared" si="41"/>
        <v>0</v>
      </c>
      <c r="T40" s="353" t="e">
        <f t="shared" si="42"/>
        <v>#DIV/0!</v>
      </c>
      <c r="U40" s="538"/>
      <c r="V40" s="353" t="e">
        <f t="shared" si="43"/>
        <v>#DIV/0!</v>
      </c>
      <c r="W40" s="538"/>
      <c r="X40" s="353" t="e">
        <f t="shared" si="44"/>
        <v>#DIV/0!</v>
      </c>
      <c r="Y40" s="538"/>
      <c r="Z40" s="353" t="e">
        <f t="shared" si="46"/>
        <v>#DIV/0!</v>
      </c>
      <c r="AA40" s="538"/>
      <c r="AB40" s="353" t="e">
        <f t="shared" si="12"/>
        <v>#DIV/0!</v>
      </c>
      <c r="AC40" s="539">
        <f t="shared" si="47"/>
        <v>0</v>
      </c>
      <c r="AD40" s="353" t="e">
        <f t="shared" si="48"/>
        <v>#DIV/0!</v>
      </c>
      <c r="AE40" s="538"/>
      <c r="AF40" s="353" t="e">
        <f t="shared" si="49"/>
        <v>#DIV/0!</v>
      </c>
      <c r="AG40" s="538"/>
      <c r="AH40" s="353" t="e">
        <f t="shared" si="50"/>
        <v>#DIV/0!</v>
      </c>
      <c r="AI40" s="538"/>
      <c r="AJ40" s="353" t="e">
        <f t="shared" si="51"/>
        <v>#DIV/0!</v>
      </c>
      <c r="AK40" s="538"/>
      <c r="AL40" s="353" t="e">
        <f t="shared" si="45"/>
        <v>#DIV/0!</v>
      </c>
    </row>
    <row r="41" spans="2:38" s="534" customFormat="1" ht="14.25">
      <c r="B41" s="507"/>
      <c r="C41" s="513"/>
      <c r="D41" s="308">
        <f t="shared" si="52"/>
        <v>46202</v>
      </c>
      <c r="E41" s="308" t="s">
        <v>457</v>
      </c>
      <c r="F41" s="535">
        <f t="shared" si="20"/>
        <v>0</v>
      </c>
      <c r="G41" s="509"/>
      <c r="H41" s="537"/>
      <c r="I41" s="538"/>
      <c r="J41" s="353" t="e">
        <f t="shared" si="35"/>
        <v>#DIV/0!</v>
      </c>
      <c r="K41" s="538"/>
      <c r="L41" s="353" t="e">
        <f t="shared" si="36"/>
        <v>#DIV/0!</v>
      </c>
      <c r="M41" s="539">
        <f t="shared" si="37"/>
        <v>0</v>
      </c>
      <c r="N41" s="353" t="e">
        <f t="shared" si="38"/>
        <v>#DIV/0!</v>
      </c>
      <c r="O41" s="538"/>
      <c r="P41" s="353" t="e">
        <f t="shared" si="39"/>
        <v>#DIV/0!</v>
      </c>
      <c r="Q41" s="538"/>
      <c r="R41" s="353" t="e">
        <f t="shared" si="40"/>
        <v>#DIV/0!</v>
      </c>
      <c r="S41" s="539">
        <f t="shared" si="41"/>
        <v>0</v>
      </c>
      <c r="T41" s="353" t="e">
        <f t="shared" si="42"/>
        <v>#DIV/0!</v>
      </c>
      <c r="U41" s="538"/>
      <c r="V41" s="353" t="e">
        <f t="shared" si="43"/>
        <v>#DIV/0!</v>
      </c>
      <c r="W41" s="538"/>
      <c r="X41" s="353" t="e">
        <f t="shared" si="44"/>
        <v>#DIV/0!</v>
      </c>
      <c r="Y41" s="538"/>
      <c r="Z41" s="353" t="e">
        <f t="shared" ref="Z41" si="53">Y41/F41</f>
        <v>#DIV/0!</v>
      </c>
      <c r="AA41" s="538"/>
      <c r="AB41" s="353" t="e">
        <f t="shared" ref="AB41:AB49" si="54">AA41/$F41</f>
        <v>#DIV/0!</v>
      </c>
      <c r="AC41" s="539">
        <f t="shared" ref="AC41" si="55">SUM(Y41+AA41)</f>
        <v>0</v>
      </c>
      <c r="AD41" s="353" t="e">
        <f t="shared" ref="AD41" si="56">AC41/F41</f>
        <v>#DIV/0!</v>
      </c>
      <c r="AE41" s="538"/>
      <c r="AF41" s="353" t="e">
        <f t="shared" ref="AF41" si="57">AE41/F41</f>
        <v>#DIV/0!</v>
      </c>
      <c r="AG41" s="538"/>
      <c r="AH41" s="353" t="e">
        <f t="shared" ref="AH41" si="58">AG41/F41</f>
        <v>#DIV/0!</v>
      </c>
      <c r="AI41" s="538"/>
      <c r="AJ41" s="353" t="e">
        <f t="shared" ref="AJ41" si="59">AI41/F41</f>
        <v>#DIV/0!</v>
      </c>
      <c r="AK41" s="538"/>
      <c r="AL41" s="353" t="e">
        <f t="shared" si="45"/>
        <v>#DIV/0!</v>
      </c>
    </row>
    <row r="42" spans="2:38" ht="14.25">
      <c r="B42" s="97"/>
      <c r="C42" s="83"/>
      <c r="D42" s="378">
        <f t="shared" si="52"/>
        <v>46203</v>
      </c>
      <c r="E42" s="378" t="s">
        <v>458</v>
      </c>
      <c r="F42" s="227">
        <f t="shared" si="20"/>
        <v>0</v>
      </c>
      <c r="G42" s="306"/>
      <c r="H42" s="96"/>
      <c r="I42" s="233"/>
      <c r="J42" s="100" t="e">
        <f>I42/F42</f>
        <v>#DIV/0!</v>
      </c>
      <c r="K42" s="233"/>
      <c r="L42" s="100" t="e">
        <f>K42/F42</f>
        <v>#DIV/0!</v>
      </c>
      <c r="M42" s="226">
        <f>SUM(I42+K42)</f>
        <v>0</v>
      </c>
      <c r="N42" s="100" t="e">
        <f>M42/F42</f>
        <v>#DIV/0!</v>
      </c>
      <c r="O42" s="233"/>
      <c r="P42" s="100" t="e">
        <f>O42/F42</f>
        <v>#DIV/0!</v>
      </c>
      <c r="Q42" s="233"/>
      <c r="R42" s="100" t="e">
        <f t="shared" si="40"/>
        <v>#DIV/0!</v>
      </c>
      <c r="S42" s="226">
        <f t="shared" si="41"/>
        <v>0</v>
      </c>
      <c r="T42" s="100" t="e">
        <f>S42/F42</f>
        <v>#DIV/0!</v>
      </c>
      <c r="U42" s="233"/>
      <c r="V42" s="100" t="e">
        <f>U42/F42</f>
        <v>#DIV/0!</v>
      </c>
      <c r="W42" s="233"/>
      <c r="X42" s="100" t="e">
        <f>W42/F42</f>
        <v>#DIV/0!</v>
      </c>
      <c r="Y42" s="233"/>
      <c r="Z42" s="100" t="e">
        <f>Y42/F42</f>
        <v>#DIV/0!</v>
      </c>
      <c r="AA42" s="233"/>
      <c r="AB42" s="100" t="e">
        <f t="shared" si="54"/>
        <v>#DIV/0!</v>
      </c>
      <c r="AC42" s="226">
        <f>SUM(Y42+AA42)</f>
        <v>0</v>
      </c>
      <c r="AD42" s="100" t="e">
        <f>AC42/F42</f>
        <v>#DIV/0!</v>
      </c>
      <c r="AE42" s="233"/>
      <c r="AF42" s="100" t="e">
        <f>AE42/F42</f>
        <v>#DIV/0!</v>
      </c>
      <c r="AG42" s="233"/>
      <c r="AH42" s="100" t="e">
        <f>AG42/F42</f>
        <v>#DIV/0!</v>
      </c>
      <c r="AI42" s="233"/>
      <c r="AJ42" s="100" t="e">
        <f>AI42/F42</f>
        <v>#DIV/0!</v>
      </c>
      <c r="AK42" s="233"/>
      <c r="AL42" s="100" t="e">
        <f>AK42/F42</f>
        <v>#DIV/0!</v>
      </c>
    </row>
    <row r="43" spans="2:38" ht="14.25">
      <c r="B43" s="97"/>
      <c r="C43" s="83"/>
      <c r="D43" s="378">
        <f t="shared" si="52"/>
        <v>46204</v>
      </c>
      <c r="E43" s="378" t="s">
        <v>459</v>
      </c>
      <c r="F43" s="227">
        <f t="shared" si="20"/>
        <v>0</v>
      </c>
      <c r="G43" s="306"/>
      <c r="H43" s="96"/>
      <c r="I43" s="233"/>
      <c r="J43" s="100" t="e">
        <f>I43/F43</f>
        <v>#DIV/0!</v>
      </c>
      <c r="K43" s="233"/>
      <c r="L43" s="100" t="e">
        <f>K43/F43</f>
        <v>#DIV/0!</v>
      </c>
      <c r="M43" s="226">
        <f>SUM(I43+K43)</f>
        <v>0</v>
      </c>
      <c r="N43" s="100" t="e">
        <f>M43/F43</f>
        <v>#DIV/0!</v>
      </c>
      <c r="O43" s="233"/>
      <c r="P43" s="100" t="e">
        <f>O43/F43</f>
        <v>#DIV/0!</v>
      </c>
      <c r="Q43" s="233"/>
      <c r="R43" s="100" t="e">
        <f t="shared" si="40"/>
        <v>#DIV/0!</v>
      </c>
      <c r="S43" s="226">
        <f t="shared" si="41"/>
        <v>0</v>
      </c>
      <c r="T43" s="100" t="e">
        <f>S43/F43</f>
        <v>#DIV/0!</v>
      </c>
      <c r="U43" s="233"/>
      <c r="V43" s="100" t="e">
        <f>U43/F43</f>
        <v>#DIV/0!</v>
      </c>
      <c r="W43" s="233"/>
      <c r="X43" s="100" t="e">
        <f>W43/F43</f>
        <v>#DIV/0!</v>
      </c>
      <c r="Y43" s="233"/>
      <c r="Z43" s="100" t="e">
        <f>Y43/F43</f>
        <v>#DIV/0!</v>
      </c>
      <c r="AA43" s="233"/>
      <c r="AB43" s="100" t="e">
        <f t="shared" si="54"/>
        <v>#DIV/0!</v>
      </c>
      <c r="AC43" s="226">
        <f>SUM(Y43+AA43)</f>
        <v>0</v>
      </c>
      <c r="AD43" s="100" t="e">
        <f>AC43/F43</f>
        <v>#DIV/0!</v>
      </c>
      <c r="AE43" s="233"/>
      <c r="AF43" s="100" t="e">
        <f>AE43/F43</f>
        <v>#DIV/0!</v>
      </c>
      <c r="AG43" s="233"/>
      <c r="AH43" s="100" t="e">
        <f>AG43/F43</f>
        <v>#DIV/0!</v>
      </c>
      <c r="AI43" s="233"/>
      <c r="AJ43" s="100" t="e">
        <f>AI43/F43</f>
        <v>#DIV/0!</v>
      </c>
      <c r="AK43" s="233"/>
      <c r="AL43" s="100" t="e">
        <f>AK43/F43</f>
        <v>#DIV/0!</v>
      </c>
    </row>
    <row r="44" spans="2:38" ht="14.25">
      <c r="B44" s="97"/>
      <c r="C44" s="83"/>
      <c r="D44" s="378">
        <f t="shared" si="52"/>
        <v>46205</v>
      </c>
      <c r="E44" s="378" t="s">
        <v>460</v>
      </c>
      <c r="F44" s="227">
        <f t="shared" si="20"/>
        <v>0</v>
      </c>
      <c r="G44" s="227"/>
      <c r="H44" s="96"/>
      <c r="I44" s="233"/>
      <c r="J44" s="100" t="e">
        <f>I44/F44</f>
        <v>#DIV/0!</v>
      </c>
      <c r="K44" s="233"/>
      <c r="L44" s="100" t="e">
        <f>K44/F44</f>
        <v>#DIV/0!</v>
      </c>
      <c r="M44" s="226">
        <f>SUM(I44+K44)</f>
        <v>0</v>
      </c>
      <c r="N44" s="100" t="e">
        <f>M44/F44</f>
        <v>#DIV/0!</v>
      </c>
      <c r="O44" s="233"/>
      <c r="P44" s="100" t="e">
        <f>O44/F44</f>
        <v>#DIV/0!</v>
      </c>
      <c r="Q44" s="233"/>
      <c r="R44" s="100" t="e">
        <f t="shared" si="40"/>
        <v>#DIV/0!</v>
      </c>
      <c r="S44" s="226">
        <f t="shared" si="41"/>
        <v>0</v>
      </c>
      <c r="T44" s="100" t="e">
        <f>S44/F44</f>
        <v>#DIV/0!</v>
      </c>
      <c r="U44" s="233"/>
      <c r="V44" s="100" t="e">
        <f>U44/F44</f>
        <v>#DIV/0!</v>
      </c>
      <c r="W44" s="233"/>
      <c r="X44" s="100" t="e">
        <f>W44/F44</f>
        <v>#DIV/0!</v>
      </c>
      <c r="Y44" s="233"/>
      <c r="Z44" s="100" t="e">
        <f>Y44/F44</f>
        <v>#DIV/0!</v>
      </c>
      <c r="AA44" s="233"/>
      <c r="AB44" s="100" t="e">
        <f t="shared" si="54"/>
        <v>#DIV/0!</v>
      </c>
      <c r="AC44" s="226">
        <f>SUM(Y44+AA44)</f>
        <v>0</v>
      </c>
      <c r="AD44" s="100" t="e">
        <f>AC44/F44</f>
        <v>#DIV/0!</v>
      </c>
      <c r="AE44" s="233"/>
      <c r="AF44" s="100" t="e">
        <f>AE44/F44</f>
        <v>#DIV/0!</v>
      </c>
      <c r="AG44" s="233"/>
      <c r="AH44" s="100" t="e">
        <f>AG44/F44</f>
        <v>#DIV/0!</v>
      </c>
      <c r="AI44" s="233"/>
      <c r="AJ44" s="100" t="e">
        <f>AI44/F44</f>
        <v>#DIV/0!</v>
      </c>
      <c r="AK44" s="233"/>
      <c r="AL44" s="100" t="e">
        <f>AK44/F44</f>
        <v>#DIV/0!</v>
      </c>
    </row>
    <row r="45" spans="2:38" ht="14.25">
      <c r="B45" s="97"/>
      <c r="C45" s="83"/>
      <c r="D45" s="378">
        <f t="shared" si="52"/>
        <v>46206</v>
      </c>
      <c r="E45" s="378" t="s">
        <v>461</v>
      </c>
      <c r="F45" s="227">
        <f t="shared" ref="F45:F48" si="60">SUM(M45,S45,U45,W45,AC45,AE45,AG45,AI45,AK45)</f>
        <v>0</v>
      </c>
      <c r="G45" s="227"/>
      <c r="H45" s="96"/>
      <c r="I45" s="233"/>
      <c r="J45" s="100" t="e">
        <f t="shared" ref="J45:J48" si="61">I45/F45</f>
        <v>#DIV/0!</v>
      </c>
      <c r="K45" s="233"/>
      <c r="L45" s="100" t="e">
        <f t="shared" ref="L45:L48" si="62">K45/F45</f>
        <v>#DIV/0!</v>
      </c>
      <c r="M45" s="226">
        <f t="shared" ref="M45:M48" si="63">SUM(I45+K45)</f>
        <v>0</v>
      </c>
      <c r="N45" s="100" t="e">
        <f t="shared" ref="N45:N48" si="64">M45/F45</f>
        <v>#DIV/0!</v>
      </c>
      <c r="O45" s="233"/>
      <c r="P45" s="100" t="e">
        <f t="shared" ref="P45:P48" si="65">O45/F45</f>
        <v>#DIV/0!</v>
      </c>
      <c r="Q45" s="233"/>
      <c r="R45" s="100" t="e">
        <f t="shared" ref="R45:R48" si="66">Q45/$F45</f>
        <v>#DIV/0!</v>
      </c>
      <c r="S45" s="226">
        <f t="shared" ref="S45:S48" si="67">SUM(O45+Q45)</f>
        <v>0</v>
      </c>
      <c r="T45" s="100" t="e">
        <f t="shared" ref="T45:T48" si="68">S45/F45</f>
        <v>#DIV/0!</v>
      </c>
      <c r="U45" s="233"/>
      <c r="V45" s="100" t="e">
        <f t="shared" ref="V45:V48" si="69">U45/F45</f>
        <v>#DIV/0!</v>
      </c>
      <c r="W45" s="233"/>
      <c r="X45" s="100" t="e">
        <f t="shared" ref="X45:X48" si="70">W45/F45</f>
        <v>#DIV/0!</v>
      </c>
      <c r="Y45" s="233"/>
      <c r="Z45" s="100" t="e">
        <f t="shared" ref="Z45:Z48" si="71">Y45/F45</f>
        <v>#DIV/0!</v>
      </c>
      <c r="AA45" s="233"/>
      <c r="AB45" s="100" t="e">
        <f t="shared" ref="AB45:AB48" si="72">AA45/$F45</f>
        <v>#DIV/0!</v>
      </c>
      <c r="AC45" s="226">
        <f t="shared" ref="AC45:AC48" si="73">SUM(Y45+AA45)</f>
        <v>0</v>
      </c>
      <c r="AD45" s="100" t="e">
        <f t="shared" ref="AD45:AD48" si="74">AC45/F45</f>
        <v>#DIV/0!</v>
      </c>
      <c r="AE45" s="233"/>
      <c r="AF45" s="100" t="e">
        <f t="shared" ref="AF45:AF48" si="75">AE45/F45</f>
        <v>#DIV/0!</v>
      </c>
      <c r="AG45" s="233"/>
      <c r="AH45" s="100" t="e">
        <f t="shared" ref="AH45:AH48" si="76">AG45/F45</f>
        <v>#DIV/0!</v>
      </c>
      <c r="AI45" s="233"/>
      <c r="AJ45" s="100" t="e">
        <f t="shared" ref="AJ45:AJ48" si="77">AI45/F45</f>
        <v>#DIV/0!</v>
      </c>
      <c r="AK45" s="233"/>
      <c r="AL45" s="100" t="e">
        <f t="shared" ref="AL45:AL48" si="78">AK45/F45</f>
        <v>#DIV/0!</v>
      </c>
    </row>
    <row r="46" spans="2:38" ht="14.25">
      <c r="B46" s="97"/>
      <c r="C46" s="83"/>
      <c r="D46" s="378">
        <f t="shared" si="52"/>
        <v>46207</v>
      </c>
      <c r="E46" s="378" t="s">
        <v>462</v>
      </c>
      <c r="F46" s="227">
        <f t="shared" si="60"/>
        <v>0</v>
      </c>
      <c r="G46" s="227"/>
      <c r="H46" s="96"/>
      <c r="I46" s="233"/>
      <c r="J46" s="100" t="e">
        <f t="shared" si="61"/>
        <v>#DIV/0!</v>
      </c>
      <c r="K46" s="233"/>
      <c r="L46" s="100" t="e">
        <f t="shared" si="62"/>
        <v>#DIV/0!</v>
      </c>
      <c r="M46" s="226">
        <f t="shared" si="63"/>
        <v>0</v>
      </c>
      <c r="N46" s="100" t="e">
        <f t="shared" si="64"/>
        <v>#DIV/0!</v>
      </c>
      <c r="O46" s="233"/>
      <c r="P46" s="100" t="e">
        <f t="shared" si="65"/>
        <v>#DIV/0!</v>
      </c>
      <c r="Q46" s="233"/>
      <c r="R46" s="100" t="e">
        <f t="shared" si="66"/>
        <v>#DIV/0!</v>
      </c>
      <c r="S46" s="226">
        <f t="shared" si="67"/>
        <v>0</v>
      </c>
      <c r="T46" s="100" t="e">
        <f t="shared" si="68"/>
        <v>#DIV/0!</v>
      </c>
      <c r="U46" s="233"/>
      <c r="V46" s="100" t="e">
        <f t="shared" si="69"/>
        <v>#DIV/0!</v>
      </c>
      <c r="W46" s="233"/>
      <c r="X46" s="100" t="e">
        <f t="shared" si="70"/>
        <v>#DIV/0!</v>
      </c>
      <c r="Y46" s="233"/>
      <c r="Z46" s="100" t="e">
        <f t="shared" si="71"/>
        <v>#DIV/0!</v>
      </c>
      <c r="AA46" s="233"/>
      <c r="AB46" s="100" t="e">
        <f t="shared" si="72"/>
        <v>#DIV/0!</v>
      </c>
      <c r="AC46" s="226">
        <f t="shared" si="73"/>
        <v>0</v>
      </c>
      <c r="AD46" s="100" t="e">
        <f t="shared" si="74"/>
        <v>#DIV/0!</v>
      </c>
      <c r="AE46" s="233"/>
      <c r="AF46" s="100" t="e">
        <f t="shared" si="75"/>
        <v>#DIV/0!</v>
      </c>
      <c r="AG46" s="233"/>
      <c r="AH46" s="100" t="e">
        <f t="shared" si="76"/>
        <v>#DIV/0!</v>
      </c>
      <c r="AI46" s="233"/>
      <c r="AJ46" s="100" t="e">
        <f t="shared" si="77"/>
        <v>#DIV/0!</v>
      </c>
      <c r="AK46" s="233"/>
      <c r="AL46" s="100" t="e">
        <f t="shared" si="78"/>
        <v>#DIV/0!</v>
      </c>
    </row>
    <row r="47" spans="2:38" ht="14.25">
      <c r="B47" s="97"/>
      <c r="C47" s="83"/>
      <c r="D47" s="378">
        <f t="shared" si="52"/>
        <v>46208</v>
      </c>
      <c r="E47" s="378" t="s">
        <v>463</v>
      </c>
      <c r="F47" s="227">
        <f t="shared" si="60"/>
        <v>0</v>
      </c>
      <c r="G47" s="227"/>
      <c r="H47" s="96"/>
      <c r="I47" s="233"/>
      <c r="J47" s="100" t="e">
        <f t="shared" si="61"/>
        <v>#DIV/0!</v>
      </c>
      <c r="K47" s="233"/>
      <c r="L47" s="100" t="e">
        <f t="shared" si="62"/>
        <v>#DIV/0!</v>
      </c>
      <c r="M47" s="226">
        <f t="shared" si="63"/>
        <v>0</v>
      </c>
      <c r="N47" s="100" t="e">
        <f t="shared" si="64"/>
        <v>#DIV/0!</v>
      </c>
      <c r="O47" s="233"/>
      <c r="P47" s="100" t="e">
        <f t="shared" si="65"/>
        <v>#DIV/0!</v>
      </c>
      <c r="Q47" s="233"/>
      <c r="R47" s="100" t="e">
        <f t="shared" si="66"/>
        <v>#DIV/0!</v>
      </c>
      <c r="S47" s="226">
        <f t="shared" si="67"/>
        <v>0</v>
      </c>
      <c r="T47" s="100" t="e">
        <f t="shared" si="68"/>
        <v>#DIV/0!</v>
      </c>
      <c r="U47" s="233"/>
      <c r="V47" s="100" t="e">
        <f t="shared" si="69"/>
        <v>#DIV/0!</v>
      </c>
      <c r="W47" s="233"/>
      <c r="X47" s="100" t="e">
        <f t="shared" si="70"/>
        <v>#DIV/0!</v>
      </c>
      <c r="Y47" s="233"/>
      <c r="Z47" s="100" t="e">
        <f t="shared" si="71"/>
        <v>#DIV/0!</v>
      </c>
      <c r="AA47" s="233"/>
      <c r="AB47" s="100" t="e">
        <f t="shared" si="72"/>
        <v>#DIV/0!</v>
      </c>
      <c r="AC47" s="226">
        <f t="shared" si="73"/>
        <v>0</v>
      </c>
      <c r="AD47" s="100" t="e">
        <f t="shared" si="74"/>
        <v>#DIV/0!</v>
      </c>
      <c r="AE47" s="233"/>
      <c r="AF47" s="100" t="e">
        <f t="shared" si="75"/>
        <v>#DIV/0!</v>
      </c>
      <c r="AG47" s="233"/>
      <c r="AH47" s="100" t="e">
        <f t="shared" si="76"/>
        <v>#DIV/0!</v>
      </c>
      <c r="AI47" s="233"/>
      <c r="AJ47" s="100" t="e">
        <f t="shared" si="77"/>
        <v>#DIV/0!</v>
      </c>
      <c r="AK47" s="233"/>
      <c r="AL47" s="100" t="e">
        <f t="shared" si="78"/>
        <v>#DIV/0!</v>
      </c>
    </row>
    <row r="48" spans="2:38" ht="14.25">
      <c r="B48" s="97"/>
      <c r="C48" s="83"/>
      <c r="D48" s="378">
        <f t="shared" si="52"/>
        <v>46209</v>
      </c>
      <c r="E48" s="378" t="s">
        <v>457</v>
      </c>
      <c r="F48" s="227">
        <f t="shared" si="60"/>
        <v>0</v>
      </c>
      <c r="G48" s="227"/>
      <c r="H48" s="96"/>
      <c r="I48" s="233"/>
      <c r="J48" s="100" t="e">
        <f t="shared" si="61"/>
        <v>#DIV/0!</v>
      </c>
      <c r="K48" s="233"/>
      <c r="L48" s="100" t="e">
        <f t="shared" si="62"/>
        <v>#DIV/0!</v>
      </c>
      <c r="M48" s="226">
        <f t="shared" si="63"/>
        <v>0</v>
      </c>
      <c r="N48" s="100" t="e">
        <f t="shared" si="64"/>
        <v>#DIV/0!</v>
      </c>
      <c r="O48" s="233"/>
      <c r="P48" s="100" t="e">
        <f t="shared" si="65"/>
        <v>#DIV/0!</v>
      </c>
      <c r="Q48" s="233"/>
      <c r="R48" s="100" t="e">
        <f t="shared" si="66"/>
        <v>#DIV/0!</v>
      </c>
      <c r="S48" s="226">
        <f t="shared" si="67"/>
        <v>0</v>
      </c>
      <c r="T48" s="100" t="e">
        <f t="shared" si="68"/>
        <v>#DIV/0!</v>
      </c>
      <c r="U48" s="233"/>
      <c r="V48" s="100" t="e">
        <f t="shared" si="69"/>
        <v>#DIV/0!</v>
      </c>
      <c r="W48" s="233"/>
      <c r="X48" s="100" t="e">
        <f t="shared" si="70"/>
        <v>#DIV/0!</v>
      </c>
      <c r="Y48" s="233"/>
      <c r="Z48" s="100" t="e">
        <f t="shared" si="71"/>
        <v>#DIV/0!</v>
      </c>
      <c r="AA48" s="233"/>
      <c r="AB48" s="100" t="e">
        <f t="shared" si="72"/>
        <v>#DIV/0!</v>
      </c>
      <c r="AC48" s="226">
        <f t="shared" si="73"/>
        <v>0</v>
      </c>
      <c r="AD48" s="100" t="e">
        <f t="shared" si="74"/>
        <v>#DIV/0!</v>
      </c>
      <c r="AE48" s="233"/>
      <c r="AF48" s="100" t="e">
        <f t="shared" si="75"/>
        <v>#DIV/0!</v>
      </c>
      <c r="AG48" s="233"/>
      <c r="AH48" s="100" t="e">
        <f t="shared" si="76"/>
        <v>#DIV/0!</v>
      </c>
      <c r="AI48" s="233"/>
      <c r="AJ48" s="100" t="e">
        <f t="shared" si="77"/>
        <v>#DIV/0!</v>
      </c>
      <c r="AK48" s="233"/>
      <c r="AL48" s="100" t="e">
        <f t="shared" si="78"/>
        <v>#DIV/0!</v>
      </c>
    </row>
    <row r="49" spans="1:46" ht="14.25">
      <c r="B49" s="97"/>
      <c r="C49" s="83"/>
      <c r="D49" s="378"/>
      <c r="E49" s="378"/>
      <c r="F49" s="227">
        <f t="shared" si="20"/>
        <v>0</v>
      </c>
      <c r="G49" s="227"/>
      <c r="H49" s="96"/>
      <c r="I49" s="233"/>
      <c r="J49" s="100" t="e">
        <f>I49/F49</f>
        <v>#DIV/0!</v>
      </c>
      <c r="K49" s="233"/>
      <c r="L49" s="100" t="e">
        <f>K49/F49</f>
        <v>#DIV/0!</v>
      </c>
      <c r="M49" s="226">
        <f>SUM(I49+K49)</f>
        <v>0</v>
      </c>
      <c r="N49" s="100" t="e">
        <f>M49/F49</f>
        <v>#DIV/0!</v>
      </c>
      <c r="O49" s="233"/>
      <c r="P49" s="100" t="e">
        <f>O49/F49</f>
        <v>#DIV/0!</v>
      </c>
      <c r="Q49" s="233"/>
      <c r="R49" s="100" t="e">
        <f t="shared" si="40"/>
        <v>#DIV/0!</v>
      </c>
      <c r="S49" s="226">
        <f t="shared" si="41"/>
        <v>0</v>
      </c>
      <c r="T49" s="100" t="e">
        <f>S49/F49</f>
        <v>#DIV/0!</v>
      </c>
      <c r="U49" s="233"/>
      <c r="V49" s="100" t="e">
        <f>U49/F49</f>
        <v>#DIV/0!</v>
      </c>
      <c r="W49" s="233"/>
      <c r="X49" s="100" t="e">
        <f>W49/F49</f>
        <v>#DIV/0!</v>
      </c>
      <c r="Y49" s="233"/>
      <c r="Z49" s="100" t="e">
        <f>Y49/F49</f>
        <v>#DIV/0!</v>
      </c>
      <c r="AA49" s="233"/>
      <c r="AB49" s="100" t="e">
        <f t="shared" si="54"/>
        <v>#DIV/0!</v>
      </c>
      <c r="AC49" s="226">
        <f>SUM(Y49+AA49)</f>
        <v>0</v>
      </c>
      <c r="AD49" s="100" t="e">
        <f>AC49/F49</f>
        <v>#DIV/0!</v>
      </c>
      <c r="AE49" s="233"/>
      <c r="AF49" s="100" t="e">
        <f>AE49/F49</f>
        <v>#DIV/0!</v>
      </c>
      <c r="AG49" s="233"/>
      <c r="AH49" s="100" t="e">
        <f>AG49/F49</f>
        <v>#DIV/0!</v>
      </c>
      <c r="AI49" s="233"/>
      <c r="AJ49" s="100" t="e">
        <f>AI49/F49</f>
        <v>#DIV/0!</v>
      </c>
      <c r="AK49" s="233"/>
      <c r="AL49" s="100" t="e">
        <f>AK49/F49</f>
        <v>#DIV/0!</v>
      </c>
    </row>
    <row r="50" spans="1:46" ht="14.25">
      <c r="B50" s="97"/>
      <c r="C50" s="83"/>
      <c r="D50" s="378"/>
      <c r="E50" s="378"/>
      <c r="F50" s="96"/>
      <c r="G50" s="96"/>
      <c r="H50" s="96"/>
      <c r="I50" s="279">
        <f>SUM(I7:I49)</f>
        <v>10404384.976884337</v>
      </c>
      <c r="J50" s="275">
        <f>I50/$H$12</f>
        <v>0.13946651283314995</v>
      </c>
      <c r="K50" s="279">
        <f>SUM(K7:K49)</f>
        <v>11791980.109026093</v>
      </c>
      <c r="L50" s="275">
        <f>K50/$H$12</f>
        <v>0.15806665640088791</v>
      </c>
      <c r="M50" s="279">
        <f>SUM(M8:M49)</f>
        <v>20431442.71755575</v>
      </c>
      <c r="N50" s="275" t="e">
        <f>M50/$H$8</f>
        <v>#DIV/0!</v>
      </c>
      <c r="O50" s="279">
        <f>SUM(O7:O49)</f>
        <v>2090247.7520271828</v>
      </c>
      <c r="P50" s="275">
        <f>O50/$H$12</f>
        <v>2.8018913715730214E-2</v>
      </c>
      <c r="Q50" s="279">
        <f>SUM(Q7:Q49)</f>
        <v>0</v>
      </c>
      <c r="R50" s="275">
        <f>Q50/$H$12</f>
        <v>0</v>
      </c>
      <c r="S50" s="279">
        <f>SUM(S8:S49)</f>
        <v>1935246.9392002253</v>
      </c>
      <c r="T50" s="275" t="e">
        <f>S50/$H$8</f>
        <v>#DIV/0!</v>
      </c>
      <c r="U50" s="279">
        <f>SUM(U7:U49)</f>
        <v>13574126.792983647</v>
      </c>
      <c r="V50" s="275">
        <f>U50/$H$12</f>
        <v>0.18195560167933836</v>
      </c>
      <c r="W50" s="279">
        <f>SUM(W7:W49)</f>
        <v>983180.8981687281</v>
      </c>
      <c r="X50" s="275">
        <f>W50/$H$12</f>
        <v>1.3179136648288323E-2</v>
      </c>
      <c r="Y50" s="279">
        <f>SUM(Y7:Y49)</f>
        <v>9699616.8363813609</v>
      </c>
      <c r="Z50" s="275">
        <f>Y50/$H$12</f>
        <v>0.13001938499904633</v>
      </c>
      <c r="AA50" s="279">
        <f>SUM(AA7:AA49)</f>
        <v>15105636.331518648</v>
      </c>
      <c r="AB50" s="275">
        <f>AA50/$H$12</f>
        <v>0.20248485883242628</v>
      </c>
      <c r="AC50" s="279">
        <f>SUM(AC8:AC49)</f>
        <v>22847546.098389424</v>
      </c>
      <c r="AD50" s="275" t="e">
        <f>AC50/$H$8</f>
        <v>#DIV/0!</v>
      </c>
      <c r="AE50" s="279">
        <f>SUM(AE7:AE49)</f>
        <v>19849912.812509667</v>
      </c>
      <c r="AF50" s="275">
        <f>AE50/$H$12</f>
        <v>0.26607993900200749</v>
      </c>
      <c r="AG50" s="279">
        <f>SUM(AG7:AG49)</f>
        <v>13983728.652464096</v>
      </c>
      <c r="AH50" s="275">
        <f>AG50/$H$12</f>
        <v>0.18744614659079922</v>
      </c>
      <c r="AI50" s="279">
        <f>SUM(AI7:AI49)</f>
        <v>21897996.805468515</v>
      </c>
      <c r="AJ50" s="275">
        <f>AI50/$H$12</f>
        <v>0.29353366482260862</v>
      </c>
      <c r="AK50" s="279">
        <f>SUM(AK7:AK49)</f>
        <v>11583137.032567728</v>
      </c>
      <c r="AL50" s="275">
        <f>AK50/$H$12</f>
        <v>0.15526720062645183</v>
      </c>
    </row>
    <row r="51" spans="1:46" ht="14.25">
      <c r="B51" s="97"/>
      <c r="C51" s="83"/>
      <c r="D51" s="378"/>
      <c r="E51" s="378"/>
      <c r="F51" s="96"/>
      <c r="G51" s="96"/>
      <c r="H51" s="96"/>
      <c r="I51" s="276"/>
      <c r="J51" s="277"/>
      <c r="K51" s="276"/>
      <c r="L51" s="277"/>
      <c r="M51" s="278">
        <f>M50</f>
        <v>20431442.71755575</v>
      </c>
      <c r="N51" s="277"/>
      <c r="O51" s="276"/>
      <c r="P51" s="277"/>
      <c r="Q51" s="276"/>
      <c r="R51" s="277"/>
      <c r="S51" s="278">
        <f>S50</f>
        <v>1935246.9392002253</v>
      </c>
      <c r="T51" s="277"/>
      <c r="U51" s="278">
        <f>U50</f>
        <v>13574126.792983647</v>
      </c>
      <c r="V51" s="277"/>
      <c r="W51" s="278">
        <f>W50</f>
        <v>983180.8981687281</v>
      </c>
      <c r="X51" s="277"/>
      <c r="Y51" s="276"/>
      <c r="Z51" s="277"/>
      <c r="AA51" s="276"/>
      <c r="AB51" s="277"/>
      <c r="AC51" s="278">
        <f>AC50</f>
        <v>22847546.098389424</v>
      </c>
      <c r="AD51" s="277"/>
      <c r="AE51" s="278">
        <f>AE50</f>
        <v>19849912.812509667</v>
      </c>
      <c r="AF51" s="277"/>
      <c r="AG51" s="278">
        <f>AG50</f>
        <v>13983728.652464096</v>
      </c>
      <c r="AH51" s="277"/>
      <c r="AI51" s="278">
        <f>AI50</f>
        <v>21897996.805468515</v>
      </c>
      <c r="AJ51" s="277"/>
      <c r="AK51" s="278">
        <f>AK50</f>
        <v>11583137.032567728</v>
      </c>
      <c r="AL51" s="277"/>
    </row>
    <row r="52" spans="1:46" ht="14.25">
      <c r="B52" s="97"/>
      <c r="C52" s="83"/>
      <c r="D52" s="378"/>
      <c r="E52" s="378"/>
      <c r="F52" s="96"/>
      <c r="G52" s="96"/>
      <c r="H52" s="96"/>
    </row>
    <row r="53" spans="1:46" ht="14.25">
      <c r="B53" s="97"/>
      <c r="C53" s="83"/>
      <c r="D53" s="84"/>
      <c r="F53" s="96"/>
      <c r="G53" s="96"/>
      <c r="H53" s="96"/>
    </row>
    <row r="54" spans="1:46" s="84" customFormat="1" ht="14.25">
      <c r="A54" s="77"/>
      <c r="B54" s="97"/>
      <c r="C54" s="83"/>
      <c r="F54" s="101"/>
      <c r="G54" s="101"/>
      <c r="H54" s="101"/>
      <c r="I54" s="96"/>
      <c r="J54" s="89"/>
      <c r="K54" s="96"/>
      <c r="L54" s="89"/>
      <c r="M54" s="89"/>
      <c r="N54" s="89"/>
      <c r="O54" s="96"/>
      <c r="P54" s="89"/>
      <c r="Q54" s="96"/>
      <c r="R54" s="89"/>
      <c r="S54" s="96"/>
      <c r="T54" s="89"/>
      <c r="U54" s="96"/>
      <c r="V54" s="89"/>
      <c r="W54" s="96"/>
      <c r="X54" s="89"/>
      <c r="Y54" s="96"/>
      <c r="Z54" s="89"/>
      <c r="AA54" s="96"/>
      <c r="AB54" s="89"/>
      <c r="AC54" s="96"/>
      <c r="AD54" s="89"/>
      <c r="AE54" s="96"/>
      <c r="AF54" s="89"/>
      <c r="AG54" s="96"/>
      <c r="AH54" s="89"/>
      <c r="AI54" s="96"/>
      <c r="AJ54" s="89"/>
      <c r="AK54" s="96"/>
      <c r="AL54" s="89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4.25">
      <c r="A55" s="77"/>
      <c r="B55" s="97"/>
      <c r="C55" s="83"/>
      <c r="F55" s="101"/>
      <c r="G55" s="101"/>
      <c r="H55" s="101"/>
      <c r="I55" s="96"/>
      <c r="J55" s="89"/>
      <c r="K55" s="96"/>
      <c r="L55" s="89"/>
      <c r="M55" s="89"/>
      <c r="N55" s="89"/>
      <c r="O55" s="96"/>
      <c r="P55" s="89"/>
      <c r="Q55" s="96"/>
      <c r="R55" s="89"/>
      <c r="S55" s="96"/>
      <c r="T55" s="89"/>
      <c r="U55" s="96"/>
      <c r="V55" s="89"/>
      <c r="W55" s="96"/>
      <c r="X55" s="89"/>
      <c r="Y55" s="96"/>
      <c r="Z55" s="89"/>
      <c r="AA55" s="96"/>
      <c r="AB55" s="89"/>
      <c r="AC55" s="96"/>
      <c r="AD55" s="89"/>
      <c r="AE55" s="96"/>
      <c r="AF55" s="89"/>
      <c r="AG55" s="96"/>
      <c r="AH55" s="89"/>
      <c r="AI55" s="96"/>
      <c r="AJ55" s="89"/>
      <c r="AK55" s="96"/>
      <c r="AL55" s="89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4.25">
      <c r="A56" s="77"/>
      <c r="B56" s="97"/>
      <c r="C56" s="83"/>
      <c r="F56" s="101"/>
      <c r="G56" s="101"/>
      <c r="H56" s="101"/>
      <c r="I56" s="96"/>
      <c r="J56" s="89"/>
      <c r="K56" s="96"/>
      <c r="L56" s="89"/>
      <c r="M56" s="89"/>
      <c r="N56" s="89"/>
      <c r="O56" s="96"/>
      <c r="P56" s="89"/>
      <c r="Q56" s="96"/>
      <c r="R56" s="89"/>
      <c r="S56" s="96"/>
      <c r="T56" s="89"/>
      <c r="U56" s="96"/>
      <c r="V56" s="89"/>
      <c r="W56" s="96"/>
      <c r="X56" s="89"/>
      <c r="Y56" s="96"/>
      <c r="Z56" s="89"/>
      <c r="AA56" s="96"/>
      <c r="AB56" s="89"/>
      <c r="AC56" s="96"/>
      <c r="AD56" s="89"/>
      <c r="AE56" s="96"/>
      <c r="AF56" s="89"/>
      <c r="AG56" s="96"/>
      <c r="AH56" s="89"/>
      <c r="AI56" s="96"/>
      <c r="AJ56" s="89"/>
      <c r="AK56" s="96"/>
      <c r="AL56" s="89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4.25">
      <c r="A57" s="77"/>
      <c r="B57" s="97"/>
      <c r="C57" s="83"/>
      <c r="F57" s="101"/>
      <c r="G57" s="101"/>
      <c r="H57" s="101"/>
      <c r="I57" s="96"/>
      <c r="J57" s="89"/>
      <c r="K57" s="96"/>
      <c r="L57" s="89"/>
      <c r="M57" s="89"/>
      <c r="N57" s="89"/>
      <c r="O57" s="96"/>
      <c r="P57" s="89"/>
      <c r="Q57" s="96"/>
      <c r="R57" s="89"/>
      <c r="S57" s="96"/>
      <c r="T57" s="89"/>
      <c r="U57" s="96"/>
      <c r="V57" s="89"/>
      <c r="W57" s="96"/>
      <c r="X57" s="89"/>
      <c r="Y57" s="96"/>
      <c r="Z57" s="89"/>
      <c r="AA57" s="96"/>
      <c r="AB57" s="89"/>
      <c r="AC57" s="96"/>
      <c r="AD57" s="89"/>
      <c r="AE57" s="96"/>
      <c r="AF57" s="89"/>
      <c r="AG57" s="96"/>
      <c r="AH57" s="89"/>
      <c r="AI57" s="96"/>
      <c r="AJ57" s="89"/>
      <c r="AK57" s="96"/>
      <c r="AL57" s="89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4.25">
      <c r="A58" s="77"/>
      <c r="B58" s="97"/>
      <c r="C58" s="83"/>
      <c r="F58" s="101"/>
      <c r="G58" s="101"/>
      <c r="H58" s="101"/>
      <c r="I58" s="96"/>
      <c r="J58" s="89"/>
      <c r="K58" s="96"/>
      <c r="L58" s="89"/>
      <c r="M58" s="89"/>
      <c r="N58" s="89"/>
      <c r="O58" s="96"/>
      <c r="P58" s="89"/>
      <c r="Q58" s="96"/>
      <c r="R58" s="89"/>
      <c r="S58" s="96"/>
      <c r="T58" s="89"/>
      <c r="U58" s="96"/>
      <c r="V58" s="89"/>
      <c r="W58" s="96"/>
      <c r="X58" s="89"/>
      <c r="Y58" s="96"/>
      <c r="Z58" s="89"/>
      <c r="AA58" s="96"/>
      <c r="AB58" s="89"/>
      <c r="AC58" s="96"/>
      <c r="AD58" s="89"/>
      <c r="AE58" s="96"/>
      <c r="AF58" s="89"/>
      <c r="AG58" s="96"/>
      <c r="AH58" s="89"/>
      <c r="AI58" s="96"/>
      <c r="AJ58" s="89"/>
      <c r="AK58" s="96"/>
      <c r="AL58" s="89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4.25">
      <c r="A59" s="77"/>
      <c r="B59" s="97"/>
      <c r="C59" s="83"/>
      <c r="F59" s="101"/>
      <c r="G59" s="101"/>
      <c r="H59" s="101"/>
      <c r="I59" s="96"/>
      <c r="J59" s="89"/>
      <c r="K59" s="96"/>
      <c r="L59" s="89"/>
      <c r="M59" s="89"/>
      <c r="N59" s="89"/>
      <c r="O59" s="96"/>
      <c r="P59" s="89"/>
      <c r="Q59" s="96"/>
      <c r="R59" s="89"/>
      <c r="S59" s="96"/>
      <c r="T59" s="89"/>
      <c r="U59" s="96"/>
      <c r="V59" s="89"/>
      <c r="W59" s="96"/>
      <c r="X59" s="89"/>
      <c r="Y59" s="96"/>
      <c r="Z59" s="89"/>
      <c r="AA59" s="96"/>
      <c r="AB59" s="89"/>
      <c r="AC59" s="96"/>
      <c r="AD59" s="89"/>
      <c r="AE59" s="96"/>
      <c r="AF59" s="89"/>
      <c r="AG59" s="96"/>
      <c r="AH59" s="89"/>
      <c r="AI59" s="96"/>
      <c r="AJ59" s="89"/>
      <c r="AK59" s="96"/>
      <c r="AL59" s="89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4.25">
      <c r="A60" s="77"/>
      <c r="B60" s="97"/>
      <c r="C60" s="83"/>
      <c r="F60" s="101"/>
      <c r="G60" s="101"/>
      <c r="H60" s="101"/>
      <c r="I60" s="96"/>
      <c r="J60" s="89"/>
      <c r="K60" s="96"/>
      <c r="L60" s="89"/>
      <c r="M60" s="89"/>
      <c r="N60" s="89"/>
      <c r="O60" s="96"/>
      <c r="P60" s="89"/>
      <c r="Q60" s="96"/>
      <c r="R60" s="89"/>
      <c r="S60" s="96"/>
      <c r="T60" s="89"/>
      <c r="U60" s="96"/>
      <c r="V60" s="89"/>
      <c r="W60" s="96"/>
      <c r="X60" s="89"/>
      <c r="Y60" s="96"/>
      <c r="Z60" s="89"/>
      <c r="AA60" s="96"/>
      <c r="AB60" s="89"/>
      <c r="AC60" s="96"/>
      <c r="AD60" s="89"/>
      <c r="AE60" s="96"/>
      <c r="AF60" s="89"/>
      <c r="AG60" s="96"/>
      <c r="AH60" s="89"/>
      <c r="AI60" s="96"/>
      <c r="AJ60" s="89"/>
      <c r="AK60" s="96"/>
      <c r="AL60" s="89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4.25">
      <c r="A61" s="77"/>
      <c r="B61" s="97"/>
      <c r="C61" s="83"/>
      <c r="F61" s="101"/>
      <c r="G61" s="101"/>
      <c r="H61" s="101"/>
      <c r="I61" s="96"/>
      <c r="J61" s="89"/>
      <c r="K61" s="96"/>
      <c r="L61" s="89"/>
      <c r="M61" s="89"/>
      <c r="N61" s="89"/>
      <c r="O61" s="96"/>
      <c r="P61" s="89"/>
      <c r="Q61" s="96"/>
      <c r="R61" s="89"/>
      <c r="S61" s="96"/>
      <c r="T61" s="89"/>
      <c r="U61" s="96"/>
      <c r="V61" s="89"/>
      <c r="W61" s="96"/>
      <c r="X61" s="89"/>
      <c r="Y61" s="96"/>
      <c r="Z61" s="89"/>
      <c r="AA61" s="96"/>
      <c r="AB61" s="89"/>
      <c r="AC61" s="96"/>
      <c r="AD61" s="89"/>
      <c r="AE61" s="96"/>
      <c r="AF61" s="89"/>
      <c r="AG61" s="96"/>
      <c r="AH61" s="89"/>
      <c r="AI61" s="96"/>
      <c r="AJ61" s="89"/>
      <c r="AK61" s="96"/>
      <c r="AL61" s="89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4.25">
      <c r="A62" s="77"/>
      <c r="B62" s="97"/>
      <c r="C62" s="83"/>
      <c r="F62" s="101"/>
      <c r="G62" s="101"/>
      <c r="H62" s="101"/>
      <c r="I62" s="96"/>
      <c r="J62" s="89"/>
      <c r="K62" s="96"/>
      <c r="L62" s="89"/>
      <c r="M62" s="89"/>
      <c r="N62" s="89"/>
      <c r="O62" s="96"/>
      <c r="P62" s="89"/>
      <c r="Q62" s="96"/>
      <c r="R62" s="89"/>
      <c r="S62" s="96"/>
      <c r="T62" s="89"/>
      <c r="U62" s="96"/>
      <c r="V62" s="89"/>
      <c r="W62" s="96"/>
      <c r="X62" s="89"/>
      <c r="Y62" s="96"/>
      <c r="Z62" s="89"/>
      <c r="AA62" s="96"/>
      <c r="AB62" s="89"/>
      <c r="AC62" s="96"/>
      <c r="AD62" s="89"/>
      <c r="AE62" s="96"/>
      <c r="AF62" s="89"/>
      <c r="AG62" s="96"/>
      <c r="AH62" s="89"/>
      <c r="AI62" s="96"/>
      <c r="AJ62" s="89"/>
      <c r="AK62" s="96"/>
      <c r="AL62" s="89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4.25">
      <c r="A63" s="77"/>
      <c r="B63" s="97"/>
      <c r="C63" s="83"/>
      <c r="F63" s="101"/>
      <c r="G63" s="101"/>
      <c r="H63" s="101"/>
      <c r="I63" s="96"/>
      <c r="J63" s="89"/>
      <c r="K63" s="96"/>
      <c r="L63" s="89"/>
      <c r="M63" s="89"/>
      <c r="N63" s="89"/>
      <c r="O63" s="96"/>
      <c r="P63" s="89"/>
      <c r="Q63" s="96"/>
      <c r="R63" s="89"/>
      <c r="S63" s="96"/>
      <c r="T63" s="89"/>
      <c r="U63" s="96"/>
      <c r="V63" s="89"/>
      <c r="W63" s="96"/>
      <c r="X63" s="89"/>
      <c r="Y63" s="96"/>
      <c r="Z63" s="89"/>
      <c r="AA63" s="96"/>
      <c r="AB63" s="89"/>
      <c r="AC63" s="96"/>
      <c r="AD63" s="89"/>
      <c r="AE63" s="96"/>
      <c r="AF63" s="89"/>
      <c r="AG63" s="96"/>
      <c r="AH63" s="89"/>
      <c r="AI63" s="96"/>
      <c r="AJ63" s="89"/>
      <c r="AK63" s="96"/>
      <c r="AL63" s="89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4.25">
      <c r="A64" s="77"/>
      <c r="B64" s="97"/>
      <c r="C64" s="83"/>
      <c r="F64" s="101"/>
      <c r="G64" s="101"/>
      <c r="H64" s="101"/>
      <c r="I64" s="96"/>
      <c r="J64" s="89"/>
      <c r="K64" s="96"/>
      <c r="L64" s="89"/>
      <c r="M64" s="89"/>
      <c r="N64" s="89"/>
      <c r="O64" s="96"/>
      <c r="P64" s="89"/>
      <c r="Q64" s="96"/>
      <c r="R64" s="89"/>
      <c r="S64" s="96"/>
      <c r="T64" s="89"/>
      <c r="U64" s="96"/>
      <c r="V64" s="89"/>
      <c r="W64" s="96"/>
      <c r="X64" s="89"/>
      <c r="Y64" s="96"/>
      <c r="Z64" s="89"/>
      <c r="AA64" s="96"/>
      <c r="AB64" s="89"/>
      <c r="AC64" s="96"/>
      <c r="AD64" s="89"/>
      <c r="AE64" s="96"/>
      <c r="AF64" s="89"/>
      <c r="AG64" s="96"/>
      <c r="AH64" s="89"/>
      <c r="AI64" s="96"/>
      <c r="AJ64" s="89"/>
      <c r="AK64" s="96"/>
      <c r="AL64" s="89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4.25">
      <c r="A65" s="77"/>
      <c r="B65" s="97"/>
      <c r="C65" s="83"/>
      <c r="F65" s="101"/>
      <c r="G65" s="101"/>
      <c r="H65" s="101"/>
      <c r="I65" s="96"/>
      <c r="J65" s="89"/>
      <c r="K65" s="96"/>
      <c r="L65" s="89"/>
      <c r="M65" s="89"/>
      <c r="N65" s="89"/>
      <c r="O65" s="96"/>
      <c r="P65" s="89"/>
      <c r="Q65" s="96"/>
      <c r="R65" s="89"/>
      <c r="S65" s="96"/>
      <c r="T65" s="89"/>
      <c r="U65" s="96"/>
      <c r="V65" s="89"/>
      <c r="W65" s="96"/>
      <c r="X65" s="89"/>
      <c r="Y65" s="96"/>
      <c r="Z65" s="89"/>
      <c r="AA65" s="96"/>
      <c r="AB65" s="89"/>
      <c r="AC65" s="96"/>
      <c r="AD65" s="89"/>
      <c r="AE65" s="96"/>
      <c r="AF65" s="89"/>
      <c r="AG65" s="96"/>
      <c r="AH65" s="89"/>
      <c r="AI65" s="96"/>
      <c r="AJ65" s="89"/>
      <c r="AK65" s="96"/>
      <c r="AL65" s="89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4.25">
      <c r="A66" s="77"/>
      <c r="B66" s="97"/>
      <c r="C66" s="83"/>
      <c r="F66" s="101"/>
      <c r="G66" s="101"/>
      <c r="H66" s="101"/>
      <c r="I66" s="96"/>
      <c r="J66" s="89"/>
      <c r="K66" s="96"/>
      <c r="L66" s="89"/>
      <c r="M66" s="89"/>
      <c r="N66" s="89"/>
      <c r="O66" s="96"/>
      <c r="P66" s="89"/>
      <c r="Q66" s="96"/>
      <c r="R66" s="89"/>
      <c r="S66" s="96"/>
      <c r="T66" s="89"/>
      <c r="U66" s="96"/>
      <c r="V66" s="89"/>
      <c r="W66" s="96"/>
      <c r="X66" s="89"/>
      <c r="Y66" s="96"/>
      <c r="Z66" s="89"/>
      <c r="AA66" s="96"/>
      <c r="AB66" s="89"/>
      <c r="AC66" s="96"/>
      <c r="AD66" s="89"/>
      <c r="AE66" s="96"/>
      <c r="AF66" s="89"/>
      <c r="AG66" s="96"/>
      <c r="AH66" s="89"/>
      <c r="AI66" s="96"/>
      <c r="AJ66" s="89"/>
      <c r="AK66" s="96"/>
      <c r="AL66" s="89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4.25">
      <c r="A67" s="77"/>
      <c r="B67" s="97"/>
      <c r="C67" s="83"/>
      <c r="F67" s="101"/>
      <c r="G67" s="101"/>
      <c r="H67" s="101"/>
      <c r="I67" s="96"/>
      <c r="J67" s="89"/>
      <c r="K67" s="96"/>
      <c r="L67" s="89"/>
      <c r="M67" s="89"/>
      <c r="N67" s="89"/>
      <c r="O67" s="96"/>
      <c r="P67" s="89"/>
      <c r="Q67" s="96"/>
      <c r="R67" s="89"/>
      <c r="S67" s="96"/>
      <c r="T67" s="89"/>
      <c r="U67" s="96"/>
      <c r="V67" s="89"/>
      <c r="W67" s="96"/>
      <c r="X67" s="89"/>
      <c r="Y67" s="96"/>
      <c r="Z67" s="89"/>
      <c r="AA67" s="96"/>
      <c r="AB67" s="89"/>
      <c r="AC67" s="96"/>
      <c r="AD67" s="89"/>
      <c r="AE67" s="96"/>
      <c r="AF67" s="89"/>
      <c r="AG67" s="96"/>
      <c r="AH67" s="89"/>
      <c r="AI67" s="96"/>
      <c r="AJ67" s="89"/>
      <c r="AK67" s="96"/>
      <c r="AL67" s="89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4.25">
      <c r="A68" s="77"/>
      <c r="B68" s="97"/>
      <c r="C68" s="83"/>
      <c r="F68" s="101"/>
      <c r="G68" s="101"/>
      <c r="H68" s="101"/>
      <c r="I68" s="96"/>
      <c r="J68" s="89"/>
      <c r="K68" s="96"/>
      <c r="L68" s="89"/>
      <c r="M68" s="89"/>
      <c r="N68" s="89"/>
      <c r="O68" s="96"/>
      <c r="P68" s="89"/>
      <c r="Q68" s="96"/>
      <c r="R68" s="89"/>
      <c r="S68" s="96"/>
      <c r="T68" s="89"/>
      <c r="U68" s="96"/>
      <c r="V68" s="89"/>
      <c r="W68" s="96"/>
      <c r="X68" s="89"/>
      <c r="Y68" s="96"/>
      <c r="Z68" s="89"/>
      <c r="AA68" s="96"/>
      <c r="AB68" s="89"/>
      <c r="AC68" s="96"/>
      <c r="AD68" s="89"/>
      <c r="AE68" s="96"/>
      <c r="AF68" s="89"/>
      <c r="AG68" s="96"/>
      <c r="AH68" s="89"/>
      <c r="AI68" s="96"/>
      <c r="AJ68" s="89"/>
      <c r="AK68" s="96"/>
      <c r="AL68" s="89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4.25">
      <c r="A69" s="77"/>
      <c r="B69" s="97"/>
      <c r="C69" s="83"/>
      <c r="F69" s="101"/>
      <c r="G69" s="101"/>
      <c r="H69" s="101"/>
      <c r="I69" s="96"/>
      <c r="J69" s="89"/>
      <c r="K69" s="96"/>
      <c r="L69" s="89"/>
      <c r="M69" s="89"/>
      <c r="N69" s="89"/>
      <c r="O69" s="96"/>
      <c r="P69" s="89"/>
      <c r="Q69" s="96"/>
      <c r="R69" s="89"/>
      <c r="S69" s="96"/>
      <c r="T69" s="89"/>
      <c r="U69" s="96"/>
      <c r="V69" s="89"/>
      <c r="W69" s="96"/>
      <c r="X69" s="89"/>
      <c r="Y69" s="96"/>
      <c r="Z69" s="89"/>
      <c r="AA69" s="96"/>
      <c r="AB69" s="89"/>
      <c r="AC69" s="96"/>
      <c r="AD69" s="89"/>
      <c r="AE69" s="96"/>
      <c r="AF69" s="89"/>
      <c r="AG69" s="96"/>
      <c r="AH69" s="89"/>
      <c r="AI69" s="96"/>
      <c r="AJ69" s="89"/>
      <c r="AK69" s="96"/>
      <c r="AL69" s="89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4.25">
      <c r="A70" s="77"/>
      <c r="B70" s="97"/>
      <c r="C70" s="83"/>
      <c r="F70" s="101"/>
      <c r="G70" s="101"/>
      <c r="H70" s="101"/>
      <c r="I70" s="96"/>
      <c r="J70" s="89"/>
      <c r="K70" s="96"/>
      <c r="L70" s="89"/>
      <c r="M70" s="89"/>
      <c r="N70" s="89"/>
      <c r="O70" s="96"/>
      <c r="P70" s="89"/>
      <c r="Q70" s="96"/>
      <c r="R70" s="89"/>
      <c r="S70" s="96"/>
      <c r="T70" s="89"/>
      <c r="U70" s="96"/>
      <c r="V70" s="89"/>
      <c r="W70" s="96"/>
      <c r="X70" s="89"/>
      <c r="Y70" s="96"/>
      <c r="Z70" s="89"/>
      <c r="AA70" s="96"/>
      <c r="AB70" s="89"/>
      <c r="AC70" s="96"/>
      <c r="AD70" s="89"/>
      <c r="AE70" s="96"/>
      <c r="AF70" s="89"/>
      <c r="AG70" s="96"/>
      <c r="AH70" s="89"/>
      <c r="AI70" s="96"/>
      <c r="AJ70" s="89"/>
      <c r="AK70" s="96"/>
      <c r="AL70" s="89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4.25">
      <c r="A71" s="77"/>
      <c r="B71" s="97"/>
      <c r="C71" s="83"/>
      <c r="F71" s="101"/>
      <c r="G71" s="101"/>
      <c r="H71" s="101"/>
      <c r="I71" s="96"/>
      <c r="J71" s="89"/>
      <c r="K71" s="96"/>
      <c r="L71" s="89"/>
      <c r="M71" s="89"/>
      <c r="N71" s="89"/>
      <c r="O71" s="96"/>
      <c r="P71" s="89"/>
      <c r="Q71" s="96"/>
      <c r="R71" s="89"/>
      <c r="S71" s="96"/>
      <c r="T71" s="89"/>
      <c r="U71" s="96"/>
      <c r="V71" s="89"/>
      <c r="W71" s="96"/>
      <c r="X71" s="89"/>
      <c r="Y71" s="96"/>
      <c r="Z71" s="89"/>
      <c r="AA71" s="96"/>
      <c r="AB71" s="89"/>
      <c r="AC71" s="96"/>
      <c r="AD71" s="89"/>
      <c r="AE71" s="96"/>
      <c r="AF71" s="89"/>
      <c r="AG71" s="96"/>
      <c r="AH71" s="89"/>
      <c r="AI71" s="96"/>
      <c r="AJ71" s="89"/>
      <c r="AK71" s="96"/>
      <c r="AL71" s="89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4.25">
      <c r="A72" s="77"/>
      <c r="B72" s="97"/>
      <c r="C72" s="83"/>
      <c r="F72" s="101"/>
      <c r="G72" s="101"/>
      <c r="H72" s="101"/>
      <c r="I72" s="96"/>
      <c r="J72" s="89"/>
      <c r="K72" s="96"/>
      <c r="L72" s="89"/>
      <c r="M72" s="89"/>
      <c r="N72" s="89"/>
      <c r="O72" s="96"/>
      <c r="P72" s="89"/>
      <c r="Q72" s="96"/>
      <c r="R72" s="89"/>
      <c r="S72" s="96"/>
      <c r="T72" s="89"/>
      <c r="U72" s="96"/>
      <c r="V72" s="89"/>
      <c r="W72" s="96"/>
      <c r="X72" s="89"/>
      <c r="Y72" s="96"/>
      <c r="Z72" s="89"/>
      <c r="AA72" s="96"/>
      <c r="AB72" s="89"/>
      <c r="AC72" s="96"/>
      <c r="AD72" s="89"/>
      <c r="AE72" s="96"/>
      <c r="AF72" s="89"/>
      <c r="AG72" s="96"/>
      <c r="AH72" s="89"/>
      <c r="AI72" s="96"/>
      <c r="AJ72" s="89"/>
      <c r="AK72" s="96"/>
      <c r="AL72" s="89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4.25">
      <c r="A73" s="77"/>
      <c r="B73" s="97"/>
      <c r="C73" s="83"/>
      <c r="F73" s="101"/>
      <c r="G73" s="101"/>
      <c r="H73" s="101"/>
      <c r="I73" s="96"/>
      <c r="J73" s="89"/>
      <c r="K73" s="96"/>
      <c r="L73" s="89"/>
      <c r="M73" s="89"/>
      <c r="N73" s="89"/>
      <c r="O73" s="96"/>
      <c r="P73" s="89"/>
      <c r="Q73" s="96"/>
      <c r="R73" s="89"/>
      <c r="S73" s="96"/>
      <c r="T73" s="89"/>
      <c r="U73" s="96"/>
      <c r="V73" s="89"/>
      <c r="W73" s="96"/>
      <c r="X73" s="89"/>
      <c r="Y73" s="96"/>
      <c r="Z73" s="89"/>
      <c r="AA73" s="96"/>
      <c r="AB73" s="89"/>
      <c r="AC73" s="96"/>
      <c r="AD73" s="89"/>
      <c r="AE73" s="96"/>
      <c r="AF73" s="89"/>
      <c r="AG73" s="96"/>
      <c r="AH73" s="89"/>
      <c r="AI73" s="96"/>
      <c r="AJ73" s="89"/>
      <c r="AK73" s="96"/>
      <c r="AL73" s="89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4.25">
      <c r="A74" s="77"/>
      <c r="B74" s="97"/>
      <c r="C74" s="83"/>
      <c r="F74" s="101"/>
      <c r="G74" s="101"/>
      <c r="H74" s="101"/>
      <c r="I74" s="96"/>
      <c r="J74" s="89"/>
      <c r="K74" s="96"/>
      <c r="L74" s="89"/>
      <c r="M74" s="89"/>
      <c r="N74" s="89"/>
      <c r="O74" s="96"/>
      <c r="P74" s="89"/>
      <c r="Q74" s="96"/>
      <c r="R74" s="89"/>
      <c r="S74" s="96"/>
      <c r="T74" s="89"/>
      <c r="U74" s="96"/>
      <c r="V74" s="89"/>
      <c r="W74" s="96"/>
      <c r="X74" s="89"/>
      <c r="Y74" s="96"/>
      <c r="Z74" s="89"/>
      <c r="AA74" s="96"/>
      <c r="AB74" s="89"/>
      <c r="AC74" s="96"/>
      <c r="AD74" s="89"/>
      <c r="AE74" s="96"/>
      <c r="AF74" s="89"/>
      <c r="AG74" s="96"/>
      <c r="AH74" s="89"/>
      <c r="AI74" s="96"/>
      <c r="AJ74" s="89"/>
      <c r="AK74" s="96"/>
      <c r="AL74" s="89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4.25">
      <c r="A75" s="77"/>
      <c r="B75" s="97"/>
      <c r="C75" s="83"/>
      <c r="F75" s="101"/>
      <c r="G75" s="101"/>
      <c r="H75" s="101"/>
      <c r="I75" s="96"/>
      <c r="J75" s="89"/>
      <c r="K75" s="96"/>
      <c r="L75" s="89"/>
      <c r="M75" s="89"/>
      <c r="N75" s="89"/>
      <c r="O75" s="96"/>
      <c r="P75" s="89"/>
      <c r="Q75" s="96"/>
      <c r="R75" s="89"/>
      <c r="S75" s="96"/>
      <c r="T75" s="89"/>
      <c r="U75" s="96"/>
      <c r="V75" s="89"/>
      <c r="W75" s="96"/>
      <c r="X75" s="89"/>
      <c r="Y75" s="96"/>
      <c r="Z75" s="89"/>
      <c r="AA75" s="96"/>
      <c r="AB75" s="89"/>
      <c r="AC75" s="96"/>
      <c r="AD75" s="89"/>
      <c r="AE75" s="96"/>
      <c r="AF75" s="89"/>
      <c r="AG75" s="96"/>
      <c r="AH75" s="89"/>
      <c r="AI75" s="96"/>
      <c r="AJ75" s="89"/>
      <c r="AK75" s="96"/>
      <c r="AL75" s="89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4.25">
      <c r="A76" s="77"/>
      <c r="B76" s="97"/>
      <c r="C76" s="83"/>
      <c r="F76" s="101"/>
      <c r="G76" s="101"/>
      <c r="H76" s="101"/>
      <c r="I76" s="96"/>
      <c r="J76" s="89"/>
      <c r="K76" s="96"/>
      <c r="L76" s="89"/>
      <c r="M76" s="89"/>
      <c r="N76" s="89"/>
      <c r="O76" s="96"/>
      <c r="P76" s="89"/>
      <c r="Q76" s="96"/>
      <c r="R76" s="89"/>
      <c r="S76" s="96"/>
      <c r="T76" s="89"/>
      <c r="U76" s="96"/>
      <c r="V76" s="89"/>
      <c r="W76" s="96"/>
      <c r="X76" s="89"/>
      <c r="Y76" s="96"/>
      <c r="Z76" s="89"/>
      <c r="AA76" s="96"/>
      <c r="AB76" s="89"/>
      <c r="AC76" s="96"/>
      <c r="AD76" s="89"/>
      <c r="AE76" s="96"/>
      <c r="AF76" s="89"/>
      <c r="AG76" s="96"/>
      <c r="AH76" s="89"/>
      <c r="AI76" s="96"/>
      <c r="AJ76" s="89"/>
      <c r="AK76" s="96"/>
      <c r="AL76" s="89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4.25">
      <c r="A77" s="77"/>
      <c r="B77" s="97"/>
      <c r="C77" s="83"/>
      <c r="F77" s="101"/>
      <c r="G77" s="101"/>
      <c r="H77" s="101"/>
      <c r="I77" s="96"/>
      <c r="J77" s="89"/>
      <c r="K77" s="96"/>
      <c r="L77" s="89"/>
      <c r="M77" s="89"/>
      <c r="N77" s="89"/>
      <c r="O77" s="96"/>
      <c r="P77" s="89"/>
      <c r="Q77" s="96"/>
      <c r="R77" s="89"/>
      <c r="S77" s="96"/>
      <c r="T77" s="89"/>
      <c r="U77" s="96"/>
      <c r="V77" s="89"/>
      <c r="W77" s="96"/>
      <c r="X77" s="89"/>
      <c r="Y77" s="96"/>
      <c r="Z77" s="89"/>
      <c r="AA77" s="96"/>
      <c r="AB77" s="89"/>
      <c r="AC77" s="96"/>
      <c r="AD77" s="89"/>
      <c r="AE77" s="96"/>
      <c r="AF77" s="89"/>
      <c r="AG77" s="96"/>
      <c r="AH77" s="89"/>
      <c r="AI77" s="96"/>
      <c r="AJ77" s="89"/>
      <c r="AK77" s="96"/>
      <c r="AL77" s="89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4.25">
      <c r="A78" s="77"/>
      <c r="B78" s="97"/>
      <c r="C78" s="83"/>
      <c r="F78" s="101"/>
      <c r="G78" s="101"/>
      <c r="H78" s="101"/>
      <c r="I78" s="96"/>
      <c r="J78" s="89"/>
      <c r="K78" s="96"/>
      <c r="L78" s="89"/>
      <c r="M78" s="89"/>
      <c r="N78" s="89"/>
      <c r="O78" s="96"/>
      <c r="P78" s="89"/>
      <c r="Q78" s="96"/>
      <c r="R78" s="89"/>
      <c r="S78" s="96"/>
      <c r="T78" s="89"/>
      <c r="U78" s="96"/>
      <c r="V78" s="89"/>
      <c r="W78" s="96"/>
      <c r="X78" s="89"/>
      <c r="Y78" s="96"/>
      <c r="Z78" s="89"/>
      <c r="AA78" s="96"/>
      <c r="AB78" s="89"/>
      <c r="AC78" s="96"/>
      <c r="AD78" s="89"/>
      <c r="AE78" s="96"/>
      <c r="AF78" s="89"/>
      <c r="AG78" s="96"/>
      <c r="AH78" s="89"/>
      <c r="AI78" s="96"/>
      <c r="AJ78" s="89"/>
      <c r="AK78" s="96"/>
      <c r="AL78" s="89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4.25">
      <c r="A79" s="77"/>
      <c r="B79" s="97"/>
      <c r="C79" s="83"/>
      <c r="F79" s="101"/>
      <c r="G79" s="101"/>
      <c r="H79" s="101"/>
      <c r="I79" s="96"/>
      <c r="J79" s="89"/>
      <c r="K79" s="96"/>
      <c r="L79" s="89"/>
      <c r="M79" s="89"/>
      <c r="N79" s="89"/>
      <c r="O79" s="96"/>
      <c r="P79" s="89"/>
      <c r="Q79" s="96"/>
      <c r="R79" s="89"/>
      <c r="S79" s="96"/>
      <c r="T79" s="89"/>
      <c r="U79" s="96"/>
      <c r="V79" s="89"/>
      <c r="W79" s="96"/>
      <c r="X79" s="89"/>
      <c r="Y79" s="96"/>
      <c r="Z79" s="89"/>
      <c r="AA79" s="96"/>
      <c r="AB79" s="89"/>
      <c r="AC79" s="96"/>
      <c r="AD79" s="89"/>
      <c r="AE79" s="96"/>
      <c r="AF79" s="89"/>
      <c r="AG79" s="96"/>
      <c r="AH79" s="89"/>
      <c r="AI79" s="96"/>
      <c r="AJ79" s="89"/>
      <c r="AK79" s="96"/>
      <c r="AL79" s="89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4.25">
      <c r="A80" s="77"/>
      <c r="B80" s="97"/>
      <c r="C80" s="83"/>
      <c r="F80" s="101"/>
      <c r="G80" s="101"/>
      <c r="H80" s="101"/>
      <c r="I80" s="96"/>
      <c r="J80" s="89"/>
      <c r="K80" s="96"/>
      <c r="L80" s="89"/>
      <c r="M80" s="89"/>
      <c r="N80" s="89"/>
      <c r="O80" s="96"/>
      <c r="P80" s="89"/>
      <c r="Q80" s="96"/>
      <c r="R80" s="89"/>
      <c r="S80" s="96"/>
      <c r="T80" s="89"/>
      <c r="U80" s="96"/>
      <c r="V80" s="89"/>
      <c r="W80" s="96"/>
      <c r="X80" s="89"/>
      <c r="Y80" s="96"/>
      <c r="Z80" s="89"/>
      <c r="AA80" s="96"/>
      <c r="AB80" s="89"/>
      <c r="AC80" s="96"/>
      <c r="AD80" s="89"/>
      <c r="AE80" s="96"/>
      <c r="AF80" s="89"/>
      <c r="AG80" s="96"/>
      <c r="AH80" s="89"/>
      <c r="AI80" s="96"/>
      <c r="AJ80" s="89"/>
      <c r="AK80" s="96"/>
      <c r="AL80" s="89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4.25">
      <c r="A81" s="77"/>
      <c r="B81" s="97"/>
      <c r="C81" s="83"/>
      <c r="F81" s="101"/>
      <c r="G81" s="101"/>
      <c r="H81" s="101"/>
      <c r="I81" s="96"/>
      <c r="J81" s="89"/>
      <c r="K81" s="96"/>
      <c r="L81" s="89"/>
      <c r="M81" s="89"/>
      <c r="N81" s="89"/>
      <c r="O81" s="96"/>
      <c r="P81" s="89"/>
      <c r="Q81" s="96"/>
      <c r="R81" s="89"/>
      <c r="S81" s="96"/>
      <c r="T81" s="89"/>
      <c r="U81" s="96"/>
      <c r="V81" s="89"/>
      <c r="W81" s="96"/>
      <c r="X81" s="89"/>
      <c r="Y81" s="96"/>
      <c r="Z81" s="89"/>
      <c r="AA81" s="96"/>
      <c r="AB81" s="89"/>
      <c r="AC81" s="96"/>
      <c r="AD81" s="89"/>
      <c r="AE81" s="96"/>
      <c r="AF81" s="89"/>
      <c r="AG81" s="96"/>
      <c r="AH81" s="89"/>
      <c r="AI81" s="96"/>
      <c r="AJ81" s="89"/>
      <c r="AK81" s="96"/>
      <c r="AL81" s="89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4.25">
      <c r="A82" s="77"/>
      <c r="B82" s="97"/>
      <c r="C82" s="83"/>
      <c r="F82" s="101"/>
      <c r="G82" s="101"/>
      <c r="H82" s="101"/>
      <c r="I82" s="96"/>
      <c r="J82" s="89"/>
      <c r="K82" s="96"/>
      <c r="L82" s="89"/>
      <c r="M82" s="89"/>
      <c r="N82" s="89"/>
      <c r="O82" s="96"/>
      <c r="P82" s="89"/>
      <c r="Q82" s="96"/>
      <c r="R82" s="89"/>
      <c r="S82" s="96"/>
      <c r="T82" s="89"/>
      <c r="U82" s="96"/>
      <c r="V82" s="89"/>
      <c r="W82" s="96"/>
      <c r="X82" s="89"/>
      <c r="Y82" s="96"/>
      <c r="Z82" s="89"/>
      <c r="AA82" s="96"/>
      <c r="AB82" s="89"/>
      <c r="AC82" s="96"/>
      <c r="AD82" s="89"/>
      <c r="AE82" s="96"/>
      <c r="AF82" s="89"/>
      <c r="AG82" s="96"/>
      <c r="AH82" s="89"/>
      <c r="AI82" s="96"/>
      <c r="AJ82" s="89"/>
      <c r="AK82" s="96"/>
      <c r="AL82" s="89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4.25">
      <c r="A83" s="77"/>
      <c r="B83" s="97"/>
      <c r="C83" s="83"/>
      <c r="F83" s="101"/>
      <c r="G83" s="101"/>
      <c r="H83" s="101"/>
      <c r="I83" s="96"/>
      <c r="J83" s="89"/>
      <c r="K83" s="96"/>
      <c r="L83" s="89"/>
      <c r="M83" s="89"/>
      <c r="N83" s="89"/>
      <c r="O83" s="96"/>
      <c r="P83" s="89"/>
      <c r="Q83" s="96"/>
      <c r="R83" s="89"/>
      <c r="S83" s="96"/>
      <c r="T83" s="89"/>
      <c r="U83" s="96"/>
      <c r="V83" s="89"/>
      <c r="W83" s="96"/>
      <c r="X83" s="89"/>
      <c r="Y83" s="96"/>
      <c r="Z83" s="89"/>
      <c r="AA83" s="96"/>
      <c r="AB83" s="89"/>
      <c r="AC83" s="96"/>
      <c r="AD83" s="89"/>
      <c r="AE83" s="96"/>
      <c r="AF83" s="89"/>
      <c r="AG83" s="96"/>
      <c r="AH83" s="89"/>
      <c r="AI83" s="96"/>
      <c r="AJ83" s="89"/>
      <c r="AK83" s="96"/>
      <c r="AL83" s="89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4.25">
      <c r="A84" s="77"/>
      <c r="B84" s="97"/>
      <c r="C84" s="83"/>
      <c r="F84" s="101"/>
      <c r="G84" s="101"/>
      <c r="H84" s="101"/>
      <c r="I84" s="96"/>
      <c r="J84" s="89"/>
      <c r="K84" s="96"/>
      <c r="L84" s="89"/>
      <c r="M84" s="89"/>
      <c r="N84" s="89"/>
      <c r="O84" s="96"/>
      <c r="P84" s="89"/>
      <c r="Q84" s="96"/>
      <c r="R84" s="89"/>
      <c r="S84" s="96"/>
      <c r="T84" s="89"/>
      <c r="U84" s="96"/>
      <c r="V84" s="89"/>
      <c r="W84" s="96"/>
      <c r="X84" s="89"/>
      <c r="Y84" s="96"/>
      <c r="Z84" s="89"/>
      <c r="AA84" s="96"/>
      <c r="AB84" s="89"/>
      <c r="AC84" s="96"/>
      <c r="AD84" s="89"/>
      <c r="AE84" s="96"/>
      <c r="AF84" s="89"/>
      <c r="AG84" s="96"/>
      <c r="AH84" s="89"/>
      <c r="AI84" s="96"/>
      <c r="AJ84" s="89"/>
      <c r="AK84" s="96"/>
      <c r="AL84" s="89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4.25">
      <c r="A85" s="77"/>
      <c r="B85" s="97"/>
      <c r="C85" s="83"/>
      <c r="F85" s="101"/>
      <c r="G85" s="101"/>
      <c r="H85" s="101"/>
      <c r="I85" s="96"/>
      <c r="J85" s="89"/>
      <c r="K85" s="96"/>
      <c r="L85" s="89"/>
      <c r="M85" s="89"/>
      <c r="N85" s="89"/>
      <c r="O85" s="96"/>
      <c r="P85" s="89"/>
      <c r="Q85" s="96"/>
      <c r="R85" s="89"/>
      <c r="S85" s="96"/>
      <c r="T85" s="89"/>
      <c r="U85" s="96"/>
      <c r="V85" s="89"/>
      <c r="W85" s="96"/>
      <c r="X85" s="89"/>
      <c r="Y85" s="96"/>
      <c r="Z85" s="89"/>
      <c r="AA85" s="96"/>
      <c r="AB85" s="89"/>
      <c r="AC85" s="96"/>
      <c r="AD85" s="89"/>
      <c r="AE85" s="96"/>
      <c r="AF85" s="89"/>
      <c r="AG85" s="96"/>
      <c r="AH85" s="89"/>
      <c r="AI85" s="96"/>
      <c r="AJ85" s="89"/>
      <c r="AK85" s="96"/>
      <c r="AL85" s="89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4.25">
      <c r="A86" s="77"/>
      <c r="B86" s="97"/>
      <c r="C86" s="83"/>
      <c r="F86" s="101"/>
      <c r="G86" s="101"/>
      <c r="H86" s="101"/>
      <c r="I86" s="96"/>
      <c r="J86" s="89"/>
      <c r="K86" s="96"/>
      <c r="L86" s="89"/>
      <c r="M86" s="89"/>
      <c r="N86" s="89"/>
      <c r="O86" s="96"/>
      <c r="P86" s="89"/>
      <c r="Q86" s="96"/>
      <c r="R86" s="89"/>
      <c r="S86" s="96"/>
      <c r="T86" s="89"/>
      <c r="U86" s="96"/>
      <c r="V86" s="89"/>
      <c r="W86" s="96"/>
      <c r="X86" s="89"/>
      <c r="Y86" s="96"/>
      <c r="Z86" s="89"/>
      <c r="AA86" s="96"/>
      <c r="AB86" s="89"/>
      <c r="AC86" s="96"/>
      <c r="AD86" s="89"/>
      <c r="AE86" s="96"/>
      <c r="AF86" s="89"/>
      <c r="AG86" s="96"/>
      <c r="AH86" s="89"/>
      <c r="AI86" s="96"/>
      <c r="AJ86" s="89"/>
      <c r="AK86" s="96"/>
      <c r="AL86" s="89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4.25">
      <c r="A87" s="77"/>
      <c r="B87" s="97"/>
      <c r="C87" s="83"/>
      <c r="F87" s="101"/>
      <c r="G87" s="101"/>
      <c r="H87" s="101"/>
      <c r="I87" s="96"/>
      <c r="J87" s="89"/>
      <c r="K87" s="96"/>
      <c r="L87" s="89"/>
      <c r="M87" s="89"/>
      <c r="N87" s="89"/>
      <c r="O87" s="96"/>
      <c r="P87" s="89"/>
      <c r="Q87" s="96"/>
      <c r="R87" s="89"/>
      <c r="S87" s="96"/>
      <c r="T87" s="89"/>
      <c r="U87" s="96"/>
      <c r="V87" s="89"/>
      <c r="W87" s="96"/>
      <c r="X87" s="89"/>
      <c r="Y87" s="96"/>
      <c r="Z87" s="89"/>
      <c r="AA87" s="96"/>
      <c r="AB87" s="89"/>
      <c r="AC87" s="96"/>
      <c r="AD87" s="89"/>
      <c r="AE87" s="96"/>
      <c r="AF87" s="89"/>
      <c r="AG87" s="96"/>
      <c r="AH87" s="89"/>
      <c r="AI87" s="96"/>
      <c r="AJ87" s="89"/>
      <c r="AK87" s="96"/>
      <c r="AL87" s="89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4.25">
      <c r="A88" s="77"/>
      <c r="B88" s="97"/>
      <c r="C88" s="83"/>
      <c r="F88" s="101"/>
      <c r="G88" s="101"/>
      <c r="H88" s="101"/>
      <c r="I88" s="96"/>
      <c r="J88" s="89"/>
      <c r="K88" s="96"/>
      <c r="L88" s="89"/>
      <c r="M88" s="89"/>
      <c r="N88" s="89"/>
      <c r="O88" s="96"/>
      <c r="P88" s="89"/>
      <c r="Q88" s="96"/>
      <c r="R88" s="89"/>
      <c r="S88" s="96"/>
      <c r="T88" s="89"/>
      <c r="U88" s="96"/>
      <c r="V88" s="89"/>
      <c r="W88" s="96"/>
      <c r="X88" s="89"/>
      <c r="Y88" s="96"/>
      <c r="Z88" s="89"/>
      <c r="AA88" s="96"/>
      <c r="AB88" s="89"/>
      <c r="AC88" s="96"/>
      <c r="AD88" s="89"/>
      <c r="AE88" s="96"/>
      <c r="AF88" s="89"/>
      <c r="AG88" s="96"/>
      <c r="AH88" s="89"/>
      <c r="AI88" s="96"/>
      <c r="AJ88" s="89"/>
      <c r="AK88" s="96"/>
      <c r="AL88" s="89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4.25">
      <c r="A89" s="77"/>
      <c r="B89" s="97"/>
      <c r="C89" s="83"/>
      <c r="F89" s="101"/>
      <c r="G89" s="101"/>
      <c r="H89" s="101"/>
      <c r="I89" s="96"/>
      <c r="J89" s="89"/>
      <c r="K89" s="96"/>
      <c r="L89" s="89"/>
      <c r="M89" s="89"/>
      <c r="N89" s="89"/>
      <c r="O89" s="96"/>
      <c r="P89" s="89"/>
      <c r="Q89" s="96"/>
      <c r="R89" s="89"/>
      <c r="S89" s="96"/>
      <c r="T89" s="89"/>
      <c r="U89" s="96"/>
      <c r="V89" s="89"/>
      <c r="W89" s="96"/>
      <c r="X89" s="89"/>
      <c r="Y89" s="96"/>
      <c r="Z89" s="89"/>
      <c r="AA89" s="96"/>
      <c r="AB89" s="89"/>
      <c r="AC89" s="96"/>
      <c r="AD89" s="89"/>
      <c r="AE89" s="96"/>
      <c r="AF89" s="89"/>
      <c r="AG89" s="96"/>
      <c r="AH89" s="89"/>
      <c r="AI89" s="96"/>
      <c r="AJ89" s="89"/>
      <c r="AK89" s="96"/>
      <c r="AL89" s="89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4.25">
      <c r="A90" s="77"/>
      <c r="B90" s="97"/>
      <c r="C90" s="83"/>
      <c r="F90" s="101"/>
      <c r="G90" s="101"/>
      <c r="H90" s="101"/>
      <c r="I90" s="96"/>
      <c r="J90" s="89"/>
      <c r="K90" s="96"/>
      <c r="L90" s="89"/>
      <c r="M90" s="89"/>
      <c r="N90" s="89"/>
      <c r="O90" s="96"/>
      <c r="P90" s="89"/>
      <c r="Q90" s="96"/>
      <c r="R90" s="89"/>
      <c r="S90" s="96"/>
      <c r="T90" s="89"/>
      <c r="U90" s="96"/>
      <c r="V90" s="89"/>
      <c r="W90" s="96"/>
      <c r="X90" s="89"/>
      <c r="Y90" s="96"/>
      <c r="Z90" s="89"/>
      <c r="AA90" s="96"/>
      <c r="AB90" s="89"/>
      <c r="AC90" s="96"/>
      <c r="AD90" s="89"/>
      <c r="AE90" s="96"/>
      <c r="AF90" s="89"/>
      <c r="AG90" s="96"/>
      <c r="AH90" s="89"/>
      <c r="AI90" s="96"/>
      <c r="AJ90" s="89"/>
      <c r="AK90" s="96"/>
      <c r="AL90" s="89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4.25">
      <c r="A91" s="77"/>
      <c r="B91" s="97"/>
      <c r="C91" s="83"/>
      <c r="F91" s="101"/>
      <c r="G91" s="101"/>
      <c r="H91" s="101"/>
      <c r="I91" s="96"/>
      <c r="J91" s="89"/>
      <c r="K91" s="96"/>
      <c r="L91" s="89"/>
      <c r="M91" s="89"/>
      <c r="N91" s="89"/>
      <c r="O91" s="96"/>
      <c r="P91" s="89"/>
      <c r="Q91" s="96"/>
      <c r="R91" s="89"/>
      <c r="S91" s="96"/>
      <c r="T91" s="89"/>
      <c r="U91" s="96"/>
      <c r="V91" s="89"/>
      <c r="W91" s="96"/>
      <c r="X91" s="89"/>
      <c r="Y91" s="96"/>
      <c r="Z91" s="89"/>
      <c r="AA91" s="96"/>
      <c r="AB91" s="89"/>
      <c r="AC91" s="96"/>
      <c r="AD91" s="89"/>
      <c r="AE91" s="96"/>
      <c r="AF91" s="89"/>
      <c r="AG91" s="96"/>
      <c r="AH91" s="89"/>
      <c r="AI91" s="96"/>
      <c r="AJ91" s="89"/>
      <c r="AK91" s="96"/>
      <c r="AL91" s="89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4.25">
      <c r="A92" s="77"/>
      <c r="B92" s="97"/>
      <c r="C92" s="83"/>
      <c r="F92" s="101"/>
      <c r="G92" s="101"/>
      <c r="H92" s="101"/>
      <c r="I92" s="96"/>
      <c r="J92" s="89"/>
      <c r="K92" s="96"/>
      <c r="L92" s="89"/>
      <c r="M92" s="89"/>
      <c r="N92" s="89"/>
      <c r="O92" s="96"/>
      <c r="P92" s="89"/>
      <c r="Q92" s="96"/>
      <c r="R92" s="89"/>
      <c r="S92" s="96"/>
      <c r="T92" s="89"/>
      <c r="U92" s="96"/>
      <c r="V92" s="89"/>
      <c r="W92" s="96"/>
      <c r="X92" s="89"/>
      <c r="Y92" s="96"/>
      <c r="Z92" s="89"/>
      <c r="AA92" s="96"/>
      <c r="AB92" s="89"/>
      <c r="AC92" s="96"/>
      <c r="AD92" s="89"/>
      <c r="AE92" s="96"/>
      <c r="AF92" s="89"/>
      <c r="AG92" s="96"/>
      <c r="AH92" s="89"/>
      <c r="AI92" s="96"/>
      <c r="AJ92" s="89"/>
      <c r="AK92" s="96"/>
      <c r="AL92" s="89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4.25">
      <c r="A93" s="77"/>
      <c r="B93" s="97"/>
      <c r="C93" s="83"/>
      <c r="F93" s="101"/>
      <c r="G93" s="101"/>
      <c r="H93" s="101"/>
      <c r="I93" s="96"/>
      <c r="J93" s="89"/>
      <c r="K93" s="96"/>
      <c r="L93" s="89"/>
      <c r="M93" s="89"/>
      <c r="N93" s="89"/>
      <c r="O93" s="96"/>
      <c r="P93" s="89"/>
      <c r="Q93" s="96"/>
      <c r="R93" s="89"/>
      <c r="S93" s="96"/>
      <c r="T93" s="89"/>
      <c r="U93" s="96"/>
      <c r="V93" s="89"/>
      <c r="W93" s="96"/>
      <c r="X93" s="89"/>
      <c r="Y93" s="96"/>
      <c r="Z93" s="89"/>
      <c r="AA93" s="96"/>
      <c r="AB93" s="89"/>
      <c r="AC93" s="96"/>
      <c r="AD93" s="89"/>
      <c r="AE93" s="96"/>
      <c r="AF93" s="89"/>
      <c r="AG93" s="96"/>
      <c r="AH93" s="89"/>
      <c r="AI93" s="96"/>
      <c r="AJ93" s="89"/>
      <c r="AK93" s="96"/>
      <c r="AL93" s="89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4.25">
      <c r="A94" s="77"/>
      <c r="B94" s="97"/>
      <c r="C94" s="83"/>
      <c r="F94" s="101"/>
      <c r="G94" s="101"/>
      <c r="H94" s="101"/>
      <c r="I94" s="96"/>
      <c r="J94" s="89"/>
      <c r="K94" s="96"/>
      <c r="L94" s="89"/>
      <c r="M94" s="89"/>
      <c r="N94" s="89"/>
      <c r="O94" s="96"/>
      <c r="P94" s="89"/>
      <c r="Q94" s="96"/>
      <c r="R94" s="89"/>
      <c r="S94" s="96"/>
      <c r="T94" s="89"/>
      <c r="U94" s="96"/>
      <c r="V94" s="89"/>
      <c r="W94" s="96"/>
      <c r="X94" s="89"/>
      <c r="Y94" s="96"/>
      <c r="Z94" s="89"/>
      <c r="AA94" s="96"/>
      <c r="AB94" s="89"/>
      <c r="AC94" s="96"/>
      <c r="AD94" s="89"/>
      <c r="AE94" s="96"/>
      <c r="AF94" s="89"/>
      <c r="AG94" s="96"/>
      <c r="AH94" s="89"/>
      <c r="AI94" s="96"/>
      <c r="AJ94" s="89"/>
      <c r="AK94" s="96"/>
      <c r="AL94" s="89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4.25">
      <c r="A95" s="77"/>
      <c r="B95" s="97"/>
      <c r="C95" s="83"/>
      <c r="F95" s="101"/>
      <c r="G95" s="101"/>
      <c r="H95" s="101"/>
      <c r="I95" s="96"/>
      <c r="J95" s="89"/>
      <c r="K95" s="96"/>
      <c r="L95" s="89"/>
      <c r="M95" s="89"/>
      <c r="N95" s="89"/>
      <c r="O95" s="96"/>
      <c r="P95" s="89"/>
      <c r="Q95" s="96"/>
      <c r="R95" s="89"/>
      <c r="S95" s="96"/>
      <c r="T95" s="89"/>
      <c r="U95" s="96"/>
      <c r="V95" s="89"/>
      <c r="W95" s="96"/>
      <c r="X95" s="89"/>
      <c r="Y95" s="96"/>
      <c r="Z95" s="89"/>
      <c r="AA95" s="96"/>
      <c r="AB95" s="89"/>
      <c r="AC95" s="96"/>
      <c r="AD95" s="89"/>
      <c r="AE95" s="96"/>
      <c r="AF95" s="89"/>
      <c r="AG95" s="96"/>
      <c r="AH95" s="89"/>
      <c r="AI95" s="96"/>
      <c r="AJ95" s="89"/>
      <c r="AK95" s="96"/>
      <c r="AL95" s="89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4.25">
      <c r="A96" s="77"/>
      <c r="B96" s="97"/>
      <c r="C96" s="83"/>
      <c r="F96" s="101"/>
      <c r="G96" s="101"/>
      <c r="H96" s="101"/>
      <c r="I96" s="96"/>
      <c r="J96" s="89"/>
      <c r="K96" s="96"/>
      <c r="L96" s="89"/>
      <c r="M96" s="89"/>
      <c r="N96" s="89"/>
      <c r="O96" s="96"/>
      <c r="P96" s="89"/>
      <c r="Q96" s="96"/>
      <c r="R96" s="89"/>
      <c r="S96" s="96"/>
      <c r="T96" s="89"/>
      <c r="U96" s="96"/>
      <c r="V96" s="89"/>
      <c r="W96" s="96"/>
      <c r="X96" s="89"/>
      <c r="Y96" s="96"/>
      <c r="Z96" s="89"/>
      <c r="AA96" s="96"/>
      <c r="AB96" s="89"/>
      <c r="AC96" s="96"/>
      <c r="AD96" s="89"/>
      <c r="AE96" s="96"/>
      <c r="AF96" s="89"/>
      <c r="AG96" s="96"/>
      <c r="AH96" s="89"/>
      <c r="AI96" s="96"/>
      <c r="AJ96" s="89"/>
      <c r="AK96" s="96"/>
      <c r="AL96" s="89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4.25">
      <c r="A97" s="77"/>
      <c r="B97" s="97"/>
      <c r="C97" s="83"/>
      <c r="F97" s="101"/>
      <c r="G97" s="101"/>
      <c r="H97" s="101"/>
      <c r="I97" s="96"/>
      <c r="J97" s="89"/>
      <c r="K97" s="96"/>
      <c r="L97" s="89"/>
      <c r="M97" s="89"/>
      <c r="N97" s="89"/>
      <c r="O97" s="96"/>
      <c r="P97" s="89"/>
      <c r="Q97" s="96"/>
      <c r="R97" s="89"/>
      <c r="S97" s="96"/>
      <c r="T97" s="89"/>
      <c r="U97" s="96"/>
      <c r="V97" s="89"/>
      <c r="W97" s="96"/>
      <c r="X97" s="89"/>
      <c r="Y97" s="96"/>
      <c r="Z97" s="89"/>
      <c r="AA97" s="96"/>
      <c r="AB97" s="89"/>
      <c r="AC97" s="96"/>
      <c r="AD97" s="89"/>
      <c r="AE97" s="96"/>
      <c r="AF97" s="89"/>
      <c r="AG97" s="96"/>
      <c r="AH97" s="89"/>
      <c r="AI97" s="96"/>
      <c r="AJ97" s="89"/>
      <c r="AK97" s="96"/>
      <c r="AL97" s="89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4.25">
      <c r="A98" s="77"/>
      <c r="B98" s="97"/>
      <c r="C98" s="83"/>
      <c r="F98" s="101"/>
      <c r="G98" s="101"/>
      <c r="H98" s="101"/>
      <c r="I98" s="96"/>
      <c r="J98" s="89"/>
      <c r="K98" s="96"/>
      <c r="L98" s="89"/>
      <c r="M98" s="89"/>
      <c r="N98" s="89"/>
      <c r="O98" s="96"/>
      <c r="P98" s="89"/>
      <c r="Q98" s="96"/>
      <c r="R98" s="89"/>
      <c r="S98" s="96"/>
      <c r="T98" s="89"/>
      <c r="U98" s="96"/>
      <c r="V98" s="89"/>
      <c r="W98" s="96"/>
      <c r="X98" s="89"/>
      <c r="Y98" s="96"/>
      <c r="Z98" s="89"/>
      <c r="AA98" s="96"/>
      <c r="AB98" s="89"/>
      <c r="AC98" s="96"/>
      <c r="AD98" s="89"/>
      <c r="AE98" s="96"/>
      <c r="AF98" s="89"/>
      <c r="AG98" s="96"/>
      <c r="AH98" s="89"/>
      <c r="AI98" s="96"/>
      <c r="AJ98" s="89"/>
      <c r="AK98" s="96"/>
      <c r="AL98" s="89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4.25">
      <c r="A99" s="77"/>
      <c r="B99" s="97"/>
      <c r="C99" s="83"/>
      <c r="F99" s="101"/>
      <c r="G99" s="101"/>
      <c r="H99" s="101"/>
      <c r="I99" s="96"/>
      <c r="J99" s="89"/>
      <c r="K99" s="96"/>
      <c r="L99" s="89"/>
      <c r="M99" s="89"/>
      <c r="N99" s="89"/>
      <c r="O99" s="96"/>
      <c r="P99" s="89"/>
      <c r="Q99" s="96"/>
      <c r="R99" s="89"/>
      <c r="S99" s="96"/>
      <c r="T99" s="89"/>
      <c r="U99" s="96"/>
      <c r="V99" s="89"/>
      <c r="W99" s="96"/>
      <c r="X99" s="89"/>
      <c r="Y99" s="96"/>
      <c r="Z99" s="89"/>
      <c r="AA99" s="96"/>
      <c r="AB99" s="89"/>
      <c r="AC99" s="96"/>
      <c r="AD99" s="89"/>
      <c r="AE99" s="96"/>
      <c r="AF99" s="89"/>
      <c r="AG99" s="96"/>
      <c r="AH99" s="89"/>
      <c r="AI99" s="96"/>
      <c r="AJ99" s="89"/>
      <c r="AK99" s="96"/>
      <c r="AL99" s="89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4.25">
      <c r="A100" s="77"/>
      <c r="B100" s="97"/>
      <c r="C100" s="83"/>
      <c r="F100" s="101"/>
      <c r="G100" s="101"/>
      <c r="H100" s="101"/>
      <c r="I100" s="96"/>
      <c r="J100" s="89"/>
      <c r="K100" s="96"/>
      <c r="L100" s="89"/>
      <c r="M100" s="89"/>
      <c r="N100" s="89"/>
      <c r="O100" s="96"/>
      <c r="P100" s="89"/>
      <c r="Q100" s="96"/>
      <c r="R100" s="89"/>
      <c r="S100" s="96"/>
      <c r="T100" s="89"/>
      <c r="U100" s="96"/>
      <c r="V100" s="89"/>
      <c r="W100" s="96"/>
      <c r="X100" s="89"/>
      <c r="Y100" s="96"/>
      <c r="Z100" s="89"/>
      <c r="AA100" s="96"/>
      <c r="AB100" s="89"/>
      <c r="AC100" s="96"/>
      <c r="AD100" s="89"/>
      <c r="AE100" s="96"/>
      <c r="AF100" s="89"/>
      <c r="AG100" s="96"/>
      <c r="AH100" s="89"/>
      <c r="AI100" s="96"/>
      <c r="AJ100" s="89"/>
      <c r="AK100" s="96"/>
      <c r="AL100" s="89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4.25">
      <c r="A101" s="77"/>
      <c r="B101" s="97"/>
      <c r="C101" s="83"/>
      <c r="F101" s="101"/>
      <c r="G101" s="101"/>
      <c r="H101" s="101"/>
      <c r="I101" s="96"/>
      <c r="J101" s="89"/>
      <c r="K101" s="96"/>
      <c r="L101" s="89"/>
      <c r="M101" s="89"/>
      <c r="N101" s="89"/>
      <c r="O101" s="96"/>
      <c r="P101" s="89"/>
      <c r="Q101" s="96"/>
      <c r="R101" s="89"/>
      <c r="S101" s="96"/>
      <c r="T101" s="89"/>
      <c r="U101" s="96"/>
      <c r="V101" s="89"/>
      <c r="W101" s="96"/>
      <c r="X101" s="89"/>
      <c r="Y101" s="96"/>
      <c r="Z101" s="89"/>
      <c r="AA101" s="96"/>
      <c r="AB101" s="89"/>
      <c r="AC101" s="96"/>
      <c r="AD101" s="89"/>
      <c r="AE101" s="96"/>
      <c r="AF101" s="89"/>
      <c r="AG101" s="96"/>
      <c r="AH101" s="89"/>
      <c r="AI101" s="96"/>
      <c r="AJ101" s="89"/>
      <c r="AK101" s="96"/>
      <c r="AL101" s="89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4.25">
      <c r="A102" s="77"/>
      <c r="B102" s="97"/>
      <c r="C102" s="83"/>
      <c r="F102" s="101"/>
      <c r="G102" s="101"/>
      <c r="H102" s="101"/>
      <c r="I102" s="96"/>
      <c r="J102" s="89"/>
      <c r="K102" s="96"/>
      <c r="L102" s="89"/>
      <c r="M102" s="89"/>
      <c r="N102" s="89"/>
      <c r="O102" s="96"/>
      <c r="P102" s="89"/>
      <c r="Q102" s="96"/>
      <c r="R102" s="89"/>
      <c r="S102" s="96"/>
      <c r="T102" s="89"/>
      <c r="U102" s="96"/>
      <c r="V102" s="89"/>
      <c r="W102" s="96"/>
      <c r="X102" s="89"/>
      <c r="Y102" s="96"/>
      <c r="Z102" s="89"/>
      <c r="AA102" s="96"/>
      <c r="AB102" s="89"/>
      <c r="AC102" s="96"/>
      <c r="AD102" s="89"/>
      <c r="AE102" s="96"/>
      <c r="AF102" s="89"/>
      <c r="AG102" s="96"/>
      <c r="AH102" s="89"/>
      <c r="AI102" s="96"/>
      <c r="AJ102" s="89"/>
      <c r="AK102" s="96"/>
      <c r="AL102" s="89"/>
      <c r="AM102" s="77"/>
      <c r="AN102" s="77"/>
      <c r="AO102" s="77"/>
      <c r="AP102" s="77"/>
      <c r="AQ102" s="77"/>
      <c r="AR102" s="77"/>
      <c r="AS102" s="77"/>
      <c r="AT102" s="77"/>
    </row>
    <row r="103" spans="1:46" s="84" customFormat="1" ht="14.25">
      <c r="A103" s="77"/>
      <c r="B103" s="97"/>
      <c r="C103" s="83"/>
      <c r="F103" s="101"/>
      <c r="G103" s="101"/>
      <c r="H103" s="101"/>
      <c r="I103" s="96"/>
      <c r="J103" s="89"/>
      <c r="K103" s="96"/>
      <c r="L103" s="89"/>
      <c r="M103" s="89"/>
      <c r="N103" s="89"/>
      <c r="O103" s="96"/>
      <c r="P103" s="89"/>
      <c r="Q103" s="96"/>
      <c r="R103" s="89"/>
      <c r="S103" s="96"/>
      <c r="T103" s="89"/>
      <c r="U103" s="96"/>
      <c r="V103" s="89"/>
      <c r="W103" s="96"/>
      <c r="X103" s="89"/>
      <c r="Y103" s="96"/>
      <c r="Z103" s="89"/>
      <c r="AA103" s="96"/>
      <c r="AB103" s="89"/>
      <c r="AC103" s="96"/>
      <c r="AD103" s="89"/>
      <c r="AE103" s="96"/>
      <c r="AF103" s="89"/>
      <c r="AG103" s="96"/>
      <c r="AH103" s="89"/>
      <c r="AI103" s="96"/>
      <c r="AJ103" s="89"/>
      <c r="AK103" s="96"/>
      <c r="AL103" s="89"/>
      <c r="AM103" s="77"/>
      <c r="AN103" s="77"/>
      <c r="AO103" s="77"/>
      <c r="AP103" s="77"/>
      <c r="AQ103" s="77"/>
      <c r="AR103" s="77"/>
      <c r="AS103" s="77"/>
      <c r="AT103" s="77"/>
    </row>
    <row r="104" spans="1:46" s="84" customFormat="1" ht="14.25">
      <c r="A104" s="77"/>
      <c r="B104" s="97"/>
      <c r="C104" s="83"/>
      <c r="F104" s="101"/>
      <c r="G104" s="101"/>
      <c r="H104" s="101"/>
      <c r="I104" s="96"/>
      <c r="J104" s="89"/>
      <c r="K104" s="96"/>
      <c r="L104" s="89"/>
      <c r="M104" s="89"/>
      <c r="N104" s="89"/>
      <c r="O104" s="96"/>
      <c r="P104" s="89"/>
      <c r="Q104" s="96"/>
      <c r="R104" s="89"/>
      <c r="S104" s="96"/>
      <c r="T104" s="89"/>
      <c r="U104" s="96"/>
      <c r="V104" s="89"/>
      <c r="W104" s="96"/>
      <c r="X104" s="89"/>
      <c r="Y104" s="96"/>
      <c r="Z104" s="89"/>
      <c r="AA104" s="96"/>
      <c r="AB104" s="89"/>
      <c r="AC104" s="96"/>
      <c r="AD104" s="89"/>
      <c r="AE104" s="96"/>
      <c r="AF104" s="89"/>
      <c r="AG104" s="96"/>
      <c r="AH104" s="89"/>
      <c r="AI104" s="96"/>
      <c r="AJ104" s="89"/>
      <c r="AK104" s="96"/>
      <c r="AL104" s="89"/>
      <c r="AM104" s="77"/>
      <c r="AN104" s="77"/>
      <c r="AO104" s="77"/>
      <c r="AP104" s="77"/>
      <c r="AQ104" s="77"/>
      <c r="AR104" s="77"/>
      <c r="AS104" s="77"/>
      <c r="AT104" s="77"/>
    </row>
    <row r="105" spans="1:46" s="84" customFormat="1" ht="14.25">
      <c r="A105" s="77"/>
      <c r="B105" s="97"/>
      <c r="C105" s="83"/>
      <c r="F105" s="101"/>
      <c r="G105" s="101"/>
      <c r="H105" s="101"/>
      <c r="I105" s="96"/>
      <c r="J105" s="89"/>
      <c r="K105" s="96"/>
      <c r="L105" s="89"/>
      <c r="M105" s="89"/>
      <c r="N105" s="89"/>
      <c r="O105" s="96"/>
      <c r="P105" s="89"/>
      <c r="Q105" s="96"/>
      <c r="R105" s="89"/>
      <c r="S105" s="96"/>
      <c r="T105" s="89"/>
      <c r="U105" s="96"/>
      <c r="V105" s="89"/>
      <c r="W105" s="96"/>
      <c r="X105" s="89"/>
      <c r="Y105" s="96"/>
      <c r="Z105" s="89"/>
      <c r="AA105" s="96"/>
      <c r="AB105" s="89"/>
      <c r="AC105" s="96"/>
      <c r="AD105" s="89"/>
      <c r="AE105" s="96"/>
      <c r="AF105" s="89"/>
      <c r="AG105" s="96"/>
      <c r="AH105" s="89"/>
      <c r="AI105" s="96"/>
      <c r="AJ105" s="89"/>
      <c r="AK105" s="96"/>
      <c r="AL105" s="89"/>
      <c r="AM105" s="77"/>
      <c r="AN105" s="77"/>
      <c r="AO105" s="77"/>
      <c r="AP105" s="77"/>
      <c r="AQ105" s="77"/>
      <c r="AR105" s="77"/>
      <c r="AS105" s="77"/>
      <c r="AT105" s="77"/>
    </row>
    <row r="106" spans="1:46" s="84" customFormat="1" ht="14.25">
      <c r="A106" s="77"/>
      <c r="B106" s="97"/>
      <c r="C106" s="83"/>
      <c r="F106" s="101"/>
      <c r="G106" s="101"/>
      <c r="H106" s="101"/>
      <c r="I106" s="96"/>
      <c r="J106" s="89"/>
      <c r="K106" s="96"/>
      <c r="L106" s="89"/>
      <c r="M106" s="89"/>
      <c r="N106" s="89"/>
      <c r="O106" s="96"/>
      <c r="P106" s="89"/>
      <c r="Q106" s="96"/>
      <c r="R106" s="89"/>
      <c r="S106" s="96"/>
      <c r="T106" s="89"/>
      <c r="U106" s="96"/>
      <c r="V106" s="89"/>
      <c r="W106" s="96"/>
      <c r="X106" s="89"/>
      <c r="Y106" s="96"/>
      <c r="Z106" s="89"/>
      <c r="AA106" s="96"/>
      <c r="AB106" s="89"/>
      <c r="AC106" s="96"/>
      <c r="AD106" s="89"/>
      <c r="AE106" s="96"/>
      <c r="AF106" s="89"/>
      <c r="AG106" s="96"/>
      <c r="AH106" s="89"/>
      <c r="AI106" s="96"/>
      <c r="AJ106" s="89"/>
      <c r="AK106" s="96"/>
      <c r="AL106" s="89"/>
      <c r="AM106" s="77"/>
      <c r="AN106" s="77"/>
      <c r="AO106" s="77"/>
      <c r="AP106" s="77"/>
      <c r="AQ106" s="77"/>
      <c r="AR106" s="77"/>
      <c r="AS106" s="77"/>
      <c r="AT106" s="77"/>
    </row>
  </sheetData>
  <mergeCells count="32"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</mergeCells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106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AB37" sqref="AB37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2" hidden="1" customWidth="1"/>
    <col min="4" max="4" width="17" style="102" customWidth="1"/>
    <col min="5" max="5" width="8.5703125" style="84" customWidth="1"/>
    <col min="6" max="8" width="17.42578125" style="103" customWidth="1"/>
    <col min="9" max="9" width="10.5703125" style="87" customWidth="1"/>
    <col min="10" max="10" width="10.5703125" style="89" customWidth="1"/>
    <col min="11" max="11" width="10.5703125" style="87" customWidth="1"/>
    <col min="12" max="12" width="10.5703125" style="89" customWidth="1"/>
    <col min="13" max="13" width="10.5703125" style="87" customWidth="1"/>
    <col min="14" max="14" width="10.5703125" style="89" customWidth="1"/>
    <col min="15" max="15" width="10.5703125" style="87" customWidth="1"/>
    <col min="16" max="16" width="10.5703125" style="89" customWidth="1"/>
    <col min="17" max="17" width="10.5703125" style="87" customWidth="1"/>
    <col min="18" max="18" width="10.5703125" style="89" customWidth="1"/>
    <col min="19" max="19" width="10.5703125" style="87" customWidth="1"/>
    <col min="20" max="20" width="10.5703125" style="89" customWidth="1"/>
    <col min="21" max="21" width="10.5703125" style="87" customWidth="1"/>
    <col min="22" max="22" width="10.5703125" style="89" customWidth="1"/>
    <col min="23" max="23" width="10.5703125" style="87" customWidth="1"/>
    <col min="24" max="24" width="10.5703125" style="89" customWidth="1"/>
    <col min="25" max="25" width="10.5703125" style="87" customWidth="1"/>
    <col min="26" max="26" width="10.5703125" style="89" customWidth="1"/>
    <col min="27" max="27" width="10.5703125" style="87" customWidth="1"/>
    <col min="28" max="28" width="10.5703125" style="89" customWidth="1"/>
    <col min="29" max="29" width="10.5703125" style="87" customWidth="1"/>
    <col min="30" max="30" width="10.5703125" style="89" customWidth="1"/>
    <col min="31" max="31" width="10.5703125" style="87" customWidth="1"/>
    <col min="32" max="32" width="10.5703125" style="89" customWidth="1"/>
    <col min="33" max="33" width="10.42578125" style="87" customWidth="1"/>
    <col min="34" max="34" width="10.42578125" style="89" customWidth="1"/>
    <col min="35" max="35" width="10.42578125" style="87" customWidth="1"/>
    <col min="36" max="36" width="10.42578125" style="89" customWidth="1"/>
    <col min="37" max="37" width="10.42578125" style="87" customWidth="1"/>
    <col min="38" max="38" width="10.42578125" style="89" customWidth="1"/>
    <col min="39" max="16384" width="8.85546875" style="77"/>
  </cols>
  <sheetData>
    <row r="2" spans="1:38" ht="38.1" customHeight="1">
      <c r="A2" s="75"/>
      <c r="B2" s="597" t="s">
        <v>302</v>
      </c>
      <c r="C2" s="597"/>
      <c r="D2" s="597"/>
      <c r="E2" s="597"/>
      <c r="F2" s="597"/>
      <c r="G2" s="597"/>
      <c r="H2" s="597"/>
      <c r="I2" s="597"/>
      <c r="J2" s="597"/>
      <c r="K2" s="597"/>
      <c r="L2" s="597"/>
      <c r="M2" s="597"/>
      <c r="N2" s="597"/>
      <c r="O2" s="597"/>
      <c r="P2" s="597"/>
      <c r="Q2" s="597"/>
      <c r="R2" s="597"/>
      <c r="S2" s="597"/>
      <c r="T2" s="597"/>
      <c r="U2" s="597"/>
      <c r="V2" s="597"/>
      <c r="W2" s="597"/>
      <c r="X2" s="597"/>
      <c r="Y2" s="597"/>
      <c r="Z2" s="597"/>
      <c r="AA2" s="597"/>
      <c r="AB2" s="597"/>
      <c r="AC2" s="597"/>
      <c r="AD2" s="597"/>
      <c r="AE2" s="597"/>
      <c r="AF2" s="597"/>
      <c r="AG2" s="597"/>
      <c r="AH2" s="597"/>
      <c r="AI2" s="597"/>
      <c r="AJ2" s="597"/>
      <c r="AK2" s="597"/>
      <c r="AL2" s="597"/>
    </row>
    <row r="3" spans="1:38" ht="25.35" customHeight="1">
      <c r="B3" s="97"/>
      <c r="C3" s="598" t="s">
        <v>139</v>
      </c>
      <c r="D3" s="599" t="s">
        <v>105</v>
      </c>
      <c r="E3" s="599"/>
      <c r="F3" s="606" t="s">
        <v>148</v>
      </c>
      <c r="G3" s="607"/>
      <c r="H3" s="607"/>
      <c r="I3" s="605" t="s">
        <v>300</v>
      </c>
      <c r="J3" s="605"/>
      <c r="K3" s="605"/>
      <c r="L3" s="605"/>
      <c r="M3" s="605"/>
      <c r="N3" s="605"/>
      <c r="O3" s="605"/>
      <c r="P3" s="605"/>
      <c r="Q3" s="605"/>
      <c r="R3" s="605"/>
      <c r="S3" s="605"/>
      <c r="T3" s="605"/>
      <c r="U3" s="605"/>
      <c r="V3" s="605"/>
      <c r="W3" s="605"/>
      <c r="X3" s="605"/>
      <c r="Y3" s="605"/>
      <c r="Z3" s="605"/>
      <c r="AA3" s="605"/>
      <c r="AB3" s="605"/>
      <c r="AC3" s="605"/>
      <c r="AD3" s="605"/>
      <c r="AE3" s="605"/>
      <c r="AF3" s="605"/>
      <c r="AG3" s="605"/>
      <c r="AH3" s="605"/>
      <c r="AI3" s="605"/>
      <c r="AJ3" s="605"/>
      <c r="AK3" s="605"/>
      <c r="AL3" s="605"/>
    </row>
    <row r="4" spans="1:38" ht="25.35" customHeight="1">
      <c r="B4" s="97"/>
      <c r="C4" s="598"/>
      <c r="D4" s="599"/>
      <c r="E4" s="599"/>
      <c r="F4" s="607"/>
      <c r="G4" s="607"/>
      <c r="H4" s="607"/>
      <c r="I4" s="602" t="s">
        <v>140</v>
      </c>
      <c r="J4" s="602"/>
      <c r="K4" s="602"/>
      <c r="L4" s="602"/>
      <c r="M4" s="602"/>
      <c r="N4" s="602"/>
      <c r="O4" s="602" t="s">
        <v>141</v>
      </c>
      <c r="P4" s="602"/>
      <c r="Q4" s="602"/>
      <c r="R4" s="602"/>
      <c r="S4" s="602"/>
      <c r="T4" s="602"/>
      <c r="U4" s="602" t="s">
        <v>142</v>
      </c>
      <c r="V4" s="602"/>
      <c r="W4" s="602" t="s">
        <v>143</v>
      </c>
      <c r="X4" s="602"/>
      <c r="Y4" s="602" t="s">
        <v>134</v>
      </c>
      <c r="Z4" s="602"/>
      <c r="AA4" s="602"/>
      <c r="AB4" s="602"/>
      <c r="AC4" s="602"/>
      <c r="AD4" s="602"/>
      <c r="AE4" s="602" t="s">
        <v>132</v>
      </c>
      <c r="AF4" s="602"/>
      <c r="AG4" s="602" t="s">
        <v>144</v>
      </c>
      <c r="AH4" s="602"/>
      <c r="AI4" s="602" t="s">
        <v>145</v>
      </c>
      <c r="AJ4" s="602"/>
      <c r="AK4" s="602" t="s">
        <v>138</v>
      </c>
      <c r="AL4" s="602"/>
    </row>
    <row r="5" spans="1:38" ht="25.35" customHeight="1">
      <c r="B5" s="97"/>
      <c r="C5" s="598"/>
      <c r="D5" s="599"/>
      <c r="E5" s="599"/>
      <c r="F5" s="604" t="s">
        <v>115</v>
      </c>
      <c r="G5" s="604" t="s">
        <v>117</v>
      </c>
      <c r="H5" s="604" t="s">
        <v>118</v>
      </c>
      <c r="I5" s="602" t="s">
        <v>129</v>
      </c>
      <c r="J5" s="602"/>
      <c r="K5" s="602" t="s">
        <v>130</v>
      </c>
      <c r="L5" s="602"/>
      <c r="M5" s="603" t="s">
        <v>146</v>
      </c>
      <c r="N5" s="602"/>
      <c r="O5" s="602" t="s">
        <v>129</v>
      </c>
      <c r="P5" s="602"/>
      <c r="Q5" s="602" t="s">
        <v>130</v>
      </c>
      <c r="R5" s="602"/>
      <c r="S5" s="603" t="s">
        <v>146</v>
      </c>
      <c r="T5" s="602"/>
      <c r="U5" s="602" t="s">
        <v>129</v>
      </c>
      <c r="V5" s="602"/>
      <c r="W5" s="602" t="s">
        <v>129</v>
      </c>
      <c r="X5" s="602"/>
      <c r="Y5" s="602" t="s">
        <v>129</v>
      </c>
      <c r="Z5" s="602"/>
      <c r="AA5" s="602" t="s">
        <v>130</v>
      </c>
      <c r="AB5" s="602"/>
      <c r="AC5" s="603" t="s">
        <v>146</v>
      </c>
      <c r="AD5" s="602"/>
      <c r="AE5" s="602" t="s">
        <v>129</v>
      </c>
      <c r="AF5" s="602"/>
      <c r="AG5" s="602" t="s">
        <v>129</v>
      </c>
      <c r="AH5" s="602"/>
      <c r="AI5" s="602" t="s">
        <v>129</v>
      </c>
      <c r="AJ5" s="602"/>
      <c r="AK5" s="602" t="s">
        <v>129</v>
      </c>
      <c r="AL5" s="602"/>
    </row>
    <row r="6" spans="1:38" s="80" customFormat="1" ht="23.45" customHeight="1">
      <c r="B6" s="97"/>
      <c r="C6" s="598"/>
      <c r="D6" s="599"/>
      <c r="E6" s="599"/>
      <c r="F6" s="604"/>
      <c r="G6" s="604"/>
      <c r="H6" s="604"/>
      <c r="I6" s="104" t="s">
        <v>149</v>
      </c>
      <c r="J6" s="99" t="s">
        <v>113</v>
      </c>
      <c r="K6" s="104" t="s">
        <v>149</v>
      </c>
      <c r="L6" s="99" t="s">
        <v>113</v>
      </c>
      <c r="M6" s="104" t="s">
        <v>149</v>
      </c>
      <c r="N6" s="99" t="s">
        <v>113</v>
      </c>
      <c r="O6" s="104" t="s">
        <v>149</v>
      </c>
      <c r="P6" s="99" t="s">
        <v>113</v>
      </c>
      <c r="Q6" s="104" t="s">
        <v>149</v>
      </c>
      <c r="R6" s="99" t="s">
        <v>113</v>
      </c>
      <c r="S6" s="104" t="s">
        <v>149</v>
      </c>
      <c r="T6" s="99" t="s">
        <v>113</v>
      </c>
      <c r="U6" s="104" t="s">
        <v>149</v>
      </c>
      <c r="V6" s="99" t="s">
        <v>113</v>
      </c>
      <c r="W6" s="104" t="s">
        <v>149</v>
      </c>
      <c r="X6" s="99" t="s">
        <v>113</v>
      </c>
      <c r="Y6" s="104" t="s">
        <v>149</v>
      </c>
      <c r="Z6" s="99" t="s">
        <v>113</v>
      </c>
      <c r="AA6" s="104" t="s">
        <v>149</v>
      </c>
      <c r="AB6" s="99" t="s">
        <v>113</v>
      </c>
      <c r="AC6" s="104" t="s">
        <v>149</v>
      </c>
      <c r="AD6" s="99" t="s">
        <v>113</v>
      </c>
      <c r="AE6" s="104" t="s">
        <v>149</v>
      </c>
      <c r="AF6" s="99" t="s">
        <v>113</v>
      </c>
      <c r="AG6" s="104" t="s">
        <v>149</v>
      </c>
      <c r="AH6" s="99" t="s">
        <v>113</v>
      </c>
      <c r="AI6" s="104" t="s">
        <v>149</v>
      </c>
      <c r="AJ6" s="99" t="s">
        <v>113</v>
      </c>
      <c r="AK6" s="104" t="s">
        <v>149</v>
      </c>
      <c r="AL6" s="99" t="s">
        <v>113</v>
      </c>
    </row>
    <row r="7" spans="1:38" ht="14.25">
      <c r="B7" s="97"/>
      <c r="C7" s="83"/>
      <c r="D7" s="308">
        <v>46168</v>
      </c>
      <c r="E7" s="308" t="s">
        <v>458</v>
      </c>
      <c r="F7" s="87">
        <f t="shared" ref="F7" si="0">SUM(M7,S7,U7,W7,AC7,AE7,AG7,AI7,AK7)</f>
        <v>293602</v>
      </c>
      <c r="G7" s="310"/>
      <c r="H7" s="87"/>
      <c r="I7" s="234">
        <v>43490</v>
      </c>
      <c r="J7" s="100">
        <f t="shared" ref="J7:J13" si="1">I7/F7</f>
        <v>0.14812569396666236</v>
      </c>
      <c r="K7" s="234">
        <v>46868</v>
      </c>
      <c r="L7" s="100">
        <f t="shared" ref="L7:L13" si="2">K7/F7</f>
        <v>0.15963106518347966</v>
      </c>
      <c r="M7" s="105">
        <f t="shared" ref="M7:M13" si="3">SUM(I7+K7)</f>
        <v>90358</v>
      </c>
      <c r="N7" s="100">
        <f t="shared" ref="N7:N13" si="4">M7/F7</f>
        <v>0.30775675915014206</v>
      </c>
      <c r="O7" s="234">
        <v>5346</v>
      </c>
      <c r="P7" s="100">
        <f t="shared" ref="P7:P13" si="5">O7/F7</f>
        <v>1.8208322831588342E-2</v>
      </c>
      <c r="Q7" s="234"/>
      <c r="R7" s="100">
        <f t="shared" ref="R7:R31" si="6">Q7/F7</f>
        <v>0</v>
      </c>
      <c r="S7" s="105">
        <f t="shared" ref="S7:S31" si="7">SUM(O7+Q7)</f>
        <v>5346</v>
      </c>
      <c r="T7" s="100">
        <f t="shared" ref="T7:T13" si="8">S7/F7</f>
        <v>1.8208322831588342E-2</v>
      </c>
      <c r="U7" s="234">
        <v>31003</v>
      </c>
      <c r="V7" s="100">
        <f t="shared" ref="V7:V13" si="9">U7/F7</f>
        <v>0.1055953297320863</v>
      </c>
      <c r="W7" s="234">
        <v>2504</v>
      </c>
      <c r="X7" s="100">
        <f t="shared" ref="X7:X13" si="10">W7/F7</f>
        <v>8.5285522578184073E-3</v>
      </c>
      <c r="Y7" s="234">
        <v>24706</v>
      </c>
      <c r="Z7" s="100">
        <f t="shared" ref="Z7:Z13" si="11">Y7/F7</f>
        <v>8.414792814762842E-2</v>
      </c>
      <c r="AA7" s="234">
        <v>23664</v>
      </c>
      <c r="AB7" s="100">
        <f t="shared" ref="AB7:AB31" si="12">AA7/F7</f>
        <v>8.0598906002002715E-2</v>
      </c>
      <c r="AC7" s="105">
        <f t="shared" ref="AC7:AC13" si="13">SUM(Y7+AA7)</f>
        <v>48370</v>
      </c>
      <c r="AD7" s="100">
        <f t="shared" ref="AD7:AD13" si="14">AC7/F7</f>
        <v>0.16474683414963112</v>
      </c>
      <c r="AE7" s="234">
        <v>25848</v>
      </c>
      <c r="AF7" s="100">
        <f t="shared" ref="AF7:AF13" si="15">AE7/F7</f>
        <v>8.8037547428151036E-2</v>
      </c>
      <c r="AG7" s="234">
        <v>27750</v>
      </c>
      <c r="AH7" s="100">
        <f t="shared" ref="AH7:AH13" si="16">AG7/F7</f>
        <v>9.4515704933890096E-2</v>
      </c>
      <c r="AI7" s="234">
        <v>36353</v>
      </c>
      <c r="AJ7" s="100">
        <f t="shared" ref="AJ7:AJ13" si="17">AI7/F7</f>
        <v>0.12381727644907051</v>
      </c>
      <c r="AK7" s="234">
        <v>26070</v>
      </c>
      <c r="AL7" s="100">
        <f t="shared" ref="AL7:AL13" si="18">AK7/F7</f>
        <v>8.8793673067622161E-2</v>
      </c>
    </row>
    <row r="8" spans="1:38" ht="14.25">
      <c r="B8" s="97"/>
      <c r="C8" s="83"/>
      <c r="D8" s="308">
        <f t="shared" ref="D8" si="19">D7+1</f>
        <v>46169</v>
      </c>
      <c r="E8" s="308" t="s">
        <v>459</v>
      </c>
      <c r="F8" s="87">
        <f>SUM(M8,S8,U8,W8,AC8,AE8,AG8,AI8,AK8)</f>
        <v>289569</v>
      </c>
      <c r="G8" s="310">
        <f>SUM(F7:F13)</f>
        <v>1972816</v>
      </c>
      <c r="H8" s="327"/>
      <c r="I8" s="234">
        <v>42001</v>
      </c>
      <c r="J8" s="100">
        <f t="shared" si="1"/>
        <v>0.14504660374556669</v>
      </c>
      <c r="K8" s="234">
        <v>46176</v>
      </c>
      <c r="L8" s="100">
        <f t="shared" si="2"/>
        <v>0.15946458357075516</v>
      </c>
      <c r="M8" s="105">
        <f t="shared" si="3"/>
        <v>88177</v>
      </c>
      <c r="N8" s="100">
        <f t="shared" si="4"/>
        <v>0.30451118731632182</v>
      </c>
      <c r="O8" s="234">
        <v>5367</v>
      </c>
      <c r="P8" s="100">
        <f t="shared" si="5"/>
        <v>1.8534442568092578E-2</v>
      </c>
      <c r="Q8" s="234"/>
      <c r="R8" s="100">
        <f t="shared" si="6"/>
        <v>0</v>
      </c>
      <c r="S8" s="105">
        <f t="shared" si="7"/>
        <v>5367</v>
      </c>
      <c r="T8" s="100">
        <f t="shared" si="8"/>
        <v>1.8534442568092578E-2</v>
      </c>
      <c r="U8" s="234">
        <v>30526</v>
      </c>
      <c r="V8" s="100">
        <f t="shared" si="9"/>
        <v>0.1054187430284319</v>
      </c>
      <c r="W8" s="234">
        <v>2506</v>
      </c>
      <c r="X8" s="100">
        <f t="shared" si="10"/>
        <v>8.6542413034544439E-3</v>
      </c>
      <c r="Y8" s="234">
        <v>25020</v>
      </c>
      <c r="Z8" s="100">
        <f t="shared" si="11"/>
        <v>8.6404276700889945E-2</v>
      </c>
      <c r="AA8" s="234">
        <v>22141</v>
      </c>
      <c r="AB8" s="100">
        <f t="shared" si="12"/>
        <v>7.646191408610728E-2</v>
      </c>
      <c r="AC8" s="105">
        <f t="shared" si="13"/>
        <v>47161</v>
      </c>
      <c r="AD8" s="100">
        <f t="shared" si="14"/>
        <v>0.16286619078699724</v>
      </c>
      <c r="AE8" s="234">
        <v>25845</v>
      </c>
      <c r="AF8" s="100">
        <f t="shared" si="15"/>
        <v>8.9253338582514011E-2</v>
      </c>
      <c r="AG8" s="234">
        <v>20373</v>
      </c>
      <c r="AH8" s="100">
        <f t="shared" si="16"/>
        <v>7.0356288138578374E-2</v>
      </c>
      <c r="AI8" s="234">
        <v>43870</v>
      </c>
      <c r="AJ8" s="100">
        <f t="shared" si="17"/>
        <v>0.15150102393557321</v>
      </c>
      <c r="AK8" s="234">
        <v>25744</v>
      </c>
      <c r="AL8" s="100">
        <f t="shared" si="18"/>
        <v>8.8904544340036404E-2</v>
      </c>
    </row>
    <row r="9" spans="1:38" ht="14.25">
      <c r="B9" s="97"/>
      <c r="C9" s="83"/>
      <c r="D9" s="308">
        <f>D8+1</f>
        <v>46170</v>
      </c>
      <c r="E9" s="308" t="s">
        <v>460</v>
      </c>
      <c r="F9" s="87">
        <f t="shared" ref="F9:F44" si="20">SUM(M9,S9,U9,W9,AC9,AE9,AG9,AI9,AK9)</f>
        <v>272954</v>
      </c>
      <c r="G9" s="310"/>
      <c r="I9" s="234">
        <v>40103</v>
      </c>
      <c r="J9" s="100">
        <f t="shared" si="1"/>
        <v>0.14692219201770262</v>
      </c>
      <c r="K9" s="234">
        <v>41987</v>
      </c>
      <c r="L9" s="100">
        <f t="shared" si="2"/>
        <v>0.15382445393729346</v>
      </c>
      <c r="M9" s="105">
        <f t="shared" si="3"/>
        <v>82090</v>
      </c>
      <c r="N9" s="100">
        <f t="shared" si="4"/>
        <v>0.30074664595499606</v>
      </c>
      <c r="O9" s="234">
        <v>5398</v>
      </c>
      <c r="P9" s="100">
        <f t="shared" si="5"/>
        <v>1.977622603075976E-2</v>
      </c>
      <c r="Q9" s="234"/>
      <c r="R9" s="100">
        <f t="shared" si="6"/>
        <v>0</v>
      </c>
      <c r="S9" s="105">
        <f t="shared" si="7"/>
        <v>5398</v>
      </c>
      <c r="T9" s="100">
        <f t="shared" si="8"/>
        <v>1.977622603075976E-2</v>
      </c>
      <c r="U9" s="234">
        <v>27560</v>
      </c>
      <c r="V9" s="100">
        <f t="shared" si="9"/>
        <v>0.10096939411036292</v>
      </c>
      <c r="W9" s="234">
        <v>2222</v>
      </c>
      <c r="X9" s="100">
        <f t="shared" si="10"/>
        <v>8.1405658096235997E-3</v>
      </c>
      <c r="Y9" s="234">
        <v>25312</v>
      </c>
      <c r="Z9" s="100">
        <f t="shared" si="11"/>
        <v>9.2733574155352189E-2</v>
      </c>
      <c r="AA9" s="234">
        <v>17404</v>
      </c>
      <c r="AB9" s="100">
        <f t="shared" si="12"/>
        <v>6.376165947375749E-2</v>
      </c>
      <c r="AC9" s="105">
        <f t="shared" si="13"/>
        <v>42716</v>
      </c>
      <c r="AD9" s="100">
        <f t="shared" si="14"/>
        <v>0.15649523362910966</v>
      </c>
      <c r="AE9" s="234">
        <v>23903</v>
      </c>
      <c r="AF9" s="100">
        <f t="shared" si="15"/>
        <v>8.7571532199564761E-2</v>
      </c>
      <c r="AG9" s="234">
        <v>19104</v>
      </c>
      <c r="AH9" s="100">
        <f t="shared" si="16"/>
        <v>6.9989815133685532E-2</v>
      </c>
      <c r="AI9" s="234">
        <v>44782</v>
      </c>
      <c r="AJ9" s="100">
        <f t="shared" si="17"/>
        <v>0.16406427456641046</v>
      </c>
      <c r="AK9" s="234">
        <v>25179</v>
      </c>
      <c r="AL9" s="100">
        <f t="shared" si="18"/>
        <v>9.2246312565487223E-2</v>
      </c>
    </row>
    <row r="10" spans="1:38" ht="14.25">
      <c r="B10" s="97"/>
      <c r="C10" s="83"/>
      <c r="D10" s="308">
        <f t="shared" ref="D10:D36" si="21">D9+1</f>
        <v>46171</v>
      </c>
      <c r="E10" s="308" t="s">
        <v>461</v>
      </c>
      <c r="F10" s="87">
        <f t="shared" si="20"/>
        <v>253473</v>
      </c>
      <c r="G10" s="310"/>
      <c r="H10" s="357"/>
      <c r="I10" s="234">
        <v>35894</v>
      </c>
      <c r="J10" s="100">
        <f t="shared" si="1"/>
        <v>0.14160877095390831</v>
      </c>
      <c r="K10" s="234">
        <v>39502</v>
      </c>
      <c r="L10" s="100">
        <f t="shared" si="2"/>
        <v>0.1558430286460491</v>
      </c>
      <c r="M10" s="105">
        <f t="shared" si="3"/>
        <v>75396</v>
      </c>
      <c r="N10" s="100">
        <f t="shared" si="4"/>
        <v>0.29745179959995738</v>
      </c>
      <c r="O10" s="234">
        <v>4525</v>
      </c>
      <c r="P10" s="100">
        <f t="shared" si="5"/>
        <v>1.7852000015780772E-2</v>
      </c>
      <c r="Q10" s="234"/>
      <c r="R10" s="100">
        <f t="shared" si="6"/>
        <v>0</v>
      </c>
      <c r="S10" s="105">
        <f t="shared" si="7"/>
        <v>4525</v>
      </c>
      <c r="T10" s="100">
        <f t="shared" si="8"/>
        <v>1.7852000015780772E-2</v>
      </c>
      <c r="U10" s="234">
        <v>24649</v>
      </c>
      <c r="V10" s="100">
        <f t="shared" si="9"/>
        <v>9.7245071467177965E-2</v>
      </c>
      <c r="W10" s="234">
        <v>1580</v>
      </c>
      <c r="X10" s="100">
        <f t="shared" si="10"/>
        <v>6.2334055303720709E-3</v>
      </c>
      <c r="Y10" s="234">
        <v>22730</v>
      </c>
      <c r="Z10" s="100">
        <f t="shared" si="11"/>
        <v>8.9674245383137452E-2</v>
      </c>
      <c r="AA10" s="234">
        <v>17753</v>
      </c>
      <c r="AB10" s="100">
        <f t="shared" si="12"/>
        <v>7.0039017962465436E-2</v>
      </c>
      <c r="AC10" s="105">
        <f t="shared" si="13"/>
        <v>40483</v>
      </c>
      <c r="AD10" s="100">
        <f t="shared" si="14"/>
        <v>0.15971326334560287</v>
      </c>
      <c r="AE10" s="234">
        <v>20732</v>
      </c>
      <c r="AF10" s="100">
        <f t="shared" si="15"/>
        <v>8.1791749022578339E-2</v>
      </c>
      <c r="AG10" s="234">
        <v>17422</v>
      </c>
      <c r="AH10" s="100">
        <f t="shared" si="16"/>
        <v>6.8733158955786217E-2</v>
      </c>
      <c r="AI10" s="234">
        <v>47162</v>
      </c>
      <c r="AJ10" s="100">
        <f t="shared" si="17"/>
        <v>0.18606320988823266</v>
      </c>
      <c r="AK10" s="234">
        <v>21524</v>
      </c>
      <c r="AL10" s="100">
        <f t="shared" si="18"/>
        <v>8.4916342174511689E-2</v>
      </c>
    </row>
    <row r="11" spans="1:38" ht="14.25">
      <c r="B11" s="97"/>
      <c r="C11" s="83"/>
      <c r="D11" s="308">
        <f t="shared" si="21"/>
        <v>46172</v>
      </c>
      <c r="E11" s="308" t="s">
        <v>462</v>
      </c>
      <c r="F11" s="87">
        <f t="shared" si="20"/>
        <v>262061</v>
      </c>
      <c r="G11" s="310"/>
      <c r="H11" s="357"/>
      <c r="I11" s="352">
        <v>33193</v>
      </c>
      <c r="J11" s="353">
        <f t="shared" si="1"/>
        <v>0.12666134983839641</v>
      </c>
      <c r="K11" s="352">
        <v>43858</v>
      </c>
      <c r="L11" s="353">
        <f t="shared" si="2"/>
        <v>0.16735798153864939</v>
      </c>
      <c r="M11" s="354">
        <f t="shared" si="3"/>
        <v>77051</v>
      </c>
      <c r="N11" s="353">
        <f t="shared" si="4"/>
        <v>0.29401933137704578</v>
      </c>
      <c r="O11" s="352">
        <v>4535</v>
      </c>
      <c r="P11" s="353">
        <f t="shared" si="5"/>
        <v>1.7305131248068199E-2</v>
      </c>
      <c r="Q11" s="352"/>
      <c r="R11" s="353">
        <f t="shared" si="6"/>
        <v>0</v>
      </c>
      <c r="S11" s="354">
        <f t="shared" si="7"/>
        <v>4535</v>
      </c>
      <c r="T11" s="353">
        <f t="shared" si="8"/>
        <v>1.7305131248068199E-2</v>
      </c>
      <c r="U11" s="352">
        <v>26605</v>
      </c>
      <c r="V11" s="353">
        <f t="shared" si="9"/>
        <v>0.10152216468684772</v>
      </c>
      <c r="W11" s="352">
        <v>1818</v>
      </c>
      <c r="X11" s="353">
        <f t="shared" si="10"/>
        <v>6.937316121055785E-3</v>
      </c>
      <c r="Y11" s="352">
        <v>23645</v>
      </c>
      <c r="Z11" s="353">
        <f t="shared" si="11"/>
        <v>9.0227084533753596E-2</v>
      </c>
      <c r="AA11" s="352">
        <v>19471</v>
      </c>
      <c r="AB11" s="353">
        <f t="shared" si="12"/>
        <v>7.4299495155708023E-2</v>
      </c>
      <c r="AC11" s="354">
        <f t="shared" si="13"/>
        <v>43116</v>
      </c>
      <c r="AD11" s="353">
        <f t="shared" si="14"/>
        <v>0.16452657968946161</v>
      </c>
      <c r="AE11" s="352">
        <v>23221</v>
      </c>
      <c r="AF11" s="353">
        <f t="shared" si="15"/>
        <v>8.8609140619931998E-2</v>
      </c>
      <c r="AG11" s="352">
        <v>20421</v>
      </c>
      <c r="AH11" s="353">
        <f t="shared" si="16"/>
        <v>7.7924605339978095E-2</v>
      </c>
      <c r="AI11" s="352">
        <v>41617</v>
      </c>
      <c r="AJ11" s="353">
        <f t="shared" si="17"/>
        <v>0.15880653740922915</v>
      </c>
      <c r="AK11" s="352">
        <v>23677</v>
      </c>
      <c r="AL11" s="100">
        <f t="shared" si="18"/>
        <v>9.0349193508381637E-2</v>
      </c>
    </row>
    <row r="12" spans="1:38" ht="14.25">
      <c r="B12" s="97"/>
      <c r="C12" s="83"/>
      <c r="D12" s="308">
        <f t="shared" si="21"/>
        <v>46173</v>
      </c>
      <c r="E12" s="308" t="s">
        <v>463</v>
      </c>
      <c r="F12" s="87">
        <f t="shared" si="20"/>
        <v>307771</v>
      </c>
      <c r="G12" s="310"/>
      <c r="H12" s="357">
        <f>SUM(F13:F42)</f>
        <v>2232677</v>
      </c>
      <c r="I12" s="234">
        <v>41146</v>
      </c>
      <c r="J12" s="100">
        <f t="shared" si="1"/>
        <v>0.13369030870354906</v>
      </c>
      <c r="K12" s="234">
        <v>48409</v>
      </c>
      <c r="L12" s="100">
        <f t="shared" si="2"/>
        <v>0.15728902333228276</v>
      </c>
      <c r="M12" s="105">
        <f t="shared" si="3"/>
        <v>89555</v>
      </c>
      <c r="N12" s="100">
        <f t="shared" si="4"/>
        <v>0.29097933203583182</v>
      </c>
      <c r="O12" s="234">
        <v>5511</v>
      </c>
      <c r="P12" s="100">
        <f t="shared" si="5"/>
        <v>1.790617049689542E-2</v>
      </c>
      <c r="Q12" s="234"/>
      <c r="R12" s="100">
        <f t="shared" si="6"/>
        <v>0</v>
      </c>
      <c r="S12" s="105">
        <f t="shared" si="7"/>
        <v>5511</v>
      </c>
      <c r="T12" s="100">
        <f t="shared" si="8"/>
        <v>1.790617049689542E-2</v>
      </c>
      <c r="U12" s="234">
        <v>33597</v>
      </c>
      <c r="V12" s="100">
        <f t="shared" si="9"/>
        <v>0.10916233173365912</v>
      </c>
      <c r="W12" s="234">
        <v>2148</v>
      </c>
      <c r="X12" s="100">
        <f t="shared" si="10"/>
        <v>6.9792150657469352E-3</v>
      </c>
      <c r="Y12" s="234">
        <v>27102</v>
      </c>
      <c r="Z12" s="100">
        <f t="shared" si="11"/>
        <v>8.80589789161422E-2</v>
      </c>
      <c r="AA12" s="234">
        <v>21922</v>
      </c>
      <c r="AB12" s="100">
        <f t="shared" si="12"/>
        <v>7.1228283366529005E-2</v>
      </c>
      <c r="AC12" s="105">
        <f t="shared" si="13"/>
        <v>49024</v>
      </c>
      <c r="AD12" s="100">
        <f t="shared" si="14"/>
        <v>0.1592872622826712</v>
      </c>
      <c r="AE12" s="234">
        <v>28798</v>
      </c>
      <c r="AF12" s="100">
        <f t="shared" si="15"/>
        <v>9.3569569582579254E-2</v>
      </c>
      <c r="AG12" s="234">
        <v>24889</v>
      </c>
      <c r="AH12" s="100">
        <f t="shared" si="16"/>
        <v>8.0868567863768837E-2</v>
      </c>
      <c r="AI12" s="234">
        <v>46034</v>
      </c>
      <c r="AJ12" s="100">
        <f t="shared" si="17"/>
        <v>0.14957224689785587</v>
      </c>
      <c r="AK12" s="234">
        <v>28215</v>
      </c>
      <c r="AL12" s="353">
        <f t="shared" si="18"/>
        <v>9.1675304040991515E-2</v>
      </c>
    </row>
    <row r="13" spans="1:38" ht="14.25">
      <c r="B13" s="97"/>
      <c r="C13" s="83"/>
      <c r="D13" s="308">
        <f t="shared" si="21"/>
        <v>46174</v>
      </c>
      <c r="E13" s="308" t="s">
        <v>457</v>
      </c>
      <c r="F13" s="87">
        <f t="shared" si="20"/>
        <v>293386</v>
      </c>
      <c r="G13" s="310"/>
      <c r="H13" s="357"/>
      <c r="I13" s="234">
        <v>40188</v>
      </c>
      <c r="J13" s="100">
        <f t="shared" si="1"/>
        <v>0.13697995132692084</v>
      </c>
      <c r="K13" s="234">
        <v>47322</v>
      </c>
      <c r="L13" s="100">
        <f t="shared" si="2"/>
        <v>0.16129604002917658</v>
      </c>
      <c r="M13" s="105">
        <f t="shared" si="3"/>
        <v>87510</v>
      </c>
      <c r="N13" s="100">
        <f t="shared" si="4"/>
        <v>0.29827599135609745</v>
      </c>
      <c r="O13" s="234">
        <v>5467</v>
      </c>
      <c r="P13" s="100">
        <f t="shared" si="5"/>
        <v>1.8634154322292134E-2</v>
      </c>
      <c r="Q13" s="234"/>
      <c r="R13" s="100">
        <f t="shared" si="6"/>
        <v>0</v>
      </c>
      <c r="S13" s="105">
        <f t="shared" si="7"/>
        <v>5467</v>
      </c>
      <c r="T13" s="100">
        <f t="shared" si="8"/>
        <v>1.8634154322292134E-2</v>
      </c>
      <c r="U13" s="234">
        <v>33031</v>
      </c>
      <c r="V13" s="100">
        <f t="shared" si="9"/>
        <v>0.11258546760922471</v>
      </c>
      <c r="W13" s="234">
        <v>2315</v>
      </c>
      <c r="X13" s="100">
        <f t="shared" si="10"/>
        <v>7.8906287280238324E-3</v>
      </c>
      <c r="Y13" s="234">
        <v>26027</v>
      </c>
      <c r="Z13" s="100">
        <f t="shared" si="11"/>
        <v>8.8712481168153903E-2</v>
      </c>
      <c r="AA13" s="234">
        <v>22114</v>
      </c>
      <c r="AB13" s="100">
        <f t="shared" si="12"/>
        <v>7.5375103106487693E-2</v>
      </c>
      <c r="AC13" s="105">
        <f t="shared" si="13"/>
        <v>48141</v>
      </c>
      <c r="AD13" s="100">
        <f t="shared" si="14"/>
        <v>0.1640875842746416</v>
      </c>
      <c r="AE13" s="234">
        <v>27977</v>
      </c>
      <c r="AF13" s="100">
        <f t="shared" si="15"/>
        <v>9.5359015085927756E-2</v>
      </c>
      <c r="AG13" s="234">
        <v>21515</v>
      </c>
      <c r="AH13" s="100">
        <f t="shared" si="16"/>
        <v>7.3333424226104865E-2</v>
      </c>
      <c r="AI13" s="234">
        <v>38330</v>
      </c>
      <c r="AJ13" s="100">
        <f t="shared" si="17"/>
        <v>0.13064699747090863</v>
      </c>
      <c r="AK13" s="234">
        <v>29100</v>
      </c>
      <c r="AL13" s="100">
        <f t="shared" si="18"/>
        <v>9.9186736926779054E-2</v>
      </c>
    </row>
    <row r="14" spans="1:38" ht="14.25">
      <c r="B14" s="97"/>
      <c r="C14" s="83"/>
      <c r="D14" s="378">
        <f t="shared" si="21"/>
        <v>46175</v>
      </c>
      <c r="E14" s="378" t="s">
        <v>458</v>
      </c>
      <c r="F14" s="87">
        <f t="shared" si="20"/>
        <v>300488</v>
      </c>
      <c r="G14" s="310">
        <f>SUM(F14:F20)</f>
        <v>1939291</v>
      </c>
      <c r="H14" s="357"/>
      <c r="I14" s="234">
        <v>39840</v>
      </c>
      <c r="J14" s="100">
        <f>I14/F14</f>
        <v>0.13258432949069512</v>
      </c>
      <c r="K14" s="234">
        <v>45903</v>
      </c>
      <c r="L14" s="100">
        <f>K14/F14</f>
        <v>0.15276150794707277</v>
      </c>
      <c r="M14" s="105">
        <f>SUM(I14+K14)</f>
        <v>85743</v>
      </c>
      <c r="N14" s="100">
        <f>M14/F14</f>
        <v>0.28534583743776792</v>
      </c>
      <c r="O14" s="234">
        <v>5427</v>
      </c>
      <c r="P14" s="100">
        <f>O14/F14</f>
        <v>1.8060621389206891E-2</v>
      </c>
      <c r="Q14" s="234"/>
      <c r="R14" s="100">
        <f t="shared" si="6"/>
        <v>0</v>
      </c>
      <c r="S14" s="105">
        <f t="shared" si="7"/>
        <v>5427</v>
      </c>
      <c r="T14" s="100">
        <f>S14/F14</f>
        <v>1.8060621389206891E-2</v>
      </c>
      <c r="U14" s="234">
        <v>31949</v>
      </c>
      <c r="V14" s="100">
        <f>U14/F14</f>
        <v>0.10632371342616011</v>
      </c>
      <c r="W14" s="234">
        <v>1950</v>
      </c>
      <c r="X14" s="100">
        <f>W14/F14</f>
        <v>6.4894438380234815E-3</v>
      </c>
      <c r="Y14" s="234">
        <v>26311</v>
      </c>
      <c r="Z14" s="100">
        <f>Y14/F14</f>
        <v>8.7560900934479907E-2</v>
      </c>
      <c r="AA14" s="234">
        <v>21338</v>
      </c>
      <c r="AB14" s="100">
        <f t="shared" si="12"/>
        <v>7.101115518756157E-2</v>
      </c>
      <c r="AC14" s="105">
        <f>SUM(Y14+AA14)</f>
        <v>47649</v>
      </c>
      <c r="AD14" s="100">
        <f>AC14/F14</f>
        <v>0.15857205612204148</v>
      </c>
      <c r="AE14" s="234">
        <v>26755</v>
      </c>
      <c r="AF14" s="100">
        <f>AE14/F14</f>
        <v>8.9038497377599099E-2</v>
      </c>
      <c r="AG14" s="234">
        <v>19667</v>
      </c>
      <c r="AH14" s="100">
        <f>AG14/F14</f>
        <v>6.5450201006362979E-2</v>
      </c>
      <c r="AI14" s="234">
        <v>44098</v>
      </c>
      <c r="AJ14" s="100">
        <f>AI14/F14</f>
        <v>0.14675461249700486</v>
      </c>
      <c r="AK14" s="234">
        <v>37250</v>
      </c>
      <c r="AL14" s="100">
        <f>AK14/F14</f>
        <v>0.12396501690583318</v>
      </c>
    </row>
    <row r="15" spans="1:38" ht="14.25">
      <c r="B15" s="97"/>
      <c r="C15" s="83"/>
      <c r="D15" s="378">
        <f t="shared" si="21"/>
        <v>46176</v>
      </c>
      <c r="E15" s="378" t="s">
        <v>459</v>
      </c>
      <c r="F15" s="87">
        <f t="shared" si="20"/>
        <v>281796</v>
      </c>
      <c r="G15" s="310"/>
      <c r="H15" s="357"/>
      <c r="I15" s="234">
        <v>39500</v>
      </c>
      <c r="J15" s="100">
        <f t="shared" ref="J15:J31" si="22">I15/F15</f>
        <v>0.14017232324092607</v>
      </c>
      <c r="K15" s="234">
        <v>44865</v>
      </c>
      <c r="L15" s="100">
        <f t="shared" ref="L15:L31" si="23">K15/F15</f>
        <v>0.15921091853681388</v>
      </c>
      <c r="M15" s="105">
        <f t="shared" ref="M15:M31" si="24">SUM(I15+K15)</f>
        <v>84365</v>
      </c>
      <c r="N15" s="100">
        <f t="shared" ref="N15:N31" si="25">M15/F15</f>
        <v>0.29938324177773995</v>
      </c>
      <c r="O15" s="234">
        <v>5440</v>
      </c>
      <c r="P15" s="100">
        <f t="shared" ref="P15:P31" si="26">O15/F15</f>
        <v>1.9304745276725006E-2</v>
      </c>
      <c r="Q15" s="234"/>
      <c r="R15" s="100">
        <f t="shared" si="6"/>
        <v>0</v>
      </c>
      <c r="S15" s="105">
        <f t="shared" si="7"/>
        <v>5440</v>
      </c>
      <c r="T15" s="100">
        <f t="shared" ref="T15:T31" si="27">S15/F15</f>
        <v>1.9304745276725006E-2</v>
      </c>
      <c r="U15" s="234">
        <v>28808</v>
      </c>
      <c r="V15" s="100">
        <f t="shared" ref="V15:V31" si="28">U15/F15</f>
        <v>0.10222998197277464</v>
      </c>
      <c r="W15" s="234">
        <v>1824</v>
      </c>
      <c r="X15" s="100">
        <f t="shared" ref="X15:X31" si="29">W15/F15</f>
        <v>6.4727675339607375E-3</v>
      </c>
      <c r="Y15" s="234">
        <v>25264</v>
      </c>
      <c r="Z15" s="100">
        <f t="shared" ref="Z15:Z31" si="30">Y15/F15</f>
        <v>8.965350821161408E-2</v>
      </c>
      <c r="AA15" s="234">
        <v>19373</v>
      </c>
      <c r="AB15" s="100">
        <f t="shared" si="12"/>
        <v>6.8748314383454703E-2</v>
      </c>
      <c r="AC15" s="105">
        <f t="shared" ref="AC15:AC31" si="31">SUM(Y15+AA15)</f>
        <v>44637</v>
      </c>
      <c r="AD15" s="100">
        <f t="shared" ref="AD15:AD31" si="32">AC15/F15</f>
        <v>0.15840182259506877</v>
      </c>
      <c r="AE15" s="234">
        <v>24580</v>
      </c>
      <c r="AF15" s="100">
        <f t="shared" ref="AF15:AF31" si="33">AE15/F15</f>
        <v>8.7226220386378797E-2</v>
      </c>
      <c r="AG15" s="234">
        <v>18078</v>
      </c>
      <c r="AH15" s="100">
        <f t="shared" ref="AH15:AH31" si="34">AG15/F15</f>
        <v>6.4152791380999025E-2</v>
      </c>
      <c r="AI15" s="234">
        <v>42163</v>
      </c>
      <c r="AJ15" s="100">
        <f t="shared" ref="AJ15:AJ31" si="35">AI15/F15</f>
        <v>0.1496224218938523</v>
      </c>
      <c r="AK15" s="234">
        <v>31901</v>
      </c>
      <c r="AL15" s="100">
        <f t="shared" ref="AL15" si="36">AK15/F15</f>
        <v>0.11320600718250082</v>
      </c>
    </row>
    <row r="16" spans="1:38" ht="14.25">
      <c r="B16" s="97"/>
      <c r="C16" s="83"/>
      <c r="D16" s="378">
        <f t="shared" si="21"/>
        <v>46177</v>
      </c>
      <c r="E16" s="378" t="s">
        <v>460</v>
      </c>
      <c r="F16" s="87">
        <f t="shared" si="20"/>
        <v>268178</v>
      </c>
      <c r="G16" s="310"/>
      <c r="H16" s="357"/>
      <c r="I16" s="234">
        <v>37791</v>
      </c>
      <c r="J16" s="100">
        <f t="shared" si="22"/>
        <v>0.14091759950480651</v>
      </c>
      <c r="K16" s="234">
        <v>41408</v>
      </c>
      <c r="L16" s="100">
        <f t="shared" si="23"/>
        <v>0.15440491017160243</v>
      </c>
      <c r="M16" s="105">
        <f t="shared" si="24"/>
        <v>79199</v>
      </c>
      <c r="N16" s="100">
        <f t="shared" si="25"/>
        <v>0.29532250967640894</v>
      </c>
      <c r="O16" s="234">
        <v>5345</v>
      </c>
      <c r="P16" s="100">
        <f t="shared" si="26"/>
        <v>1.9930792235008092E-2</v>
      </c>
      <c r="Q16" s="234"/>
      <c r="R16" s="100">
        <f t="shared" si="6"/>
        <v>0</v>
      </c>
      <c r="S16" s="105">
        <f t="shared" si="7"/>
        <v>5345</v>
      </c>
      <c r="T16" s="100">
        <f t="shared" si="27"/>
        <v>1.9930792235008092E-2</v>
      </c>
      <c r="U16" s="234">
        <v>25178</v>
      </c>
      <c r="V16" s="100">
        <f t="shared" si="28"/>
        <v>9.3885404470165343E-2</v>
      </c>
      <c r="W16" s="234">
        <v>1803</v>
      </c>
      <c r="X16" s="100">
        <f t="shared" si="29"/>
        <v>6.7231465668324769E-3</v>
      </c>
      <c r="Y16" s="234">
        <v>24378</v>
      </c>
      <c r="Z16" s="100">
        <f t="shared" si="30"/>
        <v>9.0902311151548593E-2</v>
      </c>
      <c r="AA16" s="234">
        <v>16164</v>
      </c>
      <c r="AB16" s="100">
        <f t="shared" si="12"/>
        <v>6.0273400502651224E-2</v>
      </c>
      <c r="AC16" s="105">
        <f t="shared" si="31"/>
        <v>40542</v>
      </c>
      <c r="AD16" s="100">
        <f t="shared" si="32"/>
        <v>0.15117571165419982</v>
      </c>
      <c r="AE16" s="234">
        <v>22731</v>
      </c>
      <c r="AF16" s="100">
        <f t="shared" si="33"/>
        <v>8.4760867781846383E-2</v>
      </c>
      <c r="AG16" s="234">
        <v>18327</v>
      </c>
      <c r="AH16" s="100">
        <f t="shared" si="34"/>
        <v>6.8338939062861231E-2</v>
      </c>
      <c r="AI16" s="234">
        <v>44975</v>
      </c>
      <c r="AJ16" s="100">
        <f t="shared" si="35"/>
        <v>0.16770577750598484</v>
      </c>
      <c r="AK16" s="234">
        <v>30078</v>
      </c>
      <c r="AL16" s="100">
        <f t="shared" ref="AL16:AL41" si="37">AK16/F16</f>
        <v>0.11215685104669287</v>
      </c>
    </row>
    <row r="17" spans="2:38" ht="14.25">
      <c r="B17" s="97"/>
      <c r="C17" s="83"/>
      <c r="D17" s="378">
        <f t="shared" si="21"/>
        <v>46178</v>
      </c>
      <c r="E17" s="378" t="s">
        <v>461</v>
      </c>
      <c r="F17" s="87">
        <f t="shared" si="20"/>
        <v>238249</v>
      </c>
      <c r="G17" s="310"/>
      <c r="H17" s="357"/>
      <c r="I17" s="234">
        <v>31989</v>
      </c>
      <c r="J17" s="100">
        <f t="shared" si="22"/>
        <v>0.13426709031307582</v>
      </c>
      <c r="K17" s="234">
        <v>38486</v>
      </c>
      <c r="L17" s="100">
        <f t="shared" si="23"/>
        <v>0.16153687948322973</v>
      </c>
      <c r="M17" s="105">
        <f t="shared" si="24"/>
        <v>70475</v>
      </c>
      <c r="N17" s="100">
        <f t="shared" si="25"/>
        <v>0.29580396979630552</v>
      </c>
      <c r="O17" s="234">
        <v>4531</v>
      </c>
      <c r="P17" s="100">
        <f t="shared" si="26"/>
        <v>1.9017918228408093E-2</v>
      </c>
      <c r="Q17" s="234"/>
      <c r="R17" s="100">
        <f t="shared" si="6"/>
        <v>0</v>
      </c>
      <c r="S17" s="105">
        <f t="shared" si="7"/>
        <v>4531</v>
      </c>
      <c r="T17" s="100">
        <f t="shared" si="27"/>
        <v>1.9017918228408093E-2</v>
      </c>
      <c r="U17" s="234">
        <v>22217</v>
      </c>
      <c r="V17" s="100">
        <f t="shared" si="28"/>
        <v>9.3251178388996381E-2</v>
      </c>
      <c r="W17" s="234">
        <v>1229</v>
      </c>
      <c r="X17" s="100">
        <f t="shared" si="29"/>
        <v>5.1584686609387658E-3</v>
      </c>
      <c r="Y17" s="234">
        <v>18805</v>
      </c>
      <c r="Z17" s="100">
        <f t="shared" si="30"/>
        <v>7.8930026988570781E-2</v>
      </c>
      <c r="AA17" s="234">
        <v>17954</v>
      </c>
      <c r="AB17" s="100">
        <f t="shared" si="12"/>
        <v>7.535813371724541E-2</v>
      </c>
      <c r="AC17" s="105">
        <f t="shared" si="31"/>
        <v>36759</v>
      </c>
      <c r="AD17" s="100">
        <f t="shared" si="32"/>
        <v>0.15428816070581619</v>
      </c>
      <c r="AE17" s="234">
        <v>18780</v>
      </c>
      <c r="AF17" s="100">
        <f t="shared" si="33"/>
        <v>7.8825094753807987E-2</v>
      </c>
      <c r="AG17" s="234">
        <v>17456</v>
      </c>
      <c r="AH17" s="100">
        <f t="shared" si="34"/>
        <v>7.326788360077062E-2</v>
      </c>
      <c r="AI17" s="234">
        <v>42380</v>
      </c>
      <c r="AJ17" s="100">
        <f t="shared" si="35"/>
        <v>0.17788112436988193</v>
      </c>
      <c r="AK17" s="234">
        <v>24422</v>
      </c>
      <c r="AL17" s="100">
        <f t="shared" si="37"/>
        <v>0.10250620149507449</v>
      </c>
    </row>
    <row r="18" spans="2:38" ht="14.25">
      <c r="B18" s="97"/>
      <c r="C18" s="83"/>
      <c r="D18" s="378">
        <f t="shared" si="21"/>
        <v>46179</v>
      </c>
      <c r="E18" s="378" t="s">
        <v>462</v>
      </c>
      <c r="F18" s="87">
        <f t="shared" si="20"/>
        <v>254956</v>
      </c>
      <c r="G18" s="310"/>
      <c r="H18" s="357"/>
      <c r="I18" s="234">
        <v>30868</v>
      </c>
      <c r="J18" s="100">
        <f t="shared" si="22"/>
        <v>0.1210718712248388</v>
      </c>
      <c r="K18" s="234">
        <v>43131</v>
      </c>
      <c r="L18" s="100">
        <f t="shared" si="23"/>
        <v>0.16917036665150065</v>
      </c>
      <c r="M18" s="105">
        <f t="shared" si="24"/>
        <v>73999</v>
      </c>
      <c r="N18" s="100">
        <f t="shared" si="25"/>
        <v>0.29024223787633946</v>
      </c>
      <c r="O18" s="234">
        <v>4450</v>
      </c>
      <c r="P18" s="100">
        <f t="shared" si="26"/>
        <v>1.7453992061375295E-2</v>
      </c>
      <c r="Q18" s="234"/>
      <c r="R18" s="100">
        <f t="shared" si="6"/>
        <v>0</v>
      </c>
      <c r="S18" s="105">
        <f t="shared" si="7"/>
        <v>4450</v>
      </c>
      <c r="T18" s="100">
        <f t="shared" si="27"/>
        <v>1.7453992061375295E-2</v>
      </c>
      <c r="U18" s="234">
        <v>25856</v>
      </c>
      <c r="V18" s="100">
        <f t="shared" si="28"/>
        <v>0.10141357724470104</v>
      </c>
      <c r="W18" s="234">
        <v>1531</v>
      </c>
      <c r="X18" s="100">
        <f t="shared" si="29"/>
        <v>6.0049577181945117E-3</v>
      </c>
      <c r="Y18" s="234">
        <v>21452</v>
      </c>
      <c r="Z18" s="100">
        <f t="shared" si="30"/>
        <v>8.4140008472050082E-2</v>
      </c>
      <c r="AA18" s="234">
        <v>21446</v>
      </c>
      <c r="AB18" s="100">
        <f t="shared" si="12"/>
        <v>8.4116474999607782E-2</v>
      </c>
      <c r="AC18" s="105">
        <f t="shared" si="31"/>
        <v>42898</v>
      </c>
      <c r="AD18" s="100">
        <f t="shared" si="32"/>
        <v>0.16825648347165786</v>
      </c>
      <c r="AE18" s="234">
        <v>22306</v>
      </c>
      <c r="AF18" s="100">
        <f t="shared" si="33"/>
        <v>8.748960604967132E-2</v>
      </c>
      <c r="AG18" s="234">
        <v>17225</v>
      </c>
      <c r="AH18" s="100">
        <f t="shared" si="34"/>
        <v>6.7560677136447075E-2</v>
      </c>
      <c r="AI18" s="234">
        <v>39545</v>
      </c>
      <c r="AJ18" s="100">
        <f t="shared" si="35"/>
        <v>0.1551051946218171</v>
      </c>
      <c r="AK18" s="234">
        <v>27146</v>
      </c>
      <c r="AL18" s="100">
        <f t="shared" si="37"/>
        <v>0.10647327381979636</v>
      </c>
    </row>
    <row r="19" spans="2:38" ht="14.25">
      <c r="B19" s="97"/>
      <c r="C19" s="83"/>
      <c r="D19" s="378">
        <f t="shared" si="21"/>
        <v>46180</v>
      </c>
      <c r="E19" s="378" t="s">
        <v>463</v>
      </c>
      <c r="F19" s="87">
        <f t="shared" si="20"/>
        <v>300446</v>
      </c>
      <c r="G19" s="310"/>
      <c r="H19" s="357"/>
      <c r="I19" s="234">
        <v>38322</v>
      </c>
      <c r="J19" s="100">
        <f t="shared" si="22"/>
        <v>0.1275503751090046</v>
      </c>
      <c r="K19" s="234">
        <v>46870</v>
      </c>
      <c r="L19" s="100">
        <f t="shared" si="23"/>
        <v>0.15600141123529687</v>
      </c>
      <c r="M19" s="105">
        <f t="shared" si="24"/>
        <v>85192</v>
      </c>
      <c r="N19" s="100">
        <f t="shared" si="25"/>
        <v>0.28355178634430145</v>
      </c>
      <c r="O19" s="234">
        <v>5485</v>
      </c>
      <c r="P19" s="100">
        <f t="shared" si="26"/>
        <v>1.8256192460541994E-2</v>
      </c>
      <c r="Q19" s="234"/>
      <c r="R19" s="100">
        <f t="shared" si="6"/>
        <v>0</v>
      </c>
      <c r="S19" s="105">
        <f t="shared" si="7"/>
        <v>5485</v>
      </c>
      <c r="T19" s="100">
        <f t="shared" si="27"/>
        <v>1.8256192460541994E-2</v>
      </c>
      <c r="U19" s="234">
        <v>33316</v>
      </c>
      <c r="V19" s="100">
        <f t="shared" si="28"/>
        <v>0.11088847912769682</v>
      </c>
      <c r="W19" s="234">
        <v>1789</v>
      </c>
      <c r="X19" s="100">
        <f t="shared" si="29"/>
        <v>5.9544810049060393E-3</v>
      </c>
      <c r="Y19" s="234">
        <v>26306</v>
      </c>
      <c r="Z19" s="100">
        <f t="shared" si="30"/>
        <v>8.7556499337651361E-2</v>
      </c>
      <c r="AA19" s="234">
        <v>22582</v>
      </c>
      <c r="AB19" s="100">
        <f t="shared" si="12"/>
        <v>7.5161593098260593E-2</v>
      </c>
      <c r="AC19" s="105">
        <f t="shared" si="31"/>
        <v>48888</v>
      </c>
      <c r="AD19" s="100">
        <f t="shared" si="32"/>
        <v>0.16271809243591195</v>
      </c>
      <c r="AE19" s="234">
        <v>28787</v>
      </c>
      <c r="AF19" s="100">
        <f t="shared" si="33"/>
        <v>9.5814222855355041E-2</v>
      </c>
      <c r="AG19" s="234">
        <v>21042</v>
      </c>
      <c r="AH19" s="100">
        <f t="shared" si="34"/>
        <v>7.0035879991745612E-2</v>
      </c>
      <c r="AI19" s="234">
        <v>42310</v>
      </c>
      <c r="AJ19" s="100">
        <f t="shared" si="35"/>
        <v>0.14082397502379795</v>
      </c>
      <c r="AK19" s="234">
        <v>33637</v>
      </c>
      <c r="AL19" s="100">
        <f t="shared" si="37"/>
        <v>0.11195689075574312</v>
      </c>
    </row>
    <row r="20" spans="2:38" ht="14.25">
      <c r="B20" s="97"/>
      <c r="C20" s="83"/>
      <c r="D20" s="378">
        <f t="shared" si="21"/>
        <v>46181</v>
      </c>
      <c r="E20" s="378" t="s">
        <v>457</v>
      </c>
      <c r="F20" s="87">
        <f t="shared" si="20"/>
        <v>295178</v>
      </c>
      <c r="G20" s="310"/>
      <c r="H20" s="357"/>
      <c r="I20" s="234">
        <v>37675</v>
      </c>
      <c r="J20" s="100">
        <f t="shared" si="22"/>
        <v>0.12763485083576689</v>
      </c>
      <c r="K20" s="234">
        <v>46412</v>
      </c>
      <c r="L20" s="100">
        <f t="shared" si="23"/>
        <v>0.1572339401987953</v>
      </c>
      <c r="M20" s="105">
        <f t="shared" si="24"/>
        <v>84087</v>
      </c>
      <c r="N20" s="100">
        <f t="shared" si="25"/>
        <v>0.2848687910345622</v>
      </c>
      <c r="O20" s="234">
        <v>5431</v>
      </c>
      <c r="P20" s="100">
        <f t="shared" si="26"/>
        <v>1.8399067681195754E-2</v>
      </c>
      <c r="Q20" s="234"/>
      <c r="R20" s="100">
        <f t="shared" si="6"/>
        <v>0</v>
      </c>
      <c r="S20" s="105">
        <f t="shared" si="7"/>
        <v>5431</v>
      </c>
      <c r="T20" s="100">
        <f t="shared" si="27"/>
        <v>1.8399067681195754E-2</v>
      </c>
      <c r="U20" s="234">
        <v>33045</v>
      </c>
      <c r="V20" s="100">
        <f t="shared" si="28"/>
        <v>0.11194940002303695</v>
      </c>
      <c r="W20" s="234">
        <v>1925</v>
      </c>
      <c r="X20" s="100">
        <f t="shared" si="29"/>
        <v>6.5214887288348048E-3</v>
      </c>
      <c r="Y20" s="234">
        <v>26675</v>
      </c>
      <c r="Z20" s="100">
        <f t="shared" si="30"/>
        <v>9.036920095671086E-2</v>
      </c>
      <c r="AA20" s="234">
        <v>26256</v>
      </c>
      <c r="AB20" s="100">
        <f t="shared" si="12"/>
        <v>8.8949718474954101E-2</v>
      </c>
      <c r="AC20" s="105">
        <f t="shared" si="31"/>
        <v>52931</v>
      </c>
      <c r="AD20" s="100">
        <f t="shared" si="32"/>
        <v>0.17931891943166497</v>
      </c>
      <c r="AE20" s="234">
        <v>28733</v>
      </c>
      <c r="AF20" s="100">
        <f t="shared" si="33"/>
        <v>9.7341265270446981E-2</v>
      </c>
      <c r="AG20" s="234">
        <v>20697</v>
      </c>
      <c r="AH20" s="100">
        <f t="shared" si="34"/>
        <v>7.0117014140620229E-2</v>
      </c>
      <c r="AI20" s="234">
        <v>36888</v>
      </c>
      <c r="AJ20" s="100">
        <f t="shared" si="35"/>
        <v>0.12496866297623807</v>
      </c>
      <c r="AK20" s="234">
        <v>31441</v>
      </c>
      <c r="AL20" s="100">
        <f t="shared" si="37"/>
        <v>0.10651539071340005</v>
      </c>
    </row>
    <row r="21" spans="2:38" ht="14.25">
      <c r="B21" s="97"/>
      <c r="C21" s="83"/>
      <c r="D21" s="308">
        <f t="shared" si="21"/>
        <v>46182</v>
      </c>
      <c r="E21" s="308" t="s">
        <v>458</v>
      </c>
      <c r="F21" s="87">
        <f t="shared" si="20"/>
        <v>0</v>
      </c>
      <c r="G21" s="310">
        <f>SUM(F21:F27)</f>
        <v>0</v>
      </c>
      <c r="H21" s="357"/>
      <c r="I21" s="234"/>
      <c r="J21" s="100" t="e">
        <f t="shared" si="22"/>
        <v>#DIV/0!</v>
      </c>
      <c r="K21" s="234"/>
      <c r="L21" s="100" t="e">
        <f t="shared" si="23"/>
        <v>#DIV/0!</v>
      </c>
      <c r="M21" s="105">
        <f t="shared" si="24"/>
        <v>0</v>
      </c>
      <c r="N21" s="100" t="e">
        <f t="shared" si="25"/>
        <v>#DIV/0!</v>
      </c>
      <c r="O21" s="234"/>
      <c r="P21" s="100" t="e">
        <f t="shared" si="26"/>
        <v>#DIV/0!</v>
      </c>
      <c r="Q21" s="234"/>
      <c r="R21" s="100" t="e">
        <f t="shared" si="6"/>
        <v>#DIV/0!</v>
      </c>
      <c r="S21" s="105">
        <f t="shared" si="7"/>
        <v>0</v>
      </c>
      <c r="T21" s="100" t="e">
        <f t="shared" si="27"/>
        <v>#DIV/0!</v>
      </c>
      <c r="U21" s="234"/>
      <c r="V21" s="100" t="e">
        <f t="shared" si="28"/>
        <v>#DIV/0!</v>
      </c>
      <c r="W21" s="234"/>
      <c r="X21" s="100" t="e">
        <f t="shared" si="29"/>
        <v>#DIV/0!</v>
      </c>
      <c r="Y21" s="234"/>
      <c r="Z21" s="100" t="e">
        <f t="shared" si="30"/>
        <v>#DIV/0!</v>
      </c>
      <c r="AA21" s="234"/>
      <c r="AB21" s="100" t="e">
        <f t="shared" si="12"/>
        <v>#DIV/0!</v>
      </c>
      <c r="AC21" s="105">
        <f t="shared" si="31"/>
        <v>0</v>
      </c>
      <c r="AD21" s="100" t="e">
        <f t="shared" si="32"/>
        <v>#DIV/0!</v>
      </c>
      <c r="AE21" s="234"/>
      <c r="AF21" s="100" t="e">
        <f t="shared" si="33"/>
        <v>#DIV/0!</v>
      </c>
      <c r="AG21" s="234"/>
      <c r="AH21" s="100" t="e">
        <f t="shared" si="34"/>
        <v>#DIV/0!</v>
      </c>
      <c r="AI21" s="234"/>
      <c r="AJ21" s="100" t="e">
        <f t="shared" si="35"/>
        <v>#DIV/0!</v>
      </c>
      <c r="AK21" s="234"/>
      <c r="AL21" s="100" t="e">
        <f t="shared" si="37"/>
        <v>#DIV/0!</v>
      </c>
    </row>
    <row r="22" spans="2:38" ht="14.25">
      <c r="B22" s="97"/>
      <c r="C22" s="83"/>
      <c r="D22" s="308">
        <f t="shared" si="21"/>
        <v>46183</v>
      </c>
      <c r="E22" s="308" t="s">
        <v>459</v>
      </c>
      <c r="F22" s="87">
        <f t="shared" si="20"/>
        <v>0</v>
      </c>
      <c r="G22" s="310"/>
      <c r="H22" s="357"/>
      <c r="I22" s="234"/>
      <c r="J22" s="100" t="e">
        <f t="shared" si="22"/>
        <v>#DIV/0!</v>
      </c>
      <c r="K22" s="234"/>
      <c r="L22" s="100" t="e">
        <f t="shared" si="23"/>
        <v>#DIV/0!</v>
      </c>
      <c r="M22" s="105">
        <f t="shared" si="24"/>
        <v>0</v>
      </c>
      <c r="N22" s="100" t="e">
        <f t="shared" si="25"/>
        <v>#DIV/0!</v>
      </c>
      <c r="O22" s="234"/>
      <c r="P22" s="100" t="e">
        <f t="shared" si="26"/>
        <v>#DIV/0!</v>
      </c>
      <c r="Q22" s="234"/>
      <c r="R22" s="100" t="e">
        <f t="shared" si="6"/>
        <v>#DIV/0!</v>
      </c>
      <c r="S22" s="105">
        <f t="shared" si="7"/>
        <v>0</v>
      </c>
      <c r="T22" s="100" t="e">
        <f t="shared" si="27"/>
        <v>#DIV/0!</v>
      </c>
      <c r="U22" s="234"/>
      <c r="V22" s="100" t="e">
        <f t="shared" si="28"/>
        <v>#DIV/0!</v>
      </c>
      <c r="W22" s="234"/>
      <c r="X22" s="100" t="e">
        <f t="shared" si="29"/>
        <v>#DIV/0!</v>
      </c>
      <c r="Y22" s="234"/>
      <c r="Z22" s="100" t="e">
        <f t="shared" si="30"/>
        <v>#DIV/0!</v>
      </c>
      <c r="AA22" s="234"/>
      <c r="AB22" s="100" t="e">
        <f t="shared" si="12"/>
        <v>#DIV/0!</v>
      </c>
      <c r="AC22" s="105">
        <f t="shared" si="31"/>
        <v>0</v>
      </c>
      <c r="AD22" s="100" t="e">
        <f t="shared" si="32"/>
        <v>#DIV/0!</v>
      </c>
      <c r="AE22" s="234"/>
      <c r="AF22" s="100" t="e">
        <f t="shared" si="33"/>
        <v>#DIV/0!</v>
      </c>
      <c r="AG22" s="234"/>
      <c r="AH22" s="100" t="e">
        <f t="shared" si="34"/>
        <v>#DIV/0!</v>
      </c>
      <c r="AI22" s="234"/>
      <c r="AJ22" s="100" t="e">
        <f t="shared" si="35"/>
        <v>#DIV/0!</v>
      </c>
      <c r="AK22" s="234"/>
      <c r="AL22" s="100" t="e">
        <f t="shared" si="37"/>
        <v>#DIV/0!</v>
      </c>
    </row>
    <row r="23" spans="2:38" ht="14.25">
      <c r="B23" s="97"/>
      <c r="C23" s="83"/>
      <c r="D23" s="308">
        <f t="shared" si="21"/>
        <v>46184</v>
      </c>
      <c r="E23" s="308" t="s">
        <v>460</v>
      </c>
      <c r="F23" s="87">
        <f t="shared" si="20"/>
        <v>0</v>
      </c>
      <c r="G23" s="310"/>
      <c r="H23" s="357"/>
      <c r="I23" s="234"/>
      <c r="J23" s="100" t="e">
        <f t="shared" si="22"/>
        <v>#DIV/0!</v>
      </c>
      <c r="K23" s="234"/>
      <c r="L23" s="100" t="e">
        <f t="shared" si="23"/>
        <v>#DIV/0!</v>
      </c>
      <c r="M23" s="105">
        <f t="shared" si="24"/>
        <v>0</v>
      </c>
      <c r="N23" s="100" t="e">
        <f t="shared" si="25"/>
        <v>#DIV/0!</v>
      </c>
      <c r="O23" s="234"/>
      <c r="P23" s="100" t="e">
        <f t="shared" si="26"/>
        <v>#DIV/0!</v>
      </c>
      <c r="Q23" s="234"/>
      <c r="R23" s="100" t="e">
        <f t="shared" si="6"/>
        <v>#DIV/0!</v>
      </c>
      <c r="S23" s="105">
        <f t="shared" si="7"/>
        <v>0</v>
      </c>
      <c r="T23" s="100" t="e">
        <f t="shared" si="27"/>
        <v>#DIV/0!</v>
      </c>
      <c r="U23" s="234"/>
      <c r="V23" s="100" t="e">
        <f t="shared" si="28"/>
        <v>#DIV/0!</v>
      </c>
      <c r="W23" s="234"/>
      <c r="X23" s="100" t="e">
        <f t="shared" si="29"/>
        <v>#DIV/0!</v>
      </c>
      <c r="Y23" s="234"/>
      <c r="Z23" s="100" t="e">
        <f t="shared" si="30"/>
        <v>#DIV/0!</v>
      </c>
      <c r="AA23" s="234"/>
      <c r="AB23" s="100" t="e">
        <f t="shared" si="12"/>
        <v>#DIV/0!</v>
      </c>
      <c r="AC23" s="105">
        <f t="shared" si="31"/>
        <v>0</v>
      </c>
      <c r="AD23" s="100" t="e">
        <f t="shared" si="32"/>
        <v>#DIV/0!</v>
      </c>
      <c r="AE23" s="234"/>
      <c r="AF23" s="100" t="e">
        <f t="shared" si="33"/>
        <v>#DIV/0!</v>
      </c>
      <c r="AG23" s="234"/>
      <c r="AH23" s="100" t="e">
        <f t="shared" si="34"/>
        <v>#DIV/0!</v>
      </c>
      <c r="AI23" s="234"/>
      <c r="AJ23" s="100" t="e">
        <f t="shared" si="35"/>
        <v>#DIV/0!</v>
      </c>
      <c r="AK23" s="234"/>
      <c r="AL23" s="100" t="e">
        <f t="shared" si="37"/>
        <v>#DIV/0!</v>
      </c>
    </row>
    <row r="24" spans="2:38" ht="14.25">
      <c r="B24" s="97"/>
      <c r="C24" s="83"/>
      <c r="D24" s="308">
        <f t="shared" si="21"/>
        <v>46185</v>
      </c>
      <c r="E24" s="308" t="s">
        <v>461</v>
      </c>
      <c r="F24" s="87">
        <f t="shared" si="20"/>
        <v>0</v>
      </c>
      <c r="G24" s="310"/>
      <c r="H24" s="357"/>
      <c r="I24" s="234"/>
      <c r="J24" s="100" t="e">
        <f t="shared" si="22"/>
        <v>#DIV/0!</v>
      </c>
      <c r="K24" s="234"/>
      <c r="L24" s="100" t="e">
        <f t="shared" si="23"/>
        <v>#DIV/0!</v>
      </c>
      <c r="M24" s="105">
        <f t="shared" si="24"/>
        <v>0</v>
      </c>
      <c r="N24" s="100" t="e">
        <f t="shared" si="25"/>
        <v>#DIV/0!</v>
      </c>
      <c r="O24" s="234"/>
      <c r="P24" s="100" t="e">
        <f t="shared" si="26"/>
        <v>#DIV/0!</v>
      </c>
      <c r="Q24" s="234"/>
      <c r="R24" s="100" t="e">
        <f t="shared" si="6"/>
        <v>#DIV/0!</v>
      </c>
      <c r="S24" s="105">
        <f t="shared" si="7"/>
        <v>0</v>
      </c>
      <c r="T24" s="100" t="e">
        <f t="shared" si="27"/>
        <v>#DIV/0!</v>
      </c>
      <c r="U24" s="234"/>
      <c r="V24" s="100" t="e">
        <f t="shared" si="28"/>
        <v>#DIV/0!</v>
      </c>
      <c r="W24" s="234"/>
      <c r="X24" s="100" t="e">
        <f t="shared" si="29"/>
        <v>#DIV/0!</v>
      </c>
      <c r="Y24" s="234"/>
      <c r="Z24" s="100" t="e">
        <f t="shared" si="30"/>
        <v>#DIV/0!</v>
      </c>
      <c r="AA24" s="234"/>
      <c r="AB24" s="100" t="e">
        <f t="shared" si="12"/>
        <v>#DIV/0!</v>
      </c>
      <c r="AC24" s="105">
        <f t="shared" si="31"/>
        <v>0</v>
      </c>
      <c r="AD24" s="100" t="e">
        <f t="shared" si="32"/>
        <v>#DIV/0!</v>
      </c>
      <c r="AE24" s="234"/>
      <c r="AF24" s="100" t="e">
        <f t="shared" si="33"/>
        <v>#DIV/0!</v>
      </c>
      <c r="AG24" s="234"/>
      <c r="AH24" s="100" t="e">
        <f t="shared" si="34"/>
        <v>#DIV/0!</v>
      </c>
      <c r="AI24" s="234"/>
      <c r="AJ24" s="100" t="e">
        <f t="shared" si="35"/>
        <v>#DIV/0!</v>
      </c>
      <c r="AK24" s="234"/>
      <c r="AL24" s="100" t="e">
        <f t="shared" si="37"/>
        <v>#DIV/0!</v>
      </c>
    </row>
    <row r="25" spans="2:38" ht="14.25">
      <c r="B25" s="97"/>
      <c r="C25" s="83"/>
      <c r="D25" s="308">
        <f t="shared" si="21"/>
        <v>46186</v>
      </c>
      <c r="E25" s="308" t="s">
        <v>462</v>
      </c>
      <c r="F25" s="87">
        <f t="shared" si="20"/>
        <v>0</v>
      </c>
      <c r="G25" s="310"/>
      <c r="H25" s="357"/>
      <c r="I25" s="234"/>
      <c r="J25" s="100" t="e">
        <f t="shared" si="22"/>
        <v>#DIV/0!</v>
      </c>
      <c r="K25" s="234"/>
      <c r="L25" s="100" t="e">
        <f t="shared" si="23"/>
        <v>#DIV/0!</v>
      </c>
      <c r="M25" s="105">
        <f t="shared" si="24"/>
        <v>0</v>
      </c>
      <c r="N25" s="100" t="e">
        <f t="shared" si="25"/>
        <v>#DIV/0!</v>
      </c>
      <c r="O25" s="234"/>
      <c r="P25" s="100" t="e">
        <f t="shared" si="26"/>
        <v>#DIV/0!</v>
      </c>
      <c r="Q25" s="234"/>
      <c r="R25" s="100" t="e">
        <f t="shared" si="6"/>
        <v>#DIV/0!</v>
      </c>
      <c r="S25" s="105">
        <f t="shared" si="7"/>
        <v>0</v>
      </c>
      <c r="T25" s="100" t="e">
        <f t="shared" si="27"/>
        <v>#DIV/0!</v>
      </c>
      <c r="U25" s="234"/>
      <c r="V25" s="100" t="e">
        <f t="shared" si="28"/>
        <v>#DIV/0!</v>
      </c>
      <c r="W25" s="234"/>
      <c r="X25" s="100" t="e">
        <f t="shared" si="29"/>
        <v>#DIV/0!</v>
      </c>
      <c r="Y25" s="234"/>
      <c r="Z25" s="100" t="e">
        <f t="shared" si="30"/>
        <v>#DIV/0!</v>
      </c>
      <c r="AA25" s="234"/>
      <c r="AB25" s="100" t="e">
        <f t="shared" si="12"/>
        <v>#DIV/0!</v>
      </c>
      <c r="AC25" s="105">
        <f t="shared" si="31"/>
        <v>0</v>
      </c>
      <c r="AD25" s="100" t="e">
        <f t="shared" si="32"/>
        <v>#DIV/0!</v>
      </c>
      <c r="AE25" s="234"/>
      <c r="AF25" s="100" t="e">
        <f t="shared" si="33"/>
        <v>#DIV/0!</v>
      </c>
      <c r="AG25" s="234"/>
      <c r="AH25" s="100" t="e">
        <f t="shared" si="34"/>
        <v>#DIV/0!</v>
      </c>
      <c r="AI25" s="234"/>
      <c r="AJ25" s="100" t="e">
        <f t="shared" si="35"/>
        <v>#DIV/0!</v>
      </c>
      <c r="AK25" s="234"/>
      <c r="AL25" s="100" t="e">
        <f t="shared" si="37"/>
        <v>#DIV/0!</v>
      </c>
    </row>
    <row r="26" spans="2:38" ht="14.25">
      <c r="B26" s="97"/>
      <c r="C26" s="83"/>
      <c r="D26" s="308">
        <f t="shared" si="21"/>
        <v>46187</v>
      </c>
      <c r="E26" s="308" t="s">
        <v>463</v>
      </c>
      <c r="F26" s="87">
        <f t="shared" si="20"/>
        <v>0</v>
      </c>
      <c r="G26" s="310"/>
      <c r="H26" s="357"/>
      <c r="I26" s="234"/>
      <c r="J26" s="100" t="e">
        <f t="shared" si="22"/>
        <v>#DIV/0!</v>
      </c>
      <c r="K26" s="234"/>
      <c r="L26" s="100" t="e">
        <f t="shared" si="23"/>
        <v>#DIV/0!</v>
      </c>
      <c r="M26" s="105">
        <f t="shared" si="24"/>
        <v>0</v>
      </c>
      <c r="N26" s="100" t="e">
        <f t="shared" si="25"/>
        <v>#DIV/0!</v>
      </c>
      <c r="O26" s="234"/>
      <c r="P26" s="100" t="e">
        <f t="shared" si="26"/>
        <v>#DIV/0!</v>
      </c>
      <c r="Q26" s="234"/>
      <c r="R26" s="100" t="e">
        <f t="shared" si="6"/>
        <v>#DIV/0!</v>
      </c>
      <c r="S26" s="105">
        <f t="shared" si="7"/>
        <v>0</v>
      </c>
      <c r="T26" s="100" t="e">
        <f t="shared" si="27"/>
        <v>#DIV/0!</v>
      </c>
      <c r="U26" s="234"/>
      <c r="V26" s="100" t="e">
        <f t="shared" si="28"/>
        <v>#DIV/0!</v>
      </c>
      <c r="W26" s="234"/>
      <c r="X26" s="100" t="e">
        <f t="shared" si="29"/>
        <v>#DIV/0!</v>
      </c>
      <c r="Y26" s="234"/>
      <c r="Z26" s="100" t="e">
        <f t="shared" si="30"/>
        <v>#DIV/0!</v>
      </c>
      <c r="AA26" s="234"/>
      <c r="AB26" s="100" t="e">
        <f t="shared" si="12"/>
        <v>#DIV/0!</v>
      </c>
      <c r="AC26" s="105">
        <f t="shared" si="31"/>
        <v>0</v>
      </c>
      <c r="AD26" s="100" t="e">
        <f t="shared" si="32"/>
        <v>#DIV/0!</v>
      </c>
      <c r="AE26" s="234"/>
      <c r="AF26" s="100" t="e">
        <f t="shared" si="33"/>
        <v>#DIV/0!</v>
      </c>
      <c r="AG26" s="234"/>
      <c r="AH26" s="100" t="e">
        <f t="shared" si="34"/>
        <v>#DIV/0!</v>
      </c>
      <c r="AI26" s="234"/>
      <c r="AJ26" s="100" t="e">
        <f t="shared" si="35"/>
        <v>#DIV/0!</v>
      </c>
      <c r="AK26" s="234"/>
      <c r="AL26" s="100" t="e">
        <f t="shared" si="37"/>
        <v>#DIV/0!</v>
      </c>
    </row>
    <row r="27" spans="2:38" ht="14.25">
      <c r="B27" s="97"/>
      <c r="C27" s="83"/>
      <c r="D27" s="308">
        <f t="shared" si="21"/>
        <v>46188</v>
      </c>
      <c r="E27" s="308" t="s">
        <v>457</v>
      </c>
      <c r="F27" s="87">
        <f t="shared" si="20"/>
        <v>0</v>
      </c>
      <c r="G27" s="310"/>
      <c r="H27" s="357"/>
      <c r="I27" s="234"/>
      <c r="J27" s="100" t="e">
        <f t="shared" si="22"/>
        <v>#DIV/0!</v>
      </c>
      <c r="K27" s="234"/>
      <c r="L27" s="100" t="e">
        <f t="shared" si="23"/>
        <v>#DIV/0!</v>
      </c>
      <c r="M27" s="105">
        <f t="shared" si="24"/>
        <v>0</v>
      </c>
      <c r="N27" s="100" t="e">
        <f t="shared" si="25"/>
        <v>#DIV/0!</v>
      </c>
      <c r="O27" s="234"/>
      <c r="P27" s="100" t="e">
        <f t="shared" si="26"/>
        <v>#DIV/0!</v>
      </c>
      <c r="Q27" s="234"/>
      <c r="R27" s="100" t="e">
        <f t="shared" si="6"/>
        <v>#DIV/0!</v>
      </c>
      <c r="S27" s="105">
        <f t="shared" si="7"/>
        <v>0</v>
      </c>
      <c r="T27" s="100" t="e">
        <f t="shared" si="27"/>
        <v>#DIV/0!</v>
      </c>
      <c r="U27" s="234"/>
      <c r="V27" s="100" t="e">
        <f t="shared" si="28"/>
        <v>#DIV/0!</v>
      </c>
      <c r="W27" s="234"/>
      <c r="X27" s="100" t="e">
        <f t="shared" si="29"/>
        <v>#DIV/0!</v>
      </c>
      <c r="Y27" s="234"/>
      <c r="Z27" s="100" t="e">
        <f t="shared" si="30"/>
        <v>#DIV/0!</v>
      </c>
      <c r="AA27" s="234"/>
      <c r="AB27" s="100" t="e">
        <f t="shared" si="12"/>
        <v>#DIV/0!</v>
      </c>
      <c r="AC27" s="105">
        <f t="shared" si="31"/>
        <v>0</v>
      </c>
      <c r="AD27" s="100" t="e">
        <f t="shared" si="32"/>
        <v>#DIV/0!</v>
      </c>
      <c r="AE27" s="234"/>
      <c r="AF27" s="100" t="e">
        <f t="shared" si="33"/>
        <v>#DIV/0!</v>
      </c>
      <c r="AG27" s="234"/>
      <c r="AH27" s="100" t="e">
        <f t="shared" si="34"/>
        <v>#DIV/0!</v>
      </c>
      <c r="AI27" s="234"/>
      <c r="AJ27" s="100" t="e">
        <f t="shared" si="35"/>
        <v>#DIV/0!</v>
      </c>
      <c r="AK27" s="234"/>
      <c r="AL27" s="100" t="e">
        <f t="shared" si="37"/>
        <v>#DIV/0!</v>
      </c>
    </row>
    <row r="28" spans="2:38" ht="14.25">
      <c r="B28" s="97"/>
      <c r="C28" s="83"/>
      <c r="D28" s="378">
        <f t="shared" si="21"/>
        <v>46189</v>
      </c>
      <c r="E28" s="378" t="s">
        <v>458</v>
      </c>
      <c r="F28" s="87">
        <f t="shared" si="20"/>
        <v>0</v>
      </c>
      <c r="G28" s="310">
        <f>SUM(F28:F34)</f>
        <v>0</v>
      </c>
      <c r="H28" s="357"/>
      <c r="I28" s="234"/>
      <c r="J28" s="100" t="e">
        <f t="shared" si="22"/>
        <v>#DIV/0!</v>
      </c>
      <c r="K28" s="234"/>
      <c r="L28" s="100" t="e">
        <f t="shared" si="23"/>
        <v>#DIV/0!</v>
      </c>
      <c r="M28" s="105">
        <f t="shared" si="24"/>
        <v>0</v>
      </c>
      <c r="N28" s="100" t="e">
        <f t="shared" si="25"/>
        <v>#DIV/0!</v>
      </c>
      <c r="O28" s="234"/>
      <c r="P28" s="100" t="e">
        <f t="shared" si="26"/>
        <v>#DIV/0!</v>
      </c>
      <c r="Q28" s="234"/>
      <c r="R28" s="100" t="e">
        <f t="shared" si="6"/>
        <v>#DIV/0!</v>
      </c>
      <c r="S28" s="105">
        <f t="shared" si="7"/>
        <v>0</v>
      </c>
      <c r="T28" s="100" t="e">
        <f t="shared" si="27"/>
        <v>#DIV/0!</v>
      </c>
      <c r="U28" s="234"/>
      <c r="V28" s="100" t="e">
        <f t="shared" si="28"/>
        <v>#DIV/0!</v>
      </c>
      <c r="W28" s="234"/>
      <c r="X28" s="100" t="e">
        <f t="shared" si="29"/>
        <v>#DIV/0!</v>
      </c>
      <c r="Y28" s="234"/>
      <c r="Z28" s="100" t="e">
        <f t="shared" si="30"/>
        <v>#DIV/0!</v>
      </c>
      <c r="AA28" s="234"/>
      <c r="AB28" s="100" t="e">
        <f t="shared" si="12"/>
        <v>#DIV/0!</v>
      </c>
      <c r="AC28" s="105">
        <f t="shared" si="31"/>
        <v>0</v>
      </c>
      <c r="AD28" s="100" t="e">
        <f t="shared" si="32"/>
        <v>#DIV/0!</v>
      </c>
      <c r="AE28" s="234"/>
      <c r="AF28" s="100" t="e">
        <f t="shared" si="33"/>
        <v>#DIV/0!</v>
      </c>
      <c r="AG28" s="234"/>
      <c r="AH28" s="100" t="e">
        <f t="shared" si="34"/>
        <v>#DIV/0!</v>
      </c>
      <c r="AI28" s="234"/>
      <c r="AJ28" s="100" t="e">
        <f t="shared" si="35"/>
        <v>#DIV/0!</v>
      </c>
      <c r="AK28" s="234"/>
      <c r="AL28" s="100" t="e">
        <f t="shared" si="37"/>
        <v>#DIV/0!</v>
      </c>
    </row>
    <row r="29" spans="2:38" ht="14.25">
      <c r="B29" s="97"/>
      <c r="C29" s="83"/>
      <c r="D29" s="378">
        <f t="shared" si="21"/>
        <v>46190</v>
      </c>
      <c r="E29" s="378" t="s">
        <v>459</v>
      </c>
      <c r="F29" s="87">
        <f t="shared" si="20"/>
        <v>0</v>
      </c>
      <c r="G29" s="310"/>
      <c r="H29" s="357"/>
      <c r="I29" s="234"/>
      <c r="J29" s="100" t="e">
        <f t="shared" si="22"/>
        <v>#DIV/0!</v>
      </c>
      <c r="K29" s="234"/>
      <c r="L29" s="100" t="e">
        <f t="shared" si="23"/>
        <v>#DIV/0!</v>
      </c>
      <c r="M29" s="105">
        <f t="shared" si="24"/>
        <v>0</v>
      </c>
      <c r="N29" s="100" t="e">
        <f t="shared" si="25"/>
        <v>#DIV/0!</v>
      </c>
      <c r="O29" s="234"/>
      <c r="P29" s="100" t="e">
        <f t="shared" si="26"/>
        <v>#DIV/0!</v>
      </c>
      <c r="Q29" s="234"/>
      <c r="R29" s="100" t="e">
        <f t="shared" si="6"/>
        <v>#DIV/0!</v>
      </c>
      <c r="S29" s="105">
        <f t="shared" si="7"/>
        <v>0</v>
      </c>
      <c r="T29" s="100" t="e">
        <f t="shared" si="27"/>
        <v>#DIV/0!</v>
      </c>
      <c r="U29" s="234"/>
      <c r="V29" s="100" t="e">
        <f t="shared" si="28"/>
        <v>#DIV/0!</v>
      </c>
      <c r="W29" s="234"/>
      <c r="X29" s="100" t="e">
        <f t="shared" si="29"/>
        <v>#DIV/0!</v>
      </c>
      <c r="Y29" s="234"/>
      <c r="Z29" s="100" t="e">
        <f t="shared" si="30"/>
        <v>#DIV/0!</v>
      </c>
      <c r="AA29" s="234"/>
      <c r="AB29" s="100" t="e">
        <f t="shared" si="12"/>
        <v>#DIV/0!</v>
      </c>
      <c r="AC29" s="105">
        <f t="shared" si="31"/>
        <v>0</v>
      </c>
      <c r="AD29" s="100" t="e">
        <f t="shared" si="32"/>
        <v>#DIV/0!</v>
      </c>
      <c r="AE29" s="234"/>
      <c r="AF29" s="100" t="e">
        <f t="shared" si="33"/>
        <v>#DIV/0!</v>
      </c>
      <c r="AG29" s="234"/>
      <c r="AH29" s="100" t="e">
        <f t="shared" si="34"/>
        <v>#DIV/0!</v>
      </c>
      <c r="AI29" s="234"/>
      <c r="AJ29" s="100" t="e">
        <f t="shared" si="35"/>
        <v>#DIV/0!</v>
      </c>
      <c r="AK29" s="234"/>
      <c r="AL29" s="100" t="e">
        <f t="shared" si="37"/>
        <v>#DIV/0!</v>
      </c>
    </row>
    <row r="30" spans="2:38" ht="14.25">
      <c r="B30" s="97"/>
      <c r="C30" s="83"/>
      <c r="D30" s="378">
        <f t="shared" si="21"/>
        <v>46191</v>
      </c>
      <c r="E30" s="378" t="s">
        <v>460</v>
      </c>
      <c r="F30" s="87">
        <f t="shared" si="20"/>
        <v>0</v>
      </c>
      <c r="G30" s="310"/>
      <c r="H30" s="357"/>
      <c r="I30" s="234"/>
      <c r="J30" s="100" t="e">
        <f t="shared" si="22"/>
        <v>#DIV/0!</v>
      </c>
      <c r="K30" s="234"/>
      <c r="L30" s="100" t="e">
        <f t="shared" si="23"/>
        <v>#DIV/0!</v>
      </c>
      <c r="M30" s="105">
        <f t="shared" si="24"/>
        <v>0</v>
      </c>
      <c r="N30" s="100" t="e">
        <f t="shared" si="25"/>
        <v>#DIV/0!</v>
      </c>
      <c r="O30" s="234"/>
      <c r="P30" s="100" t="e">
        <f t="shared" si="26"/>
        <v>#DIV/0!</v>
      </c>
      <c r="Q30" s="234"/>
      <c r="R30" s="100" t="e">
        <f t="shared" si="6"/>
        <v>#DIV/0!</v>
      </c>
      <c r="S30" s="105">
        <f t="shared" si="7"/>
        <v>0</v>
      </c>
      <c r="T30" s="100" t="e">
        <f t="shared" si="27"/>
        <v>#DIV/0!</v>
      </c>
      <c r="U30" s="234"/>
      <c r="V30" s="100" t="e">
        <f t="shared" si="28"/>
        <v>#DIV/0!</v>
      </c>
      <c r="W30" s="234"/>
      <c r="X30" s="100" t="e">
        <f t="shared" si="29"/>
        <v>#DIV/0!</v>
      </c>
      <c r="Y30" s="234"/>
      <c r="Z30" s="100" t="e">
        <f t="shared" si="30"/>
        <v>#DIV/0!</v>
      </c>
      <c r="AA30" s="234"/>
      <c r="AB30" s="100" t="e">
        <f t="shared" si="12"/>
        <v>#DIV/0!</v>
      </c>
      <c r="AC30" s="105">
        <f t="shared" si="31"/>
        <v>0</v>
      </c>
      <c r="AD30" s="100" t="e">
        <f t="shared" si="32"/>
        <v>#DIV/0!</v>
      </c>
      <c r="AE30" s="234"/>
      <c r="AF30" s="100" t="e">
        <f t="shared" si="33"/>
        <v>#DIV/0!</v>
      </c>
      <c r="AG30" s="234"/>
      <c r="AH30" s="100" t="e">
        <f t="shared" si="34"/>
        <v>#DIV/0!</v>
      </c>
      <c r="AI30" s="234"/>
      <c r="AJ30" s="100" t="e">
        <f t="shared" si="35"/>
        <v>#DIV/0!</v>
      </c>
      <c r="AK30" s="234"/>
      <c r="AL30" s="100" t="e">
        <f t="shared" si="37"/>
        <v>#DIV/0!</v>
      </c>
    </row>
    <row r="31" spans="2:38" ht="14.25">
      <c r="B31" s="97"/>
      <c r="C31" s="83"/>
      <c r="D31" s="378">
        <f t="shared" si="21"/>
        <v>46192</v>
      </c>
      <c r="E31" s="378" t="s">
        <v>461</v>
      </c>
      <c r="F31" s="87">
        <f t="shared" si="20"/>
        <v>0</v>
      </c>
      <c r="G31" s="310"/>
      <c r="H31" s="357"/>
      <c r="I31" s="234"/>
      <c r="J31" s="100" t="e">
        <f t="shared" si="22"/>
        <v>#DIV/0!</v>
      </c>
      <c r="K31" s="234"/>
      <c r="L31" s="100" t="e">
        <f t="shared" si="23"/>
        <v>#DIV/0!</v>
      </c>
      <c r="M31" s="105">
        <f t="shared" si="24"/>
        <v>0</v>
      </c>
      <c r="N31" s="100" t="e">
        <f t="shared" si="25"/>
        <v>#DIV/0!</v>
      </c>
      <c r="O31" s="234"/>
      <c r="P31" s="100" t="e">
        <f t="shared" si="26"/>
        <v>#DIV/0!</v>
      </c>
      <c r="Q31" s="234"/>
      <c r="R31" s="100" t="e">
        <f t="shared" si="6"/>
        <v>#DIV/0!</v>
      </c>
      <c r="S31" s="105">
        <f t="shared" si="7"/>
        <v>0</v>
      </c>
      <c r="T31" s="100" t="e">
        <f t="shared" si="27"/>
        <v>#DIV/0!</v>
      </c>
      <c r="U31" s="234"/>
      <c r="V31" s="100" t="e">
        <f t="shared" si="28"/>
        <v>#DIV/0!</v>
      </c>
      <c r="W31" s="234"/>
      <c r="X31" s="100" t="e">
        <f t="shared" si="29"/>
        <v>#DIV/0!</v>
      </c>
      <c r="Y31" s="234"/>
      <c r="Z31" s="100" t="e">
        <f t="shared" si="30"/>
        <v>#DIV/0!</v>
      </c>
      <c r="AA31" s="234"/>
      <c r="AB31" s="100" t="e">
        <f t="shared" si="12"/>
        <v>#DIV/0!</v>
      </c>
      <c r="AC31" s="105">
        <f t="shared" si="31"/>
        <v>0</v>
      </c>
      <c r="AD31" s="100" t="e">
        <f t="shared" si="32"/>
        <v>#DIV/0!</v>
      </c>
      <c r="AE31" s="234"/>
      <c r="AF31" s="100" t="e">
        <f t="shared" si="33"/>
        <v>#DIV/0!</v>
      </c>
      <c r="AG31" s="234"/>
      <c r="AH31" s="100" t="e">
        <f t="shared" si="34"/>
        <v>#DIV/0!</v>
      </c>
      <c r="AI31" s="234"/>
      <c r="AJ31" s="100" t="e">
        <f t="shared" si="35"/>
        <v>#DIV/0!</v>
      </c>
      <c r="AK31" s="234"/>
      <c r="AL31" s="100" t="e">
        <f t="shared" si="37"/>
        <v>#DIV/0!</v>
      </c>
    </row>
    <row r="32" spans="2:38" s="534" customFormat="1" ht="14.25">
      <c r="B32" s="507"/>
      <c r="C32" s="513"/>
      <c r="D32" s="378">
        <f t="shared" si="21"/>
        <v>46193</v>
      </c>
      <c r="E32" s="378" t="s">
        <v>462</v>
      </c>
      <c r="F32" s="350">
        <f t="shared" si="20"/>
        <v>0</v>
      </c>
      <c r="G32" s="351"/>
      <c r="H32" s="540"/>
      <c r="I32" s="352"/>
      <c r="J32" s="353" t="e">
        <f t="shared" ref="J32:J37" si="38">I32/F32</f>
        <v>#DIV/0!</v>
      </c>
      <c r="K32" s="352"/>
      <c r="L32" s="353" t="e">
        <f t="shared" ref="L32:L37" si="39">K32/F32</f>
        <v>#DIV/0!</v>
      </c>
      <c r="M32" s="354">
        <f t="shared" ref="M32:M37" si="40">SUM(I32+K32)</f>
        <v>0</v>
      </c>
      <c r="N32" s="353" t="e">
        <f t="shared" ref="N32:N37" si="41">M32/F32</f>
        <v>#DIV/0!</v>
      </c>
      <c r="O32" s="352"/>
      <c r="P32" s="353" t="e">
        <f t="shared" ref="P32:P37" si="42">O32/F32</f>
        <v>#DIV/0!</v>
      </c>
      <c r="Q32" s="352"/>
      <c r="R32" s="353" t="e">
        <f t="shared" ref="R32:R37" si="43">Q32/F32</f>
        <v>#DIV/0!</v>
      </c>
      <c r="S32" s="354">
        <f t="shared" ref="S32:S37" si="44">SUM(O32+Q32)</f>
        <v>0</v>
      </c>
      <c r="T32" s="353" t="e">
        <f t="shared" ref="T32:T37" si="45">S32/F32</f>
        <v>#DIV/0!</v>
      </c>
      <c r="U32" s="352"/>
      <c r="V32" s="353" t="e">
        <f t="shared" ref="V32:V37" si="46">U32/F32</f>
        <v>#DIV/0!</v>
      </c>
      <c r="W32" s="352"/>
      <c r="X32" s="353" t="e">
        <f t="shared" ref="X32:X37" si="47">W32/F32</f>
        <v>#DIV/0!</v>
      </c>
      <c r="Y32" s="352"/>
      <c r="Z32" s="353" t="e">
        <f t="shared" ref="Z32:Z37" si="48">Y32/F32</f>
        <v>#DIV/0!</v>
      </c>
      <c r="AA32" s="352"/>
      <c r="AB32" s="353" t="e">
        <f t="shared" ref="AB32:AB37" si="49">AA32/F32</f>
        <v>#DIV/0!</v>
      </c>
      <c r="AC32" s="354">
        <f t="shared" ref="AC32:AC37" si="50">SUM(Y32+AA32)</f>
        <v>0</v>
      </c>
      <c r="AD32" s="353" t="e">
        <f t="shared" ref="AD32:AD37" si="51">AC32/F32</f>
        <v>#DIV/0!</v>
      </c>
      <c r="AE32" s="352"/>
      <c r="AF32" s="353" t="e">
        <f t="shared" ref="AF32:AF37" si="52">AE32/F32</f>
        <v>#DIV/0!</v>
      </c>
      <c r="AG32" s="352"/>
      <c r="AH32" s="353" t="e">
        <f t="shared" ref="AH32:AH37" si="53">AG32/F32</f>
        <v>#DIV/0!</v>
      </c>
      <c r="AI32" s="352"/>
      <c r="AJ32" s="353" t="e">
        <f t="shared" ref="AJ32:AJ37" si="54">AI32/F32</f>
        <v>#DIV/0!</v>
      </c>
      <c r="AK32" s="352"/>
      <c r="AL32" s="353" t="e">
        <f t="shared" si="37"/>
        <v>#DIV/0!</v>
      </c>
    </row>
    <row r="33" spans="2:38" s="534" customFormat="1" ht="14.25">
      <c r="B33" s="507"/>
      <c r="C33" s="513"/>
      <c r="D33" s="378">
        <f t="shared" si="21"/>
        <v>46194</v>
      </c>
      <c r="E33" s="378" t="s">
        <v>463</v>
      </c>
      <c r="F33" s="350">
        <f t="shared" si="20"/>
        <v>0</v>
      </c>
      <c r="G33" s="351"/>
      <c r="H33" s="540"/>
      <c r="I33" s="352"/>
      <c r="J33" s="353" t="e">
        <f t="shared" si="38"/>
        <v>#DIV/0!</v>
      </c>
      <c r="K33" s="352"/>
      <c r="L33" s="353" t="e">
        <f t="shared" si="39"/>
        <v>#DIV/0!</v>
      </c>
      <c r="M33" s="354">
        <f t="shared" si="40"/>
        <v>0</v>
      </c>
      <c r="N33" s="353" t="e">
        <f t="shared" si="41"/>
        <v>#DIV/0!</v>
      </c>
      <c r="O33" s="352"/>
      <c r="P33" s="353" t="e">
        <f t="shared" si="42"/>
        <v>#DIV/0!</v>
      </c>
      <c r="Q33" s="352"/>
      <c r="R33" s="353" t="e">
        <f t="shared" si="43"/>
        <v>#DIV/0!</v>
      </c>
      <c r="S33" s="354">
        <f t="shared" si="44"/>
        <v>0</v>
      </c>
      <c r="T33" s="353" t="e">
        <f t="shared" si="45"/>
        <v>#DIV/0!</v>
      </c>
      <c r="U33" s="352"/>
      <c r="V33" s="353" t="e">
        <f t="shared" si="46"/>
        <v>#DIV/0!</v>
      </c>
      <c r="W33" s="352"/>
      <c r="X33" s="353" t="e">
        <f t="shared" si="47"/>
        <v>#DIV/0!</v>
      </c>
      <c r="Y33" s="352"/>
      <c r="Z33" s="353" t="e">
        <f t="shared" si="48"/>
        <v>#DIV/0!</v>
      </c>
      <c r="AA33" s="352"/>
      <c r="AB33" s="353" t="e">
        <f t="shared" si="49"/>
        <v>#DIV/0!</v>
      </c>
      <c r="AC33" s="354">
        <f t="shared" si="50"/>
        <v>0</v>
      </c>
      <c r="AD33" s="353" t="e">
        <f t="shared" si="51"/>
        <v>#DIV/0!</v>
      </c>
      <c r="AE33" s="352"/>
      <c r="AF33" s="353" t="e">
        <f t="shared" si="52"/>
        <v>#DIV/0!</v>
      </c>
      <c r="AG33" s="352"/>
      <c r="AH33" s="353" t="e">
        <f t="shared" si="53"/>
        <v>#DIV/0!</v>
      </c>
      <c r="AI33" s="352"/>
      <c r="AJ33" s="353" t="e">
        <f t="shared" si="54"/>
        <v>#DIV/0!</v>
      </c>
      <c r="AK33" s="352"/>
      <c r="AL33" s="353" t="e">
        <f t="shared" si="37"/>
        <v>#DIV/0!</v>
      </c>
    </row>
    <row r="34" spans="2:38" s="534" customFormat="1" ht="14.25">
      <c r="B34" s="507"/>
      <c r="C34" s="513"/>
      <c r="D34" s="378">
        <f t="shared" si="21"/>
        <v>46195</v>
      </c>
      <c r="E34" s="378" t="s">
        <v>457</v>
      </c>
      <c r="F34" s="350">
        <f t="shared" si="20"/>
        <v>0</v>
      </c>
      <c r="G34" s="351"/>
      <c r="H34" s="540"/>
      <c r="I34" s="352"/>
      <c r="J34" s="353" t="e">
        <f t="shared" si="38"/>
        <v>#DIV/0!</v>
      </c>
      <c r="K34" s="352"/>
      <c r="L34" s="353" t="e">
        <f t="shared" si="39"/>
        <v>#DIV/0!</v>
      </c>
      <c r="M34" s="354">
        <f t="shared" si="40"/>
        <v>0</v>
      </c>
      <c r="N34" s="353" t="e">
        <f t="shared" si="41"/>
        <v>#DIV/0!</v>
      </c>
      <c r="O34" s="352"/>
      <c r="P34" s="353" t="e">
        <f t="shared" si="42"/>
        <v>#DIV/0!</v>
      </c>
      <c r="Q34" s="352"/>
      <c r="R34" s="353" t="e">
        <f t="shared" si="43"/>
        <v>#DIV/0!</v>
      </c>
      <c r="S34" s="354">
        <f t="shared" si="44"/>
        <v>0</v>
      </c>
      <c r="T34" s="353" t="e">
        <f t="shared" si="45"/>
        <v>#DIV/0!</v>
      </c>
      <c r="U34" s="352"/>
      <c r="V34" s="353" t="e">
        <f t="shared" si="46"/>
        <v>#DIV/0!</v>
      </c>
      <c r="W34" s="352"/>
      <c r="X34" s="353" t="e">
        <f t="shared" si="47"/>
        <v>#DIV/0!</v>
      </c>
      <c r="Y34" s="352"/>
      <c r="Z34" s="353" t="e">
        <f t="shared" si="48"/>
        <v>#DIV/0!</v>
      </c>
      <c r="AA34" s="352"/>
      <c r="AB34" s="353" t="e">
        <f t="shared" si="49"/>
        <v>#DIV/0!</v>
      </c>
      <c r="AC34" s="354">
        <f t="shared" si="50"/>
        <v>0</v>
      </c>
      <c r="AD34" s="353" t="e">
        <f t="shared" si="51"/>
        <v>#DIV/0!</v>
      </c>
      <c r="AE34" s="352"/>
      <c r="AF34" s="353" t="e">
        <f t="shared" si="52"/>
        <v>#DIV/0!</v>
      </c>
      <c r="AG34" s="352"/>
      <c r="AH34" s="353" t="e">
        <f t="shared" si="53"/>
        <v>#DIV/0!</v>
      </c>
      <c r="AI34" s="352"/>
      <c r="AJ34" s="353" t="e">
        <f t="shared" si="54"/>
        <v>#DIV/0!</v>
      </c>
      <c r="AK34" s="352"/>
      <c r="AL34" s="353" t="e">
        <f t="shared" si="37"/>
        <v>#DIV/0!</v>
      </c>
    </row>
    <row r="35" spans="2:38" s="534" customFormat="1" ht="14.25">
      <c r="B35" s="507"/>
      <c r="C35" s="513"/>
      <c r="D35" s="308">
        <f t="shared" si="21"/>
        <v>46196</v>
      </c>
      <c r="E35" s="308" t="s">
        <v>458</v>
      </c>
      <c r="F35" s="350">
        <f t="shared" si="20"/>
        <v>0</v>
      </c>
      <c r="G35" s="351">
        <f>SUM(F35:F41)</f>
        <v>0</v>
      </c>
      <c r="H35" s="540"/>
      <c r="I35" s="352"/>
      <c r="J35" s="353" t="e">
        <f t="shared" si="38"/>
        <v>#DIV/0!</v>
      </c>
      <c r="K35" s="352"/>
      <c r="L35" s="353" t="e">
        <f t="shared" si="39"/>
        <v>#DIV/0!</v>
      </c>
      <c r="M35" s="354">
        <f t="shared" si="40"/>
        <v>0</v>
      </c>
      <c r="N35" s="353" t="e">
        <f t="shared" si="41"/>
        <v>#DIV/0!</v>
      </c>
      <c r="O35" s="352"/>
      <c r="P35" s="353" t="e">
        <f t="shared" si="42"/>
        <v>#DIV/0!</v>
      </c>
      <c r="Q35" s="352"/>
      <c r="R35" s="353" t="e">
        <f t="shared" si="43"/>
        <v>#DIV/0!</v>
      </c>
      <c r="S35" s="354">
        <f t="shared" si="44"/>
        <v>0</v>
      </c>
      <c r="T35" s="353" t="e">
        <f t="shared" si="45"/>
        <v>#DIV/0!</v>
      </c>
      <c r="U35" s="352"/>
      <c r="V35" s="353" t="e">
        <f t="shared" si="46"/>
        <v>#DIV/0!</v>
      </c>
      <c r="W35" s="352"/>
      <c r="X35" s="353" t="e">
        <f t="shared" si="47"/>
        <v>#DIV/0!</v>
      </c>
      <c r="Y35" s="352"/>
      <c r="Z35" s="353" t="e">
        <f t="shared" si="48"/>
        <v>#DIV/0!</v>
      </c>
      <c r="AA35" s="352"/>
      <c r="AB35" s="353" t="e">
        <f t="shared" si="49"/>
        <v>#DIV/0!</v>
      </c>
      <c r="AC35" s="354">
        <f t="shared" si="50"/>
        <v>0</v>
      </c>
      <c r="AD35" s="353" t="e">
        <f t="shared" si="51"/>
        <v>#DIV/0!</v>
      </c>
      <c r="AE35" s="352"/>
      <c r="AF35" s="353" t="e">
        <f t="shared" si="52"/>
        <v>#DIV/0!</v>
      </c>
      <c r="AG35" s="352"/>
      <c r="AH35" s="353" t="e">
        <f t="shared" si="53"/>
        <v>#DIV/0!</v>
      </c>
      <c r="AI35" s="352"/>
      <c r="AJ35" s="353" t="e">
        <f t="shared" si="54"/>
        <v>#DIV/0!</v>
      </c>
      <c r="AK35" s="352"/>
      <c r="AL35" s="353" t="e">
        <f t="shared" si="37"/>
        <v>#DIV/0!</v>
      </c>
    </row>
    <row r="36" spans="2:38" s="534" customFormat="1" ht="14.25">
      <c r="B36" s="507"/>
      <c r="C36" s="513"/>
      <c r="D36" s="308">
        <f t="shared" si="21"/>
        <v>46197</v>
      </c>
      <c r="E36" s="308" t="s">
        <v>459</v>
      </c>
      <c r="F36" s="350">
        <f t="shared" si="20"/>
        <v>0</v>
      </c>
      <c r="G36" s="351"/>
      <c r="H36" s="540"/>
      <c r="I36" s="352"/>
      <c r="J36" s="353" t="e">
        <f t="shared" si="38"/>
        <v>#DIV/0!</v>
      </c>
      <c r="K36" s="352"/>
      <c r="L36" s="353" t="e">
        <f t="shared" si="39"/>
        <v>#DIV/0!</v>
      </c>
      <c r="M36" s="354">
        <f t="shared" si="40"/>
        <v>0</v>
      </c>
      <c r="N36" s="353" t="e">
        <f t="shared" si="41"/>
        <v>#DIV/0!</v>
      </c>
      <c r="O36" s="352"/>
      <c r="P36" s="353" t="e">
        <f t="shared" si="42"/>
        <v>#DIV/0!</v>
      </c>
      <c r="Q36" s="352"/>
      <c r="R36" s="353" t="e">
        <f t="shared" si="43"/>
        <v>#DIV/0!</v>
      </c>
      <c r="S36" s="354">
        <f t="shared" si="44"/>
        <v>0</v>
      </c>
      <c r="T36" s="353" t="e">
        <f t="shared" si="45"/>
        <v>#DIV/0!</v>
      </c>
      <c r="U36" s="352"/>
      <c r="V36" s="353" t="e">
        <f t="shared" si="46"/>
        <v>#DIV/0!</v>
      </c>
      <c r="W36" s="352"/>
      <c r="X36" s="353" t="e">
        <f t="shared" si="47"/>
        <v>#DIV/0!</v>
      </c>
      <c r="Y36" s="352"/>
      <c r="Z36" s="353" t="e">
        <f t="shared" si="48"/>
        <v>#DIV/0!</v>
      </c>
      <c r="AA36" s="352"/>
      <c r="AB36" s="353" t="e">
        <f t="shared" si="49"/>
        <v>#DIV/0!</v>
      </c>
      <c r="AC36" s="354">
        <f t="shared" si="50"/>
        <v>0</v>
      </c>
      <c r="AD36" s="353" t="e">
        <f t="shared" si="51"/>
        <v>#DIV/0!</v>
      </c>
      <c r="AE36" s="352"/>
      <c r="AF36" s="353" t="e">
        <f t="shared" si="52"/>
        <v>#DIV/0!</v>
      </c>
      <c r="AG36" s="352"/>
      <c r="AH36" s="353" t="e">
        <f t="shared" si="53"/>
        <v>#DIV/0!</v>
      </c>
      <c r="AI36" s="352"/>
      <c r="AJ36" s="353" t="e">
        <f t="shared" si="54"/>
        <v>#DIV/0!</v>
      </c>
      <c r="AK36" s="352"/>
      <c r="AL36" s="353" t="e">
        <f t="shared" si="37"/>
        <v>#DIV/0!</v>
      </c>
    </row>
    <row r="37" spans="2:38" s="534" customFormat="1" ht="14.25">
      <c r="B37" s="507"/>
      <c r="C37" s="513"/>
      <c r="D37" s="308">
        <f>D36+1</f>
        <v>46198</v>
      </c>
      <c r="E37" s="308" t="s">
        <v>460</v>
      </c>
      <c r="F37" s="350">
        <f t="shared" si="20"/>
        <v>0</v>
      </c>
      <c r="G37" s="351"/>
      <c r="H37" s="540"/>
      <c r="I37" s="352"/>
      <c r="J37" s="353" t="e">
        <f t="shared" si="38"/>
        <v>#DIV/0!</v>
      </c>
      <c r="K37" s="352"/>
      <c r="L37" s="353" t="e">
        <f t="shared" si="39"/>
        <v>#DIV/0!</v>
      </c>
      <c r="M37" s="354">
        <f t="shared" si="40"/>
        <v>0</v>
      </c>
      <c r="N37" s="353" t="e">
        <f t="shared" si="41"/>
        <v>#DIV/0!</v>
      </c>
      <c r="O37" s="352"/>
      <c r="P37" s="353" t="e">
        <f t="shared" si="42"/>
        <v>#DIV/0!</v>
      </c>
      <c r="Q37" s="352"/>
      <c r="R37" s="353" t="e">
        <f t="shared" si="43"/>
        <v>#DIV/0!</v>
      </c>
      <c r="S37" s="354">
        <f t="shared" si="44"/>
        <v>0</v>
      </c>
      <c r="T37" s="353" t="e">
        <f t="shared" si="45"/>
        <v>#DIV/0!</v>
      </c>
      <c r="U37" s="352"/>
      <c r="V37" s="353" t="e">
        <f t="shared" si="46"/>
        <v>#DIV/0!</v>
      </c>
      <c r="W37" s="352"/>
      <c r="X37" s="353" t="e">
        <f t="shared" si="47"/>
        <v>#DIV/0!</v>
      </c>
      <c r="Y37" s="352"/>
      <c r="Z37" s="353" t="e">
        <f t="shared" si="48"/>
        <v>#DIV/0!</v>
      </c>
      <c r="AA37" s="352"/>
      <c r="AB37" s="353" t="e">
        <f t="shared" si="49"/>
        <v>#DIV/0!</v>
      </c>
      <c r="AC37" s="354">
        <f t="shared" si="50"/>
        <v>0</v>
      </c>
      <c r="AD37" s="353" t="e">
        <f t="shared" si="51"/>
        <v>#DIV/0!</v>
      </c>
      <c r="AE37" s="352"/>
      <c r="AF37" s="353" t="e">
        <f t="shared" si="52"/>
        <v>#DIV/0!</v>
      </c>
      <c r="AG37" s="352"/>
      <c r="AH37" s="353" t="e">
        <f t="shared" si="53"/>
        <v>#DIV/0!</v>
      </c>
      <c r="AI37" s="352"/>
      <c r="AJ37" s="353" t="e">
        <f t="shared" si="54"/>
        <v>#DIV/0!</v>
      </c>
      <c r="AK37" s="352"/>
      <c r="AL37" s="353" t="e">
        <f t="shared" si="37"/>
        <v>#DIV/0!</v>
      </c>
    </row>
    <row r="38" spans="2:38" s="534" customFormat="1" ht="14.25">
      <c r="B38" s="507"/>
      <c r="C38" s="513"/>
      <c r="D38" s="308">
        <f t="shared" ref="D38:D48" si="55">D37+1</f>
        <v>46199</v>
      </c>
      <c r="E38" s="308" t="s">
        <v>461</v>
      </c>
      <c r="F38" s="350">
        <f t="shared" si="20"/>
        <v>0</v>
      </c>
      <c r="G38" s="351"/>
      <c r="H38" s="540"/>
      <c r="I38" s="352"/>
      <c r="J38" s="353" t="e">
        <f t="shared" ref="J38:J41" si="56">I38/F38</f>
        <v>#DIV/0!</v>
      </c>
      <c r="K38" s="352"/>
      <c r="L38" s="353" t="e">
        <f t="shared" ref="L38:L41" si="57">K38/F38</f>
        <v>#DIV/0!</v>
      </c>
      <c r="M38" s="354">
        <f t="shared" ref="M38:M41" si="58">SUM(I38+K38)</f>
        <v>0</v>
      </c>
      <c r="N38" s="353" t="e">
        <f t="shared" ref="N38:N41" si="59">M38/F38</f>
        <v>#DIV/0!</v>
      </c>
      <c r="O38" s="352"/>
      <c r="P38" s="353" t="e">
        <f t="shared" ref="P38:P41" si="60">O38/F38</f>
        <v>#DIV/0!</v>
      </c>
      <c r="Q38" s="352"/>
      <c r="R38" s="353" t="e">
        <f t="shared" ref="R38:R49" si="61">Q38/F38</f>
        <v>#DIV/0!</v>
      </c>
      <c r="S38" s="354">
        <f t="shared" ref="S38:S49" si="62">SUM(O38+Q38)</f>
        <v>0</v>
      </c>
      <c r="T38" s="353" t="e">
        <f t="shared" ref="T38:T41" si="63">S38/F38</f>
        <v>#DIV/0!</v>
      </c>
      <c r="U38" s="352"/>
      <c r="V38" s="353" t="e">
        <f t="shared" ref="V38:V41" si="64">U38/F38</f>
        <v>#DIV/0!</v>
      </c>
      <c r="W38" s="352"/>
      <c r="X38" s="353" t="e">
        <f t="shared" ref="X38:X41" si="65">W38/F38</f>
        <v>#DIV/0!</v>
      </c>
      <c r="Y38" s="352"/>
      <c r="Z38" s="353" t="e">
        <f t="shared" ref="Z38:Z41" si="66">Y38/F38</f>
        <v>#DIV/0!</v>
      </c>
      <c r="AA38" s="352"/>
      <c r="AB38" s="353" t="e">
        <f t="shared" ref="AB38:AB49" si="67">AA38/F38</f>
        <v>#DIV/0!</v>
      </c>
      <c r="AC38" s="354">
        <f t="shared" ref="AC38:AC41" si="68">SUM(Y38+AA38)</f>
        <v>0</v>
      </c>
      <c r="AD38" s="353" t="e">
        <f t="shared" ref="AD38:AD41" si="69">AC38/F38</f>
        <v>#DIV/0!</v>
      </c>
      <c r="AE38" s="352"/>
      <c r="AF38" s="353" t="e">
        <f t="shared" ref="AF38:AF41" si="70">AE38/F38</f>
        <v>#DIV/0!</v>
      </c>
      <c r="AG38" s="352"/>
      <c r="AH38" s="353" t="e">
        <f t="shared" ref="AH38:AH41" si="71">AG38/F38</f>
        <v>#DIV/0!</v>
      </c>
      <c r="AI38" s="352"/>
      <c r="AJ38" s="353" t="e">
        <f t="shared" ref="AJ38:AJ41" si="72">AI38/F38</f>
        <v>#DIV/0!</v>
      </c>
      <c r="AK38" s="352"/>
      <c r="AL38" s="353" t="e">
        <f t="shared" si="37"/>
        <v>#DIV/0!</v>
      </c>
    </row>
    <row r="39" spans="2:38" s="355" customFormat="1" ht="14.25">
      <c r="B39" s="348"/>
      <c r="C39" s="349"/>
      <c r="D39" s="308">
        <f t="shared" si="55"/>
        <v>46200</v>
      </c>
      <c r="E39" s="308" t="s">
        <v>462</v>
      </c>
      <c r="F39" s="350">
        <f t="shared" si="20"/>
        <v>0</v>
      </c>
      <c r="G39" s="351"/>
      <c r="H39" s="357"/>
      <c r="I39" s="352"/>
      <c r="J39" s="353" t="e">
        <f t="shared" si="56"/>
        <v>#DIV/0!</v>
      </c>
      <c r="K39" s="352"/>
      <c r="L39" s="353" t="e">
        <f t="shared" si="57"/>
        <v>#DIV/0!</v>
      </c>
      <c r="M39" s="354">
        <f t="shared" si="58"/>
        <v>0</v>
      </c>
      <c r="N39" s="353" t="e">
        <f t="shared" si="59"/>
        <v>#DIV/0!</v>
      </c>
      <c r="O39" s="352"/>
      <c r="P39" s="353" t="e">
        <f t="shared" si="60"/>
        <v>#DIV/0!</v>
      </c>
      <c r="Q39" s="352"/>
      <c r="R39" s="353" t="e">
        <f t="shared" si="61"/>
        <v>#DIV/0!</v>
      </c>
      <c r="S39" s="354">
        <f t="shared" si="62"/>
        <v>0</v>
      </c>
      <c r="T39" s="353" t="e">
        <f t="shared" si="63"/>
        <v>#DIV/0!</v>
      </c>
      <c r="U39" s="352"/>
      <c r="V39" s="353" t="e">
        <f t="shared" si="64"/>
        <v>#DIV/0!</v>
      </c>
      <c r="W39" s="352"/>
      <c r="X39" s="353" t="e">
        <f t="shared" si="65"/>
        <v>#DIV/0!</v>
      </c>
      <c r="Y39" s="352"/>
      <c r="Z39" s="353" t="e">
        <f t="shared" si="66"/>
        <v>#DIV/0!</v>
      </c>
      <c r="AA39" s="352"/>
      <c r="AB39" s="353" t="e">
        <f t="shared" si="67"/>
        <v>#DIV/0!</v>
      </c>
      <c r="AC39" s="354">
        <f t="shared" si="68"/>
        <v>0</v>
      </c>
      <c r="AD39" s="353" t="e">
        <f t="shared" si="69"/>
        <v>#DIV/0!</v>
      </c>
      <c r="AE39" s="352"/>
      <c r="AF39" s="353" t="e">
        <f t="shared" si="70"/>
        <v>#DIV/0!</v>
      </c>
      <c r="AG39" s="352"/>
      <c r="AH39" s="353" t="e">
        <f t="shared" si="71"/>
        <v>#DIV/0!</v>
      </c>
      <c r="AI39" s="352"/>
      <c r="AJ39" s="353" t="e">
        <f t="shared" si="72"/>
        <v>#DIV/0!</v>
      </c>
      <c r="AK39" s="352"/>
      <c r="AL39" s="353" t="e">
        <f t="shared" si="37"/>
        <v>#DIV/0!</v>
      </c>
    </row>
    <row r="40" spans="2:38" ht="14.25">
      <c r="B40" s="97"/>
      <c r="C40" s="83"/>
      <c r="D40" s="308">
        <f t="shared" si="55"/>
        <v>46201</v>
      </c>
      <c r="E40" s="308" t="s">
        <v>463</v>
      </c>
      <c r="F40" s="87">
        <f t="shared" si="20"/>
        <v>0</v>
      </c>
      <c r="G40" s="310"/>
      <c r="H40" s="87"/>
      <c r="I40" s="234"/>
      <c r="J40" s="100" t="e">
        <f t="shared" si="56"/>
        <v>#DIV/0!</v>
      </c>
      <c r="K40" s="234"/>
      <c r="L40" s="100" t="e">
        <f t="shared" si="57"/>
        <v>#DIV/0!</v>
      </c>
      <c r="M40" s="105">
        <f t="shared" si="58"/>
        <v>0</v>
      </c>
      <c r="N40" s="100" t="e">
        <f t="shared" si="59"/>
        <v>#DIV/0!</v>
      </c>
      <c r="O40" s="234"/>
      <c r="P40" s="100" t="e">
        <f t="shared" si="60"/>
        <v>#DIV/0!</v>
      </c>
      <c r="Q40" s="234"/>
      <c r="R40" s="100" t="e">
        <f t="shared" si="61"/>
        <v>#DIV/0!</v>
      </c>
      <c r="S40" s="105">
        <f t="shared" si="62"/>
        <v>0</v>
      </c>
      <c r="T40" s="100" t="e">
        <f t="shared" si="63"/>
        <v>#DIV/0!</v>
      </c>
      <c r="U40" s="234"/>
      <c r="V40" s="100" t="e">
        <f t="shared" si="64"/>
        <v>#DIV/0!</v>
      </c>
      <c r="W40" s="234"/>
      <c r="X40" s="100" t="e">
        <f t="shared" si="65"/>
        <v>#DIV/0!</v>
      </c>
      <c r="Y40" s="234"/>
      <c r="Z40" s="100" t="e">
        <f t="shared" si="66"/>
        <v>#DIV/0!</v>
      </c>
      <c r="AA40" s="234"/>
      <c r="AB40" s="100" t="e">
        <f t="shared" si="67"/>
        <v>#DIV/0!</v>
      </c>
      <c r="AC40" s="105">
        <f t="shared" si="68"/>
        <v>0</v>
      </c>
      <c r="AD40" s="100" t="e">
        <f t="shared" si="69"/>
        <v>#DIV/0!</v>
      </c>
      <c r="AE40" s="234"/>
      <c r="AF40" s="100" t="e">
        <f t="shared" si="70"/>
        <v>#DIV/0!</v>
      </c>
      <c r="AG40" s="234"/>
      <c r="AH40" s="100" t="e">
        <f t="shared" si="71"/>
        <v>#DIV/0!</v>
      </c>
      <c r="AI40" s="234"/>
      <c r="AJ40" s="100" t="e">
        <f t="shared" si="72"/>
        <v>#DIV/0!</v>
      </c>
      <c r="AK40" s="234"/>
      <c r="AL40" s="100" t="e">
        <f t="shared" si="37"/>
        <v>#DIV/0!</v>
      </c>
    </row>
    <row r="41" spans="2:38" ht="14.25">
      <c r="B41" s="97"/>
      <c r="C41" s="83"/>
      <c r="D41" s="308">
        <f t="shared" si="55"/>
        <v>46202</v>
      </c>
      <c r="E41" s="308" t="s">
        <v>457</v>
      </c>
      <c r="F41" s="87">
        <f t="shared" si="20"/>
        <v>0</v>
      </c>
      <c r="G41" s="310"/>
      <c r="H41" s="87"/>
      <c r="I41" s="234"/>
      <c r="J41" s="100" t="e">
        <f t="shared" si="56"/>
        <v>#DIV/0!</v>
      </c>
      <c r="K41" s="234"/>
      <c r="L41" s="100" t="e">
        <f t="shared" si="57"/>
        <v>#DIV/0!</v>
      </c>
      <c r="M41" s="105">
        <f t="shared" si="58"/>
        <v>0</v>
      </c>
      <c r="N41" s="100" t="e">
        <f t="shared" si="59"/>
        <v>#DIV/0!</v>
      </c>
      <c r="O41" s="234"/>
      <c r="P41" s="100" t="e">
        <f t="shared" si="60"/>
        <v>#DIV/0!</v>
      </c>
      <c r="Q41" s="234"/>
      <c r="R41" s="100" t="e">
        <f t="shared" si="61"/>
        <v>#DIV/0!</v>
      </c>
      <c r="S41" s="105">
        <f t="shared" si="62"/>
        <v>0</v>
      </c>
      <c r="T41" s="100" t="e">
        <f t="shared" si="63"/>
        <v>#DIV/0!</v>
      </c>
      <c r="U41" s="234"/>
      <c r="V41" s="100" t="e">
        <f t="shared" si="64"/>
        <v>#DIV/0!</v>
      </c>
      <c r="W41" s="234"/>
      <c r="X41" s="100" t="e">
        <f t="shared" si="65"/>
        <v>#DIV/0!</v>
      </c>
      <c r="Y41" s="234"/>
      <c r="Z41" s="100" t="e">
        <f t="shared" si="66"/>
        <v>#DIV/0!</v>
      </c>
      <c r="AA41" s="234"/>
      <c r="AB41" s="100" t="e">
        <f t="shared" si="67"/>
        <v>#DIV/0!</v>
      </c>
      <c r="AC41" s="105">
        <f t="shared" si="68"/>
        <v>0</v>
      </c>
      <c r="AD41" s="100" t="e">
        <f t="shared" si="69"/>
        <v>#DIV/0!</v>
      </c>
      <c r="AE41" s="234"/>
      <c r="AF41" s="100" t="e">
        <f t="shared" si="70"/>
        <v>#DIV/0!</v>
      </c>
      <c r="AG41" s="234"/>
      <c r="AH41" s="100" t="e">
        <f t="shared" si="71"/>
        <v>#DIV/0!</v>
      </c>
      <c r="AI41" s="234"/>
      <c r="AJ41" s="100" t="e">
        <f t="shared" si="72"/>
        <v>#DIV/0!</v>
      </c>
      <c r="AK41" s="234"/>
      <c r="AL41" s="100" t="e">
        <f t="shared" si="37"/>
        <v>#DIV/0!</v>
      </c>
    </row>
    <row r="42" spans="2:38" ht="14.25">
      <c r="B42" s="97"/>
      <c r="C42" s="83"/>
      <c r="D42" s="378">
        <f t="shared" si="55"/>
        <v>46203</v>
      </c>
      <c r="E42" s="378" t="s">
        <v>458</v>
      </c>
      <c r="F42" s="87">
        <f t="shared" si="20"/>
        <v>0</v>
      </c>
      <c r="G42" s="310"/>
      <c r="H42" s="87"/>
      <c r="I42" s="234"/>
      <c r="J42" s="100" t="e">
        <f>I42/F42</f>
        <v>#DIV/0!</v>
      </c>
      <c r="K42" s="234"/>
      <c r="L42" s="100" t="e">
        <f>K42/F42</f>
        <v>#DIV/0!</v>
      </c>
      <c r="M42" s="105">
        <f>SUM(I42+K42)</f>
        <v>0</v>
      </c>
      <c r="N42" s="100" t="e">
        <f>M42/F42</f>
        <v>#DIV/0!</v>
      </c>
      <c r="O42" s="234"/>
      <c r="P42" s="100" t="e">
        <f>O42/F42</f>
        <v>#DIV/0!</v>
      </c>
      <c r="Q42" s="234"/>
      <c r="R42" s="100" t="e">
        <f t="shared" si="61"/>
        <v>#DIV/0!</v>
      </c>
      <c r="S42" s="105">
        <f t="shared" si="62"/>
        <v>0</v>
      </c>
      <c r="T42" s="100" t="e">
        <f>S42/F42</f>
        <v>#DIV/0!</v>
      </c>
      <c r="U42" s="234"/>
      <c r="V42" s="100" t="e">
        <f>U42/F42</f>
        <v>#DIV/0!</v>
      </c>
      <c r="W42" s="234"/>
      <c r="X42" s="100" t="e">
        <f>W42/F42</f>
        <v>#DIV/0!</v>
      </c>
      <c r="Y42" s="234"/>
      <c r="Z42" s="100" t="e">
        <f>Y42/F42</f>
        <v>#DIV/0!</v>
      </c>
      <c r="AA42" s="234"/>
      <c r="AB42" s="100" t="e">
        <f t="shared" si="67"/>
        <v>#DIV/0!</v>
      </c>
      <c r="AC42" s="105">
        <f>SUM(Y42+AA42)</f>
        <v>0</v>
      </c>
      <c r="AD42" s="100" t="e">
        <f>AC42/F42</f>
        <v>#DIV/0!</v>
      </c>
      <c r="AE42" s="234"/>
      <c r="AF42" s="100" t="e">
        <f>AE42/F42</f>
        <v>#DIV/0!</v>
      </c>
      <c r="AG42" s="234"/>
      <c r="AH42" s="100" t="e">
        <f>AG42/F42</f>
        <v>#DIV/0!</v>
      </c>
      <c r="AI42" s="234"/>
      <c r="AJ42" s="100" t="e">
        <f>AI42/F42</f>
        <v>#DIV/0!</v>
      </c>
      <c r="AK42" s="234"/>
      <c r="AL42" s="100" t="e">
        <f>AK42/F42</f>
        <v>#DIV/0!</v>
      </c>
    </row>
    <row r="43" spans="2:38" ht="14.25">
      <c r="B43" s="97"/>
      <c r="C43" s="83"/>
      <c r="D43" s="378">
        <f t="shared" si="55"/>
        <v>46204</v>
      </c>
      <c r="E43" s="378" t="s">
        <v>459</v>
      </c>
      <c r="F43" s="87">
        <f t="shared" ref="F43" si="73">SUM(M43,S43,U43,W43,AC43,AE43,AG43,AI43,AK43)</f>
        <v>0</v>
      </c>
      <c r="G43" s="310"/>
      <c r="H43" s="87"/>
      <c r="I43" s="234"/>
      <c r="J43" s="100" t="e">
        <f>I43/F43</f>
        <v>#DIV/0!</v>
      </c>
      <c r="K43" s="234"/>
      <c r="L43" s="100" t="e">
        <f>K43/F43</f>
        <v>#DIV/0!</v>
      </c>
      <c r="M43" s="105">
        <f>SUM(I43+K43)</f>
        <v>0</v>
      </c>
      <c r="N43" s="100" t="e">
        <f>M43/F43</f>
        <v>#DIV/0!</v>
      </c>
      <c r="O43" s="234"/>
      <c r="P43" s="100" t="e">
        <f>O43/F43</f>
        <v>#DIV/0!</v>
      </c>
      <c r="Q43" s="234"/>
      <c r="R43" s="100" t="e">
        <f t="shared" si="61"/>
        <v>#DIV/0!</v>
      </c>
      <c r="S43" s="105">
        <f t="shared" ref="S43" si="74">SUM(O43+Q43)</f>
        <v>0</v>
      </c>
      <c r="T43" s="100" t="e">
        <f>S43/F43</f>
        <v>#DIV/0!</v>
      </c>
      <c r="U43" s="234"/>
      <c r="V43" s="100" t="e">
        <f>U43/F43</f>
        <v>#DIV/0!</v>
      </c>
      <c r="W43" s="234"/>
      <c r="X43" s="100" t="e">
        <f>W43/F43</f>
        <v>#DIV/0!</v>
      </c>
      <c r="Y43" s="234"/>
      <c r="Z43" s="100" t="e">
        <f>Y43/F43</f>
        <v>#DIV/0!</v>
      </c>
      <c r="AA43" s="234"/>
      <c r="AB43" s="100" t="e">
        <f t="shared" si="67"/>
        <v>#DIV/0!</v>
      </c>
      <c r="AC43" s="105">
        <f>SUM(Y43+AA43)</f>
        <v>0</v>
      </c>
      <c r="AD43" s="100" t="e">
        <f>AC43/F43</f>
        <v>#DIV/0!</v>
      </c>
      <c r="AE43" s="234"/>
      <c r="AF43" s="100" t="e">
        <f>AE43/F43</f>
        <v>#DIV/0!</v>
      </c>
      <c r="AG43" s="234"/>
      <c r="AH43" s="100" t="e">
        <f>AG43/F43</f>
        <v>#DIV/0!</v>
      </c>
      <c r="AI43" s="234"/>
      <c r="AJ43" s="100" t="e">
        <f>AI43/F43</f>
        <v>#DIV/0!</v>
      </c>
      <c r="AK43" s="234"/>
      <c r="AL43" s="100" t="e">
        <f>AK43/F43</f>
        <v>#DIV/0!</v>
      </c>
    </row>
    <row r="44" spans="2:38" ht="14.25">
      <c r="B44" s="97"/>
      <c r="C44" s="83"/>
      <c r="D44" s="378">
        <f t="shared" si="55"/>
        <v>46205</v>
      </c>
      <c r="E44" s="378" t="s">
        <v>460</v>
      </c>
      <c r="F44" s="87">
        <f t="shared" si="20"/>
        <v>0</v>
      </c>
      <c r="G44" s="310"/>
      <c r="H44" s="87"/>
      <c r="I44" s="234"/>
      <c r="J44" s="100" t="e">
        <f>I44/F44</f>
        <v>#DIV/0!</v>
      </c>
      <c r="K44" s="234"/>
      <c r="L44" s="100" t="e">
        <f>K44/F44</f>
        <v>#DIV/0!</v>
      </c>
      <c r="M44" s="105">
        <f>SUM(I44+K44)</f>
        <v>0</v>
      </c>
      <c r="N44" s="100" t="e">
        <f>M44/F44</f>
        <v>#DIV/0!</v>
      </c>
      <c r="O44" s="234"/>
      <c r="P44" s="100" t="e">
        <f>O44/F44</f>
        <v>#DIV/0!</v>
      </c>
      <c r="Q44" s="234"/>
      <c r="R44" s="100" t="e">
        <f t="shared" si="61"/>
        <v>#DIV/0!</v>
      </c>
      <c r="S44" s="105">
        <f t="shared" si="62"/>
        <v>0</v>
      </c>
      <c r="T44" s="100" t="e">
        <f>S44/F44</f>
        <v>#DIV/0!</v>
      </c>
      <c r="U44" s="234"/>
      <c r="V44" s="100" t="e">
        <f>U44/F44</f>
        <v>#DIV/0!</v>
      </c>
      <c r="W44" s="234"/>
      <c r="X44" s="100" t="e">
        <f>W44/F44</f>
        <v>#DIV/0!</v>
      </c>
      <c r="Y44" s="234"/>
      <c r="Z44" s="100" t="e">
        <f>Y44/F44</f>
        <v>#DIV/0!</v>
      </c>
      <c r="AA44" s="234"/>
      <c r="AB44" s="100" t="e">
        <f t="shared" si="67"/>
        <v>#DIV/0!</v>
      </c>
      <c r="AC44" s="105">
        <f>SUM(Y44+AA44)</f>
        <v>0</v>
      </c>
      <c r="AD44" s="100" t="e">
        <f>AC44/F44</f>
        <v>#DIV/0!</v>
      </c>
      <c r="AE44" s="234"/>
      <c r="AF44" s="100" t="e">
        <f>AE44/F44</f>
        <v>#DIV/0!</v>
      </c>
      <c r="AG44" s="234"/>
      <c r="AH44" s="100" t="e">
        <f>AG44/F44</f>
        <v>#DIV/0!</v>
      </c>
      <c r="AI44" s="234"/>
      <c r="AJ44" s="100" t="e">
        <f>AI44/F44</f>
        <v>#DIV/0!</v>
      </c>
      <c r="AK44" s="234"/>
      <c r="AL44" s="100" t="e">
        <f>AK44/F44</f>
        <v>#DIV/0!</v>
      </c>
    </row>
    <row r="45" spans="2:38" ht="14.25">
      <c r="B45" s="97"/>
      <c r="C45" s="83"/>
      <c r="D45" s="378">
        <f t="shared" si="55"/>
        <v>46206</v>
      </c>
      <c r="E45" s="378" t="s">
        <v>461</v>
      </c>
      <c r="F45" s="87">
        <f t="shared" ref="F45:F48" si="75">SUM(M45,S45,U45,W45,AC45,AE45,AG45,AI45,AK45)</f>
        <v>0</v>
      </c>
      <c r="G45" s="310"/>
      <c r="H45" s="87"/>
      <c r="I45" s="234"/>
      <c r="J45" s="100" t="e">
        <f t="shared" ref="J45:J48" si="76">I45/F45</f>
        <v>#DIV/0!</v>
      </c>
      <c r="K45" s="234"/>
      <c r="L45" s="100" t="e">
        <f t="shared" ref="L45:L48" si="77">K45/F45</f>
        <v>#DIV/0!</v>
      </c>
      <c r="M45" s="105">
        <f t="shared" ref="M45:M48" si="78">SUM(I45+K45)</f>
        <v>0</v>
      </c>
      <c r="N45" s="100" t="e">
        <f t="shared" ref="N45:N48" si="79">M45/F45</f>
        <v>#DIV/0!</v>
      </c>
      <c r="O45" s="234"/>
      <c r="P45" s="100" t="e">
        <f t="shared" ref="P45:P48" si="80">O45/F45</f>
        <v>#DIV/0!</v>
      </c>
      <c r="Q45" s="234"/>
      <c r="R45" s="100" t="e">
        <f t="shared" ref="R45:R48" si="81">Q45/F45</f>
        <v>#DIV/0!</v>
      </c>
      <c r="S45" s="105">
        <f t="shared" ref="S45:S48" si="82">SUM(O45+Q45)</f>
        <v>0</v>
      </c>
      <c r="T45" s="100" t="e">
        <f t="shared" ref="T45:T48" si="83">S45/F45</f>
        <v>#DIV/0!</v>
      </c>
      <c r="U45" s="234"/>
      <c r="V45" s="100" t="e">
        <f t="shared" ref="V45:V48" si="84">U45/F45</f>
        <v>#DIV/0!</v>
      </c>
      <c r="W45" s="234"/>
      <c r="X45" s="100" t="e">
        <f t="shared" ref="X45:X48" si="85">W45/F45</f>
        <v>#DIV/0!</v>
      </c>
      <c r="Y45" s="234"/>
      <c r="Z45" s="100" t="e">
        <f t="shared" ref="Z45:Z48" si="86">Y45/F45</f>
        <v>#DIV/0!</v>
      </c>
      <c r="AA45" s="234"/>
      <c r="AB45" s="100" t="e">
        <f t="shared" ref="AB45:AB48" si="87">AA45/F45</f>
        <v>#DIV/0!</v>
      </c>
      <c r="AC45" s="105">
        <f t="shared" ref="AC45:AC48" si="88">SUM(Y45+AA45)</f>
        <v>0</v>
      </c>
      <c r="AD45" s="100" t="e">
        <f t="shared" ref="AD45:AD48" si="89">AC45/F45</f>
        <v>#DIV/0!</v>
      </c>
      <c r="AE45" s="234"/>
      <c r="AF45" s="100" t="e">
        <f t="shared" ref="AF45:AF48" si="90">AE45/F45</f>
        <v>#DIV/0!</v>
      </c>
      <c r="AG45" s="234"/>
      <c r="AH45" s="100" t="e">
        <f t="shared" ref="AH45:AH48" si="91">AG45/F45</f>
        <v>#DIV/0!</v>
      </c>
      <c r="AI45" s="234"/>
      <c r="AJ45" s="100" t="e">
        <f t="shared" ref="AJ45:AJ48" si="92">AI45/F45</f>
        <v>#DIV/0!</v>
      </c>
      <c r="AK45" s="234"/>
      <c r="AL45" s="100" t="e">
        <f t="shared" ref="AL45:AL48" si="93">AK45/F45</f>
        <v>#DIV/0!</v>
      </c>
    </row>
    <row r="46" spans="2:38" ht="14.25">
      <c r="B46" s="97"/>
      <c r="C46" s="83"/>
      <c r="D46" s="378">
        <f t="shared" si="55"/>
        <v>46207</v>
      </c>
      <c r="E46" s="378" t="s">
        <v>462</v>
      </c>
      <c r="F46" s="87">
        <f t="shared" si="75"/>
        <v>0</v>
      </c>
      <c r="G46" s="310"/>
      <c r="H46" s="87"/>
      <c r="I46" s="234"/>
      <c r="J46" s="100" t="e">
        <f t="shared" si="76"/>
        <v>#DIV/0!</v>
      </c>
      <c r="K46" s="234"/>
      <c r="L46" s="100" t="e">
        <f t="shared" si="77"/>
        <v>#DIV/0!</v>
      </c>
      <c r="M46" s="105">
        <f t="shared" si="78"/>
        <v>0</v>
      </c>
      <c r="N46" s="100" t="e">
        <f t="shared" si="79"/>
        <v>#DIV/0!</v>
      </c>
      <c r="O46" s="234"/>
      <c r="P46" s="100" t="e">
        <f t="shared" si="80"/>
        <v>#DIV/0!</v>
      </c>
      <c r="Q46" s="234"/>
      <c r="R46" s="100" t="e">
        <f t="shared" si="81"/>
        <v>#DIV/0!</v>
      </c>
      <c r="S46" s="105">
        <f t="shared" si="82"/>
        <v>0</v>
      </c>
      <c r="T46" s="100" t="e">
        <f t="shared" si="83"/>
        <v>#DIV/0!</v>
      </c>
      <c r="U46" s="234"/>
      <c r="V46" s="100" t="e">
        <f t="shared" si="84"/>
        <v>#DIV/0!</v>
      </c>
      <c r="W46" s="234"/>
      <c r="X46" s="100" t="e">
        <f t="shared" si="85"/>
        <v>#DIV/0!</v>
      </c>
      <c r="Y46" s="234"/>
      <c r="Z46" s="100" t="e">
        <f t="shared" si="86"/>
        <v>#DIV/0!</v>
      </c>
      <c r="AA46" s="234"/>
      <c r="AB46" s="100" t="e">
        <f t="shared" si="87"/>
        <v>#DIV/0!</v>
      </c>
      <c r="AC46" s="105">
        <f t="shared" si="88"/>
        <v>0</v>
      </c>
      <c r="AD46" s="100" t="e">
        <f t="shared" si="89"/>
        <v>#DIV/0!</v>
      </c>
      <c r="AE46" s="234"/>
      <c r="AF46" s="100" t="e">
        <f t="shared" si="90"/>
        <v>#DIV/0!</v>
      </c>
      <c r="AG46" s="234"/>
      <c r="AH46" s="100" t="e">
        <f t="shared" si="91"/>
        <v>#DIV/0!</v>
      </c>
      <c r="AI46" s="234"/>
      <c r="AJ46" s="100" t="e">
        <f t="shared" si="92"/>
        <v>#DIV/0!</v>
      </c>
      <c r="AK46" s="234"/>
      <c r="AL46" s="100" t="e">
        <f t="shared" si="93"/>
        <v>#DIV/0!</v>
      </c>
    </row>
    <row r="47" spans="2:38" ht="14.25">
      <c r="B47" s="97"/>
      <c r="C47" s="83"/>
      <c r="D47" s="378">
        <f t="shared" si="55"/>
        <v>46208</v>
      </c>
      <c r="E47" s="378" t="s">
        <v>463</v>
      </c>
      <c r="F47" s="87">
        <f t="shared" si="75"/>
        <v>0</v>
      </c>
      <c r="G47" s="310"/>
      <c r="H47" s="87"/>
      <c r="I47" s="234"/>
      <c r="J47" s="100" t="e">
        <f t="shared" si="76"/>
        <v>#DIV/0!</v>
      </c>
      <c r="K47" s="234"/>
      <c r="L47" s="100" t="e">
        <f t="shared" si="77"/>
        <v>#DIV/0!</v>
      </c>
      <c r="M47" s="105">
        <f t="shared" si="78"/>
        <v>0</v>
      </c>
      <c r="N47" s="100" t="e">
        <f t="shared" si="79"/>
        <v>#DIV/0!</v>
      </c>
      <c r="O47" s="234"/>
      <c r="P47" s="100" t="e">
        <f t="shared" si="80"/>
        <v>#DIV/0!</v>
      </c>
      <c r="Q47" s="234"/>
      <c r="R47" s="100" t="e">
        <f t="shared" si="81"/>
        <v>#DIV/0!</v>
      </c>
      <c r="S47" s="105">
        <f t="shared" si="82"/>
        <v>0</v>
      </c>
      <c r="T47" s="100" t="e">
        <f t="shared" si="83"/>
        <v>#DIV/0!</v>
      </c>
      <c r="U47" s="234"/>
      <c r="V47" s="100" t="e">
        <f t="shared" si="84"/>
        <v>#DIV/0!</v>
      </c>
      <c r="W47" s="234"/>
      <c r="X47" s="100" t="e">
        <f t="shared" si="85"/>
        <v>#DIV/0!</v>
      </c>
      <c r="Y47" s="234"/>
      <c r="Z47" s="100" t="e">
        <f t="shared" si="86"/>
        <v>#DIV/0!</v>
      </c>
      <c r="AA47" s="234"/>
      <c r="AB47" s="100" t="e">
        <f t="shared" si="87"/>
        <v>#DIV/0!</v>
      </c>
      <c r="AC47" s="105">
        <f t="shared" si="88"/>
        <v>0</v>
      </c>
      <c r="AD47" s="100" t="e">
        <f t="shared" si="89"/>
        <v>#DIV/0!</v>
      </c>
      <c r="AE47" s="234"/>
      <c r="AF47" s="100" t="e">
        <f t="shared" si="90"/>
        <v>#DIV/0!</v>
      </c>
      <c r="AG47" s="234"/>
      <c r="AH47" s="100" t="e">
        <f t="shared" si="91"/>
        <v>#DIV/0!</v>
      </c>
      <c r="AI47" s="234"/>
      <c r="AJ47" s="100" t="e">
        <f t="shared" si="92"/>
        <v>#DIV/0!</v>
      </c>
      <c r="AK47" s="234"/>
      <c r="AL47" s="100" t="e">
        <f t="shared" si="93"/>
        <v>#DIV/0!</v>
      </c>
    </row>
    <row r="48" spans="2:38" ht="14.25">
      <c r="B48" s="97"/>
      <c r="C48" s="83"/>
      <c r="D48" s="378">
        <f t="shared" si="55"/>
        <v>46209</v>
      </c>
      <c r="E48" s="378" t="s">
        <v>457</v>
      </c>
      <c r="F48" s="87">
        <f t="shared" si="75"/>
        <v>0</v>
      </c>
      <c r="G48" s="310"/>
      <c r="H48" s="87"/>
      <c r="I48" s="234"/>
      <c r="J48" s="100" t="e">
        <f t="shared" si="76"/>
        <v>#DIV/0!</v>
      </c>
      <c r="K48" s="234"/>
      <c r="L48" s="100" t="e">
        <f t="shared" si="77"/>
        <v>#DIV/0!</v>
      </c>
      <c r="M48" s="105">
        <f t="shared" si="78"/>
        <v>0</v>
      </c>
      <c r="N48" s="100" t="e">
        <f t="shared" si="79"/>
        <v>#DIV/0!</v>
      </c>
      <c r="O48" s="234"/>
      <c r="P48" s="100" t="e">
        <f t="shared" si="80"/>
        <v>#DIV/0!</v>
      </c>
      <c r="Q48" s="234"/>
      <c r="R48" s="100" t="e">
        <f t="shared" si="81"/>
        <v>#DIV/0!</v>
      </c>
      <c r="S48" s="105">
        <f t="shared" si="82"/>
        <v>0</v>
      </c>
      <c r="T48" s="100" t="e">
        <f t="shared" si="83"/>
        <v>#DIV/0!</v>
      </c>
      <c r="U48" s="234"/>
      <c r="V48" s="100" t="e">
        <f t="shared" si="84"/>
        <v>#DIV/0!</v>
      </c>
      <c r="W48" s="234"/>
      <c r="X48" s="100" t="e">
        <f t="shared" si="85"/>
        <v>#DIV/0!</v>
      </c>
      <c r="Y48" s="234"/>
      <c r="Z48" s="100" t="e">
        <f t="shared" si="86"/>
        <v>#DIV/0!</v>
      </c>
      <c r="AA48" s="234"/>
      <c r="AB48" s="100" t="e">
        <f t="shared" si="87"/>
        <v>#DIV/0!</v>
      </c>
      <c r="AC48" s="105">
        <f t="shared" si="88"/>
        <v>0</v>
      </c>
      <c r="AD48" s="100" t="e">
        <f t="shared" si="89"/>
        <v>#DIV/0!</v>
      </c>
      <c r="AE48" s="234"/>
      <c r="AF48" s="100" t="e">
        <f t="shared" si="90"/>
        <v>#DIV/0!</v>
      </c>
      <c r="AG48" s="234"/>
      <c r="AH48" s="100" t="e">
        <f t="shared" si="91"/>
        <v>#DIV/0!</v>
      </c>
      <c r="AI48" s="234"/>
      <c r="AJ48" s="100" t="e">
        <f t="shared" si="92"/>
        <v>#DIV/0!</v>
      </c>
      <c r="AK48" s="234"/>
      <c r="AL48" s="100" t="e">
        <f t="shared" si="93"/>
        <v>#DIV/0!</v>
      </c>
    </row>
    <row r="49" spans="2:38" ht="14.25">
      <c r="B49" s="97"/>
      <c r="C49" s="83"/>
      <c r="D49" s="378"/>
      <c r="E49" s="378"/>
      <c r="F49" s="87"/>
      <c r="G49" s="310"/>
      <c r="H49" s="87"/>
      <c r="I49" s="234"/>
      <c r="J49" s="100" t="e">
        <f>I49/F49</f>
        <v>#DIV/0!</v>
      </c>
      <c r="K49" s="234"/>
      <c r="L49" s="100" t="e">
        <f>K49/F49</f>
        <v>#DIV/0!</v>
      </c>
      <c r="M49" s="105">
        <f>SUM(I49+K49)</f>
        <v>0</v>
      </c>
      <c r="N49" s="100" t="e">
        <f>M49/F49</f>
        <v>#DIV/0!</v>
      </c>
      <c r="O49" s="234"/>
      <c r="P49" s="100" t="e">
        <f>O49/F49</f>
        <v>#DIV/0!</v>
      </c>
      <c r="Q49" s="234"/>
      <c r="R49" s="100" t="e">
        <f t="shared" si="61"/>
        <v>#DIV/0!</v>
      </c>
      <c r="S49" s="105">
        <f t="shared" si="62"/>
        <v>0</v>
      </c>
      <c r="T49" s="100" t="e">
        <f>S49/F49</f>
        <v>#DIV/0!</v>
      </c>
      <c r="U49" s="234"/>
      <c r="V49" s="100" t="e">
        <f>U49/F49</f>
        <v>#DIV/0!</v>
      </c>
      <c r="W49" s="234"/>
      <c r="X49" s="100" t="e">
        <f>W49/F49</f>
        <v>#DIV/0!</v>
      </c>
      <c r="Y49" s="234"/>
      <c r="Z49" s="100" t="e">
        <f>Y49/F49</f>
        <v>#DIV/0!</v>
      </c>
      <c r="AA49" s="234"/>
      <c r="AB49" s="100" t="e">
        <f t="shared" si="67"/>
        <v>#DIV/0!</v>
      </c>
      <c r="AC49" s="105">
        <f>SUM(Y49+AA49)</f>
        <v>0</v>
      </c>
      <c r="AD49" s="100" t="e">
        <f>AC49/F49</f>
        <v>#DIV/0!</v>
      </c>
      <c r="AE49" s="234"/>
      <c r="AF49" s="100" t="e">
        <f>AE49/F49</f>
        <v>#DIV/0!</v>
      </c>
      <c r="AG49" s="234"/>
      <c r="AH49" s="100" t="e">
        <f>AG49/F49</f>
        <v>#DIV/0!</v>
      </c>
      <c r="AI49" s="234"/>
      <c r="AJ49" s="100" t="e">
        <f>AI49/F49</f>
        <v>#DIV/0!</v>
      </c>
      <c r="AK49" s="234"/>
      <c r="AL49" s="100" t="e">
        <f>AK49/F49</f>
        <v>#DIV/0!</v>
      </c>
    </row>
    <row r="50" spans="2:38" ht="14.25">
      <c r="B50" s="97"/>
      <c r="C50" s="83"/>
      <c r="D50" s="378"/>
      <c r="E50" s="378"/>
      <c r="F50" s="87"/>
      <c r="G50" s="87"/>
      <c r="H50" s="87"/>
      <c r="I50" s="273">
        <f>SUM(I7:I44)</f>
        <v>532000</v>
      </c>
      <c r="J50" s="272">
        <f>I50/$H$12</f>
        <v>0.23827898079301216</v>
      </c>
      <c r="K50" s="273">
        <f>SUM(K7:K44)</f>
        <v>621197</v>
      </c>
      <c r="L50" s="272">
        <f>K50/$H$12</f>
        <v>0.27822967675127214</v>
      </c>
      <c r="M50" s="273">
        <f>SUM(M7:M44)</f>
        <v>1153197</v>
      </c>
      <c r="N50" s="272">
        <f>M50/$H$12</f>
        <v>0.51650865754428432</v>
      </c>
      <c r="O50" s="273">
        <f>SUM(O7:O44)</f>
        <v>72258</v>
      </c>
      <c r="P50" s="272">
        <f>O50/$H$12</f>
        <v>3.2363839462671941E-2</v>
      </c>
      <c r="Q50" s="273">
        <f>SUM(Q7:Q44)</f>
        <v>0</v>
      </c>
      <c r="R50" s="272">
        <f>Q50/$H$12</f>
        <v>0</v>
      </c>
      <c r="S50" s="273">
        <f>SUM(S7:S44)</f>
        <v>72258</v>
      </c>
      <c r="T50" s="272">
        <f>S50/$H$12</f>
        <v>3.2363839462671941E-2</v>
      </c>
      <c r="U50" s="273">
        <f>SUM(U7:U44)</f>
        <v>407340</v>
      </c>
      <c r="V50" s="272">
        <f>U50/$H$12</f>
        <v>0.18244466172222851</v>
      </c>
      <c r="W50" s="273">
        <f>SUM(W7:W44)</f>
        <v>27144</v>
      </c>
      <c r="X50" s="272">
        <f>W50/$H$12</f>
        <v>1.2157602734296094E-2</v>
      </c>
      <c r="Y50" s="273">
        <f>SUM(Y7:Y44)</f>
        <v>343733</v>
      </c>
      <c r="Z50" s="272">
        <f>Y50/$H$12</f>
        <v>0.15395554305436926</v>
      </c>
      <c r="AA50" s="273">
        <f>SUM(AA7:AA44)</f>
        <v>289582</v>
      </c>
      <c r="AB50" s="272">
        <f>AA50/$H$12</f>
        <v>0.12970169890225949</v>
      </c>
      <c r="AC50" s="273">
        <f>SUM(AC7:AC44)</f>
        <v>633315</v>
      </c>
      <c r="AD50" s="272">
        <f>AC50/$H$12</f>
        <v>0.28365724195662873</v>
      </c>
      <c r="AE50" s="273">
        <f>SUM(AE7:AE44)</f>
        <v>348996</v>
      </c>
      <c r="AF50" s="272">
        <f>AE50/$H$12</f>
        <v>0.15631280297150013</v>
      </c>
      <c r="AG50" s="273">
        <f>SUM(AG7:AG44)</f>
        <v>283966</v>
      </c>
      <c r="AH50" s="272">
        <f>AG50/$H$12</f>
        <v>0.12718633281930167</v>
      </c>
      <c r="AI50" s="273">
        <f>SUM(AI7:AI44)</f>
        <v>590507</v>
      </c>
      <c r="AJ50" s="272">
        <f>AI50/$H$12</f>
        <v>0.26448384607357001</v>
      </c>
      <c r="AK50" s="273">
        <f>SUM(AK7:AK44)</f>
        <v>395384</v>
      </c>
      <c r="AL50" s="272">
        <f>AK50/$H$12</f>
        <v>0.17708965515388031</v>
      </c>
    </row>
    <row r="51" spans="2:38" ht="14.25">
      <c r="B51" s="97"/>
      <c r="C51" s="83"/>
      <c r="D51" s="378"/>
      <c r="E51" s="378"/>
      <c r="F51" s="87"/>
      <c r="G51" s="87"/>
      <c r="H51" s="87"/>
      <c r="M51" s="274">
        <f>M50</f>
        <v>1153197</v>
      </c>
      <c r="S51" s="274">
        <f>S50</f>
        <v>72258</v>
      </c>
      <c r="U51" s="274">
        <f>U50</f>
        <v>407340</v>
      </c>
      <c r="W51" s="274">
        <f>W50</f>
        <v>27144</v>
      </c>
      <c r="Y51" s="274"/>
      <c r="AA51" s="274"/>
      <c r="AC51" s="274">
        <f>AC50</f>
        <v>633315</v>
      </c>
      <c r="AE51" s="274">
        <f>AE50</f>
        <v>348996</v>
      </c>
      <c r="AG51" s="274">
        <f>AG50</f>
        <v>283966</v>
      </c>
      <c r="AI51" s="274">
        <f>AI50</f>
        <v>590507</v>
      </c>
      <c r="AK51" s="274">
        <f>AK50</f>
        <v>395384</v>
      </c>
    </row>
    <row r="52" spans="2:38" ht="14.25">
      <c r="B52" s="97"/>
      <c r="C52" s="83"/>
      <c r="D52" s="378"/>
      <c r="E52" s="378"/>
      <c r="F52" s="87"/>
      <c r="G52" s="87"/>
      <c r="H52" s="87"/>
    </row>
    <row r="53" spans="2:38" ht="14.25">
      <c r="B53" s="97"/>
      <c r="C53" s="83"/>
      <c r="D53" s="84"/>
      <c r="F53" s="87"/>
      <c r="G53" s="87"/>
      <c r="H53" s="87"/>
    </row>
    <row r="54" spans="2:38" ht="14.25">
      <c r="B54" s="97"/>
      <c r="C54" s="83"/>
      <c r="D54" s="84"/>
    </row>
    <row r="55" spans="2:38" ht="14.25">
      <c r="B55" s="97"/>
      <c r="C55" s="83"/>
      <c r="D55" s="84"/>
    </row>
    <row r="56" spans="2:38" ht="14.25">
      <c r="B56" s="97"/>
      <c r="C56" s="83"/>
      <c r="D56" s="84"/>
    </row>
    <row r="57" spans="2:38" ht="14.25">
      <c r="B57" s="97"/>
      <c r="C57" s="83"/>
      <c r="D57" s="84"/>
    </row>
    <row r="58" spans="2:38" ht="14.25">
      <c r="B58" s="97"/>
      <c r="C58" s="83"/>
      <c r="D58" s="84"/>
    </row>
    <row r="59" spans="2:38" ht="14.25">
      <c r="B59" s="97"/>
      <c r="C59" s="83"/>
      <c r="D59" s="84"/>
    </row>
    <row r="60" spans="2:38" ht="14.25">
      <c r="B60" s="97"/>
      <c r="C60" s="83"/>
      <c r="D60" s="84"/>
    </row>
    <row r="61" spans="2:38" ht="14.25">
      <c r="B61" s="97"/>
      <c r="C61" s="83"/>
      <c r="D61" s="84"/>
    </row>
    <row r="62" spans="2:38" ht="14.25">
      <c r="B62" s="97"/>
      <c r="C62" s="83"/>
      <c r="D62" s="84"/>
    </row>
    <row r="63" spans="2:38" ht="14.25">
      <c r="B63" s="97"/>
      <c r="C63" s="83"/>
      <c r="D63" s="84"/>
    </row>
    <row r="64" spans="2:38" ht="14.25">
      <c r="B64" s="97"/>
      <c r="C64" s="83"/>
      <c r="D64" s="84"/>
    </row>
    <row r="65" spans="2:4" ht="14.25">
      <c r="B65" s="97"/>
      <c r="C65" s="83"/>
      <c r="D65" s="84"/>
    </row>
    <row r="66" spans="2:4" ht="14.25">
      <c r="B66" s="97"/>
      <c r="C66" s="83"/>
      <c r="D66" s="84"/>
    </row>
    <row r="67" spans="2:4" ht="14.25">
      <c r="B67" s="97"/>
      <c r="C67" s="83"/>
      <c r="D67" s="84"/>
    </row>
    <row r="68" spans="2:4" ht="14.25">
      <c r="B68" s="97"/>
      <c r="C68" s="83"/>
      <c r="D68" s="84"/>
    </row>
    <row r="69" spans="2:4" ht="14.25">
      <c r="B69" s="97"/>
      <c r="C69" s="83"/>
      <c r="D69" s="84"/>
    </row>
    <row r="70" spans="2:4" ht="14.25">
      <c r="B70" s="97"/>
      <c r="C70" s="83"/>
      <c r="D70" s="84"/>
    </row>
    <row r="71" spans="2:4" ht="14.25">
      <c r="B71" s="97"/>
      <c r="C71" s="83"/>
      <c r="D71" s="84"/>
    </row>
    <row r="72" spans="2:4" ht="14.25">
      <c r="B72" s="97"/>
      <c r="C72" s="83"/>
      <c r="D72" s="84"/>
    </row>
    <row r="73" spans="2:4" ht="14.25">
      <c r="B73" s="97"/>
      <c r="C73" s="83"/>
      <c r="D73" s="84"/>
    </row>
    <row r="74" spans="2:4" ht="14.25">
      <c r="B74" s="97"/>
      <c r="C74" s="83"/>
      <c r="D74" s="84"/>
    </row>
    <row r="75" spans="2:4" ht="14.25">
      <c r="B75" s="97"/>
      <c r="C75" s="83"/>
      <c r="D75" s="84"/>
    </row>
    <row r="76" spans="2:4" ht="14.25">
      <c r="B76" s="97"/>
      <c r="C76" s="83"/>
      <c r="D76" s="84"/>
    </row>
    <row r="77" spans="2:4" ht="14.25">
      <c r="B77" s="97"/>
      <c r="C77" s="83"/>
      <c r="D77" s="84"/>
    </row>
    <row r="78" spans="2:4" ht="14.25">
      <c r="B78" s="97"/>
      <c r="C78" s="83"/>
      <c r="D78" s="84"/>
    </row>
    <row r="79" spans="2:4" ht="14.25">
      <c r="B79" s="97"/>
      <c r="C79" s="83"/>
      <c r="D79" s="84"/>
    </row>
    <row r="80" spans="2:4" ht="14.25">
      <c r="B80" s="97"/>
      <c r="C80" s="83"/>
      <c r="D80" s="84"/>
    </row>
    <row r="81" spans="2:4" ht="14.25">
      <c r="B81" s="97"/>
      <c r="C81" s="83"/>
      <c r="D81" s="84"/>
    </row>
    <row r="82" spans="2:4" ht="14.25">
      <c r="B82" s="97"/>
      <c r="C82" s="83"/>
      <c r="D82" s="84"/>
    </row>
    <row r="83" spans="2:4" ht="14.25">
      <c r="B83" s="97"/>
      <c r="C83" s="83"/>
      <c r="D83" s="84"/>
    </row>
    <row r="84" spans="2:4" ht="14.25">
      <c r="B84" s="97"/>
      <c r="C84" s="83"/>
      <c r="D84" s="84"/>
    </row>
    <row r="85" spans="2:4" ht="14.25">
      <c r="B85" s="97"/>
      <c r="C85" s="83"/>
      <c r="D85" s="84"/>
    </row>
    <row r="86" spans="2:4" ht="14.25">
      <c r="B86" s="97"/>
      <c r="C86" s="83"/>
      <c r="D86" s="84"/>
    </row>
    <row r="87" spans="2:4" ht="14.25">
      <c r="B87" s="97"/>
      <c r="C87" s="83"/>
      <c r="D87" s="84"/>
    </row>
    <row r="88" spans="2:4" ht="14.25">
      <c r="B88" s="97"/>
      <c r="C88" s="83"/>
      <c r="D88" s="84"/>
    </row>
    <row r="89" spans="2:4" ht="14.25">
      <c r="B89" s="97"/>
      <c r="C89" s="83"/>
      <c r="D89" s="84"/>
    </row>
    <row r="90" spans="2:4" ht="14.25">
      <c r="B90" s="97"/>
      <c r="C90" s="83"/>
      <c r="D90" s="84"/>
    </row>
    <row r="91" spans="2:4" ht="14.25">
      <c r="B91" s="97"/>
      <c r="C91" s="83"/>
      <c r="D91" s="84"/>
    </row>
    <row r="92" spans="2:4" ht="14.25">
      <c r="B92" s="97"/>
      <c r="C92" s="83"/>
      <c r="D92" s="84"/>
    </row>
    <row r="93" spans="2:4" ht="14.25">
      <c r="B93" s="97"/>
      <c r="C93" s="83"/>
      <c r="D93" s="84"/>
    </row>
    <row r="94" spans="2:4" ht="14.25">
      <c r="B94" s="97"/>
      <c r="C94" s="83"/>
      <c r="D94" s="84"/>
    </row>
    <row r="95" spans="2:4" ht="14.25">
      <c r="B95" s="97"/>
      <c r="C95" s="83"/>
      <c r="D95" s="84"/>
    </row>
    <row r="96" spans="2:4" ht="14.25">
      <c r="B96" s="97"/>
      <c r="C96" s="83"/>
      <c r="D96" s="84"/>
    </row>
    <row r="97" spans="2:4" ht="14.25">
      <c r="B97" s="97"/>
      <c r="C97" s="83"/>
      <c r="D97" s="84"/>
    </row>
    <row r="98" spans="2:4" ht="14.25">
      <c r="B98" s="97"/>
      <c r="C98" s="83"/>
      <c r="D98" s="84"/>
    </row>
    <row r="99" spans="2:4" ht="14.25">
      <c r="B99" s="97"/>
      <c r="C99" s="83"/>
      <c r="D99" s="84"/>
    </row>
    <row r="100" spans="2:4" ht="14.25">
      <c r="B100" s="97"/>
      <c r="C100" s="83"/>
      <c r="D100" s="84"/>
    </row>
    <row r="101" spans="2:4" ht="14.25">
      <c r="B101" s="97"/>
      <c r="C101" s="83"/>
      <c r="D101" s="84"/>
    </row>
    <row r="102" spans="2:4" ht="14.25">
      <c r="B102" s="97"/>
      <c r="C102" s="83"/>
      <c r="D102" s="84"/>
    </row>
    <row r="103" spans="2:4" ht="14.25">
      <c r="B103" s="97"/>
      <c r="C103" s="83"/>
      <c r="D103" s="84"/>
    </row>
    <row r="104" spans="2:4" ht="14.25">
      <c r="B104" s="97"/>
      <c r="C104" s="83"/>
      <c r="D104" s="84"/>
    </row>
    <row r="105" spans="2:4" ht="14.25">
      <c r="B105" s="97"/>
      <c r="C105" s="83"/>
      <c r="D105" s="84"/>
    </row>
    <row r="106" spans="2:4" ht="14.25">
      <c r="B106" s="97"/>
      <c r="C106" s="83"/>
      <c r="D106" s="84"/>
    </row>
  </sheetData>
  <mergeCells count="32"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</mergeCells>
  <phoneticPr fontId="1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262"/>
  <sheetViews>
    <sheetView topLeftCell="A12" zoomScale="70" zoomScaleNormal="70" workbookViewId="0">
      <pane xSplit="15" topLeftCell="P1" activePane="topRight" state="frozen"/>
      <selection activeCell="AI87" sqref="AI87:AI101"/>
      <selection pane="topRight" activeCell="T42" sqref="S42:T7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315</v>
      </c>
      <c r="C1" s="219">
        <f>AVERAGE(L7,L42,L77,L112,L147,L182)</f>
        <v>839.9299347836602</v>
      </c>
    </row>
    <row r="2" spans="1:53" ht="15.75">
      <c r="A2" s="81"/>
      <c r="B2" s="639" t="s">
        <v>163</v>
      </c>
      <c r="C2" s="639"/>
      <c r="D2" s="639"/>
      <c r="E2" s="639"/>
      <c r="F2" s="639"/>
      <c r="G2" s="639"/>
      <c r="H2" s="639"/>
      <c r="I2" s="293"/>
      <c r="J2" s="293"/>
      <c r="K2" s="293"/>
      <c r="L2" s="293"/>
      <c r="M2" s="196"/>
      <c r="N2" s="628" t="s">
        <v>156</v>
      </c>
      <c r="O2" s="628" t="s">
        <v>155</v>
      </c>
      <c r="P2" s="655">
        <v>46168</v>
      </c>
      <c r="Q2" s="656"/>
      <c r="R2" s="656"/>
      <c r="S2" s="656"/>
      <c r="T2" s="657"/>
      <c r="U2" s="634">
        <f>P2+1</f>
        <v>46169</v>
      </c>
      <c r="V2" s="635"/>
      <c r="W2" s="635"/>
      <c r="X2" s="635"/>
      <c r="Y2" s="635"/>
      <c r="Z2" s="634">
        <f>U2+1</f>
        <v>46170</v>
      </c>
      <c r="AA2" s="635"/>
      <c r="AB2" s="635"/>
      <c r="AC2" s="635"/>
      <c r="AD2" s="635"/>
      <c r="AE2" s="634">
        <f>Z2+1</f>
        <v>46171</v>
      </c>
      <c r="AF2" s="635"/>
      <c r="AG2" s="635"/>
      <c r="AH2" s="635"/>
      <c r="AI2" s="635"/>
      <c r="AJ2" s="634">
        <f>AE2+1</f>
        <v>46172</v>
      </c>
      <c r="AK2" s="635"/>
      <c r="AL2" s="635"/>
      <c r="AM2" s="635"/>
      <c r="AN2" s="635"/>
      <c r="AO2" s="634">
        <f>AJ2+1</f>
        <v>46173</v>
      </c>
      <c r="AP2" s="635"/>
      <c r="AQ2" s="635"/>
      <c r="AR2" s="635"/>
      <c r="AS2" s="635"/>
      <c r="AT2" s="631">
        <f>AO2+1</f>
        <v>46174</v>
      </c>
      <c r="AU2" s="632"/>
      <c r="AV2" s="632"/>
      <c r="AW2" s="632"/>
      <c r="AX2" s="633"/>
    </row>
    <row r="3" spans="1:53" ht="15.75">
      <c r="A3" s="81"/>
      <c r="B3" s="658"/>
      <c r="C3" s="658"/>
      <c r="D3" s="658"/>
      <c r="E3" s="658"/>
      <c r="F3" s="658"/>
      <c r="G3" s="658"/>
      <c r="H3" s="658"/>
      <c r="I3" s="294"/>
      <c r="J3" s="294"/>
      <c r="K3" s="294"/>
      <c r="L3" s="294"/>
      <c r="M3" s="197"/>
      <c r="N3" s="630"/>
      <c r="O3" s="630"/>
      <c r="P3" s="634" t="s">
        <v>158</v>
      </c>
      <c r="Q3" s="635"/>
      <c r="R3" s="635"/>
      <c r="S3" s="635"/>
      <c r="T3" s="635"/>
      <c r="U3" s="634" t="s">
        <v>114</v>
      </c>
      <c r="V3" s="635"/>
      <c r="W3" s="635"/>
      <c r="X3" s="635"/>
      <c r="Y3" s="635"/>
      <c r="Z3" s="634" t="s">
        <v>159</v>
      </c>
      <c r="AA3" s="635"/>
      <c r="AB3" s="635"/>
      <c r="AC3" s="635"/>
      <c r="AD3" s="635"/>
      <c r="AE3" s="634" t="s">
        <v>157</v>
      </c>
      <c r="AF3" s="635"/>
      <c r="AG3" s="635"/>
      <c r="AH3" s="635"/>
      <c r="AI3" s="635"/>
      <c r="AJ3" s="634" t="s">
        <v>160</v>
      </c>
      <c r="AK3" s="635"/>
      <c r="AL3" s="635"/>
      <c r="AM3" s="635"/>
      <c r="AN3" s="635"/>
      <c r="AO3" s="634" t="s">
        <v>115</v>
      </c>
      <c r="AP3" s="635"/>
      <c r="AQ3" s="635"/>
      <c r="AR3" s="635"/>
      <c r="AS3" s="635"/>
      <c r="AT3" s="634" t="s">
        <v>162</v>
      </c>
      <c r="AU3" s="635"/>
      <c r="AV3" s="635"/>
      <c r="AW3" s="635"/>
      <c r="AX3" s="635"/>
    </row>
    <row r="4" spans="1:53" ht="14.25">
      <c r="A4" s="81"/>
      <c r="B4" s="627" t="s">
        <v>374</v>
      </c>
      <c r="C4" s="627" t="s">
        <v>384</v>
      </c>
      <c r="D4" s="627"/>
      <c r="E4" s="627" t="s">
        <v>375</v>
      </c>
      <c r="F4" s="627"/>
      <c r="G4" s="627"/>
      <c r="H4" s="643" t="s">
        <v>371</v>
      </c>
      <c r="I4" s="611" t="s">
        <v>376</v>
      </c>
      <c r="J4" s="611"/>
      <c r="K4" s="611"/>
      <c r="L4" s="612" t="s">
        <v>371</v>
      </c>
      <c r="M4" s="618" t="s">
        <v>372</v>
      </c>
      <c r="N4" s="627"/>
      <c r="O4" s="627" t="s">
        <v>377</v>
      </c>
      <c r="P4" s="624" t="s">
        <v>373</v>
      </c>
      <c r="Q4" s="625"/>
      <c r="R4" s="625"/>
      <c r="S4" s="626"/>
      <c r="T4" s="627" t="s">
        <v>371</v>
      </c>
      <c r="U4" s="624" t="s">
        <v>373</v>
      </c>
      <c r="V4" s="625"/>
      <c r="W4" s="625"/>
      <c r="X4" s="626"/>
      <c r="Y4" s="627" t="s">
        <v>371</v>
      </c>
      <c r="Z4" s="624" t="s">
        <v>373</v>
      </c>
      <c r="AA4" s="625"/>
      <c r="AB4" s="625"/>
      <c r="AC4" s="626"/>
      <c r="AD4" s="627" t="s">
        <v>371</v>
      </c>
      <c r="AE4" s="624" t="s">
        <v>373</v>
      </c>
      <c r="AF4" s="625"/>
      <c r="AG4" s="625"/>
      <c r="AH4" s="626"/>
      <c r="AI4" s="627" t="s">
        <v>371</v>
      </c>
      <c r="AJ4" s="624" t="s">
        <v>373</v>
      </c>
      <c r="AK4" s="625"/>
      <c r="AL4" s="625"/>
      <c r="AM4" s="626"/>
      <c r="AN4" s="627" t="s">
        <v>371</v>
      </c>
      <c r="AO4" s="624" t="s">
        <v>373</v>
      </c>
      <c r="AP4" s="625"/>
      <c r="AQ4" s="625"/>
      <c r="AR4" s="626"/>
      <c r="AS4" s="627" t="s">
        <v>371</v>
      </c>
      <c r="AT4" s="624" t="s">
        <v>373</v>
      </c>
      <c r="AU4" s="625"/>
      <c r="AV4" s="625"/>
      <c r="AW4" s="626"/>
      <c r="AX4" s="627" t="s">
        <v>371</v>
      </c>
      <c r="BA4" s="627" t="s">
        <v>371</v>
      </c>
    </row>
    <row r="5" spans="1:53" ht="14.25">
      <c r="A5" s="81"/>
      <c r="B5" s="627"/>
      <c r="C5" s="627"/>
      <c r="D5" s="627"/>
      <c r="E5" s="627" t="s">
        <v>378</v>
      </c>
      <c r="F5" s="627"/>
      <c r="G5" s="627"/>
      <c r="H5" s="644"/>
      <c r="I5" s="611" t="s">
        <v>378</v>
      </c>
      <c r="J5" s="611"/>
      <c r="K5" s="611"/>
      <c r="L5" s="613"/>
      <c r="M5" s="619"/>
      <c r="N5" s="627"/>
      <c r="O5" s="627"/>
      <c r="P5" s="624" t="s">
        <v>379</v>
      </c>
      <c r="Q5" s="625"/>
      <c r="R5" s="625"/>
      <c r="S5" s="626"/>
      <c r="T5" s="627"/>
      <c r="U5" s="624" t="s">
        <v>379</v>
      </c>
      <c r="V5" s="625"/>
      <c r="W5" s="625"/>
      <c r="X5" s="626"/>
      <c r="Y5" s="627"/>
      <c r="Z5" s="624" t="s">
        <v>379</v>
      </c>
      <c r="AA5" s="625"/>
      <c r="AB5" s="625"/>
      <c r="AC5" s="626"/>
      <c r="AD5" s="627"/>
      <c r="AE5" s="624" t="s">
        <v>379</v>
      </c>
      <c r="AF5" s="625"/>
      <c r="AG5" s="625"/>
      <c r="AH5" s="626"/>
      <c r="AI5" s="627"/>
      <c r="AJ5" s="624" t="s">
        <v>379</v>
      </c>
      <c r="AK5" s="625"/>
      <c r="AL5" s="625"/>
      <c r="AM5" s="626"/>
      <c r="AN5" s="627"/>
      <c r="AO5" s="624" t="s">
        <v>379</v>
      </c>
      <c r="AP5" s="625"/>
      <c r="AQ5" s="625"/>
      <c r="AR5" s="626"/>
      <c r="AS5" s="627"/>
      <c r="AT5" s="624" t="s">
        <v>379</v>
      </c>
      <c r="AU5" s="625"/>
      <c r="AV5" s="625"/>
      <c r="AW5" s="626"/>
      <c r="AX5" s="627"/>
      <c r="BA5" s="627"/>
    </row>
    <row r="6" spans="1:53" ht="14.25">
      <c r="A6" s="79"/>
      <c r="B6" s="627"/>
      <c r="C6" s="627"/>
      <c r="D6" s="627"/>
      <c r="E6" s="412" t="s">
        <v>380</v>
      </c>
      <c r="F6" s="412" t="s">
        <v>381</v>
      </c>
      <c r="G6" s="412" t="s">
        <v>382</v>
      </c>
      <c r="H6" s="645"/>
      <c r="I6" s="411" t="s">
        <v>380</v>
      </c>
      <c r="J6" s="411" t="s">
        <v>381</v>
      </c>
      <c r="K6" s="411" t="s">
        <v>382</v>
      </c>
      <c r="L6" s="614"/>
      <c r="M6" s="620"/>
      <c r="N6" s="627"/>
      <c r="O6" s="627"/>
      <c r="P6" s="412" t="s">
        <v>380</v>
      </c>
      <c r="Q6" s="412" t="s">
        <v>381</v>
      </c>
      <c r="R6" s="412" t="s">
        <v>382</v>
      </c>
      <c r="S6" s="412" t="s">
        <v>372</v>
      </c>
      <c r="T6" s="627"/>
      <c r="U6" s="412" t="s">
        <v>380</v>
      </c>
      <c r="V6" s="412" t="s">
        <v>381</v>
      </c>
      <c r="W6" s="412" t="s">
        <v>382</v>
      </c>
      <c r="X6" s="412" t="s">
        <v>372</v>
      </c>
      <c r="Y6" s="627"/>
      <c r="Z6" s="412" t="s">
        <v>380</v>
      </c>
      <c r="AA6" s="412" t="s">
        <v>381</v>
      </c>
      <c r="AB6" s="412" t="s">
        <v>382</v>
      </c>
      <c r="AC6" s="412" t="s">
        <v>372</v>
      </c>
      <c r="AD6" s="627"/>
      <c r="AE6" s="412" t="s">
        <v>380</v>
      </c>
      <c r="AF6" s="412" t="s">
        <v>381</v>
      </c>
      <c r="AG6" s="412" t="s">
        <v>382</v>
      </c>
      <c r="AH6" s="412" t="s">
        <v>372</v>
      </c>
      <c r="AI6" s="627"/>
      <c r="AJ6" s="412" t="s">
        <v>380</v>
      </c>
      <c r="AK6" s="412" t="s">
        <v>381</v>
      </c>
      <c r="AL6" s="412" t="s">
        <v>382</v>
      </c>
      <c r="AM6" s="412" t="s">
        <v>372</v>
      </c>
      <c r="AN6" s="627"/>
      <c r="AO6" s="412" t="s">
        <v>380</v>
      </c>
      <c r="AP6" s="412" t="s">
        <v>381</v>
      </c>
      <c r="AQ6" s="412" t="s">
        <v>382</v>
      </c>
      <c r="AR6" s="412" t="s">
        <v>372</v>
      </c>
      <c r="AS6" s="627"/>
      <c r="AT6" s="412" t="s">
        <v>380</v>
      </c>
      <c r="AU6" s="412" t="s">
        <v>381</v>
      </c>
      <c r="AV6" s="412" t="s">
        <v>382</v>
      </c>
      <c r="AW6" s="412" t="s">
        <v>372</v>
      </c>
      <c r="AX6" s="627"/>
      <c r="AZ6" s="407" t="s">
        <v>372</v>
      </c>
      <c r="BA6" s="627"/>
    </row>
    <row r="7" spans="1:53" ht="14.25">
      <c r="A7" s="81"/>
      <c r="B7" s="635" t="s">
        <v>150</v>
      </c>
      <c r="C7" s="413">
        <v>1</v>
      </c>
      <c r="D7" s="500" t="s">
        <v>337</v>
      </c>
      <c r="E7" s="500">
        <v>3</v>
      </c>
      <c r="F7" s="500">
        <v>3200</v>
      </c>
      <c r="G7" s="420">
        <v>1066.6666666666667</v>
      </c>
      <c r="H7" s="636">
        <f>AVERAGE(G7:G36)</f>
        <v>825.16666666666686</v>
      </c>
      <c r="I7" s="417">
        <f>IFERROR(AVERAGE(P7,U7,Z7,AE7,AJ7,AO7,AT7),"-")</f>
        <v>3</v>
      </c>
      <c r="J7" s="417">
        <f>IFERROR(AVERAGE(Q7,V7,AA7,AF7,AK7,AP7,AU7),"-")</f>
        <v>3215.5940924029615</v>
      </c>
      <c r="K7" s="199">
        <f>IFERROR(AVERAGE(R7,W7,AB7,AG7,AL7,AQ7,AV7),"-")</f>
        <v>1071.864697467654</v>
      </c>
      <c r="L7" s="608">
        <f>IFERROR(AVERAGE(K7:K36),"-")</f>
        <v>839.83389252746474</v>
      </c>
      <c r="M7" s="417">
        <f>RANK(K7, K$7:$K$36)</f>
        <v>1</v>
      </c>
      <c r="N7" s="627"/>
      <c r="O7" s="627"/>
      <c r="P7" s="500">
        <v>3</v>
      </c>
      <c r="Q7" s="420">
        <v>3302.1818181818203</v>
      </c>
      <c r="R7" s="420">
        <v>1100.7272727272734</v>
      </c>
      <c r="S7" s="500">
        <f>RANK(R7, R$7:R$36)</f>
        <v>1</v>
      </c>
      <c r="T7" s="649">
        <f>AVERAGE(R7:R36)</f>
        <v>838.00415116312752</v>
      </c>
      <c r="U7" s="500">
        <v>3</v>
      </c>
      <c r="V7" s="420">
        <v>3192.6315789473711</v>
      </c>
      <c r="W7" s="420">
        <v>1064.2105263157903</v>
      </c>
      <c r="X7" s="500">
        <f>RANK(W7, W$7:W$36)</f>
        <v>4</v>
      </c>
      <c r="Y7" s="649">
        <f>AVERAGE(W7:W36)</f>
        <v>834.66346212793985</v>
      </c>
      <c r="Z7" s="500">
        <v>3</v>
      </c>
      <c r="AA7" s="420">
        <v>3162.222222222224</v>
      </c>
      <c r="AB7" s="420">
        <v>1054.0740740740746</v>
      </c>
      <c r="AC7" s="500">
        <f>RANK(AB7, AB$7:AB$36)</f>
        <v>4</v>
      </c>
      <c r="AD7" s="649">
        <f>AVERAGE(AB7:AB36)</f>
        <v>835.6701378169646</v>
      </c>
      <c r="AE7" s="500">
        <v>3</v>
      </c>
      <c r="AF7" s="420">
        <v>3237.5000000000009</v>
      </c>
      <c r="AG7" s="420">
        <v>1079.166666666667</v>
      </c>
      <c r="AH7" s="500">
        <f>RANK(AG7, AG$7:AG$36)</f>
        <v>3</v>
      </c>
      <c r="AI7" s="649">
        <f>AVERAGE(AG7:AG36)</f>
        <v>844.71752315075298</v>
      </c>
      <c r="AJ7" s="500">
        <v>3</v>
      </c>
      <c r="AK7" s="420">
        <v>3240.0000000000009</v>
      </c>
      <c r="AL7" s="420">
        <v>1080.0000000000002</v>
      </c>
      <c r="AM7" s="500">
        <f>RANK(AL7, AL$7:AL$36)</f>
        <v>6</v>
      </c>
      <c r="AN7" s="649">
        <f>AVERAGE(AL7:AL36)</f>
        <v>863.23508999290414</v>
      </c>
      <c r="AO7" s="500">
        <v>3</v>
      </c>
      <c r="AP7" s="420">
        <v>3171.8644067796636</v>
      </c>
      <c r="AQ7" s="420">
        <v>1057.2881355932211</v>
      </c>
      <c r="AR7" s="500">
        <f>RANK(AQ7, AQ$7:AQ$36)</f>
        <v>5</v>
      </c>
      <c r="AS7" s="649">
        <f>AVERAGE(AQ7:AQ36)</f>
        <v>835.94202543377844</v>
      </c>
      <c r="AT7" s="500">
        <v>3</v>
      </c>
      <c r="AU7" s="420">
        <v>3202.7586206896531</v>
      </c>
      <c r="AV7" s="420">
        <v>1067.5862068965509</v>
      </c>
      <c r="AW7" s="500">
        <f>RANK(AV7, AV$7:AV$36)</f>
        <v>2</v>
      </c>
      <c r="AX7" s="649">
        <f>AVERAGE(AV7:AV36)</f>
        <v>838.76463226353337</v>
      </c>
      <c r="AZ7" s="406" t="e">
        <f>RANK(AY7, AY$7:AY$36)</f>
        <v>#N/A</v>
      </c>
      <c r="BA7" s="649" t="e">
        <f>AVERAGE(AY7:AY36)</f>
        <v>#DIV/0!</v>
      </c>
    </row>
    <row r="8" spans="1:53" ht="15" customHeight="1">
      <c r="A8" s="81"/>
      <c r="B8" s="635"/>
      <c r="C8" s="413">
        <v>2</v>
      </c>
      <c r="D8" s="499" t="s">
        <v>338</v>
      </c>
      <c r="E8" s="500">
        <v>3</v>
      </c>
      <c r="F8" s="500">
        <v>3200</v>
      </c>
      <c r="G8" s="420">
        <v>1066.6666666666667</v>
      </c>
      <c r="H8" s="637"/>
      <c r="I8" s="417">
        <f t="shared" ref="I8:I36" si="0">IFERROR(AVERAGE(P8,U8,Z8,AE8,AJ8,AO8,AT8),"-")</f>
        <v>3</v>
      </c>
      <c r="J8" s="417">
        <f t="shared" ref="J8:J36" si="1">IFERROR(AVERAGE(Q8,V8,AA8,AF8,AK8,AP8,AU8),"-")</f>
        <v>3170.7448979591709</v>
      </c>
      <c r="K8" s="199">
        <f t="shared" ref="K8:K36" si="2">IFERROR(AVERAGE(R8,W8,AB8,AG8,AL8,AQ8,AV8),"-")</f>
        <v>1056.9149659863901</v>
      </c>
      <c r="L8" s="609"/>
      <c r="M8" s="417">
        <f>RANK(K8, K$7:$K$36)</f>
        <v>6</v>
      </c>
      <c r="N8" s="627"/>
      <c r="O8" s="627"/>
      <c r="P8" s="500">
        <v>3</v>
      </c>
      <c r="Q8" s="420">
        <v>3128.9999999999864</v>
      </c>
      <c r="R8" s="420">
        <v>1042.9999999999955</v>
      </c>
      <c r="S8" s="500">
        <f t="shared" ref="S8:S36" si="3">RANK(R8, R$7:R$36)</f>
        <v>7</v>
      </c>
      <c r="T8" s="649"/>
      <c r="U8" s="500">
        <v>3</v>
      </c>
      <c r="V8" s="420">
        <v>3194.9999999999859</v>
      </c>
      <c r="W8" s="420">
        <v>1064.9999999999952</v>
      </c>
      <c r="X8" s="500">
        <f t="shared" ref="X8:X36" si="4">RANK(W8, W$7:W$36)</f>
        <v>3</v>
      </c>
      <c r="Y8" s="649"/>
      <c r="Z8" s="500">
        <v>3</v>
      </c>
      <c r="AA8" s="420">
        <v>3083.9999999999864</v>
      </c>
      <c r="AB8" s="420">
        <v>1027.9999999999955</v>
      </c>
      <c r="AC8" s="500">
        <f t="shared" ref="AC8:AC36" si="5">RANK(AB8, AB$7:AB$36)</f>
        <v>9</v>
      </c>
      <c r="AD8" s="649"/>
      <c r="AE8" s="500">
        <v>3</v>
      </c>
      <c r="AF8" s="420">
        <v>3179.9999999999814</v>
      </c>
      <c r="AG8" s="420">
        <v>1059.9999999999939</v>
      </c>
      <c r="AH8" s="500">
        <f t="shared" ref="AH8:AH36" si="6">RANK(AG8, AG$7:AG$36)</f>
        <v>8</v>
      </c>
      <c r="AI8" s="649"/>
      <c r="AJ8" s="500">
        <v>3</v>
      </c>
      <c r="AK8" s="420">
        <v>3292.4999999999959</v>
      </c>
      <c r="AL8" s="420">
        <v>1097.4999999999986</v>
      </c>
      <c r="AM8" s="500">
        <f t="shared" ref="AM8:AM36" si="7">RANK(AL8, AL$7:AL$36)</f>
        <v>2</v>
      </c>
      <c r="AN8" s="649"/>
      <c r="AO8" s="500">
        <v>3</v>
      </c>
      <c r="AP8" s="420">
        <v>3125.714285714273</v>
      </c>
      <c r="AQ8" s="420">
        <v>1041.9047619047576</v>
      </c>
      <c r="AR8" s="500">
        <f t="shared" ref="AR8:AR36" si="8">RANK(AQ8, AQ$7:AQ$36)</f>
        <v>8</v>
      </c>
      <c r="AS8" s="649"/>
      <c r="AT8" s="500">
        <v>3</v>
      </c>
      <c r="AU8" s="420">
        <v>3188.9999999999859</v>
      </c>
      <c r="AV8" s="420">
        <v>1062.9999999999952</v>
      </c>
      <c r="AW8" s="500">
        <f t="shared" ref="AW8:AW36" si="9">RANK(AV8, AV$7:AV$36)</f>
        <v>3</v>
      </c>
      <c r="AX8" s="649"/>
      <c r="AZ8" s="406" t="e">
        <f t="shared" ref="AZ8:AZ36" si="10">RANK(AY8, AY$7:AY$36)</f>
        <v>#N/A</v>
      </c>
      <c r="BA8" s="649"/>
    </row>
    <row r="9" spans="1:53" ht="14.25">
      <c r="A9" s="81"/>
      <c r="B9" s="635"/>
      <c r="C9" s="413">
        <v>3</v>
      </c>
      <c r="D9" s="500" t="s">
        <v>329</v>
      </c>
      <c r="E9" s="500">
        <v>4</v>
      </c>
      <c r="F9" s="500">
        <v>3200</v>
      </c>
      <c r="G9" s="420">
        <v>800</v>
      </c>
      <c r="H9" s="637"/>
      <c r="I9" s="417">
        <f t="shared" si="0"/>
        <v>4</v>
      </c>
      <c r="J9" s="417">
        <f t="shared" si="1"/>
        <v>3130.4069627851209</v>
      </c>
      <c r="K9" s="199">
        <f t="shared" si="2"/>
        <v>782.60174069628022</v>
      </c>
      <c r="L9" s="609"/>
      <c r="M9" s="417">
        <f>RANK(K9, K$7:$K$36)</f>
        <v>17</v>
      </c>
      <c r="N9" s="627"/>
      <c r="O9" s="627"/>
      <c r="P9" s="500">
        <v>4</v>
      </c>
      <c r="Q9" s="420">
        <v>3105.7142857142967</v>
      </c>
      <c r="R9" s="420">
        <v>776.42857142857417</v>
      </c>
      <c r="S9" s="500">
        <f t="shared" si="3"/>
        <v>16</v>
      </c>
      <c r="T9" s="649"/>
      <c r="U9" s="500">
        <v>4</v>
      </c>
      <c r="V9" s="420">
        <v>3051.4285714285825</v>
      </c>
      <c r="W9" s="420">
        <v>762.85714285714562</v>
      </c>
      <c r="X9" s="500">
        <f t="shared" si="4"/>
        <v>17</v>
      </c>
      <c r="Y9" s="649"/>
      <c r="Z9" s="500">
        <v>4</v>
      </c>
      <c r="AA9" s="420">
        <v>3105.0000000000109</v>
      </c>
      <c r="AB9" s="420">
        <v>776.25000000000273</v>
      </c>
      <c r="AC9" s="500">
        <f t="shared" si="5"/>
        <v>16</v>
      </c>
      <c r="AD9" s="649"/>
      <c r="AE9" s="500">
        <v>4</v>
      </c>
      <c r="AF9" s="420">
        <v>3144.7058823529524</v>
      </c>
      <c r="AG9" s="420">
        <v>786.17647058823809</v>
      </c>
      <c r="AH9" s="500">
        <f t="shared" si="6"/>
        <v>16</v>
      </c>
      <c r="AI9" s="649"/>
      <c r="AJ9" s="500">
        <v>4</v>
      </c>
      <c r="AK9" s="420">
        <v>3355.9999999999936</v>
      </c>
      <c r="AL9" s="420">
        <v>838.99999999999841</v>
      </c>
      <c r="AM9" s="500">
        <f t="shared" si="7"/>
        <v>15</v>
      </c>
      <c r="AN9" s="649"/>
      <c r="AO9" s="500">
        <v>4</v>
      </c>
      <c r="AP9" s="420">
        <v>3080.9999999999986</v>
      </c>
      <c r="AQ9" s="420">
        <v>770.24999999999966</v>
      </c>
      <c r="AR9" s="500">
        <f t="shared" si="8"/>
        <v>16</v>
      </c>
      <c r="AS9" s="649"/>
      <c r="AT9" s="500">
        <v>4</v>
      </c>
      <c r="AU9" s="420">
        <v>3069.0000000000109</v>
      </c>
      <c r="AV9" s="420">
        <v>767.25000000000273</v>
      </c>
      <c r="AW9" s="500">
        <f t="shared" si="9"/>
        <v>17</v>
      </c>
      <c r="AX9" s="649"/>
      <c r="AZ9" s="406" t="e">
        <f t="shared" si="10"/>
        <v>#N/A</v>
      </c>
      <c r="BA9" s="649"/>
    </row>
    <row r="10" spans="1:53" ht="14.25">
      <c r="A10" s="81"/>
      <c r="B10" s="635"/>
      <c r="C10" s="413">
        <v>4</v>
      </c>
      <c r="D10" s="500" t="s">
        <v>339</v>
      </c>
      <c r="E10" s="500">
        <v>3</v>
      </c>
      <c r="F10" s="500">
        <v>3200</v>
      </c>
      <c r="G10" s="420">
        <v>1066.6666666666667</v>
      </c>
      <c r="H10" s="637"/>
      <c r="I10" s="417">
        <f t="shared" si="0"/>
        <v>3</v>
      </c>
      <c r="J10" s="417">
        <f t="shared" si="1"/>
        <v>3196.7816431519213</v>
      </c>
      <c r="K10" s="199">
        <f t="shared" si="2"/>
        <v>1065.5938810506404</v>
      </c>
      <c r="L10" s="609"/>
      <c r="M10" s="417">
        <f>RANK(K10, K$7:$K$36)</f>
        <v>2</v>
      </c>
      <c r="N10" s="627"/>
      <c r="O10" s="627"/>
      <c r="P10" s="500">
        <v>3</v>
      </c>
      <c r="Q10" s="420">
        <v>3197.5280898876426</v>
      </c>
      <c r="R10" s="420">
        <v>1065.8426966292143</v>
      </c>
      <c r="S10" s="500">
        <f t="shared" si="3"/>
        <v>3</v>
      </c>
      <c r="T10" s="649"/>
      <c r="U10" s="500">
        <v>3</v>
      </c>
      <c r="V10" s="420">
        <v>3188.7640449438227</v>
      </c>
      <c r="W10" s="420">
        <v>1062.9213483146075</v>
      </c>
      <c r="X10" s="500">
        <f t="shared" si="4"/>
        <v>5</v>
      </c>
      <c r="Y10" s="649"/>
      <c r="Z10" s="500">
        <v>3</v>
      </c>
      <c r="AA10" s="420">
        <v>3177.2413793103447</v>
      </c>
      <c r="AB10" s="420">
        <v>1059.0804597701149</v>
      </c>
      <c r="AC10" s="500">
        <f t="shared" si="5"/>
        <v>1</v>
      </c>
      <c r="AD10" s="649"/>
      <c r="AE10" s="500">
        <v>3</v>
      </c>
      <c r="AF10" s="420">
        <v>3223.5616438356169</v>
      </c>
      <c r="AG10" s="420">
        <v>1074.5205479452056</v>
      </c>
      <c r="AH10" s="500">
        <f t="shared" si="6"/>
        <v>4</v>
      </c>
      <c r="AI10" s="649"/>
      <c r="AJ10" s="500">
        <v>3</v>
      </c>
      <c r="AK10" s="420">
        <v>3211.666666666667</v>
      </c>
      <c r="AL10" s="420">
        <v>1070.5555555555557</v>
      </c>
      <c r="AM10" s="500">
        <f t="shared" si="7"/>
        <v>8</v>
      </c>
      <c r="AN10" s="649"/>
      <c r="AO10" s="500">
        <v>3</v>
      </c>
      <c r="AP10" s="420">
        <v>3194.83870967742</v>
      </c>
      <c r="AQ10" s="420">
        <v>1064.9462365591401</v>
      </c>
      <c r="AR10" s="500">
        <f t="shared" si="8"/>
        <v>2</v>
      </c>
      <c r="AS10" s="649"/>
      <c r="AT10" s="500">
        <v>3</v>
      </c>
      <c r="AU10" s="420">
        <v>3183.8709677419356</v>
      </c>
      <c r="AV10" s="420">
        <v>1061.2903225806451</v>
      </c>
      <c r="AW10" s="500">
        <f t="shared" si="9"/>
        <v>5</v>
      </c>
      <c r="AX10" s="649"/>
      <c r="AZ10" s="406" t="e">
        <f t="shared" si="10"/>
        <v>#N/A</v>
      </c>
      <c r="BA10" s="649"/>
    </row>
    <row r="11" spans="1:53" ht="14.25">
      <c r="A11" s="81"/>
      <c r="B11" s="635"/>
      <c r="C11" s="413">
        <v>5</v>
      </c>
      <c r="D11" s="500" t="s">
        <v>590</v>
      </c>
      <c r="E11" s="500">
        <v>4</v>
      </c>
      <c r="F11" s="500">
        <v>3200</v>
      </c>
      <c r="G11" s="420">
        <v>800</v>
      </c>
      <c r="H11" s="637"/>
      <c r="I11" s="417">
        <f t="shared" si="0"/>
        <v>4</v>
      </c>
      <c r="J11" s="417">
        <f t="shared" si="1"/>
        <v>3210.3507599941577</v>
      </c>
      <c r="K11" s="199">
        <f t="shared" si="2"/>
        <v>802.58768999853942</v>
      </c>
      <c r="L11" s="609"/>
      <c r="M11" s="417">
        <f>RANK(K11, K$7:$K$36)</f>
        <v>13</v>
      </c>
      <c r="N11" s="627"/>
      <c r="O11" s="627"/>
      <c r="P11" s="500">
        <v>4</v>
      </c>
      <c r="Q11" s="420">
        <v>3175.8620689655113</v>
      </c>
      <c r="R11" s="420">
        <v>793.96551724137782</v>
      </c>
      <c r="S11" s="500">
        <f t="shared" si="3"/>
        <v>15</v>
      </c>
      <c r="T11" s="649"/>
      <c r="U11" s="500">
        <v>4</v>
      </c>
      <c r="V11" s="420">
        <v>3199.2857142857165</v>
      </c>
      <c r="W11" s="420">
        <v>799.82142857142912</v>
      </c>
      <c r="X11" s="500">
        <f t="shared" si="4"/>
        <v>13</v>
      </c>
      <c r="Y11" s="649"/>
      <c r="Z11" s="500">
        <v>4</v>
      </c>
      <c r="AA11" s="420">
        <v>3195.555555555567</v>
      </c>
      <c r="AB11" s="420">
        <v>798.88888888889176</v>
      </c>
      <c r="AC11" s="500">
        <f t="shared" si="5"/>
        <v>13</v>
      </c>
      <c r="AD11" s="649"/>
      <c r="AE11" s="500">
        <v>4</v>
      </c>
      <c r="AF11" s="420">
        <v>3326.0869565217508</v>
      </c>
      <c r="AG11" s="420">
        <v>831.52173913043771</v>
      </c>
      <c r="AH11" s="500">
        <f t="shared" si="6"/>
        <v>13</v>
      </c>
      <c r="AI11" s="649"/>
      <c r="AJ11" s="500">
        <v>4</v>
      </c>
      <c r="AK11" s="420">
        <v>3354.2857142857129</v>
      </c>
      <c r="AL11" s="420">
        <v>838.57142857142821</v>
      </c>
      <c r="AM11" s="500">
        <f t="shared" si="7"/>
        <v>16</v>
      </c>
      <c r="AN11" s="649"/>
      <c r="AO11" s="500">
        <v>4</v>
      </c>
      <c r="AP11" s="420">
        <v>3120.0000000000023</v>
      </c>
      <c r="AQ11" s="420">
        <v>780.00000000000057</v>
      </c>
      <c r="AR11" s="500">
        <f t="shared" si="8"/>
        <v>15</v>
      </c>
      <c r="AS11" s="649"/>
      <c r="AT11" s="500">
        <v>4</v>
      </c>
      <c r="AU11" s="420">
        <v>3101.3793103448388</v>
      </c>
      <c r="AV11" s="420">
        <v>775.3448275862097</v>
      </c>
      <c r="AW11" s="500">
        <f t="shared" si="9"/>
        <v>16</v>
      </c>
      <c r="AX11" s="649"/>
      <c r="AZ11" s="406" t="e">
        <f t="shared" si="10"/>
        <v>#N/A</v>
      </c>
      <c r="BA11" s="649"/>
    </row>
    <row r="12" spans="1:53" ht="14.25">
      <c r="A12" s="81"/>
      <c r="B12" s="635"/>
      <c r="C12" s="413">
        <v>6</v>
      </c>
      <c r="D12" s="500" t="s">
        <v>591</v>
      </c>
      <c r="E12" s="500">
        <v>4</v>
      </c>
      <c r="F12" s="500">
        <v>3200</v>
      </c>
      <c r="G12" s="420">
        <v>800</v>
      </c>
      <c r="H12" s="637"/>
      <c r="I12" s="417">
        <f t="shared" si="0"/>
        <v>4</v>
      </c>
      <c r="J12" s="417">
        <f t="shared" si="1"/>
        <v>3150.3131868131813</v>
      </c>
      <c r="K12" s="199">
        <f t="shared" si="2"/>
        <v>787.57829670329534</v>
      </c>
      <c r="L12" s="609"/>
      <c r="M12" s="417">
        <f>RANK(K12, K$7:$K$36)</f>
        <v>15</v>
      </c>
      <c r="N12" s="627"/>
      <c r="O12" s="627"/>
      <c r="P12" s="500">
        <v>4</v>
      </c>
      <c r="Q12" s="420">
        <v>3187.4999999999795</v>
      </c>
      <c r="R12" s="420">
        <v>796.87499999999488</v>
      </c>
      <c r="S12" s="500">
        <f t="shared" si="3"/>
        <v>14</v>
      </c>
      <c r="T12" s="649"/>
      <c r="U12" s="500">
        <v>4</v>
      </c>
      <c r="V12" s="420">
        <v>3104.99999999998</v>
      </c>
      <c r="W12" s="420">
        <v>776.249999999995</v>
      </c>
      <c r="X12" s="500">
        <f t="shared" si="4"/>
        <v>15</v>
      </c>
      <c r="Y12" s="649"/>
      <c r="Z12" s="500">
        <v>4</v>
      </c>
      <c r="AA12" s="420">
        <v>3063.9999999999945</v>
      </c>
      <c r="AB12" s="420">
        <v>765.99999999999864</v>
      </c>
      <c r="AC12" s="500">
        <f t="shared" si="5"/>
        <v>17</v>
      </c>
      <c r="AD12" s="649"/>
      <c r="AE12" s="500">
        <v>4</v>
      </c>
      <c r="AF12" s="420">
        <v>3027.6923076923181</v>
      </c>
      <c r="AG12" s="420">
        <v>756.92307692307952</v>
      </c>
      <c r="AH12" s="500">
        <f t="shared" si="6"/>
        <v>19</v>
      </c>
      <c r="AI12" s="649"/>
      <c r="AJ12" s="500">
        <v>4</v>
      </c>
      <c r="AK12" s="420">
        <v>3360.0000000000118</v>
      </c>
      <c r="AL12" s="420">
        <v>840.00000000000296</v>
      </c>
      <c r="AM12" s="500">
        <f t="shared" si="7"/>
        <v>14</v>
      </c>
      <c r="AN12" s="649"/>
      <c r="AO12" s="500">
        <v>4</v>
      </c>
      <c r="AP12" s="420">
        <v>3155.9999999999945</v>
      </c>
      <c r="AQ12" s="420">
        <v>788.99999999999864</v>
      </c>
      <c r="AR12" s="500">
        <f t="shared" si="8"/>
        <v>14</v>
      </c>
      <c r="AS12" s="649"/>
      <c r="AT12" s="500">
        <v>4</v>
      </c>
      <c r="AU12" s="420">
        <v>3151.9999999999945</v>
      </c>
      <c r="AV12" s="420">
        <v>787.99999999999864</v>
      </c>
      <c r="AW12" s="500">
        <f t="shared" si="9"/>
        <v>14</v>
      </c>
      <c r="AX12" s="649"/>
      <c r="AZ12" s="406" t="e">
        <f t="shared" si="10"/>
        <v>#N/A</v>
      </c>
      <c r="BA12" s="649"/>
    </row>
    <row r="13" spans="1:53" ht="14.25">
      <c r="A13" s="81"/>
      <c r="B13" s="635"/>
      <c r="C13" s="413">
        <v>7</v>
      </c>
      <c r="D13" s="500" t="s">
        <v>340</v>
      </c>
      <c r="E13" s="500">
        <v>4</v>
      </c>
      <c r="F13" s="500">
        <v>2800</v>
      </c>
      <c r="G13" s="420">
        <v>700</v>
      </c>
      <c r="H13" s="637"/>
      <c r="I13" s="417">
        <f t="shared" si="0"/>
        <v>4</v>
      </c>
      <c r="J13" s="417">
        <f t="shared" si="1"/>
        <v>3145.6326530612264</v>
      </c>
      <c r="K13" s="199">
        <f t="shared" si="2"/>
        <v>786.4081632653066</v>
      </c>
      <c r="L13" s="609"/>
      <c r="M13" s="417">
        <f>RANK(K13, K$7:$K$36)</f>
        <v>16</v>
      </c>
      <c r="N13" s="627"/>
      <c r="O13" s="627"/>
      <c r="P13" s="500">
        <v>4</v>
      </c>
      <c r="Q13" s="420">
        <v>3092.0000000000027</v>
      </c>
      <c r="R13" s="420">
        <v>773.00000000000068</v>
      </c>
      <c r="S13" s="500">
        <f t="shared" si="3"/>
        <v>17</v>
      </c>
      <c r="T13" s="649"/>
      <c r="U13" s="500">
        <v>4</v>
      </c>
      <c r="V13" s="420">
        <v>3068.0000000000027</v>
      </c>
      <c r="W13" s="420">
        <v>767.00000000000068</v>
      </c>
      <c r="X13" s="500">
        <f t="shared" si="4"/>
        <v>16</v>
      </c>
      <c r="Y13" s="649"/>
      <c r="Z13" s="500">
        <v>4</v>
      </c>
      <c r="AA13" s="420">
        <v>2992.0000000000032</v>
      </c>
      <c r="AB13" s="420">
        <v>748.0000000000008</v>
      </c>
      <c r="AC13" s="500">
        <f t="shared" si="5"/>
        <v>19</v>
      </c>
      <c r="AD13" s="649"/>
      <c r="AE13" s="500">
        <v>4</v>
      </c>
      <c r="AF13" s="420">
        <v>3160.0000000000009</v>
      </c>
      <c r="AG13" s="420">
        <v>790.00000000000023</v>
      </c>
      <c r="AH13" s="500">
        <f t="shared" si="6"/>
        <v>15</v>
      </c>
      <c r="AI13" s="649"/>
      <c r="AJ13" s="500">
        <v>4</v>
      </c>
      <c r="AK13" s="420">
        <v>3485.9999999999986</v>
      </c>
      <c r="AL13" s="420">
        <v>871.49999999999966</v>
      </c>
      <c r="AM13" s="500">
        <f t="shared" si="7"/>
        <v>13</v>
      </c>
      <c r="AN13" s="649"/>
      <c r="AO13" s="500">
        <v>4</v>
      </c>
      <c r="AP13" s="420">
        <v>3080.0000000000032</v>
      </c>
      <c r="AQ13" s="420">
        <v>770.0000000000008</v>
      </c>
      <c r="AR13" s="500">
        <f t="shared" si="8"/>
        <v>17</v>
      </c>
      <c r="AS13" s="649"/>
      <c r="AT13" s="500">
        <v>4</v>
      </c>
      <c r="AU13" s="420">
        <v>3141.4285714285738</v>
      </c>
      <c r="AV13" s="420">
        <v>785.35714285714346</v>
      </c>
      <c r="AW13" s="500">
        <f t="shared" si="9"/>
        <v>15</v>
      </c>
      <c r="AX13" s="649"/>
      <c r="AZ13" s="406" t="e">
        <f t="shared" si="10"/>
        <v>#N/A</v>
      </c>
      <c r="BA13" s="649"/>
    </row>
    <row r="14" spans="1:53" ht="14.25">
      <c r="A14" s="81"/>
      <c r="B14" s="635"/>
      <c r="C14" s="413">
        <v>8</v>
      </c>
      <c r="D14" s="500" t="s">
        <v>341</v>
      </c>
      <c r="E14" s="500">
        <v>3</v>
      </c>
      <c r="F14" s="500">
        <v>3200</v>
      </c>
      <c r="G14" s="420">
        <v>1066.6666666666667</v>
      </c>
      <c r="H14" s="637"/>
      <c r="I14" s="417">
        <f t="shared" si="0"/>
        <v>3</v>
      </c>
      <c r="J14" s="417">
        <f t="shared" si="1"/>
        <v>3158.0229134664646</v>
      </c>
      <c r="K14" s="199">
        <f t="shared" si="2"/>
        <v>1052.6743044888215</v>
      </c>
      <c r="L14" s="609"/>
      <c r="M14" s="417">
        <f>RANK(K14, K$7:$K$36)</f>
        <v>9</v>
      </c>
      <c r="N14" s="627"/>
      <c r="O14" s="627"/>
      <c r="P14" s="500">
        <v>3</v>
      </c>
      <c r="Q14" s="420">
        <v>3106.4516129032286</v>
      </c>
      <c r="R14" s="420">
        <v>1035.4838709677429</v>
      </c>
      <c r="S14" s="500">
        <f t="shared" si="3"/>
        <v>9</v>
      </c>
      <c r="T14" s="649"/>
      <c r="U14" s="500">
        <v>3</v>
      </c>
      <c r="V14" s="420">
        <v>3108.7500000000036</v>
      </c>
      <c r="W14" s="420">
        <v>1036.2500000000011</v>
      </c>
      <c r="X14" s="500">
        <f t="shared" si="4"/>
        <v>10</v>
      </c>
      <c r="Y14" s="649"/>
      <c r="Z14" s="500">
        <v>3</v>
      </c>
      <c r="AA14" s="420">
        <v>3160.0000000000027</v>
      </c>
      <c r="AB14" s="420">
        <v>1053.3333333333342</v>
      </c>
      <c r="AC14" s="500">
        <f t="shared" si="5"/>
        <v>5</v>
      </c>
      <c r="AD14" s="649"/>
      <c r="AE14" s="500">
        <v>3</v>
      </c>
      <c r="AF14" s="420">
        <v>3095.555555555562</v>
      </c>
      <c r="AG14" s="420">
        <v>1031.851851851854</v>
      </c>
      <c r="AH14" s="500">
        <f t="shared" si="6"/>
        <v>9</v>
      </c>
      <c r="AI14" s="649"/>
      <c r="AJ14" s="500">
        <v>3</v>
      </c>
      <c r="AK14" s="420">
        <v>3302.499999999995</v>
      </c>
      <c r="AL14" s="420">
        <v>1100.8333333333317</v>
      </c>
      <c r="AM14" s="500">
        <f t="shared" si="7"/>
        <v>1</v>
      </c>
      <c r="AN14" s="649"/>
      <c r="AO14" s="500">
        <v>3</v>
      </c>
      <c r="AP14" s="420">
        <v>3178.0645161290354</v>
      </c>
      <c r="AQ14" s="420">
        <v>1059.3548387096785</v>
      </c>
      <c r="AR14" s="500">
        <f t="shared" si="8"/>
        <v>3</v>
      </c>
      <c r="AS14" s="649"/>
      <c r="AT14" s="500">
        <v>3</v>
      </c>
      <c r="AU14" s="420">
        <v>3154.8387096774222</v>
      </c>
      <c r="AV14" s="420">
        <v>1051.6129032258075</v>
      </c>
      <c r="AW14" s="500">
        <f t="shared" si="9"/>
        <v>7</v>
      </c>
      <c r="AX14" s="649"/>
      <c r="AZ14" s="406" t="e">
        <f t="shared" si="10"/>
        <v>#N/A</v>
      </c>
      <c r="BA14" s="649"/>
    </row>
    <row r="15" spans="1:53" ht="14.25">
      <c r="A15" s="81"/>
      <c r="B15" s="635"/>
      <c r="C15" s="413">
        <v>9</v>
      </c>
      <c r="D15" s="500" t="s">
        <v>342</v>
      </c>
      <c r="E15" s="500">
        <v>3</v>
      </c>
      <c r="F15" s="500">
        <v>2800</v>
      </c>
      <c r="G15" s="420">
        <v>933.33333333333337</v>
      </c>
      <c r="H15" s="637"/>
      <c r="I15" s="417">
        <f t="shared" si="0"/>
        <v>3</v>
      </c>
      <c r="J15" s="417">
        <f t="shared" si="1"/>
        <v>3170.4499077060286</v>
      </c>
      <c r="K15" s="199">
        <f t="shared" si="2"/>
        <v>1056.8166359020095</v>
      </c>
      <c r="L15" s="609"/>
      <c r="M15" s="417">
        <f>RANK(K15, K$7:$K$36)</f>
        <v>7</v>
      </c>
      <c r="N15" s="627"/>
      <c r="O15" s="627"/>
      <c r="P15" s="500">
        <v>3</v>
      </c>
      <c r="Q15" s="420">
        <v>3155.2941176470586</v>
      </c>
      <c r="R15" s="420">
        <v>1051.7647058823529</v>
      </c>
      <c r="S15" s="500">
        <f t="shared" si="3"/>
        <v>6</v>
      </c>
      <c r="T15" s="649"/>
      <c r="U15" s="500">
        <v>3</v>
      </c>
      <c r="V15" s="420">
        <v>3161.8181818181815</v>
      </c>
      <c r="W15" s="420">
        <v>1053.9393939393938</v>
      </c>
      <c r="X15" s="500">
        <f t="shared" si="4"/>
        <v>7</v>
      </c>
      <c r="Y15" s="649"/>
      <c r="Z15" s="500">
        <v>3</v>
      </c>
      <c r="AA15" s="420">
        <v>3155.6249999999991</v>
      </c>
      <c r="AB15" s="420">
        <v>1051.8749999999998</v>
      </c>
      <c r="AC15" s="500">
        <f t="shared" si="5"/>
        <v>6</v>
      </c>
      <c r="AD15" s="649"/>
      <c r="AE15" s="500">
        <v>3</v>
      </c>
      <c r="AF15" s="420">
        <v>3182.0689655172391</v>
      </c>
      <c r="AG15" s="420">
        <v>1060.689655172413</v>
      </c>
      <c r="AH15" s="500">
        <f t="shared" si="6"/>
        <v>7</v>
      </c>
      <c r="AI15" s="649"/>
      <c r="AJ15" s="500">
        <v>3</v>
      </c>
      <c r="AK15" s="420">
        <v>3248.2758620689638</v>
      </c>
      <c r="AL15" s="420">
        <v>1082.7586206896547</v>
      </c>
      <c r="AM15" s="500">
        <f t="shared" si="7"/>
        <v>5</v>
      </c>
      <c r="AN15" s="649"/>
      <c r="AO15" s="500">
        <v>3</v>
      </c>
      <c r="AP15" s="420">
        <v>3157.7142857142862</v>
      </c>
      <c r="AQ15" s="420">
        <v>1052.5714285714287</v>
      </c>
      <c r="AR15" s="500">
        <f t="shared" si="8"/>
        <v>7</v>
      </c>
      <c r="AS15" s="649"/>
      <c r="AT15" s="500">
        <v>3</v>
      </c>
      <c r="AU15" s="420">
        <v>3132.3529411764703</v>
      </c>
      <c r="AV15" s="420">
        <v>1044.1176470588234</v>
      </c>
      <c r="AW15" s="500">
        <f t="shared" si="9"/>
        <v>9</v>
      </c>
      <c r="AX15" s="649"/>
      <c r="AZ15" s="406" t="e">
        <f t="shared" si="10"/>
        <v>#N/A</v>
      </c>
      <c r="BA15" s="649"/>
    </row>
    <row r="16" spans="1:53" ht="14.25">
      <c r="A16" s="81"/>
      <c r="B16" s="635"/>
      <c r="C16" s="413">
        <v>10</v>
      </c>
      <c r="D16" s="500" t="s">
        <v>343</v>
      </c>
      <c r="E16" s="500">
        <v>4</v>
      </c>
      <c r="F16" s="500">
        <v>2800</v>
      </c>
      <c r="G16" s="420">
        <v>700</v>
      </c>
      <c r="H16" s="637"/>
      <c r="I16" s="417">
        <f t="shared" si="0"/>
        <v>4</v>
      </c>
      <c r="J16" s="417">
        <f t="shared" si="1"/>
        <v>3186.6554039689063</v>
      </c>
      <c r="K16" s="199">
        <f t="shared" si="2"/>
        <v>796.66385099222657</v>
      </c>
      <c r="L16" s="609"/>
      <c r="M16" s="417">
        <f>RANK(K16, K$7:$K$36)</f>
        <v>14</v>
      </c>
      <c r="N16" s="627"/>
      <c r="O16" s="627"/>
      <c r="P16" s="500">
        <v>4</v>
      </c>
      <c r="Q16" s="420">
        <v>3202.7586206896531</v>
      </c>
      <c r="R16" s="420">
        <v>800.68965517241327</v>
      </c>
      <c r="S16" s="500">
        <f t="shared" si="3"/>
        <v>13</v>
      </c>
      <c r="T16" s="649"/>
      <c r="U16" s="500">
        <v>4</v>
      </c>
      <c r="V16" s="420">
        <v>3176.9999999999986</v>
      </c>
      <c r="W16" s="420">
        <v>794.24999999999966</v>
      </c>
      <c r="X16" s="500">
        <f t="shared" si="4"/>
        <v>14</v>
      </c>
      <c r="Y16" s="649"/>
      <c r="Z16" s="500">
        <v>4</v>
      </c>
      <c r="AA16" s="420">
        <v>3161.7857142857165</v>
      </c>
      <c r="AB16" s="420">
        <v>790.44642857142912</v>
      </c>
      <c r="AC16" s="500">
        <f t="shared" si="5"/>
        <v>14</v>
      </c>
      <c r="AD16" s="649"/>
      <c r="AE16" s="500">
        <v>4</v>
      </c>
      <c r="AF16" s="420">
        <v>3235.0000000000064</v>
      </c>
      <c r="AG16" s="420">
        <v>808.75000000000159</v>
      </c>
      <c r="AH16" s="500">
        <f t="shared" si="6"/>
        <v>14</v>
      </c>
      <c r="AI16" s="649"/>
      <c r="AJ16" s="500">
        <v>4</v>
      </c>
      <c r="AK16" s="420">
        <v>3209.3877551020419</v>
      </c>
      <c r="AL16" s="420">
        <v>802.34693877551047</v>
      </c>
      <c r="AM16" s="500">
        <f t="shared" si="7"/>
        <v>17</v>
      </c>
      <c r="AN16" s="649"/>
      <c r="AO16" s="500">
        <v>4</v>
      </c>
      <c r="AP16" s="420">
        <v>3165.2459016393473</v>
      </c>
      <c r="AQ16" s="420">
        <v>791.31147540983682</v>
      </c>
      <c r="AR16" s="500">
        <f t="shared" si="8"/>
        <v>13</v>
      </c>
      <c r="AS16" s="649"/>
      <c r="AT16" s="500">
        <v>4</v>
      </c>
      <c r="AU16" s="420">
        <v>3155.4098360655767</v>
      </c>
      <c r="AV16" s="420">
        <v>788.85245901639416</v>
      </c>
      <c r="AW16" s="500">
        <f t="shared" si="9"/>
        <v>13</v>
      </c>
      <c r="AX16" s="649"/>
      <c r="AZ16" s="406" t="e">
        <f t="shared" si="10"/>
        <v>#N/A</v>
      </c>
      <c r="BA16" s="649"/>
    </row>
    <row r="17" spans="2:53">
      <c r="B17" s="635"/>
      <c r="C17" s="413">
        <v>11</v>
      </c>
      <c r="D17" s="500" t="s">
        <v>592</v>
      </c>
      <c r="E17" s="500">
        <v>4</v>
      </c>
      <c r="F17" s="500">
        <v>2800</v>
      </c>
      <c r="G17" s="420">
        <v>700</v>
      </c>
      <c r="H17" s="637"/>
      <c r="I17" s="417">
        <f t="shared" si="0"/>
        <v>4</v>
      </c>
      <c r="J17" s="417">
        <f t="shared" si="1"/>
        <v>2792.0610576574804</v>
      </c>
      <c r="K17" s="199">
        <f t="shared" si="2"/>
        <v>698.01526441437011</v>
      </c>
      <c r="L17" s="609"/>
      <c r="M17" s="417">
        <f>RANK(K17, K$7:$K$36)</f>
        <v>22</v>
      </c>
      <c r="N17" s="627"/>
      <c r="O17" s="627"/>
      <c r="P17" s="500">
        <v>4</v>
      </c>
      <c r="Q17" s="420">
        <v>2819.9999999999982</v>
      </c>
      <c r="R17" s="420">
        <v>704.99999999999955</v>
      </c>
      <c r="S17" s="500">
        <f t="shared" si="3"/>
        <v>22</v>
      </c>
      <c r="T17" s="649"/>
      <c r="U17" s="500">
        <v>4</v>
      </c>
      <c r="V17" s="420">
        <v>2773.2352941176468</v>
      </c>
      <c r="W17" s="420">
        <v>693.30882352941171</v>
      </c>
      <c r="X17" s="500">
        <f t="shared" si="4"/>
        <v>21</v>
      </c>
      <c r="Y17" s="649"/>
      <c r="Z17" s="500">
        <v>4</v>
      </c>
      <c r="AA17" s="420">
        <v>2793.6363636363621</v>
      </c>
      <c r="AB17" s="420">
        <v>698.40909090909054</v>
      </c>
      <c r="AC17" s="500">
        <f t="shared" si="5"/>
        <v>22</v>
      </c>
      <c r="AD17" s="649"/>
      <c r="AE17" s="500">
        <v>4</v>
      </c>
      <c r="AF17" s="420">
        <v>2762.0689655172418</v>
      </c>
      <c r="AG17" s="420">
        <v>690.51724137931046</v>
      </c>
      <c r="AH17" s="500">
        <f t="shared" si="6"/>
        <v>22</v>
      </c>
      <c r="AI17" s="649"/>
      <c r="AJ17" s="500">
        <v>4</v>
      </c>
      <c r="AK17" s="420">
        <v>2828.4210526315787</v>
      </c>
      <c r="AL17" s="420">
        <v>707.10526315789468</v>
      </c>
      <c r="AM17" s="500">
        <f t="shared" si="7"/>
        <v>22</v>
      </c>
      <c r="AN17" s="649"/>
      <c r="AO17" s="500">
        <v>4</v>
      </c>
      <c r="AP17" s="420">
        <v>2788.7323943661977</v>
      </c>
      <c r="AQ17" s="420">
        <v>697.18309859154942</v>
      </c>
      <c r="AR17" s="500">
        <f t="shared" si="8"/>
        <v>20</v>
      </c>
      <c r="AS17" s="649"/>
      <c r="AT17" s="500">
        <v>4</v>
      </c>
      <c r="AU17" s="420">
        <v>2778.3333333333339</v>
      </c>
      <c r="AV17" s="420">
        <v>694.58333333333348</v>
      </c>
      <c r="AW17" s="500">
        <f t="shared" si="9"/>
        <v>20</v>
      </c>
      <c r="AX17" s="649"/>
      <c r="AZ17" s="406" t="e">
        <f t="shared" si="10"/>
        <v>#N/A</v>
      </c>
      <c r="BA17" s="649"/>
    </row>
    <row r="18" spans="2:53">
      <c r="B18" s="635"/>
      <c r="C18" s="413">
        <v>12</v>
      </c>
      <c r="D18" s="500" t="s">
        <v>593</v>
      </c>
      <c r="E18" s="500">
        <v>4</v>
      </c>
      <c r="F18" s="500">
        <v>2800</v>
      </c>
      <c r="G18" s="420">
        <v>700</v>
      </c>
      <c r="H18" s="637"/>
      <c r="I18" s="417">
        <f t="shared" si="0"/>
        <v>4</v>
      </c>
      <c r="J18" s="417">
        <f t="shared" si="1"/>
        <v>2823.5142857142814</v>
      </c>
      <c r="K18" s="199">
        <f t="shared" si="2"/>
        <v>705.87857142857035</v>
      </c>
      <c r="L18" s="609"/>
      <c r="M18" s="417">
        <f>RANK(K18, K$7:$K$36)</f>
        <v>21</v>
      </c>
      <c r="N18" s="627"/>
      <c r="O18" s="627"/>
      <c r="P18" s="500">
        <v>4</v>
      </c>
      <c r="Q18" s="420">
        <v>2738.3999999999924</v>
      </c>
      <c r="R18" s="420">
        <v>684.59999999999809</v>
      </c>
      <c r="S18" s="500">
        <f t="shared" si="3"/>
        <v>23</v>
      </c>
      <c r="T18" s="649"/>
      <c r="U18" s="500">
        <v>4</v>
      </c>
      <c r="V18" s="420">
        <v>2594.4000000000092</v>
      </c>
      <c r="W18" s="420">
        <v>648.6000000000023</v>
      </c>
      <c r="X18" s="500">
        <f t="shared" si="4"/>
        <v>23</v>
      </c>
      <c r="Y18" s="649"/>
      <c r="Z18" s="500">
        <v>4</v>
      </c>
      <c r="AA18" s="420">
        <v>3158.9999999999859</v>
      </c>
      <c r="AB18" s="420">
        <v>789.74999999999648</v>
      </c>
      <c r="AC18" s="500">
        <f t="shared" si="5"/>
        <v>15</v>
      </c>
      <c r="AD18" s="649"/>
      <c r="AE18" s="500">
        <v>4</v>
      </c>
      <c r="AF18" s="420">
        <v>2846.9999999999873</v>
      </c>
      <c r="AG18" s="420">
        <v>711.74999999999682</v>
      </c>
      <c r="AH18" s="500">
        <f t="shared" si="6"/>
        <v>21</v>
      </c>
      <c r="AI18" s="649"/>
      <c r="AJ18" s="500">
        <v>4</v>
      </c>
      <c r="AK18" s="420">
        <v>3165.0000000000109</v>
      </c>
      <c r="AL18" s="420">
        <v>791.25000000000273</v>
      </c>
      <c r="AM18" s="500">
        <f t="shared" si="7"/>
        <v>18</v>
      </c>
      <c r="AN18" s="649"/>
      <c r="AO18" s="500">
        <v>4</v>
      </c>
      <c r="AP18" s="420">
        <v>2630.3999999999924</v>
      </c>
      <c r="AQ18" s="420">
        <v>657.59999999999809</v>
      </c>
      <c r="AR18" s="500">
        <f t="shared" si="8"/>
        <v>22</v>
      </c>
      <c r="AS18" s="649"/>
      <c r="AT18" s="500">
        <v>4</v>
      </c>
      <c r="AU18" s="420">
        <v>2630.3999999999924</v>
      </c>
      <c r="AV18" s="420">
        <v>657.59999999999809</v>
      </c>
      <c r="AW18" s="500">
        <f t="shared" si="9"/>
        <v>22</v>
      </c>
      <c r="AX18" s="649"/>
      <c r="AZ18" s="406" t="e">
        <f t="shared" si="10"/>
        <v>#N/A</v>
      </c>
      <c r="BA18" s="649"/>
    </row>
    <row r="19" spans="2:53">
      <c r="B19" s="635"/>
      <c r="C19" s="413">
        <v>13</v>
      </c>
      <c r="D19" s="500" t="s">
        <v>594</v>
      </c>
      <c r="E19" s="500">
        <v>3</v>
      </c>
      <c r="F19" s="500">
        <v>2800</v>
      </c>
      <c r="G19" s="420">
        <v>933.33333333333337</v>
      </c>
      <c r="H19" s="637"/>
      <c r="I19" s="417">
        <f t="shared" si="0"/>
        <v>3</v>
      </c>
      <c r="J19" s="417">
        <f t="shared" si="1"/>
        <v>3009.8693877550963</v>
      </c>
      <c r="K19" s="199">
        <f t="shared" si="2"/>
        <v>1003.2897959183655</v>
      </c>
      <c r="L19" s="609"/>
      <c r="M19" s="417">
        <f>RANK(K19, K$7:$K$36)</f>
        <v>10</v>
      </c>
      <c r="N19" s="627"/>
      <c r="O19" s="627"/>
      <c r="P19" s="500">
        <v>3</v>
      </c>
      <c r="Q19" s="420">
        <v>2834.3999999999919</v>
      </c>
      <c r="R19" s="420">
        <v>944.79999999999734</v>
      </c>
      <c r="S19" s="500">
        <f t="shared" si="3"/>
        <v>12</v>
      </c>
      <c r="T19" s="649"/>
      <c r="U19" s="500">
        <v>3</v>
      </c>
      <c r="V19" s="420">
        <v>3144</v>
      </c>
      <c r="W19" s="420">
        <v>1048</v>
      </c>
      <c r="X19" s="500">
        <f t="shared" si="4"/>
        <v>8</v>
      </c>
      <c r="Y19" s="649"/>
      <c r="Z19" s="500">
        <v>3</v>
      </c>
      <c r="AA19" s="420">
        <v>3129.5999999999913</v>
      </c>
      <c r="AB19" s="420">
        <v>1043.1999999999971</v>
      </c>
      <c r="AC19" s="500">
        <f t="shared" si="5"/>
        <v>8</v>
      </c>
      <c r="AD19" s="649"/>
      <c r="AE19" s="500">
        <v>3</v>
      </c>
      <c r="AF19" s="420">
        <v>3285.5999999999904</v>
      </c>
      <c r="AG19" s="420">
        <v>1095.1999999999969</v>
      </c>
      <c r="AH19" s="500">
        <f t="shared" si="6"/>
        <v>2</v>
      </c>
      <c r="AI19" s="649"/>
      <c r="AJ19" s="500">
        <v>3</v>
      </c>
      <c r="AK19" s="420">
        <v>2866.2857142857115</v>
      </c>
      <c r="AL19" s="420">
        <v>955.42857142857054</v>
      </c>
      <c r="AM19" s="500">
        <f t="shared" si="7"/>
        <v>11</v>
      </c>
      <c r="AN19" s="649"/>
      <c r="AO19" s="500">
        <v>3</v>
      </c>
      <c r="AP19" s="420">
        <v>2953.1999999999916</v>
      </c>
      <c r="AQ19" s="420">
        <v>984.39999999999725</v>
      </c>
      <c r="AR19" s="500">
        <f t="shared" si="8"/>
        <v>11</v>
      </c>
      <c r="AS19" s="649"/>
      <c r="AT19" s="500">
        <v>3</v>
      </c>
      <c r="AU19" s="420">
        <v>2855.9999999999973</v>
      </c>
      <c r="AV19" s="420">
        <v>951.99999999999909</v>
      </c>
      <c r="AW19" s="500">
        <f t="shared" si="9"/>
        <v>11</v>
      </c>
      <c r="AX19" s="649"/>
      <c r="AZ19" s="406" t="e">
        <f t="shared" si="10"/>
        <v>#N/A</v>
      </c>
      <c r="BA19" s="649"/>
    </row>
    <row r="20" spans="2:53">
      <c r="B20" s="635"/>
      <c r="C20" s="413">
        <v>14</v>
      </c>
      <c r="D20" s="500" t="s">
        <v>595</v>
      </c>
      <c r="E20" s="500">
        <v>4</v>
      </c>
      <c r="F20" s="500">
        <v>2200</v>
      </c>
      <c r="G20" s="420">
        <v>550</v>
      </c>
      <c r="H20" s="637"/>
      <c r="I20" s="417">
        <f t="shared" si="0"/>
        <v>3</v>
      </c>
      <c r="J20" s="417">
        <f t="shared" si="1"/>
        <v>2243.1292517006796</v>
      </c>
      <c r="K20" s="199">
        <f t="shared" si="2"/>
        <v>747.70975056689326</v>
      </c>
      <c r="L20" s="609"/>
      <c r="M20" s="417">
        <f>RANK(K20, K$7:$K$36)</f>
        <v>18</v>
      </c>
      <c r="N20" s="627"/>
      <c r="O20" s="627"/>
      <c r="P20" s="500">
        <v>3</v>
      </c>
      <c r="Q20" s="420">
        <v>2181.333333333333</v>
      </c>
      <c r="R20" s="420">
        <v>727.11111111111097</v>
      </c>
      <c r="S20" s="500">
        <f t="shared" si="3"/>
        <v>20</v>
      </c>
      <c r="T20" s="649"/>
      <c r="U20" s="500">
        <v>3</v>
      </c>
      <c r="V20" s="420">
        <v>2218.6666666666665</v>
      </c>
      <c r="W20" s="420">
        <v>739.55555555555554</v>
      </c>
      <c r="X20" s="500">
        <f t="shared" si="4"/>
        <v>19</v>
      </c>
      <c r="Y20" s="649"/>
      <c r="Z20" s="500">
        <v>3</v>
      </c>
      <c r="AA20" s="420">
        <v>2252.9999999999995</v>
      </c>
      <c r="AB20" s="420">
        <v>750.99999999999989</v>
      </c>
      <c r="AC20" s="500">
        <f t="shared" si="5"/>
        <v>18</v>
      </c>
      <c r="AD20" s="649"/>
      <c r="AE20" s="500">
        <v>3</v>
      </c>
      <c r="AF20" s="420">
        <v>2348.5714285714262</v>
      </c>
      <c r="AG20" s="420">
        <v>782.85714285714209</v>
      </c>
      <c r="AH20" s="500">
        <f t="shared" si="6"/>
        <v>17</v>
      </c>
      <c r="AI20" s="649"/>
      <c r="AJ20" s="500">
        <v>3</v>
      </c>
      <c r="AK20" s="420">
        <v>2222.9999999999995</v>
      </c>
      <c r="AL20" s="420">
        <v>740.99999999999989</v>
      </c>
      <c r="AM20" s="500">
        <f t="shared" si="7"/>
        <v>20</v>
      </c>
      <c r="AN20" s="649"/>
      <c r="AO20" s="500">
        <v>3</v>
      </c>
      <c r="AP20" s="420">
        <v>2262.6666666666665</v>
      </c>
      <c r="AQ20" s="420">
        <v>754.22222222222217</v>
      </c>
      <c r="AR20" s="500">
        <f t="shared" si="8"/>
        <v>18</v>
      </c>
      <c r="AS20" s="649"/>
      <c r="AT20" s="500">
        <v>3</v>
      </c>
      <c r="AU20" s="420">
        <v>2214.6666666666665</v>
      </c>
      <c r="AV20" s="420">
        <v>738.22222222222217</v>
      </c>
      <c r="AW20" s="500">
        <f t="shared" si="9"/>
        <v>18</v>
      </c>
      <c r="AX20" s="649"/>
      <c r="AZ20" s="406" t="e">
        <f t="shared" si="10"/>
        <v>#N/A</v>
      </c>
      <c r="BA20" s="649"/>
    </row>
    <row r="21" spans="2:53">
      <c r="B21" s="635"/>
      <c r="C21" s="413">
        <v>15</v>
      </c>
      <c r="D21" s="500" t="s">
        <v>646</v>
      </c>
      <c r="E21" s="500">
        <v>8</v>
      </c>
      <c r="F21" s="500">
        <v>1500</v>
      </c>
      <c r="G21" s="420">
        <v>187.5</v>
      </c>
      <c r="H21" s="637"/>
      <c r="I21" s="417">
        <f t="shared" si="0"/>
        <v>12</v>
      </c>
      <c r="J21" s="417">
        <f t="shared" si="1"/>
        <v>1450.1640052547075</v>
      </c>
      <c r="K21" s="199">
        <f t="shared" si="2"/>
        <v>120.84700043789226</v>
      </c>
      <c r="L21" s="609"/>
      <c r="M21" s="417">
        <f>RANK(K21, K$7:$K$36)</f>
        <v>24</v>
      </c>
      <c r="N21" s="627"/>
      <c r="O21" s="627"/>
      <c r="P21" s="500">
        <v>12</v>
      </c>
      <c r="Q21" s="420">
        <v>1495.5882352941157</v>
      </c>
      <c r="R21" s="420">
        <v>124.63235294117631</v>
      </c>
      <c r="S21" s="500">
        <f t="shared" si="3"/>
        <v>24</v>
      </c>
      <c r="T21" s="649"/>
      <c r="U21" s="500">
        <v>12</v>
      </c>
      <c r="V21" s="420">
        <v>1355.1999999999989</v>
      </c>
      <c r="W21" s="420">
        <v>112.93333333333324</v>
      </c>
      <c r="X21" s="500">
        <f t="shared" si="4"/>
        <v>24</v>
      </c>
      <c r="Y21" s="649"/>
      <c r="Z21" s="500">
        <v>12</v>
      </c>
      <c r="AA21" s="420">
        <v>1473.3333333333348</v>
      </c>
      <c r="AB21" s="420">
        <v>122.7777777777779</v>
      </c>
      <c r="AC21" s="500">
        <f t="shared" si="5"/>
        <v>24</v>
      </c>
      <c r="AD21" s="649"/>
      <c r="AE21" s="500">
        <v>12</v>
      </c>
      <c r="AF21" s="420">
        <v>1466.129032258066</v>
      </c>
      <c r="AG21" s="420">
        <v>122.17741935483883</v>
      </c>
      <c r="AH21" s="500">
        <f t="shared" si="6"/>
        <v>24</v>
      </c>
      <c r="AI21" s="649"/>
      <c r="AJ21" s="500">
        <v>12</v>
      </c>
      <c r="AK21" s="420">
        <v>1449.2307692307709</v>
      </c>
      <c r="AL21" s="420">
        <v>120.7692307692309</v>
      </c>
      <c r="AM21" s="500">
        <f t="shared" si="7"/>
        <v>23</v>
      </c>
      <c r="AN21" s="649"/>
      <c r="AO21" s="500">
        <v>12</v>
      </c>
      <c r="AP21" s="420">
        <v>1461.6666666666656</v>
      </c>
      <c r="AQ21" s="420">
        <v>121.80555555555547</v>
      </c>
      <c r="AR21" s="500">
        <f t="shared" si="8"/>
        <v>23</v>
      </c>
      <c r="AS21" s="649"/>
      <c r="AT21" s="500">
        <v>12</v>
      </c>
      <c r="AU21" s="420">
        <v>1449.9999999999989</v>
      </c>
      <c r="AV21" s="420">
        <v>120.83333333333324</v>
      </c>
      <c r="AW21" s="500">
        <f t="shared" si="9"/>
        <v>23</v>
      </c>
      <c r="AX21" s="649"/>
      <c r="AZ21" s="406" t="e">
        <f t="shared" si="10"/>
        <v>#N/A</v>
      </c>
      <c r="BA21" s="649"/>
    </row>
    <row r="22" spans="2:53">
      <c r="B22" s="635"/>
      <c r="C22" s="413">
        <v>16</v>
      </c>
      <c r="D22" s="500" t="s">
        <v>596</v>
      </c>
      <c r="E22" s="500">
        <v>3</v>
      </c>
      <c r="F22" s="500">
        <v>2800</v>
      </c>
      <c r="G22" s="420">
        <v>933.33333333333337</v>
      </c>
      <c r="H22" s="637"/>
      <c r="I22" s="417">
        <f t="shared" si="0"/>
        <v>3</v>
      </c>
      <c r="J22" s="417">
        <f t="shared" si="1"/>
        <v>2788.8984385586341</v>
      </c>
      <c r="K22" s="199">
        <f t="shared" si="2"/>
        <v>929.63281285287792</v>
      </c>
      <c r="L22" s="609"/>
      <c r="M22" s="417">
        <f>RANK(K22, K$7:$K$36)</f>
        <v>12</v>
      </c>
      <c r="N22" s="627"/>
      <c r="O22" s="627"/>
      <c r="P22" s="500">
        <v>3</v>
      </c>
      <c r="Q22" s="420">
        <v>2849.2682926829257</v>
      </c>
      <c r="R22" s="420">
        <v>949.75609756097526</v>
      </c>
      <c r="S22" s="500">
        <f t="shared" si="3"/>
        <v>11</v>
      </c>
      <c r="T22" s="649"/>
      <c r="U22" s="500">
        <v>3</v>
      </c>
      <c r="V22" s="420">
        <v>2737.1428571428564</v>
      </c>
      <c r="W22" s="420">
        <v>912.38095238095218</v>
      </c>
      <c r="X22" s="500">
        <f t="shared" si="4"/>
        <v>12</v>
      </c>
      <c r="Y22" s="649"/>
      <c r="Z22" s="500">
        <v>3</v>
      </c>
      <c r="AA22" s="420">
        <v>2736.5853658536575</v>
      </c>
      <c r="AB22" s="420">
        <v>912.19512195121922</v>
      </c>
      <c r="AC22" s="500">
        <f t="shared" si="5"/>
        <v>12</v>
      </c>
      <c r="AD22" s="649"/>
      <c r="AE22" s="500">
        <v>3</v>
      </c>
      <c r="AF22" s="420">
        <v>2837.6470588235256</v>
      </c>
      <c r="AG22" s="420">
        <v>945.88235294117521</v>
      </c>
      <c r="AH22" s="500">
        <f t="shared" si="6"/>
        <v>11</v>
      </c>
      <c r="AI22" s="649"/>
      <c r="AJ22" s="500">
        <v>3</v>
      </c>
      <c r="AK22" s="420">
        <v>2812.9411764705915</v>
      </c>
      <c r="AL22" s="420">
        <v>937.64705882353053</v>
      </c>
      <c r="AM22" s="500">
        <f t="shared" si="7"/>
        <v>12</v>
      </c>
      <c r="AN22" s="649"/>
      <c r="AO22" s="500">
        <v>3</v>
      </c>
      <c r="AP22" s="420">
        <v>2754.4186046511622</v>
      </c>
      <c r="AQ22" s="420">
        <v>918.13953488372078</v>
      </c>
      <c r="AR22" s="500">
        <f t="shared" si="8"/>
        <v>12</v>
      </c>
      <c r="AS22" s="649"/>
      <c r="AT22" s="500">
        <v>3</v>
      </c>
      <c r="AU22" s="420">
        <v>2794.2857142857188</v>
      </c>
      <c r="AV22" s="420">
        <v>931.42857142857292</v>
      </c>
      <c r="AW22" s="500">
        <f t="shared" si="9"/>
        <v>12</v>
      </c>
      <c r="AX22" s="649"/>
      <c r="AZ22" s="406" t="e">
        <f t="shared" si="10"/>
        <v>#N/A</v>
      </c>
      <c r="BA22" s="649"/>
    </row>
    <row r="23" spans="2:53">
      <c r="B23" s="635"/>
      <c r="C23" s="413">
        <v>17</v>
      </c>
      <c r="D23" s="500" t="s">
        <v>597</v>
      </c>
      <c r="E23" s="500">
        <v>4</v>
      </c>
      <c r="F23" s="500">
        <v>2800</v>
      </c>
      <c r="G23" s="420">
        <v>700</v>
      </c>
      <c r="H23" s="637"/>
      <c r="I23" s="417">
        <f t="shared" si="0"/>
        <v>4</v>
      </c>
      <c r="J23" s="417">
        <f t="shared" si="1"/>
        <v>2791.3286467227367</v>
      </c>
      <c r="K23" s="199">
        <f t="shared" si="2"/>
        <v>697.83216168068418</v>
      </c>
      <c r="L23" s="609"/>
      <c r="M23" s="417">
        <f>RANK(K23, K$7:$K$36)</f>
        <v>23</v>
      </c>
      <c r="N23" s="627"/>
      <c r="O23" s="627"/>
      <c r="P23" s="500">
        <v>4</v>
      </c>
      <c r="Q23" s="420">
        <v>2891.5384615384633</v>
      </c>
      <c r="R23" s="420">
        <v>722.88461538461581</v>
      </c>
      <c r="S23" s="500">
        <f t="shared" si="3"/>
        <v>21</v>
      </c>
      <c r="T23" s="649"/>
      <c r="U23" s="500">
        <v>4</v>
      </c>
      <c r="V23" s="420">
        <v>2736.4285714285734</v>
      </c>
      <c r="W23" s="420">
        <v>684.10714285714334</v>
      </c>
      <c r="X23" s="500">
        <f t="shared" si="4"/>
        <v>22</v>
      </c>
      <c r="Y23" s="649"/>
      <c r="Z23" s="500">
        <v>4</v>
      </c>
      <c r="AA23" s="420">
        <v>2780.7692307692323</v>
      </c>
      <c r="AB23" s="420">
        <v>695.19230769230808</v>
      </c>
      <c r="AC23" s="500">
        <f t="shared" si="5"/>
        <v>23</v>
      </c>
      <c r="AD23" s="649"/>
      <c r="AE23" s="500">
        <v>4</v>
      </c>
      <c r="AF23" s="420">
        <v>2740.909090909091</v>
      </c>
      <c r="AG23" s="420">
        <v>685.22727272727275</v>
      </c>
      <c r="AH23" s="500">
        <f t="shared" si="6"/>
        <v>23</v>
      </c>
      <c r="AI23" s="649"/>
      <c r="AJ23" s="500">
        <v>4</v>
      </c>
      <c r="AK23" s="420">
        <v>2909.9999999999991</v>
      </c>
      <c r="AL23" s="420">
        <v>727.49999999999977</v>
      </c>
      <c r="AM23" s="500">
        <f t="shared" si="7"/>
        <v>21</v>
      </c>
      <c r="AN23" s="649"/>
      <c r="AO23" s="500">
        <v>4</v>
      </c>
      <c r="AP23" s="420">
        <v>2749.6551724137948</v>
      </c>
      <c r="AQ23" s="420">
        <v>687.41379310344871</v>
      </c>
      <c r="AR23" s="500">
        <f t="shared" si="8"/>
        <v>21</v>
      </c>
      <c r="AS23" s="649"/>
      <c r="AT23" s="500">
        <v>4</v>
      </c>
      <c r="AU23" s="420">
        <v>2730.0000000000023</v>
      </c>
      <c r="AV23" s="420">
        <v>682.50000000000057</v>
      </c>
      <c r="AW23" s="500">
        <f t="shared" si="9"/>
        <v>21</v>
      </c>
      <c r="AX23" s="649"/>
      <c r="AZ23" s="406" t="e">
        <f t="shared" si="10"/>
        <v>#N/A</v>
      </c>
      <c r="BA23" s="649"/>
    </row>
    <row r="24" spans="2:53">
      <c r="B24" s="635"/>
      <c r="C24" s="413">
        <v>18</v>
      </c>
      <c r="D24" s="500" t="s">
        <v>614</v>
      </c>
      <c r="E24" s="500">
        <v>12</v>
      </c>
      <c r="F24" s="500">
        <v>1500</v>
      </c>
      <c r="G24" s="420">
        <v>125</v>
      </c>
      <c r="H24" s="637"/>
      <c r="I24" s="417">
        <f t="shared" si="0"/>
        <v>12</v>
      </c>
      <c r="J24" s="417">
        <f t="shared" si="1"/>
        <v>1257.3277123152923</v>
      </c>
      <c r="K24" s="199">
        <f t="shared" si="2"/>
        <v>104.77730935960767</v>
      </c>
      <c r="L24" s="609"/>
      <c r="M24" s="417">
        <f>RANK(K24, K$7:$K$36)</f>
        <v>25</v>
      </c>
      <c r="N24" s="627"/>
      <c r="O24" s="627"/>
      <c r="P24" s="500">
        <v>12</v>
      </c>
      <c r="Q24" s="420">
        <v>1285.3846153846278</v>
      </c>
      <c r="R24" s="420">
        <v>107.11538461538565</v>
      </c>
      <c r="S24" s="500">
        <f t="shared" si="3"/>
        <v>25</v>
      </c>
      <c r="T24" s="649"/>
      <c r="U24" s="500">
        <v>12</v>
      </c>
      <c r="V24" s="420">
        <v>1278.4615384615431</v>
      </c>
      <c r="W24" s="420">
        <v>106.53846153846193</v>
      </c>
      <c r="X24" s="500">
        <f t="shared" si="4"/>
        <v>25</v>
      </c>
      <c r="Y24" s="649"/>
      <c r="Z24" s="500">
        <v>12</v>
      </c>
      <c r="AA24" s="420">
        <v>1254.7826086956479</v>
      </c>
      <c r="AB24" s="420">
        <v>104.56521739130399</v>
      </c>
      <c r="AC24" s="500">
        <f t="shared" si="5"/>
        <v>25</v>
      </c>
      <c r="AD24" s="649"/>
      <c r="AE24" s="500">
        <v>12</v>
      </c>
      <c r="AF24" s="420">
        <v>1209.0000000000043</v>
      </c>
      <c r="AG24" s="420">
        <v>100.75000000000036</v>
      </c>
      <c r="AH24" s="500">
        <f t="shared" si="6"/>
        <v>25</v>
      </c>
      <c r="AI24" s="649"/>
      <c r="AJ24" s="500">
        <v>12</v>
      </c>
      <c r="AK24" s="420">
        <v>1246.3636363636408</v>
      </c>
      <c r="AL24" s="420">
        <v>103.86363636363673</v>
      </c>
      <c r="AM24" s="500">
        <f t="shared" si="7"/>
        <v>24</v>
      </c>
      <c r="AN24" s="649"/>
      <c r="AO24" s="500">
        <v>12</v>
      </c>
      <c r="AP24" s="420">
        <v>1182.8571428571404</v>
      </c>
      <c r="AQ24" s="420">
        <v>98.57142857142837</v>
      </c>
      <c r="AR24" s="500">
        <f t="shared" si="8"/>
        <v>24</v>
      </c>
      <c r="AS24" s="649"/>
      <c r="AT24" s="500">
        <v>12</v>
      </c>
      <c r="AU24" s="420">
        <v>1344.4444444444414</v>
      </c>
      <c r="AV24" s="420">
        <v>112.03703703703678</v>
      </c>
      <c r="AW24" s="500">
        <f t="shared" si="9"/>
        <v>24</v>
      </c>
      <c r="AX24" s="649"/>
      <c r="AZ24" s="406" t="e">
        <f t="shared" si="10"/>
        <v>#N/A</v>
      </c>
      <c r="BA24" s="649"/>
    </row>
    <row r="25" spans="2:53">
      <c r="B25" s="635"/>
      <c r="C25" s="413">
        <v>19</v>
      </c>
      <c r="D25" s="500" t="s">
        <v>625</v>
      </c>
      <c r="E25" s="500">
        <v>3</v>
      </c>
      <c r="F25" s="500">
        <v>3000</v>
      </c>
      <c r="G25" s="420">
        <v>933.33333333333337</v>
      </c>
      <c r="H25" s="637"/>
      <c r="I25" s="417">
        <f t="shared" si="0"/>
        <v>3</v>
      </c>
      <c r="J25" s="417">
        <f t="shared" si="1"/>
        <v>3159.857142857129</v>
      </c>
      <c r="K25" s="199">
        <f t="shared" si="2"/>
        <v>1053.2857142857097</v>
      </c>
      <c r="L25" s="609"/>
      <c r="M25" s="417">
        <f>RANK(K25, K$7:$K$36)</f>
        <v>8</v>
      </c>
      <c r="N25" s="627"/>
      <c r="O25" s="627"/>
      <c r="P25" s="500">
        <v>3</v>
      </c>
      <c r="Q25" s="420">
        <v>3281.9999999999854</v>
      </c>
      <c r="R25" s="420">
        <v>1093.9999999999952</v>
      </c>
      <c r="S25" s="500">
        <f t="shared" si="3"/>
        <v>2</v>
      </c>
      <c r="T25" s="649"/>
      <c r="U25" s="500">
        <v>3</v>
      </c>
      <c r="V25" s="420">
        <v>3323.9999999999854</v>
      </c>
      <c r="W25" s="420">
        <v>1107.9999999999952</v>
      </c>
      <c r="X25" s="500">
        <f t="shared" si="4"/>
        <v>1</v>
      </c>
      <c r="Y25" s="649"/>
      <c r="Z25" s="500">
        <v>3</v>
      </c>
      <c r="AA25" s="420">
        <v>3080.9999999999864</v>
      </c>
      <c r="AB25" s="420">
        <v>1026.9999999999955</v>
      </c>
      <c r="AC25" s="500">
        <f t="shared" si="5"/>
        <v>10</v>
      </c>
      <c r="AD25" s="649"/>
      <c r="AE25" s="500">
        <v>3</v>
      </c>
      <c r="AF25" s="420">
        <v>2792.9999999999873</v>
      </c>
      <c r="AG25" s="420">
        <v>930.99999999999579</v>
      </c>
      <c r="AH25" s="500">
        <f t="shared" si="6"/>
        <v>12</v>
      </c>
      <c r="AI25" s="649"/>
      <c r="AJ25" s="500">
        <v>3</v>
      </c>
      <c r="AK25" s="420">
        <v>2933.9999999999873</v>
      </c>
      <c r="AL25" s="420">
        <v>977.99999999999579</v>
      </c>
      <c r="AM25" s="500">
        <f t="shared" si="7"/>
        <v>10</v>
      </c>
      <c r="AN25" s="649"/>
      <c r="AO25" s="500">
        <v>3</v>
      </c>
      <c r="AP25" s="420">
        <v>3254.9999999999854</v>
      </c>
      <c r="AQ25" s="420">
        <v>1084.9999999999952</v>
      </c>
      <c r="AR25" s="500">
        <f t="shared" si="8"/>
        <v>1</v>
      </c>
      <c r="AS25" s="649"/>
      <c r="AT25" s="500">
        <v>3</v>
      </c>
      <c r="AU25" s="420">
        <v>3449.9999999999845</v>
      </c>
      <c r="AV25" s="420">
        <v>1149.9999999999948</v>
      </c>
      <c r="AW25" s="500">
        <f t="shared" si="9"/>
        <v>1</v>
      </c>
      <c r="AX25" s="649"/>
      <c r="AZ25" s="406" t="e">
        <f t="shared" si="10"/>
        <v>#N/A</v>
      </c>
      <c r="BA25" s="649"/>
    </row>
    <row r="26" spans="2:53">
      <c r="B26" s="635"/>
      <c r="C26" s="413">
        <v>20</v>
      </c>
      <c r="D26" s="500" t="s">
        <v>629</v>
      </c>
      <c r="E26" s="500">
        <v>4</v>
      </c>
      <c r="F26" s="500">
        <v>3200</v>
      </c>
      <c r="G26" s="420">
        <v>800</v>
      </c>
      <c r="H26" s="637"/>
      <c r="I26" s="417">
        <f t="shared" si="0"/>
        <v>4</v>
      </c>
      <c r="J26" s="417">
        <f t="shared" si="1"/>
        <v>2971.0769230769256</v>
      </c>
      <c r="K26" s="199">
        <f t="shared" si="2"/>
        <v>742.7692307692314</v>
      </c>
      <c r="L26" s="609"/>
      <c r="M26" s="417">
        <f>RANK(K26, K$7:$K$36)</f>
        <v>20</v>
      </c>
      <c r="N26" s="627"/>
      <c r="O26" s="627"/>
      <c r="P26" s="500">
        <v>4</v>
      </c>
      <c r="Q26" s="420">
        <v>2975.1724137931055</v>
      </c>
      <c r="R26" s="420">
        <v>743.79310344827638</v>
      </c>
      <c r="S26" s="500">
        <f t="shared" si="3"/>
        <v>18</v>
      </c>
      <c r="T26" s="649"/>
      <c r="U26" s="500">
        <v>4</v>
      </c>
      <c r="V26" s="420">
        <v>2904.8275862068908</v>
      </c>
      <c r="W26" s="420">
        <v>726.20689655172271</v>
      </c>
      <c r="X26" s="500">
        <f t="shared" si="4"/>
        <v>20</v>
      </c>
      <c r="Y26" s="649"/>
      <c r="Z26" s="500">
        <v>4</v>
      </c>
      <c r="AA26" s="420">
        <v>2920.0000000000014</v>
      </c>
      <c r="AB26" s="420">
        <v>730.00000000000034</v>
      </c>
      <c r="AC26" s="500">
        <f t="shared" si="5"/>
        <v>21</v>
      </c>
      <c r="AD26" s="649"/>
      <c r="AE26" s="500">
        <v>4</v>
      </c>
      <c r="AF26" s="420">
        <v>3054.0000000000109</v>
      </c>
      <c r="AG26" s="420">
        <v>763.50000000000273</v>
      </c>
      <c r="AH26" s="500">
        <f t="shared" si="6"/>
        <v>18</v>
      </c>
      <c r="AI26" s="649"/>
      <c r="AJ26" s="500">
        <v>4</v>
      </c>
      <c r="AK26" s="420">
        <v>3072.0000000000109</v>
      </c>
      <c r="AL26" s="420">
        <v>768.00000000000273</v>
      </c>
      <c r="AM26" s="500">
        <f t="shared" si="7"/>
        <v>19</v>
      </c>
      <c r="AN26" s="649"/>
      <c r="AO26" s="500">
        <v>4</v>
      </c>
      <c r="AP26" s="420">
        <v>2919.9999999999932</v>
      </c>
      <c r="AQ26" s="420">
        <v>729.99999999999829</v>
      </c>
      <c r="AR26" s="500">
        <f t="shared" si="8"/>
        <v>19</v>
      </c>
      <c r="AS26" s="649"/>
      <c r="AT26" s="500">
        <v>4</v>
      </c>
      <c r="AU26" s="420">
        <v>2951.5384615384633</v>
      </c>
      <c r="AV26" s="420">
        <v>737.88461538461581</v>
      </c>
      <c r="AW26" s="500">
        <f t="shared" si="9"/>
        <v>19</v>
      </c>
      <c r="AX26" s="649"/>
      <c r="AZ26" s="406" t="e">
        <f t="shared" si="10"/>
        <v>#N/A</v>
      </c>
      <c r="BA26" s="649"/>
    </row>
    <row r="27" spans="2:53">
      <c r="B27" s="635"/>
      <c r="C27" s="413">
        <v>21</v>
      </c>
      <c r="D27" s="503" t="s">
        <v>630</v>
      </c>
      <c r="E27" s="500">
        <v>4</v>
      </c>
      <c r="F27" s="500">
        <v>3200</v>
      </c>
      <c r="G27" s="420">
        <v>800</v>
      </c>
      <c r="H27" s="637"/>
      <c r="I27" s="417">
        <f t="shared" si="0"/>
        <v>4</v>
      </c>
      <c r="J27" s="417">
        <f t="shared" si="1"/>
        <v>2978.5965216953582</v>
      </c>
      <c r="K27" s="199">
        <f t="shared" si="2"/>
        <v>744.64913042383955</v>
      </c>
      <c r="L27" s="609"/>
      <c r="M27" s="417">
        <f>RANK(K27, K$7:$K$36)</f>
        <v>19</v>
      </c>
      <c r="N27" s="627"/>
      <c r="O27" s="627"/>
      <c r="P27" s="500">
        <v>4</v>
      </c>
      <c r="Q27" s="420">
        <v>2970.666666666667</v>
      </c>
      <c r="R27" s="420">
        <v>742.66666666666674</v>
      </c>
      <c r="S27" s="500">
        <f t="shared" si="3"/>
        <v>19</v>
      </c>
      <c r="T27" s="649"/>
      <c r="U27" s="500">
        <v>4</v>
      </c>
      <c r="V27" s="420">
        <v>2968.6363636363581</v>
      </c>
      <c r="W27" s="420">
        <v>742.15909090908951</v>
      </c>
      <c r="X27" s="500">
        <f t="shared" si="4"/>
        <v>18</v>
      </c>
      <c r="Y27" s="649"/>
      <c r="Z27" s="500">
        <v>4</v>
      </c>
      <c r="AA27" s="420">
        <v>2966.5116279069762</v>
      </c>
      <c r="AB27" s="420">
        <v>741.62790697674404</v>
      </c>
      <c r="AC27" s="500">
        <f t="shared" si="5"/>
        <v>20</v>
      </c>
      <c r="AD27" s="649"/>
      <c r="AE27" s="500">
        <v>4</v>
      </c>
      <c r="AF27" s="420">
        <v>3008.5714285714321</v>
      </c>
      <c r="AG27" s="420">
        <v>752.14285714285802</v>
      </c>
      <c r="AH27" s="500">
        <f t="shared" si="6"/>
        <v>20</v>
      </c>
      <c r="AI27" s="649"/>
      <c r="AJ27" s="500" t="s">
        <v>623</v>
      </c>
      <c r="AK27" s="420" t="s">
        <v>623</v>
      </c>
      <c r="AL27" s="420" t="s">
        <v>623</v>
      </c>
      <c r="AM27" s="500" t="e">
        <f t="shared" si="7"/>
        <v>#VALUE!</v>
      </c>
      <c r="AN27" s="649"/>
      <c r="AO27" s="500" t="s">
        <v>623</v>
      </c>
      <c r="AP27" s="420" t="s">
        <v>623</v>
      </c>
      <c r="AQ27" s="420" t="s">
        <v>623</v>
      </c>
      <c r="AR27" s="500" t="e">
        <f t="shared" si="8"/>
        <v>#VALUE!</v>
      </c>
      <c r="AS27" s="649"/>
      <c r="AT27" s="500" t="s">
        <v>623</v>
      </c>
      <c r="AU27" s="420" t="s">
        <v>623</v>
      </c>
      <c r="AV27" s="420" t="s">
        <v>623</v>
      </c>
      <c r="AW27" s="500" t="e">
        <f t="shared" si="9"/>
        <v>#VALUE!</v>
      </c>
      <c r="AX27" s="649"/>
      <c r="AZ27" s="406" t="e">
        <f t="shared" si="10"/>
        <v>#N/A</v>
      </c>
      <c r="BA27" s="649"/>
    </row>
    <row r="28" spans="2:53">
      <c r="B28" s="635"/>
      <c r="C28" s="413">
        <v>22</v>
      </c>
      <c r="D28" s="500" t="s">
        <v>638</v>
      </c>
      <c r="E28" s="500">
        <v>3</v>
      </c>
      <c r="F28" s="500">
        <v>3200</v>
      </c>
      <c r="G28" s="420">
        <v>1066.6666666666667</v>
      </c>
      <c r="H28" s="637"/>
      <c r="I28" s="417">
        <f t="shared" si="0"/>
        <v>3</v>
      </c>
      <c r="J28" s="417">
        <f t="shared" si="1"/>
        <v>3179.6977498691745</v>
      </c>
      <c r="K28" s="199">
        <f t="shared" si="2"/>
        <v>1059.8992499563917</v>
      </c>
      <c r="L28" s="609"/>
      <c r="M28" s="417">
        <f>RANK(K28, K$7:$K$36)</f>
        <v>5</v>
      </c>
      <c r="N28" s="627"/>
      <c r="O28" s="627"/>
      <c r="P28" s="500">
        <v>3</v>
      </c>
      <c r="Q28" s="420">
        <v>3128.5714285714221</v>
      </c>
      <c r="R28" s="420">
        <v>1042.8571428571406</v>
      </c>
      <c r="S28" s="500">
        <f t="shared" si="3"/>
        <v>8</v>
      </c>
      <c r="T28" s="649"/>
      <c r="U28" s="500">
        <v>3</v>
      </c>
      <c r="V28" s="420">
        <v>3186.6666666666592</v>
      </c>
      <c r="W28" s="420">
        <v>1062.2222222222197</v>
      </c>
      <c r="X28" s="500">
        <f t="shared" si="4"/>
        <v>6</v>
      </c>
      <c r="Y28" s="649"/>
      <c r="Z28" s="500">
        <v>3</v>
      </c>
      <c r="AA28" s="420">
        <v>3136.1538461538476</v>
      </c>
      <c r="AB28" s="420">
        <v>1045.3846153846159</v>
      </c>
      <c r="AC28" s="500">
        <f t="shared" si="5"/>
        <v>7</v>
      </c>
      <c r="AD28" s="649"/>
      <c r="AE28" s="500">
        <v>3</v>
      </c>
      <c r="AF28" s="420">
        <v>3320.9999999999986</v>
      </c>
      <c r="AG28" s="420">
        <v>1106.9999999999995</v>
      </c>
      <c r="AH28" s="500">
        <f t="shared" si="6"/>
        <v>1</v>
      </c>
      <c r="AI28" s="649"/>
      <c r="AJ28" s="500">
        <v>3</v>
      </c>
      <c r="AK28" s="420">
        <v>3218.9999999999859</v>
      </c>
      <c r="AL28" s="420">
        <v>1072.9999999999952</v>
      </c>
      <c r="AM28" s="500">
        <f t="shared" si="7"/>
        <v>7</v>
      </c>
      <c r="AN28" s="649"/>
      <c r="AO28" s="500">
        <v>3</v>
      </c>
      <c r="AP28" s="420">
        <v>3117.6923076922994</v>
      </c>
      <c r="AQ28" s="420">
        <v>1039.2307692307666</v>
      </c>
      <c r="AR28" s="500">
        <f t="shared" si="8"/>
        <v>9</v>
      </c>
      <c r="AS28" s="649"/>
      <c r="AT28" s="500">
        <v>3</v>
      </c>
      <c r="AU28" s="420">
        <v>3148.8000000000111</v>
      </c>
      <c r="AV28" s="420">
        <v>1049.6000000000038</v>
      </c>
      <c r="AW28" s="500">
        <f t="shared" si="9"/>
        <v>8</v>
      </c>
      <c r="AX28" s="649"/>
      <c r="AZ28" s="406" t="e">
        <f t="shared" si="10"/>
        <v>#N/A</v>
      </c>
      <c r="BA28" s="649"/>
    </row>
    <row r="29" spans="2:53">
      <c r="B29" s="635"/>
      <c r="C29" s="413">
        <v>23</v>
      </c>
      <c r="D29" s="500" t="s">
        <v>714</v>
      </c>
      <c r="E29" s="500">
        <v>3</v>
      </c>
      <c r="F29" s="500">
        <v>3200</v>
      </c>
      <c r="G29" s="420">
        <v>1066.6666666666667</v>
      </c>
      <c r="H29" s="637"/>
      <c r="I29" s="417">
        <f t="shared" si="0"/>
        <v>3</v>
      </c>
      <c r="J29" s="417">
        <f t="shared" si="1"/>
        <v>3196.3525327732978</v>
      </c>
      <c r="K29" s="199">
        <f t="shared" si="2"/>
        <v>1065.450844257766</v>
      </c>
      <c r="L29" s="609"/>
      <c r="M29" s="417">
        <f>RANK(K29, K$7:$K$36)</f>
        <v>3</v>
      </c>
      <c r="N29" s="627"/>
      <c r="O29" s="627"/>
      <c r="P29" s="500">
        <v>3</v>
      </c>
      <c r="Q29" s="420">
        <v>3170.3225806451642</v>
      </c>
      <c r="R29" s="420">
        <v>1056.774193548388</v>
      </c>
      <c r="S29" s="500">
        <f t="shared" si="3"/>
        <v>4</v>
      </c>
      <c r="T29" s="649"/>
      <c r="U29" s="500">
        <v>3</v>
      </c>
      <c r="V29" s="420">
        <v>3199.3220338983078</v>
      </c>
      <c r="W29" s="420">
        <v>1066.4406779661026</v>
      </c>
      <c r="X29" s="500">
        <f t="shared" si="4"/>
        <v>2</v>
      </c>
      <c r="Y29" s="649"/>
      <c r="Z29" s="500">
        <v>3</v>
      </c>
      <c r="AA29" s="420">
        <v>3172.3636363636288</v>
      </c>
      <c r="AB29" s="420">
        <v>1057.454545454543</v>
      </c>
      <c r="AC29" s="500">
        <f t="shared" si="5"/>
        <v>2</v>
      </c>
      <c r="AD29" s="649"/>
      <c r="AE29" s="500">
        <v>3</v>
      </c>
      <c r="AF29" s="420">
        <v>3210.666666666667</v>
      </c>
      <c r="AG29" s="420">
        <v>1070.2222222222224</v>
      </c>
      <c r="AH29" s="500">
        <f t="shared" si="6"/>
        <v>6</v>
      </c>
      <c r="AI29" s="649"/>
      <c r="AJ29" s="500">
        <v>3</v>
      </c>
      <c r="AK29" s="420">
        <v>3274.8837209302319</v>
      </c>
      <c r="AL29" s="420">
        <v>1091.627906976744</v>
      </c>
      <c r="AM29" s="500">
        <f t="shared" si="7"/>
        <v>3</v>
      </c>
      <c r="AN29" s="649"/>
      <c r="AO29" s="500">
        <v>3</v>
      </c>
      <c r="AP29" s="420">
        <v>3166.9090909090883</v>
      </c>
      <c r="AQ29" s="420">
        <v>1055.6363636363628</v>
      </c>
      <c r="AR29" s="500">
        <f t="shared" si="8"/>
        <v>6</v>
      </c>
      <c r="AS29" s="649"/>
      <c r="AT29" s="500">
        <v>3</v>
      </c>
      <c r="AU29" s="420">
        <v>3179.9999999999964</v>
      </c>
      <c r="AV29" s="420">
        <v>1059.9999999999989</v>
      </c>
      <c r="AW29" s="500">
        <f t="shared" si="9"/>
        <v>6</v>
      </c>
      <c r="AX29" s="649"/>
      <c r="AZ29" s="406" t="e">
        <f t="shared" si="10"/>
        <v>#N/A</v>
      </c>
      <c r="BA29" s="649"/>
    </row>
    <row r="30" spans="2:53">
      <c r="B30" s="635"/>
      <c r="C30" s="413">
        <v>24</v>
      </c>
      <c r="D30" s="500" t="s">
        <v>719</v>
      </c>
      <c r="E30" s="500">
        <v>3</v>
      </c>
      <c r="F30" s="500">
        <v>3200</v>
      </c>
      <c r="G30" s="420">
        <v>1066.6666666666667</v>
      </c>
      <c r="H30" s="637"/>
      <c r="I30" s="417">
        <f t="shared" si="0"/>
        <v>3</v>
      </c>
      <c r="J30" s="417">
        <f t="shared" si="1"/>
        <v>3183.4605434331866</v>
      </c>
      <c r="K30" s="199">
        <f t="shared" si="2"/>
        <v>1061.153514477729</v>
      </c>
      <c r="L30" s="609"/>
      <c r="M30" s="417">
        <f>RANK(K30, K$7:$K$36)</f>
        <v>4</v>
      </c>
      <c r="N30" s="627"/>
      <c r="O30" s="627"/>
      <c r="P30" s="500">
        <v>3</v>
      </c>
      <c r="Q30" s="420">
        <v>3158.507462686563</v>
      </c>
      <c r="R30" s="420">
        <v>1052.835820895521</v>
      </c>
      <c r="S30" s="500">
        <f t="shared" si="3"/>
        <v>5</v>
      </c>
      <c r="T30" s="649"/>
      <c r="U30" s="500">
        <v>3</v>
      </c>
      <c r="V30" s="420">
        <v>3116.4179104477571</v>
      </c>
      <c r="W30" s="420">
        <v>1038.8059701492523</v>
      </c>
      <c r="X30" s="500">
        <f t="shared" si="4"/>
        <v>9</v>
      </c>
      <c r="Y30" s="649"/>
      <c r="Z30" s="500">
        <v>3</v>
      </c>
      <c r="AA30" s="420">
        <v>3169.5238095238046</v>
      </c>
      <c r="AB30" s="420">
        <v>1056.5079365079348</v>
      </c>
      <c r="AC30" s="500">
        <f t="shared" si="5"/>
        <v>3</v>
      </c>
      <c r="AD30" s="649"/>
      <c r="AE30" s="500">
        <v>3</v>
      </c>
      <c r="AF30" s="420">
        <v>3218.2758620689638</v>
      </c>
      <c r="AG30" s="420">
        <v>1072.7586206896547</v>
      </c>
      <c r="AH30" s="500">
        <f t="shared" si="6"/>
        <v>5</v>
      </c>
      <c r="AI30" s="649"/>
      <c r="AJ30" s="500">
        <v>3</v>
      </c>
      <c r="AK30" s="420">
        <v>3263.0769230769247</v>
      </c>
      <c r="AL30" s="420">
        <v>1087.6923076923083</v>
      </c>
      <c r="AM30" s="500">
        <f t="shared" si="7"/>
        <v>4</v>
      </c>
      <c r="AN30" s="649"/>
      <c r="AO30" s="500">
        <v>3</v>
      </c>
      <c r="AP30" s="420">
        <v>3172.6153846153879</v>
      </c>
      <c r="AQ30" s="420">
        <v>1057.5384615384626</v>
      </c>
      <c r="AR30" s="500">
        <f t="shared" si="8"/>
        <v>4</v>
      </c>
      <c r="AS30" s="649"/>
      <c r="AT30" s="500">
        <v>3</v>
      </c>
      <c r="AU30" s="420">
        <v>3185.8064516129061</v>
      </c>
      <c r="AV30" s="420">
        <v>1061.9354838709687</v>
      </c>
      <c r="AW30" s="500">
        <f t="shared" si="9"/>
        <v>4</v>
      </c>
      <c r="AX30" s="649"/>
      <c r="AZ30" s="406" t="e">
        <f t="shared" si="10"/>
        <v>#N/A</v>
      </c>
      <c r="BA30" s="649"/>
    </row>
    <row r="31" spans="2:53">
      <c r="B31" s="635"/>
      <c r="C31" s="413">
        <v>25</v>
      </c>
      <c r="D31" s="500" t="s">
        <v>733</v>
      </c>
      <c r="E31" s="500">
        <v>3</v>
      </c>
      <c r="F31" s="500">
        <v>3200</v>
      </c>
      <c r="G31" s="420">
        <v>1066.6666666666667</v>
      </c>
      <c r="H31" s="637"/>
      <c r="I31" s="417">
        <f t="shared" si="0"/>
        <v>3</v>
      </c>
      <c r="J31" s="417">
        <f t="shared" si="1"/>
        <v>3002.8582074165765</v>
      </c>
      <c r="K31" s="199">
        <f t="shared" si="2"/>
        <v>1000.9527358055257</v>
      </c>
      <c r="L31" s="609"/>
      <c r="M31" s="417">
        <f>RANK(K31, K$7:$K$36)</f>
        <v>11</v>
      </c>
      <c r="N31" s="627"/>
      <c r="O31" s="627"/>
      <c r="P31" s="500">
        <v>3</v>
      </c>
      <c r="Q31" s="420">
        <v>3040.4999999999991</v>
      </c>
      <c r="R31" s="420">
        <v>1013.4999999999997</v>
      </c>
      <c r="S31" s="500">
        <f t="shared" si="3"/>
        <v>10</v>
      </c>
      <c r="T31" s="649"/>
      <c r="U31" s="500">
        <v>3</v>
      </c>
      <c r="V31" s="420">
        <v>2984.4827586206879</v>
      </c>
      <c r="W31" s="420">
        <v>994.82758620689594</v>
      </c>
      <c r="X31" s="500">
        <f t="shared" si="4"/>
        <v>11</v>
      </c>
      <c r="Y31" s="649"/>
      <c r="Z31" s="500">
        <v>3</v>
      </c>
      <c r="AA31" s="420">
        <v>2972.222222222224</v>
      </c>
      <c r="AB31" s="420">
        <v>990.74074074074133</v>
      </c>
      <c r="AC31" s="500">
        <f t="shared" si="5"/>
        <v>11</v>
      </c>
      <c r="AD31" s="649"/>
      <c r="AE31" s="500">
        <v>3</v>
      </c>
      <c r="AF31" s="420">
        <v>3022.0588235294081</v>
      </c>
      <c r="AG31" s="420">
        <v>1007.3529411764694</v>
      </c>
      <c r="AH31" s="500">
        <f t="shared" si="6"/>
        <v>10</v>
      </c>
      <c r="AI31" s="649"/>
      <c r="AJ31" s="500">
        <v>3</v>
      </c>
      <c r="AK31" s="420">
        <v>3035.0769230769192</v>
      </c>
      <c r="AL31" s="420">
        <v>1011.6923076923064</v>
      </c>
      <c r="AM31" s="500">
        <f t="shared" si="7"/>
        <v>9</v>
      </c>
      <c r="AN31" s="649"/>
      <c r="AO31" s="500">
        <v>3</v>
      </c>
      <c r="AP31" s="420">
        <v>2997.7215189873432</v>
      </c>
      <c r="AQ31" s="420">
        <v>999.2405063291144</v>
      </c>
      <c r="AR31" s="500">
        <f t="shared" si="8"/>
        <v>10</v>
      </c>
      <c r="AS31" s="649"/>
      <c r="AT31" s="500">
        <v>3</v>
      </c>
      <c r="AU31" s="420">
        <v>2967.945205479456</v>
      </c>
      <c r="AV31" s="420">
        <v>989.31506849315201</v>
      </c>
      <c r="AW31" s="500">
        <f t="shared" si="9"/>
        <v>10</v>
      </c>
      <c r="AX31" s="649"/>
      <c r="AZ31" s="406" t="e">
        <f t="shared" si="10"/>
        <v>#N/A</v>
      </c>
      <c r="BA31" s="649"/>
    </row>
    <row r="32" spans="2:53">
      <c r="B32" s="635"/>
      <c r="C32" s="413">
        <v>26</v>
      </c>
      <c r="D32" s="500"/>
      <c r="E32" s="500"/>
      <c r="F32" s="500"/>
      <c r="G32" s="500"/>
      <c r="H32" s="637"/>
      <c r="I32" s="417" t="str">
        <f t="shared" si="0"/>
        <v>-</v>
      </c>
      <c r="J32" s="417" t="str">
        <f t="shared" si="1"/>
        <v>-</v>
      </c>
      <c r="K32" s="199" t="str">
        <f t="shared" si="2"/>
        <v>-</v>
      </c>
      <c r="L32" s="609"/>
      <c r="M32" s="417" t="e">
        <f>RANK(K32, K$7:$K$36)</f>
        <v>#VALUE!</v>
      </c>
      <c r="N32" s="627"/>
      <c r="O32" s="627"/>
      <c r="P32" s="500"/>
      <c r="Q32" s="420"/>
      <c r="R32" s="420"/>
      <c r="S32" s="500" t="e">
        <f t="shared" si="3"/>
        <v>#N/A</v>
      </c>
      <c r="T32" s="649"/>
      <c r="U32" s="500"/>
      <c r="V32" s="420"/>
      <c r="W32" s="420"/>
      <c r="X32" s="500" t="e">
        <f t="shared" si="4"/>
        <v>#N/A</v>
      </c>
      <c r="Y32" s="649"/>
      <c r="Z32" s="500"/>
      <c r="AA32" s="420"/>
      <c r="AB32" s="420"/>
      <c r="AC32" s="500" t="e">
        <f t="shared" si="5"/>
        <v>#N/A</v>
      </c>
      <c r="AD32" s="649"/>
      <c r="AE32" s="500"/>
      <c r="AF32" s="420"/>
      <c r="AG32" s="420"/>
      <c r="AH32" s="500" t="e">
        <f t="shared" si="6"/>
        <v>#N/A</v>
      </c>
      <c r="AI32" s="649"/>
      <c r="AJ32" s="500"/>
      <c r="AK32" s="420"/>
      <c r="AL32" s="420"/>
      <c r="AM32" s="500" t="e">
        <f t="shared" si="7"/>
        <v>#N/A</v>
      </c>
      <c r="AN32" s="649"/>
      <c r="AO32" s="500"/>
      <c r="AP32" s="420"/>
      <c r="AQ32" s="420"/>
      <c r="AR32" s="500" t="e">
        <f t="shared" si="8"/>
        <v>#N/A</v>
      </c>
      <c r="AS32" s="649"/>
      <c r="AT32" s="500"/>
      <c r="AU32" s="420"/>
      <c r="AV32" s="420"/>
      <c r="AW32" s="500" t="e">
        <f t="shared" si="9"/>
        <v>#N/A</v>
      </c>
      <c r="AX32" s="649"/>
      <c r="AZ32" s="406" t="e">
        <f t="shared" si="10"/>
        <v>#N/A</v>
      </c>
      <c r="BA32" s="649"/>
    </row>
    <row r="33" spans="2:53">
      <c r="B33" s="635"/>
      <c r="C33" s="413">
        <v>27</v>
      </c>
      <c r="D33" s="500"/>
      <c r="E33" s="500"/>
      <c r="F33" s="500"/>
      <c r="G33" s="500"/>
      <c r="H33" s="637"/>
      <c r="I33" s="417" t="str">
        <f t="shared" si="0"/>
        <v>-</v>
      </c>
      <c r="J33" s="417" t="str">
        <f t="shared" si="1"/>
        <v>-</v>
      </c>
      <c r="K33" s="199" t="str">
        <f t="shared" si="2"/>
        <v>-</v>
      </c>
      <c r="L33" s="609"/>
      <c r="M33" s="417" t="e">
        <f>RANK(K33, K$7:$K$36)</f>
        <v>#VALUE!</v>
      </c>
      <c r="N33" s="627"/>
      <c r="O33" s="627"/>
      <c r="P33" s="500"/>
      <c r="Q33" s="420"/>
      <c r="R33" s="420"/>
      <c r="S33" s="500" t="e">
        <f t="shared" si="3"/>
        <v>#N/A</v>
      </c>
      <c r="T33" s="649"/>
      <c r="U33" s="500"/>
      <c r="V33" s="420"/>
      <c r="W33" s="420"/>
      <c r="X33" s="500" t="e">
        <f t="shared" si="4"/>
        <v>#N/A</v>
      </c>
      <c r="Y33" s="649"/>
      <c r="Z33" s="500"/>
      <c r="AA33" s="420"/>
      <c r="AB33" s="420"/>
      <c r="AC33" s="500" t="e">
        <f t="shared" si="5"/>
        <v>#N/A</v>
      </c>
      <c r="AD33" s="649"/>
      <c r="AE33" s="500"/>
      <c r="AF33" s="420"/>
      <c r="AG33" s="420"/>
      <c r="AH33" s="500" t="e">
        <f t="shared" si="6"/>
        <v>#N/A</v>
      </c>
      <c r="AI33" s="649"/>
      <c r="AJ33" s="500"/>
      <c r="AK33" s="420"/>
      <c r="AL33" s="420"/>
      <c r="AM33" s="500" t="e">
        <f t="shared" si="7"/>
        <v>#N/A</v>
      </c>
      <c r="AN33" s="649"/>
      <c r="AO33" s="500"/>
      <c r="AP33" s="420"/>
      <c r="AQ33" s="420"/>
      <c r="AR33" s="500" t="e">
        <f t="shared" si="8"/>
        <v>#N/A</v>
      </c>
      <c r="AS33" s="649"/>
      <c r="AT33" s="500"/>
      <c r="AU33" s="420"/>
      <c r="AV33" s="420"/>
      <c r="AW33" s="500" t="e">
        <f t="shared" si="9"/>
        <v>#N/A</v>
      </c>
      <c r="AX33" s="649"/>
      <c r="AZ33" s="406" t="e">
        <f t="shared" si="10"/>
        <v>#N/A</v>
      </c>
      <c r="BA33" s="649"/>
    </row>
    <row r="34" spans="2:53">
      <c r="B34" s="635"/>
      <c r="C34" s="413">
        <v>28</v>
      </c>
      <c r="D34" s="500"/>
      <c r="E34" s="500"/>
      <c r="F34" s="500"/>
      <c r="G34" s="500"/>
      <c r="H34" s="637"/>
      <c r="I34" s="417" t="str">
        <f t="shared" si="0"/>
        <v>-</v>
      </c>
      <c r="J34" s="417" t="str">
        <f t="shared" si="1"/>
        <v>-</v>
      </c>
      <c r="K34" s="199" t="str">
        <f t="shared" si="2"/>
        <v>-</v>
      </c>
      <c r="L34" s="609"/>
      <c r="M34" s="417" t="e">
        <f>RANK(K34, K$7:$K$36)</f>
        <v>#VALUE!</v>
      </c>
      <c r="N34" s="627"/>
      <c r="O34" s="627"/>
      <c r="P34" s="500"/>
      <c r="Q34" s="420"/>
      <c r="R34" s="420"/>
      <c r="S34" s="500" t="e">
        <f t="shared" si="3"/>
        <v>#N/A</v>
      </c>
      <c r="T34" s="649"/>
      <c r="U34" s="500"/>
      <c r="V34" s="420"/>
      <c r="W34" s="420"/>
      <c r="X34" s="500" t="e">
        <f t="shared" si="4"/>
        <v>#N/A</v>
      </c>
      <c r="Y34" s="649"/>
      <c r="Z34" s="500"/>
      <c r="AA34" s="420"/>
      <c r="AB34" s="420"/>
      <c r="AC34" s="500" t="e">
        <f t="shared" si="5"/>
        <v>#N/A</v>
      </c>
      <c r="AD34" s="649"/>
      <c r="AE34" s="500"/>
      <c r="AF34" s="420"/>
      <c r="AG34" s="420"/>
      <c r="AH34" s="500" t="e">
        <f t="shared" si="6"/>
        <v>#N/A</v>
      </c>
      <c r="AI34" s="649"/>
      <c r="AJ34" s="500"/>
      <c r="AK34" s="420"/>
      <c r="AL34" s="420"/>
      <c r="AM34" s="500" t="e">
        <f t="shared" si="7"/>
        <v>#N/A</v>
      </c>
      <c r="AN34" s="649"/>
      <c r="AO34" s="500"/>
      <c r="AP34" s="420"/>
      <c r="AQ34" s="420"/>
      <c r="AR34" s="500" t="e">
        <f t="shared" si="8"/>
        <v>#N/A</v>
      </c>
      <c r="AS34" s="649"/>
      <c r="AT34" s="500"/>
      <c r="AU34" s="420"/>
      <c r="AV34" s="420"/>
      <c r="AW34" s="500" t="e">
        <f t="shared" si="9"/>
        <v>#N/A</v>
      </c>
      <c r="AX34" s="649"/>
      <c r="AZ34" s="406" t="e">
        <f t="shared" si="10"/>
        <v>#N/A</v>
      </c>
      <c r="BA34" s="649"/>
    </row>
    <row r="35" spans="2:53">
      <c r="B35" s="635"/>
      <c r="C35" s="413">
        <v>29</v>
      </c>
      <c r="D35" s="500"/>
      <c r="E35" s="500"/>
      <c r="F35" s="500"/>
      <c r="G35" s="500"/>
      <c r="H35" s="637"/>
      <c r="I35" s="417" t="str">
        <f t="shared" si="0"/>
        <v>-</v>
      </c>
      <c r="J35" s="417" t="str">
        <f t="shared" si="1"/>
        <v>-</v>
      </c>
      <c r="K35" s="199" t="str">
        <f t="shared" si="2"/>
        <v>-</v>
      </c>
      <c r="L35" s="609"/>
      <c r="M35" s="417" t="e">
        <f>RANK(K35, K$7:$K$36)</f>
        <v>#VALUE!</v>
      </c>
      <c r="N35" s="627"/>
      <c r="O35" s="627"/>
      <c r="P35" s="500"/>
      <c r="Q35" s="420"/>
      <c r="R35" s="420"/>
      <c r="S35" s="500" t="e">
        <f t="shared" si="3"/>
        <v>#N/A</v>
      </c>
      <c r="T35" s="649"/>
      <c r="U35" s="500"/>
      <c r="V35" s="420"/>
      <c r="W35" s="420"/>
      <c r="X35" s="500" t="e">
        <f t="shared" si="4"/>
        <v>#N/A</v>
      </c>
      <c r="Y35" s="649"/>
      <c r="Z35" s="500"/>
      <c r="AA35" s="420"/>
      <c r="AB35" s="420"/>
      <c r="AC35" s="500" t="e">
        <f t="shared" si="5"/>
        <v>#N/A</v>
      </c>
      <c r="AD35" s="649"/>
      <c r="AE35" s="500"/>
      <c r="AF35" s="420"/>
      <c r="AG35" s="420"/>
      <c r="AH35" s="500" t="e">
        <f t="shared" si="6"/>
        <v>#N/A</v>
      </c>
      <c r="AI35" s="649"/>
      <c r="AJ35" s="500"/>
      <c r="AK35" s="420"/>
      <c r="AL35" s="420"/>
      <c r="AM35" s="500" t="e">
        <f t="shared" si="7"/>
        <v>#N/A</v>
      </c>
      <c r="AN35" s="649"/>
      <c r="AO35" s="500"/>
      <c r="AP35" s="420"/>
      <c r="AQ35" s="420"/>
      <c r="AR35" s="500" t="e">
        <f t="shared" si="8"/>
        <v>#N/A</v>
      </c>
      <c r="AS35" s="649"/>
      <c r="AT35" s="500"/>
      <c r="AU35" s="420"/>
      <c r="AV35" s="420"/>
      <c r="AW35" s="500" t="e">
        <f t="shared" si="9"/>
        <v>#N/A</v>
      </c>
      <c r="AX35" s="649"/>
      <c r="AZ35" s="406" t="e">
        <f t="shared" si="10"/>
        <v>#N/A</v>
      </c>
      <c r="BA35" s="649"/>
    </row>
    <row r="36" spans="2:53">
      <c r="B36" s="635"/>
      <c r="C36" s="413">
        <v>30</v>
      </c>
      <c r="D36" s="500"/>
      <c r="E36" s="500"/>
      <c r="F36" s="500"/>
      <c r="G36" s="500"/>
      <c r="H36" s="638"/>
      <c r="I36" s="417" t="str">
        <f t="shared" si="0"/>
        <v>-</v>
      </c>
      <c r="J36" s="417" t="str">
        <f t="shared" si="1"/>
        <v>-</v>
      </c>
      <c r="K36" s="199" t="str">
        <f t="shared" si="2"/>
        <v>-</v>
      </c>
      <c r="L36" s="610"/>
      <c r="M36" s="417" t="e">
        <f>RANK(K36, K$7:$K$36)</f>
        <v>#VALUE!</v>
      </c>
      <c r="N36" s="627"/>
      <c r="O36" s="627"/>
      <c r="P36" s="500"/>
      <c r="Q36" s="420"/>
      <c r="R36" s="420"/>
      <c r="S36" s="500" t="e">
        <f t="shared" si="3"/>
        <v>#N/A</v>
      </c>
      <c r="T36" s="649"/>
      <c r="U36" s="500"/>
      <c r="V36" s="420"/>
      <c r="W36" s="420"/>
      <c r="X36" s="500" t="e">
        <f t="shared" si="4"/>
        <v>#N/A</v>
      </c>
      <c r="Y36" s="649"/>
      <c r="Z36" s="500"/>
      <c r="AA36" s="420"/>
      <c r="AB36" s="420"/>
      <c r="AC36" s="500" t="e">
        <f t="shared" si="5"/>
        <v>#N/A</v>
      </c>
      <c r="AD36" s="649"/>
      <c r="AE36" s="500"/>
      <c r="AF36" s="420"/>
      <c r="AG36" s="420"/>
      <c r="AH36" s="500" t="e">
        <f t="shared" si="6"/>
        <v>#N/A</v>
      </c>
      <c r="AI36" s="649"/>
      <c r="AJ36" s="500"/>
      <c r="AK36" s="420"/>
      <c r="AL36" s="420"/>
      <c r="AM36" s="500" t="e">
        <f t="shared" si="7"/>
        <v>#N/A</v>
      </c>
      <c r="AN36" s="649"/>
      <c r="AO36" s="500"/>
      <c r="AP36" s="420"/>
      <c r="AQ36" s="420"/>
      <c r="AR36" s="500" t="e">
        <f t="shared" si="8"/>
        <v>#N/A</v>
      </c>
      <c r="AS36" s="649"/>
      <c r="AT36" s="500"/>
      <c r="AU36" s="420"/>
      <c r="AV36" s="420"/>
      <c r="AW36" s="500" t="e">
        <f t="shared" si="9"/>
        <v>#N/A</v>
      </c>
      <c r="AX36" s="649"/>
      <c r="AZ36" s="406" t="e">
        <f t="shared" si="10"/>
        <v>#N/A</v>
      </c>
      <c r="BA36" s="649"/>
    </row>
    <row r="37" spans="2:53" ht="15.75">
      <c r="B37" s="653" t="s">
        <v>163</v>
      </c>
      <c r="C37" s="654"/>
      <c r="D37" s="654"/>
      <c r="E37" s="654"/>
      <c r="F37" s="654"/>
      <c r="G37" s="654"/>
      <c r="H37" s="654"/>
      <c r="I37" s="202"/>
      <c r="J37" s="202"/>
      <c r="K37" s="202"/>
      <c r="L37" s="202"/>
      <c r="M37" s="203"/>
      <c r="N37" s="628" t="s">
        <v>156</v>
      </c>
      <c r="O37" s="628" t="s">
        <v>155</v>
      </c>
      <c r="P37" s="634">
        <f>P2+7</f>
        <v>46175</v>
      </c>
      <c r="Q37" s="635"/>
      <c r="R37" s="635"/>
      <c r="S37" s="635"/>
      <c r="T37" s="635"/>
      <c r="U37" s="634">
        <f>P37+1</f>
        <v>46176</v>
      </c>
      <c r="V37" s="635"/>
      <c r="W37" s="635"/>
      <c r="X37" s="635"/>
      <c r="Y37" s="635"/>
      <c r="Z37" s="634">
        <f>U37+1</f>
        <v>46177</v>
      </c>
      <c r="AA37" s="635"/>
      <c r="AB37" s="635"/>
      <c r="AC37" s="635"/>
      <c r="AD37" s="635"/>
      <c r="AE37" s="634">
        <f>Z37+1</f>
        <v>46178</v>
      </c>
      <c r="AF37" s="635"/>
      <c r="AG37" s="635"/>
      <c r="AH37" s="635"/>
      <c r="AI37" s="635"/>
      <c r="AJ37" s="634">
        <f>AE37+1</f>
        <v>46179</v>
      </c>
      <c r="AK37" s="635"/>
      <c r="AL37" s="635"/>
      <c r="AM37" s="635"/>
      <c r="AN37" s="635"/>
      <c r="AO37" s="634">
        <f>AJ37+1</f>
        <v>46180</v>
      </c>
      <c r="AP37" s="635"/>
      <c r="AQ37" s="635"/>
      <c r="AR37" s="635"/>
      <c r="AS37" s="635"/>
      <c r="AT37" s="634">
        <f>AO37+1</f>
        <v>46181</v>
      </c>
      <c r="AU37" s="635"/>
      <c r="AV37" s="635"/>
      <c r="AW37" s="635"/>
      <c r="AX37" s="635"/>
    </row>
    <row r="38" spans="2:53" ht="15.75">
      <c r="B38" s="642"/>
      <c r="C38" s="642"/>
      <c r="D38" s="642"/>
      <c r="E38" s="642"/>
      <c r="F38" s="642"/>
      <c r="G38" s="642"/>
      <c r="H38" s="642"/>
      <c r="I38" s="204"/>
      <c r="J38" s="204"/>
      <c r="K38" s="204"/>
      <c r="L38" s="204"/>
      <c r="M38" s="205"/>
      <c r="N38" s="630"/>
      <c r="O38" s="630"/>
      <c r="P38" s="634" t="s">
        <v>318</v>
      </c>
      <c r="Q38" s="635"/>
      <c r="R38" s="635"/>
      <c r="S38" s="635"/>
      <c r="T38" s="635"/>
      <c r="U38" s="634" t="s">
        <v>319</v>
      </c>
      <c r="V38" s="635"/>
      <c r="W38" s="635"/>
      <c r="X38" s="635"/>
      <c r="Y38" s="635"/>
      <c r="Z38" s="634" t="s">
        <v>320</v>
      </c>
      <c r="AA38" s="635"/>
      <c r="AB38" s="635"/>
      <c r="AC38" s="635"/>
      <c r="AD38" s="635"/>
      <c r="AE38" s="634" t="s">
        <v>321</v>
      </c>
      <c r="AF38" s="635"/>
      <c r="AG38" s="635"/>
      <c r="AH38" s="635"/>
      <c r="AI38" s="635"/>
      <c r="AJ38" s="634" t="s">
        <v>322</v>
      </c>
      <c r="AK38" s="635"/>
      <c r="AL38" s="635"/>
      <c r="AM38" s="635"/>
      <c r="AN38" s="635"/>
      <c r="AO38" s="634" t="s">
        <v>323</v>
      </c>
      <c r="AP38" s="635"/>
      <c r="AQ38" s="635"/>
      <c r="AR38" s="635"/>
      <c r="AS38" s="635"/>
      <c r="AT38" s="634" t="s">
        <v>324</v>
      </c>
      <c r="AU38" s="635"/>
      <c r="AV38" s="635"/>
      <c r="AW38" s="635"/>
      <c r="AX38" s="635"/>
    </row>
    <row r="39" spans="2:53">
      <c r="B39" s="628" t="s">
        <v>441</v>
      </c>
      <c r="C39" s="643" t="s">
        <v>442</v>
      </c>
      <c r="D39" s="646"/>
      <c r="E39" s="624" t="s">
        <v>443</v>
      </c>
      <c r="F39" s="625"/>
      <c r="G39" s="626"/>
      <c r="H39" s="628" t="s">
        <v>371</v>
      </c>
      <c r="I39" s="615" t="s">
        <v>376</v>
      </c>
      <c r="J39" s="616"/>
      <c r="K39" s="617"/>
      <c r="L39" s="618" t="s">
        <v>371</v>
      </c>
      <c r="M39" s="618" t="s">
        <v>372</v>
      </c>
      <c r="N39" s="628"/>
      <c r="O39" s="628" t="s">
        <v>444</v>
      </c>
      <c r="P39" s="624" t="s">
        <v>445</v>
      </c>
      <c r="Q39" s="625"/>
      <c r="R39" s="625"/>
      <c r="S39" s="626"/>
      <c r="T39" s="628" t="s">
        <v>371</v>
      </c>
      <c r="U39" s="624" t="s">
        <v>373</v>
      </c>
      <c r="V39" s="625"/>
      <c r="W39" s="625"/>
      <c r="X39" s="626"/>
      <c r="Y39" s="628" t="s">
        <v>371</v>
      </c>
      <c r="Z39" s="624" t="s">
        <v>373</v>
      </c>
      <c r="AA39" s="625"/>
      <c r="AB39" s="625"/>
      <c r="AC39" s="626"/>
      <c r="AD39" s="628" t="s">
        <v>446</v>
      </c>
      <c r="AE39" s="624" t="s">
        <v>373</v>
      </c>
      <c r="AF39" s="625"/>
      <c r="AG39" s="625"/>
      <c r="AH39" s="626"/>
      <c r="AI39" s="628" t="s">
        <v>371</v>
      </c>
      <c r="AJ39" s="624" t="s">
        <v>373</v>
      </c>
      <c r="AK39" s="625"/>
      <c r="AL39" s="625"/>
      <c r="AM39" s="626"/>
      <c r="AN39" s="628" t="s">
        <v>446</v>
      </c>
      <c r="AO39" s="624" t="s">
        <v>445</v>
      </c>
      <c r="AP39" s="625"/>
      <c r="AQ39" s="625"/>
      <c r="AR39" s="626"/>
      <c r="AS39" s="628" t="s">
        <v>446</v>
      </c>
      <c r="AT39" s="624" t="s">
        <v>445</v>
      </c>
      <c r="AU39" s="625"/>
      <c r="AV39" s="625"/>
      <c r="AW39" s="626"/>
      <c r="AX39" s="628" t="s">
        <v>446</v>
      </c>
      <c r="BA39" s="628" t="s">
        <v>371</v>
      </c>
    </row>
    <row r="40" spans="2:53">
      <c r="B40" s="629"/>
      <c r="C40" s="644"/>
      <c r="D40" s="647"/>
      <c r="E40" s="624" t="s">
        <v>378</v>
      </c>
      <c r="F40" s="625"/>
      <c r="G40" s="626"/>
      <c r="H40" s="629"/>
      <c r="I40" s="615" t="s">
        <v>378</v>
      </c>
      <c r="J40" s="616"/>
      <c r="K40" s="617"/>
      <c r="L40" s="619"/>
      <c r="M40" s="619"/>
      <c r="N40" s="629"/>
      <c r="O40" s="629"/>
      <c r="P40" s="624" t="s">
        <v>379</v>
      </c>
      <c r="Q40" s="625"/>
      <c r="R40" s="625"/>
      <c r="S40" s="626"/>
      <c r="T40" s="629"/>
      <c r="U40" s="624" t="s">
        <v>447</v>
      </c>
      <c r="V40" s="625"/>
      <c r="W40" s="625"/>
      <c r="X40" s="626"/>
      <c r="Y40" s="629"/>
      <c r="Z40" s="624" t="s">
        <v>447</v>
      </c>
      <c r="AA40" s="625"/>
      <c r="AB40" s="625"/>
      <c r="AC40" s="626"/>
      <c r="AD40" s="629"/>
      <c r="AE40" s="624" t="s">
        <v>379</v>
      </c>
      <c r="AF40" s="625"/>
      <c r="AG40" s="625"/>
      <c r="AH40" s="626"/>
      <c r="AI40" s="629"/>
      <c r="AJ40" s="624" t="s">
        <v>379</v>
      </c>
      <c r="AK40" s="625"/>
      <c r="AL40" s="625"/>
      <c r="AM40" s="626"/>
      <c r="AN40" s="629"/>
      <c r="AO40" s="624" t="s">
        <v>379</v>
      </c>
      <c r="AP40" s="625"/>
      <c r="AQ40" s="625"/>
      <c r="AR40" s="626"/>
      <c r="AS40" s="629"/>
      <c r="AT40" s="624" t="s">
        <v>379</v>
      </c>
      <c r="AU40" s="625"/>
      <c r="AV40" s="625"/>
      <c r="AW40" s="626"/>
      <c r="AX40" s="629"/>
      <c r="BA40" s="629"/>
    </row>
    <row r="41" spans="2:53">
      <c r="B41" s="630"/>
      <c r="C41" s="645"/>
      <c r="D41" s="648"/>
      <c r="E41" s="300" t="s">
        <v>380</v>
      </c>
      <c r="F41" s="300" t="s">
        <v>381</v>
      </c>
      <c r="G41" s="300" t="s">
        <v>448</v>
      </c>
      <c r="H41" s="630"/>
      <c r="I41" s="299" t="s">
        <v>380</v>
      </c>
      <c r="J41" s="299" t="s">
        <v>381</v>
      </c>
      <c r="K41" s="299" t="s">
        <v>382</v>
      </c>
      <c r="L41" s="620"/>
      <c r="M41" s="620"/>
      <c r="N41" s="629"/>
      <c r="O41" s="629"/>
      <c r="P41" s="300" t="s">
        <v>380</v>
      </c>
      <c r="Q41" s="300" t="s">
        <v>449</v>
      </c>
      <c r="R41" s="300" t="s">
        <v>382</v>
      </c>
      <c r="S41" s="300" t="s">
        <v>372</v>
      </c>
      <c r="T41" s="630"/>
      <c r="U41" s="300" t="s">
        <v>380</v>
      </c>
      <c r="V41" s="300" t="s">
        <v>381</v>
      </c>
      <c r="W41" s="300" t="s">
        <v>382</v>
      </c>
      <c r="X41" s="300" t="s">
        <v>450</v>
      </c>
      <c r="Y41" s="630"/>
      <c r="Z41" s="300" t="s">
        <v>451</v>
      </c>
      <c r="AA41" s="300" t="s">
        <v>381</v>
      </c>
      <c r="AB41" s="300" t="s">
        <v>382</v>
      </c>
      <c r="AC41" s="300" t="s">
        <v>450</v>
      </c>
      <c r="AD41" s="630"/>
      <c r="AE41" s="300" t="s">
        <v>380</v>
      </c>
      <c r="AF41" s="300" t="s">
        <v>381</v>
      </c>
      <c r="AG41" s="300" t="s">
        <v>382</v>
      </c>
      <c r="AH41" s="300" t="s">
        <v>450</v>
      </c>
      <c r="AI41" s="630"/>
      <c r="AJ41" s="300" t="s">
        <v>451</v>
      </c>
      <c r="AK41" s="300" t="s">
        <v>381</v>
      </c>
      <c r="AL41" s="300" t="s">
        <v>382</v>
      </c>
      <c r="AM41" s="300" t="s">
        <v>372</v>
      </c>
      <c r="AN41" s="630"/>
      <c r="AO41" s="300" t="s">
        <v>451</v>
      </c>
      <c r="AP41" s="300" t="s">
        <v>381</v>
      </c>
      <c r="AQ41" s="300" t="s">
        <v>382</v>
      </c>
      <c r="AR41" s="300" t="s">
        <v>450</v>
      </c>
      <c r="AS41" s="630"/>
      <c r="AT41" s="300" t="s">
        <v>451</v>
      </c>
      <c r="AU41" s="300" t="s">
        <v>381</v>
      </c>
      <c r="AV41" s="300" t="s">
        <v>382</v>
      </c>
      <c r="AW41" s="300" t="s">
        <v>450</v>
      </c>
      <c r="AX41" s="630"/>
      <c r="AZ41" s="407" t="s">
        <v>372</v>
      </c>
      <c r="BA41" s="630"/>
    </row>
    <row r="42" spans="2:53">
      <c r="B42" s="650" t="s">
        <v>150</v>
      </c>
      <c r="C42" s="301">
        <v>1</v>
      </c>
      <c r="D42" s="387" t="s">
        <v>337</v>
      </c>
      <c r="E42" s="387">
        <v>3</v>
      </c>
      <c r="F42" s="387">
        <v>3200</v>
      </c>
      <c r="G42" s="181">
        <v>1066.6666666666667</v>
      </c>
      <c r="H42" s="636">
        <f>AVERAGE(G42:G71)</f>
        <v>826.21527777777794</v>
      </c>
      <c r="I42" s="395">
        <f>IFERROR(AVERAGE(P42,U42,Z42,AE42,AJ42,AO42,AT42),"-")</f>
        <v>3</v>
      </c>
      <c r="J42" s="395">
        <f>IFERROR(AVERAGE(Q42,V42,AA42,AF42,AK42,AP42,AU42),"-")</f>
        <v>3176.4206011041888</v>
      </c>
      <c r="K42" s="199">
        <f>IFERROR(AVERAGE(R42,W42,AB42,AG42,AL42,AQ42,AV42),"-")</f>
        <v>1058.8068670347295</v>
      </c>
      <c r="L42" s="608">
        <f>IFERROR(AVERAGE(K42:K71),"-")</f>
        <v>840.02597703985577</v>
      </c>
      <c r="M42" s="198">
        <f>RANK(K42, K$42:$K$71)</f>
        <v>4</v>
      </c>
      <c r="N42" s="629"/>
      <c r="O42" s="629"/>
      <c r="P42" s="550">
        <v>3</v>
      </c>
      <c r="Q42" s="420">
        <v>3185.0847457627146</v>
      </c>
      <c r="R42" s="420">
        <v>1061.6949152542381</v>
      </c>
      <c r="S42" s="550">
        <f t="shared" ref="S42:S71" si="11">RANK(R42, R$42:R$71)</f>
        <v>3</v>
      </c>
      <c r="T42" s="636">
        <f t="shared" ref="T42" si="12">AVERAGE(R42:R71)</f>
        <v>839.66582690310543</v>
      </c>
      <c r="U42" s="550">
        <v>3</v>
      </c>
      <c r="V42" s="420">
        <v>3188.2758620689679</v>
      </c>
      <c r="W42" s="420">
        <v>1062.758620689656</v>
      </c>
      <c r="X42" s="550">
        <f t="shared" ref="X42:X71" si="13">RANK(W42, W$42:W$71)</f>
        <v>4</v>
      </c>
      <c r="Y42" s="636">
        <f t="shared" ref="Y42" si="14">AVERAGE(W42:W71)</f>
        <v>835.81127133407051</v>
      </c>
      <c r="Z42" s="550">
        <v>3</v>
      </c>
      <c r="AA42" s="420">
        <v>3159.2727272727293</v>
      </c>
      <c r="AB42" s="420">
        <v>1053.0909090909097</v>
      </c>
      <c r="AC42" s="550">
        <f t="shared" ref="AC42:AC71" si="15">RANK(AB42, AB$42:AB$71)</f>
        <v>5</v>
      </c>
      <c r="AD42" s="636">
        <f t="shared" ref="AD42" si="16">AVERAGE(AB42:AB71)</f>
        <v>821.60940099645586</v>
      </c>
      <c r="AE42" s="550">
        <v>3</v>
      </c>
      <c r="AF42" s="420">
        <v>3151.8367346938735</v>
      </c>
      <c r="AG42" s="420">
        <v>1050.6122448979579</v>
      </c>
      <c r="AH42" s="550">
        <f t="shared" ref="AH42:AH71" si="17">RANK(AG42, AG$42:AG$71)</f>
        <v>3</v>
      </c>
      <c r="AI42" s="636">
        <f t="shared" ref="AI42" si="18">AVERAGE(AG42:AG71)</f>
        <v>836.55183017584125</v>
      </c>
      <c r="AJ42" s="550">
        <v>3</v>
      </c>
      <c r="AK42" s="420">
        <v>3228.7499999999955</v>
      </c>
      <c r="AL42" s="420">
        <v>1076.2499999999984</v>
      </c>
      <c r="AM42" s="550">
        <f t="shared" ref="AM42:AM71" si="19">RANK(AL42, AL$42:AL$71)</f>
        <v>4</v>
      </c>
      <c r="AN42" s="636">
        <f t="shared" ref="AN42" si="20">AVERAGE(AL42:AL71)</f>
        <v>858.6651029262631</v>
      </c>
      <c r="AO42" s="550">
        <v>3</v>
      </c>
      <c r="AP42" s="420">
        <v>3153.1034482758646</v>
      </c>
      <c r="AQ42" s="420">
        <v>1051.0344827586216</v>
      </c>
      <c r="AR42" s="550">
        <f t="shared" ref="AR42:AR71" si="21">RANK(AQ42, AQ$42:AQ$71)</f>
        <v>5</v>
      </c>
      <c r="AS42" s="636">
        <f t="shared" ref="AS42" si="22">AVERAGE(AQ42:AQ71)</f>
        <v>844.80304401577234</v>
      </c>
      <c r="AT42" s="550">
        <v>3</v>
      </c>
      <c r="AU42" s="420">
        <v>3168.6206896551748</v>
      </c>
      <c r="AV42" s="420">
        <v>1056.2068965517249</v>
      </c>
      <c r="AW42" s="550">
        <f t="shared" ref="AW42:AW71" si="23">RANK(AV42, AV$42:AV$71)</f>
        <v>7</v>
      </c>
      <c r="AX42" s="636">
        <f t="shared" ref="AX42" si="24">AVERAGE(AV42:AV71)</f>
        <v>843.07536292748307</v>
      </c>
      <c r="AZ42" s="406" t="e">
        <f t="shared" ref="AZ42:AZ71" si="25">RANK(AY42, AY$42:AY$71)</f>
        <v>#N/A</v>
      </c>
      <c r="BA42" s="636" t="e">
        <f t="shared" ref="BA42" si="26">AVERAGE(AY42:AY71)</f>
        <v>#DIV/0!</v>
      </c>
    </row>
    <row r="43" spans="2:53">
      <c r="B43" s="651"/>
      <c r="C43" s="301">
        <v>2</v>
      </c>
      <c r="D43" s="389" t="s">
        <v>338</v>
      </c>
      <c r="E43" s="387">
        <v>3</v>
      </c>
      <c r="F43" s="387">
        <v>3200</v>
      </c>
      <c r="G43" s="181">
        <v>1066.6666666666667</v>
      </c>
      <c r="H43" s="637"/>
      <c r="I43" s="395">
        <f t="shared" ref="I43:I71" si="27">IFERROR(AVERAGE(P43,U43,Z43,AE43,AJ43,AO43,AT43),"-")</f>
        <v>3</v>
      </c>
      <c r="J43" s="395">
        <f t="shared" ref="J43:J71" si="28">IFERROR(AVERAGE(Q43,V43,AA43,AF43,AK43,AP43,AU43),"-")</f>
        <v>3136.3694951664738</v>
      </c>
      <c r="K43" s="199">
        <f t="shared" ref="K43:K71" si="29">IFERROR(AVERAGE(R43,W43,AB43,AG43,AL43,AQ43,AV43),"-")</f>
        <v>1045.4564983888247</v>
      </c>
      <c r="L43" s="609"/>
      <c r="M43" s="198">
        <f>RANK(K43, K$42:$K$71)</f>
        <v>8</v>
      </c>
      <c r="N43" s="629"/>
      <c r="O43" s="629"/>
      <c r="P43" s="550">
        <v>3</v>
      </c>
      <c r="Q43" s="420">
        <v>3051.4285714285588</v>
      </c>
      <c r="R43" s="420">
        <v>1017.1428571428529</v>
      </c>
      <c r="S43" s="550">
        <f t="shared" si="11"/>
        <v>10</v>
      </c>
      <c r="T43" s="637"/>
      <c r="U43" s="550">
        <v>3</v>
      </c>
      <c r="V43" s="420">
        <v>3083.9999999999864</v>
      </c>
      <c r="W43" s="420">
        <v>1027.9999999999955</v>
      </c>
      <c r="X43" s="550">
        <f t="shared" si="13"/>
        <v>10</v>
      </c>
      <c r="Y43" s="637"/>
      <c r="Z43" s="550">
        <v>3</v>
      </c>
      <c r="AA43" s="420">
        <v>3097.89473684209</v>
      </c>
      <c r="AB43" s="420">
        <v>1032.6315789473633</v>
      </c>
      <c r="AC43" s="550">
        <f t="shared" si="15"/>
        <v>7</v>
      </c>
      <c r="AD43" s="637"/>
      <c r="AE43" s="550">
        <v>3</v>
      </c>
      <c r="AF43" s="420">
        <v>3059.9999999999823</v>
      </c>
      <c r="AG43" s="420">
        <v>1019.9999999999941</v>
      </c>
      <c r="AH43" s="550">
        <f t="shared" si="17"/>
        <v>9</v>
      </c>
      <c r="AI43" s="637"/>
      <c r="AJ43" s="550">
        <v>3</v>
      </c>
      <c r="AK43" s="420">
        <v>3395.9999999999941</v>
      </c>
      <c r="AL43" s="420">
        <v>1131.999999999998</v>
      </c>
      <c r="AM43" s="550">
        <f t="shared" si="19"/>
        <v>1</v>
      </c>
      <c r="AN43" s="637"/>
      <c r="AO43" s="550">
        <v>3</v>
      </c>
      <c r="AP43" s="420">
        <v>3154.7368421052479</v>
      </c>
      <c r="AQ43" s="420">
        <v>1051.578947368416</v>
      </c>
      <c r="AR43" s="550">
        <f t="shared" si="21"/>
        <v>4</v>
      </c>
      <c r="AS43" s="637"/>
      <c r="AT43" s="550">
        <v>3</v>
      </c>
      <c r="AU43" s="420">
        <v>3110.5263157894583</v>
      </c>
      <c r="AV43" s="420">
        <v>1036.8421052631527</v>
      </c>
      <c r="AW43" s="550">
        <f t="shared" si="23"/>
        <v>10</v>
      </c>
      <c r="AX43" s="637"/>
      <c r="AZ43" s="406" t="e">
        <f t="shared" si="25"/>
        <v>#N/A</v>
      </c>
      <c r="BA43" s="637"/>
    </row>
    <row r="44" spans="2:53">
      <c r="B44" s="651"/>
      <c r="C44" s="301">
        <v>3</v>
      </c>
      <c r="D44" s="387" t="s">
        <v>329</v>
      </c>
      <c r="E44" s="387">
        <v>4</v>
      </c>
      <c r="F44" s="387">
        <v>3200</v>
      </c>
      <c r="G44" s="181">
        <v>800</v>
      </c>
      <c r="H44" s="637"/>
      <c r="I44" s="395">
        <f t="shared" si="27"/>
        <v>4</v>
      </c>
      <c r="J44" s="395">
        <f t="shared" si="28"/>
        <v>3057.6702470461901</v>
      </c>
      <c r="K44" s="199">
        <f t="shared" si="29"/>
        <v>764.41756176154752</v>
      </c>
      <c r="L44" s="609"/>
      <c r="M44" s="198">
        <f>RANK(K44, K$42:$K$71)</f>
        <v>17</v>
      </c>
      <c r="N44" s="629"/>
      <c r="O44" s="629"/>
      <c r="P44" s="550">
        <v>4</v>
      </c>
      <c r="Q44" s="420">
        <v>3170.5263157894851</v>
      </c>
      <c r="R44" s="420">
        <v>792.63157894737128</v>
      </c>
      <c r="S44" s="550">
        <f t="shared" si="11"/>
        <v>16</v>
      </c>
      <c r="T44" s="637"/>
      <c r="U44" s="550">
        <v>4</v>
      </c>
      <c r="V44" s="420">
        <v>3057.0000000000109</v>
      </c>
      <c r="W44" s="420">
        <v>764.25000000000273</v>
      </c>
      <c r="X44" s="550">
        <f t="shared" si="13"/>
        <v>17</v>
      </c>
      <c r="Y44" s="637"/>
      <c r="Z44" s="550">
        <v>4</v>
      </c>
      <c r="AA44" s="420">
        <v>3072.6315789473661</v>
      </c>
      <c r="AB44" s="420">
        <v>768.15789473684151</v>
      </c>
      <c r="AC44" s="550">
        <f t="shared" si="15"/>
        <v>16</v>
      </c>
      <c r="AD44" s="637"/>
      <c r="AE44" s="550">
        <v>4</v>
      </c>
      <c r="AF44" s="420">
        <v>3089.9999999999959</v>
      </c>
      <c r="AG44" s="420">
        <v>772.49999999999898</v>
      </c>
      <c r="AH44" s="550">
        <f t="shared" si="17"/>
        <v>16</v>
      </c>
      <c r="AI44" s="637"/>
      <c r="AJ44" s="550">
        <v>4</v>
      </c>
      <c r="AK44" s="420">
        <v>3351.4285714285834</v>
      </c>
      <c r="AL44" s="420">
        <v>837.85714285714585</v>
      </c>
      <c r="AM44" s="550">
        <f t="shared" si="19"/>
        <v>14</v>
      </c>
      <c r="AN44" s="637"/>
      <c r="AO44" s="550">
        <v>4</v>
      </c>
      <c r="AP44" s="420">
        <v>3145.2631578947344</v>
      </c>
      <c r="AQ44" s="420">
        <v>786.31578947368359</v>
      </c>
      <c r="AR44" s="550">
        <f t="shared" si="21"/>
        <v>17</v>
      </c>
      <c r="AS44" s="637"/>
      <c r="AT44" s="550">
        <v>4</v>
      </c>
      <c r="AU44" s="420">
        <v>2516.8421052631561</v>
      </c>
      <c r="AV44" s="420">
        <v>629.21052631578902</v>
      </c>
      <c r="AW44" s="550">
        <f t="shared" si="23"/>
        <v>21</v>
      </c>
      <c r="AX44" s="637"/>
      <c r="AZ44" s="406" t="e">
        <f t="shared" si="25"/>
        <v>#N/A</v>
      </c>
      <c r="BA44" s="637"/>
    </row>
    <row r="45" spans="2:53">
      <c r="B45" s="651"/>
      <c r="C45" s="301">
        <v>4</v>
      </c>
      <c r="D45" s="387" t="s">
        <v>339</v>
      </c>
      <c r="E45" s="387">
        <v>3</v>
      </c>
      <c r="F45" s="387">
        <v>3200</v>
      </c>
      <c r="G45" s="181">
        <v>1066.6666666666667</v>
      </c>
      <c r="H45" s="637"/>
      <c r="I45" s="395">
        <f t="shared" si="27"/>
        <v>3</v>
      </c>
      <c r="J45" s="395">
        <f t="shared" si="28"/>
        <v>3195.2426019765157</v>
      </c>
      <c r="K45" s="199">
        <f t="shared" si="29"/>
        <v>1065.0808673255056</v>
      </c>
      <c r="L45" s="609"/>
      <c r="M45" s="198">
        <f>RANK(K45, K$42:$K$71)</f>
        <v>1</v>
      </c>
      <c r="N45" s="629"/>
      <c r="O45" s="629"/>
      <c r="P45" s="550">
        <v>3</v>
      </c>
      <c r="Q45" s="420">
        <v>3172.1739130434785</v>
      </c>
      <c r="R45" s="420">
        <v>1057.3913043478262</v>
      </c>
      <c r="S45" s="550">
        <f t="shared" si="11"/>
        <v>5</v>
      </c>
      <c r="T45" s="637"/>
      <c r="U45" s="550">
        <v>3</v>
      </c>
      <c r="V45" s="420">
        <v>3191.739130434783</v>
      </c>
      <c r="W45" s="420">
        <v>1063.913043478261</v>
      </c>
      <c r="X45" s="550">
        <f t="shared" si="13"/>
        <v>3</v>
      </c>
      <c r="Y45" s="637"/>
      <c r="Z45" s="550">
        <v>3</v>
      </c>
      <c r="AA45" s="420">
        <v>3196.8539325842721</v>
      </c>
      <c r="AB45" s="420">
        <v>1065.6179775280907</v>
      </c>
      <c r="AC45" s="550">
        <f t="shared" si="15"/>
        <v>1</v>
      </c>
      <c r="AD45" s="637"/>
      <c r="AE45" s="550">
        <v>3</v>
      </c>
      <c r="AF45" s="420">
        <v>3200.2702702702718</v>
      </c>
      <c r="AG45" s="420">
        <v>1066.7567567567573</v>
      </c>
      <c r="AH45" s="550">
        <f t="shared" si="17"/>
        <v>2</v>
      </c>
      <c r="AI45" s="637"/>
      <c r="AJ45" s="550">
        <v>3</v>
      </c>
      <c r="AK45" s="420">
        <v>3225.6338028168984</v>
      </c>
      <c r="AL45" s="420">
        <v>1075.2112676056329</v>
      </c>
      <c r="AM45" s="550">
        <f t="shared" si="19"/>
        <v>5</v>
      </c>
      <c r="AN45" s="637"/>
      <c r="AO45" s="550">
        <v>3</v>
      </c>
      <c r="AP45" s="420">
        <v>3178.7368421052638</v>
      </c>
      <c r="AQ45" s="420">
        <v>1059.5789473684213</v>
      </c>
      <c r="AR45" s="550">
        <f t="shared" si="21"/>
        <v>3</v>
      </c>
      <c r="AS45" s="637"/>
      <c r="AT45" s="550">
        <v>3</v>
      </c>
      <c r="AU45" s="420">
        <v>3201.2903225806458</v>
      </c>
      <c r="AV45" s="420">
        <v>1067.0967741935485</v>
      </c>
      <c r="AW45" s="550">
        <f t="shared" si="23"/>
        <v>4</v>
      </c>
      <c r="AX45" s="637"/>
      <c r="AZ45" s="406" t="e">
        <f t="shared" si="25"/>
        <v>#N/A</v>
      </c>
      <c r="BA45" s="637"/>
    </row>
    <row r="46" spans="2:53">
      <c r="B46" s="651"/>
      <c r="C46" s="301">
        <v>5</v>
      </c>
      <c r="D46" s="387" t="s">
        <v>590</v>
      </c>
      <c r="E46" s="387">
        <v>4</v>
      </c>
      <c r="F46" s="387">
        <v>3200</v>
      </c>
      <c r="G46" s="181">
        <v>800</v>
      </c>
      <c r="H46" s="637"/>
      <c r="I46" s="395">
        <f t="shared" si="27"/>
        <v>4</v>
      </c>
      <c r="J46" s="395">
        <f t="shared" si="28"/>
        <v>3441.9253839466833</v>
      </c>
      <c r="K46" s="199">
        <f t="shared" si="29"/>
        <v>860.48134598667082</v>
      </c>
      <c r="L46" s="609"/>
      <c r="M46" s="198">
        <f>RANK(K46, K$42:$K$71)</f>
        <v>13</v>
      </c>
      <c r="N46" s="629"/>
      <c r="O46" s="629"/>
      <c r="P46" s="550">
        <v>4</v>
      </c>
      <c r="Q46" s="420">
        <v>3196.5517241379425</v>
      </c>
      <c r="R46" s="420">
        <v>799.13793103448563</v>
      </c>
      <c r="S46" s="550">
        <f t="shared" si="11"/>
        <v>14</v>
      </c>
      <c r="T46" s="637"/>
      <c r="U46" s="550">
        <v>4</v>
      </c>
      <c r="V46" s="420">
        <v>3146.896551724149</v>
      </c>
      <c r="W46" s="420">
        <v>786.72413793103726</v>
      </c>
      <c r="X46" s="550">
        <f t="shared" si="13"/>
        <v>14</v>
      </c>
      <c r="Y46" s="637"/>
      <c r="Z46" s="550">
        <v>4</v>
      </c>
      <c r="AA46" s="420">
        <v>3105.0000000000027</v>
      </c>
      <c r="AB46" s="420">
        <v>776.25000000000068</v>
      </c>
      <c r="AC46" s="550">
        <f t="shared" si="15"/>
        <v>15</v>
      </c>
      <c r="AD46" s="637"/>
      <c r="AE46" s="550">
        <v>4</v>
      </c>
      <c r="AF46" s="420">
        <v>3107.5000000000109</v>
      </c>
      <c r="AG46" s="420">
        <v>776.87500000000273</v>
      </c>
      <c r="AH46" s="550">
        <f t="shared" si="17"/>
        <v>15</v>
      </c>
      <c r="AI46" s="637"/>
      <c r="AJ46" s="550">
        <v>4</v>
      </c>
      <c r="AK46" s="420">
        <v>3353.999999999985</v>
      </c>
      <c r="AL46" s="420">
        <v>838.49999999999625</v>
      </c>
      <c r="AM46" s="550">
        <f t="shared" si="19"/>
        <v>13</v>
      </c>
      <c r="AN46" s="637"/>
      <c r="AO46" s="550">
        <v>4</v>
      </c>
      <c r="AP46" s="420">
        <v>3199.9999999999923</v>
      </c>
      <c r="AQ46" s="420">
        <v>799.99999999999807</v>
      </c>
      <c r="AR46" s="550">
        <f t="shared" si="21"/>
        <v>13</v>
      </c>
      <c r="AS46" s="637"/>
      <c r="AT46" s="550">
        <v>4</v>
      </c>
      <c r="AU46" s="420">
        <v>4983.529411764699</v>
      </c>
      <c r="AV46" s="420">
        <v>1245.8823529411748</v>
      </c>
      <c r="AW46" s="550">
        <f t="shared" si="23"/>
        <v>1</v>
      </c>
      <c r="AX46" s="637"/>
      <c r="AZ46" s="406" t="e">
        <f t="shared" si="25"/>
        <v>#N/A</v>
      </c>
      <c r="BA46" s="637"/>
    </row>
    <row r="47" spans="2:53">
      <c r="B47" s="651"/>
      <c r="C47" s="301">
        <v>6</v>
      </c>
      <c r="D47" s="387" t="s">
        <v>591</v>
      </c>
      <c r="E47" s="387">
        <v>4</v>
      </c>
      <c r="F47" s="387">
        <v>3200</v>
      </c>
      <c r="G47" s="181">
        <v>800</v>
      </c>
      <c r="H47" s="637"/>
      <c r="I47" s="395">
        <f t="shared" si="27"/>
        <v>4</v>
      </c>
      <c r="J47" s="395">
        <f t="shared" si="28"/>
        <v>3109.8775510204041</v>
      </c>
      <c r="K47" s="199">
        <f t="shared" si="29"/>
        <v>777.46938775510102</v>
      </c>
      <c r="L47" s="609"/>
      <c r="M47" s="198">
        <f>RANK(K47, K$42:$K$71)</f>
        <v>16</v>
      </c>
      <c r="N47" s="629"/>
      <c r="O47" s="629"/>
      <c r="P47" s="550">
        <v>4</v>
      </c>
      <c r="Q47" s="420">
        <v>3039.9999999999945</v>
      </c>
      <c r="R47" s="420">
        <v>759.99999999999864</v>
      </c>
      <c r="S47" s="550">
        <f t="shared" si="11"/>
        <v>18</v>
      </c>
      <c r="T47" s="637"/>
      <c r="U47" s="550">
        <v>4</v>
      </c>
      <c r="V47" s="420">
        <v>3035.9999999999945</v>
      </c>
      <c r="W47" s="420">
        <v>758.99999999999864</v>
      </c>
      <c r="X47" s="550">
        <f t="shared" si="13"/>
        <v>18</v>
      </c>
      <c r="Y47" s="637"/>
      <c r="Z47" s="550">
        <v>4</v>
      </c>
      <c r="AA47" s="420">
        <v>3059.9999999999936</v>
      </c>
      <c r="AB47" s="420">
        <v>764.99999999999841</v>
      </c>
      <c r="AC47" s="550">
        <f t="shared" si="15"/>
        <v>17</v>
      </c>
      <c r="AD47" s="637"/>
      <c r="AE47" s="550">
        <v>4</v>
      </c>
      <c r="AF47" s="420">
        <v>3009.9999999999905</v>
      </c>
      <c r="AG47" s="420">
        <v>752.49999999999761</v>
      </c>
      <c r="AH47" s="550">
        <f t="shared" si="17"/>
        <v>18</v>
      </c>
      <c r="AI47" s="637"/>
      <c r="AJ47" s="550">
        <v>4</v>
      </c>
      <c r="AK47" s="420">
        <v>3306.0000000000118</v>
      </c>
      <c r="AL47" s="420">
        <v>826.50000000000296</v>
      </c>
      <c r="AM47" s="550">
        <f t="shared" si="19"/>
        <v>16</v>
      </c>
      <c r="AN47" s="637"/>
      <c r="AO47" s="550">
        <v>4</v>
      </c>
      <c r="AP47" s="420">
        <v>3179.9999999999932</v>
      </c>
      <c r="AQ47" s="420">
        <v>794.99999999999829</v>
      </c>
      <c r="AR47" s="550">
        <f t="shared" si="21"/>
        <v>15</v>
      </c>
      <c r="AS47" s="637"/>
      <c r="AT47" s="550">
        <v>4</v>
      </c>
      <c r="AU47" s="420">
        <v>3137.1428571428501</v>
      </c>
      <c r="AV47" s="420">
        <v>784.28571428571252</v>
      </c>
      <c r="AW47" s="550">
        <f t="shared" si="23"/>
        <v>15</v>
      </c>
      <c r="AX47" s="637"/>
      <c r="AZ47" s="406" t="e">
        <f t="shared" si="25"/>
        <v>#N/A</v>
      </c>
      <c r="BA47" s="637"/>
    </row>
    <row r="48" spans="2:53">
      <c r="B48" s="651"/>
      <c r="C48" s="301">
        <v>7</v>
      </c>
      <c r="D48" s="387" t="s">
        <v>340</v>
      </c>
      <c r="E48" s="387">
        <v>4</v>
      </c>
      <c r="F48" s="387">
        <v>2800</v>
      </c>
      <c r="G48" s="181">
        <v>700</v>
      </c>
      <c r="H48" s="637"/>
      <c r="I48" s="395">
        <f t="shared" si="27"/>
        <v>4</v>
      </c>
      <c r="J48" s="395">
        <f t="shared" si="28"/>
        <v>3118.8011988012004</v>
      </c>
      <c r="K48" s="199">
        <f t="shared" si="29"/>
        <v>779.70029970030009</v>
      </c>
      <c r="L48" s="609"/>
      <c r="M48" s="198">
        <f>RANK(K48, K$42:$K$71)</f>
        <v>15</v>
      </c>
      <c r="N48" s="629"/>
      <c r="O48" s="629"/>
      <c r="P48" s="550">
        <v>4</v>
      </c>
      <c r="Q48" s="420">
        <v>3081.4285714285738</v>
      </c>
      <c r="R48" s="420">
        <v>770.35714285714346</v>
      </c>
      <c r="S48" s="550">
        <f t="shared" si="11"/>
        <v>17</v>
      </c>
      <c r="T48" s="637"/>
      <c r="U48" s="550">
        <v>4</v>
      </c>
      <c r="V48" s="420">
        <v>3060.0000000000023</v>
      </c>
      <c r="W48" s="420">
        <v>765.00000000000057</v>
      </c>
      <c r="X48" s="550">
        <f t="shared" si="13"/>
        <v>16</v>
      </c>
      <c r="Y48" s="637"/>
      <c r="Z48" s="550">
        <v>4</v>
      </c>
      <c r="AA48" s="420">
        <v>3106.1538461538476</v>
      </c>
      <c r="AB48" s="420">
        <v>776.53846153846189</v>
      </c>
      <c r="AC48" s="550">
        <f t="shared" si="15"/>
        <v>14</v>
      </c>
      <c r="AD48" s="637"/>
      <c r="AE48" s="550">
        <v>4</v>
      </c>
      <c r="AF48" s="420">
        <v>3125.4545454545455</v>
      </c>
      <c r="AG48" s="420">
        <v>781.36363636363637</v>
      </c>
      <c r="AH48" s="550">
        <f t="shared" si="17"/>
        <v>14</v>
      </c>
      <c r="AI48" s="637"/>
      <c r="AJ48" s="550">
        <v>4</v>
      </c>
      <c r="AK48" s="420">
        <v>3329.9999999999986</v>
      </c>
      <c r="AL48" s="420">
        <v>832.49999999999966</v>
      </c>
      <c r="AM48" s="550">
        <f t="shared" si="19"/>
        <v>15</v>
      </c>
      <c r="AN48" s="637"/>
      <c r="AO48" s="550">
        <v>4</v>
      </c>
      <c r="AP48" s="420">
        <v>3145.7142857142881</v>
      </c>
      <c r="AQ48" s="420">
        <v>786.42857142857201</v>
      </c>
      <c r="AR48" s="550">
        <f t="shared" si="21"/>
        <v>16</v>
      </c>
      <c r="AS48" s="637"/>
      <c r="AT48" s="550">
        <v>4</v>
      </c>
      <c r="AU48" s="420">
        <v>2982.8571428571449</v>
      </c>
      <c r="AV48" s="420">
        <v>745.71428571428623</v>
      </c>
      <c r="AW48" s="550">
        <f t="shared" si="23"/>
        <v>17</v>
      </c>
      <c r="AX48" s="637"/>
      <c r="AZ48" s="406" t="e">
        <f t="shared" si="25"/>
        <v>#N/A</v>
      </c>
      <c r="BA48" s="637"/>
    </row>
    <row r="49" spans="2:53">
      <c r="B49" s="651"/>
      <c r="C49" s="301">
        <v>8</v>
      </c>
      <c r="D49" s="387" t="s">
        <v>341</v>
      </c>
      <c r="E49" s="387">
        <v>3</v>
      </c>
      <c r="F49" s="387">
        <v>3200</v>
      </c>
      <c r="G49" s="181">
        <v>1066.6666666666667</v>
      </c>
      <c r="H49" s="637"/>
      <c r="I49" s="395">
        <f t="shared" si="27"/>
        <v>3</v>
      </c>
      <c r="J49" s="395">
        <f t="shared" si="28"/>
        <v>3151.7233250620343</v>
      </c>
      <c r="K49" s="199">
        <f t="shared" si="29"/>
        <v>1050.5744416873447</v>
      </c>
      <c r="L49" s="609"/>
      <c r="M49" s="198">
        <f>RANK(K49, K$42:$K$71)</f>
        <v>6</v>
      </c>
      <c r="N49" s="629"/>
      <c r="O49" s="629"/>
      <c r="P49" s="550">
        <v>3</v>
      </c>
      <c r="Q49" s="420">
        <v>3141.2903225806481</v>
      </c>
      <c r="R49" s="420">
        <v>1047.0967741935494</v>
      </c>
      <c r="S49" s="550">
        <f t="shared" si="11"/>
        <v>8</v>
      </c>
      <c r="T49" s="637"/>
      <c r="U49" s="550">
        <v>3</v>
      </c>
      <c r="V49" s="420">
        <v>3106.4516129032286</v>
      </c>
      <c r="W49" s="420">
        <v>1035.4838709677429</v>
      </c>
      <c r="X49" s="550">
        <f t="shared" si="13"/>
        <v>8</v>
      </c>
      <c r="Y49" s="637"/>
      <c r="Z49" s="550">
        <v>3</v>
      </c>
      <c r="AA49" s="420">
        <v>3179.9999999999945</v>
      </c>
      <c r="AB49" s="420">
        <v>1059.9999999999982</v>
      </c>
      <c r="AC49" s="550">
        <f t="shared" si="15"/>
        <v>4</v>
      </c>
      <c r="AD49" s="637"/>
      <c r="AE49" s="550">
        <v>3</v>
      </c>
      <c r="AF49" s="420">
        <v>3117.692307692304</v>
      </c>
      <c r="AG49" s="420">
        <v>1039.2307692307679</v>
      </c>
      <c r="AH49" s="550">
        <f t="shared" si="17"/>
        <v>7</v>
      </c>
      <c r="AI49" s="637"/>
      <c r="AJ49" s="550">
        <v>3</v>
      </c>
      <c r="AK49" s="420">
        <v>3212.499999999995</v>
      </c>
      <c r="AL49" s="420">
        <v>1070.8333333333317</v>
      </c>
      <c r="AM49" s="550">
        <f t="shared" si="19"/>
        <v>8</v>
      </c>
      <c r="AN49" s="637"/>
      <c r="AO49" s="550">
        <v>3</v>
      </c>
      <c r="AP49" s="420">
        <v>3116.1290322580671</v>
      </c>
      <c r="AQ49" s="420">
        <v>1038.7096774193558</v>
      </c>
      <c r="AR49" s="550">
        <f t="shared" si="21"/>
        <v>8</v>
      </c>
      <c r="AS49" s="637"/>
      <c r="AT49" s="550">
        <v>3</v>
      </c>
      <c r="AU49" s="420">
        <v>3188.0000000000027</v>
      </c>
      <c r="AV49" s="420">
        <v>1062.6666666666677</v>
      </c>
      <c r="AW49" s="550">
        <f t="shared" si="23"/>
        <v>6</v>
      </c>
      <c r="AX49" s="637"/>
      <c r="AZ49" s="406" t="e">
        <f t="shared" si="25"/>
        <v>#N/A</v>
      </c>
      <c r="BA49" s="637"/>
    </row>
    <row r="50" spans="2:53">
      <c r="B50" s="651"/>
      <c r="C50" s="301">
        <v>9</v>
      </c>
      <c r="D50" s="387" t="s">
        <v>342</v>
      </c>
      <c r="E50" s="387">
        <v>3</v>
      </c>
      <c r="F50" s="387">
        <v>2800</v>
      </c>
      <c r="G50" s="181">
        <v>933.33333333333337</v>
      </c>
      <c r="H50" s="637"/>
      <c r="I50" s="395">
        <f t="shared" si="27"/>
        <v>3</v>
      </c>
      <c r="J50" s="395">
        <f t="shared" si="28"/>
        <v>3160.0483244499474</v>
      </c>
      <c r="K50" s="199">
        <f t="shared" si="29"/>
        <v>1053.3494414833158</v>
      </c>
      <c r="L50" s="609"/>
      <c r="M50" s="198">
        <f>RANK(K50, K$42:$K$71)</f>
        <v>5</v>
      </c>
      <c r="N50" s="629"/>
      <c r="O50" s="629"/>
      <c r="P50" s="550">
        <v>3</v>
      </c>
      <c r="Q50" s="420">
        <v>3123.3333333333339</v>
      </c>
      <c r="R50" s="420">
        <v>1041.1111111111113</v>
      </c>
      <c r="S50" s="550">
        <f t="shared" si="11"/>
        <v>9</v>
      </c>
      <c r="T50" s="637"/>
      <c r="U50" s="550">
        <v>3</v>
      </c>
      <c r="V50" s="420">
        <v>3186.6666666666674</v>
      </c>
      <c r="W50" s="420">
        <v>1062.2222222222224</v>
      </c>
      <c r="X50" s="550">
        <f t="shared" si="13"/>
        <v>5</v>
      </c>
      <c r="Y50" s="637"/>
      <c r="Z50" s="550">
        <v>3</v>
      </c>
      <c r="AA50" s="420">
        <v>3150.909090909091</v>
      </c>
      <c r="AB50" s="420">
        <v>1050.3030303030303</v>
      </c>
      <c r="AC50" s="550">
        <f t="shared" si="15"/>
        <v>6</v>
      </c>
      <c r="AD50" s="637"/>
      <c r="AE50" s="550">
        <v>3</v>
      </c>
      <c r="AF50" s="420">
        <v>3099.3103448275929</v>
      </c>
      <c r="AG50" s="420">
        <v>1033.1034482758644</v>
      </c>
      <c r="AH50" s="550">
        <f t="shared" si="17"/>
        <v>8</v>
      </c>
      <c r="AI50" s="637"/>
      <c r="AJ50" s="550">
        <v>3</v>
      </c>
      <c r="AK50" s="420">
        <v>3248.888888888886</v>
      </c>
      <c r="AL50" s="420">
        <v>1082.9629629629619</v>
      </c>
      <c r="AM50" s="550">
        <f t="shared" si="19"/>
        <v>3</v>
      </c>
      <c r="AN50" s="637"/>
      <c r="AO50" s="550">
        <v>3</v>
      </c>
      <c r="AP50" s="420">
        <v>3109.411764705882</v>
      </c>
      <c r="AQ50" s="420">
        <v>1036.4705882352939</v>
      </c>
      <c r="AR50" s="550">
        <f t="shared" si="21"/>
        <v>9</v>
      </c>
      <c r="AS50" s="637"/>
      <c r="AT50" s="550">
        <v>3</v>
      </c>
      <c r="AU50" s="420">
        <v>3201.818181818182</v>
      </c>
      <c r="AV50" s="420">
        <v>1067.2727272727273</v>
      </c>
      <c r="AW50" s="550">
        <f t="shared" si="23"/>
        <v>3</v>
      </c>
      <c r="AX50" s="637"/>
      <c r="AZ50" s="406" t="e">
        <f t="shared" si="25"/>
        <v>#N/A</v>
      </c>
      <c r="BA50" s="637"/>
    </row>
    <row r="51" spans="2:53">
      <c r="B51" s="651"/>
      <c r="C51" s="301">
        <v>10</v>
      </c>
      <c r="D51" s="387" t="s">
        <v>343</v>
      </c>
      <c r="E51" s="387">
        <v>4</v>
      </c>
      <c r="F51" s="387">
        <v>2800</v>
      </c>
      <c r="G51" s="181">
        <v>700</v>
      </c>
      <c r="H51" s="637"/>
      <c r="I51" s="395">
        <f t="shared" si="27"/>
        <v>4</v>
      </c>
      <c r="J51" s="395">
        <f t="shared" si="28"/>
        <v>3185.068624750591</v>
      </c>
      <c r="K51" s="199">
        <f t="shared" si="29"/>
        <v>796.26715618764774</v>
      </c>
      <c r="L51" s="609"/>
      <c r="M51" s="198">
        <f>RANK(K51, K$42:$K$71)</f>
        <v>14</v>
      </c>
      <c r="N51" s="629"/>
      <c r="O51" s="629"/>
      <c r="P51" s="550">
        <v>4</v>
      </c>
      <c r="Q51" s="420">
        <v>3190.9999999999986</v>
      </c>
      <c r="R51" s="420">
        <v>797.74999999999966</v>
      </c>
      <c r="S51" s="550">
        <f t="shared" si="11"/>
        <v>15</v>
      </c>
      <c r="T51" s="637"/>
      <c r="U51" s="550">
        <v>4</v>
      </c>
      <c r="V51" s="420">
        <v>3170.1639344262244</v>
      </c>
      <c r="W51" s="420">
        <v>792.5409836065561</v>
      </c>
      <c r="X51" s="550">
        <f t="shared" si="13"/>
        <v>13</v>
      </c>
      <c r="Y51" s="637"/>
      <c r="Z51" s="550">
        <v>4</v>
      </c>
      <c r="AA51" s="420">
        <v>3176.8965517241359</v>
      </c>
      <c r="AB51" s="420">
        <v>794.22413793103397</v>
      </c>
      <c r="AC51" s="550">
        <f t="shared" si="15"/>
        <v>13</v>
      </c>
      <c r="AD51" s="637"/>
      <c r="AE51" s="550">
        <v>4</v>
      </c>
      <c r="AF51" s="420">
        <v>3161.632653061225</v>
      </c>
      <c r="AG51" s="420">
        <v>790.40816326530626</v>
      </c>
      <c r="AH51" s="550">
        <f t="shared" si="17"/>
        <v>13</v>
      </c>
      <c r="AI51" s="637"/>
      <c r="AJ51" s="550">
        <v>4</v>
      </c>
      <c r="AK51" s="420">
        <v>3229.7872340425538</v>
      </c>
      <c r="AL51" s="420">
        <v>807.44680851063845</v>
      </c>
      <c r="AM51" s="550">
        <f t="shared" si="19"/>
        <v>17</v>
      </c>
      <c r="AN51" s="637"/>
      <c r="AO51" s="550">
        <v>4</v>
      </c>
      <c r="AP51" s="420">
        <v>3195.9999999999986</v>
      </c>
      <c r="AQ51" s="420">
        <v>798.99999999999966</v>
      </c>
      <c r="AR51" s="550">
        <f t="shared" si="21"/>
        <v>14</v>
      </c>
      <c r="AS51" s="637"/>
      <c r="AT51" s="550">
        <v>4</v>
      </c>
      <c r="AU51" s="420">
        <v>3169.9999999999986</v>
      </c>
      <c r="AV51" s="420">
        <v>792.49999999999966</v>
      </c>
      <c r="AW51" s="550">
        <f t="shared" si="23"/>
        <v>14</v>
      </c>
      <c r="AX51" s="637"/>
      <c r="AZ51" s="406" t="e">
        <f t="shared" si="25"/>
        <v>#N/A</v>
      </c>
      <c r="BA51" s="637"/>
    </row>
    <row r="52" spans="2:53">
      <c r="B52" s="651"/>
      <c r="C52" s="301">
        <v>11</v>
      </c>
      <c r="D52" s="387" t="s">
        <v>592</v>
      </c>
      <c r="E52" s="387">
        <v>4</v>
      </c>
      <c r="F52" s="387">
        <v>2800</v>
      </c>
      <c r="G52" s="181">
        <v>700</v>
      </c>
      <c r="H52" s="637"/>
      <c r="I52" s="395">
        <f t="shared" si="27"/>
        <v>4</v>
      </c>
      <c r="J52" s="395">
        <f t="shared" si="28"/>
        <v>2564.1499633211897</v>
      </c>
      <c r="K52" s="199">
        <f t="shared" si="29"/>
        <v>641.03749083029743</v>
      </c>
      <c r="L52" s="609"/>
      <c r="M52" s="198">
        <f>RANK(K52, K$42:$K$71)</f>
        <v>22</v>
      </c>
      <c r="N52" s="629"/>
      <c r="O52" s="629"/>
      <c r="P52" s="550">
        <v>4</v>
      </c>
      <c r="Q52" s="420">
        <v>2782.2857142857133</v>
      </c>
      <c r="R52" s="420">
        <v>695.57142857142833</v>
      </c>
      <c r="S52" s="550">
        <f t="shared" si="11"/>
        <v>20</v>
      </c>
      <c r="T52" s="637"/>
      <c r="U52" s="550">
        <v>4</v>
      </c>
      <c r="V52" s="420">
        <v>2762.5714285714289</v>
      </c>
      <c r="W52" s="420">
        <v>690.64285714285722</v>
      </c>
      <c r="X52" s="550">
        <f t="shared" si="13"/>
        <v>20</v>
      </c>
      <c r="Y52" s="637"/>
      <c r="Z52" s="550">
        <v>4</v>
      </c>
      <c r="AA52" s="420">
        <v>2151.9101123595497</v>
      </c>
      <c r="AB52" s="420">
        <v>537.97752808988741</v>
      </c>
      <c r="AC52" s="550">
        <f t="shared" si="15"/>
        <v>22</v>
      </c>
      <c r="AD52" s="637"/>
      <c r="AE52" s="550">
        <v>4</v>
      </c>
      <c r="AF52" s="420">
        <v>2781.7241379310349</v>
      </c>
      <c r="AG52" s="420">
        <v>695.43103448275872</v>
      </c>
      <c r="AH52" s="550">
        <f t="shared" si="17"/>
        <v>20</v>
      </c>
      <c r="AI52" s="637"/>
      <c r="AJ52" s="550">
        <v>4</v>
      </c>
      <c r="AK52" s="420">
        <v>2844.6428571428569</v>
      </c>
      <c r="AL52" s="420">
        <v>711.16071428571422</v>
      </c>
      <c r="AM52" s="550">
        <f t="shared" si="19"/>
        <v>22</v>
      </c>
      <c r="AN52" s="637"/>
      <c r="AO52" s="550">
        <v>4</v>
      </c>
      <c r="AP52" s="420">
        <v>2782.8169014084497</v>
      </c>
      <c r="AQ52" s="420">
        <v>695.70422535211242</v>
      </c>
      <c r="AR52" s="550">
        <f t="shared" si="21"/>
        <v>21</v>
      </c>
      <c r="AS52" s="637"/>
      <c r="AT52" s="550">
        <v>4</v>
      </c>
      <c r="AU52" s="420">
        <v>1843.098591549295</v>
      </c>
      <c r="AV52" s="420">
        <v>460.77464788732374</v>
      </c>
      <c r="AW52" s="550">
        <f t="shared" si="23"/>
        <v>22</v>
      </c>
      <c r="AX52" s="637"/>
      <c r="AZ52" s="406" t="e">
        <f t="shared" si="25"/>
        <v>#N/A</v>
      </c>
      <c r="BA52" s="637"/>
    </row>
    <row r="53" spans="2:53">
      <c r="B53" s="651"/>
      <c r="C53" s="301">
        <v>12</v>
      </c>
      <c r="D53" s="387" t="s">
        <v>593</v>
      </c>
      <c r="E53" s="387">
        <v>4</v>
      </c>
      <c r="F53" s="387">
        <v>2800</v>
      </c>
      <c r="G53" s="181">
        <v>700</v>
      </c>
      <c r="H53" s="637"/>
      <c r="I53" s="395">
        <f t="shared" si="27"/>
        <v>4</v>
      </c>
      <c r="J53" s="395">
        <f t="shared" si="28"/>
        <v>2819.8285714285889</v>
      </c>
      <c r="K53" s="199">
        <f t="shared" si="29"/>
        <v>704.95714285714723</v>
      </c>
      <c r="L53" s="609"/>
      <c r="M53" s="198">
        <f>RANK(K53, K$42:$K$71)</f>
        <v>20</v>
      </c>
      <c r="N53" s="629"/>
      <c r="O53" s="629"/>
      <c r="P53" s="550">
        <v>4</v>
      </c>
      <c r="Q53" s="420">
        <v>2548.8000000000252</v>
      </c>
      <c r="R53" s="420">
        <v>637.2000000000063</v>
      </c>
      <c r="S53" s="550">
        <f t="shared" si="11"/>
        <v>22</v>
      </c>
      <c r="T53" s="637"/>
      <c r="U53" s="550">
        <v>4</v>
      </c>
      <c r="V53" s="420">
        <v>2488.8000000000247</v>
      </c>
      <c r="W53" s="420">
        <v>622.20000000000618</v>
      </c>
      <c r="X53" s="550">
        <f t="shared" si="13"/>
        <v>22</v>
      </c>
      <c r="Y53" s="637"/>
      <c r="Z53" s="550">
        <v>4</v>
      </c>
      <c r="AA53" s="420">
        <v>2913.0000000000105</v>
      </c>
      <c r="AB53" s="420">
        <v>728.25000000000261</v>
      </c>
      <c r="AC53" s="550">
        <f t="shared" si="15"/>
        <v>18</v>
      </c>
      <c r="AD53" s="637"/>
      <c r="AE53" s="550">
        <v>4</v>
      </c>
      <c r="AF53" s="420">
        <v>2775.00000000001</v>
      </c>
      <c r="AG53" s="420">
        <v>693.7500000000025</v>
      </c>
      <c r="AH53" s="550">
        <f t="shared" si="17"/>
        <v>21</v>
      </c>
      <c r="AI53" s="637"/>
      <c r="AJ53" s="550">
        <v>4</v>
      </c>
      <c r="AK53" s="420">
        <v>3006.0000000000109</v>
      </c>
      <c r="AL53" s="420">
        <v>751.50000000000273</v>
      </c>
      <c r="AM53" s="550">
        <f t="shared" si="19"/>
        <v>19</v>
      </c>
      <c r="AN53" s="637"/>
      <c r="AO53" s="550">
        <v>4</v>
      </c>
      <c r="AP53" s="420">
        <v>3144.0000000000109</v>
      </c>
      <c r="AQ53" s="420">
        <v>786.00000000000273</v>
      </c>
      <c r="AR53" s="550">
        <f t="shared" si="21"/>
        <v>18</v>
      </c>
      <c r="AS53" s="637"/>
      <c r="AT53" s="550">
        <v>4</v>
      </c>
      <c r="AU53" s="420">
        <v>2863.2000000000285</v>
      </c>
      <c r="AV53" s="420">
        <v>715.80000000000712</v>
      </c>
      <c r="AW53" s="550">
        <f t="shared" si="23"/>
        <v>19</v>
      </c>
      <c r="AX53" s="637"/>
      <c r="AZ53" s="406" t="e">
        <f t="shared" si="25"/>
        <v>#N/A</v>
      </c>
      <c r="BA53" s="637"/>
    </row>
    <row r="54" spans="2:53">
      <c r="B54" s="651"/>
      <c r="C54" s="301">
        <v>13</v>
      </c>
      <c r="D54" s="387" t="s">
        <v>594</v>
      </c>
      <c r="E54" s="387">
        <v>3</v>
      </c>
      <c r="F54" s="387">
        <v>2800</v>
      </c>
      <c r="G54" s="181">
        <v>933.33333333333337</v>
      </c>
      <c r="H54" s="637"/>
      <c r="I54" s="395">
        <f t="shared" si="27"/>
        <v>3</v>
      </c>
      <c r="J54" s="395">
        <f t="shared" si="28"/>
        <v>3110.5306122449074</v>
      </c>
      <c r="K54" s="199">
        <f t="shared" si="29"/>
        <v>1036.8435374149692</v>
      </c>
      <c r="L54" s="609"/>
      <c r="M54" s="198">
        <f>RANK(K54, K$42:$K$71)</f>
        <v>9</v>
      </c>
      <c r="N54" s="629"/>
      <c r="O54" s="629"/>
      <c r="P54" s="550">
        <v>3</v>
      </c>
      <c r="Q54" s="420">
        <v>3216.0000000000118</v>
      </c>
      <c r="R54" s="420">
        <v>1072.0000000000039</v>
      </c>
      <c r="S54" s="550">
        <f t="shared" si="11"/>
        <v>2</v>
      </c>
      <c r="T54" s="637"/>
      <c r="U54" s="550">
        <v>3</v>
      </c>
      <c r="V54" s="420">
        <v>3256.0000000000114</v>
      </c>
      <c r="W54" s="420">
        <v>1085.3333333333371</v>
      </c>
      <c r="X54" s="550">
        <f t="shared" si="13"/>
        <v>1</v>
      </c>
      <c r="Y54" s="637"/>
      <c r="Z54" s="550">
        <v>3</v>
      </c>
      <c r="AA54" s="420">
        <v>2821.7142857142831</v>
      </c>
      <c r="AB54" s="420">
        <v>940.57142857142765</v>
      </c>
      <c r="AC54" s="550">
        <f t="shared" si="15"/>
        <v>11</v>
      </c>
      <c r="AD54" s="637"/>
      <c r="AE54" s="550">
        <v>3</v>
      </c>
      <c r="AF54" s="420">
        <v>2842.0000000000105</v>
      </c>
      <c r="AG54" s="420">
        <v>947.33333333333678</v>
      </c>
      <c r="AH54" s="550">
        <f t="shared" si="17"/>
        <v>11</v>
      </c>
      <c r="AI54" s="637"/>
      <c r="AJ54" s="550">
        <v>3</v>
      </c>
      <c r="AK54" s="420">
        <v>3092.0000000000109</v>
      </c>
      <c r="AL54" s="420">
        <v>1030.6666666666704</v>
      </c>
      <c r="AM54" s="550">
        <f t="shared" si="19"/>
        <v>9</v>
      </c>
      <c r="AN54" s="637"/>
      <c r="AO54" s="550">
        <v>3</v>
      </c>
      <c r="AP54" s="420">
        <v>3308.0000000000118</v>
      </c>
      <c r="AQ54" s="420">
        <v>1102.6666666666706</v>
      </c>
      <c r="AR54" s="550">
        <f t="shared" si="21"/>
        <v>1</v>
      </c>
      <c r="AS54" s="637"/>
      <c r="AT54" s="550">
        <v>3</v>
      </c>
      <c r="AU54" s="420">
        <v>3238.0000000000118</v>
      </c>
      <c r="AV54" s="420">
        <v>1079.3333333333374</v>
      </c>
      <c r="AW54" s="550">
        <f t="shared" si="23"/>
        <v>2</v>
      </c>
      <c r="AX54" s="637"/>
      <c r="AZ54" s="406" t="e">
        <f t="shared" si="25"/>
        <v>#N/A</v>
      </c>
      <c r="BA54" s="637"/>
    </row>
    <row r="55" spans="2:53">
      <c r="B55" s="651"/>
      <c r="C55" s="301">
        <v>14</v>
      </c>
      <c r="D55" s="387" t="s">
        <v>595</v>
      </c>
      <c r="E55" s="387">
        <v>4</v>
      </c>
      <c r="F55" s="387">
        <v>2200</v>
      </c>
      <c r="G55" s="181">
        <v>550</v>
      </c>
      <c r="H55" s="637"/>
      <c r="I55" s="395">
        <f t="shared" si="27"/>
        <v>3</v>
      </c>
      <c r="J55" s="395">
        <f t="shared" si="28"/>
        <v>2244.350340136054</v>
      </c>
      <c r="K55" s="199">
        <f t="shared" si="29"/>
        <v>748.11678004535133</v>
      </c>
      <c r="L55" s="609"/>
      <c r="M55" s="198">
        <f>RANK(K55, K$42:$K$71)</f>
        <v>18</v>
      </c>
      <c r="N55" s="629"/>
      <c r="O55" s="629"/>
      <c r="P55" s="550">
        <v>3</v>
      </c>
      <c r="Q55" s="420">
        <v>2413.4999999999991</v>
      </c>
      <c r="R55" s="420">
        <v>804.49999999999966</v>
      </c>
      <c r="S55" s="550">
        <f t="shared" si="11"/>
        <v>13</v>
      </c>
      <c r="T55" s="637"/>
      <c r="U55" s="550">
        <v>3</v>
      </c>
      <c r="V55" s="420">
        <v>2332.4999999999991</v>
      </c>
      <c r="W55" s="420">
        <v>777.49999999999966</v>
      </c>
      <c r="X55" s="550">
        <f t="shared" si="13"/>
        <v>15</v>
      </c>
      <c r="Y55" s="637"/>
      <c r="Z55" s="550">
        <v>3</v>
      </c>
      <c r="AA55" s="420">
        <v>2161.4999999999991</v>
      </c>
      <c r="AB55" s="420">
        <v>720.49999999999966</v>
      </c>
      <c r="AC55" s="550">
        <f t="shared" si="15"/>
        <v>20</v>
      </c>
      <c r="AD55" s="637"/>
      <c r="AE55" s="550">
        <v>3</v>
      </c>
      <c r="AF55" s="420">
        <v>2266.2857142857119</v>
      </c>
      <c r="AG55" s="420">
        <v>755.42857142857065</v>
      </c>
      <c r="AH55" s="550">
        <f t="shared" si="17"/>
        <v>17</v>
      </c>
      <c r="AI55" s="637"/>
      <c r="AJ55" s="550">
        <v>3</v>
      </c>
      <c r="AK55" s="420">
        <v>2177.9999999999995</v>
      </c>
      <c r="AL55" s="420">
        <v>725.99999999999989</v>
      </c>
      <c r="AM55" s="550">
        <f t="shared" si="19"/>
        <v>21</v>
      </c>
      <c r="AN55" s="637"/>
      <c r="AO55" s="550">
        <v>3</v>
      </c>
      <c r="AP55" s="420">
        <v>2168</v>
      </c>
      <c r="AQ55" s="420">
        <v>722.66666666666663</v>
      </c>
      <c r="AR55" s="550">
        <f t="shared" si="21"/>
        <v>20</v>
      </c>
      <c r="AS55" s="637"/>
      <c r="AT55" s="550">
        <v>3</v>
      </c>
      <c r="AU55" s="420">
        <v>2190.666666666667</v>
      </c>
      <c r="AV55" s="420">
        <v>730.22222222222229</v>
      </c>
      <c r="AW55" s="550">
        <f t="shared" si="23"/>
        <v>18</v>
      </c>
      <c r="AX55" s="637"/>
      <c r="AZ55" s="406" t="e">
        <f t="shared" si="25"/>
        <v>#N/A</v>
      </c>
      <c r="BA55" s="637"/>
    </row>
    <row r="56" spans="2:53">
      <c r="B56" s="651"/>
      <c r="C56" s="301">
        <v>15</v>
      </c>
      <c r="D56" s="387" t="s">
        <v>646</v>
      </c>
      <c r="E56" s="387">
        <v>8</v>
      </c>
      <c r="F56" s="387">
        <v>1500</v>
      </c>
      <c r="G56" s="181">
        <v>187.5</v>
      </c>
      <c r="H56" s="637"/>
      <c r="I56" s="395">
        <f t="shared" si="27"/>
        <v>12</v>
      </c>
      <c r="J56" s="395">
        <f t="shared" si="28"/>
        <v>1428.5532904282645</v>
      </c>
      <c r="K56" s="199">
        <f t="shared" si="29"/>
        <v>119.04610753568871</v>
      </c>
      <c r="L56" s="609"/>
      <c r="M56" s="198">
        <f>RANK(K56, K$42:$K$71)</f>
        <v>23</v>
      </c>
      <c r="N56" s="629"/>
      <c r="O56" s="629"/>
      <c r="P56" s="550">
        <v>12</v>
      </c>
      <c r="Q56" s="420">
        <v>1456.5217391304332</v>
      </c>
      <c r="R56" s="420">
        <v>121.37681159420276</v>
      </c>
      <c r="S56" s="550">
        <f t="shared" si="11"/>
        <v>23</v>
      </c>
      <c r="T56" s="637"/>
      <c r="U56" s="550">
        <v>12</v>
      </c>
      <c r="V56" s="420">
        <v>1404.8571428571413</v>
      </c>
      <c r="W56" s="420">
        <v>117.07142857142844</v>
      </c>
      <c r="X56" s="550">
        <f t="shared" si="13"/>
        <v>23</v>
      </c>
      <c r="Y56" s="637"/>
      <c r="Z56" s="550">
        <v>12</v>
      </c>
      <c r="AA56" s="420">
        <v>1410.4615384615329</v>
      </c>
      <c r="AB56" s="420">
        <v>117.53846153846108</v>
      </c>
      <c r="AC56" s="550">
        <f t="shared" si="15"/>
        <v>23</v>
      </c>
      <c r="AD56" s="637"/>
      <c r="AE56" s="550">
        <v>12</v>
      </c>
      <c r="AF56" s="420">
        <v>1424.5161290322558</v>
      </c>
      <c r="AG56" s="420">
        <v>118.70967741935465</v>
      </c>
      <c r="AH56" s="550">
        <f t="shared" si="17"/>
        <v>24</v>
      </c>
      <c r="AI56" s="637"/>
      <c r="AJ56" s="550">
        <v>12</v>
      </c>
      <c r="AK56" s="420">
        <v>1437.2307692307706</v>
      </c>
      <c r="AL56" s="420">
        <v>119.76923076923089</v>
      </c>
      <c r="AM56" s="550">
        <f t="shared" si="19"/>
        <v>24</v>
      </c>
      <c r="AN56" s="637"/>
      <c r="AO56" s="550">
        <v>12</v>
      </c>
      <c r="AP56" s="420">
        <v>1454.5714285714303</v>
      </c>
      <c r="AQ56" s="420">
        <v>121.21428571428585</v>
      </c>
      <c r="AR56" s="550">
        <f t="shared" si="21"/>
        <v>23</v>
      </c>
      <c r="AS56" s="637"/>
      <c r="AT56" s="550">
        <v>12</v>
      </c>
      <c r="AU56" s="420">
        <v>1411.7142857142874</v>
      </c>
      <c r="AV56" s="420">
        <v>117.64285714285728</v>
      </c>
      <c r="AW56" s="550">
        <f t="shared" si="23"/>
        <v>23</v>
      </c>
      <c r="AX56" s="637"/>
      <c r="AZ56" s="406" t="e">
        <f t="shared" si="25"/>
        <v>#N/A</v>
      </c>
      <c r="BA56" s="637"/>
    </row>
    <row r="57" spans="2:53">
      <c r="B57" s="651"/>
      <c r="C57" s="301">
        <v>16</v>
      </c>
      <c r="D57" s="387" t="s">
        <v>596</v>
      </c>
      <c r="E57" s="387">
        <v>3</v>
      </c>
      <c r="F57" s="387">
        <v>2800</v>
      </c>
      <c r="G57" s="181">
        <v>933.33333333333337</v>
      </c>
      <c r="H57" s="637"/>
      <c r="I57" s="395">
        <f t="shared" si="27"/>
        <v>3</v>
      </c>
      <c r="J57" s="395">
        <f t="shared" si="28"/>
        <v>2753.7872461520069</v>
      </c>
      <c r="K57" s="199">
        <f t="shared" si="29"/>
        <v>917.92908205066908</v>
      </c>
      <c r="L57" s="609"/>
      <c r="M57" s="198">
        <f>RANK(K57, K$42:$K$71)</f>
        <v>12</v>
      </c>
      <c r="N57" s="629"/>
      <c r="O57" s="629"/>
      <c r="P57" s="550">
        <v>3</v>
      </c>
      <c r="Q57" s="420">
        <v>2750.2325581395394</v>
      </c>
      <c r="R57" s="420">
        <v>916.74418604651316</v>
      </c>
      <c r="S57" s="550">
        <f t="shared" si="11"/>
        <v>12</v>
      </c>
      <c r="T57" s="637"/>
      <c r="U57" s="550">
        <v>3</v>
      </c>
      <c r="V57" s="420">
        <v>2774.2857142857133</v>
      </c>
      <c r="W57" s="420">
        <v>924.76190476190447</v>
      </c>
      <c r="X57" s="550">
        <f t="shared" si="13"/>
        <v>12</v>
      </c>
      <c r="Y57" s="637"/>
      <c r="Z57" s="550">
        <v>3</v>
      </c>
      <c r="AA57" s="420">
        <v>2800.4999999999991</v>
      </c>
      <c r="AB57" s="420">
        <v>933.49999999999966</v>
      </c>
      <c r="AC57" s="550">
        <f t="shared" si="15"/>
        <v>12</v>
      </c>
      <c r="AD57" s="637"/>
      <c r="AE57" s="550">
        <v>3</v>
      </c>
      <c r="AF57" s="420">
        <v>2777.1428571428546</v>
      </c>
      <c r="AG57" s="420">
        <v>925.71428571428487</v>
      </c>
      <c r="AH57" s="550">
        <f t="shared" si="17"/>
        <v>12</v>
      </c>
      <c r="AI57" s="637"/>
      <c r="AJ57" s="550">
        <v>3</v>
      </c>
      <c r="AK57" s="420">
        <v>2601.6666666666702</v>
      </c>
      <c r="AL57" s="420">
        <v>867.22222222222342</v>
      </c>
      <c r="AM57" s="550">
        <f t="shared" si="19"/>
        <v>12</v>
      </c>
      <c r="AN57" s="637"/>
      <c r="AO57" s="550">
        <v>3</v>
      </c>
      <c r="AP57" s="420">
        <v>2793.6585365853703</v>
      </c>
      <c r="AQ57" s="420">
        <v>931.21951219512346</v>
      </c>
      <c r="AR57" s="550">
        <f t="shared" si="21"/>
        <v>12</v>
      </c>
      <c r="AS57" s="637"/>
      <c r="AT57" s="550">
        <v>3</v>
      </c>
      <c r="AU57" s="420">
        <v>2779.0243902439015</v>
      </c>
      <c r="AV57" s="420">
        <v>926.34146341463384</v>
      </c>
      <c r="AW57" s="550">
        <f t="shared" si="23"/>
        <v>13</v>
      </c>
      <c r="AX57" s="637"/>
      <c r="AZ57" s="406" t="e">
        <f t="shared" si="25"/>
        <v>#N/A</v>
      </c>
      <c r="BA57" s="637"/>
    </row>
    <row r="58" spans="2:53">
      <c r="B58" s="651"/>
      <c r="C58" s="301">
        <v>17</v>
      </c>
      <c r="D58" s="387" t="s">
        <v>597</v>
      </c>
      <c r="E58" s="387">
        <v>4</v>
      </c>
      <c r="F58" s="387">
        <v>2800</v>
      </c>
      <c r="G58" s="181">
        <v>700</v>
      </c>
      <c r="H58" s="637"/>
      <c r="I58" s="395">
        <f t="shared" si="27"/>
        <v>4</v>
      </c>
      <c r="J58" s="395">
        <f t="shared" si="28"/>
        <v>2775.8772150155614</v>
      </c>
      <c r="K58" s="199">
        <f t="shared" si="29"/>
        <v>693.96930375389036</v>
      </c>
      <c r="L58" s="609"/>
      <c r="M58" s="198">
        <f>RANK(K58, K$42:$K$71)</f>
        <v>21</v>
      </c>
      <c r="N58" s="629"/>
      <c r="O58" s="629"/>
      <c r="P58" s="550">
        <v>4</v>
      </c>
      <c r="Q58" s="420">
        <v>2773.3333333333348</v>
      </c>
      <c r="R58" s="420">
        <v>693.33333333333371</v>
      </c>
      <c r="S58" s="550">
        <f t="shared" si="11"/>
        <v>21</v>
      </c>
      <c r="T58" s="637"/>
      <c r="U58" s="550">
        <v>4</v>
      </c>
      <c r="V58" s="420">
        <v>2727.8571428571449</v>
      </c>
      <c r="W58" s="420">
        <v>681.96428571428623</v>
      </c>
      <c r="X58" s="550">
        <f t="shared" si="13"/>
        <v>21</v>
      </c>
      <c r="Y58" s="637"/>
      <c r="Z58" s="550">
        <v>4</v>
      </c>
      <c r="AA58" s="420">
        <v>2716.1538461538476</v>
      </c>
      <c r="AB58" s="420">
        <v>679.03846153846189</v>
      </c>
      <c r="AC58" s="550">
        <f t="shared" si="15"/>
        <v>21</v>
      </c>
      <c r="AD58" s="637"/>
      <c r="AE58" s="550">
        <v>4</v>
      </c>
      <c r="AF58" s="420">
        <v>2731.4285714285706</v>
      </c>
      <c r="AG58" s="420">
        <v>682.85714285714266</v>
      </c>
      <c r="AH58" s="550">
        <f t="shared" si="17"/>
        <v>22</v>
      </c>
      <c r="AI58" s="637"/>
      <c r="AJ58" s="550">
        <v>4</v>
      </c>
      <c r="AK58" s="420">
        <v>2914.7368421052611</v>
      </c>
      <c r="AL58" s="420">
        <v>728.68421052631527</v>
      </c>
      <c r="AM58" s="550">
        <f t="shared" si="19"/>
        <v>20</v>
      </c>
      <c r="AN58" s="637"/>
      <c r="AO58" s="550">
        <v>4</v>
      </c>
      <c r="AP58" s="420">
        <v>2769.2307692307709</v>
      </c>
      <c r="AQ58" s="420">
        <v>692.30769230769272</v>
      </c>
      <c r="AR58" s="550">
        <f t="shared" si="21"/>
        <v>22</v>
      </c>
      <c r="AS58" s="637"/>
      <c r="AT58" s="550">
        <v>4</v>
      </c>
      <c r="AU58" s="420">
        <v>2798.400000000001</v>
      </c>
      <c r="AV58" s="420">
        <v>699.60000000000025</v>
      </c>
      <c r="AW58" s="550">
        <f t="shared" si="23"/>
        <v>20</v>
      </c>
      <c r="AX58" s="637"/>
      <c r="AZ58" s="406" t="e">
        <f t="shared" si="25"/>
        <v>#N/A</v>
      </c>
      <c r="BA58" s="637"/>
    </row>
    <row r="59" spans="2:53">
      <c r="B59" s="651"/>
      <c r="C59" s="301">
        <v>18</v>
      </c>
      <c r="D59" s="387" t="s">
        <v>614</v>
      </c>
      <c r="E59" s="387">
        <v>12</v>
      </c>
      <c r="F59" s="387">
        <v>1500</v>
      </c>
      <c r="G59" s="181">
        <v>125</v>
      </c>
      <c r="H59" s="637"/>
      <c r="I59" s="395">
        <f t="shared" si="27"/>
        <v>12</v>
      </c>
      <c r="J59" s="395">
        <f t="shared" si="28"/>
        <v>1300.1690645489011</v>
      </c>
      <c r="K59" s="199">
        <f t="shared" si="29"/>
        <v>108.34742204574175</v>
      </c>
      <c r="L59" s="609"/>
      <c r="M59" s="198">
        <f>RANK(K59, K$42:$K$71)</f>
        <v>24</v>
      </c>
      <c r="N59" s="629"/>
      <c r="O59" s="629"/>
      <c r="P59" s="550">
        <v>12</v>
      </c>
      <c r="Q59" s="420">
        <v>1204.6153846153813</v>
      </c>
      <c r="R59" s="420">
        <v>100.38461538461512</v>
      </c>
      <c r="S59" s="550">
        <f t="shared" si="11"/>
        <v>24</v>
      </c>
      <c r="T59" s="637"/>
      <c r="U59" s="550">
        <v>12</v>
      </c>
      <c r="V59" s="420">
        <v>1166.4000000000117</v>
      </c>
      <c r="W59" s="420">
        <v>97.200000000000969</v>
      </c>
      <c r="X59" s="550">
        <f t="shared" si="13"/>
        <v>24</v>
      </c>
      <c r="Y59" s="637"/>
      <c r="Z59" s="550">
        <v>12</v>
      </c>
      <c r="AA59" s="420">
        <v>1182.8571428571652</v>
      </c>
      <c r="AB59" s="420">
        <v>98.571428571430431</v>
      </c>
      <c r="AC59" s="550">
        <f t="shared" si="15"/>
        <v>24</v>
      </c>
      <c r="AD59" s="637"/>
      <c r="AE59" s="550">
        <v>12</v>
      </c>
      <c r="AF59" s="420">
        <v>1444.2857142857195</v>
      </c>
      <c r="AG59" s="420">
        <v>120.35714285714329</v>
      </c>
      <c r="AH59" s="550">
        <f t="shared" si="17"/>
        <v>23</v>
      </c>
      <c r="AI59" s="637"/>
      <c r="AJ59" s="550">
        <v>12</v>
      </c>
      <c r="AK59" s="420">
        <v>1485.8823529411818</v>
      </c>
      <c r="AL59" s="420">
        <v>123.82352941176515</v>
      </c>
      <c r="AM59" s="550">
        <f t="shared" si="19"/>
        <v>23</v>
      </c>
      <c r="AN59" s="637"/>
      <c r="AO59" s="550">
        <v>12</v>
      </c>
      <c r="AP59" s="420">
        <v>1219.9999999999964</v>
      </c>
      <c r="AQ59" s="420">
        <v>101.66666666666636</v>
      </c>
      <c r="AR59" s="550">
        <f t="shared" si="21"/>
        <v>24</v>
      </c>
      <c r="AS59" s="637"/>
      <c r="AT59" s="550">
        <v>12</v>
      </c>
      <c r="AU59" s="420">
        <v>1397.1428571428514</v>
      </c>
      <c r="AV59" s="420">
        <v>116.42857142857095</v>
      </c>
      <c r="AW59" s="550">
        <f t="shared" si="23"/>
        <v>24</v>
      </c>
      <c r="AX59" s="637"/>
      <c r="AZ59" s="406" t="e">
        <f t="shared" si="25"/>
        <v>#N/A</v>
      </c>
      <c r="BA59" s="637"/>
    </row>
    <row r="60" spans="2:53">
      <c r="B60" s="651"/>
      <c r="C60" s="301">
        <v>19</v>
      </c>
      <c r="D60" s="387" t="s">
        <v>625</v>
      </c>
      <c r="E60" s="387">
        <v>3</v>
      </c>
      <c r="F60" s="387">
        <v>3000</v>
      </c>
      <c r="G60" s="181">
        <v>933.33333333333337</v>
      </c>
      <c r="H60" s="637"/>
      <c r="I60" s="395">
        <f t="shared" si="27"/>
        <v>3</v>
      </c>
      <c r="J60" s="395">
        <f t="shared" si="28"/>
        <v>3072.8571428571331</v>
      </c>
      <c r="K60" s="199">
        <f t="shared" si="29"/>
        <v>1024.2857142857113</v>
      </c>
      <c r="L60" s="609"/>
      <c r="M60" s="198">
        <f>RANK(K60, K$42:$K$71)</f>
        <v>10</v>
      </c>
      <c r="N60" s="629"/>
      <c r="O60" s="629"/>
      <c r="P60" s="550">
        <v>3</v>
      </c>
      <c r="Q60" s="420">
        <v>3143.9999999999859</v>
      </c>
      <c r="R60" s="420">
        <v>1047.9999999999952</v>
      </c>
      <c r="S60" s="550">
        <f t="shared" si="11"/>
        <v>6</v>
      </c>
      <c r="T60" s="637"/>
      <c r="U60" s="550">
        <v>3</v>
      </c>
      <c r="V60" s="420">
        <v>3170.9999999999859</v>
      </c>
      <c r="W60" s="420">
        <v>1056.9999999999952</v>
      </c>
      <c r="X60" s="550">
        <f t="shared" si="13"/>
        <v>7</v>
      </c>
      <c r="Y60" s="637"/>
      <c r="Z60" s="550">
        <v>3</v>
      </c>
      <c r="AA60" s="420">
        <v>2834.9999999999873</v>
      </c>
      <c r="AB60" s="420">
        <v>944.99999999999579</v>
      </c>
      <c r="AC60" s="550">
        <f t="shared" si="15"/>
        <v>10</v>
      </c>
      <c r="AD60" s="637"/>
      <c r="AE60" s="550">
        <v>3</v>
      </c>
      <c r="AF60" s="420">
        <v>3492.0000000000127</v>
      </c>
      <c r="AG60" s="420">
        <v>1164.0000000000043</v>
      </c>
      <c r="AH60" s="550">
        <f t="shared" si="17"/>
        <v>1</v>
      </c>
      <c r="AI60" s="637"/>
      <c r="AJ60" s="550">
        <v>3</v>
      </c>
      <c r="AK60" s="420">
        <v>2786.9999999999877</v>
      </c>
      <c r="AL60" s="420">
        <v>928.99999999999591</v>
      </c>
      <c r="AM60" s="550">
        <f t="shared" si="19"/>
        <v>11</v>
      </c>
      <c r="AN60" s="637"/>
      <c r="AO60" s="550">
        <v>3</v>
      </c>
      <c r="AP60" s="420">
        <v>3095.9999999999864</v>
      </c>
      <c r="AQ60" s="420">
        <v>1031.9999999999955</v>
      </c>
      <c r="AR60" s="550">
        <f t="shared" si="21"/>
        <v>10</v>
      </c>
      <c r="AS60" s="637"/>
      <c r="AT60" s="550">
        <v>3</v>
      </c>
      <c r="AU60" s="420">
        <v>2984.9999999999868</v>
      </c>
      <c r="AV60" s="420">
        <v>994.99999999999557</v>
      </c>
      <c r="AW60" s="550">
        <f t="shared" si="23"/>
        <v>12</v>
      </c>
      <c r="AX60" s="637"/>
      <c r="AZ60" s="406" t="e">
        <f t="shared" si="25"/>
        <v>#N/A</v>
      </c>
      <c r="BA60" s="637"/>
    </row>
    <row r="61" spans="2:53">
      <c r="B61" s="651"/>
      <c r="C61" s="301">
        <v>20</v>
      </c>
      <c r="D61" s="387" t="s">
        <v>629</v>
      </c>
      <c r="E61" s="387">
        <v>4</v>
      </c>
      <c r="F61" s="387">
        <v>3200</v>
      </c>
      <c r="G61" s="181">
        <v>800</v>
      </c>
      <c r="H61" s="637"/>
      <c r="I61" s="395">
        <f t="shared" si="27"/>
        <v>4</v>
      </c>
      <c r="J61" s="395">
        <f t="shared" si="28"/>
        <v>2975.584057971012</v>
      </c>
      <c r="K61" s="199">
        <f t="shared" si="29"/>
        <v>743.89601449275301</v>
      </c>
      <c r="L61" s="609"/>
      <c r="M61" s="198">
        <f>RANK(K61, K$42:$K$71)</f>
        <v>19</v>
      </c>
      <c r="N61" s="629"/>
      <c r="O61" s="629"/>
      <c r="P61" s="550">
        <v>4</v>
      </c>
      <c r="Q61" s="420">
        <v>2944.8000000000006</v>
      </c>
      <c r="R61" s="420">
        <v>736.20000000000016</v>
      </c>
      <c r="S61" s="550">
        <f t="shared" si="11"/>
        <v>19</v>
      </c>
      <c r="T61" s="637"/>
      <c r="U61" s="550">
        <v>4</v>
      </c>
      <c r="V61" s="420">
        <v>2964.0000000000009</v>
      </c>
      <c r="W61" s="420">
        <v>741.00000000000023</v>
      </c>
      <c r="X61" s="550">
        <f t="shared" si="13"/>
        <v>19</v>
      </c>
      <c r="Y61" s="637"/>
      <c r="Z61" s="550">
        <v>4</v>
      </c>
      <c r="AA61" s="420">
        <v>2889.6000000000008</v>
      </c>
      <c r="AB61" s="420">
        <v>722.4000000000002</v>
      </c>
      <c r="AC61" s="550">
        <f t="shared" si="15"/>
        <v>19</v>
      </c>
      <c r="AD61" s="637"/>
      <c r="AE61" s="550">
        <v>4</v>
      </c>
      <c r="AF61" s="420">
        <v>2986.6666666666774</v>
      </c>
      <c r="AG61" s="420">
        <v>746.66666666666936</v>
      </c>
      <c r="AH61" s="550">
        <f t="shared" si="17"/>
        <v>19</v>
      </c>
      <c r="AI61" s="637"/>
      <c r="AJ61" s="550">
        <v>4</v>
      </c>
      <c r="AK61" s="420">
        <v>3127.49999999998</v>
      </c>
      <c r="AL61" s="420">
        <v>781.874999999995</v>
      </c>
      <c r="AM61" s="550">
        <f t="shared" si="19"/>
        <v>18</v>
      </c>
      <c r="AN61" s="637"/>
      <c r="AO61" s="550">
        <v>4</v>
      </c>
      <c r="AP61" s="420">
        <v>2916.521739130435</v>
      </c>
      <c r="AQ61" s="420">
        <v>729.13043478260875</v>
      </c>
      <c r="AR61" s="550">
        <f t="shared" si="21"/>
        <v>19</v>
      </c>
      <c r="AS61" s="637"/>
      <c r="AT61" s="550">
        <v>4</v>
      </c>
      <c r="AU61" s="420">
        <v>2999.9999999999891</v>
      </c>
      <c r="AV61" s="420">
        <v>749.99999999999727</v>
      </c>
      <c r="AW61" s="550">
        <f t="shared" si="23"/>
        <v>16</v>
      </c>
      <c r="AX61" s="637"/>
      <c r="AZ61" s="406" t="e">
        <f t="shared" si="25"/>
        <v>#N/A</v>
      </c>
      <c r="BA61" s="637"/>
    </row>
    <row r="62" spans="2:53">
      <c r="B62" s="651"/>
      <c r="C62" s="301">
        <v>21</v>
      </c>
      <c r="D62" s="390" t="s">
        <v>638</v>
      </c>
      <c r="E62" s="387">
        <v>3</v>
      </c>
      <c r="F62" s="387">
        <v>3200</v>
      </c>
      <c r="G62" s="181">
        <v>1066.6666666666667</v>
      </c>
      <c r="H62" s="637"/>
      <c r="I62" s="395">
        <f t="shared" si="27"/>
        <v>3</v>
      </c>
      <c r="J62" s="395">
        <f t="shared" si="28"/>
        <v>3149.7680890538018</v>
      </c>
      <c r="K62" s="199">
        <f t="shared" si="29"/>
        <v>1049.9226963512669</v>
      </c>
      <c r="L62" s="609"/>
      <c r="M62" s="198">
        <f>RANK(K62, K$42:$K$71)</f>
        <v>7</v>
      </c>
      <c r="N62" s="629"/>
      <c r="O62" s="629"/>
      <c r="P62" s="550">
        <v>3</v>
      </c>
      <c r="Q62" s="420">
        <v>3142.49999999999</v>
      </c>
      <c r="R62" s="420">
        <v>1047.4999999999966</v>
      </c>
      <c r="S62" s="550">
        <f t="shared" si="11"/>
        <v>7</v>
      </c>
      <c r="T62" s="637"/>
      <c r="U62" s="550">
        <v>3</v>
      </c>
      <c r="V62" s="420">
        <v>3099.9999999999905</v>
      </c>
      <c r="W62" s="420">
        <v>1033.3333333333301</v>
      </c>
      <c r="X62" s="550">
        <f t="shared" si="13"/>
        <v>9</v>
      </c>
      <c r="Y62" s="637"/>
      <c r="Z62" s="550">
        <v>3</v>
      </c>
      <c r="AA62" s="420">
        <v>3090.0000000000109</v>
      </c>
      <c r="AB62" s="420">
        <v>1030.0000000000036</v>
      </c>
      <c r="AC62" s="550">
        <f t="shared" si="15"/>
        <v>8</v>
      </c>
      <c r="AD62" s="637"/>
      <c r="AE62" s="550">
        <v>3</v>
      </c>
      <c r="AF62" s="420">
        <v>3149.9999999999973</v>
      </c>
      <c r="AG62" s="420">
        <v>1049.9999999999991</v>
      </c>
      <c r="AH62" s="550">
        <f t="shared" si="17"/>
        <v>4</v>
      </c>
      <c r="AI62" s="637"/>
      <c r="AJ62" s="550">
        <v>3</v>
      </c>
      <c r="AK62" s="420">
        <v>3292.5000000000114</v>
      </c>
      <c r="AL62" s="420">
        <v>1097.5000000000039</v>
      </c>
      <c r="AM62" s="550">
        <f t="shared" si="19"/>
        <v>2</v>
      </c>
      <c r="AN62" s="637"/>
      <c r="AO62" s="550">
        <v>3</v>
      </c>
      <c r="AP62" s="420">
        <v>3139.090909090909</v>
      </c>
      <c r="AQ62" s="420">
        <v>1046.3636363636363</v>
      </c>
      <c r="AR62" s="550">
        <f t="shared" si="21"/>
        <v>7</v>
      </c>
      <c r="AS62" s="637"/>
      <c r="AT62" s="550">
        <v>3</v>
      </c>
      <c r="AU62" s="420">
        <v>3134.2857142857015</v>
      </c>
      <c r="AV62" s="420">
        <v>1044.7619047619005</v>
      </c>
      <c r="AW62" s="550">
        <f t="shared" si="23"/>
        <v>9</v>
      </c>
      <c r="AX62" s="637"/>
      <c r="AZ62" s="406" t="e">
        <f t="shared" si="25"/>
        <v>#N/A</v>
      </c>
      <c r="BA62" s="637"/>
    </row>
    <row r="63" spans="2:53">
      <c r="B63" s="651"/>
      <c r="C63" s="301">
        <v>22</v>
      </c>
      <c r="D63" s="387" t="s">
        <v>714</v>
      </c>
      <c r="E63" s="387">
        <v>3</v>
      </c>
      <c r="F63" s="387">
        <v>3200</v>
      </c>
      <c r="G63" s="387">
        <v>1066.6666666666667</v>
      </c>
      <c r="H63" s="637"/>
      <c r="I63" s="395">
        <f t="shared" si="27"/>
        <v>3</v>
      </c>
      <c r="J63" s="395">
        <f t="shared" si="28"/>
        <v>3186.8804187562337</v>
      </c>
      <c r="K63" s="199">
        <f t="shared" si="29"/>
        <v>1062.2934729187446</v>
      </c>
      <c r="L63" s="609"/>
      <c r="M63" s="198">
        <f>RANK(K63, K$42:$K$71)</f>
        <v>2</v>
      </c>
      <c r="N63" s="629"/>
      <c r="O63" s="629"/>
      <c r="P63" s="550">
        <v>3</v>
      </c>
      <c r="Q63" s="420">
        <v>3257.9999999999959</v>
      </c>
      <c r="R63" s="420">
        <v>1085.9999999999986</v>
      </c>
      <c r="S63" s="550">
        <f t="shared" si="11"/>
        <v>1</v>
      </c>
      <c r="T63" s="637"/>
      <c r="U63" s="550">
        <v>3</v>
      </c>
      <c r="V63" s="420">
        <v>3195.9183673469397</v>
      </c>
      <c r="W63" s="420">
        <v>1065.30612244898</v>
      </c>
      <c r="X63" s="550">
        <f t="shared" si="13"/>
        <v>2</v>
      </c>
      <c r="Y63" s="637"/>
      <c r="Z63" s="550">
        <v>3</v>
      </c>
      <c r="AA63" s="420">
        <v>3192.5000000000009</v>
      </c>
      <c r="AB63" s="420">
        <v>1064.166666666667</v>
      </c>
      <c r="AC63" s="550">
        <f t="shared" si="15"/>
        <v>3</v>
      </c>
      <c r="AD63" s="637"/>
      <c r="AE63" s="550">
        <v>3</v>
      </c>
      <c r="AF63" s="420">
        <v>3139.500000000005</v>
      </c>
      <c r="AG63" s="420">
        <v>1046.5000000000016</v>
      </c>
      <c r="AH63" s="550">
        <f t="shared" si="17"/>
        <v>6</v>
      </c>
      <c r="AI63" s="637"/>
      <c r="AJ63" s="550">
        <v>3</v>
      </c>
      <c r="AK63" s="420">
        <v>3224.6153846153893</v>
      </c>
      <c r="AL63" s="420">
        <v>1074.8717948717965</v>
      </c>
      <c r="AM63" s="550">
        <f t="shared" si="19"/>
        <v>6</v>
      </c>
      <c r="AN63" s="637"/>
      <c r="AO63" s="550">
        <v>3</v>
      </c>
      <c r="AP63" s="420">
        <v>3145.7142857142817</v>
      </c>
      <c r="AQ63" s="420">
        <v>1048.5714285714273</v>
      </c>
      <c r="AR63" s="550">
        <f t="shared" si="21"/>
        <v>6</v>
      </c>
      <c r="AS63" s="637"/>
      <c r="AT63" s="550">
        <v>3</v>
      </c>
      <c r="AU63" s="420">
        <v>3151.9148936170218</v>
      </c>
      <c r="AV63" s="420">
        <v>1050.6382978723407</v>
      </c>
      <c r="AW63" s="550">
        <f t="shared" si="23"/>
        <v>8</v>
      </c>
      <c r="AX63" s="637"/>
      <c r="AZ63" s="406" t="e">
        <f t="shared" si="25"/>
        <v>#N/A</v>
      </c>
      <c r="BA63" s="637"/>
    </row>
    <row r="64" spans="2:53">
      <c r="B64" s="651"/>
      <c r="C64" s="301">
        <v>23</v>
      </c>
      <c r="D64" s="387" t="s">
        <v>719</v>
      </c>
      <c r="E64" s="387">
        <v>3</v>
      </c>
      <c r="F64" s="387">
        <v>3200</v>
      </c>
      <c r="G64" s="387">
        <v>1066.6666666666667</v>
      </c>
      <c r="H64" s="637"/>
      <c r="I64" s="395">
        <f t="shared" si="27"/>
        <v>3</v>
      </c>
      <c r="J64" s="395">
        <f t="shared" si="28"/>
        <v>3184.6083148139405</v>
      </c>
      <c r="K64" s="199">
        <f t="shared" si="29"/>
        <v>1061.5361049379801</v>
      </c>
      <c r="L64" s="609"/>
      <c r="M64" s="198">
        <f>RANK(K64, K$42:$K$71)</f>
        <v>3</v>
      </c>
      <c r="N64" s="629"/>
      <c r="O64" s="629"/>
      <c r="P64" s="550">
        <v>3</v>
      </c>
      <c r="Q64" s="420">
        <v>3179.0000000000032</v>
      </c>
      <c r="R64" s="420">
        <v>1059.6666666666677</v>
      </c>
      <c r="S64" s="550">
        <f t="shared" si="11"/>
        <v>4</v>
      </c>
      <c r="T64" s="637"/>
      <c r="U64" s="550">
        <v>3</v>
      </c>
      <c r="V64" s="420">
        <v>3173.7931034482872</v>
      </c>
      <c r="W64" s="420">
        <v>1057.9310344827625</v>
      </c>
      <c r="X64" s="550">
        <f t="shared" si="13"/>
        <v>6</v>
      </c>
      <c r="Y64" s="637"/>
      <c r="Z64" s="550">
        <v>3</v>
      </c>
      <c r="AA64" s="420">
        <v>3196.1538461538426</v>
      </c>
      <c r="AB64" s="420">
        <v>1065.3846153846141</v>
      </c>
      <c r="AC64" s="550">
        <f t="shared" si="15"/>
        <v>2</v>
      </c>
      <c r="AD64" s="637"/>
      <c r="AE64" s="550">
        <v>3</v>
      </c>
      <c r="AF64" s="420">
        <v>3140.4545454545455</v>
      </c>
      <c r="AG64" s="420">
        <v>1046.8181818181818</v>
      </c>
      <c r="AH64" s="550">
        <f t="shared" si="17"/>
        <v>5</v>
      </c>
      <c r="AI64" s="637"/>
      <c r="AJ64" s="550">
        <v>3</v>
      </c>
      <c r="AK64" s="420">
        <v>3213.000000000005</v>
      </c>
      <c r="AL64" s="420">
        <v>1071.0000000000016</v>
      </c>
      <c r="AM64" s="550">
        <f t="shared" si="19"/>
        <v>7</v>
      </c>
      <c r="AN64" s="637"/>
      <c r="AO64" s="550">
        <v>3</v>
      </c>
      <c r="AP64" s="420">
        <v>3198.3673469387713</v>
      </c>
      <c r="AQ64" s="420">
        <v>1066.1224489795904</v>
      </c>
      <c r="AR64" s="550">
        <f t="shared" si="21"/>
        <v>2</v>
      </c>
      <c r="AS64" s="637"/>
      <c r="AT64" s="550">
        <v>3</v>
      </c>
      <c r="AU64" s="420">
        <v>3191.4893617021285</v>
      </c>
      <c r="AV64" s="420">
        <v>1063.8297872340429</v>
      </c>
      <c r="AW64" s="550">
        <f t="shared" si="23"/>
        <v>5</v>
      </c>
      <c r="AX64" s="637"/>
      <c r="AZ64" s="406" t="e">
        <f t="shared" si="25"/>
        <v>#N/A</v>
      </c>
      <c r="BA64" s="637"/>
    </row>
    <row r="65" spans="2:53">
      <c r="B65" s="651"/>
      <c r="C65" s="301">
        <v>24</v>
      </c>
      <c r="D65" s="387" t="s">
        <v>733</v>
      </c>
      <c r="E65" s="387">
        <v>3</v>
      </c>
      <c r="F65" s="387">
        <v>3200</v>
      </c>
      <c r="G65" s="387">
        <v>1066.6666666666667</v>
      </c>
      <c r="H65" s="637"/>
      <c r="I65" s="395">
        <f t="shared" si="27"/>
        <v>3</v>
      </c>
      <c r="J65" s="395">
        <f t="shared" si="28"/>
        <v>2990.5161363760367</v>
      </c>
      <c r="K65" s="199">
        <f t="shared" si="29"/>
        <v>996.8387121253453</v>
      </c>
      <c r="L65" s="609"/>
      <c r="M65" s="198">
        <f>RANK(K65, K$42:$K$71)</f>
        <v>11</v>
      </c>
      <c r="N65" s="629"/>
      <c r="O65" s="629"/>
      <c r="P65" s="550">
        <v>3</v>
      </c>
      <c r="Q65" s="420">
        <v>2967.5675675675689</v>
      </c>
      <c r="R65" s="420">
        <v>989.18918918918962</v>
      </c>
      <c r="S65" s="550">
        <f t="shared" si="11"/>
        <v>11</v>
      </c>
      <c r="T65" s="637"/>
      <c r="U65" s="550">
        <v>3</v>
      </c>
      <c r="V65" s="420">
        <v>2965.0000000000009</v>
      </c>
      <c r="W65" s="420">
        <v>988.3333333333336</v>
      </c>
      <c r="X65" s="550">
        <f t="shared" si="13"/>
        <v>11</v>
      </c>
      <c r="Y65" s="637"/>
      <c r="Z65" s="550">
        <v>3</v>
      </c>
      <c r="AA65" s="420">
        <v>2981.739130434783</v>
      </c>
      <c r="AB65" s="420">
        <v>993.91304347826099</v>
      </c>
      <c r="AC65" s="550">
        <f t="shared" si="15"/>
        <v>9</v>
      </c>
      <c r="AD65" s="637"/>
      <c r="AE65" s="550">
        <v>3</v>
      </c>
      <c r="AF65" s="420">
        <v>3000.9836065573759</v>
      </c>
      <c r="AG65" s="420">
        <v>1000.3278688524587</v>
      </c>
      <c r="AH65" s="550">
        <f t="shared" si="17"/>
        <v>10</v>
      </c>
      <c r="AI65" s="637"/>
      <c r="AJ65" s="550">
        <v>3</v>
      </c>
      <c r="AK65" s="420">
        <v>3044.4827586206879</v>
      </c>
      <c r="AL65" s="420">
        <v>1014.8275862068959</v>
      </c>
      <c r="AM65" s="550">
        <f t="shared" si="19"/>
        <v>10</v>
      </c>
      <c r="AN65" s="637"/>
      <c r="AO65" s="550">
        <v>3</v>
      </c>
      <c r="AP65" s="420">
        <v>2986.5671641791046</v>
      </c>
      <c r="AQ65" s="420">
        <v>995.52238805970148</v>
      </c>
      <c r="AR65" s="550">
        <f t="shared" si="21"/>
        <v>11</v>
      </c>
      <c r="AS65" s="637"/>
      <c r="AT65" s="550">
        <v>3</v>
      </c>
      <c r="AU65" s="420">
        <v>2987.2727272727302</v>
      </c>
      <c r="AV65" s="420">
        <v>995.75757575757677</v>
      </c>
      <c r="AW65" s="550">
        <f t="shared" si="23"/>
        <v>11</v>
      </c>
      <c r="AX65" s="637"/>
      <c r="AZ65" s="406" t="e">
        <f t="shared" si="25"/>
        <v>#N/A</v>
      </c>
      <c r="BA65" s="637"/>
    </row>
    <row r="66" spans="2:53">
      <c r="B66" s="651"/>
      <c r="C66" s="301">
        <v>25</v>
      </c>
      <c r="D66" s="387"/>
      <c r="E66" s="387"/>
      <c r="F66" s="387"/>
      <c r="G66" s="387"/>
      <c r="H66" s="637"/>
      <c r="I66" s="395" t="str">
        <f t="shared" si="27"/>
        <v>-</v>
      </c>
      <c r="J66" s="395" t="str">
        <f t="shared" si="28"/>
        <v>-</v>
      </c>
      <c r="K66" s="199" t="str">
        <f t="shared" si="29"/>
        <v>-</v>
      </c>
      <c r="L66" s="609"/>
      <c r="M66" s="198" t="e">
        <f>RANK(K66, K$42:$K$71)</f>
        <v>#VALUE!</v>
      </c>
      <c r="N66" s="629"/>
      <c r="O66" s="629"/>
      <c r="P66" s="550" t="s">
        <v>623</v>
      </c>
      <c r="Q66" s="420" t="s">
        <v>623</v>
      </c>
      <c r="R66" s="420" t="s">
        <v>623</v>
      </c>
      <c r="S66" s="550" t="e">
        <f t="shared" si="11"/>
        <v>#VALUE!</v>
      </c>
      <c r="T66" s="637"/>
      <c r="U66" s="550" t="s">
        <v>623</v>
      </c>
      <c r="V66" s="420" t="s">
        <v>623</v>
      </c>
      <c r="W66" s="420" t="s">
        <v>623</v>
      </c>
      <c r="X66" s="550" t="e">
        <f t="shared" si="13"/>
        <v>#VALUE!</v>
      </c>
      <c r="Y66" s="637"/>
      <c r="Z66" s="550" t="s">
        <v>623</v>
      </c>
      <c r="AA66" s="420" t="s">
        <v>623</v>
      </c>
      <c r="AB66" s="420" t="s">
        <v>623</v>
      </c>
      <c r="AC66" s="550" t="e">
        <f t="shared" si="15"/>
        <v>#VALUE!</v>
      </c>
      <c r="AD66" s="637"/>
      <c r="AE66" s="550" t="s">
        <v>623</v>
      </c>
      <c r="AF66" s="420" t="s">
        <v>623</v>
      </c>
      <c r="AG66" s="420" t="s">
        <v>623</v>
      </c>
      <c r="AH66" s="550" t="e">
        <f t="shared" si="17"/>
        <v>#VALUE!</v>
      </c>
      <c r="AI66" s="637"/>
      <c r="AJ66" s="550" t="s">
        <v>623</v>
      </c>
      <c r="AK66" s="420" t="s">
        <v>623</v>
      </c>
      <c r="AL66" s="420" t="s">
        <v>623</v>
      </c>
      <c r="AM66" s="550" t="e">
        <f t="shared" si="19"/>
        <v>#VALUE!</v>
      </c>
      <c r="AN66" s="637"/>
      <c r="AO66" s="550" t="s">
        <v>623</v>
      </c>
      <c r="AP66" s="420" t="s">
        <v>623</v>
      </c>
      <c r="AQ66" s="420" t="s">
        <v>623</v>
      </c>
      <c r="AR66" s="550" t="e">
        <f t="shared" si="21"/>
        <v>#VALUE!</v>
      </c>
      <c r="AS66" s="637"/>
      <c r="AT66" s="550" t="s">
        <v>623</v>
      </c>
      <c r="AU66" s="420" t="s">
        <v>623</v>
      </c>
      <c r="AV66" s="420" t="s">
        <v>623</v>
      </c>
      <c r="AW66" s="550" t="e">
        <f t="shared" si="23"/>
        <v>#VALUE!</v>
      </c>
      <c r="AX66" s="637"/>
      <c r="AZ66" s="406" t="e">
        <f t="shared" si="25"/>
        <v>#N/A</v>
      </c>
      <c r="BA66" s="637"/>
    </row>
    <row r="67" spans="2:53">
      <c r="B67" s="651"/>
      <c r="C67" s="301">
        <v>26</v>
      </c>
      <c r="D67" s="387"/>
      <c r="E67" s="387"/>
      <c r="F67" s="387"/>
      <c r="G67" s="387"/>
      <c r="H67" s="637"/>
      <c r="I67" s="395" t="str">
        <f t="shared" si="27"/>
        <v>-</v>
      </c>
      <c r="J67" s="395" t="str">
        <f t="shared" si="28"/>
        <v>-</v>
      </c>
      <c r="K67" s="199" t="str">
        <f t="shared" si="29"/>
        <v>-</v>
      </c>
      <c r="L67" s="609"/>
      <c r="M67" s="198" t="e">
        <f>RANK(K67, K$42:$K$71)</f>
        <v>#VALUE!</v>
      </c>
      <c r="N67" s="629"/>
      <c r="O67" s="629"/>
      <c r="P67" s="550" t="s">
        <v>623</v>
      </c>
      <c r="Q67" s="420" t="s">
        <v>623</v>
      </c>
      <c r="R67" s="420" t="s">
        <v>623</v>
      </c>
      <c r="S67" s="550" t="e">
        <f t="shared" si="11"/>
        <v>#VALUE!</v>
      </c>
      <c r="T67" s="637"/>
      <c r="U67" s="550" t="s">
        <v>623</v>
      </c>
      <c r="V67" s="420" t="s">
        <v>623</v>
      </c>
      <c r="W67" s="420" t="s">
        <v>623</v>
      </c>
      <c r="X67" s="550" t="e">
        <f t="shared" si="13"/>
        <v>#VALUE!</v>
      </c>
      <c r="Y67" s="637"/>
      <c r="Z67" s="550" t="s">
        <v>623</v>
      </c>
      <c r="AA67" s="420" t="s">
        <v>623</v>
      </c>
      <c r="AB67" s="420" t="s">
        <v>623</v>
      </c>
      <c r="AC67" s="550" t="e">
        <f t="shared" si="15"/>
        <v>#VALUE!</v>
      </c>
      <c r="AD67" s="637"/>
      <c r="AE67" s="550" t="s">
        <v>623</v>
      </c>
      <c r="AF67" s="420" t="s">
        <v>623</v>
      </c>
      <c r="AG67" s="420" t="s">
        <v>623</v>
      </c>
      <c r="AH67" s="550" t="e">
        <f t="shared" si="17"/>
        <v>#VALUE!</v>
      </c>
      <c r="AI67" s="637"/>
      <c r="AJ67" s="550" t="s">
        <v>623</v>
      </c>
      <c r="AK67" s="420" t="s">
        <v>623</v>
      </c>
      <c r="AL67" s="420" t="s">
        <v>623</v>
      </c>
      <c r="AM67" s="550" t="e">
        <f t="shared" si="19"/>
        <v>#VALUE!</v>
      </c>
      <c r="AN67" s="637"/>
      <c r="AO67" s="550" t="s">
        <v>623</v>
      </c>
      <c r="AP67" s="420" t="s">
        <v>623</v>
      </c>
      <c r="AQ67" s="420" t="s">
        <v>623</v>
      </c>
      <c r="AR67" s="550" t="e">
        <f t="shared" si="21"/>
        <v>#VALUE!</v>
      </c>
      <c r="AS67" s="637"/>
      <c r="AT67" s="550" t="s">
        <v>623</v>
      </c>
      <c r="AU67" s="420" t="s">
        <v>623</v>
      </c>
      <c r="AV67" s="420" t="s">
        <v>623</v>
      </c>
      <c r="AW67" s="550" t="e">
        <f t="shared" si="23"/>
        <v>#VALUE!</v>
      </c>
      <c r="AX67" s="637"/>
      <c r="AZ67" s="406" t="e">
        <f t="shared" si="25"/>
        <v>#N/A</v>
      </c>
      <c r="BA67" s="637"/>
    </row>
    <row r="68" spans="2:53">
      <c r="B68" s="651"/>
      <c r="C68" s="301">
        <v>27</v>
      </c>
      <c r="D68" s="387"/>
      <c r="E68" s="387"/>
      <c r="F68" s="387"/>
      <c r="G68" s="387"/>
      <c r="H68" s="637"/>
      <c r="I68" s="395" t="str">
        <f t="shared" si="27"/>
        <v>-</v>
      </c>
      <c r="J68" s="395" t="str">
        <f t="shared" si="28"/>
        <v>-</v>
      </c>
      <c r="K68" s="199" t="str">
        <f t="shared" si="29"/>
        <v>-</v>
      </c>
      <c r="L68" s="609"/>
      <c r="M68" s="198" t="e">
        <f>RANK(K68, K$42:$K$71)</f>
        <v>#VALUE!</v>
      </c>
      <c r="N68" s="629"/>
      <c r="O68" s="629"/>
      <c r="P68" s="550" t="s">
        <v>623</v>
      </c>
      <c r="Q68" s="420" t="s">
        <v>623</v>
      </c>
      <c r="R68" s="420" t="s">
        <v>623</v>
      </c>
      <c r="S68" s="550" t="e">
        <f t="shared" si="11"/>
        <v>#VALUE!</v>
      </c>
      <c r="T68" s="637"/>
      <c r="U68" s="550" t="s">
        <v>623</v>
      </c>
      <c r="V68" s="420" t="s">
        <v>623</v>
      </c>
      <c r="W68" s="420" t="s">
        <v>623</v>
      </c>
      <c r="X68" s="550" t="e">
        <f t="shared" si="13"/>
        <v>#VALUE!</v>
      </c>
      <c r="Y68" s="637"/>
      <c r="Z68" s="550" t="s">
        <v>623</v>
      </c>
      <c r="AA68" s="420" t="s">
        <v>623</v>
      </c>
      <c r="AB68" s="420" t="s">
        <v>623</v>
      </c>
      <c r="AC68" s="550" t="e">
        <f t="shared" si="15"/>
        <v>#VALUE!</v>
      </c>
      <c r="AD68" s="637"/>
      <c r="AE68" s="550" t="s">
        <v>623</v>
      </c>
      <c r="AF68" s="420" t="s">
        <v>623</v>
      </c>
      <c r="AG68" s="420" t="s">
        <v>623</v>
      </c>
      <c r="AH68" s="550" t="e">
        <f t="shared" si="17"/>
        <v>#VALUE!</v>
      </c>
      <c r="AI68" s="637"/>
      <c r="AJ68" s="550" t="s">
        <v>623</v>
      </c>
      <c r="AK68" s="420" t="s">
        <v>623</v>
      </c>
      <c r="AL68" s="420" t="s">
        <v>623</v>
      </c>
      <c r="AM68" s="550" t="e">
        <f t="shared" si="19"/>
        <v>#VALUE!</v>
      </c>
      <c r="AN68" s="637"/>
      <c r="AO68" s="550" t="s">
        <v>623</v>
      </c>
      <c r="AP68" s="420" t="s">
        <v>623</v>
      </c>
      <c r="AQ68" s="420" t="s">
        <v>623</v>
      </c>
      <c r="AR68" s="550" t="e">
        <f t="shared" si="21"/>
        <v>#VALUE!</v>
      </c>
      <c r="AS68" s="637"/>
      <c r="AT68" s="550" t="s">
        <v>623</v>
      </c>
      <c r="AU68" s="420" t="s">
        <v>623</v>
      </c>
      <c r="AV68" s="420" t="s">
        <v>623</v>
      </c>
      <c r="AW68" s="550" t="e">
        <f t="shared" si="23"/>
        <v>#VALUE!</v>
      </c>
      <c r="AX68" s="637"/>
      <c r="AZ68" s="406" t="e">
        <f t="shared" si="25"/>
        <v>#N/A</v>
      </c>
      <c r="BA68" s="637"/>
    </row>
    <row r="69" spans="2:53">
      <c r="B69" s="651"/>
      <c r="C69" s="301">
        <v>28</v>
      </c>
      <c r="D69" s="387"/>
      <c r="E69" s="387"/>
      <c r="F69" s="387"/>
      <c r="G69" s="387"/>
      <c r="H69" s="637"/>
      <c r="I69" s="395" t="str">
        <f t="shared" si="27"/>
        <v>-</v>
      </c>
      <c r="J69" s="395" t="str">
        <f t="shared" si="28"/>
        <v>-</v>
      </c>
      <c r="K69" s="199" t="str">
        <f t="shared" si="29"/>
        <v>-</v>
      </c>
      <c r="L69" s="609"/>
      <c r="M69" s="198" t="e">
        <f>RANK(K69, K$42:$K$71)</f>
        <v>#VALUE!</v>
      </c>
      <c r="N69" s="629"/>
      <c r="O69" s="629"/>
      <c r="P69" s="550" t="s">
        <v>623</v>
      </c>
      <c r="Q69" s="420" t="s">
        <v>623</v>
      </c>
      <c r="R69" s="420" t="s">
        <v>623</v>
      </c>
      <c r="S69" s="550" t="e">
        <f t="shared" si="11"/>
        <v>#VALUE!</v>
      </c>
      <c r="T69" s="637"/>
      <c r="U69" s="550" t="s">
        <v>623</v>
      </c>
      <c r="V69" s="420" t="s">
        <v>623</v>
      </c>
      <c r="W69" s="420" t="s">
        <v>623</v>
      </c>
      <c r="X69" s="550" t="e">
        <f t="shared" si="13"/>
        <v>#VALUE!</v>
      </c>
      <c r="Y69" s="637"/>
      <c r="Z69" s="550" t="s">
        <v>623</v>
      </c>
      <c r="AA69" s="420" t="s">
        <v>623</v>
      </c>
      <c r="AB69" s="420" t="s">
        <v>623</v>
      </c>
      <c r="AC69" s="550" t="e">
        <f t="shared" si="15"/>
        <v>#VALUE!</v>
      </c>
      <c r="AD69" s="637"/>
      <c r="AE69" s="550" t="s">
        <v>623</v>
      </c>
      <c r="AF69" s="420" t="s">
        <v>623</v>
      </c>
      <c r="AG69" s="420" t="s">
        <v>623</v>
      </c>
      <c r="AH69" s="550" t="e">
        <f t="shared" si="17"/>
        <v>#VALUE!</v>
      </c>
      <c r="AI69" s="637"/>
      <c r="AJ69" s="550" t="s">
        <v>623</v>
      </c>
      <c r="AK69" s="420" t="s">
        <v>623</v>
      </c>
      <c r="AL69" s="420" t="s">
        <v>623</v>
      </c>
      <c r="AM69" s="550" t="e">
        <f t="shared" si="19"/>
        <v>#VALUE!</v>
      </c>
      <c r="AN69" s="637"/>
      <c r="AO69" s="550" t="s">
        <v>623</v>
      </c>
      <c r="AP69" s="420" t="s">
        <v>623</v>
      </c>
      <c r="AQ69" s="420" t="s">
        <v>623</v>
      </c>
      <c r="AR69" s="550" t="e">
        <f t="shared" si="21"/>
        <v>#VALUE!</v>
      </c>
      <c r="AS69" s="637"/>
      <c r="AT69" s="550" t="s">
        <v>623</v>
      </c>
      <c r="AU69" s="420" t="s">
        <v>623</v>
      </c>
      <c r="AV69" s="420" t="s">
        <v>623</v>
      </c>
      <c r="AW69" s="550" t="e">
        <f t="shared" si="23"/>
        <v>#VALUE!</v>
      </c>
      <c r="AX69" s="637"/>
      <c r="AZ69" s="406" t="e">
        <f t="shared" si="25"/>
        <v>#N/A</v>
      </c>
      <c r="BA69" s="637"/>
    </row>
    <row r="70" spans="2:53">
      <c r="B70" s="651"/>
      <c r="C70" s="301">
        <v>29</v>
      </c>
      <c r="D70" s="387"/>
      <c r="E70" s="387"/>
      <c r="F70" s="387"/>
      <c r="G70" s="387"/>
      <c r="H70" s="637"/>
      <c r="I70" s="395" t="str">
        <f t="shared" si="27"/>
        <v>-</v>
      </c>
      <c r="J70" s="395" t="str">
        <f t="shared" si="28"/>
        <v>-</v>
      </c>
      <c r="K70" s="199" t="str">
        <f t="shared" si="29"/>
        <v>-</v>
      </c>
      <c r="L70" s="609"/>
      <c r="M70" s="198" t="e">
        <f>RANK(K70, K$42:$K$71)</f>
        <v>#VALUE!</v>
      </c>
      <c r="N70" s="629"/>
      <c r="O70" s="629"/>
      <c r="P70" s="550" t="s">
        <v>623</v>
      </c>
      <c r="Q70" s="420" t="s">
        <v>623</v>
      </c>
      <c r="R70" s="420" t="s">
        <v>623</v>
      </c>
      <c r="S70" s="550" t="e">
        <f t="shared" si="11"/>
        <v>#VALUE!</v>
      </c>
      <c r="T70" s="637"/>
      <c r="U70" s="550" t="s">
        <v>623</v>
      </c>
      <c r="V70" s="420" t="s">
        <v>623</v>
      </c>
      <c r="W70" s="420" t="s">
        <v>623</v>
      </c>
      <c r="X70" s="550" t="e">
        <f t="shared" si="13"/>
        <v>#VALUE!</v>
      </c>
      <c r="Y70" s="637"/>
      <c r="Z70" s="550" t="s">
        <v>623</v>
      </c>
      <c r="AA70" s="420" t="s">
        <v>623</v>
      </c>
      <c r="AB70" s="420" t="s">
        <v>623</v>
      </c>
      <c r="AC70" s="550" t="e">
        <f t="shared" si="15"/>
        <v>#VALUE!</v>
      </c>
      <c r="AD70" s="637"/>
      <c r="AE70" s="550" t="s">
        <v>623</v>
      </c>
      <c r="AF70" s="420" t="s">
        <v>623</v>
      </c>
      <c r="AG70" s="420" t="s">
        <v>623</v>
      </c>
      <c r="AH70" s="550" t="e">
        <f t="shared" si="17"/>
        <v>#VALUE!</v>
      </c>
      <c r="AI70" s="637"/>
      <c r="AJ70" s="550" t="s">
        <v>623</v>
      </c>
      <c r="AK70" s="420" t="s">
        <v>623</v>
      </c>
      <c r="AL70" s="420" t="s">
        <v>623</v>
      </c>
      <c r="AM70" s="550" t="e">
        <f t="shared" si="19"/>
        <v>#VALUE!</v>
      </c>
      <c r="AN70" s="637"/>
      <c r="AO70" s="550" t="s">
        <v>623</v>
      </c>
      <c r="AP70" s="420" t="s">
        <v>623</v>
      </c>
      <c r="AQ70" s="420" t="s">
        <v>623</v>
      </c>
      <c r="AR70" s="550" t="e">
        <f t="shared" si="21"/>
        <v>#VALUE!</v>
      </c>
      <c r="AS70" s="637"/>
      <c r="AT70" s="550" t="s">
        <v>623</v>
      </c>
      <c r="AU70" s="420" t="s">
        <v>623</v>
      </c>
      <c r="AV70" s="420" t="s">
        <v>623</v>
      </c>
      <c r="AW70" s="550" t="e">
        <f t="shared" si="23"/>
        <v>#VALUE!</v>
      </c>
      <c r="AX70" s="637"/>
      <c r="AZ70" s="406" t="e">
        <f t="shared" si="25"/>
        <v>#N/A</v>
      </c>
      <c r="BA70" s="637"/>
    </row>
    <row r="71" spans="2:53">
      <c r="B71" s="652"/>
      <c r="C71" s="301">
        <v>30</v>
      </c>
      <c r="D71" s="387"/>
      <c r="E71" s="387"/>
      <c r="F71" s="387"/>
      <c r="G71" s="387"/>
      <c r="H71" s="638"/>
      <c r="I71" s="395" t="str">
        <f t="shared" si="27"/>
        <v>-</v>
      </c>
      <c r="J71" s="395" t="str">
        <f t="shared" si="28"/>
        <v>-</v>
      </c>
      <c r="K71" s="199" t="str">
        <f t="shared" si="29"/>
        <v>-</v>
      </c>
      <c r="L71" s="610"/>
      <c r="M71" s="198" t="e">
        <f>RANK(K71, K$42:$K$71)</f>
        <v>#VALUE!</v>
      </c>
      <c r="N71" s="630"/>
      <c r="O71" s="630"/>
      <c r="P71" s="550" t="s">
        <v>623</v>
      </c>
      <c r="Q71" s="420" t="s">
        <v>623</v>
      </c>
      <c r="R71" s="420" t="s">
        <v>623</v>
      </c>
      <c r="S71" s="550" t="e">
        <f t="shared" si="11"/>
        <v>#VALUE!</v>
      </c>
      <c r="T71" s="638"/>
      <c r="U71" s="550" t="s">
        <v>623</v>
      </c>
      <c r="V71" s="420" t="s">
        <v>623</v>
      </c>
      <c r="W71" s="420" t="s">
        <v>623</v>
      </c>
      <c r="X71" s="550" t="e">
        <f t="shared" si="13"/>
        <v>#VALUE!</v>
      </c>
      <c r="Y71" s="638"/>
      <c r="Z71" s="550" t="s">
        <v>623</v>
      </c>
      <c r="AA71" s="420" t="s">
        <v>623</v>
      </c>
      <c r="AB71" s="420" t="s">
        <v>623</v>
      </c>
      <c r="AC71" s="550" t="e">
        <f t="shared" si="15"/>
        <v>#VALUE!</v>
      </c>
      <c r="AD71" s="638"/>
      <c r="AE71" s="550" t="s">
        <v>623</v>
      </c>
      <c r="AF71" s="420" t="s">
        <v>623</v>
      </c>
      <c r="AG71" s="420" t="s">
        <v>623</v>
      </c>
      <c r="AH71" s="550" t="e">
        <f t="shared" si="17"/>
        <v>#VALUE!</v>
      </c>
      <c r="AI71" s="638"/>
      <c r="AJ71" s="550" t="s">
        <v>623</v>
      </c>
      <c r="AK71" s="420" t="s">
        <v>623</v>
      </c>
      <c r="AL71" s="420" t="s">
        <v>623</v>
      </c>
      <c r="AM71" s="550" t="e">
        <f t="shared" si="19"/>
        <v>#VALUE!</v>
      </c>
      <c r="AN71" s="638"/>
      <c r="AO71" s="550" t="s">
        <v>623</v>
      </c>
      <c r="AP71" s="420" t="s">
        <v>623</v>
      </c>
      <c r="AQ71" s="420" t="s">
        <v>623</v>
      </c>
      <c r="AR71" s="550" t="e">
        <f t="shared" si="21"/>
        <v>#VALUE!</v>
      </c>
      <c r="AS71" s="638"/>
      <c r="AT71" s="550" t="s">
        <v>623</v>
      </c>
      <c r="AU71" s="420" t="s">
        <v>623</v>
      </c>
      <c r="AV71" s="420" t="s">
        <v>623</v>
      </c>
      <c r="AW71" s="550" t="e">
        <f t="shared" si="23"/>
        <v>#VALUE!</v>
      </c>
      <c r="AX71" s="638"/>
      <c r="AZ71" s="406" t="e">
        <f t="shared" si="25"/>
        <v>#N/A</v>
      </c>
      <c r="BA71" s="638"/>
    </row>
    <row r="72" spans="2:53" ht="15.75">
      <c r="B72" s="653" t="s">
        <v>163</v>
      </c>
      <c r="C72" s="654"/>
      <c r="D72" s="654"/>
      <c r="E72" s="654"/>
      <c r="F72" s="654"/>
      <c r="G72" s="654"/>
      <c r="H72" s="654"/>
      <c r="I72" s="207"/>
      <c r="J72" s="202"/>
      <c r="K72" s="207"/>
      <c r="L72" s="207"/>
      <c r="M72" s="203"/>
      <c r="N72" s="628" t="s">
        <v>156</v>
      </c>
      <c r="O72" s="628" t="s">
        <v>155</v>
      </c>
      <c r="P72" s="634">
        <f>P37+7</f>
        <v>46182</v>
      </c>
      <c r="Q72" s="635"/>
      <c r="R72" s="635"/>
      <c r="S72" s="635"/>
      <c r="T72" s="635"/>
      <c r="U72" s="631">
        <f>P72+1</f>
        <v>46183</v>
      </c>
      <c r="V72" s="632"/>
      <c r="W72" s="632"/>
      <c r="X72" s="632"/>
      <c r="Y72" s="633"/>
      <c r="Z72" s="631">
        <f>U72+1</f>
        <v>46184</v>
      </c>
      <c r="AA72" s="632"/>
      <c r="AB72" s="632"/>
      <c r="AC72" s="632"/>
      <c r="AD72" s="633"/>
      <c r="AE72" s="631">
        <f>Z72+1</f>
        <v>46185</v>
      </c>
      <c r="AF72" s="632"/>
      <c r="AG72" s="632"/>
      <c r="AH72" s="632"/>
      <c r="AI72" s="633"/>
      <c r="AJ72" s="631">
        <f>AE72+1</f>
        <v>46186</v>
      </c>
      <c r="AK72" s="632"/>
      <c r="AL72" s="632"/>
      <c r="AM72" s="632"/>
      <c r="AN72" s="633"/>
      <c r="AO72" s="631">
        <f>AJ72+1</f>
        <v>46187</v>
      </c>
      <c r="AP72" s="632"/>
      <c r="AQ72" s="632"/>
      <c r="AR72" s="632"/>
      <c r="AS72" s="633"/>
      <c r="AT72" s="631">
        <f>AO72+1</f>
        <v>46188</v>
      </c>
      <c r="AU72" s="632"/>
      <c r="AV72" s="632"/>
      <c r="AW72" s="632"/>
      <c r="AX72" s="633"/>
    </row>
    <row r="73" spans="2:53" ht="15.75">
      <c r="B73" s="642"/>
      <c r="C73" s="642"/>
      <c r="D73" s="642"/>
      <c r="E73" s="642"/>
      <c r="F73" s="642"/>
      <c r="G73" s="642"/>
      <c r="H73" s="642"/>
      <c r="I73" s="204"/>
      <c r="J73" s="204"/>
      <c r="K73" s="204"/>
      <c r="L73" s="204"/>
      <c r="M73" s="205"/>
      <c r="N73" s="630"/>
      <c r="O73" s="630"/>
      <c r="P73" s="634" t="s">
        <v>318</v>
      </c>
      <c r="Q73" s="635"/>
      <c r="R73" s="635"/>
      <c r="S73" s="635"/>
      <c r="T73" s="635"/>
      <c r="U73" s="634" t="s">
        <v>319</v>
      </c>
      <c r="V73" s="635"/>
      <c r="W73" s="635"/>
      <c r="X73" s="635"/>
      <c r="Y73" s="635"/>
      <c r="Z73" s="634" t="s">
        <v>320</v>
      </c>
      <c r="AA73" s="635"/>
      <c r="AB73" s="635"/>
      <c r="AC73" s="635"/>
      <c r="AD73" s="635"/>
      <c r="AE73" s="634" t="s">
        <v>321</v>
      </c>
      <c r="AF73" s="635"/>
      <c r="AG73" s="635"/>
      <c r="AH73" s="635"/>
      <c r="AI73" s="635"/>
      <c r="AJ73" s="634" t="s">
        <v>322</v>
      </c>
      <c r="AK73" s="635"/>
      <c r="AL73" s="635"/>
      <c r="AM73" s="635"/>
      <c r="AN73" s="635"/>
      <c r="AO73" s="634" t="s">
        <v>323</v>
      </c>
      <c r="AP73" s="635"/>
      <c r="AQ73" s="635"/>
      <c r="AR73" s="635"/>
      <c r="AS73" s="635"/>
      <c r="AT73" s="634" t="s">
        <v>324</v>
      </c>
      <c r="AU73" s="635"/>
      <c r="AV73" s="635"/>
      <c r="AW73" s="635"/>
      <c r="AX73" s="635"/>
    </row>
    <row r="74" spans="2:53">
      <c r="B74" s="628" t="s">
        <v>465</v>
      </c>
      <c r="C74" s="643" t="s">
        <v>466</v>
      </c>
      <c r="D74" s="646"/>
      <c r="E74" s="624" t="s">
        <v>467</v>
      </c>
      <c r="F74" s="625"/>
      <c r="G74" s="626"/>
      <c r="H74" s="628" t="s">
        <v>468</v>
      </c>
      <c r="I74" s="615" t="s">
        <v>469</v>
      </c>
      <c r="J74" s="616"/>
      <c r="K74" s="617"/>
      <c r="L74" s="618" t="s">
        <v>468</v>
      </c>
      <c r="M74" s="618" t="s">
        <v>470</v>
      </c>
      <c r="N74" s="628"/>
      <c r="O74" s="628" t="s">
        <v>471</v>
      </c>
      <c r="P74" s="624" t="s">
        <v>472</v>
      </c>
      <c r="Q74" s="625"/>
      <c r="R74" s="625"/>
      <c r="S74" s="626"/>
      <c r="T74" s="628" t="s">
        <v>468</v>
      </c>
      <c r="U74" s="624" t="s">
        <v>472</v>
      </c>
      <c r="V74" s="625"/>
      <c r="W74" s="625"/>
      <c r="X74" s="626"/>
      <c r="Y74" s="628" t="s">
        <v>468</v>
      </c>
      <c r="Z74" s="624" t="s">
        <v>472</v>
      </c>
      <c r="AA74" s="625"/>
      <c r="AB74" s="625"/>
      <c r="AC74" s="626"/>
      <c r="AD74" s="628" t="s">
        <v>468</v>
      </c>
      <c r="AE74" s="624" t="s">
        <v>472</v>
      </c>
      <c r="AF74" s="625"/>
      <c r="AG74" s="625"/>
      <c r="AH74" s="626"/>
      <c r="AI74" s="628" t="s">
        <v>468</v>
      </c>
      <c r="AJ74" s="624" t="s">
        <v>472</v>
      </c>
      <c r="AK74" s="625"/>
      <c r="AL74" s="625"/>
      <c r="AM74" s="626"/>
      <c r="AN74" s="628" t="s">
        <v>468</v>
      </c>
      <c r="AO74" s="624" t="s">
        <v>472</v>
      </c>
      <c r="AP74" s="625"/>
      <c r="AQ74" s="625"/>
      <c r="AR74" s="626"/>
      <c r="AS74" s="628" t="s">
        <v>468</v>
      </c>
      <c r="AT74" s="624" t="s">
        <v>472</v>
      </c>
      <c r="AU74" s="625"/>
      <c r="AV74" s="625"/>
      <c r="AW74" s="626"/>
      <c r="AX74" s="628" t="s">
        <v>468</v>
      </c>
      <c r="BA74" s="628" t="s">
        <v>371</v>
      </c>
    </row>
    <row r="75" spans="2:53">
      <c r="B75" s="629"/>
      <c r="C75" s="644"/>
      <c r="D75" s="647"/>
      <c r="E75" s="624" t="s">
        <v>473</v>
      </c>
      <c r="F75" s="625"/>
      <c r="G75" s="626"/>
      <c r="H75" s="629"/>
      <c r="I75" s="615" t="s">
        <v>473</v>
      </c>
      <c r="J75" s="616"/>
      <c r="K75" s="617"/>
      <c r="L75" s="619"/>
      <c r="M75" s="619"/>
      <c r="N75" s="629"/>
      <c r="O75" s="629"/>
      <c r="P75" s="624" t="s">
        <v>474</v>
      </c>
      <c r="Q75" s="625"/>
      <c r="R75" s="625"/>
      <c r="S75" s="626"/>
      <c r="T75" s="629"/>
      <c r="U75" s="624" t="s">
        <v>474</v>
      </c>
      <c r="V75" s="625"/>
      <c r="W75" s="625"/>
      <c r="X75" s="626"/>
      <c r="Y75" s="629"/>
      <c r="Z75" s="624" t="s">
        <v>474</v>
      </c>
      <c r="AA75" s="625"/>
      <c r="AB75" s="625"/>
      <c r="AC75" s="626"/>
      <c r="AD75" s="629"/>
      <c r="AE75" s="624" t="s">
        <v>474</v>
      </c>
      <c r="AF75" s="625"/>
      <c r="AG75" s="625"/>
      <c r="AH75" s="626"/>
      <c r="AI75" s="629"/>
      <c r="AJ75" s="624" t="s">
        <v>474</v>
      </c>
      <c r="AK75" s="625"/>
      <c r="AL75" s="625"/>
      <c r="AM75" s="626"/>
      <c r="AN75" s="629"/>
      <c r="AO75" s="624" t="s">
        <v>474</v>
      </c>
      <c r="AP75" s="625"/>
      <c r="AQ75" s="625"/>
      <c r="AR75" s="626"/>
      <c r="AS75" s="629"/>
      <c r="AT75" s="624" t="s">
        <v>474</v>
      </c>
      <c r="AU75" s="625"/>
      <c r="AV75" s="625"/>
      <c r="AW75" s="626"/>
      <c r="AX75" s="629"/>
      <c r="BA75" s="629"/>
    </row>
    <row r="76" spans="2:53">
      <c r="B76" s="630"/>
      <c r="C76" s="645"/>
      <c r="D76" s="648"/>
      <c r="E76" s="303" t="s">
        <v>475</v>
      </c>
      <c r="F76" s="303" t="s">
        <v>476</v>
      </c>
      <c r="G76" s="303" t="s">
        <v>477</v>
      </c>
      <c r="H76" s="630"/>
      <c r="I76" s="302" t="s">
        <v>475</v>
      </c>
      <c r="J76" s="302" t="s">
        <v>476</v>
      </c>
      <c r="K76" s="302" t="s">
        <v>477</v>
      </c>
      <c r="L76" s="620"/>
      <c r="M76" s="620"/>
      <c r="N76" s="629"/>
      <c r="O76" s="629"/>
      <c r="P76" s="303" t="s">
        <v>475</v>
      </c>
      <c r="Q76" s="303" t="s">
        <v>476</v>
      </c>
      <c r="R76" s="303" t="s">
        <v>477</v>
      </c>
      <c r="S76" s="303" t="s">
        <v>470</v>
      </c>
      <c r="T76" s="630"/>
      <c r="U76" s="303" t="s">
        <v>475</v>
      </c>
      <c r="V76" s="303" t="s">
        <v>476</v>
      </c>
      <c r="W76" s="303" t="s">
        <v>477</v>
      </c>
      <c r="X76" s="303" t="s">
        <v>470</v>
      </c>
      <c r="Y76" s="630"/>
      <c r="Z76" s="303" t="s">
        <v>475</v>
      </c>
      <c r="AA76" s="303" t="s">
        <v>476</v>
      </c>
      <c r="AB76" s="303" t="s">
        <v>477</v>
      </c>
      <c r="AC76" s="303" t="s">
        <v>470</v>
      </c>
      <c r="AD76" s="630"/>
      <c r="AE76" s="303" t="s">
        <v>475</v>
      </c>
      <c r="AF76" s="303" t="s">
        <v>476</v>
      </c>
      <c r="AG76" s="303" t="s">
        <v>477</v>
      </c>
      <c r="AH76" s="303" t="s">
        <v>470</v>
      </c>
      <c r="AI76" s="630"/>
      <c r="AJ76" s="303" t="s">
        <v>475</v>
      </c>
      <c r="AK76" s="303" t="s">
        <v>476</v>
      </c>
      <c r="AL76" s="303" t="s">
        <v>477</v>
      </c>
      <c r="AM76" s="303" t="s">
        <v>470</v>
      </c>
      <c r="AN76" s="630"/>
      <c r="AO76" s="303" t="s">
        <v>475</v>
      </c>
      <c r="AP76" s="303" t="s">
        <v>476</v>
      </c>
      <c r="AQ76" s="303" t="s">
        <v>477</v>
      </c>
      <c r="AR76" s="303" t="s">
        <v>470</v>
      </c>
      <c r="AS76" s="630"/>
      <c r="AT76" s="303" t="s">
        <v>475</v>
      </c>
      <c r="AU76" s="303" t="s">
        <v>476</v>
      </c>
      <c r="AV76" s="303" t="s">
        <v>477</v>
      </c>
      <c r="AW76" s="303" t="s">
        <v>470</v>
      </c>
      <c r="AX76" s="630"/>
      <c r="AZ76" s="407" t="s">
        <v>372</v>
      </c>
      <c r="BA76" s="630"/>
    </row>
    <row r="77" spans="2:53">
      <c r="B77" s="650" t="s">
        <v>150</v>
      </c>
      <c r="C77" s="304">
        <v>1</v>
      </c>
      <c r="D77" s="413"/>
      <c r="E77" s="413"/>
      <c r="F77" s="413"/>
      <c r="G77" s="420"/>
      <c r="H77" s="636" t="e">
        <f>AVERAGE(G77:G106)</f>
        <v>#DIV/0!</v>
      </c>
      <c r="I77" s="395" t="str">
        <f>IFERROR(AVERAGE(P77,U77,Z77,AE77,AJ77,AO77,AT77),"-")</f>
        <v>-</v>
      </c>
      <c r="J77" s="395" t="str">
        <f>IFERROR(AVERAGE(Q77,V77,AA77,AF77,AK77,AP77,AU77),"-")</f>
        <v>-</v>
      </c>
      <c r="K77" s="199" t="str">
        <f>IFERROR(AVERAGE(R77,W77,AB77,AG77,AL77,AQ77,AV77),"-")</f>
        <v>-</v>
      </c>
      <c r="L77" s="621" t="str">
        <f>IFERROR(AVERAGE(K77:K106),"-")</f>
        <v>-</v>
      </c>
      <c r="M77" s="198" t="e">
        <f>RANK(K77, K$77:$K$106)</f>
        <v>#VALUE!</v>
      </c>
      <c r="N77" s="629"/>
      <c r="O77" s="629"/>
      <c r="P77" s="420"/>
      <c r="Q77" s="420"/>
      <c r="R77" s="420"/>
      <c r="S77" s="500"/>
      <c r="T77" s="636"/>
      <c r="U77" s="420"/>
      <c r="V77" s="420"/>
      <c r="W77" s="420"/>
      <c r="X77" s="500"/>
      <c r="Y77" s="636"/>
      <c r="Z77" s="420"/>
      <c r="AA77" s="420"/>
      <c r="AB77" s="420"/>
      <c r="AC77" s="500"/>
      <c r="AD77" s="636"/>
      <c r="AE77" s="420"/>
      <c r="AF77" s="420"/>
      <c r="AG77" s="420"/>
      <c r="AH77" s="500"/>
      <c r="AI77" s="636"/>
      <c r="AJ77" s="420"/>
      <c r="AK77" s="420"/>
      <c r="AL77" s="420"/>
      <c r="AM77" s="500"/>
      <c r="AN77" s="636"/>
      <c r="AO77" s="420"/>
      <c r="AP77" s="420"/>
      <c r="AQ77" s="420"/>
      <c r="AR77" s="500"/>
      <c r="AS77" s="636"/>
      <c r="AT77" s="420"/>
      <c r="AU77" s="420"/>
      <c r="AV77" s="420"/>
      <c r="AW77" s="500"/>
      <c r="AX77" s="636"/>
      <c r="AZ77" s="406" t="e">
        <f t="shared" ref="AZ77:AZ106" si="30">RANK(AY77, AY$77:AY$106)</f>
        <v>#N/A</v>
      </c>
      <c r="BA77" s="636" t="e">
        <f t="shared" ref="BA77" si="31">AVERAGE(AY77:AY106)</f>
        <v>#DIV/0!</v>
      </c>
    </row>
    <row r="78" spans="2:53">
      <c r="B78" s="651"/>
      <c r="C78" s="304">
        <v>2</v>
      </c>
      <c r="D78" s="412"/>
      <c r="E78" s="413"/>
      <c r="F78" s="413"/>
      <c r="G78" s="420"/>
      <c r="H78" s="637"/>
      <c r="I78" s="395" t="str">
        <f t="shared" ref="I78:I106" si="32">IFERROR(AVERAGE(P78,U78,Z78,AE78,AJ78,AO78,AT78),"-")</f>
        <v>-</v>
      </c>
      <c r="J78" s="395" t="str">
        <f t="shared" ref="J78:J106" si="33">IFERROR(AVERAGE(Q78,V78,AA78,AF78,AK78,AP78,AU78),"-")</f>
        <v>-</v>
      </c>
      <c r="K78" s="199" t="str">
        <f t="shared" ref="K78:K106" si="34">IFERROR(AVERAGE(R78,W78,AB78,AG78,AL78,AQ78,AV78),"-")</f>
        <v>-</v>
      </c>
      <c r="L78" s="622"/>
      <c r="M78" s="198" t="e">
        <f>RANK(K78, K$77:$K$106)</f>
        <v>#VALUE!</v>
      </c>
      <c r="N78" s="629"/>
      <c r="O78" s="629"/>
      <c r="P78" s="420"/>
      <c r="Q78" s="420"/>
      <c r="R78" s="420"/>
      <c r="S78" s="500"/>
      <c r="T78" s="637"/>
      <c r="U78" s="420"/>
      <c r="V78" s="420"/>
      <c r="W78" s="420"/>
      <c r="X78" s="500"/>
      <c r="Y78" s="637"/>
      <c r="Z78" s="420"/>
      <c r="AA78" s="420"/>
      <c r="AB78" s="420"/>
      <c r="AC78" s="500"/>
      <c r="AD78" s="637"/>
      <c r="AE78" s="420"/>
      <c r="AF78" s="420"/>
      <c r="AG78" s="420"/>
      <c r="AH78" s="500"/>
      <c r="AI78" s="637"/>
      <c r="AJ78" s="420"/>
      <c r="AK78" s="420"/>
      <c r="AL78" s="420"/>
      <c r="AM78" s="500"/>
      <c r="AN78" s="637"/>
      <c r="AO78" s="420"/>
      <c r="AP78" s="420"/>
      <c r="AQ78" s="420"/>
      <c r="AR78" s="500"/>
      <c r="AS78" s="637"/>
      <c r="AT78" s="420"/>
      <c r="AU78" s="420"/>
      <c r="AV78" s="420"/>
      <c r="AW78" s="500"/>
      <c r="AX78" s="637"/>
      <c r="AZ78" s="406" t="e">
        <f t="shared" si="30"/>
        <v>#N/A</v>
      </c>
      <c r="BA78" s="637"/>
    </row>
    <row r="79" spans="2:53">
      <c r="B79" s="651"/>
      <c r="C79" s="304">
        <v>3</v>
      </c>
      <c r="D79" s="413"/>
      <c r="E79" s="413"/>
      <c r="F79" s="413"/>
      <c r="G79" s="420"/>
      <c r="H79" s="637"/>
      <c r="I79" s="395" t="str">
        <f t="shared" si="32"/>
        <v>-</v>
      </c>
      <c r="J79" s="395" t="str">
        <f t="shared" si="33"/>
        <v>-</v>
      </c>
      <c r="K79" s="199" t="str">
        <f t="shared" si="34"/>
        <v>-</v>
      </c>
      <c r="L79" s="622"/>
      <c r="M79" s="198" t="e">
        <f>RANK(K79, K$77:$K$106)</f>
        <v>#VALUE!</v>
      </c>
      <c r="N79" s="629"/>
      <c r="O79" s="629"/>
      <c r="P79" s="420"/>
      <c r="Q79" s="420"/>
      <c r="R79" s="420"/>
      <c r="S79" s="500"/>
      <c r="T79" s="637"/>
      <c r="U79" s="420"/>
      <c r="V79" s="420"/>
      <c r="W79" s="420"/>
      <c r="X79" s="500"/>
      <c r="Y79" s="637"/>
      <c r="Z79" s="420"/>
      <c r="AA79" s="420"/>
      <c r="AB79" s="420"/>
      <c r="AC79" s="500"/>
      <c r="AD79" s="637"/>
      <c r="AE79" s="420"/>
      <c r="AF79" s="420"/>
      <c r="AG79" s="420"/>
      <c r="AH79" s="500"/>
      <c r="AI79" s="637"/>
      <c r="AJ79" s="420"/>
      <c r="AK79" s="420"/>
      <c r="AL79" s="420"/>
      <c r="AM79" s="500"/>
      <c r="AN79" s="637"/>
      <c r="AO79" s="420"/>
      <c r="AP79" s="420"/>
      <c r="AQ79" s="420"/>
      <c r="AR79" s="500"/>
      <c r="AS79" s="637"/>
      <c r="AT79" s="420"/>
      <c r="AU79" s="420"/>
      <c r="AV79" s="420"/>
      <c r="AW79" s="500"/>
      <c r="AX79" s="637"/>
      <c r="AZ79" s="406" t="e">
        <f t="shared" si="30"/>
        <v>#N/A</v>
      </c>
      <c r="BA79" s="637"/>
    </row>
    <row r="80" spans="2:53">
      <c r="B80" s="651"/>
      <c r="C80" s="304">
        <v>4</v>
      </c>
      <c r="D80" s="413"/>
      <c r="E80" s="413"/>
      <c r="F80" s="413"/>
      <c r="G80" s="420"/>
      <c r="H80" s="637"/>
      <c r="I80" s="395" t="str">
        <f t="shared" si="32"/>
        <v>-</v>
      </c>
      <c r="J80" s="395" t="str">
        <f t="shared" si="33"/>
        <v>-</v>
      </c>
      <c r="K80" s="199" t="str">
        <f t="shared" si="34"/>
        <v>-</v>
      </c>
      <c r="L80" s="622"/>
      <c r="M80" s="198" t="e">
        <f>RANK(K80, K$77:$K$106)</f>
        <v>#VALUE!</v>
      </c>
      <c r="N80" s="629"/>
      <c r="O80" s="629"/>
      <c r="P80" s="420"/>
      <c r="Q80" s="420"/>
      <c r="R80" s="420"/>
      <c r="S80" s="500"/>
      <c r="T80" s="637"/>
      <c r="U80" s="420"/>
      <c r="V80" s="420"/>
      <c r="W80" s="420"/>
      <c r="X80" s="500"/>
      <c r="Y80" s="637"/>
      <c r="Z80" s="420"/>
      <c r="AA80" s="420"/>
      <c r="AB80" s="420"/>
      <c r="AC80" s="500"/>
      <c r="AD80" s="637"/>
      <c r="AE80" s="420"/>
      <c r="AF80" s="420"/>
      <c r="AG80" s="420"/>
      <c r="AH80" s="500"/>
      <c r="AI80" s="637"/>
      <c r="AJ80" s="420"/>
      <c r="AK80" s="420"/>
      <c r="AL80" s="420"/>
      <c r="AM80" s="500"/>
      <c r="AN80" s="637"/>
      <c r="AO80" s="420"/>
      <c r="AP80" s="420"/>
      <c r="AQ80" s="420"/>
      <c r="AR80" s="500"/>
      <c r="AS80" s="637"/>
      <c r="AT80" s="420"/>
      <c r="AU80" s="420"/>
      <c r="AV80" s="420"/>
      <c r="AW80" s="500"/>
      <c r="AX80" s="637"/>
      <c r="AZ80" s="406" t="e">
        <f t="shared" si="30"/>
        <v>#N/A</v>
      </c>
      <c r="BA80" s="637"/>
    </row>
    <row r="81" spans="2:53">
      <c r="B81" s="651"/>
      <c r="C81" s="304">
        <v>5</v>
      </c>
      <c r="D81" s="413"/>
      <c r="E81" s="413"/>
      <c r="F81" s="413"/>
      <c r="G81" s="420"/>
      <c r="H81" s="637"/>
      <c r="I81" s="395" t="str">
        <f t="shared" si="32"/>
        <v>-</v>
      </c>
      <c r="J81" s="395" t="str">
        <f t="shared" si="33"/>
        <v>-</v>
      </c>
      <c r="K81" s="199" t="str">
        <f t="shared" si="34"/>
        <v>-</v>
      </c>
      <c r="L81" s="622"/>
      <c r="M81" s="198" t="e">
        <f>RANK(K81, K$77:$K$106)</f>
        <v>#VALUE!</v>
      </c>
      <c r="N81" s="629"/>
      <c r="O81" s="629"/>
      <c r="P81" s="420"/>
      <c r="Q81" s="420"/>
      <c r="R81" s="420"/>
      <c r="S81" s="500"/>
      <c r="T81" s="637"/>
      <c r="U81" s="420"/>
      <c r="V81" s="420"/>
      <c r="W81" s="420"/>
      <c r="X81" s="500"/>
      <c r="Y81" s="637"/>
      <c r="Z81" s="420"/>
      <c r="AA81" s="420"/>
      <c r="AB81" s="420"/>
      <c r="AC81" s="500"/>
      <c r="AD81" s="637"/>
      <c r="AE81" s="420"/>
      <c r="AF81" s="420"/>
      <c r="AG81" s="420"/>
      <c r="AH81" s="500"/>
      <c r="AI81" s="637"/>
      <c r="AJ81" s="420"/>
      <c r="AK81" s="420"/>
      <c r="AL81" s="420"/>
      <c r="AM81" s="500"/>
      <c r="AN81" s="637"/>
      <c r="AO81" s="420"/>
      <c r="AP81" s="420"/>
      <c r="AQ81" s="420"/>
      <c r="AR81" s="500"/>
      <c r="AS81" s="637"/>
      <c r="AT81" s="420"/>
      <c r="AU81" s="420"/>
      <c r="AV81" s="420"/>
      <c r="AW81" s="500"/>
      <c r="AX81" s="637"/>
      <c r="AZ81" s="406" t="e">
        <f t="shared" si="30"/>
        <v>#N/A</v>
      </c>
      <c r="BA81" s="637"/>
    </row>
    <row r="82" spans="2:53">
      <c r="B82" s="651"/>
      <c r="C82" s="304">
        <v>6</v>
      </c>
      <c r="D82" s="413"/>
      <c r="E82" s="413"/>
      <c r="F82" s="413"/>
      <c r="G82" s="420"/>
      <c r="H82" s="637"/>
      <c r="I82" s="395" t="str">
        <f t="shared" si="32"/>
        <v>-</v>
      </c>
      <c r="J82" s="395" t="str">
        <f t="shared" si="33"/>
        <v>-</v>
      </c>
      <c r="K82" s="199" t="str">
        <f t="shared" si="34"/>
        <v>-</v>
      </c>
      <c r="L82" s="622"/>
      <c r="M82" s="198" t="e">
        <f>RANK(K82, K$77:$K$106)</f>
        <v>#VALUE!</v>
      </c>
      <c r="N82" s="629"/>
      <c r="O82" s="629"/>
      <c r="P82" s="420"/>
      <c r="Q82" s="420"/>
      <c r="R82" s="420"/>
      <c r="S82" s="500"/>
      <c r="T82" s="637"/>
      <c r="U82" s="420"/>
      <c r="V82" s="420"/>
      <c r="W82" s="420"/>
      <c r="X82" s="500"/>
      <c r="Y82" s="637"/>
      <c r="Z82" s="420"/>
      <c r="AA82" s="420"/>
      <c r="AB82" s="420"/>
      <c r="AC82" s="500"/>
      <c r="AD82" s="637"/>
      <c r="AE82" s="420"/>
      <c r="AF82" s="420"/>
      <c r="AG82" s="420"/>
      <c r="AH82" s="500"/>
      <c r="AI82" s="637"/>
      <c r="AJ82" s="420"/>
      <c r="AK82" s="420"/>
      <c r="AL82" s="420"/>
      <c r="AM82" s="500"/>
      <c r="AN82" s="637"/>
      <c r="AO82" s="420"/>
      <c r="AP82" s="420"/>
      <c r="AQ82" s="420"/>
      <c r="AR82" s="500"/>
      <c r="AS82" s="637"/>
      <c r="AT82" s="420"/>
      <c r="AU82" s="420"/>
      <c r="AV82" s="420"/>
      <c r="AW82" s="500"/>
      <c r="AX82" s="637"/>
      <c r="AZ82" s="406" t="e">
        <f t="shared" si="30"/>
        <v>#N/A</v>
      </c>
      <c r="BA82" s="637"/>
    </row>
    <row r="83" spans="2:53">
      <c r="B83" s="651"/>
      <c r="C83" s="304">
        <v>7</v>
      </c>
      <c r="D83" s="413"/>
      <c r="E83" s="413"/>
      <c r="F83" s="413"/>
      <c r="G83" s="420"/>
      <c r="H83" s="637"/>
      <c r="I83" s="395" t="str">
        <f t="shared" si="32"/>
        <v>-</v>
      </c>
      <c r="J83" s="395" t="str">
        <f t="shared" si="33"/>
        <v>-</v>
      </c>
      <c r="K83" s="199" t="str">
        <f t="shared" si="34"/>
        <v>-</v>
      </c>
      <c r="L83" s="622"/>
      <c r="M83" s="198" t="e">
        <f>RANK(K83, K$77:$K$106)</f>
        <v>#VALUE!</v>
      </c>
      <c r="N83" s="629"/>
      <c r="O83" s="629"/>
      <c r="P83" s="420"/>
      <c r="Q83" s="420"/>
      <c r="R83" s="420"/>
      <c r="S83" s="500"/>
      <c r="T83" s="637"/>
      <c r="U83" s="420"/>
      <c r="V83" s="420"/>
      <c r="W83" s="420"/>
      <c r="X83" s="500"/>
      <c r="Y83" s="637"/>
      <c r="Z83" s="420"/>
      <c r="AA83" s="420"/>
      <c r="AB83" s="420"/>
      <c r="AC83" s="500"/>
      <c r="AD83" s="637"/>
      <c r="AE83" s="420"/>
      <c r="AF83" s="420"/>
      <c r="AG83" s="420"/>
      <c r="AH83" s="500"/>
      <c r="AI83" s="637"/>
      <c r="AJ83" s="420"/>
      <c r="AK83" s="420"/>
      <c r="AL83" s="420"/>
      <c r="AM83" s="500"/>
      <c r="AN83" s="637"/>
      <c r="AO83" s="420"/>
      <c r="AP83" s="420"/>
      <c r="AQ83" s="420"/>
      <c r="AR83" s="500"/>
      <c r="AS83" s="637"/>
      <c r="AT83" s="420"/>
      <c r="AU83" s="420"/>
      <c r="AV83" s="420"/>
      <c r="AW83" s="500"/>
      <c r="AX83" s="637"/>
      <c r="AZ83" s="406" t="e">
        <f t="shared" si="30"/>
        <v>#N/A</v>
      </c>
      <c r="BA83" s="637"/>
    </row>
    <row r="84" spans="2:53">
      <c r="B84" s="651"/>
      <c r="C84" s="304">
        <v>8</v>
      </c>
      <c r="D84" s="413"/>
      <c r="E84" s="413"/>
      <c r="F84" s="413"/>
      <c r="G84" s="420"/>
      <c r="H84" s="637"/>
      <c r="I84" s="395" t="str">
        <f t="shared" si="32"/>
        <v>-</v>
      </c>
      <c r="J84" s="395" t="str">
        <f t="shared" si="33"/>
        <v>-</v>
      </c>
      <c r="K84" s="199" t="str">
        <f t="shared" si="34"/>
        <v>-</v>
      </c>
      <c r="L84" s="622"/>
      <c r="M84" s="198" t="e">
        <f>RANK(K84, K$77:$K$106)</f>
        <v>#VALUE!</v>
      </c>
      <c r="N84" s="629"/>
      <c r="O84" s="629"/>
      <c r="P84" s="420"/>
      <c r="Q84" s="420"/>
      <c r="R84" s="420"/>
      <c r="S84" s="500"/>
      <c r="T84" s="637"/>
      <c r="U84" s="420"/>
      <c r="V84" s="420"/>
      <c r="W84" s="420"/>
      <c r="X84" s="500"/>
      <c r="Y84" s="637"/>
      <c r="Z84" s="420"/>
      <c r="AA84" s="420"/>
      <c r="AB84" s="420"/>
      <c r="AC84" s="500"/>
      <c r="AD84" s="637"/>
      <c r="AE84" s="420"/>
      <c r="AF84" s="420"/>
      <c r="AG84" s="420"/>
      <c r="AH84" s="500"/>
      <c r="AI84" s="637"/>
      <c r="AJ84" s="420"/>
      <c r="AK84" s="420"/>
      <c r="AL84" s="420"/>
      <c r="AM84" s="500"/>
      <c r="AN84" s="637"/>
      <c r="AO84" s="420"/>
      <c r="AP84" s="420"/>
      <c r="AQ84" s="420"/>
      <c r="AR84" s="500"/>
      <c r="AS84" s="637"/>
      <c r="AT84" s="420"/>
      <c r="AU84" s="420"/>
      <c r="AV84" s="420"/>
      <c r="AW84" s="500"/>
      <c r="AX84" s="637"/>
      <c r="AZ84" s="406" t="e">
        <f t="shared" si="30"/>
        <v>#N/A</v>
      </c>
      <c r="BA84" s="637"/>
    </row>
    <row r="85" spans="2:53">
      <c r="B85" s="651"/>
      <c r="C85" s="304">
        <v>9</v>
      </c>
      <c r="D85" s="413"/>
      <c r="E85" s="413"/>
      <c r="F85" s="413"/>
      <c r="G85" s="420"/>
      <c r="H85" s="637"/>
      <c r="I85" s="395" t="str">
        <f t="shared" si="32"/>
        <v>-</v>
      </c>
      <c r="J85" s="395" t="str">
        <f t="shared" si="33"/>
        <v>-</v>
      </c>
      <c r="K85" s="199" t="str">
        <f t="shared" si="34"/>
        <v>-</v>
      </c>
      <c r="L85" s="622"/>
      <c r="M85" s="198" t="e">
        <f>RANK(K85, K$77:$K$106)</f>
        <v>#VALUE!</v>
      </c>
      <c r="N85" s="629"/>
      <c r="O85" s="629"/>
      <c r="P85" s="420"/>
      <c r="Q85" s="420"/>
      <c r="R85" s="420"/>
      <c r="S85" s="500"/>
      <c r="T85" s="637"/>
      <c r="U85" s="420"/>
      <c r="V85" s="420"/>
      <c r="W85" s="420"/>
      <c r="X85" s="500"/>
      <c r="Y85" s="637"/>
      <c r="Z85" s="420"/>
      <c r="AA85" s="420"/>
      <c r="AB85" s="420"/>
      <c r="AC85" s="500"/>
      <c r="AD85" s="637"/>
      <c r="AE85" s="420"/>
      <c r="AF85" s="420"/>
      <c r="AG85" s="420"/>
      <c r="AH85" s="500"/>
      <c r="AI85" s="637"/>
      <c r="AJ85" s="420"/>
      <c r="AK85" s="420"/>
      <c r="AL85" s="420"/>
      <c r="AM85" s="500"/>
      <c r="AN85" s="637"/>
      <c r="AO85" s="420"/>
      <c r="AP85" s="420"/>
      <c r="AQ85" s="420"/>
      <c r="AR85" s="500"/>
      <c r="AS85" s="637"/>
      <c r="AT85" s="420"/>
      <c r="AU85" s="420"/>
      <c r="AV85" s="420"/>
      <c r="AW85" s="500"/>
      <c r="AX85" s="637"/>
      <c r="AZ85" s="406" t="e">
        <f t="shared" si="30"/>
        <v>#N/A</v>
      </c>
      <c r="BA85" s="637"/>
    </row>
    <row r="86" spans="2:53">
      <c r="B86" s="651"/>
      <c r="C86" s="304">
        <v>10</v>
      </c>
      <c r="D86" s="413"/>
      <c r="E86" s="413"/>
      <c r="F86" s="413"/>
      <c r="G86" s="420"/>
      <c r="H86" s="637"/>
      <c r="I86" s="395" t="str">
        <f t="shared" si="32"/>
        <v>-</v>
      </c>
      <c r="J86" s="395" t="str">
        <f t="shared" si="33"/>
        <v>-</v>
      </c>
      <c r="K86" s="199" t="str">
        <f t="shared" si="34"/>
        <v>-</v>
      </c>
      <c r="L86" s="622"/>
      <c r="M86" s="198" t="e">
        <f>RANK(K86, K$77:$K$106)</f>
        <v>#VALUE!</v>
      </c>
      <c r="N86" s="629"/>
      <c r="O86" s="629"/>
      <c r="P86" s="420"/>
      <c r="Q86" s="420"/>
      <c r="R86" s="420"/>
      <c r="S86" s="500"/>
      <c r="T86" s="637"/>
      <c r="U86" s="420"/>
      <c r="V86" s="420"/>
      <c r="W86" s="420"/>
      <c r="X86" s="500"/>
      <c r="Y86" s="637"/>
      <c r="Z86" s="420"/>
      <c r="AA86" s="420"/>
      <c r="AB86" s="420"/>
      <c r="AC86" s="500"/>
      <c r="AD86" s="637"/>
      <c r="AE86" s="420"/>
      <c r="AF86" s="420"/>
      <c r="AG86" s="420"/>
      <c r="AH86" s="500"/>
      <c r="AI86" s="637"/>
      <c r="AJ86" s="420"/>
      <c r="AK86" s="420"/>
      <c r="AL86" s="420"/>
      <c r="AM86" s="500"/>
      <c r="AN86" s="637"/>
      <c r="AO86" s="420"/>
      <c r="AP86" s="420"/>
      <c r="AQ86" s="420"/>
      <c r="AR86" s="500"/>
      <c r="AS86" s="637"/>
      <c r="AT86" s="420"/>
      <c r="AU86" s="420"/>
      <c r="AV86" s="420"/>
      <c r="AW86" s="500"/>
      <c r="AX86" s="637"/>
      <c r="AZ86" s="406" t="e">
        <f t="shared" si="30"/>
        <v>#N/A</v>
      </c>
      <c r="BA86" s="637"/>
    </row>
    <row r="87" spans="2:53">
      <c r="B87" s="651"/>
      <c r="C87" s="304">
        <v>11</v>
      </c>
      <c r="D87" s="413"/>
      <c r="E87" s="413"/>
      <c r="F87" s="413"/>
      <c r="G87" s="420"/>
      <c r="H87" s="637"/>
      <c r="I87" s="395" t="str">
        <f t="shared" si="32"/>
        <v>-</v>
      </c>
      <c r="J87" s="395" t="str">
        <f t="shared" si="33"/>
        <v>-</v>
      </c>
      <c r="K87" s="199" t="str">
        <f t="shared" si="34"/>
        <v>-</v>
      </c>
      <c r="L87" s="622"/>
      <c r="M87" s="198" t="e">
        <f>RANK(K87, K$77:$K$106)</f>
        <v>#VALUE!</v>
      </c>
      <c r="N87" s="629"/>
      <c r="O87" s="629"/>
      <c r="P87" s="420"/>
      <c r="Q87" s="420"/>
      <c r="R87" s="420"/>
      <c r="S87" s="500"/>
      <c r="T87" s="637"/>
      <c r="U87" s="420"/>
      <c r="V87" s="420"/>
      <c r="W87" s="420"/>
      <c r="X87" s="500"/>
      <c r="Y87" s="637"/>
      <c r="Z87" s="420"/>
      <c r="AA87" s="420"/>
      <c r="AB87" s="420"/>
      <c r="AC87" s="500"/>
      <c r="AD87" s="637"/>
      <c r="AE87" s="420"/>
      <c r="AF87" s="420"/>
      <c r="AG87" s="420"/>
      <c r="AH87" s="500"/>
      <c r="AI87" s="637"/>
      <c r="AJ87" s="420"/>
      <c r="AK87" s="420"/>
      <c r="AL87" s="420"/>
      <c r="AM87" s="500"/>
      <c r="AN87" s="637"/>
      <c r="AO87" s="420"/>
      <c r="AP87" s="420"/>
      <c r="AQ87" s="420"/>
      <c r="AR87" s="500"/>
      <c r="AS87" s="637"/>
      <c r="AT87" s="420"/>
      <c r="AU87" s="420"/>
      <c r="AV87" s="420"/>
      <c r="AW87" s="500"/>
      <c r="AX87" s="637"/>
      <c r="AZ87" s="406" t="e">
        <f t="shared" si="30"/>
        <v>#N/A</v>
      </c>
      <c r="BA87" s="637"/>
    </row>
    <row r="88" spans="2:53">
      <c r="B88" s="651"/>
      <c r="C88" s="304">
        <v>12</v>
      </c>
      <c r="D88" s="413"/>
      <c r="E88" s="413"/>
      <c r="F88" s="413"/>
      <c r="G88" s="420"/>
      <c r="H88" s="637"/>
      <c r="I88" s="395" t="str">
        <f t="shared" si="32"/>
        <v>-</v>
      </c>
      <c r="J88" s="395" t="str">
        <f t="shared" si="33"/>
        <v>-</v>
      </c>
      <c r="K88" s="199" t="str">
        <f t="shared" si="34"/>
        <v>-</v>
      </c>
      <c r="L88" s="622"/>
      <c r="M88" s="198" t="e">
        <f>RANK(K88, K$77:$K$106)</f>
        <v>#VALUE!</v>
      </c>
      <c r="N88" s="629"/>
      <c r="O88" s="629"/>
      <c r="P88" s="420"/>
      <c r="Q88" s="420"/>
      <c r="R88" s="420"/>
      <c r="S88" s="500"/>
      <c r="T88" s="637"/>
      <c r="U88" s="420"/>
      <c r="V88" s="420"/>
      <c r="W88" s="420"/>
      <c r="X88" s="500"/>
      <c r="Y88" s="637"/>
      <c r="Z88" s="420"/>
      <c r="AA88" s="420"/>
      <c r="AB88" s="420"/>
      <c r="AC88" s="500"/>
      <c r="AD88" s="637"/>
      <c r="AE88" s="420"/>
      <c r="AF88" s="420"/>
      <c r="AG88" s="420"/>
      <c r="AH88" s="500"/>
      <c r="AI88" s="637"/>
      <c r="AJ88" s="420"/>
      <c r="AK88" s="420"/>
      <c r="AL88" s="420"/>
      <c r="AM88" s="500"/>
      <c r="AN88" s="637"/>
      <c r="AO88" s="420"/>
      <c r="AP88" s="420"/>
      <c r="AQ88" s="420"/>
      <c r="AR88" s="500"/>
      <c r="AS88" s="637"/>
      <c r="AT88" s="420"/>
      <c r="AU88" s="420"/>
      <c r="AV88" s="420"/>
      <c r="AW88" s="500"/>
      <c r="AX88" s="637"/>
      <c r="AZ88" s="406" t="e">
        <f t="shared" si="30"/>
        <v>#N/A</v>
      </c>
      <c r="BA88" s="637"/>
    </row>
    <row r="89" spans="2:53">
      <c r="B89" s="651"/>
      <c r="C89" s="304">
        <v>13</v>
      </c>
      <c r="D89" s="413"/>
      <c r="E89" s="413"/>
      <c r="F89" s="413"/>
      <c r="G89" s="420"/>
      <c r="H89" s="637"/>
      <c r="I89" s="395" t="str">
        <f t="shared" si="32"/>
        <v>-</v>
      </c>
      <c r="J89" s="395" t="str">
        <f t="shared" si="33"/>
        <v>-</v>
      </c>
      <c r="K89" s="199" t="str">
        <f t="shared" si="34"/>
        <v>-</v>
      </c>
      <c r="L89" s="622"/>
      <c r="M89" s="198" t="e">
        <f>RANK(K89, K$77:$K$106)</f>
        <v>#VALUE!</v>
      </c>
      <c r="N89" s="629"/>
      <c r="O89" s="629"/>
      <c r="P89" s="420"/>
      <c r="Q89" s="420"/>
      <c r="R89" s="420"/>
      <c r="S89" s="500"/>
      <c r="T89" s="637"/>
      <c r="U89" s="420"/>
      <c r="V89" s="420"/>
      <c r="W89" s="420"/>
      <c r="X89" s="500"/>
      <c r="Y89" s="637"/>
      <c r="Z89" s="420"/>
      <c r="AA89" s="420"/>
      <c r="AB89" s="420"/>
      <c r="AC89" s="500"/>
      <c r="AD89" s="637"/>
      <c r="AE89" s="420"/>
      <c r="AF89" s="420"/>
      <c r="AG89" s="420"/>
      <c r="AH89" s="500"/>
      <c r="AI89" s="637"/>
      <c r="AJ89" s="420"/>
      <c r="AK89" s="420"/>
      <c r="AL89" s="420"/>
      <c r="AM89" s="500"/>
      <c r="AN89" s="637"/>
      <c r="AO89" s="420"/>
      <c r="AP89" s="420"/>
      <c r="AQ89" s="420"/>
      <c r="AR89" s="500"/>
      <c r="AS89" s="637"/>
      <c r="AT89" s="420"/>
      <c r="AU89" s="420"/>
      <c r="AV89" s="420"/>
      <c r="AW89" s="500"/>
      <c r="AX89" s="637"/>
      <c r="AZ89" s="406" t="e">
        <f t="shared" si="30"/>
        <v>#N/A</v>
      </c>
      <c r="BA89" s="637"/>
    </row>
    <row r="90" spans="2:53">
      <c r="B90" s="651"/>
      <c r="C90" s="304">
        <v>14</v>
      </c>
      <c r="D90" s="413"/>
      <c r="E90" s="413"/>
      <c r="F90" s="413"/>
      <c r="G90" s="420"/>
      <c r="H90" s="637"/>
      <c r="I90" s="395" t="str">
        <f t="shared" si="32"/>
        <v>-</v>
      </c>
      <c r="J90" s="395" t="str">
        <f t="shared" si="33"/>
        <v>-</v>
      </c>
      <c r="K90" s="199" t="str">
        <f t="shared" si="34"/>
        <v>-</v>
      </c>
      <c r="L90" s="622"/>
      <c r="M90" s="198" t="e">
        <f>RANK(K90, K$77:$K$106)</f>
        <v>#VALUE!</v>
      </c>
      <c r="N90" s="629"/>
      <c r="O90" s="629"/>
      <c r="P90" s="420"/>
      <c r="Q90" s="420"/>
      <c r="R90" s="420"/>
      <c r="S90" s="500"/>
      <c r="T90" s="637"/>
      <c r="U90" s="420"/>
      <c r="V90" s="420"/>
      <c r="W90" s="420"/>
      <c r="X90" s="500"/>
      <c r="Y90" s="637"/>
      <c r="Z90" s="420"/>
      <c r="AA90" s="420"/>
      <c r="AB90" s="420"/>
      <c r="AC90" s="500"/>
      <c r="AD90" s="637"/>
      <c r="AE90" s="420"/>
      <c r="AF90" s="420"/>
      <c r="AG90" s="420"/>
      <c r="AH90" s="500"/>
      <c r="AI90" s="637"/>
      <c r="AJ90" s="420"/>
      <c r="AK90" s="420"/>
      <c r="AL90" s="420"/>
      <c r="AM90" s="500"/>
      <c r="AN90" s="637"/>
      <c r="AO90" s="420"/>
      <c r="AP90" s="420"/>
      <c r="AQ90" s="420"/>
      <c r="AR90" s="500"/>
      <c r="AS90" s="637"/>
      <c r="AT90" s="420"/>
      <c r="AU90" s="420"/>
      <c r="AV90" s="420"/>
      <c r="AW90" s="500"/>
      <c r="AX90" s="637"/>
      <c r="AZ90" s="406" t="e">
        <f t="shared" si="30"/>
        <v>#N/A</v>
      </c>
      <c r="BA90" s="637"/>
    </row>
    <row r="91" spans="2:53">
      <c r="B91" s="651"/>
      <c r="C91" s="304">
        <v>15</v>
      </c>
      <c r="D91" s="413"/>
      <c r="E91" s="413"/>
      <c r="F91" s="413"/>
      <c r="G91" s="420"/>
      <c r="H91" s="637"/>
      <c r="I91" s="395" t="str">
        <f t="shared" si="32"/>
        <v>-</v>
      </c>
      <c r="J91" s="395" t="str">
        <f t="shared" si="33"/>
        <v>-</v>
      </c>
      <c r="K91" s="199" t="str">
        <f t="shared" si="34"/>
        <v>-</v>
      </c>
      <c r="L91" s="622"/>
      <c r="M91" s="198" t="e">
        <f>RANK(K91, K$77:$K$106)</f>
        <v>#VALUE!</v>
      </c>
      <c r="N91" s="629"/>
      <c r="O91" s="629"/>
      <c r="P91" s="420"/>
      <c r="Q91" s="420"/>
      <c r="R91" s="420"/>
      <c r="S91" s="500"/>
      <c r="T91" s="637"/>
      <c r="U91" s="420"/>
      <c r="V91" s="420"/>
      <c r="W91" s="420"/>
      <c r="X91" s="500"/>
      <c r="Y91" s="637"/>
      <c r="Z91" s="420"/>
      <c r="AA91" s="420"/>
      <c r="AB91" s="420"/>
      <c r="AC91" s="500"/>
      <c r="AD91" s="637"/>
      <c r="AE91" s="420"/>
      <c r="AF91" s="420"/>
      <c r="AG91" s="420"/>
      <c r="AH91" s="500"/>
      <c r="AI91" s="637"/>
      <c r="AJ91" s="420"/>
      <c r="AK91" s="420"/>
      <c r="AL91" s="420"/>
      <c r="AM91" s="500"/>
      <c r="AN91" s="637"/>
      <c r="AO91" s="420"/>
      <c r="AP91" s="420"/>
      <c r="AQ91" s="420"/>
      <c r="AR91" s="500"/>
      <c r="AS91" s="637"/>
      <c r="AT91" s="420"/>
      <c r="AU91" s="420"/>
      <c r="AV91" s="420"/>
      <c r="AW91" s="500"/>
      <c r="AX91" s="637"/>
      <c r="AZ91" s="406" t="e">
        <f t="shared" si="30"/>
        <v>#N/A</v>
      </c>
      <c r="BA91" s="637"/>
    </row>
    <row r="92" spans="2:53">
      <c r="B92" s="651"/>
      <c r="C92" s="304">
        <v>16</v>
      </c>
      <c r="D92" s="413"/>
      <c r="E92" s="413"/>
      <c r="F92" s="413"/>
      <c r="G92" s="420"/>
      <c r="H92" s="637"/>
      <c r="I92" s="395" t="str">
        <f t="shared" si="32"/>
        <v>-</v>
      </c>
      <c r="J92" s="395" t="str">
        <f t="shared" si="33"/>
        <v>-</v>
      </c>
      <c r="K92" s="199" t="str">
        <f t="shared" si="34"/>
        <v>-</v>
      </c>
      <c r="L92" s="622"/>
      <c r="M92" s="198" t="e">
        <f>RANK(K92, K$77:$K$106)</f>
        <v>#VALUE!</v>
      </c>
      <c r="N92" s="629"/>
      <c r="O92" s="629"/>
      <c r="P92" s="420"/>
      <c r="Q92" s="420"/>
      <c r="R92" s="420"/>
      <c r="S92" s="500"/>
      <c r="T92" s="637"/>
      <c r="U92" s="420"/>
      <c r="V92" s="420"/>
      <c r="W92" s="420"/>
      <c r="X92" s="500"/>
      <c r="Y92" s="637"/>
      <c r="Z92" s="420"/>
      <c r="AA92" s="420"/>
      <c r="AB92" s="420"/>
      <c r="AC92" s="500"/>
      <c r="AD92" s="637"/>
      <c r="AE92" s="420"/>
      <c r="AF92" s="420"/>
      <c r="AG92" s="420"/>
      <c r="AH92" s="500"/>
      <c r="AI92" s="637"/>
      <c r="AJ92" s="420"/>
      <c r="AK92" s="420"/>
      <c r="AL92" s="420"/>
      <c r="AM92" s="500"/>
      <c r="AN92" s="637"/>
      <c r="AO92" s="420"/>
      <c r="AP92" s="420"/>
      <c r="AQ92" s="420"/>
      <c r="AR92" s="500"/>
      <c r="AS92" s="637"/>
      <c r="AT92" s="420"/>
      <c r="AU92" s="420"/>
      <c r="AV92" s="420"/>
      <c r="AW92" s="500"/>
      <c r="AX92" s="637"/>
      <c r="AZ92" s="406" t="e">
        <f t="shared" si="30"/>
        <v>#N/A</v>
      </c>
      <c r="BA92" s="637"/>
    </row>
    <row r="93" spans="2:53">
      <c r="B93" s="651"/>
      <c r="C93" s="304">
        <v>17</v>
      </c>
      <c r="D93" s="413"/>
      <c r="E93" s="413"/>
      <c r="F93" s="413"/>
      <c r="G93" s="420"/>
      <c r="H93" s="637"/>
      <c r="I93" s="395" t="str">
        <f t="shared" si="32"/>
        <v>-</v>
      </c>
      <c r="J93" s="395" t="str">
        <f t="shared" si="33"/>
        <v>-</v>
      </c>
      <c r="K93" s="199" t="str">
        <f t="shared" si="34"/>
        <v>-</v>
      </c>
      <c r="L93" s="622"/>
      <c r="M93" s="198" t="e">
        <f>RANK(K93, K$77:$K$106)</f>
        <v>#VALUE!</v>
      </c>
      <c r="N93" s="629"/>
      <c r="O93" s="629"/>
      <c r="P93" s="420"/>
      <c r="Q93" s="420"/>
      <c r="R93" s="420"/>
      <c r="S93" s="500"/>
      <c r="T93" s="637"/>
      <c r="U93" s="420"/>
      <c r="V93" s="420"/>
      <c r="W93" s="420"/>
      <c r="X93" s="500"/>
      <c r="Y93" s="637"/>
      <c r="Z93" s="420"/>
      <c r="AA93" s="420"/>
      <c r="AB93" s="420"/>
      <c r="AC93" s="500"/>
      <c r="AD93" s="637"/>
      <c r="AE93" s="420"/>
      <c r="AF93" s="420"/>
      <c r="AG93" s="420"/>
      <c r="AH93" s="500"/>
      <c r="AI93" s="637"/>
      <c r="AJ93" s="420"/>
      <c r="AK93" s="420"/>
      <c r="AL93" s="420"/>
      <c r="AM93" s="500"/>
      <c r="AN93" s="637"/>
      <c r="AO93" s="420"/>
      <c r="AP93" s="420"/>
      <c r="AQ93" s="420"/>
      <c r="AR93" s="500"/>
      <c r="AS93" s="637"/>
      <c r="AT93" s="420"/>
      <c r="AU93" s="420"/>
      <c r="AV93" s="420"/>
      <c r="AW93" s="500"/>
      <c r="AX93" s="637"/>
      <c r="AZ93" s="406" t="e">
        <f t="shared" si="30"/>
        <v>#N/A</v>
      </c>
      <c r="BA93" s="637"/>
    </row>
    <row r="94" spans="2:53">
      <c r="B94" s="651"/>
      <c r="C94" s="304">
        <v>18</v>
      </c>
      <c r="D94" s="413"/>
      <c r="E94" s="413"/>
      <c r="F94" s="413"/>
      <c r="G94" s="420"/>
      <c r="H94" s="637"/>
      <c r="I94" s="395" t="str">
        <f t="shared" si="32"/>
        <v>-</v>
      </c>
      <c r="J94" s="395" t="str">
        <f t="shared" si="33"/>
        <v>-</v>
      </c>
      <c r="K94" s="199" t="str">
        <f t="shared" si="34"/>
        <v>-</v>
      </c>
      <c r="L94" s="622"/>
      <c r="M94" s="198" t="e">
        <f>RANK(K94, K$77:$K$106)</f>
        <v>#VALUE!</v>
      </c>
      <c r="N94" s="629"/>
      <c r="O94" s="629"/>
      <c r="P94" s="420"/>
      <c r="Q94" s="420"/>
      <c r="R94" s="420"/>
      <c r="S94" s="500"/>
      <c r="T94" s="637"/>
      <c r="U94" s="420"/>
      <c r="V94" s="420"/>
      <c r="W94" s="420"/>
      <c r="X94" s="500"/>
      <c r="Y94" s="637"/>
      <c r="Z94" s="420"/>
      <c r="AA94" s="420"/>
      <c r="AB94" s="420"/>
      <c r="AC94" s="500"/>
      <c r="AD94" s="637"/>
      <c r="AE94" s="420"/>
      <c r="AF94" s="420"/>
      <c r="AG94" s="420"/>
      <c r="AH94" s="500"/>
      <c r="AI94" s="637"/>
      <c r="AJ94" s="420"/>
      <c r="AK94" s="420"/>
      <c r="AL94" s="420"/>
      <c r="AM94" s="500"/>
      <c r="AN94" s="637"/>
      <c r="AO94" s="420"/>
      <c r="AP94" s="420"/>
      <c r="AQ94" s="420"/>
      <c r="AR94" s="500"/>
      <c r="AS94" s="637"/>
      <c r="AT94" s="420"/>
      <c r="AU94" s="420"/>
      <c r="AV94" s="420"/>
      <c r="AW94" s="500"/>
      <c r="AX94" s="637"/>
      <c r="AZ94" s="406" t="e">
        <f t="shared" si="30"/>
        <v>#N/A</v>
      </c>
      <c r="BA94" s="637"/>
    </row>
    <row r="95" spans="2:53">
      <c r="B95" s="651"/>
      <c r="C95" s="304">
        <v>19</v>
      </c>
      <c r="D95" s="413"/>
      <c r="E95" s="413"/>
      <c r="F95" s="413"/>
      <c r="G95" s="420"/>
      <c r="H95" s="637"/>
      <c r="I95" s="395" t="str">
        <f t="shared" si="32"/>
        <v>-</v>
      </c>
      <c r="J95" s="395" t="str">
        <f t="shared" si="33"/>
        <v>-</v>
      </c>
      <c r="K95" s="199" t="str">
        <f t="shared" si="34"/>
        <v>-</v>
      </c>
      <c r="L95" s="622"/>
      <c r="M95" s="198" t="e">
        <f>RANK(K95, K$77:$K$106)</f>
        <v>#VALUE!</v>
      </c>
      <c r="N95" s="629"/>
      <c r="O95" s="629"/>
      <c r="P95" s="420"/>
      <c r="Q95" s="420"/>
      <c r="R95" s="420"/>
      <c r="S95" s="500"/>
      <c r="T95" s="637"/>
      <c r="U95" s="420"/>
      <c r="V95" s="420"/>
      <c r="W95" s="420"/>
      <c r="X95" s="500"/>
      <c r="Y95" s="637"/>
      <c r="Z95" s="420"/>
      <c r="AA95" s="420"/>
      <c r="AB95" s="420"/>
      <c r="AC95" s="500"/>
      <c r="AD95" s="637"/>
      <c r="AE95" s="420"/>
      <c r="AF95" s="420"/>
      <c r="AG95" s="420"/>
      <c r="AH95" s="500"/>
      <c r="AI95" s="637"/>
      <c r="AJ95" s="420"/>
      <c r="AK95" s="420"/>
      <c r="AL95" s="420"/>
      <c r="AM95" s="500"/>
      <c r="AN95" s="637"/>
      <c r="AO95" s="420"/>
      <c r="AP95" s="420"/>
      <c r="AQ95" s="420"/>
      <c r="AR95" s="500"/>
      <c r="AS95" s="637"/>
      <c r="AT95" s="420"/>
      <c r="AU95" s="420"/>
      <c r="AV95" s="420"/>
      <c r="AW95" s="500"/>
      <c r="AX95" s="637"/>
      <c r="AZ95" s="406" t="e">
        <f t="shared" si="30"/>
        <v>#N/A</v>
      </c>
      <c r="BA95" s="637"/>
    </row>
    <row r="96" spans="2:53">
      <c r="B96" s="651"/>
      <c r="C96" s="304">
        <v>20</v>
      </c>
      <c r="D96" s="413"/>
      <c r="E96" s="413"/>
      <c r="F96" s="413"/>
      <c r="G96" s="420"/>
      <c r="H96" s="637"/>
      <c r="I96" s="395" t="str">
        <f t="shared" si="32"/>
        <v>-</v>
      </c>
      <c r="J96" s="395" t="str">
        <f t="shared" si="33"/>
        <v>-</v>
      </c>
      <c r="K96" s="199" t="str">
        <f t="shared" si="34"/>
        <v>-</v>
      </c>
      <c r="L96" s="622"/>
      <c r="M96" s="198" t="e">
        <f>RANK(K96, K$77:$K$106)</f>
        <v>#VALUE!</v>
      </c>
      <c r="N96" s="629"/>
      <c r="O96" s="629"/>
      <c r="P96" s="420"/>
      <c r="Q96" s="420"/>
      <c r="R96" s="420"/>
      <c r="S96" s="500"/>
      <c r="T96" s="637"/>
      <c r="U96" s="420"/>
      <c r="V96" s="420"/>
      <c r="W96" s="420"/>
      <c r="X96" s="500"/>
      <c r="Y96" s="637"/>
      <c r="Z96" s="420"/>
      <c r="AA96" s="420"/>
      <c r="AB96" s="420"/>
      <c r="AC96" s="500"/>
      <c r="AD96" s="637"/>
      <c r="AE96" s="420"/>
      <c r="AF96" s="420"/>
      <c r="AG96" s="420"/>
      <c r="AH96" s="500"/>
      <c r="AI96" s="637"/>
      <c r="AJ96" s="420"/>
      <c r="AK96" s="420"/>
      <c r="AL96" s="420"/>
      <c r="AM96" s="500"/>
      <c r="AN96" s="637"/>
      <c r="AO96" s="420"/>
      <c r="AP96" s="420"/>
      <c r="AQ96" s="420"/>
      <c r="AR96" s="500"/>
      <c r="AS96" s="637"/>
      <c r="AT96" s="420"/>
      <c r="AU96" s="420"/>
      <c r="AV96" s="420"/>
      <c r="AW96" s="500"/>
      <c r="AX96" s="637"/>
      <c r="AZ96" s="406" t="e">
        <f t="shared" si="30"/>
        <v>#N/A</v>
      </c>
      <c r="BA96" s="637"/>
    </row>
    <row r="97" spans="2:53">
      <c r="B97" s="651"/>
      <c r="C97" s="304">
        <v>21</v>
      </c>
      <c r="D97" s="416"/>
      <c r="E97" s="413"/>
      <c r="F97" s="413"/>
      <c r="G97" s="420"/>
      <c r="H97" s="637"/>
      <c r="I97" s="395" t="str">
        <f t="shared" si="32"/>
        <v>-</v>
      </c>
      <c r="J97" s="395" t="str">
        <f t="shared" si="33"/>
        <v>-</v>
      </c>
      <c r="K97" s="199" t="str">
        <f t="shared" si="34"/>
        <v>-</v>
      </c>
      <c r="L97" s="622"/>
      <c r="M97" s="198" t="e">
        <f>RANK(K97, K$77:$K$106)</f>
        <v>#VALUE!</v>
      </c>
      <c r="N97" s="629"/>
      <c r="O97" s="629"/>
      <c r="P97" s="500"/>
      <c r="Q97" s="420"/>
      <c r="R97" s="420"/>
      <c r="S97" s="500"/>
      <c r="T97" s="637"/>
      <c r="U97" s="500"/>
      <c r="V97" s="420"/>
      <c r="W97" s="420"/>
      <c r="X97" s="500"/>
      <c r="Y97" s="637"/>
      <c r="Z97" s="500"/>
      <c r="AA97" s="420"/>
      <c r="AB97" s="420"/>
      <c r="AC97" s="500"/>
      <c r="AD97" s="637"/>
      <c r="AE97" s="500"/>
      <c r="AF97" s="420"/>
      <c r="AG97" s="420"/>
      <c r="AH97" s="500"/>
      <c r="AI97" s="637"/>
      <c r="AJ97" s="500"/>
      <c r="AK97" s="420"/>
      <c r="AL97" s="420"/>
      <c r="AM97" s="500"/>
      <c r="AN97" s="637"/>
      <c r="AO97" s="500"/>
      <c r="AP97" s="420"/>
      <c r="AQ97" s="420"/>
      <c r="AR97" s="500"/>
      <c r="AS97" s="637"/>
      <c r="AT97" s="500"/>
      <c r="AU97" s="420"/>
      <c r="AV97" s="420"/>
      <c r="AW97" s="500"/>
      <c r="AX97" s="637"/>
      <c r="AZ97" s="406" t="e">
        <f t="shared" si="30"/>
        <v>#N/A</v>
      </c>
      <c r="BA97" s="637"/>
    </row>
    <row r="98" spans="2:53">
      <c r="B98" s="651"/>
      <c r="C98" s="304">
        <v>22</v>
      </c>
      <c r="D98" s="413"/>
      <c r="E98" s="413"/>
      <c r="F98" s="413"/>
      <c r="G98" s="413"/>
      <c r="H98" s="637"/>
      <c r="I98" s="395" t="str">
        <f t="shared" si="32"/>
        <v>-</v>
      </c>
      <c r="J98" s="395" t="str">
        <f t="shared" si="33"/>
        <v>-</v>
      </c>
      <c r="K98" s="199" t="str">
        <f t="shared" si="34"/>
        <v>-</v>
      </c>
      <c r="L98" s="622"/>
      <c r="M98" s="198" t="e">
        <f>RANK(K98, K$77:$K$106)</f>
        <v>#VALUE!</v>
      </c>
      <c r="N98" s="629"/>
      <c r="O98" s="629"/>
      <c r="P98" s="500"/>
      <c r="Q98" s="420"/>
      <c r="R98" s="420"/>
      <c r="S98" s="500"/>
      <c r="T98" s="637"/>
      <c r="U98" s="500"/>
      <c r="V98" s="420"/>
      <c r="W98" s="420"/>
      <c r="X98" s="500"/>
      <c r="Y98" s="637"/>
      <c r="Z98" s="500"/>
      <c r="AA98" s="420"/>
      <c r="AB98" s="420"/>
      <c r="AC98" s="500"/>
      <c r="AD98" s="637"/>
      <c r="AE98" s="500"/>
      <c r="AF98" s="420"/>
      <c r="AG98" s="420"/>
      <c r="AH98" s="500"/>
      <c r="AI98" s="637"/>
      <c r="AJ98" s="500"/>
      <c r="AK98" s="420"/>
      <c r="AL98" s="420"/>
      <c r="AM98" s="500"/>
      <c r="AN98" s="637"/>
      <c r="AO98" s="500"/>
      <c r="AP98" s="420"/>
      <c r="AQ98" s="420"/>
      <c r="AR98" s="500"/>
      <c r="AS98" s="637"/>
      <c r="AT98" s="500"/>
      <c r="AU98" s="420"/>
      <c r="AV98" s="420"/>
      <c r="AW98" s="500"/>
      <c r="AX98" s="637"/>
      <c r="AZ98" s="406" t="e">
        <f t="shared" si="30"/>
        <v>#N/A</v>
      </c>
      <c r="BA98" s="637"/>
    </row>
    <row r="99" spans="2:53">
      <c r="B99" s="651"/>
      <c r="C99" s="304">
        <v>23</v>
      </c>
      <c r="D99" s="413"/>
      <c r="E99" s="413"/>
      <c r="F99" s="413"/>
      <c r="G99" s="413"/>
      <c r="H99" s="637"/>
      <c r="I99" s="395" t="str">
        <f t="shared" si="32"/>
        <v>-</v>
      </c>
      <c r="J99" s="395" t="str">
        <f t="shared" si="33"/>
        <v>-</v>
      </c>
      <c r="K99" s="199" t="str">
        <f t="shared" si="34"/>
        <v>-</v>
      </c>
      <c r="L99" s="622"/>
      <c r="M99" s="198" t="e">
        <f>RANK(K99, K$77:$K$106)</f>
        <v>#VALUE!</v>
      </c>
      <c r="N99" s="629"/>
      <c r="O99" s="629"/>
      <c r="P99" s="500"/>
      <c r="Q99" s="420"/>
      <c r="R99" s="420"/>
      <c r="S99" s="500"/>
      <c r="T99" s="637"/>
      <c r="U99" s="500"/>
      <c r="V99" s="420"/>
      <c r="W99" s="420"/>
      <c r="X99" s="500"/>
      <c r="Y99" s="637"/>
      <c r="Z99" s="500"/>
      <c r="AA99" s="420"/>
      <c r="AB99" s="420"/>
      <c r="AC99" s="500"/>
      <c r="AD99" s="637"/>
      <c r="AE99" s="500"/>
      <c r="AF99" s="420"/>
      <c r="AG99" s="420"/>
      <c r="AH99" s="500"/>
      <c r="AI99" s="637"/>
      <c r="AJ99" s="500"/>
      <c r="AK99" s="420"/>
      <c r="AL99" s="420"/>
      <c r="AM99" s="500"/>
      <c r="AN99" s="637"/>
      <c r="AO99" s="500"/>
      <c r="AP99" s="420"/>
      <c r="AQ99" s="420"/>
      <c r="AR99" s="500"/>
      <c r="AS99" s="637"/>
      <c r="AT99" s="500"/>
      <c r="AU99" s="420"/>
      <c r="AV99" s="420"/>
      <c r="AW99" s="500"/>
      <c r="AX99" s="637"/>
      <c r="AZ99" s="406" t="e">
        <f t="shared" si="30"/>
        <v>#N/A</v>
      </c>
      <c r="BA99" s="637"/>
    </row>
    <row r="100" spans="2:53">
      <c r="B100" s="651"/>
      <c r="C100" s="304">
        <v>24</v>
      </c>
      <c r="D100" s="413"/>
      <c r="E100" s="413"/>
      <c r="F100" s="413"/>
      <c r="G100" s="413"/>
      <c r="H100" s="637"/>
      <c r="I100" s="395" t="str">
        <f t="shared" si="32"/>
        <v>-</v>
      </c>
      <c r="J100" s="395" t="str">
        <f t="shared" si="33"/>
        <v>-</v>
      </c>
      <c r="K100" s="199" t="str">
        <f t="shared" si="34"/>
        <v>-</v>
      </c>
      <c r="L100" s="622"/>
      <c r="M100" s="198" t="e">
        <f>RANK(K100, K$77:$K$106)</f>
        <v>#VALUE!</v>
      </c>
      <c r="N100" s="629"/>
      <c r="O100" s="629"/>
      <c r="P100" s="500"/>
      <c r="Q100" s="500"/>
      <c r="R100" s="500"/>
      <c r="S100" s="500"/>
      <c r="T100" s="637"/>
      <c r="U100" s="500"/>
      <c r="V100" s="500"/>
      <c r="W100" s="500"/>
      <c r="X100" s="500"/>
      <c r="Y100" s="637"/>
      <c r="Z100" s="500"/>
      <c r="AA100" s="500"/>
      <c r="AB100" s="500"/>
      <c r="AC100" s="500"/>
      <c r="AD100" s="637"/>
      <c r="AE100" s="500"/>
      <c r="AF100" s="500"/>
      <c r="AG100" s="500"/>
      <c r="AH100" s="500"/>
      <c r="AI100" s="637"/>
      <c r="AJ100" s="500"/>
      <c r="AK100" s="500"/>
      <c r="AL100" s="500"/>
      <c r="AM100" s="500"/>
      <c r="AN100" s="637"/>
      <c r="AO100" s="500"/>
      <c r="AP100" s="500"/>
      <c r="AQ100" s="500"/>
      <c r="AR100" s="500"/>
      <c r="AS100" s="637"/>
      <c r="AT100" s="500"/>
      <c r="AU100" s="500"/>
      <c r="AV100" s="500"/>
      <c r="AW100" s="500"/>
      <c r="AX100" s="637"/>
      <c r="AZ100" s="406" t="e">
        <f t="shared" si="30"/>
        <v>#N/A</v>
      </c>
      <c r="BA100" s="637"/>
    </row>
    <row r="101" spans="2:53">
      <c r="B101" s="651"/>
      <c r="C101" s="304">
        <v>25</v>
      </c>
      <c r="D101" s="413"/>
      <c r="E101" s="413"/>
      <c r="F101" s="413"/>
      <c r="G101" s="413"/>
      <c r="H101" s="637"/>
      <c r="I101" s="395" t="str">
        <f t="shared" si="32"/>
        <v>-</v>
      </c>
      <c r="J101" s="395" t="str">
        <f t="shared" si="33"/>
        <v>-</v>
      </c>
      <c r="K101" s="199" t="str">
        <f t="shared" si="34"/>
        <v>-</v>
      </c>
      <c r="L101" s="622"/>
      <c r="M101" s="198" t="e">
        <f>RANK(K101, K$77:$K$106)</f>
        <v>#VALUE!</v>
      </c>
      <c r="N101" s="629"/>
      <c r="O101" s="629"/>
      <c r="P101" s="500"/>
      <c r="Q101" s="500"/>
      <c r="R101" s="500"/>
      <c r="S101" s="500"/>
      <c r="T101" s="637"/>
      <c r="U101" s="500"/>
      <c r="V101" s="500"/>
      <c r="W101" s="500"/>
      <c r="X101" s="500"/>
      <c r="Y101" s="637"/>
      <c r="Z101" s="500"/>
      <c r="AA101" s="500"/>
      <c r="AB101" s="500"/>
      <c r="AC101" s="500"/>
      <c r="AD101" s="637"/>
      <c r="AE101" s="500"/>
      <c r="AF101" s="500"/>
      <c r="AG101" s="500"/>
      <c r="AH101" s="500"/>
      <c r="AI101" s="637"/>
      <c r="AJ101" s="500"/>
      <c r="AK101" s="500"/>
      <c r="AL101" s="500"/>
      <c r="AM101" s="500"/>
      <c r="AN101" s="637"/>
      <c r="AO101" s="500"/>
      <c r="AP101" s="500"/>
      <c r="AQ101" s="500"/>
      <c r="AR101" s="500"/>
      <c r="AS101" s="637"/>
      <c r="AT101" s="500"/>
      <c r="AU101" s="500"/>
      <c r="AV101" s="500"/>
      <c r="AW101" s="500"/>
      <c r="AX101" s="637"/>
      <c r="AZ101" s="406" t="e">
        <f t="shared" si="30"/>
        <v>#N/A</v>
      </c>
      <c r="BA101" s="637"/>
    </row>
    <row r="102" spans="2:53">
      <c r="B102" s="651"/>
      <c r="C102" s="304">
        <v>26</v>
      </c>
      <c r="D102" s="413"/>
      <c r="E102" s="413"/>
      <c r="F102" s="413"/>
      <c r="G102" s="413"/>
      <c r="H102" s="637"/>
      <c r="I102" s="395" t="str">
        <f t="shared" si="32"/>
        <v>-</v>
      </c>
      <c r="J102" s="395" t="str">
        <f t="shared" si="33"/>
        <v>-</v>
      </c>
      <c r="K102" s="199" t="str">
        <f t="shared" si="34"/>
        <v>-</v>
      </c>
      <c r="L102" s="622"/>
      <c r="M102" s="198" t="e">
        <f>RANK(K102, K$77:$K$106)</f>
        <v>#VALUE!</v>
      </c>
      <c r="N102" s="629"/>
      <c r="O102" s="629"/>
      <c r="P102" s="500"/>
      <c r="Q102" s="500"/>
      <c r="R102" s="500"/>
      <c r="S102" s="500"/>
      <c r="T102" s="637"/>
      <c r="U102" s="500"/>
      <c r="V102" s="500"/>
      <c r="W102" s="500"/>
      <c r="X102" s="500"/>
      <c r="Y102" s="637"/>
      <c r="Z102" s="500"/>
      <c r="AA102" s="500"/>
      <c r="AB102" s="500"/>
      <c r="AC102" s="500"/>
      <c r="AD102" s="637"/>
      <c r="AE102" s="500"/>
      <c r="AF102" s="500"/>
      <c r="AG102" s="500"/>
      <c r="AH102" s="500"/>
      <c r="AI102" s="637"/>
      <c r="AJ102" s="500"/>
      <c r="AK102" s="500"/>
      <c r="AL102" s="500"/>
      <c r="AM102" s="500"/>
      <c r="AN102" s="637"/>
      <c r="AO102" s="500"/>
      <c r="AP102" s="500"/>
      <c r="AQ102" s="500"/>
      <c r="AR102" s="500"/>
      <c r="AS102" s="637"/>
      <c r="AT102" s="500"/>
      <c r="AU102" s="500"/>
      <c r="AV102" s="500"/>
      <c r="AW102" s="500"/>
      <c r="AX102" s="637"/>
      <c r="AZ102" s="406" t="e">
        <f t="shared" si="30"/>
        <v>#N/A</v>
      </c>
      <c r="BA102" s="637"/>
    </row>
    <row r="103" spans="2:53">
      <c r="B103" s="651"/>
      <c r="C103" s="304">
        <v>27</v>
      </c>
      <c r="D103" s="413"/>
      <c r="E103" s="413"/>
      <c r="F103" s="413"/>
      <c r="G103" s="413"/>
      <c r="H103" s="637"/>
      <c r="I103" s="395" t="str">
        <f t="shared" si="32"/>
        <v>-</v>
      </c>
      <c r="J103" s="395" t="str">
        <f t="shared" si="33"/>
        <v>-</v>
      </c>
      <c r="K103" s="199" t="str">
        <f t="shared" si="34"/>
        <v>-</v>
      </c>
      <c r="L103" s="622"/>
      <c r="M103" s="198" t="e">
        <f>RANK(K103, K$77:$K$106)</f>
        <v>#VALUE!</v>
      </c>
      <c r="N103" s="629"/>
      <c r="O103" s="629"/>
      <c r="P103" s="500"/>
      <c r="Q103" s="500"/>
      <c r="R103" s="500"/>
      <c r="S103" s="500"/>
      <c r="T103" s="637"/>
      <c r="U103" s="500"/>
      <c r="V103" s="500"/>
      <c r="W103" s="500"/>
      <c r="X103" s="500"/>
      <c r="Y103" s="637"/>
      <c r="Z103" s="500"/>
      <c r="AA103" s="500"/>
      <c r="AB103" s="500"/>
      <c r="AC103" s="500"/>
      <c r="AD103" s="637"/>
      <c r="AE103" s="500"/>
      <c r="AF103" s="500"/>
      <c r="AG103" s="500"/>
      <c r="AH103" s="500"/>
      <c r="AI103" s="637"/>
      <c r="AJ103" s="500"/>
      <c r="AK103" s="500"/>
      <c r="AL103" s="500"/>
      <c r="AM103" s="500"/>
      <c r="AN103" s="637"/>
      <c r="AO103" s="500"/>
      <c r="AP103" s="500"/>
      <c r="AQ103" s="500"/>
      <c r="AR103" s="500"/>
      <c r="AS103" s="637"/>
      <c r="AT103" s="500"/>
      <c r="AU103" s="500"/>
      <c r="AV103" s="500"/>
      <c r="AW103" s="500"/>
      <c r="AX103" s="637"/>
      <c r="AZ103" s="406" t="e">
        <f t="shared" si="30"/>
        <v>#N/A</v>
      </c>
      <c r="BA103" s="637"/>
    </row>
    <row r="104" spans="2:53">
      <c r="B104" s="651"/>
      <c r="C104" s="304">
        <v>28</v>
      </c>
      <c r="D104" s="413"/>
      <c r="E104" s="413"/>
      <c r="F104" s="413"/>
      <c r="G104" s="413"/>
      <c r="H104" s="637"/>
      <c r="I104" s="395" t="str">
        <f t="shared" si="32"/>
        <v>-</v>
      </c>
      <c r="J104" s="395" t="str">
        <f t="shared" si="33"/>
        <v>-</v>
      </c>
      <c r="K104" s="199" t="str">
        <f t="shared" si="34"/>
        <v>-</v>
      </c>
      <c r="L104" s="622"/>
      <c r="M104" s="198" t="e">
        <f>RANK(K104, K$77:$K$106)</f>
        <v>#VALUE!</v>
      </c>
      <c r="N104" s="629"/>
      <c r="O104" s="629"/>
      <c r="P104" s="500"/>
      <c r="Q104" s="500"/>
      <c r="R104" s="500"/>
      <c r="S104" s="500"/>
      <c r="T104" s="637"/>
      <c r="U104" s="500"/>
      <c r="V104" s="500"/>
      <c r="W104" s="500"/>
      <c r="X104" s="500"/>
      <c r="Y104" s="637"/>
      <c r="Z104" s="500"/>
      <c r="AA104" s="500"/>
      <c r="AB104" s="500"/>
      <c r="AC104" s="500"/>
      <c r="AD104" s="637"/>
      <c r="AE104" s="500"/>
      <c r="AF104" s="500"/>
      <c r="AG104" s="500"/>
      <c r="AH104" s="500"/>
      <c r="AI104" s="637"/>
      <c r="AJ104" s="500"/>
      <c r="AK104" s="500"/>
      <c r="AL104" s="500"/>
      <c r="AM104" s="500"/>
      <c r="AN104" s="637"/>
      <c r="AO104" s="500"/>
      <c r="AP104" s="500"/>
      <c r="AQ104" s="500"/>
      <c r="AR104" s="500"/>
      <c r="AS104" s="637"/>
      <c r="AT104" s="500"/>
      <c r="AU104" s="500"/>
      <c r="AV104" s="500"/>
      <c r="AW104" s="500"/>
      <c r="AX104" s="637"/>
      <c r="AZ104" s="406" t="e">
        <f t="shared" si="30"/>
        <v>#N/A</v>
      </c>
      <c r="BA104" s="637"/>
    </row>
    <row r="105" spans="2:53">
      <c r="B105" s="651"/>
      <c r="C105" s="304">
        <v>29</v>
      </c>
      <c r="D105" s="413"/>
      <c r="E105" s="413"/>
      <c r="F105" s="413"/>
      <c r="G105" s="413"/>
      <c r="H105" s="637"/>
      <c r="I105" s="395" t="str">
        <f t="shared" si="32"/>
        <v>-</v>
      </c>
      <c r="J105" s="395" t="str">
        <f t="shared" si="33"/>
        <v>-</v>
      </c>
      <c r="K105" s="199" t="str">
        <f t="shared" si="34"/>
        <v>-</v>
      </c>
      <c r="L105" s="622"/>
      <c r="M105" s="198" t="e">
        <f>RANK(K105, K$77:$K$106)</f>
        <v>#VALUE!</v>
      </c>
      <c r="N105" s="629"/>
      <c r="O105" s="629"/>
      <c r="P105" s="500"/>
      <c r="Q105" s="500"/>
      <c r="R105" s="500"/>
      <c r="S105" s="500"/>
      <c r="T105" s="637"/>
      <c r="U105" s="500"/>
      <c r="V105" s="500"/>
      <c r="W105" s="500"/>
      <c r="X105" s="500"/>
      <c r="Y105" s="637"/>
      <c r="Z105" s="500"/>
      <c r="AA105" s="500"/>
      <c r="AB105" s="500"/>
      <c r="AC105" s="500"/>
      <c r="AD105" s="637"/>
      <c r="AE105" s="500"/>
      <c r="AF105" s="500"/>
      <c r="AG105" s="500"/>
      <c r="AH105" s="500"/>
      <c r="AI105" s="637"/>
      <c r="AJ105" s="500"/>
      <c r="AK105" s="500"/>
      <c r="AL105" s="500"/>
      <c r="AM105" s="500"/>
      <c r="AN105" s="637"/>
      <c r="AO105" s="500"/>
      <c r="AP105" s="500"/>
      <c r="AQ105" s="500"/>
      <c r="AR105" s="500"/>
      <c r="AS105" s="637"/>
      <c r="AT105" s="500"/>
      <c r="AU105" s="500"/>
      <c r="AV105" s="500"/>
      <c r="AW105" s="500"/>
      <c r="AX105" s="637"/>
      <c r="AZ105" s="406" t="e">
        <f t="shared" si="30"/>
        <v>#N/A</v>
      </c>
      <c r="BA105" s="637"/>
    </row>
    <row r="106" spans="2:53">
      <c r="B106" s="652"/>
      <c r="C106" s="304">
        <v>30</v>
      </c>
      <c r="D106" s="413"/>
      <c r="E106" s="413"/>
      <c r="F106" s="413"/>
      <c r="G106" s="413"/>
      <c r="H106" s="638"/>
      <c r="I106" s="395" t="str">
        <f t="shared" si="32"/>
        <v>-</v>
      </c>
      <c r="J106" s="395" t="str">
        <f t="shared" si="33"/>
        <v>-</v>
      </c>
      <c r="K106" s="199" t="str">
        <f t="shared" si="34"/>
        <v>-</v>
      </c>
      <c r="L106" s="623"/>
      <c r="M106" s="198" t="e">
        <f>RANK(K106, K$77:$K$106)</f>
        <v>#VALUE!</v>
      </c>
      <c r="N106" s="630"/>
      <c r="O106" s="630"/>
      <c r="P106" s="500"/>
      <c r="Q106" s="500"/>
      <c r="R106" s="500"/>
      <c r="S106" s="500"/>
      <c r="T106" s="638"/>
      <c r="U106" s="500"/>
      <c r="V106" s="500"/>
      <c r="W106" s="500"/>
      <c r="X106" s="500"/>
      <c r="Y106" s="638"/>
      <c r="Z106" s="500"/>
      <c r="AA106" s="500"/>
      <c r="AB106" s="500"/>
      <c r="AC106" s="500"/>
      <c r="AD106" s="638"/>
      <c r="AE106" s="500"/>
      <c r="AF106" s="500"/>
      <c r="AG106" s="500"/>
      <c r="AH106" s="500"/>
      <c r="AI106" s="638"/>
      <c r="AJ106" s="500"/>
      <c r="AK106" s="500"/>
      <c r="AL106" s="500"/>
      <c r="AM106" s="500"/>
      <c r="AN106" s="638"/>
      <c r="AO106" s="500"/>
      <c r="AP106" s="500"/>
      <c r="AQ106" s="500"/>
      <c r="AR106" s="500"/>
      <c r="AS106" s="638"/>
      <c r="AT106" s="500"/>
      <c r="AU106" s="500"/>
      <c r="AV106" s="500"/>
      <c r="AW106" s="500"/>
      <c r="AX106" s="638"/>
      <c r="AZ106" s="406" t="e">
        <f t="shared" si="30"/>
        <v>#N/A</v>
      </c>
      <c r="BA106" s="638"/>
    </row>
    <row r="107" spans="2:53" ht="15.75">
      <c r="B107" s="639" t="s">
        <v>163</v>
      </c>
      <c r="C107" s="640"/>
      <c r="D107" s="640"/>
      <c r="E107" s="640"/>
      <c r="F107" s="640"/>
      <c r="G107" s="640"/>
      <c r="H107" s="641"/>
      <c r="I107" s="207"/>
      <c r="J107" s="207"/>
      <c r="K107" s="207"/>
      <c r="L107" s="207"/>
      <c r="M107" s="206"/>
      <c r="N107" s="628" t="s">
        <v>156</v>
      </c>
      <c r="O107" s="628" t="s">
        <v>155</v>
      </c>
      <c r="P107" s="634">
        <f>P72+7</f>
        <v>46189</v>
      </c>
      <c r="Q107" s="635"/>
      <c r="R107" s="635"/>
      <c r="S107" s="635"/>
      <c r="T107" s="635"/>
      <c r="U107" s="631">
        <f>P107+1</f>
        <v>46190</v>
      </c>
      <c r="V107" s="632"/>
      <c r="W107" s="632"/>
      <c r="X107" s="632"/>
      <c r="Y107" s="633"/>
      <c r="Z107" s="631">
        <f>U107+1</f>
        <v>46191</v>
      </c>
      <c r="AA107" s="632"/>
      <c r="AB107" s="632"/>
      <c r="AC107" s="632"/>
      <c r="AD107" s="633"/>
      <c r="AE107" s="631">
        <f>Z107+1</f>
        <v>46192</v>
      </c>
      <c r="AF107" s="632"/>
      <c r="AG107" s="632"/>
      <c r="AH107" s="632"/>
      <c r="AI107" s="633"/>
      <c r="AJ107" s="631">
        <f>AE107+1</f>
        <v>46193</v>
      </c>
      <c r="AK107" s="632"/>
      <c r="AL107" s="632"/>
      <c r="AM107" s="632"/>
      <c r="AN107" s="633"/>
      <c r="AO107" s="631">
        <f>AJ107+1</f>
        <v>46194</v>
      </c>
      <c r="AP107" s="632"/>
      <c r="AQ107" s="632"/>
      <c r="AR107" s="632"/>
      <c r="AS107" s="633"/>
      <c r="AT107" s="631">
        <f>AO107+1</f>
        <v>46195</v>
      </c>
      <c r="AU107" s="632"/>
      <c r="AV107" s="632"/>
      <c r="AW107" s="632"/>
      <c r="AX107" s="633"/>
    </row>
    <row r="108" spans="2:53" ht="15.75">
      <c r="B108" s="642"/>
      <c r="C108" s="642"/>
      <c r="D108" s="642"/>
      <c r="E108" s="642"/>
      <c r="F108" s="642"/>
      <c r="G108" s="642"/>
      <c r="H108" s="642"/>
      <c r="I108" s="204"/>
      <c r="J108" s="204"/>
      <c r="K108" s="204"/>
      <c r="L108" s="204"/>
      <c r="M108" s="205"/>
      <c r="N108" s="630"/>
      <c r="O108" s="630"/>
      <c r="P108" s="634" t="s">
        <v>318</v>
      </c>
      <c r="Q108" s="635"/>
      <c r="R108" s="635"/>
      <c r="S108" s="635"/>
      <c r="T108" s="635"/>
      <c r="U108" s="634" t="s">
        <v>319</v>
      </c>
      <c r="V108" s="635"/>
      <c r="W108" s="635"/>
      <c r="X108" s="635"/>
      <c r="Y108" s="635"/>
      <c r="Z108" s="634" t="s">
        <v>320</v>
      </c>
      <c r="AA108" s="635"/>
      <c r="AB108" s="635"/>
      <c r="AC108" s="635"/>
      <c r="AD108" s="635"/>
      <c r="AE108" s="634" t="s">
        <v>321</v>
      </c>
      <c r="AF108" s="635"/>
      <c r="AG108" s="635"/>
      <c r="AH108" s="635"/>
      <c r="AI108" s="635"/>
      <c r="AJ108" s="634" t="s">
        <v>322</v>
      </c>
      <c r="AK108" s="635"/>
      <c r="AL108" s="635"/>
      <c r="AM108" s="635"/>
      <c r="AN108" s="635"/>
      <c r="AO108" s="634" t="s">
        <v>323</v>
      </c>
      <c r="AP108" s="635"/>
      <c r="AQ108" s="635"/>
      <c r="AR108" s="635"/>
      <c r="AS108" s="635"/>
      <c r="AT108" s="634" t="s">
        <v>324</v>
      </c>
      <c r="AU108" s="635"/>
      <c r="AV108" s="635"/>
      <c r="AW108" s="635"/>
      <c r="AX108" s="635"/>
    </row>
    <row r="109" spans="2:53">
      <c r="B109" s="627" t="s">
        <v>374</v>
      </c>
      <c r="C109" s="627" t="s">
        <v>384</v>
      </c>
      <c r="D109" s="627"/>
      <c r="E109" s="627" t="s">
        <v>375</v>
      </c>
      <c r="F109" s="627"/>
      <c r="G109" s="627"/>
      <c r="H109" s="643" t="s">
        <v>371</v>
      </c>
      <c r="I109" s="611" t="s">
        <v>376</v>
      </c>
      <c r="J109" s="611"/>
      <c r="K109" s="611"/>
      <c r="L109" s="612" t="s">
        <v>371</v>
      </c>
      <c r="M109" s="618" t="s">
        <v>372</v>
      </c>
      <c r="N109" s="627"/>
      <c r="O109" s="627" t="s">
        <v>377</v>
      </c>
      <c r="P109" s="624" t="s">
        <v>373</v>
      </c>
      <c r="Q109" s="625"/>
      <c r="R109" s="625"/>
      <c r="S109" s="626"/>
      <c r="T109" s="627" t="s">
        <v>371</v>
      </c>
      <c r="U109" s="624" t="s">
        <v>373</v>
      </c>
      <c r="V109" s="625"/>
      <c r="W109" s="625"/>
      <c r="X109" s="626"/>
      <c r="Y109" s="627" t="s">
        <v>371</v>
      </c>
      <c r="Z109" s="624" t="s">
        <v>373</v>
      </c>
      <c r="AA109" s="625"/>
      <c r="AB109" s="625"/>
      <c r="AC109" s="626"/>
      <c r="AD109" s="627" t="s">
        <v>371</v>
      </c>
      <c r="AE109" s="624" t="s">
        <v>373</v>
      </c>
      <c r="AF109" s="625"/>
      <c r="AG109" s="625"/>
      <c r="AH109" s="626"/>
      <c r="AI109" s="627" t="s">
        <v>371</v>
      </c>
      <c r="AJ109" s="624" t="s">
        <v>373</v>
      </c>
      <c r="AK109" s="625"/>
      <c r="AL109" s="625"/>
      <c r="AM109" s="626"/>
      <c r="AN109" s="627" t="s">
        <v>371</v>
      </c>
      <c r="AO109" s="624" t="s">
        <v>373</v>
      </c>
      <c r="AP109" s="625"/>
      <c r="AQ109" s="625"/>
      <c r="AR109" s="626"/>
      <c r="AS109" s="627" t="s">
        <v>371</v>
      </c>
      <c r="AT109" s="624" t="s">
        <v>373</v>
      </c>
      <c r="AU109" s="625"/>
      <c r="AV109" s="625"/>
      <c r="AW109" s="626"/>
      <c r="AX109" s="627" t="s">
        <v>371</v>
      </c>
      <c r="BA109" s="627" t="s">
        <v>371</v>
      </c>
    </row>
    <row r="110" spans="2:53">
      <c r="B110" s="627"/>
      <c r="C110" s="627"/>
      <c r="D110" s="627"/>
      <c r="E110" s="627" t="s">
        <v>378</v>
      </c>
      <c r="F110" s="627"/>
      <c r="G110" s="627"/>
      <c r="H110" s="644"/>
      <c r="I110" s="611" t="s">
        <v>378</v>
      </c>
      <c r="J110" s="611"/>
      <c r="K110" s="611"/>
      <c r="L110" s="613"/>
      <c r="M110" s="619"/>
      <c r="N110" s="627"/>
      <c r="O110" s="627"/>
      <c r="P110" s="624" t="s">
        <v>379</v>
      </c>
      <c r="Q110" s="625"/>
      <c r="R110" s="625"/>
      <c r="S110" s="626"/>
      <c r="T110" s="627"/>
      <c r="U110" s="624" t="s">
        <v>379</v>
      </c>
      <c r="V110" s="625"/>
      <c r="W110" s="625"/>
      <c r="X110" s="626"/>
      <c r="Y110" s="627"/>
      <c r="Z110" s="624" t="s">
        <v>379</v>
      </c>
      <c r="AA110" s="625"/>
      <c r="AB110" s="625"/>
      <c r="AC110" s="626"/>
      <c r="AD110" s="627"/>
      <c r="AE110" s="624" t="s">
        <v>379</v>
      </c>
      <c r="AF110" s="625"/>
      <c r="AG110" s="625"/>
      <c r="AH110" s="626"/>
      <c r="AI110" s="627"/>
      <c r="AJ110" s="624" t="s">
        <v>379</v>
      </c>
      <c r="AK110" s="625"/>
      <c r="AL110" s="625"/>
      <c r="AM110" s="626"/>
      <c r="AN110" s="627"/>
      <c r="AO110" s="624" t="s">
        <v>379</v>
      </c>
      <c r="AP110" s="625"/>
      <c r="AQ110" s="625"/>
      <c r="AR110" s="626"/>
      <c r="AS110" s="627"/>
      <c r="AT110" s="624" t="s">
        <v>379</v>
      </c>
      <c r="AU110" s="625"/>
      <c r="AV110" s="625"/>
      <c r="AW110" s="626"/>
      <c r="AX110" s="627"/>
      <c r="BA110" s="627"/>
    </row>
    <row r="111" spans="2:53">
      <c r="B111" s="627"/>
      <c r="C111" s="627"/>
      <c r="D111" s="627"/>
      <c r="E111" s="291" t="s">
        <v>380</v>
      </c>
      <c r="F111" s="291" t="s">
        <v>381</v>
      </c>
      <c r="G111" s="291" t="s">
        <v>382</v>
      </c>
      <c r="H111" s="645"/>
      <c r="I111" s="290" t="s">
        <v>380</v>
      </c>
      <c r="J111" s="290" t="s">
        <v>381</v>
      </c>
      <c r="K111" s="290" t="s">
        <v>382</v>
      </c>
      <c r="L111" s="614"/>
      <c r="M111" s="620"/>
      <c r="N111" s="627"/>
      <c r="O111" s="627"/>
      <c r="P111" s="291" t="s">
        <v>380</v>
      </c>
      <c r="Q111" s="291" t="s">
        <v>381</v>
      </c>
      <c r="R111" s="291" t="s">
        <v>382</v>
      </c>
      <c r="S111" s="291" t="s">
        <v>372</v>
      </c>
      <c r="T111" s="627"/>
      <c r="U111" s="291" t="s">
        <v>380</v>
      </c>
      <c r="V111" s="291" t="s">
        <v>381</v>
      </c>
      <c r="W111" s="291" t="s">
        <v>382</v>
      </c>
      <c r="X111" s="291" t="s">
        <v>372</v>
      </c>
      <c r="Y111" s="627"/>
      <c r="Z111" s="291" t="s">
        <v>380</v>
      </c>
      <c r="AA111" s="291" t="s">
        <v>381</v>
      </c>
      <c r="AB111" s="291" t="s">
        <v>382</v>
      </c>
      <c r="AC111" s="291" t="s">
        <v>372</v>
      </c>
      <c r="AD111" s="627"/>
      <c r="AE111" s="291" t="s">
        <v>380</v>
      </c>
      <c r="AF111" s="291" t="s">
        <v>381</v>
      </c>
      <c r="AG111" s="291" t="s">
        <v>382</v>
      </c>
      <c r="AH111" s="291" t="s">
        <v>372</v>
      </c>
      <c r="AI111" s="627"/>
      <c r="AJ111" s="291" t="s">
        <v>380</v>
      </c>
      <c r="AK111" s="291" t="s">
        <v>381</v>
      </c>
      <c r="AL111" s="291" t="s">
        <v>382</v>
      </c>
      <c r="AM111" s="291" t="s">
        <v>372</v>
      </c>
      <c r="AN111" s="627"/>
      <c r="AO111" s="291" t="s">
        <v>380</v>
      </c>
      <c r="AP111" s="291" t="s">
        <v>381</v>
      </c>
      <c r="AQ111" s="291" t="s">
        <v>382</v>
      </c>
      <c r="AR111" s="291" t="s">
        <v>372</v>
      </c>
      <c r="AS111" s="627"/>
      <c r="AT111" s="291" t="s">
        <v>380</v>
      </c>
      <c r="AU111" s="291" t="s">
        <v>381</v>
      </c>
      <c r="AV111" s="291" t="s">
        <v>382</v>
      </c>
      <c r="AW111" s="291" t="s">
        <v>372</v>
      </c>
      <c r="AX111" s="627"/>
      <c r="AZ111" s="407" t="s">
        <v>372</v>
      </c>
      <c r="BA111" s="627"/>
    </row>
    <row r="112" spans="2:53">
      <c r="B112" s="635" t="s">
        <v>150</v>
      </c>
      <c r="C112" s="292">
        <v>1</v>
      </c>
      <c r="D112" s="413"/>
      <c r="E112" s="413"/>
      <c r="F112" s="413"/>
      <c r="G112" s="420"/>
      <c r="H112" s="636" t="e">
        <f>AVERAGE(G112:G141)</f>
        <v>#DIV/0!</v>
      </c>
      <c r="I112" s="395" t="str">
        <f>IFERROR(AVERAGE(P112,U112,Z112,AE112,AJ112,AO112,AT112),"-")</f>
        <v>-</v>
      </c>
      <c r="J112" s="395" t="str">
        <f>IFERROR(AVERAGE(Q112,V112,AA112,AF112,AK112,AP112,AU112),"-")</f>
        <v>-</v>
      </c>
      <c r="K112" s="199" t="str">
        <f>IFERROR(AVERAGE(R112,W112,AB112,AG112,AL112,AQ112,AV112),"-")</f>
        <v>-</v>
      </c>
      <c r="L112" s="608" t="str">
        <f>IFERROR(AVERAGE(K112:K141),"-")</f>
        <v>-</v>
      </c>
      <c r="M112" s="198" t="e">
        <f>RANK(K112, K$112:$K$141)</f>
        <v>#VALUE!</v>
      </c>
      <c r="N112" s="627"/>
      <c r="O112" s="627"/>
      <c r="P112" s="420"/>
      <c r="Q112" s="420"/>
      <c r="R112" s="420"/>
      <c r="S112" s="500"/>
      <c r="T112" s="636"/>
      <c r="U112" s="420"/>
      <c r="V112" s="420"/>
      <c r="W112" s="420"/>
      <c r="X112" s="500"/>
      <c r="Y112" s="636"/>
      <c r="Z112" s="420"/>
      <c r="AA112" s="420"/>
      <c r="AB112" s="420"/>
      <c r="AC112" s="500"/>
      <c r="AD112" s="636"/>
      <c r="AE112" s="420"/>
      <c r="AF112" s="420"/>
      <c r="AG112" s="420"/>
      <c r="AH112" s="500"/>
      <c r="AI112" s="636"/>
      <c r="AJ112" s="420"/>
      <c r="AK112" s="420"/>
      <c r="AL112" s="420"/>
      <c r="AM112" s="500"/>
      <c r="AN112" s="636"/>
      <c r="AO112" s="420"/>
      <c r="AP112" s="420"/>
      <c r="AQ112" s="420"/>
      <c r="AR112" s="500"/>
      <c r="AS112" s="636"/>
      <c r="AT112" s="420"/>
      <c r="AU112" s="420"/>
      <c r="AV112" s="420"/>
      <c r="AW112" s="500"/>
      <c r="AX112" s="636"/>
      <c r="AZ112" s="406" t="e">
        <f t="shared" ref="AZ112:AZ141" si="35">RANK(AY112, AY$112:AY$141)</f>
        <v>#N/A</v>
      </c>
      <c r="BA112" s="636" t="e">
        <f t="shared" ref="BA112" si="36">AVERAGE(AY112:AY141)</f>
        <v>#DIV/0!</v>
      </c>
    </row>
    <row r="113" spans="2:53">
      <c r="B113" s="635"/>
      <c r="C113" s="292">
        <v>2</v>
      </c>
      <c r="D113" s="412"/>
      <c r="E113" s="413"/>
      <c r="F113" s="413"/>
      <c r="G113" s="420"/>
      <c r="H113" s="637"/>
      <c r="I113" s="395" t="str">
        <f t="shared" ref="I113:I141" si="37">IFERROR(AVERAGE(P113,U113,Z113,AE113,AJ113,AO113,AT113),"-")</f>
        <v>-</v>
      </c>
      <c r="J113" s="395" t="str">
        <f t="shared" ref="J113:J141" si="38">IFERROR(AVERAGE(Q113,V113,AA113,AF113,AK113,AP113,AU113),"-")</f>
        <v>-</v>
      </c>
      <c r="K113" s="199" t="str">
        <f t="shared" ref="K113:K141" si="39">IFERROR(AVERAGE(R113,W113,AB113,AG113,AL113,AQ113,AV113),"-")</f>
        <v>-</v>
      </c>
      <c r="L113" s="609"/>
      <c r="M113" s="198" t="e">
        <f>RANK(K113, K$112:$K$141)</f>
        <v>#VALUE!</v>
      </c>
      <c r="N113" s="627"/>
      <c r="O113" s="627"/>
      <c r="P113" s="420"/>
      <c r="Q113" s="420"/>
      <c r="R113" s="420"/>
      <c r="S113" s="500"/>
      <c r="T113" s="637"/>
      <c r="U113" s="420"/>
      <c r="V113" s="420"/>
      <c r="W113" s="420"/>
      <c r="X113" s="500"/>
      <c r="Y113" s="637"/>
      <c r="Z113" s="420"/>
      <c r="AA113" s="420"/>
      <c r="AB113" s="420"/>
      <c r="AC113" s="500"/>
      <c r="AD113" s="637"/>
      <c r="AE113" s="420"/>
      <c r="AF113" s="420"/>
      <c r="AG113" s="420"/>
      <c r="AH113" s="500"/>
      <c r="AI113" s="637"/>
      <c r="AJ113" s="420"/>
      <c r="AK113" s="420"/>
      <c r="AL113" s="420"/>
      <c r="AM113" s="500"/>
      <c r="AN113" s="637"/>
      <c r="AO113" s="420"/>
      <c r="AP113" s="420"/>
      <c r="AQ113" s="420"/>
      <c r="AR113" s="500"/>
      <c r="AS113" s="637"/>
      <c r="AT113" s="420"/>
      <c r="AU113" s="420"/>
      <c r="AV113" s="420"/>
      <c r="AW113" s="500"/>
      <c r="AX113" s="637"/>
      <c r="AZ113" s="406" t="e">
        <f t="shared" si="35"/>
        <v>#N/A</v>
      </c>
      <c r="BA113" s="637"/>
    </row>
    <row r="114" spans="2:53">
      <c r="B114" s="635"/>
      <c r="C114" s="292">
        <v>3</v>
      </c>
      <c r="D114" s="413"/>
      <c r="E114" s="413"/>
      <c r="F114" s="413"/>
      <c r="G114" s="420"/>
      <c r="H114" s="637"/>
      <c r="I114" s="395" t="str">
        <f t="shared" si="37"/>
        <v>-</v>
      </c>
      <c r="J114" s="395" t="str">
        <f t="shared" si="38"/>
        <v>-</v>
      </c>
      <c r="K114" s="199" t="str">
        <f t="shared" si="39"/>
        <v>-</v>
      </c>
      <c r="L114" s="609"/>
      <c r="M114" s="198" t="e">
        <f>RANK(K114, K$112:$K$141)</f>
        <v>#VALUE!</v>
      </c>
      <c r="N114" s="627"/>
      <c r="O114" s="627"/>
      <c r="P114" s="420"/>
      <c r="Q114" s="420"/>
      <c r="R114" s="420"/>
      <c r="S114" s="500"/>
      <c r="T114" s="637"/>
      <c r="U114" s="420"/>
      <c r="V114" s="420"/>
      <c r="W114" s="420"/>
      <c r="X114" s="500"/>
      <c r="Y114" s="637"/>
      <c r="Z114" s="420"/>
      <c r="AA114" s="420"/>
      <c r="AB114" s="420"/>
      <c r="AC114" s="500"/>
      <c r="AD114" s="637"/>
      <c r="AE114" s="420"/>
      <c r="AF114" s="420"/>
      <c r="AG114" s="420"/>
      <c r="AH114" s="500"/>
      <c r="AI114" s="637"/>
      <c r="AJ114" s="420"/>
      <c r="AK114" s="420"/>
      <c r="AL114" s="420"/>
      <c r="AM114" s="500"/>
      <c r="AN114" s="637"/>
      <c r="AO114" s="420"/>
      <c r="AP114" s="420"/>
      <c r="AQ114" s="420"/>
      <c r="AR114" s="500"/>
      <c r="AS114" s="637"/>
      <c r="AT114" s="420"/>
      <c r="AU114" s="420"/>
      <c r="AV114" s="420"/>
      <c r="AW114" s="500"/>
      <c r="AX114" s="637"/>
      <c r="AZ114" s="406" t="e">
        <f t="shared" si="35"/>
        <v>#N/A</v>
      </c>
      <c r="BA114" s="637"/>
    </row>
    <row r="115" spans="2:53">
      <c r="B115" s="635"/>
      <c r="C115" s="292">
        <v>4</v>
      </c>
      <c r="D115" s="413"/>
      <c r="E115" s="413"/>
      <c r="F115" s="413"/>
      <c r="G115" s="420"/>
      <c r="H115" s="637"/>
      <c r="I115" s="395" t="str">
        <f t="shared" si="37"/>
        <v>-</v>
      </c>
      <c r="J115" s="395" t="str">
        <f t="shared" si="38"/>
        <v>-</v>
      </c>
      <c r="K115" s="199" t="str">
        <f t="shared" si="39"/>
        <v>-</v>
      </c>
      <c r="L115" s="609"/>
      <c r="M115" s="198" t="e">
        <f>RANK(K115, K$112:$K$141)</f>
        <v>#VALUE!</v>
      </c>
      <c r="N115" s="627"/>
      <c r="O115" s="627"/>
      <c r="P115" s="420"/>
      <c r="Q115" s="420"/>
      <c r="R115" s="420"/>
      <c r="S115" s="500"/>
      <c r="T115" s="637"/>
      <c r="U115" s="420"/>
      <c r="V115" s="420"/>
      <c r="W115" s="420"/>
      <c r="X115" s="500"/>
      <c r="Y115" s="637"/>
      <c r="Z115" s="420"/>
      <c r="AA115" s="420"/>
      <c r="AB115" s="420"/>
      <c r="AC115" s="500"/>
      <c r="AD115" s="637"/>
      <c r="AE115" s="420"/>
      <c r="AF115" s="420"/>
      <c r="AG115" s="420"/>
      <c r="AH115" s="500"/>
      <c r="AI115" s="637"/>
      <c r="AJ115" s="420"/>
      <c r="AK115" s="420"/>
      <c r="AL115" s="420"/>
      <c r="AM115" s="500"/>
      <c r="AN115" s="637"/>
      <c r="AO115" s="420"/>
      <c r="AP115" s="420"/>
      <c r="AQ115" s="420"/>
      <c r="AR115" s="500"/>
      <c r="AS115" s="637"/>
      <c r="AT115" s="420"/>
      <c r="AU115" s="420"/>
      <c r="AV115" s="420"/>
      <c r="AW115" s="500"/>
      <c r="AX115" s="637"/>
      <c r="AZ115" s="406" t="e">
        <f t="shared" si="35"/>
        <v>#N/A</v>
      </c>
      <c r="BA115" s="637"/>
    </row>
    <row r="116" spans="2:53">
      <c r="B116" s="635"/>
      <c r="C116" s="292">
        <v>5</v>
      </c>
      <c r="D116" s="413"/>
      <c r="E116" s="413"/>
      <c r="F116" s="413"/>
      <c r="G116" s="420"/>
      <c r="H116" s="637"/>
      <c r="I116" s="395" t="str">
        <f t="shared" si="37"/>
        <v>-</v>
      </c>
      <c r="J116" s="395" t="str">
        <f t="shared" si="38"/>
        <v>-</v>
      </c>
      <c r="K116" s="199" t="str">
        <f t="shared" si="39"/>
        <v>-</v>
      </c>
      <c r="L116" s="609"/>
      <c r="M116" s="198" t="e">
        <f>RANK(K116, K$112:$K$141)</f>
        <v>#VALUE!</v>
      </c>
      <c r="N116" s="627"/>
      <c r="O116" s="627"/>
      <c r="P116" s="420"/>
      <c r="Q116" s="420"/>
      <c r="R116" s="420"/>
      <c r="S116" s="500"/>
      <c r="T116" s="637"/>
      <c r="U116" s="420"/>
      <c r="V116" s="420"/>
      <c r="W116" s="420"/>
      <c r="X116" s="500"/>
      <c r="Y116" s="637"/>
      <c r="Z116" s="420"/>
      <c r="AA116" s="420"/>
      <c r="AB116" s="420"/>
      <c r="AC116" s="500"/>
      <c r="AD116" s="637"/>
      <c r="AE116" s="420"/>
      <c r="AF116" s="420"/>
      <c r="AG116" s="420"/>
      <c r="AH116" s="500"/>
      <c r="AI116" s="637"/>
      <c r="AJ116" s="420"/>
      <c r="AK116" s="420"/>
      <c r="AL116" s="420"/>
      <c r="AM116" s="500"/>
      <c r="AN116" s="637"/>
      <c r="AO116" s="420"/>
      <c r="AP116" s="420"/>
      <c r="AQ116" s="420"/>
      <c r="AR116" s="500"/>
      <c r="AS116" s="637"/>
      <c r="AT116" s="420"/>
      <c r="AU116" s="420"/>
      <c r="AV116" s="420"/>
      <c r="AW116" s="500"/>
      <c r="AX116" s="637"/>
      <c r="AZ116" s="406" t="e">
        <f t="shared" si="35"/>
        <v>#N/A</v>
      </c>
      <c r="BA116" s="637"/>
    </row>
    <row r="117" spans="2:53">
      <c r="B117" s="635"/>
      <c r="C117" s="292">
        <v>6</v>
      </c>
      <c r="D117" s="413"/>
      <c r="E117" s="413"/>
      <c r="F117" s="413"/>
      <c r="G117" s="420"/>
      <c r="H117" s="637"/>
      <c r="I117" s="395" t="str">
        <f t="shared" si="37"/>
        <v>-</v>
      </c>
      <c r="J117" s="395" t="str">
        <f t="shared" si="38"/>
        <v>-</v>
      </c>
      <c r="K117" s="199" t="str">
        <f t="shared" si="39"/>
        <v>-</v>
      </c>
      <c r="L117" s="609"/>
      <c r="M117" s="198" t="e">
        <f>RANK(K117, K$112:$K$141)</f>
        <v>#VALUE!</v>
      </c>
      <c r="N117" s="627"/>
      <c r="O117" s="627"/>
      <c r="P117" s="420"/>
      <c r="Q117" s="420"/>
      <c r="R117" s="420"/>
      <c r="S117" s="500"/>
      <c r="T117" s="637"/>
      <c r="U117" s="420"/>
      <c r="V117" s="420"/>
      <c r="W117" s="420"/>
      <c r="X117" s="500"/>
      <c r="Y117" s="637"/>
      <c r="Z117" s="420"/>
      <c r="AA117" s="420"/>
      <c r="AB117" s="420"/>
      <c r="AC117" s="500"/>
      <c r="AD117" s="637"/>
      <c r="AE117" s="420"/>
      <c r="AF117" s="420"/>
      <c r="AG117" s="420"/>
      <c r="AH117" s="500"/>
      <c r="AI117" s="637"/>
      <c r="AJ117" s="420"/>
      <c r="AK117" s="420"/>
      <c r="AL117" s="420"/>
      <c r="AM117" s="500"/>
      <c r="AN117" s="637"/>
      <c r="AO117" s="420"/>
      <c r="AP117" s="420"/>
      <c r="AQ117" s="420"/>
      <c r="AR117" s="500"/>
      <c r="AS117" s="637"/>
      <c r="AT117" s="420"/>
      <c r="AU117" s="420"/>
      <c r="AV117" s="420"/>
      <c r="AW117" s="500"/>
      <c r="AX117" s="637"/>
      <c r="AZ117" s="406" t="e">
        <f t="shared" si="35"/>
        <v>#N/A</v>
      </c>
      <c r="BA117" s="637"/>
    </row>
    <row r="118" spans="2:53">
      <c r="B118" s="635"/>
      <c r="C118" s="292">
        <v>7</v>
      </c>
      <c r="D118" s="413"/>
      <c r="E118" s="413"/>
      <c r="F118" s="413"/>
      <c r="G118" s="420"/>
      <c r="H118" s="637"/>
      <c r="I118" s="395" t="str">
        <f t="shared" si="37"/>
        <v>-</v>
      </c>
      <c r="J118" s="395" t="str">
        <f t="shared" si="38"/>
        <v>-</v>
      </c>
      <c r="K118" s="199" t="str">
        <f t="shared" si="39"/>
        <v>-</v>
      </c>
      <c r="L118" s="609"/>
      <c r="M118" s="198" t="e">
        <f>RANK(K118, K$112:$K$141)</f>
        <v>#VALUE!</v>
      </c>
      <c r="N118" s="627"/>
      <c r="O118" s="627"/>
      <c r="P118" s="420"/>
      <c r="Q118" s="420"/>
      <c r="R118" s="420"/>
      <c r="S118" s="500"/>
      <c r="T118" s="637"/>
      <c r="U118" s="420"/>
      <c r="V118" s="420"/>
      <c r="W118" s="420"/>
      <c r="X118" s="500"/>
      <c r="Y118" s="637"/>
      <c r="Z118" s="420"/>
      <c r="AA118" s="420"/>
      <c r="AB118" s="420"/>
      <c r="AC118" s="500"/>
      <c r="AD118" s="637"/>
      <c r="AE118" s="420"/>
      <c r="AF118" s="420"/>
      <c r="AG118" s="420"/>
      <c r="AH118" s="500"/>
      <c r="AI118" s="637"/>
      <c r="AJ118" s="420"/>
      <c r="AK118" s="420"/>
      <c r="AL118" s="420"/>
      <c r="AM118" s="500"/>
      <c r="AN118" s="637"/>
      <c r="AO118" s="420"/>
      <c r="AP118" s="420"/>
      <c r="AQ118" s="420"/>
      <c r="AR118" s="500"/>
      <c r="AS118" s="637"/>
      <c r="AT118" s="420"/>
      <c r="AU118" s="420"/>
      <c r="AV118" s="420"/>
      <c r="AW118" s="500"/>
      <c r="AX118" s="637"/>
      <c r="AZ118" s="406" t="e">
        <f t="shared" si="35"/>
        <v>#N/A</v>
      </c>
      <c r="BA118" s="637"/>
    </row>
    <row r="119" spans="2:53">
      <c r="B119" s="635"/>
      <c r="C119" s="292">
        <v>8</v>
      </c>
      <c r="D119" s="413"/>
      <c r="E119" s="413"/>
      <c r="F119" s="413"/>
      <c r="G119" s="420"/>
      <c r="H119" s="637"/>
      <c r="I119" s="395" t="str">
        <f t="shared" si="37"/>
        <v>-</v>
      </c>
      <c r="J119" s="395" t="str">
        <f t="shared" si="38"/>
        <v>-</v>
      </c>
      <c r="K119" s="199" t="str">
        <f t="shared" si="39"/>
        <v>-</v>
      </c>
      <c r="L119" s="609"/>
      <c r="M119" s="198" t="e">
        <f>RANK(K119, K$112:$K$141)</f>
        <v>#VALUE!</v>
      </c>
      <c r="N119" s="627"/>
      <c r="O119" s="627"/>
      <c r="P119" s="420"/>
      <c r="Q119" s="420"/>
      <c r="R119" s="420"/>
      <c r="S119" s="500"/>
      <c r="T119" s="637"/>
      <c r="U119" s="420"/>
      <c r="V119" s="420"/>
      <c r="W119" s="420"/>
      <c r="X119" s="500"/>
      <c r="Y119" s="637"/>
      <c r="Z119" s="420"/>
      <c r="AA119" s="420"/>
      <c r="AB119" s="420"/>
      <c r="AC119" s="500"/>
      <c r="AD119" s="637"/>
      <c r="AE119" s="420"/>
      <c r="AF119" s="420"/>
      <c r="AG119" s="420"/>
      <c r="AH119" s="500"/>
      <c r="AI119" s="637"/>
      <c r="AJ119" s="420"/>
      <c r="AK119" s="420"/>
      <c r="AL119" s="420"/>
      <c r="AM119" s="500"/>
      <c r="AN119" s="637"/>
      <c r="AO119" s="420"/>
      <c r="AP119" s="420"/>
      <c r="AQ119" s="420"/>
      <c r="AR119" s="500"/>
      <c r="AS119" s="637"/>
      <c r="AT119" s="420"/>
      <c r="AU119" s="420"/>
      <c r="AV119" s="420"/>
      <c r="AW119" s="500"/>
      <c r="AX119" s="637"/>
      <c r="AZ119" s="406" t="e">
        <f t="shared" si="35"/>
        <v>#N/A</v>
      </c>
      <c r="BA119" s="637"/>
    </row>
    <row r="120" spans="2:53">
      <c r="B120" s="635"/>
      <c r="C120" s="292">
        <v>9</v>
      </c>
      <c r="D120" s="413"/>
      <c r="E120" s="413"/>
      <c r="F120" s="413"/>
      <c r="G120" s="420"/>
      <c r="H120" s="637"/>
      <c r="I120" s="395" t="str">
        <f t="shared" si="37"/>
        <v>-</v>
      </c>
      <c r="J120" s="395" t="str">
        <f t="shared" si="38"/>
        <v>-</v>
      </c>
      <c r="K120" s="199" t="str">
        <f t="shared" si="39"/>
        <v>-</v>
      </c>
      <c r="L120" s="609"/>
      <c r="M120" s="198" t="e">
        <f>RANK(K120, K$112:$K$141)</f>
        <v>#VALUE!</v>
      </c>
      <c r="N120" s="627"/>
      <c r="O120" s="627"/>
      <c r="P120" s="420"/>
      <c r="Q120" s="420"/>
      <c r="R120" s="420"/>
      <c r="S120" s="500"/>
      <c r="T120" s="637"/>
      <c r="U120" s="420"/>
      <c r="V120" s="420"/>
      <c r="W120" s="420"/>
      <c r="X120" s="500"/>
      <c r="Y120" s="637"/>
      <c r="Z120" s="420"/>
      <c r="AA120" s="420"/>
      <c r="AB120" s="420"/>
      <c r="AC120" s="500"/>
      <c r="AD120" s="637"/>
      <c r="AE120" s="420"/>
      <c r="AF120" s="420"/>
      <c r="AG120" s="420"/>
      <c r="AH120" s="500"/>
      <c r="AI120" s="637"/>
      <c r="AJ120" s="420"/>
      <c r="AK120" s="420"/>
      <c r="AL120" s="420"/>
      <c r="AM120" s="500"/>
      <c r="AN120" s="637"/>
      <c r="AO120" s="420"/>
      <c r="AP120" s="420"/>
      <c r="AQ120" s="420"/>
      <c r="AR120" s="500"/>
      <c r="AS120" s="637"/>
      <c r="AT120" s="420"/>
      <c r="AU120" s="420"/>
      <c r="AV120" s="420"/>
      <c r="AW120" s="500"/>
      <c r="AX120" s="637"/>
      <c r="AZ120" s="406" t="e">
        <f t="shared" si="35"/>
        <v>#N/A</v>
      </c>
      <c r="BA120" s="637"/>
    </row>
    <row r="121" spans="2:53">
      <c r="B121" s="635"/>
      <c r="C121" s="292">
        <v>10</v>
      </c>
      <c r="D121" s="413"/>
      <c r="E121" s="413"/>
      <c r="F121" s="413"/>
      <c r="G121" s="420"/>
      <c r="H121" s="637"/>
      <c r="I121" s="395" t="str">
        <f t="shared" si="37"/>
        <v>-</v>
      </c>
      <c r="J121" s="395" t="str">
        <f t="shared" si="38"/>
        <v>-</v>
      </c>
      <c r="K121" s="199" t="str">
        <f t="shared" si="39"/>
        <v>-</v>
      </c>
      <c r="L121" s="609"/>
      <c r="M121" s="198" t="e">
        <f>RANK(K121, K$112:$K$141)</f>
        <v>#VALUE!</v>
      </c>
      <c r="N121" s="627"/>
      <c r="O121" s="627"/>
      <c r="P121" s="420"/>
      <c r="Q121" s="420"/>
      <c r="R121" s="420"/>
      <c r="S121" s="500"/>
      <c r="T121" s="637"/>
      <c r="U121" s="420"/>
      <c r="V121" s="420"/>
      <c r="W121" s="420"/>
      <c r="X121" s="500"/>
      <c r="Y121" s="637"/>
      <c r="Z121" s="420"/>
      <c r="AA121" s="420"/>
      <c r="AB121" s="420"/>
      <c r="AC121" s="500"/>
      <c r="AD121" s="637"/>
      <c r="AE121" s="420"/>
      <c r="AF121" s="420"/>
      <c r="AG121" s="420"/>
      <c r="AH121" s="500"/>
      <c r="AI121" s="637"/>
      <c r="AJ121" s="420"/>
      <c r="AK121" s="420"/>
      <c r="AL121" s="420"/>
      <c r="AM121" s="500"/>
      <c r="AN121" s="637"/>
      <c r="AO121" s="420"/>
      <c r="AP121" s="420"/>
      <c r="AQ121" s="420"/>
      <c r="AR121" s="500"/>
      <c r="AS121" s="637"/>
      <c r="AT121" s="420"/>
      <c r="AU121" s="420"/>
      <c r="AV121" s="420"/>
      <c r="AW121" s="500"/>
      <c r="AX121" s="637"/>
      <c r="AZ121" s="406" t="e">
        <f t="shared" si="35"/>
        <v>#N/A</v>
      </c>
      <c r="BA121" s="637"/>
    </row>
    <row r="122" spans="2:53">
      <c r="B122" s="635"/>
      <c r="C122" s="292">
        <v>11</v>
      </c>
      <c r="D122" s="413"/>
      <c r="E122" s="413"/>
      <c r="F122" s="413"/>
      <c r="G122" s="420"/>
      <c r="H122" s="637"/>
      <c r="I122" s="395" t="str">
        <f t="shared" si="37"/>
        <v>-</v>
      </c>
      <c r="J122" s="395" t="str">
        <f t="shared" si="38"/>
        <v>-</v>
      </c>
      <c r="K122" s="199" t="str">
        <f t="shared" si="39"/>
        <v>-</v>
      </c>
      <c r="L122" s="609"/>
      <c r="M122" s="198" t="e">
        <f>RANK(K122, K$112:$K$141)</f>
        <v>#VALUE!</v>
      </c>
      <c r="N122" s="627"/>
      <c r="O122" s="627"/>
      <c r="P122" s="420"/>
      <c r="Q122" s="420"/>
      <c r="R122" s="420"/>
      <c r="S122" s="500"/>
      <c r="T122" s="637"/>
      <c r="U122" s="420"/>
      <c r="V122" s="420"/>
      <c r="W122" s="420"/>
      <c r="X122" s="500"/>
      <c r="Y122" s="637"/>
      <c r="Z122" s="420"/>
      <c r="AA122" s="420"/>
      <c r="AB122" s="420"/>
      <c r="AC122" s="500"/>
      <c r="AD122" s="637"/>
      <c r="AE122" s="420"/>
      <c r="AF122" s="420"/>
      <c r="AG122" s="420"/>
      <c r="AH122" s="500"/>
      <c r="AI122" s="637"/>
      <c r="AJ122" s="420"/>
      <c r="AK122" s="420"/>
      <c r="AL122" s="420"/>
      <c r="AM122" s="500"/>
      <c r="AN122" s="637"/>
      <c r="AO122" s="420"/>
      <c r="AP122" s="420"/>
      <c r="AQ122" s="420"/>
      <c r="AR122" s="500"/>
      <c r="AS122" s="637"/>
      <c r="AT122" s="420"/>
      <c r="AU122" s="420"/>
      <c r="AV122" s="420"/>
      <c r="AW122" s="500"/>
      <c r="AX122" s="637"/>
      <c r="AZ122" s="406" t="e">
        <f t="shared" si="35"/>
        <v>#N/A</v>
      </c>
      <c r="BA122" s="637"/>
    </row>
    <row r="123" spans="2:53">
      <c r="B123" s="635"/>
      <c r="C123" s="292">
        <v>12</v>
      </c>
      <c r="D123" s="413"/>
      <c r="E123" s="413"/>
      <c r="F123" s="413"/>
      <c r="G123" s="420"/>
      <c r="H123" s="637"/>
      <c r="I123" s="395" t="str">
        <f t="shared" si="37"/>
        <v>-</v>
      </c>
      <c r="J123" s="395" t="str">
        <f t="shared" si="38"/>
        <v>-</v>
      </c>
      <c r="K123" s="199" t="str">
        <f t="shared" si="39"/>
        <v>-</v>
      </c>
      <c r="L123" s="609"/>
      <c r="M123" s="198" t="e">
        <f>RANK(K123, K$112:$K$141)</f>
        <v>#VALUE!</v>
      </c>
      <c r="N123" s="627"/>
      <c r="O123" s="627"/>
      <c r="P123" s="420"/>
      <c r="Q123" s="420"/>
      <c r="R123" s="420"/>
      <c r="S123" s="500"/>
      <c r="T123" s="637"/>
      <c r="U123" s="420"/>
      <c r="V123" s="420"/>
      <c r="W123" s="420"/>
      <c r="X123" s="500"/>
      <c r="Y123" s="637"/>
      <c r="Z123" s="420"/>
      <c r="AA123" s="420"/>
      <c r="AB123" s="420"/>
      <c r="AC123" s="500"/>
      <c r="AD123" s="637"/>
      <c r="AE123" s="420"/>
      <c r="AF123" s="420"/>
      <c r="AG123" s="420"/>
      <c r="AH123" s="500"/>
      <c r="AI123" s="637"/>
      <c r="AJ123" s="420"/>
      <c r="AK123" s="420"/>
      <c r="AL123" s="420"/>
      <c r="AM123" s="500"/>
      <c r="AN123" s="637"/>
      <c r="AO123" s="420"/>
      <c r="AP123" s="420"/>
      <c r="AQ123" s="420"/>
      <c r="AR123" s="500"/>
      <c r="AS123" s="637"/>
      <c r="AT123" s="420"/>
      <c r="AU123" s="420"/>
      <c r="AV123" s="420"/>
      <c r="AW123" s="500"/>
      <c r="AX123" s="637"/>
      <c r="AZ123" s="406" t="e">
        <f t="shared" si="35"/>
        <v>#N/A</v>
      </c>
      <c r="BA123" s="637"/>
    </row>
    <row r="124" spans="2:53">
      <c r="B124" s="635"/>
      <c r="C124" s="292">
        <v>13</v>
      </c>
      <c r="D124" s="413"/>
      <c r="E124" s="413"/>
      <c r="F124" s="413"/>
      <c r="G124" s="420"/>
      <c r="H124" s="637"/>
      <c r="I124" s="395" t="str">
        <f t="shared" si="37"/>
        <v>-</v>
      </c>
      <c r="J124" s="395" t="str">
        <f t="shared" si="38"/>
        <v>-</v>
      </c>
      <c r="K124" s="199" t="str">
        <f t="shared" si="39"/>
        <v>-</v>
      </c>
      <c r="L124" s="609"/>
      <c r="M124" s="198" t="e">
        <f>RANK(K124, K$112:$K$141)</f>
        <v>#VALUE!</v>
      </c>
      <c r="N124" s="627"/>
      <c r="O124" s="627"/>
      <c r="P124" s="420"/>
      <c r="Q124" s="420"/>
      <c r="R124" s="420"/>
      <c r="S124" s="500"/>
      <c r="T124" s="637"/>
      <c r="U124" s="420"/>
      <c r="V124" s="420"/>
      <c r="W124" s="420"/>
      <c r="X124" s="500"/>
      <c r="Y124" s="637"/>
      <c r="Z124" s="420"/>
      <c r="AA124" s="420"/>
      <c r="AB124" s="420"/>
      <c r="AC124" s="500"/>
      <c r="AD124" s="637"/>
      <c r="AE124" s="420"/>
      <c r="AF124" s="420"/>
      <c r="AG124" s="420"/>
      <c r="AH124" s="500"/>
      <c r="AI124" s="637"/>
      <c r="AJ124" s="420"/>
      <c r="AK124" s="420"/>
      <c r="AL124" s="420"/>
      <c r="AM124" s="500"/>
      <c r="AN124" s="637"/>
      <c r="AO124" s="420"/>
      <c r="AP124" s="420"/>
      <c r="AQ124" s="420"/>
      <c r="AR124" s="500"/>
      <c r="AS124" s="637"/>
      <c r="AT124" s="420"/>
      <c r="AU124" s="420"/>
      <c r="AV124" s="420"/>
      <c r="AW124" s="500"/>
      <c r="AX124" s="637"/>
      <c r="AZ124" s="406" t="e">
        <f t="shared" si="35"/>
        <v>#N/A</v>
      </c>
      <c r="BA124" s="637"/>
    </row>
    <row r="125" spans="2:53">
      <c r="B125" s="635"/>
      <c r="C125" s="292">
        <v>14</v>
      </c>
      <c r="D125" s="413"/>
      <c r="E125" s="413"/>
      <c r="F125" s="413"/>
      <c r="G125" s="420"/>
      <c r="H125" s="637"/>
      <c r="I125" s="395" t="str">
        <f t="shared" si="37"/>
        <v>-</v>
      </c>
      <c r="J125" s="395" t="str">
        <f t="shared" si="38"/>
        <v>-</v>
      </c>
      <c r="K125" s="199" t="str">
        <f t="shared" si="39"/>
        <v>-</v>
      </c>
      <c r="L125" s="609"/>
      <c r="M125" s="198" t="e">
        <f>RANK(K125, K$112:$K$141)</f>
        <v>#VALUE!</v>
      </c>
      <c r="N125" s="627"/>
      <c r="O125" s="627"/>
      <c r="P125" s="420"/>
      <c r="Q125" s="420"/>
      <c r="R125" s="420"/>
      <c r="S125" s="500"/>
      <c r="T125" s="637"/>
      <c r="U125" s="420"/>
      <c r="V125" s="420"/>
      <c r="W125" s="420"/>
      <c r="X125" s="500"/>
      <c r="Y125" s="637"/>
      <c r="Z125" s="420"/>
      <c r="AA125" s="420"/>
      <c r="AB125" s="420"/>
      <c r="AC125" s="500"/>
      <c r="AD125" s="637"/>
      <c r="AE125" s="420"/>
      <c r="AF125" s="420"/>
      <c r="AG125" s="420"/>
      <c r="AH125" s="500"/>
      <c r="AI125" s="637"/>
      <c r="AJ125" s="420"/>
      <c r="AK125" s="420"/>
      <c r="AL125" s="420"/>
      <c r="AM125" s="500"/>
      <c r="AN125" s="637"/>
      <c r="AO125" s="420"/>
      <c r="AP125" s="420"/>
      <c r="AQ125" s="420"/>
      <c r="AR125" s="500"/>
      <c r="AS125" s="637"/>
      <c r="AT125" s="420"/>
      <c r="AU125" s="420"/>
      <c r="AV125" s="420"/>
      <c r="AW125" s="500"/>
      <c r="AX125" s="637"/>
      <c r="AZ125" s="406" t="e">
        <f t="shared" si="35"/>
        <v>#N/A</v>
      </c>
      <c r="BA125" s="637"/>
    </row>
    <row r="126" spans="2:53">
      <c r="B126" s="635"/>
      <c r="C126" s="292">
        <v>15</v>
      </c>
      <c r="D126" s="413"/>
      <c r="E126" s="413"/>
      <c r="F126" s="413"/>
      <c r="G126" s="420"/>
      <c r="H126" s="637"/>
      <c r="I126" s="395" t="str">
        <f t="shared" si="37"/>
        <v>-</v>
      </c>
      <c r="J126" s="395" t="str">
        <f t="shared" si="38"/>
        <v>-</v>
      </c>
      <c r="K126" s="199" t="str">
        <f t="shared" si="39"/>
        <v>-</v>
      </c>
      <c r="L126" s="609"/>
      <c r="M126" s="198" t="e">
        <f>RANK(K126, K$112:$K$141)</f>
        <v>#VALUE!</v>
      </c>
      <c r="N126" s="627"/>
      <c r="O126" s="627"/>
      <c r="P126" s="420"/>
      <c r="Q126" s="420"/>
      <c r="R126" s="420"/>
      <c r="S126" s="500"/>
      <c r="T126" s="637"/>
      <c r="U126" s="420"/>
      <c r="V126" s="420"/>
      <c r="W126" s="420"/>
      <c r="X126" s="500"/>
      <c r="Y126" s="637"/>
      <c r="Z126" s="420"/>
      <c r="AA126" s="420"/>
      <c r="AB126" s="420"/>
      <c r="AC126" s="500"/>
      <c r="AD126" s="637"/>
      <c r="AE126" s="420"/>
      <c r="AF126" s="420"/>
      <c r="AG126" s="420"/>
      <c r="AH126" s="500"/>
      <c r="AI126" s="637"/>
      <c r="AJ126" s="420"/>
      <c r="AK126" s="420"/>
      <c r="AL126" s="420"/>
      <c r="AM126" s="500"/>
      <c r="AN126" s="637"/>
      <c r="AO126" s="420"/>
      <c r="AP126" s="420"/>
      <c r="AQ126" s="420"/>
      <c r="AR126" s="500"/>
      <c r="AS126" s="637"/>
      <c r="AT126" s="420"/>
      <c r="AU126" s="420"/>
      <c r="AV126" s="420"/>
      <c r="AW126" s="500"/>
      <c r="AX126" s="637"/>
      <c r="AZ126" s="406" t="e">
        <f t="shared" si="35"/>
        <v>#N/A</v>
      </c>
      <c r="BA126" s="637"/>
    </row>
    <row r="127" spans="2:53">
      <c r="B127" s="635"/>
      <c r="C127" s="292">
        <v>16</v>
      </c>
      <c r="D127" s="413"/>
      <c r="E127" s="413"/>
      <c r="F127" s="413"/>
      <c r="G127" s="420"/>
      <c r="H127" s="637"/>
      <c r="I127" s="395" t="str">
        <f t="shared" si="37"/>
        <v>-</v>
      </c>
      <c r="J127" s="395" t="str">
        <f t="shared" si="38"/>
        <v>-</v>
      </c>
      <c r="K127" s="199" t="str">
        <f t="shared" si="39"/>
        <v>-</v>
      </c>
      <c r="L127" s="609"/>
      <c r="M127" s="198" t="e">
        <f>RANK(K127, K$112:$K$141)</f>
        <v>#VALUE!</v>
      </c>
      <c r="N127" s="627"/>
      <c r="O127" s="627"/>
      <c r="P127" s="420"/>
      <c r="Q127" s="420"/>
      <c r="R127" s="420"/>
      <c r="S127" s="500"/>
      <c r="T127" s="637"/>
      <c r="U127" s="420"/>
      <c r="V127" s="420"/>
      <c r="W127" s="420"/>
      <c r="X127" s="500"/>
      <c r="Y127" s="637"/>
      <c r="Z127" s="420"/>
      <c r="AA127" s="420"/>
      <c r="AB127" s="420"/>
      <c r="AC127" s="500"/>
      <c r="AD127" s="637"/>
      <c r="AE127" s="420"/>
      <c r="AF127" s="420"/>
      <c r="AG127" s="420"/>
      <c r="AH127" s="500"/>
      <c r="AI127" s="637"/>
      <c r="AJ127" s="420"/>
      <c r="AK127" s="420"/>
      <c r="AL127" s="420"/>
      <c r="AM127" s="500"/>
      <c r="AN127" s="637"/>
      <c r="AO127" s="420"/>
      <c r="AP127" s="420"/>
      <c r="AQ127" s="420"/>
      <c r="AR127" s="500"/>
      <c r="AS127" s="637"/>
      <c r="AT127" s="420"/>
      <c r="AU127" s="420"/>
      <c r="AV127" s="420"/>
      <c r="AW127" s="500"/>
      <c r="AX127" s="637"/>
      <c r="AZ127" s="406" t="e">
        <f t="shared" si="35"/>
        <v>#N/A</v>
      </c>
      <c r="BA127" s="637"/>
    </row>
    <row r="128" spans="2:53">
      <c r="B128" s="635"/>
      <c r="C128" s="292">
        <v>17</v>
      </c>
      <c r="D128" s="413"/>
      <c r="E128" s="413"/>
      <c r="F128" s="413"/>
      <c r="G128" s="420"/>
      <c r="H128" s="637"/>
      <c r="I128" s="395" t="str">
        <f t="shared" si="37"/>
        <v>-</v>
      </c>
      <c r="J128" s="395" t="str">
        <f t="shared" si="38"/>
        <v>-</v>
      </c>
      <c r="K128" s="199" t="str">
        <f t="shared" si="39"/>
        <v>-</v>
      </c>
      <c r="L128" s="609"/>
      <c r="M128" s="198" t="e">
        <f>RANK(K128, K$112:$K$141)</f>
        <v>#VALUE!</v>
      </c>
      <c r="N128" s="627"/>
      <c r="O128" s="627"/>
      <c r="P128" s="420"/>
      <c r="Q128" s="420"/>
      <c r="R128" s="420"/>
      <c r="S128" s="500"/>
      <c r="T128" s="637"/>
      <c r="U128" s="420"/>
      <c r="V128" s="420"/>
      <c r="W128" s="420"/>
      <c r="X128" s="500"/>
      <c r="Y128" s="637"/>
      <c r="Z128" s="420"/>
      <c r="AA128" s="420"/>
      <c r="AB128" s="420"/>
      <c r="AC128" s="500"/>
      <c r="AD128" s="637"/>
      <c r="AE128" s="420"/>
      <c r="AF128" s="420"/>
      <c r="AG128" s="420"/>
      <c r="AH128" s="500"/>
      <c r="AI128" s="637"/>
      <c r="AJ128" s="420"/>
      <c r="AK128" s="420"/>
      <c r="AL128" s="420"/>
      <c r="AM128" s="500"/>
      <c r="AN128" s="637"/>
      <c r="AO128" s="420"/>
      <c r="AP128" s="420"/>
      <c r="AQ128" s="420"/>
      <c r="AR128" s="500"/>
      <c r="AS128" s="637"/>
      <c r="AT128" s="420"/>
      <c r="AU128" s="420"/>
      <c r="AV128" s="420"/>
      <c r="AW128" s="500"/>
      <c r="AX128" s="637"/>
      <c r="AZ128" s="406" t="e">
        <f t="shared" si="35"/>
        <v>#N/A</v>
      </c>
      <c r="BA128" s="637"/>
    </row>
    <row r="129" spans="2:53">
      <c r="B129" s="635"/>
      <c r="C129" s="292">
        <v>18</v>
      </c>
      <c r="D129" s="413"/>
      <c r="E129" s="413"/>
      <c r="F129" s="413"/>
      <c r="G129" s="420"/>
      <c r="H129" s="637"/>
      <c r="I129" s="395" t="str">
        <f t="shared" si="37"/>
        <v>-</v>
      </c>
      <c r="J129" s="395" t="str">
        <f t="shared" si="38"/>
        <v>-</v>
      </c>
      <c r="K129" s="199" t="str">
        <f t="shared" si="39"/>
        <v>-</v>
      </c>
      <c r="L129" s="609"/>
      <c r="M129" s="198" t="e">
        <f>RANK(K129, K$112:$K$141)</f>
        <v>#VALUE!</v>
      </c>
      <c r="N129" s="627"/>
      <c r="O129" s="627"/>
      <c r="P129" s="420"/>
      <c r="Q129" s="420"/>
      <c r="R129" s="420"/>
      <c r="S129" s="500"/>
      <c r="T129" s="637"/>
      <c r="U129" s="420"/>
      <c r="V129" s="420"/>
      <c r="W129" s="420"/>
      <c r="X129" s="500"/>
      <c r="Y129" s="637"/>
      <c r="Z129" s="420"/>
      <c r="AA129" s="420"/>
      <c r="AB129" s="420"/>
      <c r="AC129" s="500"/>
      <c r="AD129" s="637"/>
      <c r="AE129" s="420"/>
      <c r="AF129" s="420"/>
      <c r="AG129" s="420"/>
      <c r="AH129" s="500"/>
      <c r="AI129" s="637"/>
      <c r="AJ129" s="420"/>
      <c r="AK129" s="420"/>
      <c r="AL129" s="420"/>
      <c r="AM129" s="500"/>
      <c r="AN129" s="637"/>
      <c r="AO129" s="420"/>
      <c r="AP129" s="420"/>
      <c r="AQ129" s="420"/>
      <c r="AR129" s="500"/>
      <c r="AS129" s="637"/>
      <c r="AT129" s="420"/>
      <c r="AU129" s="420"/>
      <c r="AV129" s="420"/>
      <c r="AW129" s="500"/>
      <c r="AX129" s="637"/>
      <c r="AZ129" s="406" t="e">
        <f t="shared" si="35"/>
        <v>#N/A</v>
      </c>
      <c r="BA129" s="637"/>
    </row>
    <row r="130" spans="2:53">
      <c r="B130" s="635"/>
      <c r="C130" s="292">
        <v>19</v>
      </c>
      <c r="D130" s="413"/>
      <c r="E130" s="413"/>
      <c r="F130" s="413"/>
      <c r="G130" s="420"/>
      <c r="H130" s="637"/>
      <c r="I130" s="395" t="str">
        <f t="shared" si="37"/>
        <v>-</v>
      </c>
      <c r="J130" s="395" t="str">
        <f t="shared" si="38"/>
        <v>-</v>
      </c>
      <c r="K130" s="199" t="str">
        <f t="shared" si="39"/>
        <v>-</v>
      </c>
      <c r="L130" s="609"/>
      <c r="M130" s="198" t="e">
        <f>RANK(K130, K$112:$K$141)</f>
        <v>#VALUE!</v>
      </c>
      <c r="N130" s="627"/>
      <c r="O130" s="627"/>
      <c r="P130" s="420"/>
      <c r="Q130" s="420"/>
      <c r="R130" s="420"/>
      <c r="S130" s="500"/>
      <c r="T130" s="637"/>
      <c r="U130" s="420"/>
      <c r="V130" s="420"/>
      <c r="W130" s="420"/>
      <c r="X130" s="500"/>
      <c r="Y130" s="637"/>
      <c r="Z130" s="420"/>
      <c r="AA130" s="420"/>
      <c r="AB130" s="420"/>
      <c r="AC130" s="500"/>
      <c r="AD130" s="637"/>
      <c r="AE130" s="420"/>
      <c r="AF130" s="420"/>
      <c r="AG130" s="420"/>
      <c r="AH130" s="500"/>
      <c r="AI130" s="637"/>
      <c r="AJ130" s="420"/>
      <c r="AK130" s="420"/>
      <c r="AL130" s="420"/>
      <c r="AM130" s="500"/>
      <c r="AN130" s="637"/>
      <c r="AO130" s="420"/>
      <c r="AP130" s="420"/>
      <c r="AQ130" s="420"/>
      <c r="AR130" s="500"/>
      <c r="AS130" s="637"/>
      <c r="AT130" s="420"/>
      <c r="AU130" s="420"/>
      <c r="AV130" s="420"/>
      <c r="AW130" s="500"/>
      <c r="AX130" s="637"/>
      <c r="AZ130" s="406" t="e">
        <f t="shared" si="35"/>
        <v>#N/A</v>
      </c>
      <c r="BA130" s="637"/>
    </row>
    <row r="131" spans="2:53">
      <c r="B131" s="635"/>
      <c r="C131" s="292">
        <v>20</v>
      </c>
      <c r="D131" s="413"/>
      <c r="E131" s="413"/>
      <c r="F131" s="413"/>
      <c r="G131" s="420"/>
      <c r="H131" s="637"/>
      <c r="I131" s="395" t="str">
        <f t="shared" si="37"/>
        <v>-</v>
      </c>
      <c r="J131" s="395" t="str">
        <f t="shared" si="38"/>
        <v>-</v>
      </c>
      <c r="K131" s="199" t="str">
        <f t="shared" si="39"/>
        <v>-</v>
      </c>
      <c r="L131" s="609"/>
      <c r="M131" s="198" t="e">
        <f>RANK(K131, K$112:$K$141)</f>
        <v>#VALUE!</v>
      </c>
      <c r="N131" s="627"/>
      <c r="O131" s="627"/>
      <c r="P131" s="420"/>
      <c r="Q131" s="420"/>
      <c r="R131" s="420"/>
      <c r="S131" s="500"/>
      <c r="T131" s="637"/>
      <c r="U131" s="420"/>
      <c r="V131" s="420"/>
      <c r="W131" s="420"/>
      <c r="X131" s="500"/>
      <c r="Y131" s="637"/>
      <c r="Z131" s="420"/>
      <c r="AA131" s="420"/>
      <c r="AB131" s="420"/>
      <c r="AC131" s="500"/>
      <c r="AD131" s="637"/>
      <c r="AE131" s="420"/>
      <c r="AF131" s="420"/>
      <c r="AG131" s="420"/>
      <c r="AH131" s="500"/>
      <c r="AI131" s="637"/>
      <c r="AJ131" s="420"/>
      <c r="AK131" s="420"/>
      <c r="AL131" s="420"/>
      <c r="AM131" s="500"/>
      <c r="AN131" s="637"/>
      <c r="AO131" s="420"/>
      <c r="AP131" s="420"/>
      <c r="AQ131" s="420"/>
      <c r="AR131" s="500"/>
      <c r="AS131" s="637"/>
      <c r="AT131" s="420"/>
      <c r="AU131" s="420"/>
      <c r="AV131" s="420"/>
      <c r="AW131" s="500"/>
      <c r="AX131" s="637"/>
      <c r="AZ131" s="406" t="e">
        <f t="shared" si="35"/>
        <v>#N/A</v>
      </c>
      <c r="BA131" s="637"/>
    </row>
    <row r="132" spans="2:53">
      <c r="B132" s="635"/>
      <c r="C132" s="292">
        <v>21</v>
      </c>
      <c r="D132" s="416"/>
      <c r="E132" s="413"/>
      <c r="F132" s="413"/>
      <c r="G132" s="420"/>
      <c r="H132" s="637"/>
      <c r="I132" s="395" t="str">
        <f t="shared" si="37"/>
        <v>-</v>
      </c>
      <c r="J132" s="395" t="str">
        <f t="shared" si="38"/>
        <v>-</v>
      </c>
      <c r="K132" s="199" t="str">
        <f t="shared" si="39"/>
        <v>-</v>
      </c>
      <c r="L132" s="609"/>
      <c r="M132" s="198" t="e">
        <f>RANK(K132, K$112:$K$141)</f>
        <v>#VALUE!</v>
      </c>
      <c r="N132" s="627"/>
      <c r="O132" s="627"/>
      <c r="P132" s="500"/>
      <c r="Q132" s="420"/>
      <c r="R132" s="420"/>
      <c r="S132" s="500"/>
      <c r="T132" s="637"/>
      <c r="U132" s="500"/>
      <c r="V132" s="420"/>
      <c r="W132" s="420"/>
      <c r="X132" s="500"/>
      <c r="Y132" s="637"/>
      <c r="Z132" s="500"/>
      <c r="AA132" s="420"/>
      <c r="AB132" s="420"/>
      <c r="AC132" s="500"/>
      <c r="AD132" s="637"/>
      <c r="AE132" s="500"/>
      <c r="AF132" s="420"/>
      <c r="AG132" s="420"/>
      <c r="AH132" s="500"/>
      <c r="AI132" s="637"/>
      <c r="AJ132" s="500"/>
      <c r="AK132" s="420"/>
      <c r="AL132" s="420"/>
      <c r="AM132" s="500"/>
      <c r="AN132" s="637"/>
      <c r="AO132" s="500"/>
      <c r="AP132" s="420"/>
      <c r="AQ132" s="420"/>
      <c r="AR132" s="500"/>
      <c r="AS132" s="637"/>
      <c r="AT132" s="500"/>
      <c r="AU132" s="420"/>
      <c r="AV132" s="420"/>
      <c r="AW132" s="500"/>
      <c r="AX132" s="637"/>
      <c r="AZ132" s="406" t="e">
        <f t="shared" si="35"/>
        <v>#N/A</v>
      </c>
      <c r="BA132" s="637"/>
    </row>
    <row r="133" spans="2:53">
      <c r="B133" s="635"/>
      <c r="C133" s="292">
        <v>22</v>
      </c>
      <c r="D133" s="413"/>
      <c r="E133" s="413"/>
      <c r="F133" s="413"/>
      <c r="G133" s="413"/>
      <c r="H133" s="637"/>
      <c r="I133" s="395" t="str">
        <f t="shared" si="37"/>
        <v>-</v>
      </c>
      <c r="J133" s="395" t="str">
        <f t="shared" si="38"/>
        <v>-</v>
      </c>
      <c r="K133" s="199" t="str">
        <f t="shared" si="39"/>
        <v>-</v>
      </c>
      <c r="L133" s="609"/>
      <c r="M133" s="198" t="e">
        <f>RANK(K133, K$112:$K$141)</f>
        <v>#VALUE!</v>
      </c>
      <c r="N133" s="627"/>
      <c r="O133" s="627"/>
      <c r="P133" s="500"/>
      <c r="Q133" s="420"/>
      <c r="R133" s="420"/>
      <c r="S133" s="500"/>
      <c r="T133" s="637"/>
      <c r="U133" s="500"/>
      <c r="V133" s="420"/>
      <c r="W133" s="420"/>
      <c r="X133" s="500"/>
      <c r="Y133" s="637"/>
      <c r="Z133" s="500"/>
      <c r="AA133" s="420"/>
      <c r="AB133" s="420"/>
      <c r="AC133" s="500"/>
      <c r="AD133" s="637"/>
      <c r="AE133" s="500"/>
      <c r="AF133" s="420"/>
      <c r="AG133" s="420"/>
      <c r="AH133" s="500"/>
      <c r="AI133" s="637"/>
      <c r="AJ133" s="500"/>
      <c r="AK133" s="420"/>
      <c r="AL133" s="420"/>
      <c r="AM133" s="500"/>
      <c r="AN133" s="637"/>
      <c r="AO133" s="500"/>
      <c r="AP133" s="420"/>
      <c r="AQ133" s="420"/>
      <c r="AR133" s="500"/>
      <c r="AS133" s="637"/>
      <c r="AT133" s="500"/>
      <c r="AU133" s="420"/>
      <c r="AV133" s="420"/>
      <c r="AW133" s="500"/>
      <c r="AX133" s="637"/>
      <c r="AZ133" s="406" t="e">
        <f t="shared" si="35"/>
        <v>#N/A</v>
      </c>
      <c r="BA133" s="637"/>
    </row>
    <row r="134" spans="2:53">
      <c r="B134" s="635"/>
      <c r="C134" s="292">
        <v>23</v>
      </c>
      <c r="D134" s="413"/>
      <c r="E134" s="413"/>
      <c r="F134" s="413"/>
      <c r="G134" s="420"/>
      <c r="H134" s="637"/>
      <c r="I134" s="395" t="str">
        <f t="shared" si="37"/>
        <v>-</v>
      </c>
      <c r="J134" s="395" t="str">
        <f t="shared" si="38"/>
        <v>-</v>
      </c>
      <c r="K134" s="199" t="str">
        <f t="shared" si="39"/>
        <v>-</v>
      </c>
      <c r="L134" s="609"/>
      <c r="M134" s="198" t="e">
        <f>RANK(K134, K$112:$K$141)</f>
        <v>#VALUE!</v>
      </c>
      <c r="N134" s="627"/>
      <c r="O134" s="627"/>
      <c r="P134" s="500"/>
      <c r="Q134" s="420"/>
      <c r="R134" s="420"/>
      <c r="S134" s="500"/>
      <c r="T134" s="637"/>
      <c r="U134" s="500"/>
      <c r="V134" s="420"/>
      <c r="W134" s="420"/>
      <c r="X134" s="500"/>
      <c r="Y134" s="637"/>
      <c r="Z134" s="500"/>
      <c r="AA134" s="420"/>
      <c r="AB134" s="420"/>
      <c r="AC134" s="500"/>
      <c r="AD134" s="637"/>
      <c r="AE134" s="500"/>
      <c r="AF134" s="420"/>
      <c r="AG134" s="420"/>
      <c r="AH134" s="500"/>
      <c r="AI134" s="637"/>
      <c r="AJ134" s="500"/>
      <c r="AK134" s="420"/>
      <c r="AL134" s="420"/>
      <c r="AM134" s="500"/>
      <c r="AN134" s="637"/>
      <c r="AO134" s="500"/>
      <c r="AP134" s="420"/>
      <c r="AQ134" s="420"/>
      <c r="AR134" s="500"/>
      <c r="AS134" s="637"/>
      <c r="AT134" s="500"/>
      <c r="AU134" s="420"/>
      <c r="AV134" s="420"/>
      <c r="AW134" s="500"/>
      <c r="AX134" s="637"/>
      <c r="AZ134" s="406" t="e">
        <f t="shared" si="35"/>
        <v>#N/A</v>
      </c>
      <c r="BA134" s="637"/>
    </row>
    <row r="135" spans="2:53">
      <c r="B135" s="635"/>
      <c r="C135" s="292">
        <v>24</v>
      </c>
      <c r="D135" s="413"/>
      <c r="E135" s="413"/>
      <c r="F135" s="413"/>
      <c r="G135" s="420"/>
      <c r="H135" s="637"/>
      <c r="I135" s="395" t="str">
        <f t="shared" si="37"/>
        <v>-</v>
      </c>
      <c r="J135" s="395" t="str">
        <f t="shared" si="38"/>
        <v>-</v>
      </c>
      <c r="K135" s="199" t="str">
        <f t="shared" si="39"/>
        <v>-</v>
      </c>
      <c r="L135" s="609"/>
      <c r="M135" s="198" t="e">
        <f>RANK(K135, K$112:$K$141)</f>
        <v>#VALUE!</v>
      </c>
      <c r="N135" s="627"/>
      <c r="O135" s="627"/>
      <c r="P135" s="500"/>
      <c r="Q135" s="500"/>
      <c r="R135" s="500"/>
      <c r="S135" s="500"/>
      <c r="T135" s="637"/>
      <c r="U135" s="500"/>
      <c r="V135" s="500"/>
      <c r="W135" s="500"/>
      <c r="X135" s="500"/>
      <c r="Y135" s="637"/>
      <c r="Z135" s="500"/>
      <c r="AA135" s="500"/>
      <c r="AB135" s="500"/>
      <c r="AC135" s="500"/>
      <c r="AD135" s="637"/>
      <c r="AE135" s="500"/>
      <c r="AF135" s="500"/>
      <c r="AG135" s="500"/>
      <c r="AH135" s="500"/>
      <c r="AI135" s="637"/>
      <c r="AJ135" s="500"/>
      <c r="AK135" s="500"/>
      <c r="AL135" s="500"/>
      <c r="AM135" s="500"/>
      <c r="AN135" s="637"/>
      <c r="AO135" s="500"/>
      <c r="AP135" s="500"/>
      <c r="AQ135" s="500"/>
      <c r="AR135" s="500"/>
      <c r="AS135" s="637"/>
      <c r="AT135" s="500"/>
      <c r="AU135" s="500"/>
      <c r="AV135" s="500"/>
      <c r="AW135" s="500"/>
      <c r="AX135" s="637"/>
      <c r="AZ135" s="406" t="e">
        <f t="shared" si="35"/>
        <v>#N/A</v>
      </c>
      <c r="BA135" s="637"/>
    </row>
    <row r="136" spans="2:53">
      <c r="B136" s="635"/>
      <c r="C136" s="292">
        <v>25</v>
      </c>
      <c r="D136" s="413"/>
      <c r="E136" s="413"/>
      <c r="F136" s="413"/>
      <c r="G136" s="420"/>
      <c r="H136" s="637"/>
      <c r="I136" s="395" t="str">
        <f t="shared" si="37"/>
        <v>-</v>
      </c>
      <c r="J136" s="395" t="str">
        <f t="shared" si="38"/>
        <v>-</v>
      </c>
      <c r="K136" s="199" t="str">
        <f t="shared" si="39"/>
        <v>-</v>
      </c>
      <c r="L136" s="609"/>
      <c r="M136" s="198" t="e">
        <f>RANK(K136, K$112:$K$141)</f>
        <v>#VALUE!</v>
      </c>
      <c r="N136" s="627"/>
      <c r="O136" s="627"/>
      <c r="P136" s="500"/>
      <c r="Q136" s="500"/>
      <c r="R136" s="500"/>
      <c r="S136" s="500"/>
      <c r="T136" s="637"/>
      <c r="U136" s="500"/>
      <c r="V136" s="500"/>
      <c r="W136" s="500"/>
      <c r="X136" s="500"/>
      <c r="Y136" s="637"/>
      <c r="Z136" s="500"/>
      <c r="AA136" s="500"/>
      <c r="AB136" s="500"/>
      <c r="AC136" s="500"/>
      <c r="AD136" s="637"/>
      <c r="AE136" s="500"/>
      <c r="AF136" s="500"/>
      <c r="AG136" s="500"/>
      <c r="AH136" s="500"/>
      <c r="AI136" s="637"/>
      <c r="AJ136" s="500"/>
      <c r="AK136" s="500"/>
      <c r="AL136" s="500"/>
      <c r="AM136" s="500"/>
      <c r="AN136" s="637"/>
      <c r="AO136" s="500"/>
      <c r="AP136" s="500"/>
      <c r="AQ136" s="500"/>
      <c r="AR136" s="500"/>
      <c r="AS136" s="637"/>
      <c r="AT136" s="500"/>
      <c r="AU136" s="500"/>
      <c r="AV136" s="500"/>
      <c r="AW136" s="500"/>
      <c r="AX136" s="637"/>
      <c r="AZ136" s="406" t="e">
        <f t="shared" si="35"/>
        <v>#N/A</v>
      </c>
      <c r="BA136" s="637"/>
    </row>
    <row r="137" spans="2:53">
      <c r="B137" s="635"/>
      <c r="C137" s="292">
        <v>26</v>
      </c>
      <c r="D137" s="413"/>
      <c r="E137" s="413"/>
      <c r="F137" s="413"/>
      <c r="G137" s="413"/>
      <c r="H137" s="637"/>
      <c r="I137" s="395" t="str">
        <f t="shared" si="37"/>
        <v>-</v>
      </c>
      <c r="J137" s="395" t="str">
        <f t="shared" si="38"/>
        <v>-</v>
      </c>
      <c r="K137" s="199" t="str">
        <f t="shared" si="39"/>
        <v>-</v>
      </c>
      <c r="L137" s="609"/>
      <c r="M137" s="198" t="e">
        <f>RANK(K137, K$112:$K$141)</f>
        <v>#VALUE!</v>
      </c>
      <c r="N137" s="627"/>
      <c r="O137" s="627"/>
      <c r="P137" s="500"/>
      <c r="Q137" s="500"/>
      <c r="R137" s="500"/>
      <c r="S137" s="500"/>
      <c r="T137" s="637"/>
      <c r="U137" s="500"/>
      <c r="V137" s="500"/>
      <c r="W137" s="500"/>
      <c r="X137" s="500"/>
      <c r="Y137" s="637"/>
      <c r="Z137" s="500"/>
      <c r="AA137" s="500"/>
      <c r="AB137" s="500"/>
      <c r="AC137" s="500"/>
      <c r="AD137" s="637"/>
      <c r="AE137" s="500"/>
      <c r="AF137" s="500"/>
      <c r="AG137" s="500"/>
      <c r="AH137" s="500"/>
      <c r="AI137" s="637"/>
      <c r="AJ137" s="500"/>
      <c r="AK137" s="500"/>
      <c r="AL137" s="500"/>
      <c r="AM137" s="500"/>
      <c r="AN137" s="637"/>
      <c r="AO137" s="500"/>
      <c r="AP137" s="500"/>
      <c r="AQ137" s="500"/>
      <c r="AR137" s="500"/>
      <c r="AS137" s="637"/>
      <c r="AT137" s="500"/>
      <c r="AU137" s="500"/>
      <c r="AV137" s="500"/>
      <c r="AW137" s="500"/>
      <c r="AX137" s="637"/>
      <c r="AZ137" s="406" t="e">
        <f t="shared" si="35"/>
        <v>#N/A</v>
      </c>
      <c r="BA137" s="637"/>
    </row>
    <row r="138" spans="2:53">
      <c r="B138" s="635"/>
      <c r="C138" s="292">
        <v>27</v>
      </c>
      <c r="D138" s="413"/>
      <c r="E138" s="413"/>
      <c r="F138" s="413"/>
      <c r="G138" s="413"/>
      <c r="H138" s="637"/>
      <c r="I138" s="395" t="str">
        <f t="shared" si="37"/>
        <v>-</v>
      </c>
      <c r="J138" s="395" t="str">
        <f t="shared" si="38"/>
        <v>-</v>
      </c>
      <c r="K138" s="199" t="str">
        <f t="shared" si="39"/>
        <v>-</v>
      </c>
      <c r="L138" s="609"/>
      <c r="M138" s="198" t="e">
        <f>RANK(K138, K$112:$K$141)</f>
        <v>#VALUE!</v>
      </c>
      <c r="N138" s="627"/>
      <c r="O138" s="627"/>
      <c r="P138" s="500"/>
      <c r="Q138" s="500"/>
      <c r="R138" s="500"/>
      <c r="S138" s="500"/>
      <c r="T138" s="637"/>
      <c r="U138" s="500"/>
      <c r="V138" s="500"/>
      <c r="W138" s="500"/>
      <c r="X138" s="500"/>
      <c r="Y138" s="637"/>
      <c r="Z138" s="500"/>
      <c r="AA138" s="500"/>
      <c r="AB138" s="500"/>
      <c r="AC138" s="500"/>
      <c r="AD138" s="637"/>
      <c r="AE138" s="500"/>
      <c r="AF138" s="500"/>
      <c r="AG138" s="500"/>
      <c r="AH138" s="500"/>
      <c r="AI138" s="637"/>
      <c r="AJ138" s="500"/>
      <c r="AK138" s="500"/>
      <c r="AL138" s="500"/>
      <c r="AM138" s="500"/>
      <c r="AN138" s="637"/>
      <c r="AO138" s="500"/>
      <c r="AP138" s="500"/>
      <c r="AQ138" s="500"/>
      <c r="AR138" s="500"/>
      <c r="AS138" s="637"/>
      <c r="AT138" s="500"/>
      <c r="AU138" s="500"/>
      <c r="AV138" s="500"/>
      <c r="AW138" s="500"/>
      <c r="AX138" s="637"/>
      <c r="AZ138" s="406" t="e">
        <f t="shared" si="35"/>
        <v>#N/A</v>
      </c>
      <c r="BA138" s="637"/>
    </row>
    <row r="139" spans="2:53">
      <c r="B139" s="635"/>
      <c r="C139" s="292">
        <v>28</v>
      </c>
      <c r="D139" s="413"/>
      <c r="E139" s="413"/>
      <c r="F139" s="413"/>
      <c r="G139" s="413"/>
      <c r="H139" s="637"/>
      <c r="I139" s="395" t="str">
        <f t="shared" si="37"/>
        <v>-</v>
      </c>
      <c r="J139" s="395" t="str">
        <f t="shared" si="38"/>
        <v>-</v>
      </c>
      <c r="K139" s="199" t="str">
        <f t="shared" si="39"/>
        <v>-</v>
      </c>
      <c r="L139" s="609"/>
      <c r="M139" s="198" t="e">
        <f>RANK(K139, K$112:$K$141)</f>
        <v>#VALUE!</v>
      </c>
      <c r="N139" s="627"/>
      <c r="O139" s="627"/>
      <c r="P139" s="500"/>
      <c r="Q139" s="500"/>
      <c r="R139" s="500"/>
      <c r="S139" s="500"/>
      <c r="T139" s="637"/>
      <c r="U139" s="500"/>
      <c r="V139" s="500"/>
      <c r="W139" s="500"/>
      <c r="X139" s="500"/>
      <c r="Y139" s="637"/>
      <c r="Z139" s="500"/>
      <c r="AA139" s="500"/>
      <c r="AB139" s="500"/>
      <c r="AC139" s="500"/>
      <c r="AD139" s="637"/>
      <c r="AE139" s="500"/>
      <c r="AF139" s="500"/>
      <c r="AG139" s="500"/>
      <c r="AH139" s="500"/>
      <c r="AI139" s="637"/>
      <c r="AJ139" s="500"/>
      <c r="AK139" s="500"/>
      <c r="AL139" s="500"/>
      <c r="AM139" s="500"/>
      <c r="AN139" s="637"/>
      <c r="AO139" s="500"/>
      <c r="AP139" s="500"/>
      <c r="AQ139" s="500"/>
      <c r="AR139" s="500"/>
      <c r="AS139" s="637"/>
      <c r="AT139" s="500"/>
      <c r="AU139" s="500"/>
      <c r="AV139" s="500"/>
      <c r="AW139" s="500"/>
      <c r="AX139" s="637"/>
      <c r="AZ139" s="406" t="e">
        <f t="shared" si="35"/>
        <v>#N/A</v>
      </c>
      <c r="BA139" s="637"/>
    </row>
    <row r="140" spans="2:53">
      <c r="B140" s="635"/>
      <c r="C140" s="292">
        <v>29</v>
      </c>
      <c r="D140" s="413"/>
      <c r="E140" s="413"/>
      <c r="F140" s="413"/>
      <c r="G140" s="413"/>
      <c r="H140" s="637"/>
      <c r="I140" s="395" t="str">
        <f t="shared" si="37"/>
        <v>-</v>
      </c>
      <c r="J140" s="395" t="str">
        <f t="shared" si="38"/>
        <v>-</v>
      </c>
      <c r="K140" s="199" t="str">
        <f t="shared" si="39"/>
        <v>-</v>
      </c>
      <c r="L140" s="609"/>
      <c r="M140" s="198" t="e">
        <f>RANK(K140, K$112:$K$141)</f>
        <v>#VALUE!</v>
      </c>
      <c r="N140" s="627"/>
      <c r="O140" s="627"/>
      <c r="P140" s="500"/>
      <c r="Q140" s="500"/>
      <c r="R140" s="500"/>
      <c r="S140" s="500"/>
      <c r="T140" s="637"/>
      <c r="U140" s="500"/>
      <c r="V140" s="500"/>
      <c r="W140" s="500"/>
      <c r="X140" s="500"/>
      <c r="Y140" s="637"/>
      <c r="Z140" s="500"/>
      <c r="AA140" s="500"/>
      <c r="AB140" s="500"/>
      <c r="AC140" s="500"/>
      <c r="AD140" s="637"/>
      <c r="AE140" s="500"/>
      <c r="AF140" s="500"/>
      <c r="AG140" s="500"/>
      <c r="AH140" s="500"/>
      <c r="AI140" s="637"/>
      <c r="AJ140" s="500"/>
      <c r="AK140" s="500"/>
      <c r="AL140" s="500"/>
      <c r="AM140" s="500"/>
      <c r="AN140" s="637"/>
      <c r="AO140" s="500"/>
      <c r="AP140" s="500"/>
      <c r="AQ140" s="500"/>
      <c r="AR140" s="500"/>
      <c r="AS140" s="637"/>
      <c r="AT140" s="500"/>
      <c r="AU140" s="500"/>
      <c r="AV140" s="500"/>
      <c r="AW140" s="500"/>
      <c r="AX140" s="637"/>
      <c r="AZ140" s="406" t="e">
        <f t="shared" si="35"/>
        <v>#N/A</v>
      </c>
      <c r="BA140" s="637"/>
    </row>
    <row r="141" spans="2:53">
      <c r="B141" s="635"/>
      <c r="C141" s="292">
        <v>30</v>
      </c>
      <c r="D141" s="413"/>
      <c r="E141" s="413"/>
      <c r="F141" s="413"/>
      <c r="G141" s="413"/>
      <c r="H141" s="638"/>
      <c r="I141" s="395" t="str">
        <f t="shared" si="37"/>
        <v>-</v>
      </c>
      <c r="J141" s="395" t="str">
        <f t="shared" si="38"/>
        <v>-</v>
      </c>
      <c r="K141" s="199" t="str">
        <f t="shared" si="39"/>
        <v>-</v>
      </c>
      <c r="L141" s="610"/>
      <c r="M141" s="198" t="e">
        <f>RANK(K141, K$112:$K$141)</f>
        <v>#VALUE!</v>
      </c>
      <c r="N141" s="627"/>
      <c r="O141" s="627"/>
      <c r="P141" s="500"/>
      <c r="Q141" s="500"/>
      <c r="R141" s="500"/>
      <c r="S141" s="500"/>
      <c r="T141" s="638"/>
      <c r="U141" s="500"/>
      <c r="V141" s="500"/>
      <c r="W141" s="500"/>
      <c r="X141" s="500"/>
      <c r="Y141" s="638"/>
      <c r="Z141" s="500"/>
      <c r="AA141" s="500"/>
      <c r="AB141" s="500"/>
      <c r="AC141" s="500"/>
      <c r="AD141" s="638"/>
      <c r="AE141" s="500"/>
      <c r="AF141" s="500"/>
      <c r="AG141" s="500"/>
      <c r="AH141" s="500"/>
      <c r="AI141" s="638"/>
      <c r="AJ141" s="500"/>
      <c r="AK141" s="500"/>
      <c r="AL141" s="500"/>
      <c r="AM141" s="500"/>
      <c r="AN141" s="638"/>
      <c r="AO141" s="500"/>
      <c r="AP141" s="500"/>
      <c r="AQ141" s="500"/>
      <c r="AR141" s="500"/>
      <c r="AS141" s="638"/>
      <c r="AT141" s="500"/>
      <c r="AU141" s="500"/>
      <c r="AV141" s="500"/>
      <c r="AW141" s="500"/>
      <c r="AX141" s="638"/>
      <c r="AZ141" s="406" t="e">
        <f t="shared" si="35"/>
        <v>#N/A</v>
      </c>
      <c r="BA141" s="638"/>
    </row>
    <row r="142" spans="2:53" ht="15.75">
      <c r="B142" s="639" t="s">
        <v>163</v>
      </c>
      <c r="C142" s="640"/>
      <c r="D142" s="640"/>
      <c r="E142" s="640"/>
      <c r="F142" s="640"/>
      <c r="G142" s="640"/>
      <c r="H142" s="641"/>
      <c r="I142" s="207"/>
      <c r="J142" s="207"/>
      <c r="K142" s="207"/>
      <c r="L142" s="207"/>
      <c r="M142" s="206"/>
      <c r="N142" s="628" t="s">
        <v>156</v>
      </c>
      <c r="O142" s="628" t="s">
        <v>155</v>
      </c>
      <c r="P142" s="634">
        <f>P107+7</f>
        <v>46196</v>
      </c>
      <c r="Q142" s="635"/>
      <c r="R142" s="635"/>
      <c r="S142" s="635"/>
      <c r="T142" s="635"/>
      <c r="U142" s="631">
        <f>P142+1</f>
        <v>46197</v>
      </c>
      <c r="V142" s="632"/>
      <c r="W142" s="632"/>
      <c r="X142" s="632"/>
      <c r="Y142" s="633"/>
      <c r="Z142" s="631">
        <f>U142+1</f>
        <v>46198</v>
      </c>
      <c r="AA142" s="632"/>
      <c r="AB142" s="632"/>
      <c r="AC142" s="632"/>
      <c r="AD142" s="633"/>
      <c r="AE142" s="631">
        <f>Z142+1</f>
        <v>46199</v>
      </c>
      <c r="AF142" s="632"/>
      <c r="AG142" s="632"/>
      <c r="AH142" s="632"/>
      <c r="AI142" s="633"/>
      <c r="AJ142" s="631">
        <f>AE142+1</f>
        <v>46200</v>
      </c>
      <c r="AK142" s="632"/>
      <c r="AL142" s="632"/>
      <c r="AM142" s="632"/>
      <c r="AN142" s="633"/>
      <c r="AO142" s="631">
        <f>AJ142+1</f>
        <v>46201</v>
      </c>
      <c r="AP142" s="632"/>
      <c r="AQ142" s="632"/>
      <c r="AR142" s="632"/>
      <c r="AS142" s="633"/>
      <c r="AT142" s="631">
        <f>AO142+1</f>
        <v>46202</v>
      </c>
      <c r="AU142" s="632"/>
      <c r="AV142" s="632"/>
      <c r="AW142" s="632"/>
      <c r="AX142" s="633"/>
    </row>
    <row r="143" spans="2:53" ht="15.75">
      <c r="B143" s="642"/>
      <c r="C143" s="642"/>
      <c r="D143" s="642"/>
      <c r="E143" s="642"/>
      <c r="F143" s="642"/>
      <c r="G143" s="642"/>
      <c r="H143" s="642"/>
      <c r="I143" s="204"/>
      <c r="J143" s="204"/>
      <c r="K143" s="204"/>
      <c r="L143" s="204"/>
      <c r="M143" s="205"/>
      <c r="N143" s="630"/>
      <c r="O143" s="630"/>
      <c r="P143" s="634" t="s">
        <v>318</v>
      </c>
      <c r="Q143" s="635"/>
      <c r="R143" s="635"/>
      <c r="S143" s="635"/>
      <c r="T143" s="635"/>
      <c r="U143" s="634" t="s">
        <v>319</v>
      </c>
      <c r="V143" s="635"/>
      <c r="W143" s="635"/>
      <c r="X143" s="635"/>
      <c r="Y143" s="635"/>
      <c r="Z143" s="634" t="s">
        <v>320</v>
      </c>
      <c r="AA143" s="635"/>
      <c r="AB143" s="635"/>
      <c r="AC143" s="635"/>
      <c r="AD143" s="635"/>
      <c r="AE143" s="634" t="s">
        <v>321</v>
      </c>
      <c r="AF143" s="635"/>
      <c r="AG143" s="635"/>
      <c r="AH143" s="635"/>
      <c r="AI143" s="635"/>
      <c r="AJ143" s="634" t="s">
        <v>322</v>
      </c>
      <c r="AK143" s="635"/>
      <c r="AL143" s="635"/>
      <c r="AM143" s="635"/>
      <c r="AN143" s="635"/>
      <c r="AO143" s="634" t="s">
        <v>323</v>
      </c>
      <c r="AP143" s="635"/>
      <c r="AQ143" s="635"/>
      <c r="AR143" s="635"/>
      <c r="AS143" s="635"/>
      <c r="AT143" s="634" t="s">
        <v>324</v>
      </c>
      <c r="AU143" s="635"/>
      <c r="AV143" s="635"/>
      <c r="AW143" s="635"/>
      <c r="AX143" s="635"/>
    </row>
    <row r="144" spans="2:53">
      <c r="B144" s="627" t="s">
        <v>399</v>
      </c>
      <c r="C144" s="627" t="s">
        <v>400</v>
      </c>
      <c r="D144" s="627"/>
      <c r="E144" s="627" t="s">
        <v>401</v>
      </c>
      <c r="F144" s="627"/>
      <c r="G144" s="627"/>
      <c r="H144" s="643" t="s">
        <v>402</v>
      </c>
      <c r="I144" s="611" t="s">
        <v>403</v>
      </c>
      <c r="J144" s="611"/>
      <c r="K144" s="611"/>
      <c r="L144" s="612" t="s">
        <v>402</v>
      </c>
      <c r="M144" s="618" t="s">
        <v>404</v>
      </c>
      <c r="N144" s="627"/>
      <c r="O144" s="627" t="s">
        <v>405</v>
      </c>
      <c r="P144" s="624" t="s">
        <v>406</v>
      </c>
      <c r="Q144" s="625"/>
      <c r="R144" s="625"/>
      <c r="S144" s="626"/>
      <c r="T144" s="627" t="s">
        <v>402</v>
      </c>
      <c r="U144" s="624" t="s">
        <v>406</v>
      </c>
      <c r="V144" s="625"/>
      <c r="W144" s="625"/>
      <c r="X144" s="626"/>
      <c r="Y144" s="627" t="s">
        <v>402</v>
      </c>
      <c r="Z144" s="624" t="s">
        <v>406</v>
      </c>
      <c r="AA144" s="625"/>
      <c r="AB144" s="625"/>
      <c r="AC144" s="626"/>
      <c r="AD144" s="627" t="s">
        <v>402</v>
      </c>
      <c r="AE144" s="624" t="s">
        <v>406</v>
      </c>
      <c r="AF144" s="625"/>
      <c r="AG144" s="625"/>
      <c r="AH144" s="626"/>
      <c r="AI144" s="627" t="s">
        <v>402</v>
      </c>
      <c r="AJ144" s="624" t="s">
        <v>406</v>
      </c>
      <c r="AK144" s="625"/>
      <c r="AL144" s="625"/>
      <c r="AM144" s="626"/>
      <c r="AN144" s="627" t="s">
        <v>402</v>
      </c>
      <c r="AO144" s="624" t="s">
        <v>406</v>
      </c>
      <c r="AP144" s="625"/>
      <c r="AQ144" s="625"/>
      <c r="AR144" s="626"/>
      <c r="AS144" s="627" t="s">
        <v>402</v>
      </c>
      <c r="AT144" s="624" t="s">
        <v>406</v>
      </c>
      <c r="AU144" s="625"/>
      <c r="AV144" s="625"/>
      <c r="AW144" s="626"/>
      <c r="AX144" s="627" t="s">
        <v>402</v>
      </c>
      <c r="BA144" s="627" t="s">
        <v>371</v>
      </c>
    </row>
    <row r="145" spans="2:53">
      <c r="B145" s="627"/>
      <c r="C145" s="627"/>
      <c r="D145" s="627"/>
      <c r="E145" s="627" t="s">
        <v>407</v>
      </c>
      <c r="F145" s="627"/>
      <c r="G145" s="627"/>
      <c r="H145" s="644"/>
      <c r="I145" s="611" t="s">
        <v>407</v>
      </c>
      <c r="J145" s="611"/>
      <c r="K145" s="611"/>
      <c r="L145" s="613"/>
      <c r="M145" s="619"/>
      <c r="N145" s="627"/>
      <c r="O145" s="627"/>
      <c r="P145" s="624" t="s">
        <v>408</v>
      </c>
      <c r="Q145" s="625"/>
      <c r="R145" s="625"/>
      <c r="S145" s="626"/>
      <c r="T145" s="627"/>
      <c r="U145" s="624" t="s">
        <v>408</v>
      </c>
      <c r="V145" s="625"/>
      <c r="W145" s="625"/>
      <c r="X145" s="626"/>
      <c r="Y145" s="627"/>
      <c r="Z145" s="624" t="s">
        <v>408</v>
      </c>
      <c r="AA145" s="625"/>
      <c r="AB145" s="625"/>
      <c r="AC145" s="626"/>
      <c r="AD145" s="627"/>
      <c r="AE145" s="624" t="s">
        <v>408</v>
      </c>
      <c r="AF145" s="625"/>
      <c r="AG145" s="625"/>
      <c r="AH145" s="626"/>
      <c r="AI145" s="627"/>
      <c r="AJ145" s="624" t="s">
        <v>408</v>
      </c>
      <c r="AK145" s="625"/>
      <c r="AL145" s="625"/>
      <c r="AM145" s="626"/>
      <c r="AN145" s="627"/>
      <c r="AO145" s="624" t="s">
        <v>408</v>
      </c>
      <c r="AP145" s="625"/>
      <c r="AQ145" s="625"/>
      <c r="AR145" s="626"/>
      <c r="AS145" s="627"/>
      <c r="AT145" s="624" t="s">
        <v>408</v>
      </c>
      <c r="AU145" s="625"/>
      <c r="AV145" s="625"/>
      <c r="AW145" s="626"/>
      <c r="AX145" s="627"/>
      <c r="BA145" s="627"/>
    </row>
    <row r="146" spans="2:53">
      <c r="B146" s="627"/>
      <c r="C146" s="627"/>
      <c r="D146" s="627"/>
      <c r="E146" s="285" t="s">
        <v>409</v>
      </c>
      <c r="F146" s="285" t="s">
        <v>410</v>
      </c>
      <c r="G146" s="285" t="s">
        <v>411</v>
      </c>
      <c r="H146" s="645"/>
      <c r="I146" s="286" t="s">
        <v>409</v>
      </c>
      <c r="J146" s="286" t="s">
        <v>410</v>
      </c>
      <c r="K146" s="286" t="s">
        <v>411</v>
      </c>
      <c r="L146" s="614"/>
      <c r="M146" s="620"/>
      <c r="N146" s="627"/>
      <c r="O146" s="627"/>
      <c r="P146" s="285" t="s">
        <v>409</v>
      </c>
      <c r="Q146" s="285" t="s">
        <v>410</v>
      </c>
      <c r="R146" s="285" t="s">
        <v>411</v>
      </c>
      <c r="S146" s="285" t="s">
        <v>404</v>
      </c>
      <c r="T146" s="627"/>
      <c r="U146" s="285" t="s">
        <v>409</v>
      </c>
      <c r="V146" s="285" t="s">
        <v>410</v>
      </c>
      <c r="W146" s="285" t="s">
        <v>411</v>
      </c>
      <c r="X146" s="285" t="s">
        <v>404</v>
      </c>
      <c r="Y146" s="627"/>
      <c r="Z146" s="285" t="s">
        <v>409</v>
      </c>
      <c r="AA146" s="285" t="s">
        <v>410</v>
      </c>
      <c r="AB146" s="285" t="s">
        <v>411</v>
      </c>
      <c r="AC146" s="285" t="s">
        <v>404</v>
      </c>
      <c r="AD146" s="627"/>
      <c r="AE146" s="285" t="s">
        <v>409</v>
      </c>
      <c r="AF146" s="285" t="s">
        <v>410</v>
      </c>
      <c r="AG146" s="285" t="s">
        <v>411</v>
      </c>
      <c r="AH146" s="285" t="s">
        <v>404</v>
      </c>
      <c r="AI146" s="627"/>
      <c r="AJ146" s="285" t="s">
        <v>409</v>
      </c>
      <c r="AK146" s="285" t="s">
        <v>410</v>
      </c>
      <c r="AL146" s="285" t="s">
        <v>411</v>
      </c>
      <c r="AM146" s="285" t="s">
        <v>404</v>
      </c>
      <c r="AN146" s="627"/>
      <c r="AO146" s="285" t="s">
        <v>409</v>
      </c>
      <c r="AP146" s="285" t="s">
        <v>410</v>
      </c>
      <c r="AQ146" s="285" t="s">
        <v>411</v>
      </c>
      <c r="AR146" s="285" t="s">
        <v>404</v>
      </c>
      <c r="AS146" s="627"/>
      <c r="AT146" s="285" t="s">
        <v>409</v>
      </c>
      <c r="AU146" s="285" t="s">
        <v>410</v>
      </c>
      <c r="AV146" s="285" t="s">
        <v>411</v>
      </c>
      <c r="AW146" s="285" t="s">
        <v>404</v>
      </c>
      <c r="AX146" s="627"/>
      <c r="AZ146" s="407" t="s">
        <v>372</v>
      </c>
      <c r="BA146" s="627"/>
    </row>
    <row r="147" spans="2:53">
      <c r="B147" s="635" t="s">
        <v>150</v>
      </c>
      <c r="C147" s="284">
        <v>1</v>
      </c>
      <c r="D147" s="413" t="s">
        <v>337</v>
      </c>
      <c r="E147" s="413">
        <v>3</v>
      </c>
      <c r="F147" s="413">
        <v>3200</v>
      </c>
      <c r="G147" s="420">
        <v>1066.6666666666667</v>
      </c>
      <c r="H147" s="636">
        <f>AVERAGE(G147:G176)</f>
        <v>1066.6666666666667</v>
      </c>
      <c r="I147" s="395" t="str">
        <f>IFERROR(AVERAGE(P147,U147,Z147,AE147,AJ147,AO147,AT147),"-")</f>
        <v>-</v>
      </c>
      <c r="J147" s="395" t="str">
        <f>IFERROR(AVERAGE(Q147,V147,AA147,AF147,AK147,AP147,AU147),"-")</f>
        <v>-</v>
      </c>
      <c r="K147" s="199" t="str">
        <f>IFERROR(AVERAGE(R147,W147,AB147,AG147,AL147,AQ147,AV147),"-")</f>
        <v>-</v>
      </c>
      <c r="L147" s="608" t="str">
        <f>IFERROR(AVERAGE(K147:K176),"-")</f>
        <v>-</v>
      </c>
      <c r="M147" s="198" t="e">
        <f>RANK(K147, K$147:$K$176)</f>
        <v>#VALUE!</v>
      </c>
      <c r="N147" s="627"/>
      <c r="O147" s="627"/>
      <c r="P147" s="495"/>
      <c r="Q147" s="420"/>
      <c r="R147" s="420"/>
      <c r="S147" s="495"/>
      <c r="T147" s="636"/>
      <c r="U147" s="495"/>
      <c r="V147" s="420"/>
      <c r="W147" s="420"/>
      <c r="X147" s="495"/>
      <c r="Y147" s="636"/>
      <c r="Z147" s="495"/>
      <c r="AA147" s="420"/>
      <c r="AB147" s="420"/>
      <c r="AC147" s="495"/>
      <c r="AD147" s="636"/>
      <c r="AE147" s="495"/>
      <c r="AF147" s="420"/>
      <c r="AG147" s="420"/>
      <c r="AH147" s="495"/>
      <c r="AI147" s="636"/>
      <c r="AJ147" s="495"/>
      <c r="AK147" s="420"/>
      <c r="AL147" s="420"/>
      <c r="AM147" s="495"/>
      <c r="AN147" s="636"/>
      <c r="AO147" s="495"/>
      <c r="AP147" s="420"/>
      <c r="AQ147" s="420"/>
      <c r="AR147" s="495"/>
      <c r="AS147" s="636"/>
      <c r="AT147" s="495"/>
      <c r="AU147" s="420"/>
      <c r="AV147" s="420"/>
      <c r="AW147" s="495"/>
      <c r="AX147" s="636"/>
      <c r="AZ147" s="406" t="e">
        <f t="shared" ref="AZ147:AZ176" si="40">RANK(AY147, AY$147:AY$176)</f>
        <v>#N/A</v>
      </c>
      <c r="BA147" s="636" t="e">
        <f t="shared" ref="BA147" si="41">AVERAGE(AY147:AY176)</f>
        <v>#DIV/0!</v>
      </c>
    </row>
    <row r="148" spans="2:53">
      <c r="B148" s="635"/>
      <c r="C148" s="284">
        <v>2</v>
      </c>
      <c r="D148" s="412"/>
      <c r="E148" s="413"/>
      <c r="F148" s="413"/>
      <c r="G148" s="420"/>
      <c r="H148" s="637"/>
      <c r="I148" s="395" t="str">
        <f t="shared" ref="I148:I176" si="42">IFERROR(AVERAGE(P148,U148,Z148,AE148,AJ148,AO148,AT148),"-")</f>
        <v>-</v>
      </c>
      <c r="J148" s="395" t="str">
        <f t="shared" ref="J148:J176" si="43">IFERROR(AVERAGE(Q148,V148,AA148,AF148,AK148,AP148,AU148),"-")</f>
        <v>-</v>
      </c>
      <c r="K148" s="199" t="str">
        <f t="shared" ref="K148:K176" si="44">IFERROR(AVERAGE(R148,W148,AB148,AG148,AL148,AQ148,AV148),"-")</f>
        <v>-</v>
      </c>
      <c r="L148" s="609"/>
      <c r="M148" s="198" t="e">
        <f>RANK(K148, K$147:$K$176)</f>
        <v>#VALUE!</v>
      </c>
      <c r="N148" s="627"/>
      <c r="O148" s="627"/>
      <c r="P148" s="495"/>
      <c r="Q148" s="420"/>
      <c r="R148" s="420"/>
      <c r="S148" s="495"/>
      <c r="T148" s="637"/>
      <c r="U148" s="495"/>
      <c r="V148" s="420"/>
      <c r="W148" s="420"/>
      <c r="X148" s="495"/>
      <c r="Y148" s="637"/>
      <c r="Z148" s="495"/>
      <c r="AA148" s="420"/>
      <c r="AB148" s="420"/>
      <c r="AC148" s="495"/>
      <c r="AD148" s="637"/>
      <c r="AE148" s="495"/>
      <c r="AF148" s="420"/>
      <c r="AG148" s="420"/>
      <c r="AH148" s="495"/>
      <c r="AI148" s="637"/>
      <c r="AJ148" s="495"/>
      <c r="AK148" s="420"/>
      <c r="AL148" s="420"/>
      <c r="AM148" s="495"/>
      <c r="AN148" s="637"/>
      <c r="AO148" s="495"/>
      <c r="AP148" s="420"/>
      <c r="AQ148" s="420"/>
      <c r="AR148" s="495"/>
      <c r="AS148" s="637"/>
      <c r="AT148" s="495"/>
      <c r="AU148" s="420"/>
      <c r="AV148" s="420"/>
      <c r="AW148" s="495"/>
      <c r="AX148" s="637"/>
      <c r="AZ148" s="406" t="e">
        <f t="shared" si="40"/>
        <v>#N/A</v>
      </c>
      <c r="BA148" s="637"/>
    </row>
    <row r="149" spans="2:53">
      <c r="B149" s="635"/>
      <c r="C149" s="284">
        <v>3</v>
      </c>
      <c r="D149" s="413"/>
      <c r="E149" s="413"/>
      <c r="F149" s="413"/>
      <c r="G149" s="420"/>
      <c r="H149" s="637"/>
      <c r="I149" s="395" t="str">
        <f t="shared" si="42"/>
        <v>-</v>
      </c>
      <c r="J149" s="395" t="str">
        <f t="shared" si="43"/>
        <v>-</v>
      </c>
      <c r="K149" s="199" t="str">
        <f t="shared" si="44"/>
        <v>-</v>
      </c>
      <c r="L149" s="609"/>
      <c r="M149" s="198" t="e">
        <f>RANK(K149, K$147:$K$176)</f>
        <v>#VALUE!</v>
      </c>
      <c r="N149" s="627"/>
      <c r="O149" s="627"/>
      <c r="P149" s="495"/>
      <c r="Q149" s="420"/>
      <c r="R149" s="420"/>
      <c r="S149" s="495"/>
      <c r="T149" s="637"/>
      <c r="U149" s="495"/>
      <c r="V149" s="420"/>
      <c r="W149" s="420"/>
      <c r="X149" s="495"/>
      <c r="Y149" s="637"/>
      <c r="Z149" s="495"/>
      <c r="AA149" s="420"/>
      <c r="AB149" s="420"/>
      <c r="AC149" s="495"/>
      <c r="AD149" s="637"/>
      <c r="AE149" s="495"/>
      <c r="AF149" s="420"/>
      <c r="AG149" s="420"/>
      <c r="AH149" s="495"/>
      <c r="AI149" s="637"/>
      <c r="AJ149" s="495"/>
      <c r="AK149" s="420"/>
      <c r="AL149" s="420"/>
      <c r="AM149" s="495"/>
      <c r="AN149" s="637"/>
      <c r="AO149" s="495"/>
      <c r="AP149" s="420"/>
      <c r="AQ149" s="420"/>
      <c r="AR149" s="495"/>
      <c r="AS149" s="637"/>
      <c r="AT149" s="495"/>
      <c r="AU149" s="420"/>
      <c r="AV149" s="420"/>
      <c r="AW149" s="495"/>
      <c r="AX149" s="637"/>
      <c r="AZ149" s="406" t="e">
        <f t="shared" si="40"/>
        <v>#N/A</v>
      </c>
      <c r="BA149" s="637"/>
    </row>
    <row r="150" spans="2:53">
      <c r="B150" s="635"/>
      <c r="C150" s="284">
        <v>4</v>
      </c>
      <c r="D150" s="413"/>
      <c r="E150" s="413"/>
      <c r="F150" s="413"/>
      <c r="G150" s="420"/>
      <c r="H150" s="637"/>
      <c r="I150" s="395" t="str">
        <f t="shared" si="42"/>
        <v>-</v>
      </c>
      <c r="J150" s="395" t="str">
        <f t="shared" si="43"/>
        <v>-</v>
      </c>
      <c r="K150" s="199" t="str">
        <f t="shared" si="44"/>
        <v>-</v>
      </c>
      <c r="L150" s="609"/>
      <c r="M150" s="198" t="e">
        <f>RANK(K150, K$147:$K$176)</f>
        <v>#VALUE!</v>
      </c>
      <c r="N150" s="627"/>
      <c r="O150" s="627"/>
      <c r="P150" s="495"/>
      <c r="Q150" s="420"/>
      <c r="R150" s="420"/>
      <c r="S150" s="495"/>
      <c r="T150" s="637"/>
      <c r="U150" s="495"/>
      <c r="V150" s="420"/>
      <c r="W150" s="420"/>
      <c r="X150" s="495"/>
      <c r="Y150" s="637"/>
      <c r="Z150" s="495"/>
      <c r="AA150" s="420"/>
      <c r="AB150" s="420"/>
      <c r="AC150" s="495"/>
      <c r="AD150" s="637"/>
      <c r="AE150" s="495"/>
      <c r="AF150" s="420"/>
      <c r="AG150" s="420"/>
      <c r="AH150" s="495"/>
      <c r="AI150" s="637"/>
      <c r="AJ150" s="495"/>
      <c r="AK150" s="420"/>
      <c r="AL150" s="420"/>
      <c r="AM150" s="495"/>
      <c r="AN150" s="637"/>
      <c r="AO150" s="495"/>
      <c r="AP150" s="420"/>
      <c r="AQ150" s="420"/>
      <c r="AR150" s="495"/>
      <c r="AS150" s="637"/>
      <c r="AT150" s="495"/>
      <c r="AU150" s="420"/>
      <c r="AV150" s="420"/>
      <c r="AW150" s="495"/>
      <c r="AX150" s="637"/>
      <c r="AZ150" s="406" t="e">
        <f t="shared" si="40"/>
        <v>#N/A</v>
      </c>
      <c r="BA150" s="637"/>
    </row>
    <row r="151" spans="2:53">
      <c r="B151" s="635"/>
      <c r="C151" s="284">
        <v>5</v>
      </c>
      <c r="D151" s="413"/>
      <c r="E151" s="413"/>
      <c r="F151" s="413"/>
      <c r="G151" s="420"/>
      <c r="H151" s="637"/>
      <c r="I151" s="395" t="str">
        <f t="shared" si="42"/>
        <v>-</v>
      </c>
      <c r="J151" s="395" t="str">
        <f t="shared" si="43"/>
        <v>-</v>
      </c>
      <c r="K151" s="199" t="str">
        <f t="shared" si="44"/>
        <v>-</v>
      </c>
      <c r="L151" s="609"/>
      <c r="M151" s="198" t="e">
        <f>RANK(K151, K$147:$K$176)</f>
        <v>#VALUE!</v>
      </c>
      <c r="N151" s="627"/>
      <c r="O151" s="627"/>
      <c r="P151" s="495"/>
      <c r="Q151" s="420"/>
      <c r="R151" s="420"/>
      <c r="S151" s="495"/>
      <c r="T151" s="637"/>
      <c r="U151" s="495"/>
      <c r="V151" s="420"/>
      <c r="W151" s="420"/>
      <c r="X151" s="495"/>
      <c r="Y151" s="637"/>
      <c r="Z151" s="495"/>
      <c r="AA151" s="420"/>
      <c r="AB151" s="420"/>
      <c r="AC151" s="495"/>
      <c r="AD151" s="637"/>
      <c r="AE151" s="495"/>
      <c r="AF151" s="420"/>
      <c r="AG151" s="420"/>
      <c r="AH151" s="495"/>
      <c r="AI151" s="637"/>
      <c r="AJ151" s="495"/>
      <c r="AK151" s="420"/>
      <c r="AL151" s="420"/>
      <c r="AM151" s="495"/>
      <c r="AN151" s="637"/>
      <c r="AO151" s="495"/>
      <c r="AP151" s="420"/>
      <c r="AQ151" s="420"/>
      <c r="AR151" s="495"/>
      <c r="AS151" s="637"/>
      <c r="AT151" s="495"/>
      <c r="AU151" s="420"/>
      <c r="AV151" s="420"/>
      <c r="AW151" s="495"/>
      <c r="AX151" s="637"/>
      <c r="AZ151" s="406" t="e">
        <f t="shared" si="40"/>
        <v>#N/A</v>
      </c>
      <c r="BA151" s="637"/>
    </row>
    <row r="152" spans="2:53">
      <c r="B152" s="635"/>
      <c r="C152" s="284">
        <v>6</v>
      </c>
      <c r="D152" s="413"/>
      <c r="E152" s="413"/>
      <c r="F152" s="413"/>
      <c r="G152" s="420"/>
      <c r="H152" s="637"/>
      <c r="I152" s="395" t="str">
        <f t="shared" si="42"/>
        <v>-</v>
      </c>
      <c r="J152" s="395" t="str">
        <f t="shared" si="43"/>
        <v>-</v>
      </c>
      <c r="K152" s="199" t="str">
        <f t="shared" si="44"/>
        <v>-</v>
      </c>
      <c r="L152" s="609"/>
      <c r="M152" s="198" t="e">
        <f>RANK(K152, K$147:$K$176)</f>
        <v>#VALUE!</v>
      </c>
      <c r="N152" s="627"/>
      <c r="O152" s="627"/>
      <c r="P152" s="495"/>
      <c r="Q152" s="420"/>
      <c r="R152" s="420"/>
      <c r="S152" s="495"/>
      <c r="T152" s="637"/>
      <c r="U152" s="495"/>
      <c r="V152" s="420"/>
      <c r="W152" s="420"/>
      <c r="X152" s="495"/>
      <c r="Y152" s="637"/>
      <c r="Z152" s="495"/>
      <c r="AA152" s="420"/>
      <c r="AB152" s="420"/>
      <c r="AC152" s="495"/>
      <c r="AD152" s="637"/>
      <c r="AE152" s="495"/>
      <c r="AF152" s="420"/>
      <c r="AG152" s="420"/>
      <c r="AH152" s="495"/>
      <c r="AI152" s="637"/>
      <c r="AJ152" s="495"/>
      <c r="AK152" s="420"/>
      <c r="AL152" s="420"/>
      <c r="AM152" s="495"/>
      <c r="AN152" s="637"/>
      <c r="AO152" s="495"/>
      <c r="AP152" s="420"/>
      <c r="AQ152" s="420"/>
      <c r="AR152" s="495"/>
      <c r="AS152" s="637"/>
      <c r="AT152" s="495"/>
      <c r="AU152" s="420"/>
      <c r="AV152" s="420"/>
      <c r="AW152" s="495"/>
      <c r="AX152" s="637"/>
      <c r="AZ152" s="406" t="e">
        <f t="shared" si="40"/>
        <v>#N/A</v>
      </c>
      <c r="BA152" s="637"/>
    </row>
    <row r="153" spans="2:53">
      <c r="B153" s="635"/>
      <c r="C153" s="284">
        <v>7</v>
      </c>
      <c r="D153" s="413"/>
      <c r="E153" s="413"/>
      <c r="F153" s="413"/>
      <c r="G153" s="420"/>
      <c r="H153" s="637"/>
      <c r="I153" s="395" t="str">
        <f t="shared" si="42"/>
        <v>-</v>
      </c>
      <c r="J153" s="395" t="str">
        <f t="shared" si="43"/>
        <v>-</v>
      </c>
      <c r="K153" s="199" t="str">
        <f t="shared" si="44"/>
        <v>-</v>
      </c>
      <c r="L153" s="609"/>
      <c r="M153" s="198" t="e">
        <f>RANK(K153, K$147:$K$176)</f>
        <v>#VALUE!</v>
      </c>
      <c r="N153" s="627"/>
      <c r="O153" s="627"/>
      <c r="P153" s="495"/>
      <c r="Q153" s="420"/>
      <c r="R153" s="420"/>
      <c r="S153" s="495"/>
      <c r="T153" s="637"/>
      <c r="U153" s="495"/>
      <c r="V153" s="420"/>
      <c r="W153" s="420"/>
      <c r="X153" s="495"/>
      <c r="Y153" s="637"/>
      <c r="Z153" s="495"/>
      <c r="AA153" s="420"/>
      <c r="AB153" s="420"/>
      <c r="AC153" s="495"/>
      <c r="AD153" s="637"/>
      <c r="AE153" s="495"/>
      <c r="AF153" s="420"/>
      <c r="AG153" s="420"/>
      <c r="AH153" s="495"/>
      <c r="AI153" s="637"/>
      <c r="AJ153" s="495"/>
      <c r="AK153" s="420"/>
      <c r="AL153" s="420"/>
      <c r="AM153" s="495"/>
      <c r="AN153" s="637"/>
      <c r="AO153" s="495"/>
      <c r="AP153" s="420"/>
      <c r="AQ153" s="420"/>
      <c r="AR153" s="495"/>
      <c r="AS153" s="637"/>
      <c r="AT153" s="495"/>
      <c r="AU153" s="420"/>
      <c r="AV153" s="420"/>
      <c r="AW153" s="495"/>
      <c r="AX153" s="637"/>
      <c r="AZ153" s="406" t="e">
        <f t="shared" si="40"/>
        <v>#N/A</v>
      </c>
      <c r="BA153" s="637"/>
    </row>
    <row r="154" spans="2:53">
      <c r="B154" s="635"/>
      <c r="C154" s="284">
        <v>8</v>
      </c>
      <c r="D154" s="413"/>
      <c r="E154" s="413"/>
      <c r="F154" s="413"/>
      <c r="G154" s="420"/>
      <c r="H154" s="637"/>
      <c r="I154" s="395" t="str">
        <f t="shared" si="42"/>
        <v>-</v>
      </c>
      <c r="J154" s="395" t="str">
        <f t="shared" si="43"/>
        <v>-</v>
      </c>
      <c r="K154" s="199" t="str">
        <f t="shared" si="44"/>
        <v>-</v>
      </c>
      <c r="L154" s="609"/>
      <c r="M154" s="198" t="e">
        <f>RANK(K154, K$147:$K$176)</f>
        <v>#VALUE!</v>
      </c>
      <c r="N154" s="627"/>
      <c r="O154" s="627"/>
      <c r="P154" s="495"/>
      <c r="Q154" s="420"/>
      <c r="R154" s="420"/>
      <c r="S154" s="495"/>
      <c r="T154" s="637"/>
      <c r="U154" s="495"/>
      <c r="V154" s="420"/>
      <c r="W154" s="420"/>
      <c r="X154" s="495"/>
      <c r="Y154" s="637"/>
      <c r="Z154" s="495"/>
      <c r="AA154" s="420"/>
      <c r="AB154" s="420"/>
      <c r="AC154" s="495"/>
      <c r="AD154" s="637"/>
      <c r="AE154" s="495"/>
      <c r="AF154" s="420"/>
      <c r="AG154" s="420"/>
      <c r="AH154" s="495"/>
      <c r="AI154" s="637"/>
      <c r="AJ154" s="495"/>
      <c r="AK154" s="420"/>
      <c r="AL154" s="420"/>
      <c r="AM154" s="495"/>
      <c r="AN154" s="637"/>
      <c r="AO154" s="495"/>
      <c r="AP154" s="420"/>
      <c r="AQ154" s="420"/>
      <c r="AR154" s="495"/>
      <c r="AS154" s="637"/>
      <c r="AT154" s="495"/>
      <c r="AU154" s="420"/>
      <c r="AV154" s="420"/>
      <c r="AW154" s="495"/>
      <c r="AX154" s="637"/>
      <c r="AZ154" s="406" t="e">
        <f t="shared" si="40"/>
        <v>#N/A</v>
      </c>
      <c r="BA154" s="637"/>
    </row>
    <row r="155" spans="2:53">
      <c r="B155" s="635"/>
      <c r="C155" s="284">
        <v>9</v>
      </c>
      <c r="D155" s="413"/>
      <c r="E155" s="413"/>
      <c r="F155" s="413"/>
      <c r="G155" s="420"/>
      <c r="H155" s="637"/>
      <c r="I155" s="395" t="str">
        <f t="shared" si="42"/>
        <v>-</v>
      </c>
      <c r="J155" s="395" t="str">
        <f t="shared" si="43"/>
        <v>-</v>
      </c>
      <c r="K155" s="199" t="str">
        <f t="shared" si="44"/>
        <v>-</v>
      </c>
      <c r="L155" s="609"/>
      <c r="M155" s="198" t="e">
        <f>RANK(K155, K$147:$K$176)</f>
        <v>#VALUE!</v>
      </c>
      <c r="N155" s="627"/>
      <c r="O155" s="627"/>
      <c r="P155" s="495"/>
      <c r="Q155" s="420"/>
      <c r="R155" s="420"/>
      <c r="S155" s="495"/>
      <c r="T155" s="637"/>
      <c r="U155" s="495"/>
      <c r="V155" s="420"/>
      <c r="W155" s="420"/>
      <c r="X155" s="495"/>
      <c r="Y155" s="637"/>
      <c r="Z155" s="495"/>
      <c r="AA155" s="420"/>
      <c r="AB155" s="420"/>
      <c r="AC155" s="495"/>
      <c r="AD155" s="637"/>
      <c r="AE155" s="495"/>
      <c r="AF155" s="420"/>
      <c r="AG155" s="420"/>
      <c r="AH155" s="495"/>
      <c r="AI155" s="637"/>
      <c r="AJ155" s="495"/>
      <c r="AK155" s="420"/>
      <c r="AL155" s="420"/>
      <c r="AM155" s="495"/>
      <c r="AN155" s="637"/>
      <c r="AO155" s="495"/>
      <c r="AP155" s="420"/>
      <c r="AQ155" s="420"/>
      <c r="AR155" s="495"/>
      <c r="AS155" s="637"/>
      <c r="AT155" s="495"/>
      <c r="AU155" s="420"/>
      <c r="AV155" s="420"/>
      <c r="AW155" s="495"/>
      <c r="AX155" s="637"/>
      <c r="AZ155" s="406" t="e">
        <f t="shared" si="40"/>
        <v>#N/A</v>
      </c>
      <c r="BA155" s="637"/>
    </row>
    <row r="156" spans="2:53">
      <c r="B156" s="635"/>
      <c r="C156" s="284">
        <v>10</v>
      </c>
      <c r="D156" s="413"/>
      <c r="E156" s="413"/>
      <c r="F156" s="413"/>
      <c r="G156" s="420"/>
      <c r="H156" s="637"/>
      <c r="I156" s="395" t="str">
        <f t="shared" si="42"/>
        <v>-</v>
      </c>
      <c r="J156" s="395" t="str">
        <f t="shared" si="43"/>
        <v>-</v>
      </c>
      <c r="K156" s="199" t="str">
        <f t="shared" si="44"/>
        <v>-</v>
      </c>
      <c r="L156" s="609"/>
      <c r="M156" s="198" t="e">
        <f>RANK(K156, K$147:$K$176)</f>
        <v>#VALUE!</v>
      </c>
      <c r="N156" s="627"/>
      <c r="O156" s="627"/>
      <c r="P156" s="495"/>
      <c r="Q156" s="420"/>
      <c r="R156" s="420"/>
      <c r="S156" s="495"/>
      <c r="T156" s="637"/>
      <c r="U156" s="495"/>
      <c r="V156" s="420"/>
      <c r="W156" s="420"/>
      <c r="X156" s="495"/>
      <c r="Y156" s="637"/>
      <c r="Z156" s="495"/>
      <c r="AA156" s="420"/>
      <c r="AB156" s="420"/>
      <c r="AC156" s="495"/>
      <c r="AD156" s="637"/>
      <c r="AE156" s="495"/>
      <c r="AF156" s="420"/>
      <c r="AG156" s="420"/>
      <c r="AH156" s="495"/>
      <c r="AI156" s="637"/>
      <c r="AJ156" s="495"/>
      <c r="AK156" s="420"/>
      <c r="AL156" s="420"/>
      <c r="AM156" s="495"/>
      <c r="AN156" s="637"/>
      <c r="AO156" s="495"/>
      <c r="AP156" s="420"/>
      <c r="AQ156" s="420"/>
      <c r="AR156" s="495"/>
      <c r="AS156" s="637"/>
      <c r="AT156" s="495"/>
      <c r="AU156" s="420"/>
      <c r="AV156" s="420"/>
      <c r="AW156" s="495"/>
      <c r="AX156" s="637"/>
      <c r="AZ156" s="406" t="e">
        <f t="shared" si="40"/>
        <v>#N/A</v>
      </c>
      <c r="BA156" s="637"/>
    </row>
    <row r="157" spans="2:53">
      <c r="B157" s="635"/>
      <c r="C157" s="284">
        <v>11</v>
      </c>
      <c r="D157" s="413"/>
      <c r="E157" s="413"/>
      <c r="F157" s="413"/>
      <c r="G157" s="420"/>
      <c r="H157" s="637"/>
      <c r="I157" s="395" t="str">
        <f t="shared" si="42"/>
        <v>-</v>
      </c>
      <c r="J157" s="395" t="str">
        <f t="shared" si="43"/>
        <v>-</v>
      </c>
      <c r="K157" s="199" t="str">
        <f t="shared" si="44"/>
        <v>-</v>
      </c>
      <c r="L157" s="609"/>
      <c r="M157" s="198" t="e">
        <f>RANK(K157, K$147:$K$176)</f>
        <v>#VALUE!</v>
      </c>
      <c r="N157" s="627"/>
      <c r="O157" s="627"/>
      <c r="P157" s="495"/>
      <c r="Q157" s="420"/>
      <c r="R157" s="420"/>
      <c r="S157" s="495"/>
      <c r="T157" s="637"/>
      <c r="U157" s="495"/>
      <c r="V157" s="420"/>
      <c r="W157" s="420"/>
      <c r="X157" s="495"/>
      <c r="Y157" s="637"/>
      <c r="Z157" s="495"/>
      <c r="AA157" s="420"/>
      <c r="AB157" s="420"/>
      <c r="AC157" s="495"/>
      <c r="AD157" s="637"/>
      <c r="AE157" s="495"/>
      <c r="AF157" s="420"/>
      <c r="AG157" s="420"/>
      <c r="AH157" s="495"/>
      <c r="AI157" s="637"/>
      <c r="AJ157" s="495"/>
      <c r="AK157" s="420"/>
      <c r="AL157" s="420"/>
      <c r="AM157" s="495"/>
      <c r="AN157" s="637"/>
      <c r="AO157" s="495"/>
      <c r="AP157" s="420"/>
      <c r="AQ157" s="420"/>
      <c r="AR157" s="495"/>
      <c r="AS157" s="637"/>
      <c r="AT157" s="495"/>
      <c r="AU157" s="420"/>
      <c r="AV157" s="420"/>
      <c r="AW157" s="495"/>
      <c r="AX157" s="637"/>
      <c r="AZ157" s="406" t="e">
        <f t="shared" si="40"/>
        <v>#N/A</v>
      </c>
      <c r="BA157" s="637"/>
    </row>
    <row r="158" spans="2:53">
      <c r="B158" s="635"/>
      <c r="C158" s="284">
        <v>12</v>
      </c>
      <c r="D158" s="413"/>
      <c r="E158" s="413"/>
      <c r="F158" s="413"/>
      <c r="G158" s="420"/>
      <c r="H158" s="637"/>
      <c r="I158" s="395" t="str">
        <f t="shared" si="42"/>
        <v>-</v>
      </c>
      <c r="J158" s="395" t="str">
        <f t="shared" si="43"/>
        <v>-</v>
      </c>
      <c r="K158" s="199" t="str">
        <f t="shared" si="44"/>
        <v>-</v>
      </c>
      <c r="L158" s="609"/>
      <c r="M158" s="198" t="e">
        <f>RANK(K158, K$147:$K$176)</f>
        <v>#VALUE!</v>
      </c>
      <c r="N158" s="627"/>
      <c r="O158" s="627"/>
      <c r="P158" s="495"/>
      <c r="Q158" s="420"/>
      <c r="R158" s="420"/>
      <c r="S158" s="495"/>
      <c r="T158" s="637"/>
      <c r="U158" s="495"/>
      <c r="V158" s="420"/>
      <c r="W158" s="420"/>
      <c r="X158" s="495"/>
      <c r="Y158" s="637"/>
      <c r="Z158" s="495"/>
      <c r="AA158" s="420"/>
      <c r="AB158" s="420"/>
      <c r="AC158" s="495"/>
      <c r="AD158" s="637"/>
      <c r="AE158" s="495"/>
      <c r="AF158" s="420"/>
      <c r="AG158" s="420"/>
      <c r="AH158" s="495"/>
      <c r="AI158" s="637"/>
      <c r="AJ158" s="495"/>
      <c r="AK158" s="420"/>
      <c r="AL158" s="420"/>
      <c r="AM158" s="495"/>
      <c r="AN158" s="637"/>
      <c r="AO158" s="495"/>
      <c r="AP158" s="420"/>
      <c r="AQ158" s="420"/>
      <c r="AR158" s="495"/>
      <c r="AS158" s="637"/>
      <c r="AT158" s="495"/>
      <c r="AU158" s="420"/>
      <c r="AV158" s="420"/>
      <c r="AW158" s="495"/>
      <c r="AX158" s="637"/>
      <c r="AZ158" s="406" t="e">
        <f t="shared" si="40"/>
        <v>#N/A</v>
      </c>
      <c r="BA158" s="637"/>
    </row>
    <row r="159" spans="2:53">
      <c r="B159" s="635"/>
      <c r="C159" s="284">
        <v>13</v>
      </c>
      <c r="D159" s="413"/>
      <c r="E159" s="413"/>
      <c r="F159" s="413"/>
      <c r="G159" s="420"/>
      <c r="H159" s="637"/>
      <c r="I159" s="395" t="str">
        <f t="shared" si="42"/>
        <v>-</v>
      </c>
      <c r="J159" s="395" t="str">
        <f t="shared" si="43"/>
        <v>-</v>
      </c>
      <c r="K159" s="199" t="str">
        <f t="shared" si="44"/>
        <v>-</v>
      </c>
      <c r="L159" s="609"/>
      <c r="M159" s="198" t="e">
        <f>RANK(K159, K$147:$K$176)</f>
        <v>#VALUE!</v>
      </c>
      <c r="N159" s="627"/>
      <c r="O159" s="627"/>
      <c r="P159" s="495"/>
      <c r="Q159" s="420"/>
      <c r="R159" s="420"/>
      <c r="S159" s="495"/>
      <c r="T159" s="637"/>
      <c r="U159" s="495"/>
      <c r="V159" s="420"/>
      <c r="W159" s="420"/>
      <c r="X159" s="495"/>
      <c r="Y159" s="637"/>
      <c r="Z159" s="495"/>
      <c r="AA159" s="420"/>
      <c r="AB159" s="420"/>
      <c r="AC159" s="495"/>
      <c r="AD159" s="637"/>
      <c r="AE159" s="495"/>
      <c r="AF159" s="420"/>
      <c r="AG159" s="420"/>
      <c r="AH159" s="495"/>
      <c r="AI159" s="637"/>
      <c r="AJ159" s="495"/>
      <c r="AK159" s="420"/>
      <c r="AL159" s="420"/>
      <c r="AM159" s="495"/>
      <c r="AN159" s="637"/>
      <c r="AO159" s="495"/>
      <c r="AP159" s="420"/>
      <c r="AQ159" s="420"/>
      <c r="AR159" s="495"/>
      <c r="AS159" s="637"/>
      <c r="AT159" s="495"/>
      <c r="AU159" s="420"/>
      <c r="AV159" s="420"/>
      <c r="AW159" s="495"/>
      <c r="AX159" s="637"/>
      <c r="AZ159" s="406" t="e">
        <f t="shared" si="40"/>
        <v>#N/A</v>
      </c>
      <c r="BA159" s="637"/>
    </row>
    <row r="160" spans="2:53">
      <c r="B160" s="635"/>
      <c r="C160" s="284">
        <v>14</v>
      </c>
      <c r="D160" s="413"/>
      <c r="E160" s="413"/>
      <c r="F160" s="413"/>
      <c r="G160" s="420"/>
      <c r="H160" s="637"/>
      <c r="I160" s="395" t="str">
        <f t="shared" si="42"/>
        <v>-</v>
      </c>
      <c r="J160" s="395" t="str">
        <f t="shared" si="43"/>
        <v>-</v>
      </c>
      <c r="K160" s="199" t="str">
        <f t="shared" si="44"/>
        <v>-</v>
      </c>
      <c r="L160" s="609"/>
      <c r="M160" s="198" t="e">
        <f>RANK(K160, K$147:$K$176)</f>
        <v>#VALUE!</v>
      </c>
      <c r="N160" s="627"/>
      <c r="O160" s="627"/>
      <c r="P160" s="495"/>
      <c r="Q160" s="420"/>
      <c r="R160" s="420"/>
      <c r="S160" s="495"/>
      <c r="T160" s="637"/>
      <c r="U160" s="495"/>
      <c r="V160" s="420"/>
      <c r="W160" s="420"/>
      <c r="X160" s="495"/>
      <c r="Y160" s="637"/>
      <c r="Z160" s="495"/>
      <c r="AA160" s="420"/>
      <c r="AB160" s="420"/>
      <c r="AC160" s="495"/>
      <c r="AD160" s="637"/>
      <c r="AE160" s="495"/>
      <c r="AF160" s="420"/>
      <c r="AG160" s="420"/>
      <c r="AH160" s="495"/>
      <c r="AI160" s="637"/>
      <c r="AJ160" s="495"/>
      <c r="AK160" s="420"/>
      <c r="AL160" s="420"/>
      <c r="AM160" s="495"/>
      <c r="AN160" s="637"/>
      <c r="AO160" s="495"/>
      <c r="AP160" s="420"/>
      <c r="AQ160" s="420"/>
      <c r="AR160" s="495"/>
      <c r="AS160" s="637"/>
      <c r="AT160" s="495"/>
      <c r="AU160" s="420"/>
      <c r="AV160" s="420"/>
      <c r="AW160" s="495"/>
      <c r="AX160" s="637"/>
      <c r="AZ160" s="406" t="e">
        <f t="shared" si="40"/>
        <v>#N/A</v>
      </c>
      <c r="BA160" s="637"/>
    </row>
    <row r="161" spans="2:53">
      <c r="B161" s="635"/>
      <c r="C161" s="284">
        <v>15</v>
      </c>
      <c r="D161" s="413"/>
      <c r="E161" s="413"/>
      <c r="F161" s="413"/>
      <c r="G161" s="420"/>
      <c r="H161" s="637"/>
      <c r="I161" s="395" t="str">
        <f t="shared" si="42"/>
        <v>-</v>
      </c>
      <c r="J161" s="395" t="str">
        <f t="shared" si="43"/>
        <v>-</v>
      </c>
      <c r="K161" s="199" t="str">
        <f t="shared" si="44"/>
        <v>-</v>
      </c>
      <c r="L161" s="609"/>
      <c r="M161" s="198" t="e">
        <f>RANK(K161, K$147:$K$176)</f>
        <v>#VALUE!</v>
      </c>
      <c r="N161" s="627"/>
      <c r="O161" s="627"/>
      <c r="P161" s="495"/>
      <c r="Q161" s="420"/>
      <c r="R161" s="420"/>
      <c r="S161" s="495"/>
      <c r="T161" s="637"/>
      <c r="U161" s="495"/>
      <c r="V161" s="420"/>
      <c r="W161" s="420"/>
      <c r="X161" s="495"/>
      <c r="Y161" s="637"/>
      <c r="Z161" s="495"/>
      <c r="AA161" s="420"/>
      <c r="AB161" s="420"/>
      <c r="AC161" s="495"/>
      <c r="AD161" s="637"/>
      <c r="AE161" s="495"/>
      <c r="AF161" s="420"/>
      <c r="AG161" s="420"/>
      <c r="AH161" s="495"/>
      <c r="AI161" s="637"/>
      <c r="AJ161" s="495"/>
      <c r="AK161" s="420"/>
      <c r="AL161" s="420"/>
      <c r="AM161" s="495"/>
      <c r="AN161" s="637"/>
      <c r="AO161" s="495"/>
      <c r="AP161" s="420"/>
      <c r="AQ161" s="420"/>
      <c r="AR161" s="495"/>
      <c r="AS161" s="637"/>
      <c r="AT161" s="495"/>
      <c r="AU161" s="420"/>
      <c r="AV161" s="420"/>
      <c r="AW161" s="495"/>
      <c r="AX161" s="637"/>
      <c r="AZ161" s="406" t="e">
        <f t="shared" si="40"/>
        <v>#N/A</v>
      </c>
      <c r="BA161" s="637"/>
    </row>
    <row r="162" spans="2:53">
      <c r="B162" s="635"/>
      <c r="C162" s="284">
        <v>16</v>
      </c>
      <c r="D162" s="413"/>
      <c r="E162" s="413"/>
      <c r="F162" s="413"/>
      <c r="G162" s="420"/>
      <c r="H162" s="637"/>
      <c r="I162" s="395" t="str">
        <f t="shared" si="42"/>
        <v>-</v>
      </c>
      <c r="J162" s="395" t="str">
        <f t="shared" si="43"/>
        <v>-</v>
      </c>
      <c r="K162" s="199" t="str">
        <f t="shared" si="44"/>
        <v>-</v>
      </c>
      <c r="L162" s="609"/>
      <c r="M162" s="198" t="e">
        <f>RANK(K162, K$147:$K$176)</f>
        <v>#VALUE!</v>
      </c>
      <c r="N162" s="627"/>
      <c r="O162" s="627"/>
      <c r="P162" s="495"/>
      <c r="Q162" s="420"/>
      <c r="R162" s="420"/>
      <c r="S162" s="495"/>
      <c r="T162" s="637"/>
      <c r="U162" s="495"/>
      <c r="V162" s="420"/>
      <c r="W162" s="420"/>
      <c r="X162" s="495"/>
      <c r="Y162" s="637"/>
      <c r="Z162" s="495"/>
      <c r="AA162" s="420"/>
      <c r="AB162" s="420"/>
      <c r="AC162" s="495"/>
      <c r="AD162" s="637"/>
      <c r="AE162" s="495"/>
      <c r="AF162" s="420"/>
      <c r="AG162" s="420"/>
      <c r="AH162" s="495"/>
      <c r="AI162" s="637"/>
      <c r="AJ162" s="495"/>
      <c r="AK162" s="420"/>
      <c r="AL162" s="420"/>
      <c r="AM162" s="495"/>
      <c r="AN162" s="637"/>
      <c r="AO162" s="495"/>
      <c r="AP162" s="420"/>
      <c r="AQ162" s="420"/>
      <c r="AR162" s="495"/>
      <c r="AS162" s="637"/>
      <c r="AT162" s="495"/>
      <c r="AU162" s="420"/>
      <c r="AV162" s="420"/>
      <c r="AW162" s="495"/>
      <c r="AX162" s="637"/>
      <c r="AZ162" s="406" t="e">
        <f t="shared" si="40"/>
        <v>#N/A</v>
      </c>
      <c r="BA162" s="637"/>
    </row>
    <row r="163" spans="2:53">
      <c r="B163" s="635"/>
      <c r="C163" s="284">
        <v>17</v>
      </c>
      <c r="D163" s="413"/>
      <c r="E163" s="413"/>
      <c r="F163" s="413"/>
      <c r="G163" s="420"/>
      <c r="H163" s="637"/>
      <c r="I163" s="395" t="str">
        <f t="shared" si="42"/>
        <v>-</v>
      </c>
      <c r="J163" s="395" t="str">
        <f t="shared" si="43"/>
        <v>-</v>
      </c>
      <c r="K163" s="199" t="str">
        <f t="shared" si="44"/>
        <v>-</v>
      </c>
      <c r="L163" s="609"/>
      <c r="M163" s="198" t="e">
        <f>RANK(K163, K$147:$K$176)</f>
        <v>#VALUE!</v>
      </c>
      <c r="N163" s="627"/>
      <c r="O163" s="627"/>
      <c r="P163" s="495"/>
      <c r="Q163" s="420"/>
      <c r="R163" s="420"/>
      <c r="S163" s="495"/>
      <c r="T163" s="637"/>
      <c r="U163" s="495"/>
      <c r="V163" s="420"/>
      <c r="W163" s="420"/>
      <c r="X163" s="495"/>
      <c r="Y163" s="637"/>
      <c r="Z163" s="495"/>
      <c r="AA163" s="420"/>
      <c r="AB163" s="420"/>
      <c r="AC163" s="495"/>
      <c r="AD163" s="637"/>
      <c r="AE163" s="495"/>
      <c r="AF163" s="420"/>
      <c r="AG163" s="420"/>
      <c r="AH163" s="495"/>
      <c r="AI163" s="637"/>
      <c r="AJ163" s="495"/>
      <c r="AK163" s="420"/>
      <c r="AL163" s="420"/>
      <c r="AM163" s="495"/>
      <c r="AN163" s="637"/>
      <c r="AO163" s="495"/>
      <c r="AP163" s="420"/>
      <c r="AQ163" s="420"/>
      <c r="AR163" s="495"/>
      <c r="AS163" s="637"/>
      <c r="AT163" s="495"/>
      <c r="AU163" s="420"/>
      <c r="AV163" s="420"/>
      <c r="AW163" s="495"/>
      <c r="AX163" s="637"/>
      <c r="AZ163" s="406" t="e">
        <f t="shared" si="40"/>
        <v>#N/A</v>
      </c>
      <c r="BA163" s="637"/>
    </row>
    <row r="164" spans="2:53">
      <c r="B164" s="635"/>
      <c r="C164" s="284">
        <v>18</v>
      </c>
      <c r="D164" s="413"/>
      <c r="E164" s="413"/>
      <c r="F164" s="413"/>
      <c r="G164" s="420"/>
      <c r="H164" s="637"/>
      <c r="I164" s="395" t="str">
        <f t="shared" si="42"/>
        <v>-</v>
      </c>
      <c r="J164" s="395" t="str">
        <f t="shared" si="43"/>
        <v>-</v>
      </c>
      <c r="K164" s="199" t="str">
        <f t="shared" si="44"/>
        <v>-</v>
      </c>
      <c r="L164" s="609"/>
      <c r="M164" s="198" t="e">
        <f>RANK(K164, K$147:$K$176)</f>
        <v>#VALUE!</v>
      </c>
      <c r="N164" s="627"/>
      <c r="O164" s="627"/>
      <c r="P164" s="495"/>
      <c r="Q164" s="420"/>
      <c r="R164" s="420"/>
      <c r="S164" s="495"/>
      <c r="T164" s="637"/>
      <c r="U164" s="495"/>
      <c r="V164" s="420"/>
      <c r="W164" s="420"/>
      <c r="X164" s="495"/>
      <c r="Y164" s="637"/>
      <c r="Z164" s="495"/>
      <c r="AA164" s="420"/>
      <c r="AB164" s="420"/>
      <c r="AC164" s="495"/>
      <c r="AD164" s="637"/>
      <c r="AE164" s="495"/>
      <c r="AF164" s="420"/>
      <c r="AG164" s="420"/>
      <c r="AH164" s="495"/>
      <c r="AI164" s="637"/>
      <c r="AJ164" s="495"/>
      <c r="AK164" s="420"/>
      <c r="AL164" s="420"/>
      <c r="AM164" s="495"/>
      <c r="AN164" s="637"/>
      <c r="AO164" s="495"/>
      <c r="AP164" s="420"/>
      <c r="AQ164" s="420"/>
      <c r="AR164" s="495"/>
      <c r="AS164" s="637"/>
      <c r="AT164" s="495"/>
      <c r="AU164" s="420"/>
      <c r="AV164" s="420"/>
      <c r="AW164" s="495"/>
      <c r="AX164" s="637"/>
      <c r="AZ164" s="406" t="e">
        <f t="shared" si="40"/>
        <v>#N/A</v>
      </c>
      <c r="BA164" s="637"/>
    </row>
    <row r="165" spans="2:53">
      <c r="B165" s="635"/>
      <c r="C165" s="284">
        <v>19</v>
      </c>
      <c r="D165" s="413"/>
      <c r="E165" s="413"/>
      <c r="F165" s="413"/>
      <c r="G165" s="420"/>
      <c r="H165" s="637"/>
      <c r="I165" s="395" t="str">
        <f t="shared" si="42"/>
        <v>-</v>
      </c>
      <c r="J165" s="395" t="str">
        <f t="shared" si="43"/>
        <v>-</v>
      </c>
      <c r="K165" s="199" t="str">
        <f t="shared" si="44"/>
        <v>-</v>
      </c>
      <c r="L165" s="609"/>
      <c r="M165" s="198" t="e">
        <f>RANK(K165, K$147:$K$176)</f>
        <v>#VALUE!</v>
      </c>
      <c r="N165" s="627"/>
      <c r="O165" s="627"/>
      <c r="P165" s="495"/>
      <c r="Q165" s="420"/>
      <c r="R165" s="420"/>
      <c r="S165" s="495"/>
      <c r="T165" s="637"/>
      <c r="U165" s="495"/>
      <c r="V165" s="420"/>
      <c r="W165" s="420"/>
      <c r="X165" s="495"/>
      <c r="Y165" s="637"/>
      <c r="Z165" s="495"/>
      <c r="AA165" s="420"/>
      <c r="AB165" s="420"/>
      <c r="AC165" s="495"/>
      <c r="AD165" s="637"/>
      <c r="AE165" s="495"/>
      <c r="AF165" s="420"/>
      <c r="AG165" s="420"/>
      <c r="AH165" s="495"/>
      <c r="AI165" s="637"/>
      <c r="AJ165" s="495"/>
      <c r="AK165" s="420"/>
      <c r="AL165" s="420"/>
      <c r="AM165" s="495"/>
      <c r="AN165" s="637"/>
      <c r="AO165" s="495"/>
      <c r="AP165" s="420"/>
      <c r="AQ165" s="420"/>
      <c r="AR165" s="495"/>
      <c r="AS165" s="637"/>
      <c r="AT165" s="495"/>
      <c r="AU165" s="420"/>
      <c r="AV165" s="420"/>
      <c r="AW165" s="495"/>
      <c r="AX165" s="637"/>
      <c r="AZ165" s="406" t="e">
        <f t="shared" si="40"/>
        <v>#N/A</v>
      </c>
      <c r="BA165" s="637"/>
    </row>
    <row r="166" spans="2:53">
      <c r="B166" s="635"/>
      <c r="C166" s="284">
        <v>20</v>
      </c>
      <c r="D166" s="413"/>
      <c r="E166" s="413"/>
      <c r="F166" s="413"/>
      <c r="G166" s="420"/>
      <c r="H166" s="637"/>
      <c r="I166" s="395" t="str">
        <f t="shared" si="42"/>
        <v>-</v>
      </c>
      <c r="J166" s="395" t="str">
        <f t="shared" si="43"/>
        <v>-</v>
      </c>
      <c r="K166" s="199" t="str">
        <f t="shared" si="44"/>
        <v>-</v>
      </c>
      <c r="L166" s="609"/>
      <c r="M166" s="198" t="e">
        <f>RANK(K166, K$147:$K$176)</f>
        <v>#VALUE!</v>
      </c>
      <c r="N166" s="627"/>
      <c r="O166" s="627"/>
      <c r="P166" s="495"/>
      <c r="Q166" s="420"/>
      <c r="R166" s="420"/>
      <c r="S166" s="495"/>
      <c r="T166" s="637"/>
      <c r="U166" s="495"/>
      <c r="V166" s="420"/>
      <c r="W166" s="420"/>
      <c r="X166" s="495"/>
      <c r="Y166" s="637"/>
      <c r="Z166" s="495"/>
      <c r="AA166" s="420"/>
      <c r="AB166" s="420"/>
      <c r="AC166" s="495"/>
      <c r="AD166" s="637"/>
      <c r="AE166" s="495"/>
      <c r="AF166" s="420"/>
      <c r="AG166" s="420"/>
      <c r="AH166" s="495"/>
      <c r="AI166" s="637"/>
      <c r="AJ166" s="495"/>
      <c r="AK166" s="420"/>
      <c r="AL166" s="420"/>
      <c r="AM166" s="495"/>
      <c r="AN166" s="637"/>
      <c r="AO166" s="495"/>
      <c r="AP166" s="420"/>
      <c r="AQ166" s="420"/>
      <c r="AR166" s="495"/>
      <c r="AS166" s="637"/>
      <c r="AT166" s="495"/>
      <c r="AU166" s="420"/>
      <c r="AV166" s="420"/>
      <c r="AW166" s="495"/>
      <c r="AX166" s="637"/>
      <c r="AZ166" s="406" t="e">
        <f t="shared" si="40"/>
        <v>#N/A</v>
      </c>
      <c r="BA166" s="637"/>
    </row>
    <row r="167" spans="2:53">
      <c r="B167" s="635"/>
      <c r="C167" s="284">
        <v>21</v>
      </c>
      <c r="D167" s="416"/>
      <c r="E167" s="413"/>
      <c r="F167" s="413"/>
      <c r="G167" s="420"/>
      <c r="H167" s="637"/>
      <c r="I167" s="395" t="str">
        <f t="shared" si="42"/>
        <v>-</v>
      </c>
      <c r="J167" s="395" t="str">
        <f t="shared" si="43"/>
        <v>-</v>
      </c>
      <c r="K167" s="199" t="str">
        <f t="shared" si="44"/>
        <v>-</v>
      </c>
      <c r="L167" s="609"/>
      <c r="M167" s="198" t="e">
        <f>RANK(K167, K$147:$K$176)</f>
        <v>#VALUE!</v>
      </c>
      <c r="N167" s="627"/>
      <c r="O167" s="627"/>
      <c r="P167" s="495"/>
      <c r="Q167" s="420"/>
      <c r="R167" s="420"/>
      <c r="S167" s="495"/>
      <c r="T167" s="637"/>
      <c r="U167" s="495"/>
      <c r="V167" s="420"/>
      <c r="W167" s="420"/>
      <c r="X167" s="495"/>
      <c r="Y167" s="637"/>
      <c r="Z167" s="495"/>
      <c r="AA167" s="420"/>
      <c r="AB167" s="420"/>
      <c r="AC167" s="495"/>
      <c r="AD167" s="637"/>
      <c r="AE167" s="495"/>
      <c r="AF167" s="420"/>
      <c r="AG167" s="420"/>
      <c r="AH167" s="495"/>
      <c r="AI167" s="637"/>
      <c r="AJ167" s="495"/>
      <c r="AK167" s="420"/>
      <c r="AL167" s="420"/>
      <c r="AM167" s="495"/>
      <c r="AN167" s="637"/>
      <c r="AO167" s="495"/>
      <c r="AP167" s="420"/>
      <c r="AQ167" s="420"/>
      <c r="AR167" s="495"/>
      <c r="AS167" s="637"/>
      <c r="AT167" s="495"/>
      <c r="AU167" s="420"/>
      <c r="AV167" s="420"/>
      <c r="AW167" s="495"/>
      <c r="AX167" s="637"/>
      <c r="AZ167" s="406" t="e">
        <f t="shared" si="40"/>
        <v>#N/A</v>
      </c>
      <c r="BA167" s="637"/>
    </row>
    <row r="168" spans="2:53">
      <c r="B168" s="635"/>
      <c r="C168" s="284">
        <v>22</v>
      </c>
      <c r="D168" s="413"/>
      <c r="E168" s="413"/>
      <c r="F168" s="413"/>
      <c r="G168" s="420"/>
      <c r="H168" s="637"/>
      <c r="I168" s="395" t="str">
        <f t="shared" si="42"/>
        <v>-</v>
      </c>
      <c r="J168" s="395" t="str">
        <f t="shared" si="43"/>
        <v>-</v>
      </c>
      <c r="K168" s="199" t="str">
        <f t="shared" si="44"/>
        <v>-</v>
      </c>
      <c r="L168" s="609"/>
      <c r="M168" s="198" t="e">
        <f>RANK(K168, K$147:$K$176)</f>
        <v>#VALUE!</v>
      </c>
      <c r="N168" s="627"/>
      <c r="O168" s="627"/>
      <c r="P168" s="495"/>
      <c r="Q168" s="420"/>
      <c r="R168" s="420"/>
      <c r="S168" s="495"/>
      <c r="T168" s="637"/>
      <c r="U168" s="495"/>
      <c r="V168" s="420"/>
      <c r="W168" s="420"/>
      <c r="X168" s="495"/>
      <c r="Y168" s="637"/>
      <c r="Z168" s="495"/>
      <c r="AA168" s="420"/>
      <c r="AB168" s="420"/>
      <c r="AC168" s="495"/>
      <c r="AD168" s="637"/>
      <c r="AE168" s="495"/>
      <c r="AF168" s="420"/>
      <c r="AG168" s="420"/>
      <c r="AH168" s="495"/>
      <c r="AI168" s="637"/>
      <c r="AJ168" s="495"/>
      <c r="AK168" s="420"/>
      <c r="AL168" s="420"/>
      <c r="AM168" s="495"/>
      <c r="AN168" s="637"/>
      <c r="AO168" s="495"/>
      <c r="AP168" s="420"/>
      <c r="AQ168" s="420"/>
      <c r="AR168" s="495"/>
      <c r="AS168" s="637"/>
      <c r="AT168" s="495"/>
      <c r="AU168" s="420"/>
      <c r="AV168" s="420"/>
      <c r="AW168" s="495"/>
      <c r="AX168" s="637"/>
      <c r="AZ168" s="406" t="e">
        <f t="shared" si="40"/>
        <v>#N/A</v>
      </c>
      <c r="BA168" s="637"/>
    </row>
    <row r="169" spans="2:53">
      <c r="B169" s="635"/>
      <c r="C169" s="284">
        <v>23</v>
      </c>
      <c r="D169" s="413"/>
      <c r="E169" s="413"/>
      <c r="F169" s="413"/>
      <c r="G169" s="420"/>
      <c r="H169" s="637"/>
      <c r="I169" s="395" t="str">
        <f t="shared" si="42"/>
        <v>-</v>
      </c>
      <c r="J169" s="395" t="str">
        <f t="shared" si="43"/>
        <v>-</v>
      </c>
      <c r="K169" s="199" t="str">
        <f t="shared" si="44"/>
        <v>-</v>
      </c>
      <c r="L169" s="609"/>
      <c r="M169" s="198" t="e">
        <f>RANK(K169, K$147:$K$176)</f>
        <v>#VALUE!</v>
      </c>
      <c r="N169" s="627"/>
      <c r="O169" s="627"/>
      <c r="P169" s="495"/>
      <c r="Q169" s="420"/>
      <c r="R169" s="420"/>
      <c r="S169" s="495"/>
      <c r="T169" s="637"/>
      <c r="U169" s="495"/>
      <c r="V169" s="420"/>
      <c r="W169" s="420"/>
      <c r="X169" s="495"/>
      <c r="Y169" s="637"/>
      <c r="Z169" s="495"/>
      <c r="AA169" s="420"/>
      <c r="AB169" s="420"/>
      <c r="AC169" s="495"/>
      <c r="AD169" s="637"/>
      <c r="AE169" s="495"/>
      <c r="AF169" s="420"/>
      <c r="AG169" s="420"/>
      <c r="AH169" s="495"/>
      <c r="AI169" s="637"/>
      <c r="AJ169" s="495"/>
      <c r="AK169" s="420"/>
      <c r="AL169" s="420"/>
      <c r="AM169" s="495"/>
      <c r="AN169" s="637"/>
      <c r="AO169" s="495"/>
      <c r="AP169" s="420"/>
      <c r="AQ169" s="420"/>
      <c r="AR169" s="495"/>
      <c r="AS169" s="637"/>
      <c r="AT169" s="495"/>
      <c r="AU169" s="420"/>
      <c r="AV169" s="420"/>
      <c r="AW169" s="495"/>
      <c r="AX169" s="637"/>
      <c r="AZ169" s="406" t="e">
        <f t="shared" si="40"/>
        <v>#N/A</v>
      </c>
      <c r="BA169" s="637"/>
    </row>
    <row r="170" spans="2:53">
      <c r="B170" s="635"/>
      <c r="C170" s="284">
        <v>24</v>
      </c>
      <c r="D170" s="413"/>
      <c r="E170" s="413"/>
      <c r="F170" s="413"/>
      <c r="G170" s="420"/>
      <c r="H170" s="637"/>
      <c r="I170" s="395" t="str">
        <f t="shared" si="42"/>
        <v>-</v>
      </c>
      <c r="J170" s="395" t="str">
        <f t="shared" si="43"/>
        <v>-</v>
      </c>
      <c r="K170" s="199" t="str">
        <f t="shared" si="44"/>
        <v>-</v>
      </c>
      <c r="L170" s="609"/>
      <c r="M170" s="198" t="e">
        <f>RANK(K170, K$147:$K$176)</f>
        <v>#VALUE!</v>
      </c>
      <c r="N170" s="627"/>
      <c r="O170" s="627"/>
      <c r="P170" s="495"/>
      <c r="Q170" s="420"/>
      <c r="R170" s="420"/>
      <c r="S170" s="495"/>
      <c r="T170" s="637"/>
      <c r="U170" s="495"/>
      <c r="V170" s="420"/>
      <c r="W170" s="420"/>
      <c r="X170" s="495"/>
      <c r="Y170" s="637"/>
      <c r="Z170" s="495"/>
      <c r="AA170" s="420"/>
      <c r="AB170" s="420"/>
      <c r="AC170" s="495"/>
      <c r="AD170" s="637"/>
      <c r="AE170" s="495"/>
      <c r="AF170" s="420"/>
      <c r="AG170" s="420"/>
      <c r="AH170" s="495"/>
      <c r="AI170" s="637"/>
      <c r="AJ170" s="495"/>
      <c r="AK170" s="420"/>
      <c r="AL170" s="420"/>
      <c r="AM170" s="495"/>
      <c r="AN170" s="637"/>
      <c r="AO170" s="495"/>
      <c r="AP170" s="420"/>
      <c r="AQ170" s="420"/>
      <c r="AR170" s="495"/>
      <c r="AS170" s="637"/>
      <c r="AT170" s="495"/>
      <c r="AU170" s="420"/>
      <c r="AV170" s="420"/>
      <c r="AW170" s="495"/>
      <c r="AX170" s="637"/>
      <c r="AZ170" s="406" t="e">
        <f t="shared" si="40"/>
        <v>#N/A</v>
      </c>
      <c r="BA170" s="637"/>
    </row>
    <row r="171" spans="2:53">
      <c r="B171" s="635"/>
      <c r="C171" s="284">
        <v>25</v>
      </c>
      <c r="D171" s="413"/>
      <c r="E171" s="413"/>
      <c r="F171" s="413"/>
      <c r="G171" s="420"/>
      <c r="H171" s="637"/>
      <c r="I171" s="395" t="str">
        <f t="shared" si="42"/>
        <v>-</v>
      </c>
      <c r="J171" s="395" t="str">
        <f t="shared" si="43"/>
        <v>-</v>
      </c>
      <c r="K171" s="199" t="str">
        <f t="shared" si="44"/>
        <v>-</v>
      </c>
      <c r="L171" s="609"/>
      <c r="M171" s="198" t="e">
        <f>RANK(K171, K$147:$K$176)</f>
        <v>#VALUE!</v>
      </c>
      <c r="N171" s="627"/>
      <c r="O171" s="627"/>
      <c r="P171" s="495"/>
      <c r="Q171" s="420"/>
      <c r="R171" s="420"/>
      <c r="S171" s="495"/>
      <c r="T171" s="637"/>
      <c r="U171" s="495"/>
      <c r="V171" s="420"/>
      <c r="W171" s="420"/>
      <c r="X171" s="495"/>
      <c r="Y171" s="637"/>
      <c r="Z171" s="495"/>
      <c r="AA171" s="420"/>
      <c r="AB171" s="420"/>
      <c r="AC171" s="495"/>
      <c r="AD171" s="637"/>
      <c r="AE171" s="495"/>
      <c r="AF171" s="420"/>
      <c r="AG171" s="420"/>
      <c r="AH171" s="495"/>
      <c r="AI171" s="637"/>
      <c r="AJ171" s="495"/>
      <c r="AK171" s="420"/>
      <c r="AL171" s="420"/>
      <c r="AM171" s="495"/>
      <c r="AN171" s="637"/>
      <c r="AO171" s="495"/>
      <c r="AP171" s="420"/>
      <c r="AQ171" s="420"/>
      <c r="AR171" s="495"/>
      <c r="AS171" s="637"/>
      <c r="AT171" s="495"/>
      <c r="AU171" s="420"/>
      <c r="AV171" s="420"/>
      <c r="AW171" s="495"/>
      <c r="AX171" s="637"/>
      <c r="AZ171" s="406" t="e">
        <f t="shared" si="40"/>
        <v>#N/A</v>
      </c>
      <c r="BA171" s="637"/>
    </row>
    <row r="172" spans="2:53">
      <c r="B172" s="635"/>
      <c r="C172" s="284">
        <v>26</v>
      </c>
      <c r="D172" s="413"/>
      <c r="E172" s="413"/>
      <c r="F172" s="413"/>
      <c r="G172" s="413"/>
      <c r="H172" s="637"/>
      <c r="I172" s="395" t="str">
        <f t="shared" si="42"/>
        <v>-</v>
      </c>
      <c r="J172" s="395" t="str">
        <f t="shared" si="43"/>
        <v>-</v>
      </c>
      <c r="K172" s="199" t="str">
        <f t="shared" si="44"/>
        <v>-</v>
      </c>
      <c r="L172" s="609"/>
      <c r="M172" s="198" t="e">
        <f>RANK(K172, K$147:$K$176)</f>
        <v>#VALUE!</v>
      </c>
      <c r="N172" s="627"/>
      <c r="O172" s="627"/>
      <c r="P172" s="495"/>
      <c r="Q172" s="420"/>
      <c r="R172" s="420"/>
      <c r="S172" s="495"/>
      <c r="T172" s="637"/>
      <c r="U172" s="495"/>
      <c r="V172" s="420"/>
      <c r="W172" s="420"/>
      <c r="X172" s="495"/>
      <c r="Y172" s="637"/>
      <c r="Z172" s="495"/>
      <c r="AA172" s="420"/>
      <c r="AB172" s="420"/>
      <c r="AC172" s="495"/>
      <c r="AD172" s="637"/>
      <c r="AE172" s="495"/>
      <c r="AF172" s="420"/>
      <c r="AG172" s="420"/>
      <c r="AH172" s="495"/>
      <c r="AI172" s="637"/>
      <c r="AJ172" s="495"/>
      <c r="AK172" s="420"/>
      <c r="AL172" s="420"/>
      <c r="AM172" s="495"/>
      <c r="AN172" s="637"/>
      <c r="AO172" s="495"/>
      <c r="AP172" s="420"/>
      <c r="AQ172" s="420"/>
      <c r="AR172" s="495"/>
      <c r="AS172" s="637"/>
      <c r="AT172" s="495"/>
      <c r="AU172" s="420"/>
      <c r="AV172" s="420"/>
      <c r="AW172" s="495"/>
      <c r="AX172" s="637"/>
      <c r="AZ172" s="406" t="e">
        <f t="shared" si="40"/>
        <v>#N/A</v>
      </c>
      <c r="BA172" s="637"/>
    </row>
    <row r="173" spans="2:53">
      <c r="B173" s="635"/>
      <c r="C173" s="284">
        <v>27</v>
      </c>
      <c r="D173" s="413"/>
      <c r="E173" s="413"/>
      <c r="F173" s="413"/>
      <c r="G173" s="413"/>
      <c r="H173" s="637"/>
      <c r="I173" s="395" t="str">
        <f t="shared" si="42"/>
        <v>-</v>
      </c>
      <c r="J173" s="395" t="str">
        <f t="shared" si="43"/>
        <v>-</v>
      </c>
      <c r="K173" s="199" t="str">
        <f t="shared" si="44"/>
        <v>-</v>
      </c>
      <c r="L173" s="609"/>
      <c r="M173" s="198" t="e">
        <f>RANK(K173, K$147:$K$176)</f>
        <v>#VALUE!</v>
      </c>
      <c r="N173" s="627"/>
      <c r="O173" s="627"/>
      <c r="P173" s="495"/>
      <c r="Q173" s="420"/>
      <c r="R173" s="420"/>
      <c r="S173" s="495"/>
      <c r="T173" s="637"/>
      <c r="U173" s="495"/>
      <c r="V173" s="420"/>
      <c r="W173" s="420"/>
      <c r="X173" s="495"/>
      <c r="Y173" s="637"/>
      <c r="Z173" s="495"/>
      <c r="AA173" s="420"/>
      <c r="AB173" s="420"/>
      <c r="AC173" s="495"/>
      <c r="AD173" s="637"/>
      <c r="AE173" s="495"/>
      <c r="AF173" s="420"/>
      <c r="AG173" s="420"/>
      <c r="AH173" s="495"/>
      <c r="AI173" s="637"/>
      <c r="AJ173" s="495"/>
      <c r="AK173" s="420"/>
      <c r="AL173" s="420"/>
      <c r="AM173" s="495"/>
      <c r="AN173" s="637"/>
      <c r="AO173" s="495"/>
      <c r="AP173" s="420"/>
      <c r="AQ173" s="420"/>
      <c r="AR173" s="495"/>
      <c r="AS173" s="637"/>
      <c r="AT173" s="495"/>
      <c r="AU173" s="420"/>
      <c r="AV173" s="420"/>
      <c r="AW173" s="495"/>
      <c r="AX173" s="637"/>
      <c r="AZ173" s="406" t="e">
        <f t="shared" si="40"/>
        <v>#N/A</v>
      </c>
      <c r="BA173" s="637"/>
    </row>
    <row r="174" spans="2:53">
      <c r="B174" s="635"/>
      <c r="C174" s="284">
        <v>28</v>
      </c>
      <c r="D174" s="413"/>
      <c r="E174" s="413"/>
      <c r="F174" s="413"/>
      <c r="G174" s="413"/>
      <c r="H174" s="637"/>
      <c r="I174" s="395" t="str">
        <f t="shared" si="42"/>
        <v>-</v>
      </c>
      <c r="J174" s="395" t="str">
        <f t="shared" si="43"/>
        <v>-</v>
      </c>
      <c r="K174" s="199" t="str">
        <f t="shared" si="44"/>
        <v>-</v>
      </c>
      <c r="L174" s="609"/>
      <c r="M174" s="198" t="e">
        <f>RANK(K174, K$147:$K$176)</f>
        <v>#VALUE!</v>
      </c>
      <c r="N174" s="627"/>
      <c r="O174" s="627"/>
      <c r="P174" s="495"/>
      <c r="Q174" s="420"/>
      <c r="R174" s="420"/>
      <c r="S174" s="495"/>
      <c r="T174" s="637"/>
      <c r="U174" s="495"/>
      <c r="V174" s="420"/>
      <c r="W174" s="420"/>
      <c r="X174" s="495"/>
      <c r="Y174" s="637"/>
      <c r="Z174" s="495"/>
      <c r="AA174" s="420"/>
      <c r="AB174" s="420"/>
      <c r="AC174" s="495"/>
      <c r="AD174" s="637"/>
      <c r="AE174" s="495"/>
      <c r="AF174" s="420"/>
      <c r="AG174" s="420"/>
      <c r="AH174" s="495"/>
      <c r="AI174" s="637"/>
      <c r="AJ174" s="495"/>
      <c r="AK174" s="420"/>
      <c r="AL174" s="420"/>
      <c r="AM174" s="495"/>
      <c r="AN174" s="637"/>
      <c r="AO174" s="495"/>
      <c r="AP174" s="420"/>
      <c r="AQ174" s="420"/>
      <c r="AR174" s="495"/>
      <c r="AS174" s="637"/>
      <c r="AT174" s="495"/>
      <c r="AU174" s="420"/>
      <c r="AV174" s="420"/>
      <c r="AW174" s="495"/>
      <c r="AX174" s="637"/>
      <c r="AZ174" s="406" t="e">
        <f t="shared" si="40"/>
        <v>#N/A</v>
      </c>
      <c r="BA174" s="637"/>
    </row>
    <row r="175" spans="2:53">
      <c r="B175" s="635"/>
      <c r="C175" s="284">
        <v>29</v>
      </c>
      <c r="D175" s="413"/>
      <c r="E175" s="413"/>
      <c r="F175" s="413"/>
      <c r="G175" s="413"/>
      <c r="H175" s="637"/>
      <c r="I175" s="395" t="str">
        <f t="shared" si="42"/>
        <v>-</v>
      </c>
      <c r="J175" s="395" t="str">
        <f t="shared" si="43"/>
        <v>-</v>
      </c>
      <c r="K175" s="199" t="str">
        <f t="shared" si="44"/>
        <v>-</v>
      </c>
      <c r="L175" s="609"/>
      <c r="M175" s="198" t="e">
        <f>RANK(K175, K$147:$K$176)</f>
        <v>#VALUE!</v>
      </c>
      <c r="N175" s="627"/>
      <c r="O175" s="627"/>
      <c r="P175" s="495"/>
      <c r="Q175" s="420"/>
      <c r="R175" s="420"/>
      <c r="S175" s="495"/>
      <c r="T175" s="637"/>
      <c r="U175" s="495"/>
      <c r="V175" s="420"/>
      <c r="W175" s="420"/>
      <c r="X175" s="495"/>
      <c r="Y175" s="637"/>
      <c r="Z175" s="495"/>
      <c r="AA175" s="420"/>
      <c r="AB175" s="420"/>
      <c r="AC175" s="495"/>
      <c r="AD175" s="637"/>
      <c r="AE175" s="495"/>
      <c r="AF175" s="420"/>
      <c r="AG175" s="420"/>
      <c r="AH175" s="495"/>
      <c r="AI175" s="637"/>
      <c r="AJ175" s="495"/>
      <c r="AK175" s="420"/>
      <c r="AL175" s="420"/>
      <c r="AM175" s="495"/>
      <c r="AN175" s="637"/>
      <c r="AO175" s="495"/>
      <c r="AP175" s="420"/>
      <c r="AQ175" s="420"/>
      <c r="AR175" s="495"/>
      <c r="AS175" s="637"/>
      <c r="AT175" s="495"/>
      <c r="AU175" s="420"/>
      <c r="AV175" s="420"/>
      <c r="AW175" s="495"/>
      <c r="AX175" s="637"/>
      <c r="AZ175" s="406" t="e">
        <f t="shared" si="40"/>
        <v>#N/A</v>
      </c>
      <c r="BA175" s="637"/>
    </row>
    <row r="176" spans="2:53">
      <c r="B176" s="635"/>
      <c r="C176" s="284">
        <v>30</v>
      </c>
      <c r="D176" s="413"/>
      <c r="E176" s="413"/>
      <c r="F176" s="413"/>
      <c r="G176" s="413"/>
      <c r="H176" s="638"/>
      <c r="I176" s="395" t="str">
        <f t="shared" si="42"/>
        <v>-</v>
      </c>
      <c r="J176" s="395" t="str">
        <f t="shared" si="43"/>
        <v>-</v>
      </c>
      <c r="K176" s="199" t="str">
        <f t="shared" si="44"/>
        <v>-</v>
      </c>
      <c r="L176" s="610"/>
      <c r="M176" s="198" t="e">
        <f>RANK(K176, K$147:$K$176)</f>
        <v>#VALUE!</v>
      </c>
      <c r="N176" s="627"/>
      <c r="O176" s="627"/>
      <c r="P176" s="495"/>
      <c r="Q176" s="420"/>
      <c r="R176" s="420"/>
      <c r="S176" s="495"/>
      <c r="T176" s="638"/>
      <c r="U176" s="495"/>
      <c r="V176" s="420"/>
      <c r="W176" s="420"/>
      <c r="X176" s="495"/>
      <c r="Y176" s="638"/>
      <c r="Z176" s="495"/>
      <c r="AA176" s="420"/>
      <c r="AB176" s="420"/>
      <c r="AC176" s="495"/>
      <c r="AD176" s="638"/>
      <c r="AE176" s="495"/>
      <c r="AF176" s="420"/>
      <c r="AG176" s="420"/>
      <c r="AH176" s="495"/>
      <c r="AI176" s="638"/>
      <c r="AJ176" s="495"/>
      <c r="AK176" s="420"/>
      <c r="AL176" s="420"/>
      <c r="AM176" s="495"/>
      <c r="AN176" s="638"/>
      <c r="AO176" s="495"/>
      <c r="AP176" s="420"/>
      <c r="AQ176" s="420"/>
      <c r="AR176" s="495"/>
      <c r="AS176" s="638"/>
      <c r="AT176" s="495"/>
      <c r="AU176" s="420"/>
      <c r="AV176" s="420"/>
      <c r="AW176" s="495"/>
      <c r="AX176" s="638"/>
      <c r="AZ176" s="406" t="e">
        <f t="shared" si="40"/>
        <v>#N/A</v>
      </c>
      <c r="BA176" s="638"/>
    </row>
    <row r="177" spans="2:53" ht="15.75">
      <c r="B177" s="639" t="s">
        <v>163</v>
      </c>
      <c r="C177" s="640"/>
      <c r="D177" s="640"/>
      <c r="E177" s="640"/>
      <c r="F177" s="640"/>
      <c r="G177" s="640"/>
      <c r="H177" s="641"/>
      <c r="I177" s="207"/>
      <c r="J177" s="207"/>
      <c r="K177" s="207"/>
      <c r="L177" s="207"/>
      <c r="M177" s="206"/>
      <c r="N177" s="628" t="s">
        <v>156</v>
      </c>
      <c r="O177" s="628" t="s">
        <v>105</v>
      </c>
      <c r="P177" s="634">
        <f>P142+7</f>
        <v>46203</v>
      </c>
      <c r="Q177" s="635"/>
      <c r="R177" s="635"/>
      <c r="S177" s="635"/>
      <c r="T177" s="635"/>
      <c r="U177" s="631">
        <f>P177+1</f>
        <v>46204</v>
      </c>
      <c r="V177" s="632"/>
      <c r="W177" s="632"/>
      <c r="X177" s="632"/>
      <c r="Y177" s="633"/>
      <c r="Z177" s="631">
        <f>U177+1</f>
        <v>46205</v>
      </c>
      <c r="AA177" s="632"/>
      <c r="AB177" s="632"/>
      <c r="AC177" s="632"/>
      <c r="AD177" s="633"/>
      <c r="AE177" s="631">
        <f>Z177+1</f>
        <v>46206</v>
      </c>
      <c r="AF177" s="632"/>
      <c r="AG177" s="632"/>
      <c r="AH177" s="632"/>
      <c r="AI177" s="633"/>
      <c r="AJ177" s="631">
        <f>AE177+1</f>
        <v>46207</v>
      </c>
      <c r="AK177" s="632"/>
      <c r="AL177" s="632"/>
      <c r="AM177" s="632"/>
      <c r="AN177" s="633"/>
      <c r="AO177" s="631">
        <f>AJ177+1</f>
        <v>46208</v>
      </c>
      <c r="AP177" s="632"/>
      <c r="AQ177" s="632"/>
      <c r="AR177" s="632"/>
      <c r="AS177" s="633"/>
      <c r="AT177" s="631">
        <f>AO177+1</f>
        <v>46209</v>
      </c>
      <c r="AU177" s="632"/>
      <c r="AV177" s="632"/>
      <c r="AW177" s="632"/>
      <c r="AX177" s="633"/>
    </row>
    <row r="178" spans="2:53" ht="15.75">
      <c r="B178" s="642"/>
      <c r="C178" s="642"/>
      <c r="D178" s="642"/>
      <c r="E178" s="642"/>
      <c r="F178" s="642"/>
      <c r="G178" s="642"/>
      <c r="H178" s="642"/>
      <c r="I178" s="204"/>
      <c r="J178" s="204"/>
      <c r="K178" s="204"/>
      <c r="L178" s="204"/>
      <c r="M178" s="205"/>
      <c r="N178" s="630"/>
      <c r="O178" s="630"/>
      <c r="P178" s="634" t="s">
        <v>158</v>
      </c>
      <c r="Q178" s="635"/>
      <c r="R178" s="635"/>
      <c r="S178" s="635"/>
      <c r="T178" s="635"/>
      <c r="U178" s="634" t="s">
        <v>114</v>
      </c>
      <c r="V178" s="635"/>
      <c r="W178" s="635"/>
      <c r="X178" s="635"/>
      <c r="Y178" s="635"/>
      <c r="Z178" s="634" t="s">
        <v>159</v>
      </c>
      <c r="AA178" s="635"/>
      <c r="AB178" s="635"/>
      <c r="AC178" s="635"/>
      <c r="AD178" s="635"/>
      <c r="AE178" s="634" t="s">
        <v>157</v>
      </c>
      <c r="AF178" s="635"/>
      <c r="AG178" s="635"/>
      <c r="AH178" s="635"/>
      <c r="AI178" s="635"/>
      <c r="AJ178" s="634" t="s">
        <v>160</v>
      </c>
      <c r="AK178" s="635"/>
      <c r="AL178" s="635"/>
      <c r="AM178" s="635"/>
      <c r="AN178" s="635"/>
      <c r="AO178" s="634" t="s">
        <v>115</v>
      </c>
      <c r="AP178" s="635"/>
      <c r="AQ178" s="635"/>
      <c r="AR178" s="635"/>
      <c r="AS178" s="635"/>
      <c r="AT178" s="634" t="s">
        <v>162</v>
      </c>
      <c r="AU178" s="635"/>
      <c r="AV178" s="635"/>
      <c r="AW178" s="635"/>
      <c r="AX178" s="635"/>
    </row>
    <row r="179" spans="2:53">
      <c r="B179" s="627" t="s">
        <v>154</v>
      </c>
      <c r="C179" s="627" t="s">
        <v>384</v>
      </c>
      <c r="D179" s="627"/>
      <c r="E179" s="627" t="s">
        <v>375</v>
      </c>
      <c r="F179" s="627"/>
      <c r="G179" s="627"/>
      <c r="H179" s="643" t="s">
        <v>371</v>
      </c>
      <c r="I179" s="627" t="s">
        <v>376</v>
      </c>
      <c r="J179" s="627"/>
      <c r="K179" s="627"/>
      <c r="L179" s="643" t="s">
        <v>371</v>
      </c>
      <c r="M179" s="628" t="s">
        <v>372</v>
      </c>
      <c r="N179" s="627"/>
      <c r="O179" s="627" t="s">
        <v>377</v>
      </c>
      <c r="P179" s="624" t="s">
        <v>373</v>
      </c>
      <c r="Q179" s="625"/>
      <c r="R179" s="625"/>
      <c r="S179" s="626"/>
      <c r="T179" s="627" t="s">
        <v>371</v>
      </c>
      <c r="U179" s="624" t="s">
        <v>373</v>
      </c>
      <c r="V179" s="625"/>
      <c r="W179" s="625"/>
      <c r="X179" s="626"/>
      <c r="Y179" s="627" t="s">
        <v>371</v>
      </c>
      <c r="Z179" s="624" t="s">
        <v>373</v>
      </c>
      <c r="AA179" s="625"/>
      <c r="AB179" s="625"/>
      <c r="AC179" s="626"/>
      <c r="AD179" s="627" t="s">
        <v>371</v>
      </c>
      <c r="AE179" s="624" t="s">
        <v>373</v>
      </c>
      <c r="AF179" s="625"/>
      <c r="AG179" s="625"/>
      <c r="AH179" s="626"/>
      <c r="AI179" s="627" t="s">
        <v>371</v>
      </c>
      <c r="AJ179" s="624" t="s">
        <v>373</v>
      </c>
      <c r="AK179" s="625"/>
      <c r="AL179" s="625"/>
      <c r="AM179" s="626"/>
      <c r="AN179" s="627" t="s">
        <v>371</v>
      </c>
      <c r="AO179" s="624" t="s">
        <v>373</v>
      </c>
      <c r="AP179" s="625"/>
      <c r="AQ179" s="625"/>
      <c r="AR179" s="626"/>
      <c r="AS179" s="627" t="s">
        <v>371</v>
      </c>
      <c r="AT179" s="661" t="s">
        <v>373</v>
      </c>
      <c r="AU179" s="662"/>
      <c r="AV179" s="662"/>
      <c r="AW179" s="663"/>
      <c r="AX179" s="664" t="s">
        <v>371</v>
      </c>
      <c r="BA179" s="664" t="s">
        <v>371</v>
      </c>
    </row>
    <row r="180" spans="2:53">
      <c r="B180" s="627"/>
      <c r="C180" s="627"/>
      <c r="D180" s="627"/>
      <c r="E180" s="627" t="s">
        <v>378</v>
      </c>
      <c r="F180" s="627"/>
      <c r="G180" s="627"/>
      <c r="H180" s="644"/>
      <c r="I180" s="627" t="s">
        <v>378</v>
      </c>
      <c r="J180" s="627"/>
      <c r="K180" s="627"/>
      <c r="L180" s="644"/>
      <c r="M180" s="629"/>
      <c r="N180" s="627"/>
      <c r="O180" s="627"/>
      <c r="P180" s="624" t="s">
        <v>379</v>
      </c>
      <c r="Q180" s="625"/>
      <c r="R180" s="625"/>
      <c r="S180" s="626"/>
      <c r="T180" s="627"/>
      <c r="U180" s="624" t="s">
        <v>379</v>
      </c>
      <c r="V180" s="625"/>
      <c r="W180" s="625"/>
      <c r="X180" s="626"/>
      <c r="Y180" s="627"/>
      <c r="Z180" s="624" t="s">
        <v>379</v>
      </c>
      <c r="AA180" s="625"/>
      <c r="AB180" s="625"/>
      <c r="AC180" s="626"/>
      <c r="AD180" s="627"/>
      <c r="AE180" s="624" t="s">
        <v>379</v>
      </c>
      <c r="AF180" s="625"/>
      <c r="AG180" s="625"/>
      <c r="AH180" s="626"/>
      <c r="AI180" s="627"/>
      <c r="AJ180" s="624" t="s">
        <v>379</v>
      </c>
      <c r="AK180" s="625"/>
      <c r="AL180" s="625"/>
      <c r="AM180" s="626"/>
      <c r="AN180" s="627"/>
      <c r="AO180" s="624" t="s">
        <v>379</v>
      </c>
      <c r="AP180" s="625"/>
      <c r="AQ180" s="625"/>
      <c r="AR180" s="626"/>
      <c r="AS180" s="627"/>
      <c r="AT180" s="661" t="s">
        <v>379</v>
      </c>
      <c r="AU180" s="662"/>
      <c r="AV180" s="662"/>
      <c r="AW180" s="663"/>
      <c r="AX180" s="664"/>
      <c r="BA180" s="664"/>
    </row>
    <row r="181" spans="2:53">
      <c r="B181" s="627"/>
      <c r="C181" s="627"/>
      <c r="D181" s="627"/>
      <c r="E181" s="361" t="s">
        <v>380</v>
      </c>
      <c r="F181" s="361" t="s">
        <v>381</v>
      </c>
      <c r="G181" s="361" t="s">
        <v>382</v>
      </c>
      <c r="H181" s="645"/>
      <c r="I181" s="361" t="s">
        <v>380</v>
      </c>
      <c r="J181" s="361" t="s">
        <v>381</v>
      </c>
      <c r="K181" s="361" t="s">
        <v>382</v>
      </c>
      <c r="L181" s="645"/>
      <c r="M181" s="630"/>
      <c r="N181" s="627"/>
      <c r="O181" s="627"/>
      <c r="P181" s="361" t="s">
        <v>380</v>
      </c>
      <c r="Q181" s="361" t="s">
        <v>381</v>
      </c>
      <c r="R181" s="361" t="s">
        <v>382</v>
      </c>
      <c r="S181" s="361" t="s">
        <v>372</v>
      </c>
      <c r="T181" s="627"/>
      <c r="U181" s="361" t="s">
        <v>380</v>
      </c>
      <c r="V181" s="361" t="s">
        <v>381</v>
      </c>
      <c r="W181" s="361" t="s">
        <v>382</v>
      </c>
      <c r="X181" s="361" t="s">
        <v>372</v>
      </c>
      <c r="Y181" s="627"/>
      <c r="Z181" s="361" t="s">
        <v>380</v>
      </c>
      <c r="AA181" s="361" t="s">
        <v>381</v>
      </c>
      <c r="AB181" s="361" t="s">
        <v>382</v>
      </c>
      <c r="AC181" s="361" t="s">
        <v>372</v>
      </c>
      <c r="AD181" s="627"/>
      <c r="AE181" s="361" t="s">
        <v>380</v>
      </c>
      <c r="AF181" s="361" t="s">
        <v>381</v>
      </c>
      <c r="AG181" s="361" t="s">
        <v>382</v>
      </c>
      <c r="AH181" s="361" t="s">
        <v>372</v>
      </c>
      <c r="AI181" s="627"/>
      <c r="AJ181" s="361" t="s">
        <v>380</v>
      </c>
      <c r="AK181" s="361" t="s">
        <v>381</v>
      </c>
      <c r="AL181" s="361" t="s">
        <v>382</v>
      </c>
      <c r="AM181" s="361" t="s">
        <v>372</v>
      </c>
      <c r="AN181" s="627"/>
      <c r="AO181" s="361" t="s">
        <v>380</v>
      </c>
      <c r="AP181" s="361" t="s">
        <v>381</v>
      </c>
      <c r="AQ181" s="361" t="s">
        <v>382</v>
      </c>
      <c r="AR181" s="361" t="s">
        <v>372</v>
      </c>
      <c r="AS181" s="627"/>
      <c r="AT181" s="365" t="s">
        <v>380</v>
      </c>
      <c r="AU181" s="365" t="s">
        <v>381</v>
      </c>
      <c r="AV181" s="365" t="s">
        <v>382</v>
      </c>
      <c r="AW181" s="365" t="s">
        <v>372</v>
      </c>
      <c r="AX181" s="664"/>
      <c r="AZ181" s="408" t="s">
        <v>372</v>
      </c>
      <c r="BA181" s="664"/>
    </row>
    <row r="182" spans="2:53">
      <c r="B182" s="659" t="s">
        <v>495</v>
      </c>
      <c r="C182" s="366">
        <v>1</v>
      </c>
      <c r="D182" s="393"/>
      <c r="E182" s="393"/>
      <c r="F182" s="393"/>
      <c r="G182" s="181"/>
      <c r="H182" s="671" t="e">
        <f>AVERAGE(G182:G211)</f>
        <v>#DIV/0!</v>
      </c>
      <c r="I182" s="395" t="str">
        <f>IFERROR(AVERAGE(P182,U182,Z182,AE182,AJ182,AO182,AT182),"-")</f>
        <v>-</v>
      </c>
      <c r="J182" s="395" t="str">
        <f>IFERROR(AVERAGE(Q182,V182,AA182,AF182,AK182,AP182,AU182),"-")</f>
        <v>-</v>
      </c>
      <c r="K182" s="199" t="str">
        <f>IFERROR(AVERAGE(R182,W182,AB182,AG182,AL182,AQ182,AV182),"-")</f>
        <v>-</v>
      </c>
      <c r="L182" s="608" t="str">
        <f>IFERROR(AVERAGE(K182:K211),"-")</f>
        <v>-</v>
      </c>
      <c r="M182" s="367" t="e">
        <f>RANK(K182, K$182:$K$211)</f>
        <v>#VALUE!</v>
      </c>
      <c r="N182" s="627"/>
      <c r="O182" s="627"/>
      <c r="P182" s="181"/>
      <c r="Q182" s="181"/>
      <c r="R182" s="181"/>
      <c r="S182" s="366" t="e">
        <f>RANK(R182, R$112:R$141)</f>
        <v>#N/A</v>
      </c>
      <c r="T182" s="674" t="e">
        <f>AVERAGE(R182:R211)</f>
        <v>#DIV/0!</v>
      </c>
      <c r="U182" s="181"/>
      <c r="V182" s="181"/>
      <c r="W182" s="181"/>
      <c r="X182" s="366" t="e">
        <f>RANK(W182, W$112:W$141)</f>
        <v>#N/A</v>
      </c>
      <c r="Y182" s="674" t="e">
        <f>AVERAGE(W182:W211)</f>
        <v>#DIV/0!</v>
      </c>
      <c r="Z182" s="181"/>
      <c r="AA182" s="181"/>
      <c r="AB182" s="181"/>
      <c r="AC182" s="366" t="e">
        <f>RANK(AB182, AB$112:AB$141)</f>
        <v>#N/A</v>
      </c>
      <c r="AD182" s="674" t="e">
        <f>AVERAGE(AB182:AB211)</f>
        <v>#DIV/0!</v>
      </c>
      <c r="AE182" s="181"/>
      <c r="AF182" s="181"/>
      <c r="AG182" s="181"/>
      <c r="AH182" s="366" t="e">
        <f>RANK(AG182, AG$112:AG$141)</f>
        <v>#N/A</v>
      </c>
      <c r="AI182" s="674" t="e">
        <f>AVERAGE(AG182:AG211)</f>
        <v>#DIV/0!</v>
      </c>
      <c r="AJ182" s="181"/>
      <c r="AK182" s="181"/>
      <c r="AL182" s="181"/>
      <c r="AM182" s="366" t="e">
        <f>RANK(AL182, AL$112:AL$141)</f>
        <v>#N/A</v>
      </c>
      <c r="AN182" s="674" t="e">
        <f>AVERAGE(AL182:AL211)</f>
        <v>#DIV/0!</v>
      </c>
      <c r="AO182" s="181"/>
      <c r="AP182" s="181"/>
      <c r="AQ182" s="181"/>
      <c r="AR182" s="366" t="e">
        <f>RANK(AQ182, AQ$112:AQ$141)</f>
        <v>#N/A</v>
      </c>
      <c r="AS182" s="674" t="e">
        <f>AVERAGE(AQ182:AQ211)</f>
        <v>#DIV/0!</v>
      </c>
      <c r="AT182" s="181"/>
      <c r="AU182" s="181"/>
      <c r="AV182" s="181"/>
      <c r="AW182" s="369" t="e">
        <f>RANK(AV182, AV$112:AV$141)</f>
        <v>#N/A</v>
      </c>
      <c r="AX182" s="665" t="e">
        <f>AVERAGE(AV182:AV211)</f>
        <v>#DIV/0!</v>
      </c>
      <c r="AZ182" s="369" t="e">
        <f>RANK(AY182, AY$112:AY$141)</f>
        <v>#N/A</v>
      </c>
      <c r="BA182" s="665" t="e">
        <f>AVERAGE(AY182:AY211)</f>
        <v>#DIV/0!</v>
      </c>
    </row>
    <row r="183" spans="2:53">
      <c r="B183" s="660"/>
      <c r="C183" s="366">
        <v>2</v>
      </c>
      <c r="D183" s="397"/>
      <c r="E183" s="393"/>
      <c r="F183" s="393"/>
      <c r="G183" s="181"/>
      <c r="H183" s="672"/>
      <c r="I183" s="395" t="str">
        <f t="shared" ref="I183:I211" si="45">IFERROR(AVERAGE(P183,U183,Z183,AE183,AJ183,AO183,AT183),"-")</f>
        <v>-</v>
      </c>
      <c r="J183" s="395" t="str">
        <f t="shared" ref="J183:J211" si="46">IFERROR(AVERAGE(Q183,V183,AA183,AF183,AK183,AP183,AU183),"-")</f>
        <v>-</v>
      </c>
      <c r="K183" s="199" t="str">
        <f t="shared" ref="K183:K211" si="47">IFERROR(AVERAGE(R183,W183,AB183,AG183,AL183,AQ183,AV183),"-")</f>
        <v>-</v>
      </c>
      <c r="L183" s="609"/>
      <c r="M183" s="367" t="e">
        <f>RANK(K183, K$182:$K$211)</f>
        <v>#VALUE!</v>
      </c>
      <c r="N183" s="627"/>
      <c r="O183" s="627"/>
      <c r="P183" s="181"/>
      <c r="Q183" s="181"/>
      <c r="R183" s="181"/>
      <c r="S183" s="366" t="e">
        <f t="shared" ref="S183:S211" si="48">RANK(R183, R$112:R$141)</f>
        <v>#N/A</v>
      </c>
      <c r="T183" s="674"/>
      <c r="U183" s="181"/>
      <c r="V183" s="181"/>
      <c r="W183" s="181"/>
      <c r="X183" s="366" t="e">
        <f t="shared" ref="X183:X211" si="49">RANK(W183, W$112:W$141)</f>
        <v>#N/A</v>
      </c>
      <c r="Y183" s="674"/>
      <c r="Z183" s="181"/>
      <c r="AA183" s="181"/>
      <c r="AB183" s="181"/>
      <c r="AC183" s="366" t="e">
        <f t="shared" ref="AC183:AC211" si="50">RANK(AB183, AB$112:AB$141)</f>
        <v>#N/A</v>
      </c>
      <c r="AD183" s="674"/>
      <c r="AE183" s="181"/>
      <c r="AF183" s="181"/>
      <c r="AG183" s="181"/>
      <c r="AH183" s="366" t="e">
        <f t="shared" ref="AH183:AH211" si="51">RANK(AG183, AG$112:AG$141)</f>
        <v>#N/A</v>
      </c>
      <c r="AI183" s="674"/>
      <c r="AJ183" s="181"/>
      <c r="AK183" s="181"/>
      <c r="AL183" s="181"/>
      <c r="AM183" s="366" t="e">
        <f t="shared" ref="AM183:AM211" si="52">RANK(AL183, AL$112:AL$141)</f>
        <v>#N/A</v>
      </c>
      <c r="AN183" s="674"/>
      <c r="AO183" s="181"/>
      <c r="AP183" s="181"/>
      <c r="AQ183" s="181"/>
      <c r="AR183" s="366" t="e">
        <f t="shared" ref="AR183:AR211" si="53">RANK(AQ183, AQ$112:AQ$141)</f>
        <v>#N/A</v>
      </c>
      <c r="AS183" s="674"/>
      <c r="AT183" s="181"/>
      <c r="AU183" s="181"/>
      <c r="AV183" s="181"/>
      <c r="AW183" s="369" t="e">
        <f t="shared" ref="AW183:AW211" si="54">RANK(AV183, AV$112:AV$141)</f>
        <v>#N/A</v>
      </c>
      <c r="AX183" s="665"/>
      <c r="AZ183" s="369" t="e">
        <f t="shared" ref="AZ183:AZ211" si="55">RANK(AY183, AY$112:AY$141)</f>
        <v>#N/A</v>
      </c>
      <c r="BA183" s="665"/>
    </row>
    <row r="184" spans="2:53">
      <c r="B184" s="660"/>
      <c r="C184" s="366">
        <v>3</v>
      </c>
      <c r="D184" s="393"/>
      <c r="E184" s="393"/>
      <c r="F184" s="393"/>
      <c r="G184" s="181"/>
      <c r="H184" s="672"/>
      <c r="I184" s="395" t="str">
        <f t="shared" si="45"/>
        <v>-</v>
      </c>
      <c r="J184" s="395" t="str">
        <f t="shared" si="46"/>
        <v>-</v>
      </c>
      <c r="K184" s="199" t="str">
        <f t="shared" si="47"/>
        <v>-</v>
      </c>
      <c r="L184" s="609"/>
      <c r="M184" s="367" t="e">
        <f>RANK(K184, K$182:$K$211)</f>
        <v>#VALUE!</v>
      </c>
      <c r="N184" s="627"/>
      <c r="O184" s="627"/>
      <c r="P184" s="181"/>
      <c r="Q184" s="181"/>
      <c r="R184" s="181"/>
      <c r="S184" s="366" t="e">
        <f t="shared" si="48"/>
        <v>#N/A</v>
      </c>
      <c r="T184" s="674"/>
      <c r="U184" s="181"/>
      <c r="V184" s="181"/>
      <c r="W184" s="181"/>
      <c r="X184" s="366" t="e">
        <f t="shared" si="49"/>
        <v>#N/A</v>
      </c>
      <c r="Y184" s="674"/>
      <c r="Z184" s="181"/>
      <c r="AA184" s="181"/>
      <c r="AB184" s="181"/>
      <c r="AC184" s="366" t="e">
        <f t="shared" si="50"/>
        <v>#N/A</v>
      </c>
      <c r="AD184" s="674"/>
      <c r="AE184" s="181"/>
      <c r="AF184" s="181"/>
      <c r="AG184" s="181"/>
      <c r="AH184" s="366" t="e">
        <f t="shared" si="51"/>
        <v>#N/A</v>
      </c>
      <c r="AI184" s="674"/>
      <c r="AJ184" s="181"/>
      <c r="AK184" s="181"/>
      <c r="AL184" s="181"/>
      <c r="AM184" s="366" t="e">
        <f t="shared" si="52"/>
        <v>#N/A</v>
      </c>
      <c r="AN184" s="674"/>
      <c r="AO184" s="181"/>
      <c r="AP184" s="181"/>
      <c r="AQ184" s="181"/>
      <c r="AR184" s="366" t="e">
        <f t="shared" si="53"/>
        <v>#N/A</v>
      </c>
      <c r="AS184" s="674"/>
      <c r="AT184" s="181"/>
      <c r="AU184" s="181"/>
      <c r="AV184" s="181"/>
      <c r="AW184" s="369" t="e">
        <f t="shared" si="54"/>
        <v>#N/A</v>
      </c>
      <c r="AX184" s="665"/>
      <c r="AZ184" s="369" t="e">
        <f t="shared" si="55"/>
        <v>#N/A</v>
      </c>
      <c r="BA184" s="665"/>
    </row>
    <row r="185" spans="2:53">
      <c r="B185" s="660"/>
      <c r="C185" s="366">
        <v>4</v>
      </c>
      <c r="D185" s="393"/>
      <c r="E185" s="393"/>
      <c r="F185" s="393"/>
      <c r="G185" s="181"/>
      <c r="H185" s="672"/>
      <c r="I185" s="395" t="str">
        <f t="shared" si="45"/>
        <v>-</v>
      </c>
      <c r="J185" s="395" t="str">
        <f t="shared" si="46"/>
        <v>-</v>
      </c>
      <c r="K185" s="199" t="str">
        <f t="shared" si="47"/>
        <v>-</v>
      </c>
      <c r="L185" s="609"/>
      <c r="M185" s="367" t="e">
        <f>RANK(K185, K$182:$K$211)</f>
        <v>#VALUE!</v>
      </c>
      <c r="N185" s="627"/>
      <c r="O185" s="627"/>
      <c r="P185" s="181"/>
      <c r="Q185" s="181"/>
      <c r="R185" s="181"/>
      <c r="S185" s="366" t="e">
        <f t="shared" si="48"/>
        <v>#N/A</v>
      </c>
      <c r="T185" s="674"/>
      <c r="U185" s="181"/>
      <c r="V185" s="181"/>
      <c r="W185" s="181"/>
      <c r="X185" s="366" t="e">
        <f t="shared" si="49"/>
        <v>#N/A</v>
      </c>
      <c r="Y185" s="674"/>
      <c r="Z185" s="181"/>
      <c r="AA185" s="181"/>
      <c r="AB185" s="181"/>
      <c r="AC185" s="366" t="e">
        <f t="shared" si="50"/>
        <v>#N/A</v>
      </c>
      <c r="AD185" s="674"/>
      <c r="AE185" s="181"/>
      <c r="AF185" s="181"/>
      <c r="AG185" s="181"/>
      <c r="AH185" s="366" t="e">
        <f t="shared" si="51"/>
        <v>#N/A</v>
      </c>
      <c r="AI185" s="674"/>
      <c r="AJ185" s="181"/>
      <c r="AK185" s="181"/>
      <c r="AL185" s="181"/>
      <c r="AM185" s="366" t="e">
        <f t="shared" si="52"/>
        <v>#N/A</v>
      </c>
      <c r="AN185" s="674"/>
      <c r="AO185" s="181"/>
      <c r="AP185" s="181"/>
      <c r="AQ185" s="181"/>
      <c r="AR185" s="366" t="e">
        <f t="shared" si="53"/>
        <v>#N/A</v>
      </c>
      <c r="AS185" s="674"/>
      <c r="AT185" s="181"/>
      <c r="AU185" s="181"/>
      <c r="AV185" s="181"/>
      <c r="AW185" s="369" t="e">
        <f t="shared" si="54"/>
        <v>#N/A</v>
      </c>
      <c r="AX185" s="665"/>
      <c r="AZ185" s="369" t="e">
        <f t="shared" si="55"/>
        <v>#N/A</v>
      </c>
      <c r="BA185" s="665"/>
    </row>
    <row r="186" spans="2:53">
      <c r="B186" s="660"/>
      <c r="C186" s="366">
        <v>5</v>
      </c>
      <c r="D186" s="393"/>
      <c r="E186" s="393"/>
      <c r="F186" s="393"/>
      <c r="G186" s="181"/>
      <c r="H186" s="672"/>
      <c r="I186" s="395" t="str">
        <f t="shared" si="45"/>
        <v>-</v>
      </c>
      <c r="J186" s="395" t="str">
        <f t="shared" si="46"/>
        <v>-</v>
      </c>
      <c r="K186" s="199" t="str">
        <f t="shared" si="47"/>
        <v>-</v>
      </c>
      <c r="L186" s="609"/>
      <c r="M186" s="367" t="e">
        <f>RANK(K186, K$182:$K$211)</f>
        <v>#VALUE!</v>
      </c>
      <c r="N186" s="627"/>
      <c r="O186" s="627"/>
      <c r="P186" s="181"/>
      <c r="Q186" s="181"/>
      <c r="R186" s="181"/>
      <c r="S186" s="366" t="e">
        <f t="shared" si="48"/>
        <v>#N/A</v>
      </c>
      <c r="T186" s="674"/>
      <c r="U186" s="181"/>
      <c r="V186" s="181"/>
      <c r="W186" s="181"/>
      <c r="X186" s="366" t="e">
        <f t="shared" si="49"/>
        <v>#N/A</v>
      </c>
      <c r="Y186" s="674"/>
      <c r="Z186" s="181"/>
      <c r="AA186" s="181"/>
      <c r="AB186" s="181"/>
      <c r="AC186" s="366" t="e">
        <f t="shared" si="50"/>
        <v>#N/A</v>
      </c>
      <c r="AD186" s="674"/>
      <c r="AE186" s="181"/>
      <c r="AF186" s="181"/>
      <c r="AG186" s="181"/>
      <c r="AH186" s="366" t="e">
        <f t="shared" si="51"/>
        <v>#N/A</v>
      </c>
      <c r="AI186" s="674"/>
      <c r="AJ186" s="181"/>
      <c r="AK186" s="181"/>
      <c r="AL186" s="181"/>
      <c r="AM186" s="366" t="e">
        <f t="shared" si="52"/>
        <v>#N/A</v>
      </c>
      <c r="AN186" s="674"/>
      <c r="AO186" s="181"/>
      <c r="AP186" s="181"/>
      <c r="AQ186" s="181"/>
      <c r="AR186" s="366" t="e">
        <f t="shared" si="53"/>
        <v>#N/A</v>
      </c>
      <c r="AS186" s="674"/>
      <c r="AT186" s="181"/>
      <c r="AU186" s="181"/>
      <c r="AV186" s="181"/>
      <c r="AW186" s="369" t="e">
        <f t="shared" si="54"/>
        <v>#N/A</v>
      </c>
      <c r="AX186" s="665"/>
      <c r="AZ186" s="369" t="e">
        <f t="shared" si="55"/>
        <v>#N/A</v>
      </c>
      <c r="BA186" s="665"/>
    </row>
    <row r="187" spans="2:53">
      <c r="B187" s="660"/>
      <c r="C187" s="366">
        <v>6</v>
      </c>
      <c r="D187" s="393"/>
      <c r="E187" s="393"/>
      <c r="F187" s="393"/>
      <c r="G187" s="181"/>
      <c r="H187" s="672"/>
      <c r="I187" s="395" t="str">
        <f t="shared" si="45"/>
        <v>-</v>
      </c>
      <c r="J187" s="395" t="str">
        <f t="shared" si="46"/>
        <v>-</v>
      </c>
      <c r="K187" s="199" t="str">
        <f t="shared" si="47"/>
        <v>-</v>
      </c>
      <c r="L187" s="609"/>
      <c r="M187" s="367" t="e">
        <f>RANK(K187, K$182:$K$211)</f>
        <v>#VALUE!</v>
      </c>
      <c r="N187" s="627"/>
      <c r="O187" s="627"/>
      <c r="P187" s="181"/>
      <c r="Q187" s="181"/>
      <c r="R187" s="181"/>
      <c r="S187" s="366" t="e">
        <f t="shared" si="48"/>
        <v>#N/A</v>
      </c>
      <c r="T187" s="674"/>
      <c r="U187" s="181"/>
      <c r="V187" s="181"/>
      <c r="W187" s="181"/>
      <c r="X187" s="366" t="e">
        <f t="shared" si="49"/>
        <v>#N/A</v>
      </c>
      <c r="Y187" s="674"/>
      <c r="Z187" s="181"/>
      <c r="AA187" s="181"/>
      <c r="AB187" s="181"/>
      <c r="AC187" s="366" t="e">
        <f t="shared" si="50"/>
        <v>#N/A</v>
      </c>
      <c r="AD187" s="674"/>
      <c r="AE187" s="181"/>
      <c r="AF187" s="181"/>
      <c r="AG187" s="181"/>
      <c r="AH187" s="366" t="e">
        <f t="shared" si="51"/>
        <v>#N/A</v>
      </c>
      <c r="AI187" s="674"/>
      <c r="AJ187" s="181"/>
      <c r="AK187" s="181"/>
      <c r="AL187" s="181"/>
      <c r="AM187" s="366" t="e">
        <f t="shared" si="52"/>
        <v>#N/A</v>
      </c>
      <c r="AN187" s="674"/>
      <c r="AO187" s="181"/>
      <c r="AP187" s="181"/>
      <c r="AQ187" s="181"/>
      <c r="AR187" s="366" t="e">
        <f t="shared" si="53"/>
        <v>#N/A</v>
      </c>
      <c r="AS187" s="674"/>
      <c r="AT187" s="181"/>
      <c r="AU187" s="181"/>
      <c r="AV187" s="181"/>
      <c r="AW187" s="369" t="e">
        <f t="shared" si="54"/>
        <v>#N/A</v>
      </c>
      <c r="AX187" s="665"/>
      <c r="AZ187" s="369" t="e">
        <f t="shared" si="55"/>
        <v>#N/A</v>
      </c>
      <c r="BA187" s="665"/>
    </row>
    <row r="188" spans="2:53">
      <c r="B188" s="660"/>
      <c r="C188" s="366">
        <v>7</v>
      </c>
      <c r="D188" s="393"/>
      <c r="E188" s="393"/>
      <c r="F188" s="393"/>
      <c r="G188" s="181"/>
      <c r="H188" s="672"/>
      <c r="I188" s="395" t="str">
        <f t="shared" si="45"/>
        <v>-</v>
      </c>
      <c r="J188" s="395" t="str">
        <f t="shared" si="46"/>
        <v>-</v>
      </c>
      <c r="K188" s="199" t="str">
        <f t="shared" si="47"/>
        <v>-</v>
      </c>
      <c r="L188" s="609"/>
      <c r="M188" s="367" t="e">
        <f>RANK(K188, K$182:$K$211)</f>
        <v>#VALUE!</v>
      </c>
      <c r="N188" s="627"/>
      <c r="O188" s="627"/>
      <c r="P188" s="181"/>
      <c r="Q188" s="181"/>
      <c r="R188" s="181"/>
      <c r="S188" s="366" t="e">
        <f t="shared" si="48"/>
        <v>#N/A</v>
      </c>
      <c r="T188" s="674"/>
      <c r="U188" s="181"/>
      <c r="V188" s="181"/>
      <c r="W188" s="181"/>
      <c r="X188" s="366" t="e">
        <f t="shared" si="49"/>
        <v>#N/A</v>
      </c>
      <c r="Y188" s="674"/>
      <c r="Z188" s="181"/>
      <c r="AA188" s="181"/>
      <c r="AB188" s="181"/>
      <c r="AC188" s="366" t="e">
        <f t="shared" si="50"/>
        <v>#N/A</v>
      </c>
      <c r="AD188" s="674"/>
      <c r="AE188" s="181"/>
      <c r="AF188" s="181"/>
      <c r="AG188" s="181"/>
      <c r="AH188" s="366" t="e">
        <f t="shared" si="51"/>
        <v>#N/A</v>
      </c>
      <c r="AI188" s="674"/>
      <c r="AJ188" s="181"/>
      <c r="AK188" s="181"/>
      <c r="AL188" s="181"/>
      <c r="AM188" s="366" t="e">
        <f t="shared" si="52"/>
        <v>#N/A</v>
      </c>
      <c r="AN188" s="674"/>
      <c r="AO188" s="181"/>
      <c r="AP188" s="181"/>
      <c r="AQ188" s="181"/>
      <c r="AR188" s="366" t="e">
        <f t="shared" si="53"/>
        <v>#N/A</v>
      </c>
      <c r="AS188" s="674"/>
      <c r="AT188" s="181"/>
      <c r="AU188" s="181"/>
      <c r="AV188" s="181"/>
      <c r="AW188" s="369" t="e">
        <f t="shared" si="54"/>
        <v>#N/A</v>
      </c>
      <c r="AX188" s="665"/>
      <c r="AZ188" s="369" t="e">
        <f t="shared" si="55"/>
        <v>#N/A</v>
      </c>
      <c r="BA188" s="665"/>
    </row>
    <row r="189" spans="2:53">
      <c r="B189" s="660"/>
      <c r="C189" s="366">
        <v>8</v>
      </c>
      <c r="D189" s="393"/>
      <c r="E189" s="393"/>
      <c r="F189" s="393"/>
      <c r="G189" s="181"/>
      <c r="H189" s="672"/>
      <c r="I189" s="395" t="str">
        <f t="shared" si="45"/>
        <v>-</v>
      </c>
      <c r="J189" s="395" t="str">
        <f t="shared" si="46"/>
        <v>-</v>
      </c>
      <c r="K189" s="199" t="str">
        <f t="shared" si="47"/>
        <v>-</v>
      </c>
      <c r="L189" s="609"/>
      <c r="M189" s="367" t="e">
        <f>RANK(K189, K$182:$K$211)</f>
        <v>#VALUE!</v>
      </c>
      <c r="N189" s="627"/>
      <c r="O189" s="627"/>
      <c r="P189" s="181"/>
      <c r="Q189" s="181"/>
      <c r="R189" s="181"/>
      <c r="S189" s="366" t="e">
        <f t="shared" si="48"/>
        <v>#N/A</v>
      </c>
      <c r="T189" s="674"/>
      <c r="U189" s="181"/>
      <c r="V189" s="181"/>
      <c r="W189" s="181"/>
      <c r="X189" s="366" t="e">
        <f t="shared" si="49"/>
        <v>#N/A</v>
      </c>
      <c r="Y189" s="674"/>
      <c r="Z189" s="181"/>
      <c r="AA189" s="181"/>
      <c r="AB189" s="181"/>
      <c r="AC189" s="366" t="e">
        <f t="shared" si="50"/>
        <v>#N/A</v>
      </c>
      <c r="AD189" s="674"/>
      <c r="AE189" s="181"/>
      <c r="AF189" s="181"/>
      <c r="AG189" s="181"/>
      <c r="AH189" s="366" t="e">
        <f t="shared" si="51"/>
        <v>#N/A</v>
      </c>
      <c r="AI189" s="674"/>
      <c r="AJ189" s="181"/>
      <c r="AK189" s="181"/>
      <c r="AL189" s="181"/>
      <c r="AM189" s="366" t="e">
        <f t="shared" si="52"/>
        <v>#N/A</v>
      </c>
      <c r="AN189" s="674"/>
      <c r="AO189" s="181"/>
      <c r="AP189" s="181"/>
      <c r="AQ189" s="181"/>
      <c r="AR189" s="366" t="e">
        <f t="shared" si="53"/>
        <v>#N/A</v>
      </c>
      <c r="AS189" s="674"/>
      <c r="AT189" s="181"/>
      <c r="AU189" s="181"/>
      <c r="AV189" s="181"/>
      <c r="AW189" s="369" t="e">
        <f t="shared" si="54"/>
        <v>#N/A</v>
      </c>
      <c r="AX189" s="665"/>
      <c r="AZ189" s="369" t="e">
        <f t="shared" si="55"/>
        <v>#N/A</v>
      </c>
      <c r="BA189" s="665"/>
    </row>
    <row r="190" spans="2:53">
      <c r="B190" s="660"/>
      <c r="C190" s="366">
        <v>9</v>
      </c>
      <c r="D190" s="393"/>
      <c r="E190" s="393"/>
      <c r="F190" s="393"/>
      <c r="G190" s="181"/>
      <c r="H190" s="672"/>
      <c r="I190" s="395" t="str">
        <f t="shared" si="45"/>
        <v>-</v>
      </c>
      <c r="J190" s="395" t="str">
        <f t="shared" si="46"/>
        <v>-</v>
      </c>
      <c r="K190" s="199" t="str">
        <f t="shared" si="47"/>
        <v>-</v>
      </c>
      <c r="L190" s="609"/>
      <c r="M190" s="367" t="e">
        <f>RANK(K190, K$182:$K$211)</f>
        <v>#VALUE!</v>
      </c>
      <c r="N190" s="627"/>
      <c r="O190" s="627"/>
      <c r="P190" s="181"/>
      <c r="Q190" s="181"/>
      <c r="R190" s="181"/>
      <c r="S190" s="366" t="e">
        <f t="shared" si="48"/>
        <v>#N/A</v>
      </c>
      <c r="T190" s="674"/>
      <c r="U190" s="181"/>
      <c r="V190" s="181"/>
      <c r="W190" s="181"/>
      <c r="X190" s="366" t="e">
        <f t="shared" si="49"/>
        <v>#N/A</v>
      </c>
      <c r="Y190" s="674"/>
      <c r="Z190" s="181"/>
      <c r="AA190" s="181"/>
      <c r="AB190" s="181"/>
      <c r="AC190" s="366" t="e">
        <f t="shared" si="50"/>
        <v>#N/A</v>
      </c>
      <c r="AD190" s="674"/>
      <c r="AE190" s="181"/>
      <c r="AF190" s="181"/>
      <c r="AG190" s="181"/>
      <c r="AH190" s="366" t="e">
        <f t="shared" si="51"/>
        <v>#N/A</v>
      </c>
      <c r="AI190" s="674"/>
      <c r="AJ190" s="181"/>
      <c r="AK190" s="181"/>
      <c r="AL190" s="181"/>
      <c r="AM190" s="366" t="e">
        <f t="shared" si="52"/>
        <v>#N/A</v>
      </c>
      <c r="AN190" s="674"/>
      <c r="AO190" s="181"/>
      <c r="AP190" s="181"/>
      <c r="AQ190" s="181"/>
      <c r="AR190" s="366" t="e">
        <f t="shared" si="53"/>
        <v>#N/A</v>
      </c>
      <c r="AS190" s="674"/>
      <c r="AT190" s="181"/>
      <c r="AU190" s="181"/>
      <c r="AV190" s="181"/>
      <c r="AW190" s="369" t="e">
        <f t="shared" si="54"/>
        <v>#N/A</v>
      </c>
      <c r="AX190" s="665"/>
      <c r="AZ190" s="369" t="e">
        <f t="shared" si="55"/>
        <v>#N/A</v>
      </c>
      <c r="BA190" s="665"/>
    </row>
    <row r="191" spans="2:53">
      <c r="B191" s="660"/>
      <c r="C191" s="366">
        <v>10</v>
      </c>
      <c r="D191" s="393"/>
      <c r="E191" s="393"/>
      <c r="F191" s="393"/>
      <c r="G191" s="181"/>
      <c r="H191" s="672"/>
      <c r="I191" s="395" t="str">
        <f t="shared" si="45"/>
        <v>-</v>
      </c>
      <c r="J191" s="395" t="str">
        <f t="shared" si="46"/>
        <v>-</v>
      </c>
      <c r="K191" s="199" t="str">
        <f t="shared" si="47"/>
        <v>-</v>
      </c>
      <c r="L191" s="609"/>
      <c r="M191" s="367" t="e">
        <f>RANK(K191, K$182:$K$211)</f>
        <v>#VALUE!</v>
      </c>
      <c r="N191" s="627"/>
      <c r="O191" s="627"/>
      <c r="P191" s="181"/>
      <c r="Q191" s="181"/>
      <c r="R191" s="181"/>
      <c r="S191" s="366" t="e">
        <f t="shared" si="48"/>
        <v>#N/A</v>
      </c>
      <c r="T191" s="674"/>
      <c r="U191" s="181"/>
      <c r="V191" s="181"/>
      <c r="W191" s="181"/>
      <c r="X191" s="366" t="e">
        <f t="shared" si="49"/>
        <v>#N/A</v>
      </c>
      <c r="Y191" s="674"/>
      <c r="Z191" s="181"/>
      <c r="AA191" s="181"/>
      <c r="AB191" s="181"/>
      <c r="AC191" s="366" t="e">
        <f t="shared" si="50"/>
        <v>#N/A</v>
      </c>
      <c r="AD191" s="674"/>
      <c r="AE191" s="181"/>
      <c r="AF191" s="181"/>
      <c r="AG191" s="181"/>
      <c r="AH191" s="366" t="e">
        <f t="shared" si="51"/>
        <v>#N/A</v>
      </c>
      <c r="AI191" s="674"/>
      <c r="AJ191" s="181"/>
      <c r="AK191" s="181"/>
      <c r="AL191" s="181"/>
      <c r="AM191" s="366" t="e">
        <f t="shared" si="52"/>
        <v>#N/A</v>
      </c>
      <c r="AN191" s="674"/>
      <c r="AO191" s="181"/>
      <c r="AP191" s="181"/>
      <c r="AQ191" s="181"/>
      <c r="AR191" s="366" t="e">
        <f t="shared" si="53"/>
        <v>#N/A</v>
      </c>
      <c r="AS191" s="674"/>
      <c r="AT191" s="181"/>
      <c r="AU191" s="181"/>
      <c r="AV191" s="181"/>
      <c r="AW191" s="369" t="e">
        <f t="shared" si="54"/>
        <v>#N/A</v>
      </c>
      <c r="AX191" s="665"/>
      <c r="AZ191" s="369" t="e">
        <f t="shared" si="55"/>
        <v>#N/A</v>
      </c>
      <c r="BA191" s="665"/>
    </row>
    <row r="192" spans="2:53">
      <c r="B192" s="660"/>
      <c r="C192" s="366">
        <v>11</v>
      </c>
      <c r="D192" s="393"/>
      <c r="E192" s="393"/>
      <c r="F192" s="393"/>
      <c r="G192" s="181"/>
      <c r="H192" s="672"/>
      <c r="I192" s="395" t="str">
        <f t="shared" si="45"/>
        <v>-</v>
      </c>
      <c r="J192" s="395" t="str">
        <f t="shared" si="46"/>
        <v>-</v>
      </c>
      <c r="K192" s="199" t="str">
        <f t="shared" si="47"/>
        <v>-</v>
      </c>
      <c r="L192" s="609"/>
      <c r="M192" s="367" t="e">
        <f>RANK(K192, K$182:$K$211)</f>
        <v>#VALUE!</v>
      </c>
      <c r="N192" s="627"/>
      <c r="O192" s="627"/>
      <c r="P192" s="181"/>
      <c r="Q192" s="181"/>
      <c r="R192" s="181"/>
      <c r="S192" s="366" t="e">
        <f t="shared" si="48"/>
        <v>#N/A</v>
      </c>
      <c r="T192" s="674"/>
      <c r="U192" s="181"/>
      <c r="V192" s="181"/>
      <c r="W192" s="181"/>
      <c r="X192" s="366" t="e">
        <f t="shared" si="49"/>
        <v>#N/A</v>
      </c>
      <c r="Y192" s="674"/>
      <c r="Z192" s="181"/>
      <c r="AA192" s="181"/>
      <c r="AB192" s="181"/>
      <c r="AC192" s="366" t="e">
        <f t="shared" si="50"/>
        <v>#N/A</v>
      </c>
      <c r="AD192" s="674"/>
      <c r="AE192" s="181"/>
      <c r="AF192" s="181"/>
      <c r="AG192" s="181"/>
      <c r="AH192" s="366" t="e">
        <f t="shared" si="51"/>
        <v>#N/A</v>
      </c>
      <c r="AI192" s="674"/>
      <c r="AJ192" s="181"/>
      <c r="AK192" s="181"/>
      <c r="AL192" s="181"/>
      <c r="AM192" s="366" t="e">
        <f t="shared" si="52"/>
        <v>#N/A</v>
      </c>
      <c r="AN192" s="674"/>
      <c r="AO192" s="181"/>
      <c r="AP192" s="181"/>
      <c r="AQ192" s="181"/>
      <c r="AR192" s="366" t="e">
        <f t="shared" si="53"/>
        <v>#N/A</v>
      </c>
      <c r="AS192" s="674"/>
      <c r="AT192" s="181"/>
      <c r="AU192" s="181"/>
      <c r="AV192" s="181"/>
      <c r="AW192" s="369" t="e">
        <f t="shared" si="54"/>
        <v>#N/A</v>
      </c>
      <c r="AX192" s="665"/>
      <c r="AZ192" s="369" t="e">
        <f t="shared" si="55"/>
        <v>#N/A</v>
      </c>
      <c r="BA192" s="665"/>
    </row>
    <row r="193" spans="2:53">
      <c r="B193" s="660"/>
      <c r="C193" s="366">
        <v>12</v>
      </c>
      <c r="D193" s="393"/>
      <c r="E193" s="393"/>
      <c r="F193" s="393"/>
      <c r="G193" s="181"/>
      <c r="H193" s="672"/>
      <c r="I193" s="395" t="str">
        <f t="shared" si="45"/>
        <v>-</v>
      </c>
      <c r="J193" s="395" t="str">
        <f t="shared" si="46"/>
        <v>-</v>
      </c>
      <c r="K193" s="199" t="str">
        <f t="shared" si="47"/>
        <v>-</v>
      </c>
      <c r="L193" s="609"/>
      <c r="M193" s="367" t="e">
        <f>RANK(K193, K$182:$K$211)</f>
        <v>#VALUE!</v>
      </c>
      <c r="N193" s="627"/>
      <c r="O193" s="627"/>
      <c r="P193" s="181"/>
      <c r="Q193" s="181"/>
      <c r="R193" s="181"/>
      <c r="S193" s="366" t="e">
        <f t="shared" si="48"/>
        <v>#N/A</v>
      </c>
      <c r="T193" s="674"/>
      <c r="U193" s="181"/>
      <c r="V193" s="181"/>
      <c r="W193" s="181"/>
      <c r="X193" s="366" t="e">
        <f t="shared" si="49"/>
        <v>#N/A</v>
      </c>
      <c r="Y193" s="674"/>
      <c r="Z193" s="181"/>
      <c r="AA193" s="181"/>
      <c r="AB193" s="181"/>
      <c r="AC193" s="366" t="e">
        <f t="shared" si="50"/>
        <v>#N/A</v>
      </c>
      <c r="AD193" s="674"/>
      <c r="AE193" s="181"/>
      <c r="AF193" s="181"/>
      <c r="AG193" s="181"/>
      <c r="AH193" s="366" t="e">
        <f t="shared" si="51"/>
        <v>#N/A</v>
      </c>
      <c r="AI193" s="674"/>
      <c r="AJ193" s="181"/>
      <c r="AK193" s="181"/>
      <c r="AL193" s="181"/>
      <c r="AM193" s="366" t="e">
        <f t="shared" si="52"/>
        <v>#N/A</v>
      </c>
      <c r="AN193" s="674"/>
      <c r="AO193" s="181"/>
      <c r="AP193" s="181"/>
      <c r="AQ193" s="181"/>
      <c r="AR193" s="366" t="e">
        <f t="shared" si="53"/>
        <v>#N/A</v>
      </c>
      <c r="AS193" s="674"/>
      <c r="AT193" s="181"/>
      <c r="AU193" s="181"/>
      <c r="AV193" s="181"/>
      <c r="AW193" s="369" t="e">
        <f t="shared" si="54"/>
        <v>#N/A</v>
      </c>
      <c r="AX193" s="665"/>
      <c r="AZ193" s="369" t="e">
        <f t="shared" si="55"/>
        <v>#N/A</v>
      </c>
      <c r="BA193" s="665"/>
    </row>
    <row r="194" spans="2:53">
      <c r="B194" s="660"/>
      <c r="C194" s="366">
        <v>13</v>
      </c>
      <c r="D194" s="393"/>
      <c r="E194" s="393"/>
      <c r="F194" s="393"/>
      <c r="G194" s="181"/>
      <c r="H194" s="672"/>
      <c r="I194" s="395" t="str">
        <f t="shared" si="45"/>
        <v>-</v>
      </c>
      <c r="J194" s="395" t="str">
        <f t="shared" si="46"/>
        <v>-</v>
      </c>
      <c r="K194" s="199" t="str">
        <f t="shared" si="47"/>
        <v>-</v>
      </c>
      <c r="L194" s="609"/>
      <c r="M194" s="367" t="e">
        <f>RANK(K194, K$182:$K$211)</f>
        <v>#VALUE!</v>
      </c>
      <c r="N194" s="627"/>
      <c r="O194" s="627"/>
      <c r="P194" s="181"/>
      <c r="Q194" s="181"/>
      <c r="R194" s="181"/>
      <c r="S194" s="366" t="e">
        <f t="shared" si="48"/>
        <v>#N/A</v>
      </c>
      <c r="T194" s="674"/>
      <c r="U194" s="181"/>
      <c r="V194" s="181"/>
      <c r="W194" s="181"/>
      <c r="X194" s="366" t="e">
        <f t="shared" si="49"/>
        <v>#N/A</v>
      </c>
      <c r="Y194" s="674"/>
      <c r="Z194" s="181"/>
      <c r="AA194" s="181"/>
      <c r="AB194" s="181"/>
      <c r="AC194" s="366" t="e">
        <f t="shared" si="50"/>
        <v>#N/A</v>
      </c>
      <c r="AD194" s="674"/>
      <c r="AE194" s="181"/>
      <c r="AF194" s="181"/>
      <c r="AG194" s="181"/>
      <c r="AH194" s="366" t="e">
        <f t="shared" si="51"/>
        <v>#N/A</v>
      </c>
      <c r="AI194" s="674"/>
      <c r="AJ194" s="181"/>
      <c r="AK194" s="181"/>
      <c r="AL194" s="181"/>
      <c r="AM194" s="366" t="e">
        <f t="shared" si="52"/>
        <v>#N/A</v>
      </c>
      <c r="AN194" s="674"/>
      <c r="AO194" s="181"/>
      <c r="AP194" s="181"/>
      <c r="AQ194" s="181"/>
      <c r="AR194" s="366" t="e">
        <f t="shared" si="53"/>
        <v>#N/A</v>
      </c>
      <c r="AS194" s="674"/>
      <c r="AT194" s="181"/>
      <c r="AU194" s="181"/>
      <c r="AV194" s="181"/>
      <c r="AW194" s="369" t="e">
        <f t="shared" si="54"/>
        <v>#N/A</v>
      </c>
      <c r="AX194" s="665"/>
      <c r="AZ194" s="369" t="e">
        <f t="shared" si="55"/>
        <v>#N/A</v>
      </c>
      <c r="BA194" s="665"/>
    </row>
    <row r="195" spans="2:53">
      <c r="B195" s="660"/>
      <c r="C195" s="366">
        <v>14</v>
      </c>
      <c r="D195" s="393"/>
      <c r="E195" s="393"/>
      <c r="F195" s="393"/>
      <c r="G195" s="181"/>
      <c r="H195" s="672"/>
      <c r="I195" s="395" t="str">
        <f t="shared" si="45"/>
        <v>-</v>
      </c>
      <c r="J195" s="395" t="str">
        <f t="shared" si="46"/>
        <v>-</v>
      </c>
      <c r="K195" s="199" t="str">
        <f t="shared" si="47"/>
        <v>-</v>
      </c>
      <c r="L195" s="609"/>
      <c r="M195" s="367" t="e">
        <f>RANK(K195, K$182:$K$211)</f>
        <v>#VALUE!</v>
      </c>
      <c r="N195" s="627"/>
      <c r="O195" s="627"/>
      <c r="P195" s="181"/>
      <c r="Q195" s="181"/>
      <c r="R195" s="181"/>
      <c r="S195" s="366" t="e">
        <f t="shared" si="48"/>
        <v>#N/A</v>
      </c>
      <c r="T195" s="674"/>
      <c r="U195" s="181"/>
      <c r="V195" s="181"/>
      <c r="W195" s="181"/>
      <c r="X195" s="366" t="e">
        <f t="shared" si="49"/>
        <v>#N/A</v>
      </c>
      <c r="Y195" s="674"/>
      <c r="Z195" s="181"/>
      <c r="AA195" s="181"/>
      <c r="AB195" s="181"/>
      <c r="AC195" s="366" t="e">
        <f t="shared" si="50"/>
        <v>#N/A</v>
      </c>
      <c r="AD195" s="674"/>
      <c r="AE195" s="181"/>
      <c r="AF195" s="181"/>
      <c r="AG195" s="181"/>
      <c r="AH195" s="366" t="e">
        <f t="shared" si="51"/>
        <v>#N/A</v>
      </c>
      <c r="AI195" s="674"/>
      <c r="AJ195" s="181"/>
      <c r="AK195" s="181"/>
      <c r="AL195" s="181"/>
      <c r="AM195" s="366" t="e">
        <f t="shared" si="52"/>
        <v>#N/A</v>
      </c>
      <c r="AN195" s="674"/>
      <c r="AO195" s="181"/>
      <c r="AP195" s="181"/>
      <c r="AQ195" s="181"/>
      <c r="AR195" s="366" t="e">
        <f t="shared" si="53"/>
        <v>#N/A</v>
      </c>
      <c r="AS195" s="674"/>
      <c r="AT195" s="181"/>
      <c r="AU195" s="181"/>
      <c r="AV195" s="181"/>
      <c r="AW195" s="369" t="e">
        <f t="shared" si="54"/>
        <v>#N/A</v>
      </c>
      <c r="AX195" s="665"/>
      <c r="AZ195" s="369" t="e">
        <f t="shared" si="55"/>
        <v>#N/A</v>
      </c>
      <c r="BA195" s="665"/>
    </row>
    <row r="196" spans="2:53">
      <c r="B196" s="660"/>
      <c r="C196" s="366">
        <v>15</v>
      </c>
      <c r="D196" s="393"/>
      <c r="E196" s="393"/>
      <c r="F196" s="393"/>
      <c r="G196" s="181"/>
      <c r="H196" s="672"/>
      <c r="I196" s="395" t="str">
        <f t="shared" si="45"/>
        <v>-</v>
      </c>
      <c r="J196" s="395" t="str">
        <f t="shared" si="46"/>
        <v>-</v>
      </c>
      <c r="K196" s="199" t="str">
        <f t="shared" si="47"/>
        <v>-</v>
      </c>
      <c r="L196" s="609"/>
      <c r="M196" s="367" t="e">
        <f>RANK(K196, K$182:$K$211)</f>
        <v>#VALUE!</v>
      </c>
      <c r="N196" s="627"/>
      <c r="O196" s="627"/>
      <c r="P196" s="181"/>
      <c r="Q196" s="181"/>
      <c r="R196" s="181"/>
      <c r="S196" s="366" t="e">
        <f t="shared" si="48"/>
        <v>#N/A</v>
      </c>
      <c r="T196" s="674"/>
      <c r="U196" s="181"/>
      <c r="V196" s="181"/>
      <c r="W196" s="181"/>
      <c r="X196" s="366" t="e">
        <f t="shared" si="49"/>
        <v>#N/A</v>
      </c>
      <c r="Y196" s="674"/>
      <c r="Z196" s="181"/>
      <c r="AA196" s="181"/>
      <c r="AB196" s="181"/>
      <c r="AC196" s="366" t="e">
        <f t="shared" si="50"/>
        <v>#N/A</v>
      </c>
      <c r="AD196" s="674"/>
      <c r="AE196" s="181"/>
      <c r="AF196" s="181"/>
      <c r="AG196" s="181"/>
      <c r="AH196" s="366" t="e">
        <f t="shared" si="51"/>
        <v>#N/A</v>
      </c>
      <c r="AI196" s="674"/>
      <c r="AJ196" s="181"/>
      <c r="AK196" s="181"/>
      <c r="AL196" s="181"/>
      <c r="AM196" s="366" t="e">
        <f t="shared" si="52"/>
        <v>#N/A</v>
      </c>
      <c r="AN196" s="674"/>
      <c r="AO196" s="181"/>
      <c r="AP196" s="181"/>
      <c r="AQ196" s="181"/>
      <c r="AR196" s="366" t="e">
        <f t="shared" si="53"/>
        <v>#N/A</v>
      </c>
      <c r="AS196" s="674"/>
      <c r="AT196" s="181"/>
      <c r="AU196" s="181"/>
      <c r="AV196" s="181"/>
      <c r="AW196" s="369" t="e">
        <f t="shared" si="54"/>
        <v>#N/A</v>
      </c>
      <c r="AX196" s="665"/>
      <c r="AZ196" s="369" t="e">
        <f t="shared" si="55"/>
        <v>#N/A</v>
      </c>
      <c r="BA196" s="665"/>
    </row>
    <row r="197" spans="2:53">
      <c r="B197" s="660"/>
      <c r="C197" s="366">
        <v>16</v>
      </c>
      <c r="D197" s="393"/>
      <c r="E197" s="393"/>
      <c r="F197" s="393"/>
      <c r="G197" s="181"/>
      <c r="H197" s="672"/>
      <c r="I197" s="395" t="str">
        <f t="shared" si="45"/>
        <v>-</v>
      </c>
      <c r="J197" s="395" t="str">
        <f t="shared" si="46"/>
        <v>-</v>
      </c>
      <c r="K197" s="199" t="str">
        <f t="shared" si="47"/>
        <v>-</v>
      </c>
      <c r="L197" s="609"/>
      <c r="M197" s="367" t="e">
        <f>RANK(K197, K$182:$K$211)</f>
        <v>#VALUE!</v>
      </c>
      <c r="N197" s="627"/>
      <c r="O197" s="627"/>
      <c r="P197" s="181"/>
      <c r="Q197" s="181"/>
      <c r="R197" s="181"/>
      <c r="S197" s="366" t="e">
        <f t="shared" si="48"/>
        <v>#N/A</v>
      </c>
      <c r="T197" s="674"/>
      <c r="U197" s="181"/>
      <c r="V197" s="181"/>
      <c r="W197" s="181"/>
      <c r="X197" s="366" t="e">
        <f t="shared" si="49"/>
        <v>#N/A</v>
      </c>
      <c r="Y197" s="674"/>
      <c r="Z197" s="181"/>
      <c r="AA197" s="181"/>
      <c r="AB197" s="181"/>
      <c r="AC197" s="366" t="e">
        <f t="shared" si="50"/>
        <v>#N/A</v>
      </c>
      <c r="AD197" s="674"/>
      <c r="AE197" s="181"/>
      <c r="AF197" s="181"/>
      <c r="AG197" s="181"/>
      <c r="AH197" s="366" t="e">
        <f t="shared" si="51"/>
        <v>#N/A</v>
      </c>
      <c r="AI197" s="674"/>
      <c r="AJ197" s="181"/>
      <c r="AK197" s="181"/>
      <c r="AL197" s="181"/>
      <c r="AM197" s="366" t="e">
        <f t="shared" si="52"/>
        <v>#N/A</v>
      </c>
      <c r="AN197" s="674"/>
      <c r="AO197" s="181"/>
      <c r="AP197" s="181"/>
      <c r="AQ197" s="181"/>
      <c r="AR197" s="366" t="e">
        <f t="shared" si="53"/>
        <v>#N/A</v>
      </c>
      <c r="AS197" s="674"/>
      <c r="AT197" s="181"/>
      <c r="AU197" s="181"/>
      <c r="AV197" s="181"/>
      <c r="AW197" s="369" t="e">
        <f t="shared" si="54"/>
        <v>#N/A</v>
      </c>
      <c r="AX197" s="665"/>
      <c r="AZ197" s="369" t="e">
        <f t="shared" si="55"/>
        <v>#N/A</v>
      </c>
      <c r="BA197" s="665"/>
    </row>
    <row r="198" spans="2:53">
      <c r="B198" s="660"/>
      <c r="C198" s="366">
        <v>17</v>
      </c>
      <c r="D198" s="393"/>
      <c r="E198" s="393"/>
      <c r="F198" s="393"/>
      <c r="G198" s="181"/>
      <c r="H198" s="672"/>
      <c r="I198" s="395" t="str">
        <f t="shared" si="45"/>
        <v>-</v>
      </c>
      <c r="J198" s="395" t="str">
        <f t="shared" si="46"/>
        <v>-</v>
      </c>
      <c r="K198" s="199" t="str">
        <f t="shared" si="47"/>
        <v>-</v>
      </c>
      <c r="L198" s="609"/>
      <c r="M198" s="367" t="e">
        <f>RANK(K198, K$182:$K$211)</f>
        <v>#VALUE!</v>
      </c>
      <c r="N198" s="627"/>
      <c r="O198" s="627"/>
      <c r="P198" s="181"/>
      <c r="Q198" s="181"/>
      <c r="R198" s="181"/>
      <c r="S198" s="366" t="e">
        <f t="shared" si="48"/>
        <v>#N/A</v>
      </c>
      <c r="T198" s="674"/>
      <c r="U198" s="181"/>
      <c r="V198" s="181"/>
      <c r="W198" s="181"/>
      <c r="X198" s="366" t="e">
        <f t="shared" si="49"/>
        <v>#N/A</v>
      </c>
      <c r="Y198" s="674"/>
      <c r="Z198" s="181"/>
      <c r="AA198" s="181"/>
      <c r="AB198" s="181"/>
      <c r="AC198" s="366" t="e">
        <f t="shared" si="50"/>
        <v>#N/A</v>
      </c>
      <c r="AD198" s="674"/>
      <c r="AE198" s="181"/>
      <c r="AF198" s="181"/>
      <c r="AG198" s="181"/>
      <c r="AH198" s="366" t="e">
        <f t="shared" si="51"/>
        <v>#N/A</v>
      </c>
      <c r="AI198" s="674"/>
      <c r="AJ198" s="181"/>
      <c r="AK198" s="181"/>
      <c r="AL198" s="181"/>
      <c r="AM198" s="366" t="e">
        <f t="shared" si="52"/>
        <v>#N/A</v>
      </c>
      <c r="AN198" s="674"/>
      <c r="AO198" s="181"/>
      <c r="AP198" s="181"/>
      <c r="AQ198" s="181"/>
      <c r="AR198" s="366" t="e">
        <f t="shared" si="53"/>
        <v>#N/A</v>
      </c>
      <c r="AS198" s="674"/>
      <c r="AT198" s="181"/>
      <c r="AU198" s="181"/>
      <c r="AV198" s="181"/>
      <c r="AW198" s="369" t="e">
        <f t="shared" si="54"/>
        <v>#N/A</v>
      </c>
      <c r="AX198" s="665"/>
      <c r="AZ198" s="369" t="e">
        <f t="shared" si="55"/>
        <v>#N/A</v>
      </c>
      <c r="BA198" s="665"/>
    </row>
    <row r="199" spans="2:53">
      <c r="B199" s="660"/>
      <c r="C199" s="366">
        <v>18</v>
      </c>
      <c r="D199" s="393"/>
      <c r="E199" s="393"/>
      <c r="F199" s="393"/>
      <c r="G199" s="181"/>
      <c r="H199" s="672"/>
      <c r="I199" s="395" t="str">
        <f t="shared" si="45"/>
        <v>-</v>
      </c>
      <c r="J199" s="395" t="str">
        <f t="shared" si="46"/>
        <v>-</v>
      </c>
      <c r="K199" s="199" t="str">
        <f t="shared" si="47"/>
        <v>-</v>
      </c>
      <c r="L199" s="609"/>
      <c r="M199" s="367" t="e">
        <f>RANK(K199, K$182:$K$211)</f>
        <v>#VALUE!</v>
      </c>
      <c r="N199" s="627"/>
      <c r="O199" s="627"/>
      <c r="P199" s="181"/>
      <c r="Q199" s="181"/>
      <c r="R199" s="181"/>
      <c r="S199" s="366" t="e">
        <f t="shared" si="48"/>
        <v>#N/A</v>
      </c>
      <c r="T199" s="674"/>
      <c r="U199" s="181"/>
      <c r="V199" s="181"/>
      <c r="W199" s="181"/>
      <c r="X199" s="366" t="e">
        <f t="shared" si="49"/>
        <v>#N/A</v>
      </c>
      <c r="Y199" s="674"/>
      <c r="Z199" s="181"/>
      <c r="AA199" s="181"/>
      <c r="AB199" s="181"/>
      <c r="AC199" s="366" t="e">
        <f t="shared" si="50"/>
        <v>#N/A</v>
      </c>
      <c r="AD199" s="674"/>
      <c r="AE199" s="181"/>
      <c r="AF199" s="181"/>
      <c r="AG199" s="181"/>
      <c r="AH199" s="366" t="e">
        <f t="shared" si="51"/>
        <v>#N/A</v>
      </c>
      <c r="AI199" s="674"/>
      <c r="AJ199" s="181"/>
      <c r="AK199" s="181"/>
      <c r="AL199" s="181"/>
      <c r="AM199" s="366" t="e">
        <f t="shared" si="52"/>
        <v>#N/A</v>
      </c>
      <c r="AN199" s="674"/>
      <c r="AO199" s="181"/>
      <c r="AP199" s="181"/>
      <c r="AQ199" s="181"/>
      <c r="AR199" s="366" t="e">
        <f t="shared" si="53"/>
        <v>#N/A</v>
      </c>
      <c r="AS199" s="674"/>
      <c r="AT199" s="181"/>
      <c r="AU199" s="181"/>
      <c r="AV199" s="181"/>
      <c r="AW199" s="369" t="e">
        <f t="shared" si="54"/>
        <v>#N/A</v>
      </c>
      <c r="AX199" s="665"/>
      <c r="AZ199" s="369" t="e">
        <f t="shared" si="55"/>
        <v>#N/A</v>
      </c>
      <c r="BA199" s="665"/>
    </row>
    <row r="200" spans="2:53">
      <c r="B200" s="660"/>
      <c r="C200" s="366">
        <v>19</v>
      </c>
      <c r="D200" s="393"/>
      <c r="E200" s="393"/>
      <c r="F200" s="393"/>
      <c r="G200" s="181"/>
      <c r="H200" s="672"/>
      <c r="I200" s="395" t="str">
        <f t="shared" si="45"/>
        <v>-</v>
      </c>
      <c r="J200" s="395" t="str">
        <f t="shared" si="46"/>
        <v>-</v>
      </c>
      <c r="K200" s="199" t="str">
        <f t="shared" si="47"/>
        <v>-</v>
      </c>
      <c r="L200" s="609"/>
      <c r="M200" s="367" t="e">
        <f>RANK(K200, K$182:$K$211)</f>
        <v>#VALUE!</v>
      </c>
      <c r="N200" s="627"/>
      <c r="O200" s="627"/>
      <c r="P200" s="181"/>
      <c r="Q200" s="181"/>
      <c r="R200" s="181"/>
      <c r="S200" s="366" t="e">
        <f t="shared" si="48"/>
        <v>#N/A</v>
      </c>
      <c r="T200" s="674"/>
      <c r="U200" s="181"/>
      <c r="V200" s="181"/>
      <c r="W200" s="181"/>
      <c r="X200" s="366" t="e">
        <f t="shared" si="49"/>
        <v>#N/A</v>
      </c>
      <c r="Y200" s="674"/>
      <c r="Z200" s="181"/>
      <c r="AA200" s="181"/>
      <c r="AB200" s="181"/>
      <c r="AC200" s="366" t="e">
        <f t="shared" si="50"/>
        <v>#N/A</v>
      </c>
      <c r="AD200" s="674"/>
      <c r="AE200" s="181"/>
      <c r="AF200" s="181"/>
      <c r="AG200" s="181"/>
      <c r="AH200" s="366" t="e">
        <f t="shared" si="51"/>
        <v>#N/A</v>
      </c>
      <c r="AI200" s="674"/>
      <c r="AJ200" s="181"/>
      <c r="AK200" s="181"/>
      <c r="AL200" s="181"/>
      <c r="AM200" s="366" t="e">
        <f t="shared" si="52"/>
        <v>#N/A</v>
      </c>
      <c r="AN200" s="674"/>
      <c r="AO200" s="181"/>
      <c r="AP200" s="181"/>
      <c r="AQ200" s="181"/>
      <c r="AR200" s="366" t="e">
        <f t="shared" si="53"/>
        <v>#N/A</v>
      </c>
      <c r="AS200" s="674"/>
      <c r="AT200" s="181"/>
      <c r="AU200" s="181"/>
      <c r="AV200" s="181"/>
      <c r="AW200" s="369" t="e">
        <f t="shared" si="54"/>
        <v>#N/A</v>
      </c>
      <c r="AX200" s="665"/>
      <c r="AZ200" s="369" t="e">
        <f t="shared" si="55"/>
        <v>#N/A</v>
      </c>
      <c r="BA200" s="665"/>
    </row>
    <row r="201" spans="2:53">
      <c r="B201" s="660"/>
      <c r="C201" s="366">
        <v>20</v>
      </c>
      <c r="D201" s="393"/>
      <c r="E201" s="393"/>
      <c r="F201" s="393"/>
      <c r="G201" s="181"/>
      <c r="H201" s="672"/>
      <c r="I201" s="395" t="str">
        <f t="shared" si="45"/>
        <v>-</v>
      </c>
      <c r="J201" s="395" t="str">
        <f t="shared" si="46"/>
        <v>-</v>
      </c>
      <c r="K201" s="199" t="str">
        <f t="shared" si="47"/>
        <v>-</v>
      </c>
      <c r="L201" s="609"/>
      <c r="M201" s="367" t="e">
        <f>RANK(K201, K$182:$K$211)</f>
        <v>#VALUE!</v>
      </c>
      <c r="N201" s="627"/>
      <c r="O201" s="627"/>
      <c r="P201" s="181"/>
      <c r="Q201" s="181"/>
      <c r="R201" s="181"/>
      <c r="S201" s="366" t="e">
        <f t="shared" si="48"/>
        <v>#N/A</v>
      </c>
      <c r="T201" s="674"/>
      <c r="U201" s="181"/>
      <c r="V201" s="181"/>
      <c r="W201" s="181"/>
      <c r="X201" s="366" t="e">
        <f t="shared" si="49"/>
        <v>#N/A</v>
      </c>
      <c r="Y201" s="674"/>
      <c r="Z201" s="181"/>
      <c r="AA201" s="181"/>
      <c r="AB201" s="181"/>
      <c r="AC201" s="366" t="e">
        <f t="shared" si="50"/>
        <v>#N/A</v>
      </c>
      <c r="AD201" s="674"/>
      <c r="AE201" s="181"/>
      <c r="AF201" s="181"/>
      <c r="AG201" s="181"/>
      <c r="AH201" s="366" t="e">
        <f t="shared" si="51"/>
        <v>#N/A</v>
      </c>
      <c r="AI201" s="674"/>
      <c r="AJ201" s="181"/>
      <c r="AK201" s="181"/>
      <c r="AL201" s="181"/>
      <c r="AM201" s="366" t="e">
        <f t="shared" si="52"/>
        <v>#N/A</v>
      </c>
      <c r="AN201" s="674"/>
      <c r="AO201" s="181"/>
      <c r="AP201" s="181"/>
      <c r="AQ201" s="181"/>
      <c r="AR201" s="366" t="e">
        <f t="shared" si="53"/>
        <v>#N/A</v>
      </c>
      <c r="AS201" s="674"/>
      <c r="AT201" s="181"/>
      <c r="AU201" s="181"/>
      <c r="AV201" s="181"/>
      <c r="AW201" s="369" t="e">
        <f t="shared" si="54"/>
        <v>#N/A</v>
      </c>
      <c r="AX201" s="665"/>
      <c r="AZ201" s="369" t="e">
        <f t="shared" si="55"/>
        <v>#N/A</v>
      </c>
      <c r="BA201" s="665"/>
    </row>
    <row r="202" spans="2:53">
      <c r="B202" s="660"/>
      <c r="C202" s="366">
        <v>21</v>
      </c>
      <c r="D202" s="398"/>
      <c r="E202" s="393"/>
      <c r="F202" s="393"/>
      <c r="G202" s="181"/>
      <c r="H202" s="672"/>
      <c r="I202" s="395" t="str">
        <f t="shared" si="45"/>
        <v>-</v>
      </c>
      <c r="J202" s="395" t="str">
        <f t="shared" si="46"/>
        <v>-</v>
      </c>
      <c r="K202" s="199" t="str">
        <f t="shared" si="47"/>
        <v>-</v>
      </c>
      <c r="L202" s="609"/>
      <c r="M202" s="367" t="e">
        <f>RANK(K202, K$182:$K$211)</f>
        <v>#VALUE!</v>
      </c>
      <c r="N202" s="627"/>
      <c r="O202" s="627"/>
      <c r="P202" s="372"/>
      <c r="Q202" s="181"/>
      <c r="R202" s="373"/>
      <c r="S202" s="366" t="e">
        <f t="shared" si="48"/>
        <v>#N/A</v>
      </c>
      <c r="T202" s="674"/>
      <c r="U202" s="372"/>
      <c r="V202" s="181"/>
      <c r="W202" s="373"/>
      <c r="X202" s="366" t="e">
        <f t="shared" si="49"/>
        <v>#N/A</v>
      </c>
      <c r="Y202" s="674"/>
      <c r="Z202" s="372"/>
      <c r="AA202" s="181"/>
      <c r="AB202" s="373"/>
      <c r="AC202" s="366" t="e">
        <f t="shared" si="50"/>
        <v>#N/A</v>
      </c>
      <c r="AD202" s="674"/>
      <c r="AE202" s="372"/>
      <c r="AF202" s="181"/>
      <c r="AG202" s="373"/>
      <c r="AH202" s="366" t="e">
        <f t="shared" si="51"/>
        <v>#N/A</v>
      </c>
      <c r="AI202" s="674"/>
      <c r="AJ202" s="372"/>
      <c r="AK202" s="181"/>
      <c r="AL202" s="373"/>
      <c r="AM202" s="366" t="e">
        <f t="shared" si="52"/>
        <v>#N/A</v>
      </c>
      <c r="AN202" s="674"/>
      <c r="AO202" s="372"/>
      <c r="AP202" s="181"/>
      <c r="AQ202" s="373"/>
      <c r="AR202" s="366" t="e">
        <f t="shared" si="53"/>
        <v>#N/A</v>
      </c>
      <c r="AS202" s="674"/>
      <c r="AT202" s="372"/>
      <c r="AU202" s="181"/>
      <c r="AV202" s="373"/>
      <c r="AW202" s="369" t="e">
        <f t="shared" si="54"/>
        <v>#N/A</v>
      </c>
      <c r="AX202" s="665"/>
      <c r="AZ202" s="369" t="e">
        <f t="shared" si="55"/>
        <v>#N/A</v>
      </c>
      <c r="BA202" s="665"/>
    </row>
    <row r="203" spans="2:53">
      <c r="B203" s="660"/>
      <c r="C203" s="366">
        <v>22</v>
      </c>
      <c r="D203" s="393"/>
      <c r="E203" s="393"/>
      <c r="F203" s="393"/>
      <c r="G203" s="393"/>
      <c r="H203" s="672"/>
      <c r="I203" s="395" t="str">
        <f t="shared" si="45"/>
        <v>-</v>
      </c>
      <c r="J203" s="395" t="str">
        <f t="shared" si="46"/>
        <v>-</v>
      </c>
      <c r="K203" s="199" t="str">
        <f t="shared" si="47"/>
        <v>-</v>
      </c>
      <c r="L203" s="609"/>
      <c r="M203" s="367" t="e">
        <f>RANK(K203, K$182:$K$211)</f>
        <v>#VALUE!</v>
      </c>
      <c r="N203" s="627"/>
      <c r="O203" s="627"/>
      <c r="P203" s="372"/>
      <c r="Q203" s="181"/>
      <c r="R203" s="373"/>
      <c r="S203" s="366" t="e">
        <f t="shared" si="48"/>
        <v>#N/A</v>
      </c>
      <c r="T203" s="674"/>
      <c r="U203" s="372"/>
      <c r="V203" s="181"/>
      <c r="W203" s="373"/>
      <c r="X203" s="366" t="e">
        <f t="shared" si="49"/>
        <v>#N/A</v>
      </c>
      <c r="Y203" s="674"/>
      <c r="Z203" s="372"/>
      <c r="AA203" s="181"/>
      <c r="AB203" s="373"/>
      <c r="AC203" s="366" t="e">
        <f t="shared" si="50"/>
        <v>#N/A</v>
      </c>
      <c r="AD203" s="674"/>
      <c r="AE203" s="372"/>
      <c r="AF203" s="181"/>
      <c r="AG203" s="373"/>
      <c r="AH203" s="366" t="e">
        <f t="shared" si="51"/>
        <v>#N/A</v>
      </c>
      <c r="AI203" s="674"/>
      <c r="AJ203" s="372"/>
      <c r="AK203" s="181"/>
      <c r="AL203" s="373"/>
      <c r="AM203" s="366" t="e">
        <f t="shared" si="52"/>
        <v>#N/A</v>
      </c>
      <c r="AN203" s="674"/>
      <c r="AO203" s="372"/>
      <c r="AP203" s="181"/>
      <c r="AQ203" s="373"/>
      <c r="AR203" s="366" t="e">
        <f t="shared" si="53"/>
        <v>#N/A</v>
      </c>
      <c r="AS203" s="674"/>
      <c r="AT203" s="372"/>
      <c r="AU203" s="181"/>
      <c r="AV203" s="373"/>
      <c r="AW203" s="369" t="e">
        <f t="shared" si="54"/>
        <v>#N/A</v>
      </c>
      <c r="AX203" s="665"/>
      <c r="AZ203" s="369" t="e">
        <f t="shared" si="55"/>
        <v>#N/A</v>
      </c>
      <c r="BA203" s="665"/>
    </row>
    <row r="204" spans="2:53">
      <c r="B204" s="660"/>
      <c r="C204" s="366">
        <v>23</v>
      </c>
      <c r="D204" s="393"/>
      <c r="E204" s="393"/>
      <c r="F204" s="393"/>
      <c r="G204" s="393"/>
      <c r="H204" s="672"/>
      <c r="I204" s="395" t="str">
        <f t="shared" si="45"/>
        <v>-</v>
      </c>
      <c r="J204" s="395" t="str">
        <f t="shared" si="46"/>
        <v>-</v>
      </c>
      <c r="K204" s="199" t="str">
        <f t="shared" si="47"/>
        <v>-</v>
      </c>
      <c r="L204" s="609"/>
      <c r="M204" s="367" t="e">
        <f>RANK(K204, K$182:$K$211)</f>
        <v>#VALUE!</v>
      </c>
      <c r="N204" s="627"/>
      <c r="O204" s="627"/>
      <c r="P204" s="372"/>
      <c r="Q204" s="372"/>
      <c r="R204" s="373"/>
      <c r="S204" s="366" t="e">
        <f t="shared" si="48"/>
        <v>#N/A</v>
      </c>
      <c r="T204" s="674"/>
      <c r="U204" s="372"/>
      <c r="V204" s="372"/>
      <c r="W204" s="373"/>
      <c r="X204" s="366" t="e">
        <f t="shared" si="49"/>
        <v>#N/A</v>
      </c>
      <c r="Y204" s="674"/>
      <c r="Z204" s="372"/>
      <c r="AA204" s="372"/>
      <c r="AB204" s="373"/>
      <c r="AC204" s="366" t="e">
        <f t="shared" si="50"/>
        <v>#N/A</v>
      </c>
      <c r="AD204" s="674"/>
      <c r="AE204" s="372"/>
      <c r="AF204" s="372"/>
      <c r="AG204" s="373"/>
      <c r="AH204" s="366" t="e">
        <f t="shared" si="51"/>
        <v>#N/A</v>
      </c>
      <c r="AI204" s="674"/>
      <c r="AJ204" s="372"/>
      <c r="AK204" s="372"/>
      <c r="AL204" s="373"/>
      <c r="AM204" s="366" t="e">
        <f t="shared" si="52"/>
        <v>#N/A</v>
      </c>
      <c r="AN204" s="674"/>
      <c r="AO204" s="372"/>
      <c r="AP204" s="372"/>
      <c r="AQ204" s="373"/>
      <c r="AR204" s="366" t="e">
        <f t="shared" si="53"/>
        <v>#N/A</v>
      </c>
      <c r="AS204" s="674"/>
      <c r="AT204" s="372"/>
      <c r="AU204" s="372"/>
      <c r="AV204" s="373"/>
      <c r="AW204" s="369" t="e">
        <f t="shared" si="54"/>
        <v>#N/A</v>
      </c>
      <c r="AX204" s="665"/>
      <c r="AZ204" s="369" t="e">
        <f t="shared" si="55"/>
        <v>#N/A</v>
      </c>
      <c r="BA204" s="665"/>
    </row>
    <row r="205" spans="2:53">
      <c r="B205" s="660"/>
      <c r="C205" s="366">
        <v>24</v>
      </c>
      <c r="D205" s="393"/>
      <c r="E205" s="393"/>
      <c r="F205" s="393"/>
      <c r="G205" s="393"/>
      <c r="H205" s="672"/>
      <c r="I205" s="395" t="str">
        <f t="shared" si="45"/>
        <v>-</v>
      </c>
      <c r="J205" s="395" t="str">
        <f t="shared" si="46"/>
        <v>-</v>
      </c>
      <c r="K205" s="199" t="str">
        <f t="shared" si="47"/>
        <v>-</v>
      </c>
      <c r="L205" s="609"/>
      <c r="M205" s="367" t="e">
        <f>RANK(K205, K$182:$K$211)</f>
        <v>#VALUE!</v>
      </c>
      <c r="N205" s="627"/>
      <c r="O205" s="627"/>
      <c r="P205" s="372"/>
      <c r="Q205" s="372"/>
      <c r="R205" s="372"/>
      <c r="S205" s="366" t="e">
        <f t="shared" si="48"/>
        <v>#N/A</v>
      </c>
      <c r="T205" s="674"/>
      <c r="U205" s="372"/>
      <c r="V205" s="372"/>
      <c r="W205" s="372"/>
      <c r="X205" s="366" t="e">
        <f t="shared" si="49"/>
        <v>#N/A</v>
      </c>
      <c r="Y205" s="674"/>
      <c r="Z205" s="372"/>
      <c r="AA205" s="372"/>
      <c r="AB205" s="372"/>
      <c r="AC205" s="366" t="e">
        <f t="shared" si="50"/>
        <v>#N/A</v>
      </c>
      <c r="AD205" s="674"/>
      <c r="AE205" s="372"/>
      <c r="AF205" s="372"/>
      <c r="AG205" s="372"/>
      <c r="AH205" s="366" t="e">
        <f t="shared" si="51"/>
        <v>#N/A</v>
      </c>
      <c r="AI205" s="674"/>
      <c r="AJ205" s="372"/>
      <c r="AK205" s="372"/>
      <c r="AL205" s="372"/>
      <c r="AM205" s="366" t="e">
        <f t="shared" si="52"/>
        <v>#N/A</v>
      </c>
      <c r="AN205" s="674"/>
      <c r="AO205" s="372"/>
      <c r="AP205" s="372"/>
      <c r="AQ205" s="372"/>
      <c r="AR205" s="366" t="e">
        <f t="shared" si="53"/>
        <v>#N/A</v>
      </c>
      <c r="AS205" s="674"/>
      <c r="AT205" s="372"/>
      <c r="AU205" s="372"/>
      <c r="AV205" s="372"/>
      <c r="AW205" s="369" t="e">
        <f t="shared" si="54"/>
        <v>#N/A</v>
      </c>
      <c r="AX205" s="665"/>
      <c r="AZ205" s="369" t="e">
        <f t="shared" si="55"/>
        <v>#N/A</v>
      </c>
      <c r="BA205" s="665"/>
    </row>
    <row r="206" spans="2:53">
      <c r="B206" s="660"/>
      <c r="C206" s="366">
        <v>25</v>
      </c>
      <c r="D206" s="393"/>
      <c r="E206" s="393"/>
      <c r="F206" s="393"/>
      <c r="G206" s="393"/>
      <c r="H206" s="672"/>
      <c r="I206" s="395" t="str">
        <f t="shared" si="45"/>
        <v>-</v>
      </c>
      <c r="J206" s="395" t="str">
        <f t="shared" si="46"/>
        <v>-</v>
      </c>
      <c r="K206" s="199" t="str">
        <f t="shared" si="47"/>
        <v>-</v>
      </c>
      <c r="L206" s="609"/>
      <c r="M206" s="367" t="e">
        <f>RANK(K206, K$182:$K$211)</f>
        <v>#VALUE!</v>
      </c>
      <c r="N206" s="627"/>
      <c r="O206" s="627"/>
      <c r="P206" s="372"/>
      <c r="Q206" s="372"/>
      <c r="R206" s="372"/>
      <c r="S206" s="366" t="e">
        <f t="shared" si="48"/>
        <v>#N/A</v>
      </c>
      <c r="T206" s="674"/>
      <c r="U206" s="372"/>
      <c r="V206" s="372"/>
      <c r="W206" s="372"/>
      <c r="X206" s="366" t="e">
        <f t="shared" si="49"/>
        <v>#N/A</v>
      </c>
      <c r="Y206" s="674"/>
      <c r="Z206" s="372"/>
      <c r="AA206" s="372"/>
      <c r="AB206" s="372"/>
      <c r="AC206" s="366" t="e">
        <f t="shared" si="50"/>
        <v>#N/A</v>
      </c>
      <c r="AD206" s="674"/>
      <c r="AE206" s="372"/>
      <c r="AF206" s="372"/>
      <c r="AG206" s="372"/>
      <c r="AH206" s="366" t="e">
        <f t="shared" si="51"/>
        <v>#N/A</v>
      </c>
      <c r="AI206" s="674"/>
      <c r="AJ206" s="372"/>
      <c r="AK206" s="372"/>
      <c r="AL206" s="372"/>
      <c r="AM206" s="366" t="e">
        <f t="shared" si="52"/>
        <v>#N/A</v>
      </c>
      <c r="AN206" s="674"/>
      <c r="AO206" s="372"/>
      <c r="AP206" s="372"/>
      <c r="AQ206" s="372"/>
      <c r="AR206" s="366" t="e">
        <f t="shared" si="53"/>
        <v>#N/A</v>
      </c>
      <c r="AS206" s="674"/>
      <c r="AT206" s="372"/>
      <c r="AU206" s="372"/>
      <c r="AV206" s="372"/>
      <c r="AW206" s="369" t="e">
        <f t="shared" si="54"/>
        <v>#N/A</v>
      </c>
      <c r="AX206" s="665"/>
      <c r="AZ206" s="369" t="e">
        <f t="shared" si="55"/>
        <v>#N/A</v>
      </c>
      <c r="BA206" s="665"/>
    </row>
    <row r="207" spans="2:53">
      <c r="B207" s="660"/>
      <c r="C207" s="366">
        <v>26</v>
      </c>
      <c r="D207" s="393"/>
      <c r="E207" s="393"/>
      <c r="F207" s="393"/>
      <c r="G207" s="393"/>
      <c r="H207" s="672"/>
      <c r="I207" s="395" t="str">
        <f t="shared" si="45"/>
        <v>-</v>
      </c>
      <c r="J207" s="395" t="str">
        <f t="shared" si="46"/>
        <v>-</v>
      </c>
      <c r="K207" s="199" t="str">
        <f t="shared" si="47"/>
        <v>-</v>
      </c>
      <c r="L207" s="609"/>
      <c r="M207" s="367" t="e">
        <f>RANK(K207, K$182:$K$211)</f>
        <v>#VALUE!</v>
      </c>
      <c r="N207" s="627"/>
      <c r="O207" s="627"/>
      <c r="P207" s="372"/>
      <c r="Q207" s="372"/>
      <c r="R207" s="372"/>
      <c r="S207" s="366" t="e">
        <f t="shared" si="48"/>
        <v>#N/A</v>
      </c>
      <c r="T207" s="674"/>
      <c r="U207" s="372"/>
      <c r="V207" s="372"/>
      <c r="W207" s="372"/>
      <c r="X207" s="366" t="e">
        <f t="shared" si="49"/>
        <v>#N/A</v>
      </c>
      <c r="Y207" s="674"/>
      <c r="Z207" s="372"/>
      <c r="AA207" s="372"/>
      <c r="AB207" s="372"/>
      <c r="AC207" s="366" t="e">
        <f t="shared" si="50"/>
        <v>#N/A</v>
      </c>
      <c r="AD207" s="674"/>
      <c r="AE207" s="372"/>
      <c r="AF207" s="372"/>
      <c r="AG207" s="372"/>
      <c r="AH207" s="366" t="e">
        <f t="shared" si="51"/>
        <v>#N/A</v>
      </c>
      <c r="AI207" s="674"/>
      <c r="AJ207" s="372"/>
      <c r="AK207" s="372"/>
      <c r="AL207" s="372"/>
      <c r="AM207" s="366" t="e">
        <f t="shared" si="52"/>
        <v>#N/A</v>
      </c>
      <c r="AN207" s="674"/>
      <c r="AO207" s="372"/>
      <c r="AP207" s="372"/>
      <c r="AQ207" s="372"/>
      <c r="AR207" s="366" t="e">
        <f t="shared" si="53"/>
        <v>#N/A</v>
      </c>
      <c r="AS207" s="674"/>
      <c r="AT207" s="372"/>
      <c r="AU207" s="372"/>
      <c r="AV207" s="372"/>
      <c r="AW207" s="369" t="e">
        <f t="shared" si="54"/>
        <v>#N/A</v>
      </c>
      <c r="AX207" s="665"/>
      <c r="AZ207" s="369" t="e">
        <f t="shared" si="55"/>
        <v>#N/A</v>
      </c>
      <c r="BA207" s="665"/>
    </row>
    <row r="208" spans="2:53">
      <c r="B208" s="660"/>
      <c r="C208" s="366">
        <v>27</v>
      </c>
      <c r="D208" s="393"/>
      <c r="E208" s="393"/>
      <c r="F208" s="393"/>
      <c r="G208" s="393"/>
      <c r="H208" s="672"/>
      <c r="I208" s="395" t="str">
        <f t="shared" si="45"/>
        <v>-</v>
      </c>
      <c r="J208" s="395" t="str">
        <f t="shared" si="46"/>
        <v>-</v>
      </c>
      <c r="K208" s="199" t="str">
        <f t="shared" si="47"/>
        <v>-</v>
      </c>
      <c r="L208" s="609"/>
      <c r="M208" s="367" t="e">
        <f>RANK(K208, K$182:$K$211)</f>
        <v>#VALUE!</v>
      </c>
      <c r="N208" s="627"/>
      <c r="O208" s="627"/>
      <c r="P208" s="372"/>
      <c r="Q208" s="372"/>
      <c r="R208" s="372"/>
      <c r="S208" s="366" t="e">
        <f t="shared" si="48"/>
        <v>#N/A</v>
      </c>
      <c r="T208" s="674"/>
      <c r="U208" s="372"/>
      <c r="V208" s="372"/>
      <c r="W208" s="372"/>
      <c r="X208" s="366" t="e">
        <f t="shared" si="49"/>
        <v>#N/A</v>
      </c>
      <c r="Y208" s="674"/>
      <c r="Z208" s="372"/>
      <c r="AA208" s="372"/>
      <c r="AB208" s="372"/>
      <c r="AC208" s="366" t="e">
        <f t="shared" si="50"/>
        <v>#N/A</v>
      </c>
      <c r="AD208" s="674"/>
      <c r="AE208" s="372"/>
      <c r="AF208" s="372"/>
      <c r="AG208" s="372"/>
      <c r="AH208" s="366" t="e">
        <f t="shared" si="51"/>
        <v>#N/A</v>
      </c>
      <c r="AI208" s="674"/>
      <c r="AJ208" s="372"/>
      <c r="AK208" s="372"/>
      <c r="AL208" s="372"/>
      <c r="AM208" s="366" t="e">
        <f t="shared" si="52"/>
        <v>#N/A</v>
      </c>
      <c r="AN208" s="674"/>
      <c r="AO208" s="372"/>
      <c r="AP208" s="372"/>
      <c r="AQ208" s="372"/>
      <c r="AR208" s="366" t="e">
        <f t="shared" si="53"/>
        <v>#N/A</v>
      </c>
      <c r="AS208" s="674"/>
      <c r="AT208" s="372"/>
      <c r="AU208" s="372"/>
      <c r="AV208" s="372"/>
      <c r="AW208" s="369" t="e">
        <f t="shared" si="54"/>
        <v>#N/A</v>
      </c>
      <c r="AX208" s="665"/>
      <c r="AZ208" s="369" t="e">
        <f t="shared" si="55"/>
        <v>#N/A</v>
      </c>
      <c r="BA208" s="665"/>
    </row>
    <row r="209" spans="2:53">
      <c r="B209" s="660"/>
      <c r="C209" s="366">
        <v>28</v>
      </c>
      <c r="D209" s="393"/>
      <c r="E209" s="393"/>
      <c r="F209" s="393"/>
      <c r="G209" s="393"/>
      <c r="H209" s="672"/>
      <c r="I209" s="395" t="str">
        <f t="shared" si="45"/>
        <v>-</v>
      </c>
      <c r="J209" s="395" t="str">
        <f t="shared" si="46"/>
        <v>-</v>
      </c>
      <c r="K209" s="199" t="str">
        <f t="shared" si="47"/>
        <v>-</v>
      </c>
      <c r="L209" s="609"/>
      <c r="M209" s="367" t="e">
        <f>RANK(K209, K$182:$K$211)</f>
        <v>#VALUE!</v>
      </c>
      <c r="N209" s="627"/>
      <c r="O209" s="627"/>
      <c r="P209" s="372"/>
      <c r="Q209" s="372"/>
      <c r="R209" s="372"/>
      <c r="S209" s="366" t="e">
        <f t="shared" si="48"/>
        <v>#N/A</v>
      </c>
      <c r="T209" s="674"/>
      <c r="U209" s="372"/>
      <c r="V209" s="372"/>
      <c r="W209" s="372"/>
      <c r="X209" s="366" t="e">
        <f t="shared" si="49"/>
        <v>#N/A</v>
      </c>
      <c r="Y209" s="674"/>
      <c r="Z209" s="372"/>
      <c r="AA209" s="372"/>
      <c r="AB209" s="372"/>
      <c r="AC209" s="366" t="e">
        <f t="shared" si="50"/>
        <v>#N/A</v>
      </c>
      <c r="AD209" s="674"/>
      <c r="AE209" s="372"/>
      <c r="AF209" s="372"/>
      <c r="AG209" s="372"/>
      <c r="AH209" s="366" t="e">
        <f t="shared" si="51"/>
        <v>#N/A</v>
      </c>
      <c r="AI209" s="674"/>
      <c r="AJ209" s="372"/>
      <c r="AK209" s="372"/>
      <c r="AL209" s="372"/>
      <c r="AM209" s="366" t="e">
        <f t="shared" si="52"/>
        <v>#N/A</v>
      </c>
      <c r="AN209" s="674"/>
      <c r="AO209" s="372"/>
      <c r="AP209" s="372"/>
      <c r="AQ209" s="372"/>
      <c r="AR209" s="366" t="e">
        <f t="shared" si="53"/>
        <v>#N/A</v>
      </c>
      <c r="AS209" s="674"/>
      <c r="AT209" s="372"/>
      <c r="AU209" s="372"/>
      <c r="AV209" s="372"/>
      <c r="AW209" s="369" t="e">
        <f t="shared" si="54"/>
        <v>#N/A</v>
      </c>
      <c r="AX209" s="665"/>
      <c r="AZ209" s="369" t="e">
        <f t="shared" si="55"/>
        <v>#N/A</v>
      </c>
      <c r="BA209" s="665"/>
    </row>
    <row r="210" spans="2:53">
      <c r="B210" s="660"/>
      <c r="C210" s="366">
        <v>29</v>
      </c>
      <c r="D210" s="393"/>
      <c r="E210" s="393"/>
      <c r="F210" s="393"/>
      <c r="G210" s="393"/>
      <c r="H210" s="672"/>
      <c r="I210" s="395" t="str">
        <f t="shared" si="45"/>
        <v>-</v>
      </c>
      <c r="J210" s="395" t="str">
        <f t="shared" si="46"/>
        <v>-</v>
      </c>
      <c r="K210" s="199" t="str">
        <f t="shared" si="47"/>
        <v>-</v>
      </c>
      <c r="L210" s="609"/>
      <c r="M210" s="367" t="e">
        <f>RANK(K210, K$182:$K$211)</f>
        <v>#VALUE!</v>
      </c>
      <c r="N210" s="627"/>
      <c r="O210" s="627"/>
      <c r="P210" s="372"/>
      <c r="Q210" s="372"/>
      <c r="R210" s="372"/>
      <c r="S210" s="366" t="e">
        <f t="shared" si="48"/>
        <v>#N/A</v>
      </c>
      <c r="T210" s="674"/>
      <c r="U210" s="372"/>
      <c r="V210" s="372"/>
      <c r="W210" s="372"/>
      <c r="X210" s="366" t="e">
        <f t="shared" si="49"/>
        <v>#N/A</v>
      </c>
      <c r="Y210" s="674"/>
      <c r="Z210" s="372"/>
      <c r="AA210" s="372"/>
      <c r="AB210" s="372"/>
      <c r="AC210" s="366" t="e">
        <f t="shared" si="50"/>
        <v>#N/A</v>
      </c>
      <c r="AD210" s="674"/>
      <c r="AE210" s="372"/>
      <c r="AF210" s="372"/>
      <c r="AG210" s="372"/>
      <c r="AH210" s="366" t="e">
        <f t="shared" si="51"/>
        <v>#N/A</v>
      </c>
      <c r="AI210" s="674"/>
      <c r="AJ210" s="372"/>
      <c r="AK210" s="372"/>
      <c r="AL210" s="372"/>
      <c r="AM210" s="366" t="e">
        <f t="shared" si="52"/>
        <v>#N/A</v>
      </c>
      <c r="AN210" s="674"/>
      <c r="AO210" s="372"/>
      <c r="AP210" s="372"/>
      <c r="AQ210" s="372"/>
      <c r="AR210" s="366" t="e">
        <f t="shared" si="53"/>
        <v>#N/A</v>
      </c>
      <c r="AS210" s="674"/>
      <c r="AT210" s="372"/>
      <c r="AU210" s="372"/>
      <c r="AV210" s="372"/>
      <c r="AW210" s="369" t="e">
        <f t="shared" si="54"/>
        <v>#N/A</v>
      </c>
      <c r="AX210" s="665"/>
      <c r="AZ210" s="369" t="e">
        <f t="shared" si="55"/>
        <v>#N/A</v>
      </c>
      <c r="BA210" s="665"/>
    </row>
    <row r="211" spans="2:53">
      <c r="B211" s="660"/>
      <c r="C211" s="366">
        <v>30</v>
      </c>
      <c r="D211" s="393"/>
      <c r="E211" s="393"/>
      <c r="F211" s="393"/>
      <c r="G211" s="393"/>
      <c r="H211" s="672"/>
      <c r="I211" s="395" t="str">
        <f t="shared" si="45"/>
        <v>-</v>
      </c>
      <c r="J211" s="395" t="str">
        <f t="shared" si="46"/>
        <v>-</v>
      </c>
      <c r="K211" s="199" t="str">
        <f t="shared" si="47"/>
        <v>-</v>
      </c>
      <c r="L211" s="610"/>
      <c r="M211" s="367" t="e">
        <f>RANK(K211, K$182:$K$211)</f>
        <v>#VALUE!</v>
      </c>
      <c r="N211" s="627"/>
      <c r="O211" s="627"/>
      <c r="P211" s="372"/>
      <c r="Q211" s="372"/>
      <c r="R211" s="372"/>
      <c r="S211" s="366" t="e">
        <f t="shared" si="48"/>
        <v>#N/A</v>
      </c>
      <c r="T211" s="674"/>
      <c r="U211" s="372"/>
      <c r="V211" s="372"/>
      <c r="W211" s="372"/>
      <c r="X211" s="366" t="e">
        <f t="shared" si="49"/>
        <v>#N/A</v>
      </c>
      <c r="Y211" s="674"/>
      <c r="Z211" s="372"/>
      <c r="AA211" s="372"/>
      <c r="AB211" s="372"/>
      <c r="AC211" s="366" t="e">
        <f t="shared" si="50"/>
        <v>#N/A</v>
      </c>
      <c r="AD211" s="674"/>
      <c r="AE211" s="372"/>
      <c r="AF211" s="372"/>
      <c r="AG211" s="372"/>
      <c r="AH211" s="366" t="e">
        <f t="shared" si="51"/>
        <v>#N/A</v>
      </c>
      <c r="AI211" s="674"/>
      <c r="AJ211" s="372"/>
      <c r="AK211" s="372"/>
      <c r="AL211" s="372"/>
      <c r="AM211" s="366" t="e">
        <f t="shared" si="52"/>
        <v>#N/A</v>
      </c>
      <c r="AN211" s="674"/>
      <c r="AO211" s="372"/>
      <c r="AP211" s="372"/>
      <c r="AQ211" s="372"/>
      <c r="AR211" s="366" t="e">
        <f t="shared" si="53"/>
        <v>#N/A</v>
      </c>
      <c r="AS211" s="674"/>
      <c r="AT211" s="372"/>
      <c r="AU211" s="372"/>
      <c r="AV211" s="372"/>
      <c r="AW211" s="369" t="e">
        <f t="shared" si="54"/>
        <v>#N/A</v>
      </c>
      <c r="AX211" s="665"/>
      <c r="AZ211" s="369" t="e">
        <f t="shared" si="55"/>
        <v>#N/A</v>
      </c>
      <c r="BA211" s="665"/>
    </row>
    <row r="213" spans="2:53" ht="15.75">
      <c r="B213" s="666" t="s">
        <v>484</v>
      </c>
      <c r="C213" s="667"/>
      <c r="D213" s="667"/>
      <c r="E213" s="667"/>
      <c r="F213" s="667"/>
      <c r="G213" s="667"/>
      <c r="H213" s="668"/>
      <c r="I213" s="316"/>
      <c r="J213" s="316"/>
      <c r="K213" s="316"/>
      <c r="L213" s="316"/>
      <c r="M213" s="317"/>
    </row>
    <row r="214" spans="2:53" ht="15.75">
      <c r="B214" s="669"/>
      <c r="C214" s="669"/>
      <c r="D214" s="669"/>
      <c r="E214" s="669"/>
      <c r="F214" s="669"/>
      <c r="G214" s="669"/>
      <c r="H214" s="669"/>
      <c r="I214" s="318"/>
      <c r="J214" s="318"/>
      <c r="K214" s="318"/>
      <c r="L214" s="318"/>
      <c r="M214" s="319"/>
    </row>
    <row r="215" spans="2:53">
      <c r="B215" s="627" t="s">
        <v>485</v>
      </c>
      <c r="C215" s="627" t="s">
        <v>486</v>
      </c>
      <c r="D215" s="627"/>
      <c r="E215" s="627" t="s">
        <v>487</v>
      </c>
      <c r="F215" s="627"/>
      <c r="G215" s="627"/>
      <c r="H215" s="627" t="s">
        <v>488</v>
      </c>
      <c r="I215" s="670" t="s">
        <v>489</v>
      </c>
      <c r="J215" s="670"/>
      <c r="K215" s="670"/>
      <c r="L215" s="670" t="s">
        <v>488</v>
      </c>
      <c r="M215" s="670" t="s">
        <v>490</v>
      </c>
    </row>
    <row r="216" spans="2:53">
      <c r="B216" s="627"/>
      <c r="C216" s="627"/>
      <c r="D216" s="627"/>
      <c r="E216" s="627" t="s">
        <v>491</v>
      </c>
      <c r="F216" s="627"/>
      <c r="G216" s="627"/>
      <c r="H216" s="627"/>
      <c r="I216" s="670" t="s">
        <v>491</v>
      </c>
      <c r="J216" s="670"/>
      <c r="K216" s="670"/>
      <c r="L216" s="670"/>
      <c r="M216" s="670"/>
    </row>
    <row r="217" spans="2:53">
      <c r="B217" s="627"/>
      <c r="C217" s="627"/>
      <c r="D217" s="627"/>
      <c r="E217" s="313" t="s">
        <v>492</v>
      </c>
      <c r="F217" s="313" t="s">
        <v>493</v>
      </c>
      <c r="G217" s="313" t="s">
        <v>494</v>
      </c>
      <c r="H217" s="627"/>
      <c r="I217" s="320" t="s">
        <v>492</v>
      </c>
      <c r="J217" s="320" t="s">
        <v>493</v>
      </c>
      <c r="K217" s="320" t="s">
        <v>494</v>
      </c>
      <c r="L217" s="670"/>
      <c r="M217" s="670"/>
    </row>
    <row r="218" spans="2:53">
      <c r="B218" s="659" t="s">
        <v>495</v>
      </c>
      <c r="C218" s="312">
        <v>1</v>
      </c>
      <c r="D218" s="312"/>
      <c r="E218" s="312"/>
      <c r="F218" s="312"/>
      <c r="G218" s="312"/>
      <c r="H218" s="649" t="e">
        <f>AVERAGE(G218:G247)</f>
        <v>#DIV/0!</v>
      </c>
      <c r="I218" s="198" t="e">
        <f t="shared" ref="I218:K240" si="56">AVERAGEIF($D$7:$D$211,$D218,I$7:I$211)</f>
        <v>#DIV/0!</v>
      </c>
      <c r="J218" s="198" t="e">
        <f t="shared" si="56"/>
        <v>#DIV/0!</v>
      </c>
      <c r="K218" s="198" t="e">
        <f>AVERAGEIF($D$7:$D$211,$D218,K$7:K$211)</f>
        <v>#DIV/0!</v>
      </c>
      <c r="L218" s="673" t="e">
        <f>AVERAGE(K218:K247)</f>
        <v>#DIV/0!</v>
      </c>
      <c r="M218" s="198" t="e">
        <f>RANK(K218, K$218:$K$247)</f>
        <v>#DIV/0!</v>
      </c>
    </row>
    <row r="219" spans="2:53">
      <c r="B219" s="635"/>
      <c r="C219" s="312">
        <v>2</v>
      </c>
      <c r="D219" s="312"/>
      <c r="E219" s="312"/>
      <c r="F219" s="312"/>
      <c r="G219" s="383"/>
      <c r="H219" s="649"/>
      <c r="I219" s="198" t="e">
        <f t="shared" si="56"/>
        <v>#DIV/0!</v>
      </c>
      <c r="J219" s="198" t="e">
        <f t="shared" si="56"/>
        <v>#DIV/0!</v>
      </c>
      <c r="K219" s="198" t="e">
        <f t="shared" si="56"/>
        <v>#DIV/0!</v>
      </c>
      <c r="L219" s="673"/>
      <c r="M219" s="198" t="e">
        <f>RANK(K219, K$218:$K$247)</f>
        <v>#DIV/0!</v>
      </c>
    </row>
    <row r="220" spans="2:53">
      <c r="B220" s="635"/>
      <c r="C220" s="312">
        <v>3</v>
      </c>
      <c r="D220" s="312"/>
      <c r="E220" s="312"/>
      <c r="F220" s="383"/>
      <c r="G220" s="312"/>
      <c r="H220" s="649"/>
      <c r="I220" s="198" t="e">
        <f t="shared" si="56"/>
        <v>#DIV/0!</v>
      </c>
      <c r="J220" s="198" t="e">
        <f t="shared" si="56"/>
        <v>#DIV/0!</v>
      </c>
      <c r="K220" s="198" t="e">
        <f t="shared" si="56"/>
        <v>#DIV/0!</v>
      </c>
      <c r="L220" s="673"/>
      <c r="M220" s="198" t="e">
        <f>RANK(K220, K$218:$K$247)</f>
        <v>#DIV/0!</v>
      </c>
    </row>
    <row r="221" spans="2:53">
      <c r="B221" s="635"/>
      <c r="C221" s="312">
        <v>4</v>
      </c>
      <c r="D221" s="312"/>
      <c r="E221" s="312"/>
      <c r="F221" s="383"/>
      <c r="G221" s="383"/>
      <c r="H221" s="649"/>
      <c r="I221" s="198" t="e">
        <f t="shared" si="56"/>
        <v>#DIV/0!</v>
      </c>
      <c r="J221" s="198" t="e">
        <f t="shared" si="56"/>
        <v>#DIV/0!</v>
      </c>
      <c r="K221" s="198" t="e">
        <f t="shared" si="56"/>
        <v>#DIV/0!</v>
      </c>
      <c r="L221" s="673"/>
      <c r="M221" s="198" t="e">
        <f>RANK(K221, K$218:$K$247)</f>
        <v>#DIV/0!</v>
      </c>
    </row>
    <row r="222" spans="2:53">
      <c r="B222" s="635"/>
      <c r="C222" s="312">
        <v>5</v>
      </c>
      <c r="D222" s="312"/>
      <c r="E222" s="312"/>
      <c r="F222" s="383"/>
      <c r="G222" s="383"/>
      <c r="H222" s="649"/>
      <c r="I222" s="198" t="e">
        <f t="shared" si="56"/>
        <v>#DIV/0!</v>
      </c>
      <c r="J222" s="198" t="e">
        <f t="shared" si="56"/>
        <v>#DIV/0!</v>
      </c>
      <c r="K222" s="198" t="e">
        <f t="shared" si="56"/>
        <v>#DIV/0!</v>
      </c>
      <c r="L222" s="673"/>
      <c r="M222" s="198" t="e">
        <f>RANK(K222, K$218:$K$247)</f>
        <v>#DIV/0!</v>
      </c>
    </row>
    <row r="223" spans="2:53">
      <c r="B223" s="635"/>
      <c r="C223" s="312">
        <v>6</v>
      </c>
      <c r="D223" s="312"/>
      <c r="E223" s="312"/>
      <c r="F223" s="383"/>
      <c r="G223" s="383"/>
      <c r="H223" s="649"/>
      <c r="I223" s="198" t="e">
        <f t="shared" si="56"/>
        <v>#DIV/0!</v>
      </c>
      <c r="J223" s="198" t="e">
        <f t="shared" si="56"/>
        <v>#DIV/0!</v>
      </c>
      <c r="K223" s="198" t="e">
        <f t="shared" si="56"/>
        <v>#DIV/0!</v>
      </c>
      <c r="L223" s="673"/>
      <c r="M223" s="198" t="e">
        <f>RANK(K223, K$218:$K$247)</f>
        <v>#DIV/0!</v>
      </c>
    </row>
    <row r="224" spans="2:53">
      <c r="B224" s="635"/>
      <c r="C224" s="312">
        <v>7</v>
      </c>
      <c r="D224" s="382"/>
      <c r="E224" s="312"/>
      <c r="F224" s="383"/>
      <c r="G224" s="383"/>
      <c r="H224" s="649"/>
      <c r="I224" s="198" t="e">
        <f t="shared" si="56"/>
        <v>#DIV/0!</v>
      </c>
      <c r="J224" s="198" t="e">
        <f t="shared" si="56"/>
        <v>#DIV/0!</v>
      </c>
      <c r="K224" s="198" t="e">
        <f t="shared" si="56"/>
        <v>#DIV/0!</v>
      </c>
      <c r="L224" s="673"/>
      <c r="M224" s="198" t="e">
        <f>RANK(K224, K$218:$K$247)</f>
        <v>#DIV/0!</v>
      </c>
    </row>
    <row r="225" spans="2:39">
      <c r="B225" s="635"/>
      <c r="C225" s="312">
        <v>8</v>
      </c>
      <c r="D225" s="382"/>
      <c r="E225" s="312"/>
      <c r="F225" s="383"/>
      <c r="G225" s="383"/>
      <c r="H225" s="649"/>
      <c r="I225" s="198" t="e">
        <f t="shared" si="56"/>
        <v>#DIV/0!</v>
      </c>
      <c r="J225" s="198" t="e">
        <f t="shared" si="56"/>
        <v>#DIV/0!</v>
      </c>
      <c r="K225" s="198" t="e">
        <f t="shared" si="56"/>
        <v>#DIV/0!</v>
      </c>
      <c r="L225" s="673"/>
      <c r="M225" s="198" t="e">
        <f>RANK(K225, K$218:$K$247)</f>
        <v>#DIV/0!</v>
      </c>
      <c r="N225" s="107"/>
      <c r="O225" s="107"/>
      <c r="P225" s="107"/>
      <c r="Q225" s="107"/>
      <c r="R225" s="107"/>
      <c r="S225" s="107"/>
      <c r="T225" s="107"/>
      <c r="X225" s="107"/>
      <c r="AC225" s="107"/>
      <c r="AH225" s="107"/>
      <c r="AM225" s="107"/>
    </row>
    <row r="226" spans="2:39">
      <c r="B226" s="635"/>
      <c r="C226" s="312">
        <v>9</v>
      </c>
      <c r="D226" s="312"/>
      <c r="E226" s="312"/>
      <c r="F226" s="312"/>
      <c r="G226" s="312"/>
      <c r="H226" s="649"/>
      <c r="I226" s="198" t="e">
        <f t="shared" si="56"/>
        <v>#DIV/0!</v>
      </c>
      <c r="J226" s="198" t="e">
        <f t="shared" si="56"/>
        <v>#DIV/0!</v>
      </c>
      <c r="K226" s="198" t="e">
        <f t="shared" si="56"/>
        <v>#DIV/0!</v>
      </c>
      <c r="L226" s="673"/>
      <c r="M226" s="198" t="e">
        <f>RANK(K226, K$218:$K$247)</f>
        <v>#DIV/0!</v>
      </c>
      <c r="N226" s="107"/>
      <c r="O226" s="107"/>
      <c r="P226" s="107"/>
      <c r="Q226" s="107"/>
      <c r="R226" s="107"/>
      <c r="S226" s="107"/>
      <c r="T226" s="107"/>
      <c r="X226" s="107"/>
      <c r="AC226" s="107"/>
      <c r="AH226" s="107"/>
      <c r="AM226" s="107"/>
    </row>
    <row r="227" spans="2:39">
      <c r="B227" s="635"/>
      <c r="C227" s="312">
        <v>10</v>
      </c>
      <c r="D227" s="312"/>
      <c r="E227" s="312"/>
      <c r="F227" s="312"/>
      <c r="G227" s="312"/>
      <c r="H227" s="649"/>
      <c r="I227" s="198" t="e">
        <f t="shared" si="56"/>
        <v>#DIV/0!</v>
      </c>
      <c r="J227" s="198" t="e">
        <f t="shared" si="56"/>
        <v>#DIV/0!</v>
      </c>
      <c r="K227" s="198" t="e">
        <f t="shared" si="56"/>
        <v>#DIV/0!</v>
      </c>
      <c r="L227" s="673"/>
      <c r="M227" s="198" t="e">
        <f>RANK(K227, K$218:$K$247)</f>
        <v>#DIV/0!</v>
      </c>
      <c r="N227" s="107"/>
      <c r="O227" s="107"/>
      <c r="P227" s="107"/>
      <c r="Q227" s="107"/>
      <c r="R227" s="107"/>
      <c r="S227" s="107"/>
      <c r="T227" s="107"/>
      <c r="X227" s="107"/>
      <c r="AC227" s="107"/>
      <c r="AH227" s="107"/>
      <c r="AM227" s="107"/>
    </row>
    <row r="228" spans="2:39">
      <c r="B228" s="635"/>
      <c r="C228" s="312">
        <v>11</v>
      </c>
      <c r="D228" s="312"/>
      <c r="E228" s="312"/>
      <c r="F228" s="312"/>
      <c r="G228" s="312"/>
      <c r="H228" s="649"/>
      <c r="I228" s="198" t="e">
        <f t="shared" si="56"/>
        <v>#DIV/0!</v>
      </c>
      <c r="J228" s="198" t="e">
        <f t="shared" si="56"/>
        <v>#DIV/0!</v>
      </c>
      <c r="K228" s="198" t="e">
        <f t="shared" si="56"/>
        <v>#DIV/0!</v>
      </c>
      <c r="L228" s="673"/>
      <c r="M228" s="198" t="e">
        <f>RANK(K228, K$218:$K$247)</f>
        <v>#DIV/0!</v>
      </c>
      <c r="N228" s="107"/>
      <c r="O228" s="107"/>
      <c r="P228" s="107"/>
      <c r="Q228" s="107"/>
      <c r="R228" s="107"/>
      <c r="S228" s="107"/>
      <c r="T228" s="107"/>
      <c r="X228" s="107"/>
      <c r="AC228" s="107"/>
      <c r="AH228" s="107"/>
      <c r="AM228" s="107"/>
    </row>
    <row r="229" spans="2:39">
      <c r="B229" s="635"/>
      <c r="C229" s="312">
        <v>12</v>
      </c>
      <c r="D229" s="312"/>
      <c r="E229" s="312"/>
      <c r="F229" s="312"/>
      <c r="G229" s="312"/>
      <c r="H229" s="649"/>
      <c r="I229" s="198" t="e">
        <f t="shared" si="56"/>
        <v>#DIV/0!</v>
      </c>
      <c r="J229" s="198" t="e">
        <f t="shared" si="56"/>
        <v>#DIV/0!</v>
      </c>
      <c r="K229" s="198" t="e">
        <f t="shared" si="56"/>
        <v>#DIV/0!</v>
      </c>
      <c r="L229" s="673"/>
      <c r="M229" s="198" t="e">
        <f>RANK(K229, K$218:$K$247)</f>
        <v>#DIV/0!</v>
      </c>
      <c r="N229" s="107"/>
      <c r="O229" s="107"/>
      <c r="P229" s="107"/>
      <c r="Q229" s="107"/>
      <c r="R229" s="107"/>
      <c r="S229" s="107"/>
      <c r="T229" s="107"/>
      <c r="X229" s="107"/>
      <c r="AC229" s="107"/>
      <c r="AH229" s="107"/>
      <c r="AM229" s="107"/>
    </row>
    <row r="230" spans="2:39">
      <c r="B230" s="635"/>
      <c r="C230" s="312">
        <v>13</v>
      </c>
      <c r="D230" s="312"/>
      <c r="E230" s="312"/>
      <c r="F230" s="312"/>
      <c r="G230" s="312"/>
      <c r="H230" s="649"/>
      <c r="I230" s="198" t="e">
        <f t="shared" si="56"/>
        <v>#DIV/0!</v>
      </c>
      <c r="J230" s="198" t="e">
        <f t="shared" si="56"/>
        <v>#DIV/0!</v>
      </c>
      <c r="K230" s="198" t="e">
        <f t="shared" si="56"/>
        <v>#DIV/0!</v>
      </c>
      <c r="L230" s="673"/>
      <c r="M230" s="198" t="e">
        <f>RANK(K230, K$218:$K$247)</f>
        <v>#DIV/0!</v>
      </c>
      <c r="N230" s="107"/>
      <c r="O230" s="107"/>
      <c r="P230" s="107"/>
      <c r="Q230" s="107"/>
      <c r="R230" s="107"/>
      <c r="S230" s="107"/>
      <c r="T230" s="107"/>
      <c r="X230" s="107"/>
      <c r="AC230" s="107"/>
      <c r="AH230" s="107"/>
      <c r="AM230" s="107"/>
    </row>
    <row r="231" spans="2:39">
      <c r="B231" s="635"/>
      <c r="C231" s="312">
        <v>14</v>
      </c>
      <c r="D231" s="312"/>
      <c r="E231" s="312"/>
      <c r="F231" s="312"/>
      <c r="G231" s="312"/>
      <c r="H231" s="649"/>
      <c r="I231" s="198" t="e">
        <f t="shared" si="56"/>
        <v>#DIV/0!</v>
      </c>
      <c r="J231" s="198" t="e">
        <f t="shared" si="56"/>
        <v>#DIV/0!</v>
      </c>
      <c r="K231" s="198" t="e">
        <f t="shared" si="56"/>
        <v>#DIV/0!</v>
      </c>
      <c r="L231" s="673"/>
      <c r="M231" s="198" t="e">
        <f>RANK(K231, K$218:$K$247)</f>
        <v>#DIV/0!</v>
      </c>
      <c r="N231" s="107"/>
      <c r="O231" s="107"/>
      <c r="P231" s="107"/>
      <c r="Q231" s="107"/>
      <c r="R231" s="107"/>
      <c r="S231" s="107"/>
      <c r="T231" s="107"/>
      <c r="X231" s="107"/>
      <c r="AC231" s="107"/>
      <c r="AH231" s="107"/>
      <c r="AM231" s="107"/>
    </row>
    <row r="232" spans="2:39">
      <c r="B232" s="635"/>
      <c r="C232" s="312">
        <v>15</v>
      </c>
      <c r="D232" s="312"/>
      <c r="E232" s="312"/>
      <c r="F232" s="312"/>
      <c r="G232" s="312"/>
      <c r="H232" s="649"/>
      <c r="I232" s="198" t="e">
        <f t="shared" si="56"/>
        <v>#DIV/0!</v>
      </c>
      <c r="J232" s="198" t="e">
        <f t="shared" si="56"/>
        <v>#DIV/0!</v>
      </c>
      <c r="K232" s="198" t="e">
        <f t="shared" si="56"/>
        <v>#DIV/0!</v>
      </c>
      <c r="L232" s="673"/>
      <c r="M232" s="198" t="e">
        <f>RANK(K232, K$218:$K$247)</f>
        <v>#DIV/0!</v>
      </c>
      <c r="N232" s="107"/>
      <c r="O232" s="107"/>
      <c r="P232" s="107"/>
      <c r="Q232" s="107"/>
      <c r="R232" s="107"/>
      <c r="S232" s="107"/>
      <c r="T232" s="107"/>
      <c r="X232" s="107"/>
      <c r="AC232" s="107"/>
      <c r="AH232" s="107"/>
      <c r="AM232" s="107"/>
    </row>
    <row r="233" spans="2:39">
      <c r="B233" s="635"/>
      <c r="C233" s="312">
        <v>16</v>
      </c>
      <c r="D233" s="312"/>
      <c r="E233" s="312"/>
      <c r="F233" s="312"/>
      <c r="G233" s="312"/>
      <c r="H233" s="649"/>
      <c r="I233" s="198" t="e">
        <f t="shared" si="56"/>
        <v>#DIV/0!</v>
      </c>
      <c r="J233" s="198" t="e">
        <f t="shared" si="56"/>
        <v>#DIV/0!</v>
      </c>
      <c r="K233" s="198" t="e">
        <f t="shared" si="56"/>
        <v>#DIV/0!</v>
      </c>
      <c r="L233" s="673"/>
      <c r="M233" s="198" t="e">
        <f>RANK(K233, K$218:$K$247)</f>
        <v>#DIV/0!</v>
      </c>
      <c r="N233" s="107"/>
      <c r="O233" s="107"/>
      <c r="P233" s="107"/>
      <c r="Q233" s="107"/>
      <c r="R233" s="107"/>
      <c r="S233" s="107"/>
      <c r="T233" s="107"/>
      <c r="X233" s="107"/>
      <c r="AC233" s="107"/>
      <c r="AH233" s="107"/>
      <c r="AM233" s="107"/>
    </row>
    <row r="234" spans="2:39">
      <c r="B234" s="635"/>
      <c r="C234" s="312">
        <v>17</v>
      </c>
      <c r="D234" s="312"/>
      <c r="E234" s="312"/>
      <c r="F234" s="312"/>
      <c r="G234" s="312"/>
      <c r="H234" s="649"/>
      <c r="I234" s="198" t="e">
        <f t="shared" si="56"/>
        <v>#DIV/0!</v>
      </c>
      <c r="J234" s="198" t="e">
        <f t="shared" si="56"/>
        <v>#DIV/0!</v>
      </c>
      <c r="K234" s="198" t="e">
        <f t="shared" si="56"/>
        <v>#DIV/0!</v>
      </c>
      <c r="L234" s="673"/>
      <c r="M234" s="198" t="e">
        <f>RANK(K234, K$218:$K$247)</f>
        <v>#DIV/0!</v>
      </c>
      <c r="N234" s="107"/>
      <c r="O234" s="107"/>
      <c r="P234" s="107"/>
      <c r="Q234" s="107"/>
      <c r="R234" s="107"/>
      <c r="S234" s="107"/>
      <c r="T234" s="107"/>
      <c r="X234" s="107"/>
      <c r="AC234" s="107"/>
      <c r="AH234" s="107"/>
      <c r="AM234" s="107"/>
    </row>
    <row r="235" spans="2:39">
      <c r="B235" s="635"/>
      <c r="C235" s="312">
        <v>18</v>
      </c>
      <c r="D235" s="312"/>
      <c r="E235" s="312"/>
      <c r="F235" s="312"/>
      <c r="G235" s="312"/>
      <c r="H235" s="649"/>
      <c r="I235" s="198" t="e">
        <f t="shared" si="56"/>
        <v>#DIV/0!</v>
      </c>
      <c r="J235" s="198" t="e">
        <f t="shared" si="56"/>
        <v>#DIV/0!</v>
      </c>
      <c r="K235" s="198" t="e">
        <f t="shared" si="56"/>
        <v>#DIV/0!</v>
      </c>
      <c r="L235" s="673"/>
      <c r="M235" s="198" t="e">
        <f>RANK(K235, K$218:$K$247)</f>
        <v>#DIV/0!</v>
      </c>
      <c r="N235" s="107"/>
      <c r="O235" s="107"/>
      <c r="P235" s="107"/>
      <c r="Q235" s="107"/>
      <c r="R235" s="107"/>
      <c r="S235" s="107"/>
      <c r="T235" s="107"/>
      <c r="X235" s="107"/>
      <c r="AC235" s="107"/>
      <c r="AH235" s="107"/>
      <c r="AM235" s="107"/>
    </row>
    <row r="236" spans="2:39">
      <c r="B236" s="635"/>
      <c r="C236" s="312">
        <v>19</v>
      </c>
      <c r="D236" s="312"/>
      <c r="E236" s="312"/>
      <c r="F236" s="312"/>
      <c r="G236" s="312"/>
      <c r="H236" s="649"/>
      <c r="I236" s="198" t="e">
        <f t="shared" si="56"/>
        <v>#DIV/0!</v>
      </c>
      <c r="J236" s="198" t="e">
        <f t="shared" si="56"/>
        <v>#DIV/0!</v>
      </c>
      <c r="K236" s="198" t="e">
        <f t="shared" si="56"/>
        <v>#DIV/0!</v>
      </c>
      <c r="L236" s="673"/>
      <c r="M236" s="198" t="e">
        <f>RANK(K236, K$218:$K$247)</f>
        <v>#DIV/0!</v>
      </c>
      <c r="N236" s="107"/>
      <c r="O236" s="107"/>
      <c r="P236" s="107"/>
      <c r="Q236" s="107"/>
      <c r="R236" s="107"/>
      <c r="S236" s="107"/>
      <c r="T236" s="107"/>
      <c r="X236" s="107"/>
      <c r="AC236" s="107"/>
      <c r="AH236" s="107"/>
      <c r="AM236" s="107"/>
    </row>
    <row r="237" spans="2:39">
      <c r="B237" s="635"/>
      <c r="C237" s="312">
        <v>20</v>
      </c>
      <c r="D237" s="312"/>
      <c r="E237" s="312"/>
      <c r="F237" s="312"/>
      <c r="G237" s="312"/>
      <c r="H237" s="649"/>
      <c r="I237" s="198" t="e">
        <f t="shared" si="56"/>
        <v>#DIV/0!</v>
      </c>
      <c r="J237" s="198" t="e">
        <f t="shared" si="56"/>
        <v>#DIV/0!</v>
      </c>
      <c r="K237" s="198" t="e">
        <f t="shared" si="56"/>
        <v>#DIV/0!</v>
      </c>
      <c r="L237" s="673"/>
      <c r="M237" s="198" t="e">
        <f>RANK(K237, K$218:$K$247)</f>
        <v>#DIV/0!</v>
      </c>
      <c r="N237" s="107"/>
      <c r="O237" s="107"/>
      <c r="P237" s="107"/>
      <c r="Q237" s="107"/>
      <c r="R237" s="107"/>
      <c r="S237" s="107"/>
      <c r="T237" s="107"/>
      <c r="X237" s="107"/>
      <c r="AC237" s="107"/>
      <c r="AH237" s="107"/>
      <c r="AM237" s="107"/>
    </row>
    <row r="238" spans="2:39">
      <c r="B238" s="635"/>
      <c r="C238" s="312">
        <v>21</v>
      </c>
      <c r="D238" s="312"/>
      <c r="E238" s="312"/>
      <c r="F238" s="312"/>
      <c r="G238" s="312"/>
      <c r="H238" s="649"/>
      <c r="I238" s="198" t="e">
        <f t="shared" si="56"/>
        <v>#DIV/0!</v>
      </c>
      <c r="J238" s="198" t="e">
        <f t="shared" si="56"/>
        <v>#DIV/0!</v>
      </c>
      <c r="K238" s="198" t="e">
        <f t="shared" si="56"/>
        <v>#DIV/0!</v>
      </c>
      <c r="L238" s="673"/>
      <c r="M238" s="198" t="e">
        <f>RANK(K238, K$218:$K$247)</f>
        <v>#DIV/0!</v>
      </c>
      <c r="N238" s="107"/>
      <c r="O238" s="107"/>
      <c r="P238" s="107"/>
      <c r="Q238" s="107"/>
      <c r="R238" s="107"/>
      <c r="S238" s="107"/>
      <c r="T238" s="107"/>
      <c r="X238" s="107"/>
      <c r="AC238" s="107"/>
      <c r="AH238" s="107"/>
      <c r="AM238" s="107"/>
    </row>
    <row r="239" spans="2:39">
      <c r="B239" s="635"/>
      <c r="C239" s="312">
        <v>22</v>
      </c>
      <c r="D239" s="312"/>
      <c r="E239" s="312"/>
      <c r="F239" s="312"/>
      <c r="G239" s="312"/>
      <c r="H239" s="649"/>
      <c r="I239" s="198" t="e">
        <f t="shared" si="56"/>
        <v>#DIV/0!</v>
      </c>
      <c r="J239" s="198" t="e">
        <f t="shared" si="56"/>
        <v>#DIV/0!</v>
      </c>
      <c r="K239" s="198" t="e">
        <f t="shared" si="56"/>
        <v>#DIV/0!</v>
      </c>
      <c r="L239" s="673"/>
      <c r="M239" s="198" t="e">
        <f>RANK(K239, K$218:$K$247)</f>
        <v>#DIV/0!</v>
      </c>
      <c r="N239" s="107"/>
      <c r="O239" s="107"/>
      <c r="P239" s="107"/>
      <c r="Q239" s="107"/>
      <c r="R239" s="107"/>
      <c r="S239" s="107"/>
      <c r="T239" s="107"/>
      <c r="X239" s="107"/>
      <c r="AC239" s="107"/>
      <c r="AH239" s="107"/>
      <c r="AM239" s="107"/>
    </row>
    <row r="240" spans="2:39">
      <c r="B240" s="635"/>
      <c r="C240" s="312">
        <v>23</v>
      </c>
      <c r="D240" s="312"/>
      <c r="E240" s="312"/>
      <c r="F240" s="312"/>
      <c r="G240" s="312"/>
      <c r="H240" s="649"/>
      <c r="I240" s="198" t="e">
        <f t="shared" si="56"/>
        <v>#DIV/0!</v>
      </c>
      <c r="J240" s="198" t="e">
        <f t="shared" si="56"/>
        <v>#DIV/0!</v>
      </c>
      <c r="K240" s="198" t="e">
        <f t="shared" si="56"/>
        <v>#DIV/0!</v>
      </c>
      <c r="L240" s="673"/>
      <c r="M240" s="198" t="e">
        <f>RANK(K240, K$218:$K$247)</f>
        <v>#DIV/0!</v>
      </c>
      <c r="N240" s="107"/>
      <c r="O240" s="107"/>
      <c r="P240" s="107"/>
      <c r="Q240" s="107"/>
      <c r="R240" s="107"/>
      <c r="S240" s="107"/>
      <c r="T240" s="107"/>
      <c r="X240" s="107"/>
      <c r="AC240" s="107"/>
      <c r="AH240" s="107"/>
      <c r="AM240" s="107"/>
    </row>
    <row r="241" spans="2:39">
      <c r="B241" s="635"/>
      <c r="C241" s="312">
        <v>24</v>
      </c>
      <c r="D241" s="312"/>
      <c r="E241" s="312"/>
      <c r="F241" s="312"/>
      <c r="G241" s="312"/>
      <c r="H241" s="649"/>
      <c r="I241" s="198"/>
      <c r="J241" s="198"/>
      <c r="K241" s="198"/>
      <c r="L241" s="673"/>
      <c r="M241" s="198" t="e">
        <f>RANK(K241, K$218:$K$247)</f>
        <v>#DIV/0!</v>
      </c>
      <c r="N241" s="107"/>
      <c r="O241" s="107"/>
      <c r="P241" s="107"/>
      <c r="Q241" s="107"/>
      <c r="R241" s="107"/>
      <c r="S241" s="107"/>
      <c r="T241" s="107"/>
      <c r="X241" s="107"/>
      <c r="AC241" s="107"/>
      <c r="AH241" s="107"/>
      <c r="AM241" s="107"/>
    </row>
    <row r="242" spans="2:39">
      <c r="B242" s="635"/>
      <c r="C242" s="312">
        <v>25</v>
      </c>
      <c r="D242" s="312"/>
      <c r="E242" s="312"/>
      <c r="F242" s="312"/>
      <c r="G242" s="312"/>
      <c r="H242" s="649"/>
      <c r="I242" s="198"/>
      <c r="J242" s="198"/>
      <c r="K242" s="198"/>
      <c r="L242" s="673"/>
      <c r="M242" s="198" t="e">
        <f>RANK(K242, K$218:$K$247)</f>
        <v>#DIV/0!</v>
      </c>
      <c r="N242" s="107"/>
      <c r="O242" s="107"/>
      <c r="P242" s="107"/>
      <c r="Q242" s="107"/>
      <c r="R242" s="107"/>
      <c r="S242" s="107"/>
      <c r="T242" s="107"/>
      <c r="X242" s="107"/>
      <c r="AC242" s="107"/>
      <c r="AH242" s="107"/>
      <c r="AM242" s="107"/>
    </row>
    <row r="243" spans="2:39">
      <c r="B243" s="635"/>
      <c r="C243" s="312">
        <v>26</v>
      </c>
      <c r="D243" s="312"/>
      <c r="E243" s="312"/>
      <c r="F243" s="312"/>
      <c r="G243" s="312"/>
      <c r="H243" s="649"/>
      <c r="I243" s="198"/>
      <c r="J243" s="198"/>
      <c r="K243" s="198"/>
      <c r="L243" s="673"/>
      <c r="M243" s="198" t="e">
        <f>RANK(K243, K$218:$K$247)</f>
        <v>#DIV/0!</v>
      </c>
      <c r="N243" s="107"/>
      <c r="O243" s="107"/>
      <c r="P243" s="107"/>
      <c r="Q243" s="107"/>
      <c r="R243" s="107"/>
      <c r="S243" s="107"/>
      <c r="T243" s="107"/>
      <c r="X243" s="107"/>
      <c r="AC243" s="107"/>
      <c r="AH243" s="107"/>
      <c r="AM243" s="107"/>
    </row>
    <row r="244" spans="2:39">
      <c r="B244" s="635"/>
      <c r="C244" s="312">
        <v>27</v>
      </c>
      <c r="D244" s="312"/>
      <c r="E244" s="312"/>
      <c r="F244" s="312"/>
      <c r="G244" s="312"/>
      <c r="H244" s="649"/>
      <c r="I244" s="198"/>
      <c r="J244" s="198"/>
      <c r="K244" s="198"/>
      <c r="L244" s="673"/>
      <c r="M244" s="198" t="e">
        <f>RANK(K244, K$218:$K$247)</f>
        <v>#DIV/0!</v>
      </c>
      <c r="N244" s="107"/>
      <c r="O244" s="107"/>
      <c r="P244" s="107"/>
      <c r="Q244" s="107"/>
      <c r="R244" s="107"/>
      <c r="S244" s="107"/>
      <c r="T244" s="107"/>
      <c r="X244" s="107"/>
      <c r="AC244" s="107"/>
      <c r="AH244" s="107"/>
      <c r="AM244" s="107"/>
    </row>
    <row r="245" spans="2:39">
      <c r="B245" s="635"/>
      <c r="C245" s="312">
        <v>28</v>
      </c>
      <c r="D245" s="312"/>
      <c r="E245" s="312"/>
      <c r="F245" s="312"/>
      <c r="G245" s="312"/>
      <c r="H245" s="649"/>
      <c r="I245" s="198"/>
      <c r="J245" s="198"/>
      <c r="K245" s="198"/>
      <c r="L245" s="673"/>
      <c r="M245" s="198" t="e">
        <f>RANK(K245, K$218:$K$247)</f>
        <v>#DIV/0!</v>
      </c>
      <c r="N245" s="107"/>
      <c r="O245" s="107"/>
      <c r="P245" s="107"/>
      <c r="Q245" s="107"/>
      <c r="R245" s="107"/>
      <c r="S245" s="107"/>
      <c r="T245" s="107"/>
      <c r="X245" s="107"/>
      <c r="AC245" s="107"/>
      <c r="AH245" s="107"/>
      <c r="AM245" s="107"/>
    </row>
    <row r="246" spans="2:39">
      <c r="B246" s="635"/>
      <c r="C246" s="312">
        <v>29</v>
      </c>
      <c r="D246" s="312"/>
      <c r="E246" s="312"/>
      <c r="F246" s="312"/>
      <c r="G246" s="312"/>
      <c r="H246" s="649"/>
      <c r="I246" s="198"/>
      <c r="J246" s="198"/>
      <c r="K246" s="198"/>
      <c r="L246" s="673"/>
      <c r="M246" s="198" t="e">
        <f>RANK(K246, K$218:$K$247)</f>
        <v>#DIV/0!</v>
      </c>
      <c r="N246" s="107"/>
      <c r="O246" s="107"/>
      <c r="P246" s="107"/>
      <c r="Q246" s="107"/>
      <c r="R246" s="107"/>
      <c r="S246" s="107"/>
      <c r="T246" s="107"/>
      <c r="X246" s="107"/>
      <c r="AC246" s="107"/>
      <c r="AH246" s="107"/>
      <c r="AM246" s="107"/>
    </row>
    <row r="247" spans="2:39">
      <c r="B247" s="635"/>
      <c r="C247" s="312">
        <v>30</v>
      </c>
      <c r="D247" s="312"/>
      <c r="E247" s="312"/>
      <c r="F247" s="312"/>
      <c r="G247" s="312"/>
      <c r="H247" s="649"/>
      <c r="I247" s="198"/>
      <c r="J247" s="198"/>
      <c r="K247" s="198"/>
      <c r="L247" s="673"/>
      <c r="M247" s="198" t="e">
        <f>RANK(K247, K$218:$K$247)</f>
        <v>#DIV/0!</v>
      </c>
      <c r="N247" s="107"/>
      <c r="O247" s="107"/>
      <c r="P247" s="107"/>
      <c r="Q247" s="107"/>
      <c r="R247" s="107"/>
      <c r="S247" s="107"/>
      <c r="T247" s="107"/>
      <c r="X247" s="107"/>
      <c r="AC247" s="107"/>
      <c r="AH247" s="107"/>
      <c r="AM247" s="107"/>
    </row>
    <row r="250" spans="2:39">
      <c r="D250" s="383" t="s">
        <v>340</v>
      </c>
      <c r="E250" s="383">
        <v>4</v>
      </c>
      <c r="F250" s="383">
        <v>2700</v>
      </c>
      <c r="G250" s="383">
        <f>F250/E250</f>
        <v>675</v>
      </c>
      <c r="H250" s="106">
        <v>704.2</v>
      </c>
      <c r="N250" s="107"/>
      <c r="O250" s="107"/>
      <c r="P250" s="107"/>
      <c r="Q250" s="107"/>
      <c r="R250" s="107"/>
      <c r="S250" s="107"/>
      <c r="T250" s="107"/>
      <c r="X250" s="107"/>
      <c r="AC250" s="107"/>
      <c r="AH250" s="107"/>
      <c r="AM250" s="107"/>
    </row>
    <row r="251" spans="2:39">
      <c r="D251" s="383" t="s">
        <v>342</v>
      </c>
      <c r="E251" s="383">
        <v>3</v>
      </c>
      <c r="F251" s="383">
        <v>2700</v>
      </c>
      <c r="G251" s="383">
        <f t="shared" ref="G251:G255" si="57">F251/E251</f>
        <v>900</v>
      </c>
      <c r="N251" s="107"/>
      <c r="O251" s="107"/>
      <c r="P251" s="107"/>
      <c r="Q251" s="107"/>
      <c r="R251" s="107"/>
      <c r="S251" s="107"/>
      <c r="T251" s="107"/>
      <c r="X251" s="107"/>
      <c r="AC251" s="107"/>
      <c r="AH251" s="107"/>
      <c r="AM251" s="107"/>
    </row>
    <row r="252" spans="2:39">
      <c r="D252" s="383" t="s">
        <v>343</v>
      </c>
      <c r="E252" s="383">
        <v>4</v>
      </c>
      <c r="F252" s="383">
        <v>2700</v>
      </c>
      <c r="G252" s="383">
        <f t="shared" si="57"/>
        <v>675</v>
      </c>
      <c r="N252" s="107"/>
      <c r="O252" s="107"/>
      <c r="P252" s="107"/>
      <c r="Q252" s="107"/>
      <c r="R252" s="107"/>
      <c r="S252" s="107"/>
      <c r="T252" s="107"/>
      <c r="X252" s="107"/>
      <c r="AC252" s="107"/>
      <c r="AH252" s="107"/>
      <c r="AM252" s="107"/>
    </row>
    <row r="253" spans="2:39">
      <c r="D253" s="383" t="s">
        <v>523</v>
      </c>
      <c r="E253" s="383">
        <v>4</v>
      </c>
      <c r="F253" s="383">
        <v>2700</v>
      </c>
      <c r="G253" s="383">
        <f t="shared" si="57"/>
        <v>675</v>
      </c>
      <c r="N253" s="107"/>
      <c r="O253" s="107"/>
      <c r="P253" s="107"/>
      <c r="Q253" s="107"/>
      <c r="R253" s="107"/>
      <c r="S253" s="107"/>
      <c r="T253" s="107"/>
      <c r="X253" s="107"/>
      <c r="AC253" s="107"/>
      <c r="AH253" s="107"/>
      <c r="AM253" s="107"/>
    </row>
    <row r="254" spans="2:39">
      <c r="D254" s="382" t="s">
        <v>575</v>
      </c>
      <c r="E254" s="383">
        <v>4</v>
      </c>
      <c r="F254" s="383">
        <v>2600</v>
      </c>
      <c r="G254" s="383">
        <f t="shared" si="57"/>
        <v>650</v>
      </c>
      <c r="N254" s="107"/>
      <c r="O254" s="107"/>
      <c r="P254" s="107"/>
      <c r="Q254" s="107"/>
      <c r="R254" s="107"/>
      <c r="S254" s="107"/>
      <c r="T254" s="107"/>
      <c r="X254" s="107"/>
      <c r="AC254" s="107"/>
      <c r="AH254" s="107"/>
      <c r="AM254" s="107"/>
    </row>
    <row r="255" spans="2:39">
      <c r="D255" s="382" t="s">
        <v>576</v>
      </c>
      <c r="E255" s="383">
        <v>4</v>
      </c>
      <c r="F255" s="383">
        <v>2600</v>
      </c>
      <c r="G255" s="383">
        <f t="shared" si="57"/>
        <v>650</v>
      </c>
      <c r="N255" s="107"/>
      <c r="O255" s="107"/>
      <c r="P255" s="107"/>
      <c r="Q255" s="107"/>
      <c r="R255" s="107"/>
      <c r="S255" s="107"/>
      <c r="T255" s="107"/>
      <c r="X255" s="107"/>
      <c r="AC255" s="107"/>
      <c r="AH255" s="107"/>
      <c r="AM255" s="107"/>
    </row>
    <row r="257" spans="4:8" s="107" customFormat="1">
      <c r="D257" s="383" t="s">
        <v>340</v>
      </c>
      <c r="E257" s="383">
        <v>4</v>
      </c>
      <c r="F257" s="383">
        <v>3300</v>
      </c>
      <c r="G257" s="383">
        <f>F257/E257</f>
        <v>825</v>
      </c>
      <c r="H257" s="106">
        <v>845.8</v>
      </c>
    </row>
    <row r="258" spans="4:8" s="107" customFormat="1">
      <c r="D258" s="383" t="s">
        <v>342</v>
      </c>
      <c r="E258" s="383">
        <v>3</v>
      </c>
      <c r="F258" s="383">
        <v>3300</v>
      </c>
      <c r="G258" s="383">
        <f t="shared" ref="G258:G262" si="58">F258/E258</f>
        <v>1100</v>
      </c>
      <c r="H258" s="106"/>
    </row>
    <row r="259" spans="4:8" s="107" customFormat="1">
      <c r="D259" s="383" t="s">
        <v>343</v>
      </c>
      <c r="E259" s="383">
        <v>4</v>
      </c>
      <c r="F259" s="383">
        <v>3300</v>
      </c>
      <c r="G259" s="383">
        <f t="shared" si="58"/>
        <v>825</v>
      </c>
      <c r="H259" s="106"/>
    </row>
    <row r="260" spans="4:8" s="107" customFormat="1">
      <c r="D260" s="383" t="s">
        <v>523</v>
      </c>
      <c r="E260" s="383">
        <v>4</v>
      </c>
      <c r="F260" s="383">
        <v>3100</v>
      </c>
      <c r="G260" s="383">
        <f t="shared" si="58"/>
        <v>775</v>
      </c>
      <c r="H260" s="106"/>
    </row>
    <row r="261" spans="4:8" s="107" customFormat="1">
      <c r="D261" s="382" t="s">
        <v>575</v>
      </c>
      <c r="E261" s="383">
        <v>4</v>
      </c>
      <c r="F261" s="383">
        <v>3100</v>
      </c>
      <c r="G261" s="383">
        <f t="shared" si="58"/>
        <v>775</v>
      </c>
      <c r="H261" s="106"/>
    </row>
    <row r="262" spans="4:8" s="107" customFormat="1">
      <c r="D262" s="382" t="s">
        <v>576</v>
      </c>
      <c r="E262" s="383">
        <v>4</v>
      </c>
      <c r="F262" s="383">
        <v>3100</v>
      </c>
      <c r="G262" s="383">
        <f t="shared" si="58"/>
        <v>775</v>
      </c>
      <c r="H262" s="106"/>
    </row>
  </sheetData>
  <mergeCells count="379"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85" zoomScaleNormal="85" workbookViewId="0">
      <pane xSplit="15" topLeftCell="P1" activePane="topRight" state="frozen"/>
      <selection activeCell="T7" activeCellId="4" sqref="AM7:AN36 AH7:AI36 AC7:AD36 X7:Y36 S7:T36"/>
      <selection pane="topRight" activeCell="Q28" sqref="Q28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314</v>
      </c>
      <c r="C1" s="219">
        <f>AVERAGE(L7,L27,L47,L87,L87,L107)</f>
        <v>149.2790716030002</v>
      </c>
    </row>
    <row r="2" spans="1:53" ht="15.75">
      <c r="A2" s="81"/>
      <c r="B2" s="639" t="s">
        <v>163</v>
      </c>
      <c r="C2" s="639"/>
      <c r="D2" s="639"/>
      <c r="E2" s="639"/>
      <c r="F2" s="639"/>
      <c r="G2" s="639"/>
      <c r="H2" s="639"/>
      <c r="I2" s="293"/>
      <c r="J2" s="293"/>
      <c r="K2" s="293"/>
      <c r="L2" s="293"/>
      <c r="M2" s="196"/>
      <c r="N2" s="628" t="s">
        <v>156</v>
      </c>
      <c r="O2" s="628" t="s">
        <v>155</v>
      </c>
      <c r="P2" s="655">
        <v>46168</v>
      </c>
      <c r="Q2" s="656"/>
      <c r="R2" s="656"/>
      <c r="S2" s="656"/>
      <c r="T2" s="657"/>
      <c r="U2" s="634">
        <v>46168</v>
      </c>
      <c r="V2" s="635"/>
      <c r="W2" s="635"/>
      <c r="X2" s="635"/>
      <c r="Y2" s="635"/>
      <c r="Z2" s="634">
        <f>U2+1</f>
        <v>46169</v>
      </c>
      <c r="AA2" s="635"/>
      <c r="AB2" s="635"/>
      <c r="AC2" s="635"/>
      <c r="AD2" s="635"/>
      <c r="AE2" s="634">
        <f>Z2+1</f>
        <v>46170</v>
      </c>
      <c r="AF2" s="635"/>
      <c r="AG2" s="635"/>
      <c r="AH2" s="635"/>
      <c r="AI2" s="635"/>
      <c r="AJ2" s="634">
        <f>AE2+1</f>
        <v>46171</v>
      </c>
      <c r="AK2" s="635"/>
      <c r="AL2" s="635"/>
      <c r="AM2" s="635"/>
      <c r="AN2" s="635"/>
      <c r="AO2" s="634">
        <f>AJ2+1</f>
        <v>46172</v>
      </c>
      <c r="AP2" s="635"/>
      <c r="AQ2" s="635"/>
      <c r="AR2" s="635"/>
      <c r="AS2" s="635"/>
      <c r="AT2" s="631">
        <f>AO2+1</f>
        <v>46173</v>
      </c>
      <c r="AU2" s="632"/>
      <c r="AV2" s="632"/>
      <c r="AW2" s="632"/>
      <c r="AX2" s="633"/>
    </row>
    <row r="3" spans="1:53" ht="15.75">
      <c r="A3" s="81"/>
      <c r="B3" s="658"/>
      <c r="C3" s="658"/>
      <c r="D3" s="658"/>
      <c r="E3" s="658"/>
      <c r="F3" s="658"/>
      <c r="G3" s="658"/>
      <c r="H3" s="658"/>
      <c r="I3" s="294"/>
      <c r="J3" s="294"/>
      <c r="K3" s="294"/>
      <c r="L3" s="294"/>
      <c r="M3" s="197"/>
      <c r="N3" s="630"/>
      <c r="O3" s="630"/>
      <c r="P3" s="634" t="s">
        <v>158</v>
      </c>
      <c r="Q3" s="635"/>
      <c r="R3" s="635"/>
      <c r="S3" s="635"/>
      <c r="T3" s="635"/>
      <c r="U3" s="634" t="s">
        <v>114</v>
      </c>
      <c r="V3" s="635"/>
      <c r="W3" s="635"/>
      <c r="X3" s="635"/>
      <c r="Y3" s="635"/>
      <c r="Z3" s="634" t="s">
        <v>159</v>
      </c>
      <c r="AA3" s="635"/>
      <c r="AB3" s="635"/>
      <c r="AC3" s="635"/>
      <c r="AD3" s="635"/>
      <c r="AE3" s="634" t="s">
        <v>157</v>
      </c>
      <c r="AF3" s="635"/>
      <c r="AG3" s="635"/>
      <c r="AH3" s="635"/>
      <c r="AI3" s="635"/>
      <c r="AJ3" s="634" t="s">
        <v>160</v>
      </c>
      <c r="AK3" s="635"/>
      <c r="AL3" s="635"/>
      <c r="AM3" s="635"/>
      <c r="AN3" s="635"/>
      <c r="AO3" s="634" t="s">
        <v>115</v>
      </c>
      <c r="AP3" s="635"/>
      <c r="AQ3" s="635"/>
      <c r="AR3" s="635"/>
      <c r="AS3" s="635"/>
      <c r="AT3" s="634" t="s">
        <v>162</v>
      </c>
      <c r="AU3" s="635"/>
      <c r="AV3" s="635"/>
      <c r="AW3" s="635"/>
      <c r="AX3" s="635"/>
    </row>
    <row r="4" spans="1:53" ht="14.25">
      <c r="A4" s="81"/>
      <c r="B4" s="627" t="s">
        <v>568</v>
      </c>
      <c r="C4" s="627" t="s">
        <v>384</v>
      </c>
      <c r="D4" s="627"/>
      <c r="E4" s="627" t="s">
        <v>375</v>
      </c>
      <c r="F4" s="627"/>
      <c r="G4" s="627"/>
      <c r="H4" s="643" t="s">
        <v>371</v>
      </c>
      <c r="I4" s="611" t="s">
        <v>376</v>
      </c>
      <c r="J4" s="611"/>
      <c r="K4" s="611"/>
      <c r="L4" s="612" t="s">
        <v>371</v>
      </c>
      <c r="M4" s="618" t="s">
        <v>372</v>
      </c>
      <c r="N4" s="627"/>
      <c r="O4" s="627" t="s">
        <v>377</v>
      </c>
      <c r="P4" s="624" t="s">
        <v>373</v>
      </c>
      <c r="Q4" s="625"/>
      <c r="R4" s="625"/>
      <c r="S4" s="626"/>
      <c r="T4" s="627" t="s">
        <v>371</v>
      </c>
      <c r="U4" s="624" t="s">
        <v>373</v>
      </c>
      <c r="V4" s="625"/>
      <c r="W4" s="625"/>
      <c r="X4" s="626"/>
      <c r="Y4" s="627" t="s">
        <v>371</v>
      </c>
      <c r="Z4" s="624" t="s">
        <v>373</v>
      </c>
      <c r="AA4" s="625"/>
      <c r="AB4" s="625"/>
      <c r="AC4" s="626"/>
      <c r="AD4" s="627" t="s">
        <v>371</v>
      </c>
      <c r="AE4" s="624" t="s">
        <v>373</v>
      </c>
      <c r="AF4" s="625"/>
      <c r="AG4" s="625"/>
      <c r="AH4" s="626"/>
      <c r="AI4" s="627" t="s">
        <v>371</v>
      </c>
      <c r="AJ4" s="624" t="s">
        <v>373</v>
      </c>
      <c r="AK4" s="625"/>
      <c r="AL4" s="625"/>
      <c r="AM4" s="626"/>
      <c r="AN4" s="627" t="s">
        <v>371</v>
      </c>
      <c r="AO4" s="624" t="s">
        <v>373</v>
      </c>
      <c r="AP4" s="625"/>
      <c r="AQ4" s="625"/>
      <c r="AR4" s="626"/>
      <c r="AS4" s="627" t="s">
        <v>371</v>
      </c>
      <c r="AT4" s="624" t="s">
        <v>373</v>
      </c>
      <c r="AU4" s="625"/>
      <c r="AV4" s="625"/>
      <c r="AW4" s="626"/>
      <c r="AX4" s="627" t="s">
        <v>371</v>
      </c>
      <c r="BA4" s="627" t="s">
        <v>371</v>
      </c>
    </row>
    <row r="5" spans="1:53" ht="14.25">
      <c r="A5" s="81"/>
      <c r="B5" s="627"/>
      <c r="C5" s="627"/>
      <c r="D5" s="627"/>
      <c r="E5" s="627" t="s">
        <v>378</v>
      </c>
      <c r="F5" s="627"/>
      <c r="G5" s="627"/>
      <c r="H5" s="644"/>
      <c r="I5" s="611" t="s">
        <v>378</v>
      </c>
      <c r="J5" s="611"/>
      <c r="K5" s="611"/>
      <c r="L5" s="613"/>
      <c r="M5" s="619"/>
      <c r="N5" s="627"/>
      <c r="O5" s="627"/>
      <c r="P5" s="624" t="s">
        <v>379</v>
      </c>
      <c r="Q5" s="625"/>
      <c r="R5" s="625"/>
      <c r="S5" s="626"/>
      <c r="T5" s="627"/>
      <c r="U5" s="624" t="s">
        <v>379</v>
      </c>
      <c r="V5" s="625"/>
      <c r="W5" s="625"/>
      <c r="X5" s="626"/>
      <c r="Y5" s="627"/>
      <c r="Z5" s="624" t="s">
        <v>379</v>
      </c>
      <c r="AA5" s="625"/>
      <c r="AB5" s="625"/>
      <c r="AC5" s="626"/>
      <c r="AD5" s="627"/>
      <c r="AE5" s="624" t="s">
        <v>379</v>
      </c>
      <c r="AF5" s="625"/>
      <c r="AG5" s="625"/>
      <c r="AH5" s="626"/>
      <c r="AI5" s="627"/>
      <c r="AJ5" s="624" t="s">
        <v>379</v>
      </c>
      <c r="AK5" s="625"/>
      <c r="AL5" s="625"/>
      <c r="AM5" s="626"/>
      <c r="AN5" s="627"/>
      <c r="AO5" s="624" t="s">
        <v>379</v>
      </c>
      <c r="AP5" s="625"/>
      <c r="AQ5" s="625"/>
      <c r="AR5" s="626"/>
      <c r="AS5" s="627"/>
      <c r="AT5" s="624" t="s">
        <v>379</v>
      </c>
      <c r="AU5" s="625"/>
      <c r="AV5" s="625"/>
      <c r="AW5" s="626"/>
      <c r="AX5" s="627"/>
      <c r="BA5" s="627"/>
    </row>
    <row r="6" spans="1:53" ht="14.25">
      <c r="A6" s="79"/>
      <c r="B6" s="627"/>
      <c r="C6" s="627"/>
      <c r="D6" s="627"/>
      <c r="E6" s="412" t="s">
        <v>380</v>
      </c>
      <c r="F6" s="412" t="s">
        <v>381</v>
      </c>
      <c r="G6" s="412" t="s">
        <v>382</v>
      </c>
      <c r="H6" s="645"/>
      <c r="I6" s="411" t="s">
        <v>380</v>
      </c>
      <c r="J6" s="411" t="s">
        <v>381</v>
      </c>
      <c r="K6" s="411" t="s">
        <v>382</v>
      </c>
      <c r="L6" s="614"/>
      <c r="M6" s="620"/>
      <c r="N6" s="627"/>
      <c r="O6" s="627"/>
      <c r="P6" s="412" t="s">
        <v>380</v>
      </c>
      <c r="Q6" s="412" t="s">
        <v>381</v>
      </c>
      <c r="R6" s="412" t="s">
        <v>382</v>
      </c>
      <c r="S6" s="412" t="s">
        <v>372</v>
      </c>
      <c r="T6" s="627"/>
      <c r="U6" s="412" t="s">
        <v>380</v>
      </c>
      <c r="V6" s="412" t="s">
        <v>381</v>
      </c>
      <c r="W6" s="412" t="s">
        <v>382</v>
      </c>
      <c r="X6" s="412" t="s">
        <v>372</v>
      </c>
      <c r="Y6" s="627"/>
      <c r="Z6" s="412" t="s">
        <v>380</v>
      </c>
      <c r="AA6" s="412" t="s">
        <v>381</v>
      </c>
      <c r="AB6" s="412" t="s">
        <v>382</v>
      </c>
      <c r="AC6" s="412" t="s">
        <v>372</v>
      </c>
      <c r="AD6" s="627"/>
      <c r="AE6" s="412" t="s">
        <v>380</v>
      </c>
      <c r="AF6" s="412" t="s">
        <v>381</v>
      </c>
      <c r="AG6" s="412" t="s">
        <v>382</v>
      </c>
      <c r="AH6" s="412" t="s">
        <v>372</v>
      </c>
      <c r="AI6" s="627"/>
      <c r="AJ6" s="412" t="s">
        <v>380</v>
      </c>
      <c r="AK6" s="412" t="s">
        <v>381</v>
      </c>
      <c r="AL6" s="412" t="s">
        <v>382</v>
      </c>
      <c r="AM6" s="412" t="s">
        <v>372</v>
      </c>
      <c r="AN6" s="627"/>
      <c r="AO6" s="412" t="s">
        <v>380</v>
      </c>
      <c r="AP6" s="412" t="s">
        <v>381</v>
      </c>
      <c r="AQ6" s="412" t="s">
        <v>382</v>
      </c>
      <c r="AR6" s="412" t="s">
        <v>372</v>
      </c>
      <c r="AS6" s="627"/>
      <c r="AT6" s="412" t="s">
        <v>380</v>
      </c>
      <c r="AU6" s="412" t="s">
        <v>381</v>
      </c>
      <c r="AV6" s="412" t="s">
        <v>382</v>
      </c>
      <c r="AW6" s="412" t="s">
        <v>372</v>
      </c>
      <c r="AX6" s="627"/>
      <c r="AZ6" s="407" t="s">
        <v>372</v>
      </c>
      <c r="BA6" s="627"/>
    </row>
    <row r="7" spans="1:53" ht="14.25">
      <c r="A7" s="81"/>
      <c r="B7" s="675" t="s">
        <v>569</v>
      </c>
      <c r="C7" s="413">
        <v>1</v>
      </c>
      <c r="D7" s="500" t="s">
        <v>598</v>
      </c>
      <c r="E7" s="500">
        <v>10</v>
      </c>
      <c r="F7" s="500">
        <v>1500</v>
      </c>
      <c r="G7" s="420">
        <v>150</v>
      </c>
      <c r="H7" s="677">
        <f>AVERAGE(G7:G21)</f>
        <v>130</v>
      </c>
      <c r="I7" s="417">
        <f t="shared" ref="I7:I21" si="0">IFERROR(AVERAGE(P7,U7,Z7,AE7,AJ7,AO7,AT7),"-")</f>
        <v>10</v>
      </c>
      <c r="J7" s="417">
        <f t="shared" ref="J7:J21" si="1">IFERROR(AVERAGE(Q7,V7,AA7,AF7,AK7,AP7,AU7),"-")</f>
        <v>1517.8448979591828</v>
      </c>
      <c r="K7" s="199">
        <f t="shared" ref="K7:K21" si="2">IFERROR(AVERAGE(R7,W7,AB7,AG7,AL7,AQ7,AV7),"-")</f>
        <v>151.78448979591829</v>
      </c>
      <c r="L7" s="608">
        <f>IFERROR(AVERAGE(K7:K21),"-")</f>
        <v>151.08659907552763</v>
      </c>
      <c r="M7" s="419">
        <f>RANK(K7, K$7:$K$21)</f>
        <v>1</v>
      </c>
      <c r="N7" s="627"/>
      <c r="O7" s="627"/>
      <c r="P7" s="413">
        <v>10</v>
      </c>
      <c r="Q7" s="420">
        <v>1578.0000000000016</v>
      </c>
      <c r="R7" s="420">
        <v>157.80000000000015</v>
      </c>
      <c r="S7" s="413">
        <f t="shared" ref="S7:S21" si="3">RANK(R7, R$7:R$21)</f>
        <v>1</v>
      </c>
      <c r="T7" s="674">
        <f t="shared" ref="T7" si="4">AVERAGE(R7:R21)</f>
        <v>154.24880952380963</v>
      </c>
      <c r="U7" s="500">
        <v>10</v>
      </c>
      <c r="V7" s="420">
        <v>1515.9999999999973</v>
      </c>
      <c r="W7" s="420">
        <v>151.59999999999974</v>
      </c>
      <c r="X7" s="500">
        <f t="shared" ref="X7:X21" si="5">RANK(W7, W$7:W$21)</f>
        <v>2</v>
      </c>
      <c r="Y7" s="674">
        <f t="shared" ref="Y7" si="6">AVERAGE(W7:W21)</f>
        <v>153.22380952380936</v>
      </c>
      <c r="Z7" s="500">
        <v>10</v>
      </c>
      <c r="AA7" s="420">
        <v>1548.0000000000016</v>
      </c>
      <c r="AB7" s="420">
        <v>154.80000000000015</v>
      </c>
      <c r="AC7" s="500">
        <f t="shared" ref="AC7:AC21" si="7">RANK(AB7, AB$7:AB$21)</f>
        <v>1</v>
      </c>
      <c r="AD7" s="674">
        <f t="shared" ref="AD7" si="8">AVERAGE(AB7:AB21)</f>
        <v>143.45641025641021</v>
      </c>
      <c r="AE7" s="500">
        <v>10</v>
      </c>
      <c r="AF7" s="420">
        <v>1603.2000000000003</v>
      </c>
      <c r="AG7" s="420">
        <v>160.32000000000002</v>
      </c>
      <c r="AH7" s="500">
        <f t="shared" ref="AH7:AH21" si="9">RANK(AG7, AG$7:AG$21)</f>
        <v>1</v>
      </c>
      <c r="AI7" s="674">
        <f t="shared" ref="AI7" si="10">AVERAGE(AG7:AG21)</f>
        <v>156.48914529914535</v>
      </c>
      <c r="AJ7" s="500">
        <v>10</v>
      </c>
      <c r="AK7" s="420">
        <v>1385.9999999999975</v>
      </c>
      <c r="AL7" s="420">
        <v>138.59999999999974</v>
      </c>
      <c r="AM7" s="500">
        <f t="shared" ref="AM7:AM21" si="11">RANK(AL7, AL$7:AL$21)</f>
        <v>3</v>
      </c>
      <c r="AN7" s="674">
        <f t="shared" ref="AN7" si="12">AVERAGE(AL7:AL21)</f>
        <v>148.82393162393157</v>
      </c>
      <c r="AO7" s="500">
        <v>10</v>
      </c>
      <c r="AP7" s="420">
        <v>1429.7142857142842</v>
      </c>
      <c r="AQ7" s="420">
        <v>142.97142857142842</v>
      </c>
      <c r="AR7" s="500">
        <f t="shared" ref="AR7:AR21" si="13">RANK(AQ7, AQ$7:AQ$21)</f>
        <v>3</v>
      </c>
      <c r="AS7" s="674">
        <f t="shared" ref="AS7" si="14">AVERAGE(AQ7:AQ21)</f>
        <v>148.34742063492072</v>
      </c>
      <c r="AT7" s="500">
        <v>10</v>
      </c>
      <c r="AU7" s="420">
        <v>1563.9999999999973</v>
      </c>
      <c r="AV7" s="420">
        <v>156.39999999999972</v>
      </c>
      <c r="AW7" s="500">
        <f t="shared" ref="AW7:AW21" si="15">RANK(AV7, AV$7:AV$21)</f>
        <v>1</v>
      </c>
      <c r="AX7" s="674">
        <f t="shared" ref="AX7" si="16">AVERAGE(AV7:AV21)</f>
        <v>153.01666666666662</v>
      </c>
      <c r="AZ7" s="406" t="e">
        <f t="shared" ref="AZ7:AZ21" si="17">RANK(AY7, AY$7:AY$21)</f>
        <v>#N/A</v>
      </c>
      <c r="BA7" s="674" t="e">
        <f t="shared" ref="BA7" si="18">AVERAGE(AY7:AY21)</f>
        <v>#DIV/0!</v>
      </c>
    </row>
    <row r="8" spans="1:53" ht="15" customHeight="1">
      <c r="A8" s="81"/>
      <c r="B8" s="660"/>
      <c r="C8" s="413">
        <v>2</v>
      </c>
      <c r="D8" s="500" t="s">
        <v>631</v>
      </c>
      <c r="E8" s="500">
        <v>15</v>
      </c>
      <c r="F8" s="500">
        <v>1800</v>
      </c>
      <c r="G8" s="420">
        <v>120</v>
      </c>
      <c r="H8" s="678"/>
      <c r="I8" s="417">
        <f t="shared" si="0"/>
        <v>12.142857142857142</v>
      </c>
      <c r="J8" s="417">
        <f t="shared" si="1"/>
        <v>1822.8543956043957</v>
      </c>
      <c r="K8" s="199">
        <f t="shared" si="2"/>
        <v>150.26717032967034</v>
      </c>
      <c r="L8" s="609"/>
      <c r="M8" s="419">
        <f>RANK(K8, K$7:$K$21)</f>
        <v>3</v>
      </c>
      <c r="N8" s="627"/>
      <c r="O8" s="627"/>
      <c r="P8" s="413">
        <v>12</v>
      </c>
      <c r="Q8" s="420">
        <v>1786.4999999999993</v>
      </c>
      <c r="R8" s="420">
        <v>148.87499999999994</v>
      </c>
      <c r="S8" s="413">
        <f t="shared" si="3"/>
        <v>3</v>
      </c>
      <c r="T8" s="674"/>
      <c r="U8" s="500">
        <v>12</v>
      </c>
      <c r="V8" s="420">
        <v>1817.9999999999993</v>
      </c>
      <c r="W8" s="420">
        <v>151.49999999999994</v>
      </c>
      <c r="X8" s="500">
        <f t="shared" si="5"/>
        <v>3</v>
      </c>
      <c r="Y8" s="674"/>
      <c r="Z8" s="500">
        <v>13</v>
      </c>
      <c r="AA8" s="420">
        <v>1787.9999999999975</v>
      </c>
      <c r="AB8" s="420">
        <v>137.53846153846135</v>
      </c>
      <c r="AC8" s="500">
        <f t="shared" si="7"/>
        <v>3</v>
      </c>
      <c r="AD8" s="674"/>
      <c r="AE8" s="500">
        <v>12</v>
      </c>
      <c r="AF8" s="420">
        <v>1850.7692307692328</v>
      </c>
      <c r="AG8" s="420">
        <v>154.2307692307694</v>
      </c>
      <c r="AH8" s="500">
        <f t="shared" si="9"/>
        <v>3</v>
      </c>
      <c r="AI8" s="674"/>
      <c r="AJ8" s="500">
        <v>12</v>
      </c>
      <c r="AK8" s="420">
        <v>1854.4615384615381</v>
      </c>
      <c r="AL8" s="420">
        <v>154.53846153846152</v>
      </c>
      <c r="AM8" s="500">
        <f t="shared" si="11"/>
        <v>1</v>
      </c>
      <c r="AN8" s="674"/>
      <c r="AO8" s="500">
        <v>12</v>
      </c>
      <c r="AP8" s="420">
        <v>1835.250000000003</v>
      </c>
      <c r="AQ8" s="420">
        <v>152.93750000000026</v>
      </c>
      <c r="AR8" s="500">
        <f t="shared" si="13"/>
        <v>1</v>
      </c>
      <c r="AS8" s="674"/>
      <c r="AT8" s="500">
        <v>12</v>
      </c>
      <c r="AU8" s="420">
        <v>1826.9999999999993</v>
      </c>
      <c r="AV8" s="420">
        <v>152.24999999999994</v>
      </c>
      <c r="AW8" s="500">
        <f t="shared" si="15"/>
        <v>2</v>
      </c>
      <c r="AX8" s="674"/>
      <c r="AZ8" s="406" t="e">
        <f t="shared" si="17"/>
        <v>#N/A</v>
      </c>
      <c r="BA8" s="674"/>
    </row>
    <row r="9" spans="1:53" ht="14.25">
      <c r="A9" s="81"/>
      <c r="B9" s="660"/>
      <c r="C9" s="413">
        <v>3</v>
      </c>
      <c r="D9" s="500" t="s">
        <v>632</v>
      </c>
      <c r="E9" s="500">
        <v>15</v>
      </c>
      <c r="F9" s="500">
        <v>1800</v>
      </c>
      <c r="G9" s="420">
        <v>120</v>
      </c>
      <c r="H9" s="678"/>
      <c r="I9" s="417">
        <f t="shared" si="0"/>
        <v>12.142857142857142</v>
      </c>
      <c r="J9" s="417">
        <f t="shared" si="1"/>
        <v>1834.2163265306128</v>
      </c>
      <c r="K9" s="199">
        <f t="shared" si="2"/>
        <v>151.20813710099429</v>
      </c>
      <c r="L9" s="609"/>
      <c r="M9" s="419">
        <f>RANK(K9, K$7:$K$21)</f>
        <v>2</v>
      </c>
      <c r="N9" s="627"/>
      <c r="O9" s="627"/>
      <c r="P9" s="413">
        <v>12</v>
      </c>
      <c r="Q9" s="420">
        <v>1872.8571428571449</v>
      </c>
      <c r="R9" s="420">
        <v>156.07142857142875</v>
      </c>
      <c r="S9" s="413">
        <f t="shared" si="3"/>
        <v>2</v>
      </c>
      <c r="T9" s="674"/>
      <c r="U9" s="500">
        <v>12</v>
      </c>
      <c r="V9" s="420">
        <v>1878.8571428571408</v>
      </c>
      <c r="W9" s="420">
        <v>156.57142857142841</v>
      </c>
      <c r="X9" s="500">
        <f t="shared" si="5"/>
        <v>1</v>
      </c>
      <c r="Y9" s="674"/>
      <c r="Z9" s="500">
        <v>13</v>
      </c>
      <c r="AA9" s="420">
        <v>1794.3999999999987</v>
      </c>
      <c r="AB9" s="420">
        <v>138.03076923076912</v>
      </c>
      <c r="AC9" s="500">
        <f t="shared" si="7"/>
        <v>2</v>
      </c>
      <c r="AD9" s="674"/>
      <c r="AE9" s="500">
        <v>12</v>
      </c>
      <c r="AF9" s="420">
        <v>1858.9999999999991</v>
      </c>
      <c r="AG9" s="420">
        <v>154.9166666666666</v>
      </c>
      <c r="AH9" s="500">
        <f t="shared" si="9"/>
        <v>2</v>
      </c>
      <c r="AI9" s="674"/>
      <c r="AJ9" s="500">
        <v>12</v>
      </c>
      <c r="AK9" s="420">
        <v>1840.0000000000018</v>
      </c>
      <c r="AL9" s="420">
        <v>153.33333333333348</v>
      </c>
      <c r="AM9" s="500">
        <f t="shared" si="11"/>
        <v>2</v>
      </c>
      <c r="AN9" s="674"/>
      <c r="AO9" s="500">
        <v>12</v>
      </c>
      <c r="AP9" s="420">
        <v>1789.6000000000026</v>
      </c>
      <c r="AQ9" s="420">
        <v>149.13333333333355</v>
      </c>
      <c r="AR9" s="500">
        <f t="shared" si="13"/>
        <v>2</v>
      </c>
      <c r="AS9" s="674"/>
      <c r="AT9" s="500">
        <v>12</v>
      </c>
      <c r="AU9" s="420">
        <v>1804.8000000000027</v>
      </c>
      <c r="AV9" s="420">
        <v>150.40000000000023</v>
      </c>
      <c r="AW9" s="500">
        <f t="shared" si="15"/>
        <v>3</v>
      </c>
      <c r="AX9" s="674"/>
      <c r="AZ9" s="406" t="e">
        <f t="shared" si="17"/>
        <v>#N/A</v>
      </c>
      <c r="BA9" s="674"/>
    </row>
    <row r="10" spans="1:53" ht="14.25">
      <c r="A10" s="81"/>
      <c r="B10" s="660"/>
      <c r="C10" s="413">
        <v>4</v>
      </c>
      <c r="D10" s="500"/>
      <c r="E10" s="500"/>
      <c r="F10" s="500"/>
      <c r="G10" s="420"/>
      <c r="H10" s="678"/>
      <c r="I10" s="417" t="str">
        <f t="shared" si="0"/>
        <v>-</v>
      </c>
      <c r="J10" s="417" t="str">
        <f t="shared" si="1"/>
        <v>-</v>
      </c>
      <c r="K10" s="199" t="str">
        <f t="shared" si="2"/>
        <v>-</v>
      </c>
      <c r="L10" s="609"/>
      <c r="M10" s="419" t="e">
        <f>RANK(K10, K$7:$K$21)</f>
        <v>#VALUE!</v>
      </c>
      <c r="N10" s="627"/>
      <c r="O10" s="627"/>
      <c r="P10" s="413"/>
      <c r="Q10" s="420"/>
      <c r="R10" s="420"/>
      <c r="S10" s="413" t="e">
        <f t="shared" si="3"/>
        <v>#N/A</v>
      </c>
      <c r="T10" s="674"/>
      <c r="U10" s="500"/>
      <c r="V10" s="420"/>
      <c r="W10" s="420"/>
      <c r="X10" s="500" t="e">
        <f t="shared" si="5"/>
        <v>#N/A</v>
      </c>
      <c r="Y10" s="674"/>
      <c r="Z10" s="500"/>
      <c r="AA10" s="420"/>
      <c r="AB10" s="420"/>
      <c r="AC10" s="500" t="e">
        <f t="shared" si="7"/>
        <v>#N/A</v>
      </c>
      <c r="AD10" s="674"/>
      <c r="AE10" s="500"/>
      <c r="AF10" s="420"/>
      <c r="AG10" s="420"/>
      <c r="AH10" s="500" t="e">
        <f t="shared" si="9"/>
        <v>#N/A</v>
      </c>
      <c r="AI10" s="674"/>
      <c r="AJ10" s="500"/>
      <c r="AK10" s="420"/>
      <c r="AL10" s="420"/>
      <c r="AM10" s="500" t="e">
        <f t="shared" si="11"/>
        <v>#N/A</v>
      </c>
      <c r="AN10" s="674"/>
      <c r="AO10" s="500"/>
      <c r="AP10" s="420"/>
      <c r="AQ10" s="420"/>
      <c r="AR10" s="500" t="e">
        <f t="shared" si="13"/>
        <v>#N/A</v>
      </c>
      <c r="AS10" s="674"/>
      <c r="AT10" s="500"/>
      <c r="AU10" s="420"/>
      <c r="AV10" s="420"/>
      <c r="AW10" s="500" t="e">
        <f t="shared" si="15"/>
        <v>#N/A</v>
      </c>
      <c r="AX10" s="674"/>
      <c r="AZ10" s="406" t="e">
        <f t="shared" si="17"/>
        <v>#N/A</v>
      </c>
      <c r="BA10" s="674"/>
    </row>
    <row r="11" spans="1:53" ht="14.25">
      <c r="A11" s="81"/>
      <c r="B11" s="660"/>
      <c r="C11" s="413">
        <v>5</v>
      </c>
      <c r="D11" s="500"/>
      <c r="E11" s="500"/>
      <c r="F11" s="500"/>
      <c r="G11" s="420"/>
      <c r="H11" s="678"/>
      <c r="I11" s="417" t="str">
        <f t="shared" si="0"/>
        <v>-</v>
      </c>
      <c r="J11" s="417" t="str">
        <f t="shared" si="1"/>
        <v>-</v>
      </c>
      <c r="K11" s="199" t="str">
        <f t="shared" si="2"/>
        <v>-</v>
      </c>
      <c r="L11" s="609"/>
      <c r="M11" s="419" t="e">
        <f>RANK(K11, K$7:$K$21)</f>
        <v>#VALUE!</v>
      </c>
      <c r="N11" s="627"/>
      <c r="O11" s="627"/>
      <c r="P11" s="413"/>
      <c r="Q11" s="420"/>
      <c r="R11" s="420"/>
      <c r="S11" s="413" t="e">
        <f t="shared" si="3"/>
        <v>#N/A</v>
      </c>
      <c r="T11" s="674"/>
      <c r="U11" s="500"/>
      <c r="V11" s="420"/>
      <c r="W11" s="420"/>
      <c r="X11" s="500" t="e">
        <f t="shared" si="5"/>
        <v>#N/A</v>
      </c>
      <c r="Y11" s="674"/>
      <c r="Z11" s="500"/>
      <c r="AA11" s="420"/>
      <c r="AB11" s="420"/>
      <c r="AC11" s="500" t="e">
        <f t="shared" si="7"/>
        <v>#N/A</v>
      </c>
      <c r="AD11" s="674"/>
      <c r="AE11" s="500"/>
      <c r="AF11" s="420"/>
      <c r="AG11" s="420"/>
      <c r="AH11" s="500" t="e">
        <f t="shared" si="9"/>
        <v>#N/A</v>
      </c>
      <c r="AI11" s="674"/>
      <c r="AJ11" s="500"/>
      <c r="AK11" s="420"/>
      <c r="AL11" s="420"/>
      <c r="AM11" s="500" t="e">
        <f t="shared" si="11"/>
        <v>#N/A</v>
      </c>
      <c r="AN11" s="674"/>
      <c r="AO11" s="500"/>
      <c r="AP11" s="420"/>
      <c r="AQ11" s="420"/>
      <c r="AR11" s="500" t="e">
        <f t="shared" si="13"/>
        <v>#N/A</v>
      </c>
      <c r="AS11" s="674"/>
      <c r="AT11" s="500"/>
      <c r="AU11" s="420"/>
      <c r="AV11" s="420"/>
      <c r="AW11" s="500" t="e">
        <f t="shared" si="15"/>
        <v>#N/A</v>
      </c>
      <c r="AX11" s="674"/>
      <c r="AZ11" s="406" t="e">
        <f t="shared" si="17"/>
        <v>#N/A</v>
      </c>
      <c r="BA11" s="674"/>
    </row>
    <row r="12" spans="1:53" ht="14.25">
      <c r="A12" s="81"/>
      <c r="B12" s="660"/>
      <c r="C12" s="413">
        <v>6</v>
      </c>
      <c r="D12" s="500"/>
      <c r="E12" s="500"/>
      <c r="F12" s="500"/>
      <c r="G12" s="420"/>
      <c r="H12" s="678"/>
      <c r="I12" s="417" t="str">
        <f t="shared" si="0"/>
        <v>-</v>
      </c>
      <c r="J12" s="417" t="str">
        <f t="shared" si="1"/>
        <v>-</v>
      </c>
      <c r="K12" s="199" t="str">
        <f t="shared" si="2"/>
        <v>-</v>
      </c>
      <c r="L12" s="609"/>
      <c r="M12" s="419" t="e">
        <f>RANK(K12, K$7:$K$21)</f>
        <v>#VALUE!</v>
      </c>
      <c r="N12" s="627"/>
      <c r="O12" s="627"/>
      <c r="P12" s="413"/>
      <c r="Q12" s="420"/>
      <c r="R12" s="420"/>
      <c r="S12" s="413" t="e">
        <f t="shared" si="3"/>
        <v>#N/A</v>
      </c>
      <c r="T12" s="674"/>
      <c r="U12" s="500"/>
      <c r="V12" s="420"/>
      <c r="W12" s="420"/>
      <c r="X12" s="500" t="e">
        <f t="shared" si="5"/>
        <v>#N/A</v>
      </c>
      <c r="Y12" s="674"/>
      <c r="Z12" s="500"/>
      <c r="AA12" s="420"/>
      <c r="AB12" s="420"/>
      <c r="AC12" s="500" t="e">
        <f t="shared" si="7"/>
        <v>#N/A</v>
      </c>
      <c r="AD12" s="674"/>
      <c r="AE12" s="500"/>
      <c r="AF12" s="420"/>
      <c r="AG12" s="420"/>
      <c r="AH12" s="500" t="e">
        <f t="shared" si="9"/>
        <v>#N/A</v>
      </c>
      <c r="AI12" s="674"/>
      <c r="AJ12" s="500"/>
      <c r="AK12" s="420"/>
      <c r="AL12" s="420"/>
      <c r="AM12" s="500" t="e">
        <f t="shared" si="11"/>
        <v>#N/A</v>
      </c>
      <c r="AN12" s="674"/>
      <c r="AO12" s="500"/>
      <c r="AP12" s="420"/>
      <c r="AQ12" s="420"/>
      <c r="AR12" s="500" t="e">
        <f t="shared" si="13"/>
        <v>#N/A</v>
      </c>
      <c r="AS12" s="674"/>
      <c r="AT12" s="500"/>
      <c r="AU12" s="420"/>
      <c r="AV12" s="420"/>
      <c r="AW12" s="500" t="e">
        <f t="shared" si="15"/>
        <v>#N/A</v>
      </c>
      <c r="AX12" s="674"/>
      <c r="AZ12" s="406" t="e">
        <f t="shared" si="17"/>
        <v>#N/A</v>
      </c>
      <c r="BA12" s="674"/>
    </row>
    <row r="13" spans="1:53" ht="14.25">
      <c r="A13" s="81"/>
      <c r="B13" s="660"/>
      <c r="C13" s="413">
        <v>7</v>
      </c>
      <c r="D13" s="500"/>
      <c r="E13" s="500"/>
      <c r="F13" s="500"/>
      <c r="G13" s="420"/>
      <c r="H13" s="678"/>
      <c r="I13" s="417" t="str">
        <f t="shared" si="0"/>
        <v>-</v>
      </c>
      <c r="J13" s="417" t="str">
        <f t="shared" si="1"/>
        <v>-</v>
      </c>
      <c r="K13" s="199" t="str">
        <f t="shared" si="2"/>
        <v>-</v>
      </c>
      <c r="L13" s="609"/>
      <c r="M13" s="419" t="e">
        <f>RANK(K13, K$7:$K$21)</f>
        <v>#VALUE!</v>
      </c>
      <c r="N13" s="627"/>
      <c r="O13" s="627"/>
      <c r="P13" s="413"/>
      <c r="Q13" s="420"/>
      <c r="R13" s="420"/>
      <c r="S13" s="413" t="e">
        <f t="shared" si="3"/>
        <v>#N/A</v>
      </c>
      <c r="T13" s="674"/>
      <c r="U13" s="500"/>
      <c r="V13" s="420"/>
      <c r="W13" s="420"/>
      <c r="X13" s="500" t="e">
        <f t="shared" si="5"/>
        <v>#N/A</v>
      </c>
      <c r="Y13" s="674"/>
      <c r="Z13" s="500"/>
      <c r="AA13" s="420"/>
      <c r="AB13" s="420"/>
      <c r="AC13" s="500" t="e">
        <f t="shared" si="7"/>
        <v>#N/A</v>
      </c>
      <c r="AD13" s="674"/>
      <c r="AE13" s="500"/>
      <c r="AF13" s="420"/>
      <c r="AG13" s="420"/>
      <c r="AH13" s="500" t="e">
        <f t="shared" si="9"/>
        <v>#N/A</v>
      </c>
      <c r="AI13" s="674"/>
      <c r="AJ13" s="500"/>
      <c r="AK13" s="420"/>
      <c r="AL13" s="420"/>
      <c r="AM13" s="500" t="e">
        <f t="shared" si="11"/>
        <v>#N/A</v>
      </c>
      <c r="AN13" s="674"/>
      <c r="AO13" s="500"/>
      <c r="AP13" s="420"/>
      <c r="AQ13" s="420"/>
      <c r="AR13" s="500" t="e">
        <f t="shared" si="13"/>
        <v>#N/A</v>
      </c>
      <c r="AS13" s="674"/>
      <c r="AT13" s="500"/>
      <c r="AU13" s="420"/>
      <c r="AV13" s="420"/>
      <c r="AW13" s="500" t="e">
        <f t="shared" si="15"/>
        <v>#N/A</v>
      </c>
      <c r="AX13" s="674"/>
      <c r="AZ13" s="406" t="e">
        <f t="shared" si="17"/>
        <v>#N/A</v>
      </c>
      <c r="BA13" s="674"/>
    </row>
    <row r="14" spans="1:53" ht="14.25">
      <c r="A14" s="81"/>
      <c r="B14" s="660"/>
      <c r="C14" s="413">
        <v>8</v>
      </c>
      <c r="D14" s="500"/>
      <c r="E14" s="500"/>
      <c r="F14" s="500"/>
      <c r="G14" s="420"/>
      <c r="H14" s="678"/>
      <c r="I14" s="417" t="str">
        <f t="shared" si="0"/>
        <v>-</v>
      </c>
      <c r="J14" s="417" t="str">
        <f t="shared" si="1"/>
        <v>-</v>
      </c>
      <c r="K14" s="199" t="str">
        <f t="shared" si="2"/>
        <v>-</v>
      </c>
      <c r="L14" s="609"/>
      <c r="M14" s="419" t="e">
        <f>RANK(K14, K$7:$K$21)</f>
        <v>#VALUE!</v>
      </c>
      <c r="N14" s="627"/>
      <c r="O14" s="627"/>
      <c r="P14" s="413"/>
      <c r="Q14" s="420"/>
      <c r="R14" s="420"/>
      <c r="S14" s="413" t="e">
        <f t="shared" si="3"/>
        <v>#N/A</v>
      </c>
      <c r="T14" s="674"/>
      <c r="U14" s="500"/>
      <c r="V14" s="420"/>
      <c r="W14" s="420"/>
      <c r="X14" s="500" t="e">
        <f t="shared" si="5"/>
        <v>#N/A</v>
      </c>
      <c r="Y14" s="674"/>
      <c r="Z14" s="500"/>
      <c r="AA14" s="420"/>
      <c r="AB14" s="420"/>
      <c r="AC14" s="500" t="e">
        <f t="shared" si="7"/>
        <v>#N/A</v>
      </c>
      <c r="AD14" s="674"/>
      <c r="AE14" s="500"/>
      <c r="AF14" s="420"/>
      <c r="AG14" s="420"/>
      <c r="AH14" s="500" t="e">
        <f t="shared" si="9"/>
        <v>#N/A</v>
      </c>
      <c r="AI14" s="674"/>
      <c r="AJ14" s="500"/>
      <c r="AK14" s="420"/>
      <c r="AL14" s="420"/>
      <c r="AM14" s="500" t="e">
        <f t="shared" si="11"/>
        <v>#N/A</v>
      </c>
      <c r="AN14" s="674"/>
      <c r="AO14" s="500"/>
      <c r="AP14" s="420"/>
      <c r="AQ14" s="420"/>
      <c r="AR14" s="500" t="e">
        <f t="shared" si="13"/>
        <v>#N/A</v>
      </c>
      <c r="AS14" s="674"/>
      <c r="AT14" s="500"/>
      <c r="AU14" s="420"/>
      <c r="AV14" s="420"/>
      <c r="AW14" s="500" t="e">
        <f t="shared" si="15"/>
        <v>#N/A</v>
      </c>
      <c r="AX14" s="674"/>
      <c r="AZ14" s="406" t="e">
        <f t="shared" si="17"/>
        <v>#N/A</v>
      </c>
      <c r="BA14" s="674"/>
    </row>
    <row r="15" spans="1:53" ht="14.25">
      <c r="A15" s="81"/>
      <c r="B15" s="660"/>
      <c r="C15" s="413">
        <v>9</v>
      </c>
      <c r="D15" s="500"/>
      <c r="E15" s="500"/>
      <c r="F15" s="500"/>
      <c r="G15" s="420"/>
      <c r="H15" s="678"/>
      <c r="I15" s="417" t="str">
        <f t="shared" si="0"/>
        <v>-</v>
      </c>
      <c r="J15" s="417" t="str">
        <f t="shared" si="1"/>
        <v>-</v>
      </c>
      <c r="K15" s="199" t="str">
        <f t="shared" si="2"/>
        <v>-</v>
      </c>
      <c r="L15" s="609"/>
      <c r="M15" s="419" t="e">
        <f>RANK(K15, K$7:$K$21)</f>
        <v>#VALUE!</v>
      </c>
      <c r="N15" s="627"/>
      <c r="O15" s="627"/>
      <c r="P15" s="413"/>
      <c r="Q15" s="420"/>
      <c r="R15" s="420"/>
      <c r="S15" s="413" t="e">
        <f t="shared" si="3"/>
        <v>#N/A</v>
      </c>
      <c r="T15" s="674"/>
      <c r="U15" s="500"/>
      <c r="V15" s="420"/>
      <c r="W15" s="420"/>
      <c r="X15" s="500" t="e">
        <f t="shared" si="5"/>
        <v>#N/A</v>
      </c>
      <c r="Y15" s="674"/>
      <c r="Z15" s="500"/>
      <c r="AA15" s="420"/>
      <c r="AB15" s="420"/>
      <c r="AC15" s="500" t="e">
        <f t="shared" si="7"/>
        <v>#N/A</v>
      </c>
      <c r="AD15" s="674"/>
      <c r="AE15" s="500"/>
      <c r="AF15" s="420"/>
      <c r="AG15" s="420"/>
      <c r="AH15" s="500" t="e">
        <f t="shared" si="9"/>
        <v>#N/A</v>
      </c>
      <c r="AI15" s="674"/>
      <c r="AJ15" s="500"/>
      <c r="AK15" s="420"/>
      <c r="AL15" s="420"/>
      <c r="AM15" s="500" t="e">
        <f t="shared" si="11"/>
        <v>#N/A</v>
      </c>
      <c r="AN15" s="674"/>
      <c r="AO15" s="500"/>
      <c r="AP15" s="420"/>
      <c r="AQ15" s="420"/>
      <c r="AR15" s="500" t="e">
        <f t="shared" si="13"/>
        <v>#N/A</v>
      </c>
      <c r="AS15" s="674"/>
      <c r="AT15" s="500"/>
      <c r="AU15" s="420"/>
      <c r="AV15" s="420"/>
      <c r="AW15" s="500" t="e">
        <f t="shared" si="15"/>
        <v>#N/A</v>
      </c>
      <c r="AX15" s="674"/>
      <c r="AZ15" s="406" t="e">
        <f t="shared" si="17"/>
        <v>#N/A</v>
      </c>
      <c r="BA15" s="674"/>
    </row>
    <row r="16" spans="1:53" ht="14.25">
      <c r="A16" s="81"/>
      <c r="B16" s="660"/>
      <c r="C16" s="413">
        <v>10</v>
      </c>
      <c r="D16" s="500"/>
      <c r="E16" s="500"/>
      <c r="F16" s="500"/>
      <c r="G16" s="420"/>
      <c r="H16" s="678"/>
      <c r="I16" s="417" t="str">
        <f t="shared" si="0"/>
        <v>-</v>
      </c>
      <c r="J16" s="417" t="str">
        <f t="shared" si="1"/>
        <v>-</v>
      </c>
      <c r="K16" s="199" t="str">
        <f t="shared" si="2"/>
        <v>-</v>
      </c>
      <c r="L16" s="609"/>
      <c r="M16" s="419" t="e">
        <f>RANK(K16, K$7:$K$21)</f>
        <v>#VALUE!</v>
      </c>
      <c r="N16" s="627"/>
      <c r="O16" s="627"/>
      <c r="P16" s="413"/>
      <c r="Q16" s="420"/>
      <c r="R16" s="420"/>
      <c r="S16" s="413" t="e">
        <f t="shared" si="3"/>
        <v>#N/A</v>
      </c>
      <c r="T16" s="674"/>
      <c r="U16" s="500"/>
      <c r="V16" s="420"/>
      <c r="W16" s="420"/>
      <c r="X16" s="500" t="e">
        <f t="shared" si="5"/>
        <v>#N/A</v>
      </c>
      <c r="Y16" s="674"/>
      <c r="Z16" s="500"/>
      <c r="AA16" s="420"/>
      <c r="AB16" s="420"/>
      <c r="AC16" s="500" t="e">
        <f t="shared" si="7"/>
        <v>#N/A</v>
      </c>
      <c r="AD16" s="674"/>
      <c r="AE16" s="500"/>
      <c r="AF16" s="420"/>
      <c r="AG16" s="420"/>
      <c r="AH16" s="500" t="e">
        <f t="shared" si="9"/>
        <v>#N/A</v>
      </c>
      <c r="AI16" s="674"/>
      <c r="AJ16" s="500"/>
      <c r="AK16" s="420"/>
      <c r="AL16" s="420"/>
      <c r="AM16" s="500" t="e">
        <f t="shared" si="11"/>
        <v>#N/A</v>
      </c>
      <c r="AN16" s="674"/>
      <c r="AO16" s="500"/>
      <c r="AP16" s="420"/>
      <c r="AQ16" s="420"/>
      <c r="AR16" s="500" t="e">
        <f t="shared" si="13"/>
        <v>#N/A</v>
      </c>
      <c r="AS16" s="674"/>
      <c r="AT16" s="500"/>
      <c r="AU16" s="420"/>
      <c r="AV16" s="420"/>
      <c r="AW16" s="500" t="e">
        <f t="shared" si="15"/>
        <v>#N/A</v>
      </c>
      <c r="AX16" s="674"/>
      <c r="AZ16" s="406" t="e">
        <f t="shared" si="17"/>
        <v>#N/A</v>
      </c>
      <c r="BA16" s="674"/>
    </row>
    <row r="17" spans="2:53">
      <c r="B17" s="660"/>
      <c r="C17" s="413">
        <v>11</v>
      </c>
      <c r="D17" s="500"/>
      <c r="E17" s="500"/>
      <c r="F17" s="500"/>
      <c r="G17" s="420"/>
      <c r="H17" s="678"/>
      <c r="I17" s="417" t="str">
        <f t="shared" si="0"/>
        <v>-</v>
      </c>
      <c r="J17" s="417" t="str">
        <f t="shared" si="1"/>
        <v>-</v>
      </c>
      <c r="K17" s="199" t="str">
        <f t="shared" si="2"/>
        <v>-</v>
      </c>
      <c r="L17" s="609"/>
      <c r="M17" s="419" t="e">
        <f>RANK(K17, K$7:$K$21)</f>
        <v>#VALUE!</v>
      </c>
      <c r="N17" s="627"/>
      <c r="O17" s="627"/>
      <c r="P17" s="413"/>
      <c r="Q17" s="420"/>
      <c r="R17" s="420"/>
      <c r="S17" s="413" t="e">
        <f t="shared" si="3"/>
        <v>#N/A</v>
      </c>
      <c r="T17" s="674"/>
      <c r="U17" s="500"/>
      <c r="V17" s="420"/>
      <c r="W17" s="420"/>
      <c r="X17" s="500" t="e">
        <f t="shared" si="5"/>
        <v>#N/A</v>
      </c>
      <c r="Y17" s="674"/>
      <c r="Z17" s="500"/>
      <c r="AA17" s="420"/>
      <c r="AB17" s="420"/>
      <c r="AC17" s="500" t="e">
        <f t="shared" si="7"/>
        <v>#N/A</v>
      </c>
      <c r="AD17" s="674"/>
      <c r="AE17" s="500"/>
      <c r="AF17" s="420"/>
      <c r="AG17" s="420"/>
      <c r="AH17" s="500" t="e">
        <f t="shared" si="9"/>
        <v>#N/A</v>
      </c>
      <c r="AI17" s="674"/>
      <c r="AJ17" s="500"/>
      <c r="AK17" s="420"/>
      <c r="AL17" s="420"/>
      <c r="AM17" s="500" t="e">
        <f t="shared" si="11"/>
        <v>#N/A</v>
      </c>
      <c r="AN17" s="674"/>
      <c r="AO17" s="500"/>
      <c r="AP17" s="420"/>
      <c r="AQ17" s="420"/>
      <c r="AR17" s="500" t="e">
        <f t="shared" si="13"/>
        <v>#N/A</v>
      </c>
      <c r="AS17" s="674"/>
      <c r="AT17" s="500"/>
      <c r="AU17" s="420"/>
      <c r="AV17" s="420"/>
      <c r="AW17" s="500" t="e">
        <f t="shared" si="15"/>
        <v>#N/A</v>
      </c>
      <c r="AX17" s="674"/>
      <c r="AZ17" s="406" t="e">
        <f t="shared" si="17"/>
        <v>#N/A</v>
      </c>
      <c r="BA17" s="674"/>
    </row>
    <row r="18" spans="2:53">
      <c r="B18" s="660"/>
      <c r="C18" s="413">
        <v>12</v>
      </c>
      <c r="D18" s="500"/>
      <c r="E18" s="500"/>
      <c r="F18" s="500"/>
      <c r="G18" s="420"/>
      <c r="H18" s="678"/>
      <c r="I18" s="417" t="str">
        <f t="shared" si="0"/>
        <v>-</v>
      </c>
      <c r="J18" s="417" t="str">
        <f t="shared" si="1"/>
        <v>-</v>
      </c>
      <c r="K18" s="199" t="str">
        <f t="shared" si="2"/>
        <v>-</v>
      </c>
      <c r="L18" s="609"/>
      <c r="M18" s="419" t="e">
        <f>RANK(K18, K$7:$K$21)</f>
        <v>#VALUE!</v>
      </c>
      <c r="N18" s="627"/>
      <c r="O18" s="627"/>
      <c r="P18" s="413"/>
      <c r="Q18" s="420"/>
      <c r="R18" s="420"/>
      <c r="S18" s="413" t="e">
        <f t="shared" si="3"/>
        <v>#N/A</v>
      </c>
      <c r="T18" s="674"/>
      <c r="U18" s="500"/>
      <c r="V18" s="420"/>
      <c r="W18" s="420"/>
      <c r="X18" s="500" t="e">
        <f t="shared" si="5"/>
        <v>#N/A</v>
      </c>
      <c r="Y18" s="674"/>
      <c r="Z18" s="500"/>
      <c r="AA18" s="420"/>
      <c r="AB18" s="420"/>
      <c r="AC18" s="500" t="e">
        <f t="shared" si="7"/>
        <v>#N/A</v>
      </c>
      <c r="AD18" s="674"/>
      <c r="AE18" s="500"/>
      <c r="AF18" s="420"/>
      <c r="AG18" s="420"/>
      <c r="AH18" s="500" t="e">
        <f t="shared" si="9"/>
        <v>#N/A</v>
      </c>
      <c r="AI18" s="674"/>
      <c r="AJ18" s="500"/>
      <c r="AK18" s="420"/>
      <c r="AL18" s="420"/>
      <c r="AM18" s="500" t="e">
        <f t="shared" si="11"/>
        <v>#N/A</v>
      </c>
      <c r="AN18" s="674"/>
      <c r="AO18" s="500"/>
      <c r="AP18" s="420"/>
      <c r="AQ18" s="420"/>
      <c r="AR18" s="500" t="e">
        <f t="shared" si="13"/>
        <v>#N/A</v>
      </c>
      <c r="AS18" s="674"/>
      <c r="AT18" s="500"/>
      <c r="AU18" s="420"/>
      <c r="AV18" s="420"/>
      <c r="AW18" s="500" t="e">
        <f t="shared" si="15"/>
        <v>#N/A</v>
      </c>
      <c r="AX18" s="674"/>
      <c r="AZ18" s="406" t="e">
        <f t="shared" si="17"/>
        <v>#N/A</v>
      </c>
      <c r="BA18" s="674"/>
    </row>
    <row r="19" spans="2:53">
      <c r="B19" s="660"/>
      <c r="C19" s="413">
        <v>13</v>
      </c>
      <c r="D19" s="500"/>
      <c r="E19" s="500"/>
      <c r="F19" s="500"/>
      <c r="G19" s="420"/>
      <c r="H19" s="678"/>
      <c r="I19" s="417" t="str">
        <f t="shared" si="0"/>
        <v>-</v>
      </c>
      <c r="J19" s="417" t="str">
        <f t="shared" si="1"/>
        <v>-</v>
      </c>
      <c r="K19" s="199" t="str">
        <f t="shared" si="2"/>
        <v>-</v>
      </c>
      <c r="L19" s="609"/>
      <c r="M19" s="419" t="e">
        <f>RANK(K19, K$7:$K$21)</f>
        <v>#VALUE!</v>
      </c>
      <c r="N19" s="627"/>
      <c r="O19" s="627"/>
      <c r="P19" s="413"/>
      <c r="Q19" s="420"/>
      <c r="R19" s="420"/>
      <c r="S19" s="413" t="e">
        <f t="shared" si="3"/>
        <v>#N/A</v>
      </c>
      <c r="T19" s="674"/>
      <c r="U19" s="500"/>
      <c r="V19" s="420"/>
      <c r="W19" s="420"/>
      <c r="X19" s="500" t="e">
        <f t="shared" si="5"/>
        <v>#N/A</v>
      </c>
      <c r="Y19" s="674"/>
      <c r="Z19" s="500"/>
      <c r="AA19" s="420"/>
      <c r="AB19" s="420"/>
      <c r="AC19" s="500" t="e">
        <f t="shared" si="7"/>
        <v>#N/A</v>
      </c>
      <c r="AD19" s="674"/>
      <c r="AE19" s="500"/>
      <c r="AF19" s="420"/>
      <c r="AG19" s="420"/>
      <c r="AH19" s="500" t="e">
        <f t="shared" si="9"/>
        <v>#N/A</v>
      </c>
      <c r="AI19" s="674"/>
      <c r="AJ19" s="500"/>
      <c r="AK19" s="420"/>
      <c r="AL19" s="420"/>
      <c r="AM19" s="500" t="e">
        <f t="shared" si="11"/>
        <v>#N/A</v>
      </c>
      <c r="AN19" s="674"/>
      <c r="AO19" s="500"/>
      <c r="AP19" s="420"/>
      <c r="AQ19" s="420"/>
      <c r="AR19" s="500" t="e">
        <f t="shared" si="13"/>
        <v>#N/A</v>
      </c>
      <c r="AS19" s="674"/>
      <c r="AT19" s="500"/>
      <c r="AU19" s="420"/>
      <c r="AV19" s="420"/>
      <c r="AW19" s="500" t="e">
        <f t="shared" si="15"/>
        <v>#N/A</v>
      </c>
      <c r="AX19" s="674"/>
      <c r="AZ19" s="406" t="e">
        <f t="shared" si="17"/>
        <v>#N/A</v>
      </c>
      <c r="BA19" s="674"/>
    </row>
    <row r="20" spans="2:53">
      <c r="B20" s="660"/>
      <c r="C20" s="413">
        <v>14</v>
      </c>
      <c r="D20" s="500"/>
      <c r="E20" s="500"/>
      <c r="F20" s="500"/>
      <c r="G20" s="420"/>
      <c r="H20" s="678"/>
      <c r="I20" s="417" t="str">
        <f t="shared" si="0"/>
        <v>-</v>
      </c>
      <c r="J20" s="417" t="str">
        <f t="shared" si="1"/>
        <v>-</v>
      </c>
      <c r="K20" s="199" t="str">
        <f t="shared" si="2"/>
        <v>-</v>
      </c>
      <c r="L20" s="609"/>
      <c r="M20" s="419" t="e">
        <f>RANK(K20, K$7:$K$21)</f>
        <v>#VALUE!</v>
      </c>
      <c r="N20" s="627"/>
      <c r="O20" s="627"/>
      <c r="P20" s="413"/>
      <c r="Q20" s="420"/>
      <c r="R20" s="420"/>
      <c r="S20" s="413" t="e">
        <f t="shared" si="3"/>
        <v>#N/A</v>
      </c>
      <c r="T20" s="674"/>
      <c r="U20" s="500"/>
      <c r="V20" s="420"/>
      <c r="W20" s="420"/>
      <c r="X20" s="500" t="e">
        <f t="shared" si="5"/>
        <v>#N/A</v>
      </c>
      <c r="Y20" s="674"/>
      <c r="Z20" s="500"/>
      <c r="AA20" s="420"/>
      <c r="AB20" s="420"/>
      <c r="AC20" s="500" t="e">
        <f t="shared" si="7"/>
        <v>#N/A</v>
      </c>
      <c r="AD20" s="674"/>
      <c r="AE20" s="500"/>
      <c r="AF20" s="420"/>
      <c r="AG20" s="420"/>
      <c r="AH20" s="500" t="e">
        <f t="shared" si="9"/>
        <v>#N/A</v>
      </c>
      <c r="AI20" s="674"/>
      <c r="AJ20" s="500"/>
      <c r="AK20" s="420"/>
      <c r="AL20" s="420"/>
      <c r="AM20" s="500" t="e">
        <f t="shared" si="11"/>
        <v>#N/A</v>
      </c>
      <c r="AN20" s="674"/>
      <c r="AO20" s="500"/>
      <c r="AP20" s="420"/>
      <c r="AQ20" s="420"/>
      <c r="AR20" s="500" t="e">
        <f t="shared" si="13"/>
        <v>#N/A</v>
      </c>
      <c r="AS20" s="674"/>
      <c r="AT20" s="500"/>
      <c r="AU20" s="420"/>
      <c r="AV20" s="420"/>
      <c r="AW20" s="500" t="e">
        <f t="shared" si="15"/>
        <v>#N/A</v>
      </c>
      <c r="AX20" s="674"/>
      <c r="AZ20" s="406" t="e">
        <f t="shared" si="17"/>
        <v>#N/A</v>
      </c>
      <c r="BA20" s="674"/>
    </row>
    <row r="21" spans="2:53">
      <c r="B21" s="660"/>
      <c r="C21" s="413">
        <v>15</v>
      </c>
      <c r="D21" s="500"/>
      <c r="E21" s="500"/>
      <c r="F21" s="500"/>
      <c r="G21" s="500"/>
      <c r="H21" s="679"/>
      <c r="I21" s="417" t="str">
        <f t="shared" si="0"/>
        <v>-</v>
      </c>
      <c r="J21" s="417" t="str">
        <f t="shared" si="1"/>
        <v>-</v>
      </c>
      <c r="K21" s="199" t="str">
        <f t="shared" si="2"/>
        <v>-</v>
      </c>
      <c r="L21" s="610"/>
      <c r="M21" s="419" t="e">
        <f>RANK(K21, K$7:$K$21)</f>
        <v>#VALUE!</v>
      </c>
      <c r="N21" s="627"/>
      <c r="O21" s="627"/>
      <c r="P21" s="413"/>
      <c r="Q21" s="420"/>
      <c r="R21" s="420"/>
      <c r="S21" s="413" t="e">
        <f t="shared" si="3"/>
        <v>#N/A</v>
      </c>
      <c r="T21" s="674"/>
      <c r="U21" s="502"/>
      <c r="V21" s="504"/>
      <c r="W21" s="504"/>
      <c r="X21" s="500" t="e">
        <f t="shared" si="5"/>
        <v>#N/A</v>
      </c>
      <c r="Y21" s="674"/>
      <c r="Z21" s="502"/>
      <c r="AA21" s="504"/>
      <c r="AB21" s="504"/>
      <c r="AC21" s="500" t="e">
        <f t="shared" si="7"/>
        <v>#N/A</v>
      </c>
      <c r="AD21" s="674"/>
      <c r="AE21" s="502"/>
      <c r="AF21" s="504"/>
      <c r="AG21" s="504"/>
      <c r="AH21" s="500" t="e">
        <f t="shared" si="9"/>
        <v>#N/A</v>
      </c>
      <c r="AI21" s="674"/>
      <c r="AJ21" s="502"/>
      <c r="AK21" s="504"/>
      <c r="AL21" s="504"/>
      <c r="AM21" s="500" t="e">
        <f t="shared" si="11"/>
        <v>#N/A</v>
      </c>
      <c r="AN21" s="674"/>
      <c r="AO21" s="502"/>
      <c r="AP21" s="504"/>
      <c r="AQ21" s="504"/>
      <c r="AR21" s="500" t="e">
        <f t="shared" si="13"/>
        <v>#N/A</v>
      </c>
      <c r="AS21" s="674"/>
      <c r="AT21" s="502"/>
      <c r="AU21" s="504"/>
      <c r="AV21" s="504"/>
      <c r="AW21" s="500" t="e">
        <f t="shared" si="15"/>
        <v>#N/A</v>
      </c>
      <c r="AX21" s="674"/>
      <c r="AZ21" s="406" t="e">
        <f t="shared" si="17"/>
        <v>#N/A</v>
      </c>
      <c r="BA21" s="674"/>
    </row>
    <row r="22" spans="2:53" ht="15.75">
      <c r="B22" s="653" t="s">
        <v>163</v>
      </c>
      <c r="C22" s="654"/>
      <c r="D22" s="654"/>
      <c r="E22" s="654"/>
      <c r="F22" s="654"/>
      <c r="G22" s="654"/>
      <c r="H22" s="654"/>
      <c r="I22" s="202"/>
      <c r="J22" s="202"/>
      <c r="K22" s="202"/>
      <c r="L22" s="202"/>
      <c r="M22" s="203"/>
      <c r="N22" s="628" t="s">
        <v>156</v>
      </c>
      <c r="O22" s="628" t="s">
        <v>105</v>
      </c>
      <c r="P22" s="634">
        <f>P2+7</f>
        <v>46175</v>
      </c>
      <c r="Q22" s="635"/>
      <c r="R22" s="635"/>
      <c r="S22" s="635"/>
      <c r="T22" s="635"/>
      <c r="U22" s="631">
        <f>P22+1</f>
        <v>46176</v>
      </c>
      <c r="V22" s="632"/>
      <c r="W22" s="632"/>
      <c r="X22" s="632"/>
      <c r="Y22" s="633"/>
      <c r="Z22" s="631">
        <f>U22+1</f>
        <v>46177</v>
      </c>
      <c r="AA22" s="632"/>
      <c r="AB22" s="632"/>
      <c r="AC22" s="632"/>
      <c r="AD22" s="633"/>
      <c r="AE22" s="631">
        <f>Z22+1</f>
        <v>46178</v>
      </c>
      <c r="AF22" s="632"/>
      <c r="AG22" s="632"/>
      <c r="AH22" s="632"/>
      <c r="AI22" s="633"/>
      <c r="AJ22" s="631">
        <f>AE22+1</f>
        <v>46179</v>
      </c>
      <c r="AK22" s="632"/>
      <c r="AL22" s="632"/>
      <c r="AM22" s="632"/>
      <c r="AN22" s="633"/>
      <c r="AO22" s="631">
        <f>AJ22+1</f>
        <v>46180</v>
      </c>
      <c r="AP22" s="632"/>
      <c r="AQ22" s="632"/>
      <c r="AR22" s="632"/>
      <c r="AS22" s="633"/>
      <c r="AT22" s="631">
        <f>AO22+1</f>
        <v>46181</v>
      </c>
      <c r="AU22" s="632"/>
      <c r="AV22" s="632"/>
      <c r="AW22" s="632"/>
      <c r="AX22" s="633"/>
    </row>
    <row r="23" spans="2:53" ht="15.75">
      <c r="B23" s="642"/>
      <c r="C23" s="642"/>
      <c r="D23" s="642"/>
      <c r="E23" s="642"/>
      <c r="F23" s="642"/>
      <c r="G23" s="642"/>
      <c r="H23" s="642"/>
      <c r="I23" s="204"/>
      <c r="J23" s="204"/>
      <c r="K23" s="204"/>
      <c r="L23" s="204"/>
      <c r="M23" s="205"/>
      <c r="N23" s="630"/>
      <c r="O23" s="630"/>
      <c r="P23" s="634" t="s">
        <v>318</v>
      </c>
      <c r="Q23" s="635"/>
      <c r="R23" s="635"/>
      <c r="S23" s="635"/>
      <c r="T23" s="635"/>
      <c r="U23" s="634" t="s">
        <v>319</v>
      </c>
      <c r="V23" s="635"/>
      <c r="W23" s="635"/>
      <c r="X23" s="635"/>
      <c r="Y23" s="635"/>
      <c r="Z23" s="634" t="s">
        <v>320</v>
      </c>
      <c r="AA23" s="635"/>
      <c r="AB23" s="635"/>
      <c r="AC23" s="635"/>
      <c r="AD23" s="635"/>
      <c r="AE23" s="634" t="s">
        <v>321</v>
      </c>
      <c r="AF23" s="635"/>
      <c r="AG23" s="635"/>
      <c r="AH23" s="635"/>
      <c r="AI23" s="635"/>
      <c r="AJ23" s="634" t="s">
        <v>322</v>
      </c>
      <c r="AK23" s="635"/>
      <c r="AL23" s="635"/>
      <c r="AM23" s="635"/>
      <c r="AN23" s="635"/>
      <c r="AO23" s="634" t="s">
        <v>323</v>
      </c>
      <c r="AP23" s="635"/>
      <c r="AQ23" s="635"/>
      <c r="AR23" s="635"/>
      <c r="AS23" s="635"/>
      <c r="AT23" s="634" t="s">
        <v>324</v>
      </c>
      <c r="AU23" s="635"/>
      <c r="AV23" s="635"/>
      <c r="AW23" s="635"/>
      <c r="AX23" s="635"/>
    </row>
    <row r="24" spans="2:53">
      <c r="B24" s="627" t="s">
        <v>570</v>
      </c>
      <c r="C24" s="627" t="s">
        <v>384</v>
      </c>
      <c r="D24" s="627"/>
      <c r="E24" s="627" t="s">
        <v>375</v>
      </c>
      <c r="F24" s="627"/>
      <c r="G24" s="627"/>
      <c r="H24" s="643" t="s">
        <v>371</v>
      </c>
      <c r="I24" s="627" t="s">
        <v>376</v>
      </c>
      <c r="J24" s="627"/>
      <c r="K24" s="627"/>
      <c r="L24" s="643" t="s">
        <v>371</v>
      </c>
      <c r="M24" s="628" t="s">
        <v>372</v>
      </c>
      <c r="N24" s="627"/>
      <c r="O24" s="627" t="s">
        <v>377</v>
      </c>
      <c r="P24" s="624" t="s">
        <v>373</v>
      </c>
      <c r="Q24" s="625"/>
      <c r="R24" s="625"/>
      <c r="S24" s="626"/>
      <c r="T24" s="627" t="s">
        <v>371</v>
      </c>
      <c r="U24" s="624" t="s">
        <v>373</v>
      </c>
      <c r="V24" s="625"/>
      <c r="W24" s="625"/>
      <c r="X24" s="626"/>
      <c r="Y24" s="627" t="s">
        <v>371</v>
      </c>
      <c r="Z24" s="624" t="s">
        <v>373</v>
      </c>
      <c r="AA24" s="625"/>
      <c r="AB24" s="625"/>
      <c r="AC24" s="626"/>
      <c r="AD24" s="627" t="s">
        <v>371</v>
      </c>
      <c r="AE24" s="624" t="s">
        <v>373</v>
      </c>
      <c r="AF24" s="625"/>
      <c r="AG24" s="625"/>
      <c r="AH24" s="626"/>
      <c r="AI24" s="627" t="s">
        <v>371</v>
      </c>
      <c r="AJ24" s="624" t="s">
        <v>373</v>
      </c>
      <c r="AK24" s="625"/>
      <c r="AL24" s="625"/>
      <c r="AM24" s="626"/>
      <c r="AN24" s="627" t="s">
        <v>371</v>
      </c>
      <c r="AO24" s="624" t="s">
        <v>373</v>
      </c>
      <c r="AP24" s="625"/>
      <c r="AQ24" s="625"/>
      <c r="AR24" s="626"/>
      <c r="AS24" s="627" t="s">
        <v>371</v>
      </c>
      <c r="AT24" s="624" t="s">
        <v>373</v>
      </c>
      <c r="AU24" s="625"/>
      <c r="AV24" s="625"/>
      <c r="AW24" s="626"/>
      <c r="AX24" s="627" t="s">
        <v>371</v>
      </c>
      <c r="BA24" s="627" t="s">
        <v>371</v>
      </c>
    </row>
    <row r="25" spans="2:53">
      <c r="B25" s="627"/>
      <c r="C25" s="627"/>
      <c r="D25" s="627"/>
      <c r="E25" s="627" t="s">
        <v>378</v>
      </c>
      <c r="F25" s="627"/>
      <c r="G25" s="627"/>
      <c r="H25" s="644"/>
      <c r="I25" s="627" t="s">
        <v>378</v>
      </c>
      <c r="J25" s="627"/>
      <c r="K25" s="627"/>
      <c r="L25" s="644"/>
      <c r="M25" s="629"/>
      <c r="N25" s="627"/>
      <c r="O25" s="627"/>
      <c r="P25" s="624" t="s">
        <v>379</v>
      </c>
      <c r="Q25" s="625"/>
      <c r="R25" s="625"/>
      <c r="S25" s="626"/>
      <c r="T25" s="627"/>
      <c r="U25" s="624" t="s">
        <v>379</v>
      </c>
      <c r="V25" s="625"/>
      <c r="W25" s="625"/>
      <c r="X25" s="626"/>
      <c r="Y25" s="627"/>
      <c r="Z25" s="624" t="s">
        <v>379</v>
      </c>
      <c r="AA25" s="625"/>
      <c r="AB25" s="625"/>
      <c r="AC25" s="626"/>
      <c r="AD25" s="627"/>
      <c r="AE25" s="624" t="s">
        <v>379</v>
      </c>
      <c r="AF25" s="625"/>
      <c r="AG25" s="625"/>
      <c r="AH25" s="626"/>
      <c r="AI25" s="627"/>
      <c r="AJ25" s="624" t="s">
        <v>379</v>
      </c>
      <c r="AK25" s="625"/>
      <c r="AL25" s="625"/>
      <c r="AM25" s="626"/>
      <c r="AN25" s="627"/>
      <c r="AO25" s="624" t="s">
        <v>379</v>
      </c>
      <c r="AP25" s="625"/>
      <c r="AQ25" s="625"/>
      <c r="AR25" s="626"/>
      <c r="AS25" s="627"/>
      <c r="AT25" s="624" t="s">
        <v>379</v>
      </c>
      <c r="AU25" s="625"/>
      <c r="AV25" s="625"/>
      <c r="AW25" s="626"/>
      <c r="AX25" s="627"/>
      <c r="BA25" s="627"/>
    </row>
    <row r="26" spans="2:53">
      <c r="B26" s="627"/>
      <c r="C26" s="627"/>
      <c r="D26" s="627"/>
      <c r="E26" s="412" t="s">
        <v>380</v>
      </c>
      <c r="F26" s="412" t="s">
        <v>381</v>
      </c>
      <c r="G26" s="412" t="s">
        <v>382</v>
      </c>
      <c r="H26" s="645"/>
      <c r="I26" s="412" t="s">
        <v>380</v>
      </c>
      <c r="J26" s="412" t="s">
        <v>381</v>
      </c>
      <c r="K26" s="412" t="s">
        <v>382</v>
      </c>
      <c r="L26" s="645"/>
      <c r="M26" s="630"/>
      <c r="N26" s="627"/>
      <c r="O26" s="627"/>
      <c r="P26" s="412" t="s">
        <v>380</v>
      </c>
      <c r="Q26" s="412" t="s">
        <v>381</v>
      </c>
      <c r="R26" s="412" t="s">
        <v>382</v>
      </c>
      <c r="S26" s="412" t="s">
        <v>372</v>
      </c>
      <c r="T26" s="627"/>
      <c r="U26" s="412" t="s">
        <v>380</v>
      </c>
      <c r="V26" s="412" t="s">
        <v>381</v>
      </c>
      <c r="W26" s="412" t="s">
        <v>382</v>
      </c>
      <c r="X26" s="412" t="s">
        <v>372</v>
      </c>
      <c r="Y26" s="627"/>
      <c r="Z26" s="412" t="s">
        <v>380</v>
      </c>
      <c r="AA26" s="412" t="s">
        <v>381</v>
      </c>
      <c r="AB26" s="412" t="s">
        <v>382</v>
      </c>
      <c r="AC26" s="412" t="s">
        <v>372</v>
      </c>
      <c r="AD26" s="627"/>
      <c r="AE26" s="412" t="s">
        <v>380</v>
      </c>
      <c r="AF26" s="412" t="s">
        <v>381</v>
      </c>
      <c r="AG26" s="412" t="s">
        <v>382</v>
      </c>
      <c r="AH26" s="412" t="s">
        <v>372</v>
      </c>
      <c r="AI26" s="627"/>
      <c r="AJ26" s="412" t="s">
        <v>380</v>
      </c>
      <c r="AK26" s="412" t="s">
        <v>381</v>
      </c>
      <c r="AL26" s="412" t="s">
        <v>382</v>
      </c>
      <c r="AM26" s="412" t="s">
        <v>372</v>
      </c>
      <c r="AN26" s="627"/>
      <c r="AO26" s="412" t="s">
        <v>380</v>
      </c>
      <c r="AP26" s="412" t="s">
        <v>381</v>
      </c>
      <c r="AQ26" s="412" t="s">
        <v>382</v>
      </c>
      <c r="AR26" s="412" t="s">
        <v>372</v>
      </c>
      <c r="AS26" s="627"/>
      <c r="AT26" s="412" t="s">
        <v>380</v>
      </c>
      <c r="AU26" s="412" t="s">
        <v>381</v>
      </c>
      <c r="AV26" s="412" t="s">
        <v>382</v>
      </c>
      <c r="AW26" s="412" t="s">
        <v>372</v>
      </c>
      <c r="AX26" s="627"/>
      <c r="AZ26" s="407" t="s">
        <v>372</v>
      </c>
      <c r="BA26" s="627"/>
    </row>
    <row r="27" spans="2:53">
      <c r="B27" s="675" t="s">
        <v>572</v>
      </c>
      <c r="C27" s="415">
        <v>1</v>
      </c>
      <c r="D27" s="500" t="s">
        <v>598</v>
      </c>
      <c r="E27" s="500">
        <v>10</v>
      </c>
      <c r="F27" s="500">
        <v>1500</v>
      </c>
      <c r="G27" s="420">
        <v>150</v>
      </c>
      <c r="H27" s="671">
        <f>AVERAGE(G27:G41)</f>
        <v>130</v>
      </c>
      <c r="I27" s="417">
        <f t="shared" ref="I27:I41" si="19">IFERROR(AVERAGE(P27,U27,Z27,AE27,AJ27,AO27,AT27),"-")</f>
        <v>10</v>
      </c>
      <c r="J27" s="417">
        <f t="shared" ref="J27:J41" si="20">IFERROR(AVERAGE(Q27,V27,AA27,AF27,AK27,AP27,AU27),"-")</f>
        <v>1602.8571428571429</v>
      </c>
      <c r="K27" s="199">
        <f t="shared" ref="K27:K41" si="21">IFERROR(AVERAGE(R27,W27,AB27,AG27,AL27,AQ27,AV27),"-")</f>
        <v>160.28571428571431</v>
      </c>
      <c r="L27" s="608">
        <f>IFERROR(AVERAGE(K27:K41),"-")</f>
        <v>147.47154413047278</v>
      </c>
      <c r="M27" s="421">
        <f>RANK(K27, K$27:$K$41)</f>
        <v>1</v>
      </c>
      <c r="N27" s="627"/>
      <c r="O27" s="627"/>
      <c r="P27" s="550">
        <v>10</v>
      </c>
      <c r="Q27" s="420">
        <v>1599.999999999997</v>
      </c>
      <c r="R27" s="420">
        <v>159.99999999999972</v>
      </c>
      <c r="S27" s="550">
        <f t="shared" ref="S27:S41" si="22">RANK(R27, R$27:R$41)</f>
        <v>1</v>
      </c>
      <c r="T27" s="636">
        <f t="shared" ref="T27" si="23">AVERAGE(R27:R41)</f>
        <v>153.07361111111118</v>
      </c>
      <c r="U27" s="550">
        <v>10</v>
      </c>
      <c r="V27" s="420">
        <v>1534.0000000000014</v>
      </c>
      <c r="W27" s="420">
        <v>153.40000000000015</v>
      </c>
      <c r="X27" s="550">
        <f t="shared" ref="X27:X41" si="24">RANK(W27, W$27:W$41)</f>
        <v>1</v>
      </c>
      <c r="Y27" s="636">
        <f t="shared" ref="Y27" si="25">AVERAGE(W27:W41)</f>
        <v>137.42976190476205</v>
      </c>
      <c r="Z27" s="550">
        <v>10</v>
      </c>
      <c r="AA27" s="420">
        <v>1508.0000000000014</v>
      </c>
      <c r="AB27" s="420">
        <v>150.80000000000013</v>
      </c>
      <c r="AC27" s="550">
        <f t="shared" ref="AC27:AC41" si="26">RANK(AB27, AB$27:AB$41)</f>
        <v>1</v>
      </c>
      <c r="AD27" s="636">
        <f t="shared" ref="AD27" si="27">AVERAGE(AB27:AB41)</f>
        <v>134.95476190476185</v>
      </c>
      <c r="AE27" s="550">
        <v>10</v>
      </c>
      <c r="AF27" s="420">
        <v>1508.0000000000014</v>
      </c>
      <c r="AG27" s="420">
        <v>150.80000000000013</v>
      </c>
      <c r="AH27" s="550">
        <f t="shared" ref="AH27:AH41" si="28">RANK(AG27, AG$27:AG$41)</f>
        <v>1</v>
      </c>
      <c r="AI27" s="636">
        <f t="shared" ref="AI27" si="29">AVERAGE(AG27:AG41)</f>
        <v>135.23369963369964</v>
      </c>
      <c r="AJ27" s="550">
        <v>10</v>
      </c>
      <c r="AK27" s="420">
        <v>1920.0000000000005</v>
      </c>
      <c r="AL27" s="420">
        <v>192.00000000000006</v>
      </c>
      <c r="AM27" s="550">
        <f t="shared" ref="AM27:AM41" si="30">RANK(AL27, AL$27:AL$41)</f>
        <v>1</v>
      </c>
      <c r="AN27" s="636">
        <f t="shared" ref="AN27" si="31">AVERAGE(AL27:AL41)</f>
        <v>165.47008547008554</v>
      </c>
      <c r="AO27" s="550">
        <v>10</v>
      </c>
      <c r="AP27" s="420">
        <v>1590.0000000000016</v>
      </c>
      <c r="AQ27" s="420">
        <v>159.00000000000017</v>
      </c>
      <c r="AR27" s="550">
        <f t="shared" ref="AR27:AR41" si="32">RANK(AQ27, AQ$27:AQ$41)</f>
        <v>1</v>
      </c>
      <c r="AS27" s="636">
        <f t="shared" ref="AS27" si="33">AVERAGE(AQ27:AQ41)</f>
        <v>153.98055555555578</v>
      </c>
      <c r="AT27" s="550">
        <v>10</v>
      </c>
      <c r="AU27" s="420">
        <v>1559.9999999999973</v>
      </c>
      <c r="AV27" s="420">
        <v>155.99999999999972</v>
      </c>
      <c r="AW27" s="550">
        <f t="shared" ref="AW27:AW41" si="34">RANK(AV27, AV$27:AV$41)</f>
        <v>1</v>
      </c>
      <c r="AX27" s="636">
        <f t="shared" ref="AX27" si="35">AVERAGE(AV27:AV41)</f>
        <v>152.15833333333339</v>
      </c>
      <c r="AY27" s="636" t="e">
        <f t="shared" ref="AY27" si="36">AVERAGE(AW27:AW41)</f>
        <v>#VALUE!</v>
      </c>
      <c r="AZ27" s="406" t="e">
        <f t="shared" ref="AZ27:AZ41" si="37">RANK(AY27, AY$27:AY$41)</f>
        <v>#VALUE!</v>
      </c>
      <c r="BA27" s="636" t="e">
        <f t="shared" ref="BA27" si="38">AVERAGE(AY27:AY41)</f>
        <v>#VALUE!</v>
      </c>
    </row>
    <row r="28" spans="2:53">
      <c r="B28" s="635"/>
      <c r="C28" s="415">
        <v>2</v>
      </c>
      <c r="D28" s="500" t="s">
        <v>631</v>
      </c>
      <c r="E28" s="500">
        <v>15</v>
      </c>
      <c r="F28" s="500">
        <v>1800</v>
      </c>
      <c r="G28" s="420">
        <v>120</v>
      </c>
      <c r="H28" s="672"/>
      <c r="I28" s="417">
        <f t="shared" si="19"/>
        <v>12.857142857142858</v>
      </c>
      <c r="J28" s="417">
        <f t="shared" si="20"/>
        <v>1799.4395604395618</v>
      </c>
      <c r="K28" s="199">
        <f t="shared" si="21"/>
        <v>140.80720172684468</v>
      </c>
      <c r="L28" s="609"/>
      <c r="M28" s="424">
        <f>RANK(K28, K$27:$K$41)</f>
        <v>3</v>
      </c>
      <c r="N28" s="627"/>
      <c r="O28" s="627"/>
      <c r="P28" s="550">
        <v>12</v>
      </c>
      <c r="Q28" s="420">
        <v>1784.2500000000027</v>
      </c>
      <c r="R28" s="420">
        <v>148.68750000000023</v>
      </c>
      <c r="S28" s="550">
        <f t="shared" si="22"/>
        <v>3</v>
      </c>
      <c r="T28" s="637"/>
      <c r="U28" s="550">
        <v>14</v>
      </c>
      <c r="V28" s="420">
        <v>1793.2500000000009</v>
      </c>
      <c r="W28" s="420">
        <v>128.08928571428578</v>
      </c>
      <c r="X28" s="550">
        <f t="shared" si="24"/>
        <v>3</v>
      </c>
      <c r="Y28" s="637"/>
      <c r="Z28" s="550">
        <v>14</v>
      </c>
      <c r="AA28" s="420">
        <v>1774.4999999999975</v>
      </c>
      <c r="AB28" s="420">
        <v>126.74999999999982</v>
      </c>
      <c r="AC28" s="550">
        <f t="shared" si="26"/>
        <v>3</v>
      </c>
      <c r="AD28" s="637"/>
      <c r="AE28" s="550">
        <v>14</v>
      </c>
      <c r="AF28" s="420">
        <v>1810.1538461538457</v>
      </c>
      <c r="AG28" s="420">
        <v>129.29670329670327</v>
      </c>
      <c r="AH28" s="550">
        <f t="shared" si="28"/>
        <v>2</v>
      </c>
      <c r="AI28" s="637"/>
      <c r="AJ28" s="550">
        <v>12</v>
      </c>
      <c r="AK28" s="420">
        <v>1788.923076923079</v>
      </c>
      <c r="AL28" s="420">
        <v>149.07692307692324</v>
      </c>
      <c r="AM28" s="550">
        <f t="shared" si="30"/>
        <v>3</v>
      </c>
      <c r="AN28" s="637"/>
      <c r="AO28" s="550">
        <v>12</v>
      </c>
      <c r="AP28" s="420">
        <v>1834.500000000003</v>
      </c>
      <c r="AQ28" s="420">
        <v>152.87500000000026</v>
      </c>
      <c r="AR28" s="550">
        <f t="shared" si="32"/>
        <v>2</v>
      </c>
      <c r="AS28" s="637"/>
      <c r="AT28" s="550">
        <v>12</v>
      </c>
      <c r="AU28" s="420">
        <v>1810.5000000000027</v>
      </c>
      <c r="AV28" s="420">
        <v>150.87500000000023</v>
      </c>
      <c r="AW28" s="550">
        <f t="shared" si="34"/>
        <v>2</v>
      </c>
      <c r="AX28" s="637"/>
      <c r="AY28" s="637"/>
      <c r="AZ28" s="406" t="e">
        <f t="shared" si="37"/>
        <v>#VALUE!</v>
      </c>
      <c r="BA28" s="637"/>
    </row>
    <row r="29" spans="2:53">
      <c r="B29" s="635"/>
      <c r="C29" s="415">
        <v>3</v>
      </c>
      <c r="D29" s="500" t="s">
        <v>632</v>
      </c>
      <c r="E29" s="500">
        <v>15</v>
      </c>
      <c r="F29" s="500">
        <v>1800</v>
      </c>
      <c r="G29" s="420">
        <v>120</v>
      </c>
      <c r="H29" s="672"/>
      <c r="I29" s="417">
        <f t="shared" si="19"/>
        <v>12.857142857142858</v>
      </c>
      <c r="J29" s="417">
        <f t="shared" si="20"/>
        <v>1805.4945054945069</v>
      </c>
      <c r="K29" s="199">
        <f t="shared" si="21"/>
        <v>141.32171637885935</v>
      </c>
      <c r="L29" s="609"/>
      <c r="M29" s="424">
        <f>RANK(K29, K$27:$K$41)</f>
        <v>2</v>
      </c>
      <c r="N29" s="627"/>
      <c r="O29" s="627"/>
      <c r="P29" s="550">
        <v>12</v>
      </c>
      <c r="Q29" s="420">
        <v>1806.4000000000028</v>
      </c>
      <c r="R29" s="420">
        <v>150.53333333333356</v>
      </c>
      <c r="S29" s="550">
        <f t="shared" si="22"/>
        <v>2</v>
      </c>
      <c r="T29" s="637"/>
      <c r="U29" s="550">
        <v>14</v>
      </c>
      <c r="V29" s="420">
        <v>1831.2000000000028</v>
      </c>
      <c r="W29" s="420">
        <v>130.80000000000021</v>
      </c>
      <c r="X29" s="550">
        <f t="shared" si="24"/>
        <v>2</v>
      </c>
      <c r="Y29" s="637"/>
      <c r="Z29" s="550">
        <v>14</v>
      </c>
      <c r="AA29" s="420">
        <v>1782.3999999999987</v>
      </c>
      <c r="AB29" s="420">
        <v>127.31428571428562</v>
      </c>
      <c r="AC29" s="550">
        <f t="shared" si="26"/>
        <v>2</v>
      </c>
      <c r="AD29" s="637"/>
      <c r="AE29" s="550">
        <v>14</v>
      </c>
      <c r="AF29" s="420">
        <v>1758.4615384615381</v>
      </c>
      <c r="AG29" s="420">
        <v>125.60439560439558</v>
      </c>
      <c r="AH29" s="550">
        <f t="shared" si="28"/>
        <v>3</v>
      </c>
      <c r="AI29" s="637"/>
      <c r="AJ29" s="550">
        <v>12</v>
      </c>
      <c r="AK29" s="420">
        <v>1863.9999999999991</v>
      </c>
      <c r="AL29" s="420">
        <v>155.33333333333326</v>
      </c>
      <c r="AM29" s="550">
        <f t="shared" si="30"/>
        <v>2</v>
      </c>
      <c r="AN29" s="637"/>
      <c r="AO29" s="550">
        <v>12</v>
      </c>
      <c r="AP29" s="420">
        <v>1800.8000000000027</v>
      </c>
      <c r="AQ29" s="420">
        <v>150.06666666666689</v>
      </c>
      <c r="AR29" s="550">
        <f t="shared" si="32"/>
        <v>3</v>
      </c>
      <c r="AS29" s="637"/>
      <c r="AT29" s="550">
        <v>12</v>
      </c>
      <c r="AU29" s="420">
        <v>1795.2000000000025</v>
      </c>
      <c r="AV29" s="420">
        <v>149.60000000000022</v>
      </c>
      <c r="AW29" s="550">
        <f t="shared" si="34"/>
        <v>3</v>
      </c>
      <c r="AX29" s="637"/>
      <c r="AY29" s="637"/>
      <c r="AZ29" s="406" t="e">
        <f t="shared" si="37"/>
        <v>#VALUE!</v>
      </c>
      <c r="BA29" s="637"/>
    </row>
    <row r="30" spans="2:53">
      <c r="B30" s="635"/>
      <c r="C30" s="415">
        <v>4</v>
      </c>
      <c r="D30" s="500"/>
      <c r="E30" s="500"/>
      <c r="F30" s="500"/>
      <c r="G30" s="420"/>
      <c r="H30" s="672"/>
      <c r="I30" s="417" t="str">
        <f t="shared" si="19"/>
        <v>-</v>
      </c>
      <c r="J30" s="417" t="str">
        <f t="shared" si="20"/>
        <v>-</v>
      </c>
      <c r="K30" s="199" t="str">
        <f t="shared" si="21"/>
        <v>-</v>
      </c>
      <c r="L30" s="609"/>
      <c r="M30" s="424" t="e">
        <f>RANK(K30, K$27:$K$41)</f>
        <v>#VALUE!</v>
      </c>
      <c r="N30" s="627"/>
      <c r="O30" s="627"/>
      <c r="P30" s="550" t="s">
        <v>623</v>
      </c>
      <c r="Q30" s="420" t="s">
        <v>623</v>
      </c>
      <c r="R30" s="420" t="s">
        <v>623</v>
      </c>
      <c r="S30" s="550" t="e">
        <f t="shared" si="22"/>
        <v>#VALUE!</v>
      </c>
      <c r="T30" s="637"/>
      <c r="U30" s="550" t="s">
        <v>623</v>
      </c>
      <c r="V30" s="420" t="s">
        <v>623</v>
      </c>
      <c r="W30" s="420" t="s">
        <v>623</v>
      </c>
      <c r="X30" s="550" t="e">
        <f t="shared" si="24"/>
        <v>#VALUE!</v>
      </c>
      <c r="Y30" s="637"/>
      <c r="Z30" s="550" t="s">
        <v>623</v>
      </c>
      <c r="AA30" s="420" t="s">
        <v>623</v>
      </c>
      <c r="AB30" s="420" t="s">
        <v>623</v>
      </c>
      <c r="AC30" s="550" t="e">
        <f t="shared" si="26"/>
        <v>#VALUE!</v>
      </c>
      <c r="AD30" s="637"/>
      <c r="AE30" s="550" t="s">
        <v>623</v>
      </c>
      <c r="AF30" s="420" t="s">
        <v>623</v>
      </c>
      <c r="AG30" s="420" t="s">
        <v>623</v>
      </c>
      <c r="AH30" s="550" t="e">
        <f t="shared" si="28"/>
        <v>#VALUE!</v>
      </c>
      <c r="AI30" s="637"/>
      <c r="AJ30" s="550" t="s">
        <v>623</v>
      </c>
      <c r="AK30" s="420" t="s">
        <v>623</v>
      </c>
      <c r="AL30" s="420" t="s">
        <v>623</v>
      </c>
      <c r="AM30" s="550" t="e">
        <f t="shared" si="30"/>
        <v>#VALUE!</v>
      </c>
      <c r="AN30" s="637"/>
      <c r="AO30" s="550" t="s">
        <v>623</v>
      </c>
      <c r="AP30" s="420" t="s">
        <v>623</v>
      </c>
      <c r="AQ30" s="420" t="s">
        <v>623</v>
      </c>
      <c r="AR30" s="550" t="e">
        <f t="shared" si="32"/>
        <v>#VALUE!</v>
      </c>
      <c r="AS30" s="637"/>
      <c r="AT30" s="550" t="s">
        <v>623</v>
      </c>
      <c r="AU30" s="420" t="s">
        <v>623</v>
      </c>
      <c r="AV30" s="420" t="s">
        <v>623</v>
      </c>
      <c r="AW30" s="550" t="e">
        <f t="shared" si="34"/>
        <v>#VALUE!</v>
      </c>
      <c r="AX30" s="637"/>
      <c r="AY30" s="637"/>
      <c r="AZ30" s="406" t="e">
        <f t="shared" si="37"/>
        <v>#VALUE!</v>
      </c>
      <c r="BA30" s="637"/>
    </row>
    <row r="31" spans="2:53">
      <c r="B31" s="635"/>
      <c r="C31" s="415">
        <v>5</v>
      </c>
      <c r="D31" s="500"/>
      <c r="E31" s="500"/>
      <c r="F31" s="500"/>
      <c r="G31" s="420"/>
      <c r="H31" s="672"/>
      <c r="I31" s="417" t="str">
        <f t="shared" si="19"/>
        <v>-</v>
      </c>
      <c r="J31" s="417" t="str">
        <f t="shared" si="20"/>
        <v>-</v>
      </c>
      <c r="K31" s="199" t="str">
        <f t="shared" si="21"/>
        <v>-</v>
      </c>
      <c r="L31" s="609"/>
      <c r="M31" s="424" t="e">
        <f>RANK(K31, K$27:$K$41)</f>
        <v>#VALUE!</v>
      </c>
      <c r="N31" s="627"/>
      <c r="O31" s="627"/>
      <c r="P31" s="550" t="s">
        <v>623</v>
      </c>
      <c r="Q31" s="420" t="s">
        <v>623</v>
      </c>
      <c r="R31" s="420" t="s">
        <v>623</v>
      </c>
      <c r="S31" s="550" t="e">
        <f t="shared" si="22"/>
        <v>#VALUE!</v>
      </c>
      <c r="T31" s="637"/>
      <c r="U31" s="550" t="s">
        <v>623</v>
      </c>
      <c r="V31" s="420" t="s">
        <v>623</v>
      </c>
      <c r="W31" s="420" t="s">
        <v>623</v>
      </c>
      <c r="X31" s="550" t="e">
        <f t="shared" si="24"/>
        <v>#VALUE!</v>
      </c>
      <c r="Y31" s="637"/>
      <c r="Z31" s="550" t="s">
        <v>623</v>
      </c>
      <c r="AA31" s="420" t="s">
        <v>623</v>
      </c>
      <c r="AB31" s="420" t="s">
        <v>623</v>
      </c>
      <c r="AC31" s="550" t="e">
        <f t="shared" si="26"/>
        <v>#VALUE!</v>
      </c>
      <c r="AD31" s="637"/>
      <c r="AE31" s="550" t="s">
        <v>623</v>
      </c>
      <c r="AF31" s="420" t="s">
        <v>623</v>
      </c>
      <c r="AG31" s="420" t="s">
        <v>623</v>
      </c>
      <c r="AH31" s="550" t="e">
        <f t="shared" si="28"/>
        <v>#VALUE!</v>
      </c>
      <c r="AI31" s="637"/>
      <c r="AJ31" s="550" t="s">
        <v>623</v>
      </c>
      <c r="AK31" s="420" t="s">
        <v>623</v>
      </c>
      <c r="AL31" s="420" t="s">
        <v>623</v>
      </c>
      <c r="AM31" s="550" t="e">
        <f t="shared" si="30"/>
        <v>#VALUE!</v>
      </c>
      <c r="AN31" s="637"/>
      <c r="AO31" s="550" t="s">
        <v>623</v>
      </c>
      <c r="AP31" s="420" t="s">
        <v>623</v>
      </c>
      <c r="AQ31" s="420" t="s">
        <v>623</v>
      </c>
      <c r="AR31" s="550" t="e">
        <f t="shared" si="32"/>
        <v>#VALUE!</v>
      </c>
      <c r="AS31" s="637"/>
      <c r="AT31" s="550" t="s">
        <v>623</v>
      </c>
      <c r="AU31" s="420" t="s">
        <v>623</v>
      </c>
      <c r="AV31" s="420" t="s">
        <v>623</v>
      </c>
      <c r="AW31" s="550" t="e">
        <f t="shared" si="34"/>
        <v>#VALUE!</v>
      </c>
      <c r="AX31" s="637"/>
      <c r="AY31" s="637"/>
      <c r="AZ31" s="406" t="e">
        <f t="shared" si="37"/>
        <v>#VALUE!</v>
      </c>
      <c r="BA31" s="637"/>
    </row>
    <row r="32" spans="2:53">
      <c r="B32" s="635"/>
      <c r="C32" s="415">
        <v>6</v>
      </c>
      <c r="D32" s="500"/>
      <c r="E32" s="500"/>
      <c r="F32" s="500"/>
      <c r="G32" s="420"/>
      <c r="H32" s="672"/>
      <c r="I32" s="417" t="str">
        <f t="shared" si="19"/>
        <v>-</v>
      </c>
      <c r="J32" s="417" t="str">
        <f t="shared" si="20"/>
        <v>-</v>
      </c>
      <c r="K32" s="199" t="str">
        <f t="shared" si="21"/>
        <v>-</v>
      </c>
      <c r="L32" s="609"/>
      <c r="M32" s="424" t="e">
        <f>RANK(K32, K$27:$K$41)</f>
        <v>#VALUE!</v>
      </c>
      <c r="N32" s="627"/>
      <c r="O32" s="627"/>
      <c r="P32" s="550" t="s">
        <v>623</v>
      </c>
      <c r="Q32" s="420" t="s">
        <v>623</v>
      </c>
      <c r="R32" s="420" t="s">
        <v>623</v>
      </c>
      <c r="S32" s="550" t="e">
        <f t="shared" si="22"/>
        <v>#VALUE!</v>
      </c>
      <c r="T32" s="637"/>
      <c r="U32" s="550" t="s">
        <v>623</v>
      </c>
      <c r="V32" s="420" t="s">
        <v>623</v>
      </c>
      <c r="W32" s="420" t="s">
        <v>623</v>
      </c>
      <c r="X32" s="550" t="e">
        <f t="shared" si="24"/>
        <v>#VALUE!</v>
      </c>
      <c r="Y32" s="637"/>
      <c r="Z32" s="550" t="s">
        <v>623</v>
      </c>
      <c r="AA32" s="420" t="s">
        <v>623</v>
      </c>
      <c r="AB32" s="420" t="s">
        <v>623</v>
      </c>
      <c r="AC32" s="550" t="e">
        <f t="shared" si="26"/>
        <v>#VALUE!</v>
      </c>
      <c r="AD32" s="637"/>
      <c r="AE32" s="550" t="s">
        <v>623</v>
      </c>
      <c r="AF32" s="420" t="s">
        <v>623</v>
      </c>
      <c r="AG32" s="420" t="s">
        <v>623</v>
      </c>
      <c r="AH32" s="550" t="e">
        <f t="shared" si="28"/>
        <v>#VALUE!</v>
      </c>
      <c r="AI32" s="637"/>
      <c r="AJ32" s="550" t="s">
        <v>623</v>
      </c>
      <c r="AK32" s="420" t="s">
        <v>623</v>
      </c>
      <c r="AL32" s="420" t="s">
        <v>623</v>
      </c>
      <c r="AM32" s="550" t="e">
        <f t="shared" si="30"/>
        <v>#VALUE!</v>
      </c>
      <c r="AN32" s="637"/>
      <c r="AO32" s="550" t="s">
        <v>623</v>
      </c>
      <c r="AP32" s="420" t="s">
        <v>623</v>
      </c>
      <c r="AQ32" s="420" t="s">
        <v>623</v>
      </c>
      <c r="AR32" s="550" t="e">
        <f t="shared" si="32"/>
        <v>#VALUE!</v>
      </c>
      <c r="AS32" s="637"/>
      <c r="AT32" s="550" t="s">
        <v>623</v>
      </c>
      <c r="AU32" s="420" t="s">
        <v>623</v>
      </c>
      <c r="AV32" s="420" t="s">
        <v>623</v>
      </c>
      <c r="AW32" s="550" t="e">
        <f t="shared" si="34"/>
        <v>#VALUE!</v>
      </c>
      <c r="AX32" s="637"/>
      <c r="AY32" s="637"/>
      <c r="AZ32" s="406" t="e">
        <f t="shared" si="37"/>
        <v>#VALUE!</v>
      </c>
      <c r="BA32" s="637"/>
    </row>
    <row r="33" spans="2:53">
      <c r="B33" s="635"/>
      <c r="C33" s="415">
        <v>7</v>
      </c>
      <c r="D33" s="500"/>
      <c r="E33" s="500"/>
      <c r="F33" s="500"/>
      <c r="G33" s="420"/>
      <c r="H33" s="672"/>
      <c r="I33" s="417" t="str">
        <f t="shared" si="19"/>
        <v>-</v>
      </c>
      <c r="J33" s="417" t="str">
        <f t="shared" si="20"/>
        <v>-</v>
      </c>
      <c r="K33" s="199" t="str">
        <f t="shared" si="21"/>
        <v>-</v>
      </c>
      <c r="L33" s="609"/>
      <c r="M33" s="424" t="e">
        <f>RANK(K33, K$27:$K$41)</f>
        <v>#VALUE!</v>
      </c>
      <c r="N33" s="627"/>
      <c r="O33" s="627"/>
      <c r="P33" s="550" t="s">
        <v>623</v>
      </c>
      <c r="Q33" s="420" t="s">
        <v>623</v>
      </c>
      <c r="R33" s="420" t="s">
        <v>623</v>
      </c>
      <c r="S33" s="550" t="e">
        <f t="shared" si="22"/>
        <v>#VALUE!</v>
      </c>
      <c r="T33" s="637"/>
      <c r="U33" s="550" t="s">
        <v>623</v>
      </c>
      <c r="V33" s="420" t="s">
        <v>623</v>
      </c>
      <c r="W33" s="420" t="s">
        <v>623</v>
      </c>
      <c r="X33" s="550" t="e">
        <f t="shared" si="24"/>
        <v>#VALUE!</v>
      </c>
      <c r="Y33" s="637"/>
      <c r="Z33" s="550" t="s">
        <v>623</v>
      </c>
      <c r="AA33" s="420" t="s">
        <v>623</v>
      </c>
      <c r="AB33" s="420" t="s">
        <v>623</v>
      </c>
      <c r="AC33" s="550" t="e">
        <f t="shared" si="26"/>
        <v>#VALUE!</v>
      </c>
      <c r="AD33" s="637"/>
      <c r="AE33" s="550" t="s">
        <v>623</v>
      </c>
      <c r="AF33" s="420" t="s">
        <v>623</v>
      </c>
      <c r="AG33" s="420" t="s">
        <v>623</v>
      </c>
      <c r="AH33" s="550" t="e">
        <f t="shared" si="28"/>
        <v>#VALUE!</v>
      </c>
      <c r="AI33" s="637"/>
      <c r="AJ33" s="550" t="s">
        <v>623</v>
      </c>
      <c r="AK33" s="420" t="s">
        <v>623</v>
      </c>
      <c r="AL33" s="420" t="s">
        <v>623</v>
      </c>
      <c r="AM33" s="550" t="e">
        <f t="shared" si="30"/>
        <v>#VALUE!</v>
      </c>
      <c r="AN33" s="637"/>
      <c r="AO33" s="550" t="s">
        <v>623</v>
      </c>
      <c r="AP33" s="420" t="s">
        <v>623</v>
      </c>
      <c r="AQ33" s="420" t="s">
        <v>623</v>
      </c>
      <c r="AR33" s="550" t="e">
        <f t="shared" si="32"/>
        <v>#VALUE!</v>
      </c>
      <c r="AS33" s="637"/>
      <c r="AT33" s="550" t="s">
        <v>623</v>
      </c>
      <c r="AU33" s="420" t="s">
        <v>623</v>
      </c>
      <c r="AV33" s="420" t="s">
        <v>623</v>
      </c>
      <c r="AW33" s="550" t="e">
        <f t="shared" si="34"/>
        <v>#VALUE!</v>
      </c>
      <c r="AX33" s="637"/>
      <c r="AY33" s="637"/>
      <c r="AZ33" s="406" t="e">
        <f t="shared" si="37"/>
        <v>#VALUE!</v>
      </c>
      <c r="BA33" s="637"/>
    </row>
    <row r="34" spans="2:53">
      <c r="B34" s="635"/>
      <c r="C34" s="415">
        <v>8</v>
      </c>
      <c r="D34" s="500"/>
      <c r="E34" s="500"/>
      <c r="F34" s="500"/>
      <c r="G34" s="420"/>
      <c r="H34" s="672"/>
      <c r="I34" s="417" t="str">
        <f t="shared" si="19"/>
        <v>-</v>
      </c>
      <c r="J34" s="417" t="str">
        <f t="shared" si="20"/>
        <v>-</v>
      </c>
      <c r="K34" s="199" t="str">
        <f t="shared" si="21"/>
        <v>-</v>
      </c>
      <c r="L34" s="609"/>
      <c r="M34" s="424" t="e">
        <f>RANK(K34, K$27:$K$41)</f>
        <v>#VALUE!</v>
      </c>
      <c r="N34" s="627"/>
      <c r="O34" s="627"/>
      <c r="P34" s="550" t="s">
        <v>623</v>
      </c>
      <c r="Q34" s="420" t="s">
        <v>623</v>
      </c>
      <c r="R34" s="420" t="s">
        <v>623</v>
      </c>
      <c r="S34" s="550" t="e">
        <f t="shared" si="22"/>
        <v>#VALUE!</v>
      </c>
      <c r="T34" s="637"/>
      <c r="U34" s="550" t="s">
        <v>623</v>
      </c>
      <c r="V34" s="420" t="s">
        <v>623</v>
      </c>
      <c r="W34" s="420" t="s">
        <v>623</v>
      </c>
      <c r="X34" s="550" t="e">
        <f t="shared" si="24"/>
        <v>#VALUE!</v>
      </c>
      <c r="Y34" s="637"/>
      <c r="Z34" s="550" t="s">
        <v>623</v>
      </c>
      <c r="AA34" s="420" t="s">
        <v>623</v>
      </c>
      <c r="AB34" s="420" t="s">
        <v>623</v>
      </c>
      <c r="AC34" s="550" t="e">
        <f t="shared" si="26"/>
        <v>#VALUE!</v>
      </c>
      <c r="AD34" s="637"/>
      <c r="AE34" s="550" t="s">
        <v>623</v>
      </c>
      <c r="AF34" s="420" t="s">
        <v>623</v>
      </c>
      <c r="AG34" s="420" t="s">
        <v>623</v>
      </c>
      <c r="AH34" s="550" t="e">
        <f t="shared" si="28"/>
        <v>#VALUE!</v>
      </c>
      <c r="AI34" s="637"/>
      <c r="AJ34" s="550" t="s">
        <v>623</v>
      </c>
      <c r="AK34" s="420" t="s">
        <v>623</v>
      </c>
      <c r="AL34" s="420" t="s">
        <v>623</v>
      </c>
      <c r="AM34" s="550" t="e">
        <f t="shared" si="30"/>
        <v>#VALUE!</v>
      </c>
      <c r="AN34" s="637"/>
      <c r="AO34" s="550" t="s">
        <v>623</v>
      </c>
      <c r="AP34" s="420" t="s">
        <v>623</v>
      </c>
      <c r="AQ34" s="420" t="s">
        <v>623</v>
      </c>
      <c r="AR34" s="550" t="e">
        <f t="shared" si="32"/>
        <v>#VALUE!</v>
      </c>
      <c r="AS34" s="637"/>
      <c r="AT34" s="550" t="s">
        <v>623</v>
      </c>
      <c r="AU34" s="420" t="s">
        <v>623</v>
      </c>
      <c r="AV34" s="420" t="s">
        <v>623</v>
      </c>
      <c r="AW34" s="550" t="e">
        <f t="shared" si="34"/>
        <v>#VALUE!</v>
      </c>
      <c r="AX34" s="637"/>
      <c r="AY34" s="637"/>
      <c r="AZ34" s="406" t="e">
        <f t="shared" si="37"/>
        <v>#VALUE!</v>
      </c>
      <c r="BA34" s="637"/>
    </row>
    <row r="35" spans="2:53">
      <c r="B35" s="635"/>
      <c r="C35" s="415">
        <v>9</v>
      </c>
      <c r="D35" s="500"/>
      <c r="E35" s="500"/>
      <c r="F35" s="500"/>
      <c r="G35" s="420"/>
      <c r="H35" s="672"/>
      <c r="I35" s="417" t="str">
        <f t="shared" si="19"/>
        <v>-</v>
      </c>
      <c r="J35" s="417" t="str">
        <f t="shared" si="20"/>
        <v>-</v>
      </c>
      <c r="K35" s="199" t="str">
        <f t="shared" si="21"/>
        <v>-</v>
      </c>
      <c r="L35" s="609"/>
      <c r="M35" s="424" t="e">
        <f>RANK(K35, K$27:$K$41)</f>
        <v>#VALUE!</v>
      </c>
      <c r="N35" s="627"/>
      <c r="O35" s="627"/>
      <c r="P35" s="550" t="s">
        <v>623</v>
      </c>
      <c r="Q35" s="420" t="s">
        <v>623</v>
      </c>
      <c r="R35" s="420" t="s">
        <v>623</v>
      </c>
      <c r="S35" s="550" t="e">
        <f t="shared" si="22"/>
        <v>#VALUE!</v>
      </c>
      <c r="T35" s="637"/>
      <c r="U35" s="550" t="s">
        <v>623</v>
      </c>
      <c r="V35" s="420" t="s">
        <v>623</v>
      </c>
      <c r="W35" s="420" t="s">
        <v>623</v>
      </c>
      <c r="X35" s="550" t="e">
        <f t="shared" si="24"/>
        <v>#VALUE!</v>
      </c>
      <c r="Y35" s="637"/>
      <c r="Z35" s="550" t="s">
        <v>623</v>
      </c>
      <c r="AA35" s="420" t="s">
        <v>623</v>
      </c>
      <c r="AB35" s="420" t="s">
        <v>623</v>
      </c>
      <c r="AC35" s="550" t="e">
        <f t="shared" si="26"/>
        <v>#VALUE!</v>
      </c>
      <c r="AD35" s="637"/>
      <c r="AE35" s="550" t="s">
        <v>623</v>
      </c>
      <c r="AF35" s="420" t="s">
        <v>623</v>
      </c>
      <c r="AG35" s="420" t="s">
        <v>623</v>
      </c>
      <c r="AH35" s="550" t="e">
        <f t="shared" si="28"/>
        <v>#VALUE!</v>
      </c>
      <c r="AI35" s="637"/>
      <c r="AJ35" s="550" t="s">
        <v>623</v>
      </c>
      <c r="AK35" s="420" t="s">
        <v>623</v>
      </c>
      <c r="AL35" s="420" t="s">
        <v>623</v>
      </c>
      <c r="AM35" s="550" t="e">
        <f t="shared" si="30"/>
        <v>#VALUE!</v>
      </c>
      <c r="AN35" s="637"/>
      <c r="AO35" s="550" t="s">
        <v>623</v>
      </c>
      <c r="AP35" s="420" t="s">
        <v>623</v>
      </c>
      <c r="AQ35" s="420" t="s">
        <v>623</v>
      </c>
      <c r="AR35" s="550" t="e">
        <f t="shared" si="32"/>
        <v>#VALUE!</v>
      </c>
      <c r="AS35" s="637"/>
      <c r="AT35" s="550" t="s">
        <v>623</v>
      </c>
      <c r="AU35" s="420" t="s">
        <v>623</v>
      </c>
      <c r="AV35" s="420" t="s">
        <v>623</v>
      </c>
      <c r="AW35" s="550" t="e">
        <f t="shared" si="34"/>
        <v>#VALUE!</v>
      </c>
      <c r="AX35" s="637"/>
      <c r="AY35" s="637"/>
      <c r="AZ35" s="406" t="e">
        <f t="shared" si="37"/>
        <v>#VALUE!</v>
      </c>
      <c r="BA35" s="637"/>
    </row>
    <row r="36" spans="2:53">
      <c r="B36" s="635"/>
      <c r="C36" s="415">
        <v>10</v>
      </c>
      <c r="D36" s="500"/>
      <c r="E36" s="500"/>
      <c r="F36" s="500"/>
      <c r="G36" s="420"/>
      <c r="H36" s="672"/>
      <c r="I36" s="417" t="str">
        <f t="shared" si="19"/>
        <v>-</v>
      </c>
      <c r="J36" s="417" t="str">
        <f t="shared" si="20"/>
        <v>-</v>
      </c>
      <c r="K36" s="199" t="str">
        <f t="shared" si="21"/>
        <v>-</v>
      </c>
      <c r="L36" s="609"/>
      <c r="M36" s="424" t="e">
        <f>RANK(K36, K$27:$K$41)</f>
        <v>#VALUE!</v>
      </c>
      <c r="N36" s="627"/>
      <c r="O36" s="627"/>
      <c r="P36" s="550" t="s">
        <v>623</v>
      </c>
      <c r="Q36" s="420" t="s">
        <v>623</v>
      </c>
      <c r="R36" s="420" t="s">
        <v>623</v>
      </c>
      <c r="S36" s="550" t="e">
        <f t="shared" si="22"/>
        <v>#VALUE!</v>
      </c>
      <c r="T36" s="637"/>
      <c r="U36" s="550" t="s">
        <v>623</v>
      </c>
      <c r="V36" s="420" t="s">
        <v>623</v>
      </c>
      <c r="W36" s="420" t="s">
        <v>623</v>
      </c>
      <c r="X36" s="550" t="e">
        <f t="shared" si="24"/>
        <v>#VALUE!</v>
      </c>
      <c r="Y36" s="637"/>
      <c r="Z36" s="550" t="s">
        <v>623</v>
      </c>
      <c r="AA36" s="420" t="s">
        <v>623</v>
      </c>
      <c r="AB36" s="420" t="s">
        <v>623</v>
      </c>
      <c r="AC36" s="550" t="e">
        <f t="shared" si="26"/>
        <v>#VALUE!</v>
      </c>
      <c r="AD36" s="637"/>
      <c r="AE36" s="550" t="s">
        <v>623</v>
      </c>
      <c r="AF36" s="420" t="s">
        <v>623</v>
      </c>
      <c r="AG36" s="420" t="s">
        <v>623</v>
      </c>
      <c r="AH36" s="550" t="e">
        <f t="shared" si="28"/>
        <v>#VALUE!</v>
      </c>
      <c r="AI36" s="637"/>
      <c r="AJ36" s="550" t="s">
        <v>623</v>
      </c>
      <c r="AK36" s="420" t="s">
        <v>623</v>
      </c>
      <c r="AL36" s="420" t="s">
        <v>623</v>
      </c>
      <c r="AM36" s="550" t="e">
        <f t="shared" si="30"/>
        <v>#VALUE!</v>
      </c>
      <c r="AN36" s="637"/>
      <c r="AO36" s="550" t="s">
        <v>623</v>
      </c>
      <c r="AP36" s="420" t="s">
        <v>623</v>
      </c>
      <c r="AQ36" s="420" t="s">
        <v>623</v>
      </c>
      <c r="AR36" s="550" t="e">
        <f t="shared" si="32"/>
        <v>#VALUE!</v>
      </c>
      <c r="AS36" s="637"/>
      <c r="AT36" s="550" t="s">
        <v>623</v>
      </c>
      <c r="AU36" s="420" t="s">
        <v>623</v>
      </c>
      <c r="AV36" s="420" t="s">
        <v>623</v>
      </c>
      <c r="AW36" s="550" t="e">
        <f t="shared" si="34"/>
        <v>#VALUE!</v>
      </c>
      <c r="AX36" s="637"/>
      <c r="AY36" s="637"/>
      <c r="AZ36" s="406" t="e">
        <f t="shared" si="37"/>
        <v>#VALUE!</v>
      </c>
      <c r="BA36" s="637"/>
    </row>
    <row r="37" spans="2:53">
      <c r="B37" s="635"/>
      <c r="C37" s="415">
        <v>11</v>
      </c>
      <c r="D37" s="500"/>
      <c r="E37" s="500"/>
      <c r="F37" s="500"/>
      <c r="G37" s="420"/>
      <c r="H37" s="672"/>
      <c r="I37" s="417" t="str">
        <f t="shared" si="19"/>
        <v>-</v>
      </c>
      <c r="J37" s="417" t="str">
        <f t="shared" si="20"/>
        <v>-</v>
      </c>
      <c r="K37" s="199" t="str">
        <f t="shared" si="21"/>
        <v>-</v>
      </c>
      <c r="L37" s="609"/>
      <c r="M37" s="424" t="e">
        <f>RANK(K37, K$27:$K$41)</f>
        <v>#VALUE!</v>
      </c>
      <c r="N37" s="627"/>
      <c r="O37" s="627"/>
      <c r="P37" s="550" t="s">
        <v>623</v>
      </c>
      <c r="Q37" s="420" t="s">
        <v>623</v>
      </c>
      <c r="R37" s="420" t="s">
        <v>623</v>
      </c>
      <c r="S37" s="550" t="e">
        <f t="shared" si="22"/>
        <v>#VALUE!</v>
      </c>
      <c r="T37" s="637"/>
      <c r="U37" s="550" t="s">
        <v>623</v>
      </c>
      <c r="V37" s="420" t="s">
        <v>623</v>
      </c>
      <c r="W37" s="420" t="s">
        <v>623</v>
      </c>
      <c r="X37" s="550" t="e">
        <f t="shared" si="24"/>
        <v>#VALUE!</v>
      </c>
      <c r="Y37" s="637"/>
      <c r="Z37" s="550" t="s">
        <v>623</v>
      </c>
      <c r="AA37" s="420" t="s">
        <v>623</v>
      </c>
      <c r="AB37" s="420" t="s">
        <v>623</v>
      </c>
      <c r="AC37" s="550" t="e">
        <f t="shared" si="26"/>
        <v>#VALUE!</v>
      </c>
      <c r="AD37" s="637"/>
      <c r="AE37" s="550" t="s">
        <v>623</v>
      </c>
      <c r="AF37" s="420" t="s">
        <v>623</v>
      </c>
      <c r="AG37" s="420" t="s">
        <v>623</v>
      </c>
      <c r="AH37" s="550" t="e">
        <f t="shared" si="28"/>
        <v>#VALUE!</v>
      </c>
      <c r="AI37" s="637"/>
      <c r="AJ37" s="550" t="s">
        <v>623</v>
      </c>
      <c r="AK37" s="420" t="s">
        <v>623</v>
      </c>
      <c r="AL37" s="420" t="s">
        <v>623</v>
      </c>
      <c r="AM37" s="550" t="e">
        <f t="shared" si="30"/>
        <v>#VALUE!</v>
      </c>
      <c r="AN37" s="637"/>
      <c r="AO37" s="550" t="s">
        <v>623</v>
      </c>
      <c r="AP37" s="420" t="s">
        <v>623</v>
      </c>
      <c r="AQ37" s="420" t="s">
        <v>623</v>
      </c>
      <c r="AR37" s="550" t="e">
        <f t="shared" si="32"/>
        <v>#VALUE!</v>
      </c>
      <c r="AS37" s="637"/>
      <c r="AT37" s="550" t="s">
        <v>623</v>
      </c>
      <c r="AU37" s="420" t="s">
        <v>623</v>
      </c>
      <c r="AV37" s="420" t="s">
        <v>623</v>
      </c>
      <c r="AW37" s="550" t="e">
        <f t="shared" si="34"/>
        <v>#VALUE!</v>
      </c>
      <c r="AX37" s="637"/>
      <c r="AY37" s="637"/>
      <c r="AZ37" s="406" t="e">
        <f t="shared" si="37"/>
        <v>#VALUE!</v>
      </c>
      <c r="BA37" s="637"/>
    </row>
    <row r="38" spans="2:53">
      <c r="B38" s="635"/>
      <c r="C38" s="415">
        <v>12</v>
      </c>
      <c r="D38" s="500"/>
      <c r="E38" s="500"/>
      <c r="F38" s="500"/>
      <c r="G38" s="420"/>
      <c r="H38" s="672"/>
      <c r="I38" s="417" t="str">
        <f t="shared" si="19"/>
        <v>-</v>
      </c>
      <c r="J38" s="417" t="str">
        <f t="shared" si="20"/>
        <v>-</v>
      </c>
      <c r="K38" s="199" t="str">
        <f t="shared" si="21"/>
        <v>-</v>
      </c>
      <c r="L38" s="609"/>
      <c r="M38" s="424" t="e">
        <f>RANK(K38, K$27:$K$41)</f>
        <v>#VALUE!</v>
      </c>
      <c r="N38" s="627"/>
      <c r="O38" s="627"/>
      <c r="P38" s="550" t="s">
        <v>623</v>
      </c>
      <c r="Q38" s="420" t="s">
        <v>623</v>
      </c>
      <c r="R38" s="420" t="s">
        <v>623</v>
      </c>
      <c r="S38" s="550" t="e">
        <f t="shared" si="22"/>
        <v>#VALUE!</v>
      </c>
      <c r="T38" s="637"/>
      <c r="U38" s="550" t="s">
        <v>623</v>
      </c>
      <c r="V38" s="420" t="s">
        <v>623</v>
      </c>
      <c r="W38" s="420" t="s">
        <v>623</v>
      </c>
      <c r="X38" s="550" t="e">
        <f t="shared" si="24"/>
        <v>#VALUE!</v>
      </c>
      <c r="Y38" s="637"/>
      <c r="Z38" s="550" t="s">
        <v>623</v>
      </c>
      <c r="AA38" s="420" t="s">
        <v>623</v>
      </c>
      <c r="AB38" s="420" t="s">
        <v>623</v>
      </c>
      <c r="AC38" s="550" t="e">
        <f t="shared" si="26"/>
        <v>#VALUE!</v>
      </c>
      <c r="AD38" s="637"/>
      <c r="AE38" s="550" t="s">
        <v>623</v>
      </c>
      <c r="AF38" s="420" t="s">
        <v>623</v>
      </c>
      <c r="AG38" s="420" t="s">
        <v>623</v>
      </c>
      <c r="AH38" s="550" t="e">
        <f t="shared" si="28"/>
        <v>#VALUE!</v>
      </c>
      <c r="AI38" s="637"/>
      <c r="AJ38" s="550" t="s">
        <v>623</v>
      </c>
      <c r="AK38" s="420" t="s">
        <v>623</v>
      </c>
      <c r="AL38" s="420" t="s">
        <v>623</v>
      </c>
      <c r="AM38" s="550" t="e">
        <f t="shared" si="30"/>
        <v>#VALUE!</v>
      </c>
      <c r="AN38" s="637"/>
      <c r="AO38" s="550" t="s">
        <v>623</v>
      </c>
      <c r="AP38" s="420" t="s">
        <v>623</v>
      </c>
      <c r="AQ38" s="420" t="s">
        <v>623</v>
      </c>
      <c r="AR38" s="550" t="e">
        <f t="shared" si="32"/>
        <v>#VALUE!</v>
      </c>
      <c r="AS38" s="637"/>
      <c r="AT38" s="550" t="s">
        <v>623</v>
      </c>
      <c r="AU38" s="420" t="s">
        <v>623</v>
      </c>
      <c r="AV38" s="420" t="s">
        <v>623</v>
      </c>
      <c r="AW38" s="550" t="e">
        <f t="shared" si="34"/>
        <v>#VALUE!</v>
      </c>
      <c r="AX38" s="637"/>
      <c r="AY38" s="637"/>
      <c r="AZ38" s="406" t="e">
        <f t="shared" si="37"/>
        <v>#VALUE!</v>
      </c>
      <c r="BA38" s="637"/>
    </row>
    <row r="39" spans="2:53">
      <c r="B39" s="635"/>
      <c r="C39" s="415">
        <v>13</v>
      </c>
      <c r="D39" s="500"/>
      <c r="E39" s="500"/>
      <c r="F39" s="500"/>
      <c r="G39" s="420"/>
      <c r="H39" s="672"/>
      <c r="I39" s="417" t="str">
        <f t="shared" si="19"/>
        <v>-</v>
      </c>
      <c r="J39" s="417" t="str">
        <f t="shared" si="20"/>
        <v>-</v>
      </c>
      <c r="K39" s="199" t="str">
        <f t="shared" si="21"/>
        <v>-</v>
      </c>
      <c r="L39" s="609"/>
      <c r="M39" s="424" t="e">
        <f>RANK(K39, K$27:$K$41)</f>
        <v>#VALUE!</v>
      </c>
      <c r="N39" s="627"/>
      <c r="O39" s="627"/>
      <c r="P39" s="550" t="s">
        <v>623</v>
      </c>
      <c r="Q39" s="420" t="s">
        <v>623</v>
      </c>
      <c r="R39" s="420" t="s">
        <v>623</v>
      </c>
      <c r="S39" s="550" t="e">
        <f t="shared" si="22"/>
        <v>#VALUE!</v>
      </c>
      <c r="T39" s="637"/>
      <c r="U39" s="550" t="s">
        <v>623</v>
      </c>
      <c r="V39" s="420" t="s">
        <v>623</v>
      </c>
      <c r="W39" s="420" t="s">
        <v>623</v>
      </c>
      <c r="X39" s="550" t="e">
        <f t="shared" si="24"/>
        <v>#VALUE!</v>
      </c>
      <c r="Y39" s="637"/>
      <c r="Z39" s="550" t="s">
        <v>623</v>
      </c>
      <c r="AA39" s="420" t="s">
        <v>623</v>
      </c>
      <c r="AB39" s="420" t="s">
        <v>623</v>
      </c>
      <c r="AC39" s="550" t="e">
        <f t="shared" si="26"/>
        <v>#VALUE!</v>
      </c>
      <c r="AD39" s="637"/>
      <c r="AE39" s="550" t="s">
        <v>623</v>
      </c>
      <c r="AF39" s="420" t="s">
        <v>623</v>
      </c>
      <c r="AG39" s="420" t="s">
        <v>623</v>
      </c>
      <c r="AH39" s="550" t="e">
        <f t="shared" si="28"/>
        <v>#VALUE!</v>
      </c>
      <c r="AI39" s="637"/>
      <c r="AJ39" s="550" t="s">
        <v>623</v>
      </c>
      <c r="AK39" s="420" t="s">
        <v>623</v>
      </c>
      <c r="AL39" s="420" t="s">
        <v>623</v>
      </c>
      <c r="AM39" s="550" t="e">
        <f t="shared" si="30"/>
        <v>#VALUE!</v>
      </c>
      <c r="AN39" s="637"/>
      <c r="AO39" s="550" t="s">
        <v>623</v>
      </c>
      <c r="AP39" s="420" t="s">
        <v>623</v>
      </c>
      <c r="AQ39" s="420" t="s">
        <v>623</v>
      </c>
      <c r="AR39" s="550" t="e">
        <f t="shared" si="32"/>
        <v>#VALUE!</v>
      </c>
      <c r="AS39" s="637"/>
      <c r="AT39" s="550" t="s">
        <v>623</v>
      </c>
      <c r="AU39" s="420" t="s">
        <v>623</v>
      </c>
      <c r="AV39" s="420" t="s">
        <v>623</v>
      </c>
      <c r="AW39" s="550" t="e">
        <f t="shared" si="34"/>
        <v>#VALUE!</v>
      </c>
      <c r="AX39" s="637"/>
      <c r="AY39" s="637"/>
      <c r="AZ39" s="406" t="e">
        <f t="shared" si="37"/>
        <v>#VALUE!</v>
      </c>
      <c r="BA39" s="637"/>
    </row>
    <row r="40" spans="2:53">
      <c r="B40" s="635"/>
      <c r="C40" s="415">
        <v>14</v>
      </c>
      <c r="D40" s="500"/>
      <c r="E40" s="500"/>
      <c r="F40" s="500"/>
      <c r="G40" s="420"/>
      <c r="H40" s="672"/>
      <c r="I40" s="417" t="str">
        <f t="shared" si="19"/>
        <v>-</v>
      </c>
      <c r="J40" s="417" t="str">
        <f t="shared" si="20"/>
        <v>-</v>
      </c>
      <c r="K40" s="199" t="str">
        <f t="shared" si="21"/>
        <v>-</v>
      </c>
      <c r="L40" s="609"/>
      <c r="M40" s="424" t="e">
        <f>RANK(K40, K$27:$K$41)</f>
        <v>#VALUE!</v>
      </c>
      <c r="N40" s="627"/>
      <c r="O40" s="627"/>
      <c r="P40" s="550" t="s">
        <v>623</v>
      </c>
      <c r="Q40" s="420" t="s">
        <v>623</v>
      </c>
      <c r="R40" s="420" t="s">
        <v>623</v>
      </c>
      <c r="S40" s="550" t="e">
        <f t="shared" si="22"/>
        <v>#VALUE!</v>
      </c>
      <c r="T40" s="637"/>
      <c r="U40" s="550" t="s">
        <v>623</v>
      </c>
      <c r="V40" s="420" t="s">
        <v>623</v>
      </c>
      <c r="W40" s="420" t="s">
        <v>623</v>
      </c>
      <c r="X40" s="550" t="e">
        <f t="shared" si="24"/>
        <v>#VALUE!</v>
      </c>
      <c r="Y40" s="637"/>
      <c r="Z40" s="550" t="s">
        <v>623</v>
      </c>
      <c r="AA40" s="420" t="s">
        <v>623</v>
      </c>
      <c r="AB40" s="420" t="s">
        <v>623</v>
      </c>
      <c r="AC40" s="550" t="e">
        <f t="shared" si="26"/>
        <v>#VALUE!</v>
      </c>
      <c r="AD40" s="637"/>
      <c r="AE40" s="550" t="s">
        <v>623</v>
      </c>
      <c r="AF40" s="420" t="s">
        <v>623</v>
      </c>
      <c r="AG40" s="420" t="s">
        <v>623</v>
      </c>
      <c r="AH40" s="550" t="e">
        <f t="shared" si="28"/>
        <v>#VALUE!</v>
      </c>
      <c r="AI40" s="637"/>
      <c r="AJ40" s="550" t="s">
        <v>623</v>
      </c>
      <c r="AK40" s="420" t="s">
        <v>623</v>
      </c>
      <c r="AL40" s="420" t="s">
        <v>623</v>
      </c>
      <c r="AM40" s="550" t="e">
        <f t="shared" si="30"/>
        <v>#VALUE!</v>
      </c>
      <c r="AN40" s="637"/>
      <c r="AO40" s="550" t="s">
        <v>623</v>
      </c>
      <c r="AP40" s="420" t="s">
        <v>623</v>
      </c>
      <c r="AQ40" s="420" t="s">
        <v>623</v>
      </c>
      <c r="AR40" s="550" t="e">
        <f t="shared" si="32"/>
        <v>#VALUE!</v>
      </c>
      <c r="AS40" s="637"/>
      <c r="AT40" s="550" t="s">
        <v>623</v>
      </c>
      <c r="AU40" s="420" t="s">
        <v>623</v>
      </c>
      <c r="AV40" s="420" t="s">
        <v>623</v>
      </c>
      <c r="AW40" s="550" t="e">
        <f t="shared" si="34"/>
        <v>#VALUE!</v>
      </c>
      <c r="AX40" s="637"/>
      <c r="AY40" s="637"/>
      <c r="AZ40" s="406" t="e">
        <f t="shared" si="37"/>
        <v>#VALUE!</v>
      </c>
      <c r="BA40" s="637"/>
    </row>
    <row r="41" spans="2:53">
      <c r="B41" s="635"/>
      <c r="C41" s="415">
        <v>15</v>
      </c>
      <c r="D41" s="500"/>
      <c r="E41" s="500"/>
      <c r="F41" s="500"/>
      <c r="G41" s="500"/>
      <c r="H41" s="676"/>
      <c r="I41" s="417" t="str">
        <f t="shared" si="19"/>
        <v>-</v>
      </c>
      <c r="J41" s="417" t="str">
        <f t="shared" si="20"/>
        <v>-</v>
      </c>
      <c r="K41" s="199" t="str">
        <f t="shared" si="21"/>
        <v>-</v>
      </c>
      <c r="L41" s="610"/>
      <c r="M41" s="424" t="e">
        <f>RANK(K41, K$27:$K$41)</f>
        <v>#VALUE!</v>
      </c>
      <c r="N41" s="627"/>
      <c r="O41" s="627"/>
      <c r="P41" s="550" t="s">
        <v>623</v>
      </c>
      <c r="Q41" s="420" t="s">
        <v>623</v>
      </c>
      <c r="R41" s="420" t="s">
        <v>623</v>
      </c>
      <c r="S41" s="550" t="e">
        <f t="shared" si="22"/>
        <v>#VALUE!</v>
      </c>
      <c r="T41" s="638"/>
      <c r="U41" s="550" t="s">
        <v>623</v>
      </c>
      <c r="V41" s="420" t="s">
        <v>623</v>
      </c>
      <c r="W41" s="420" t="s">
        <v>623</v>
      </c>
      <c r="X41" s="550" t="e">
        <f t="shared" si="24"/>
        <v>#VALUE!</v>
      </c>
      <c r="Y41" s="638"/>
      <c r="Z41" s="550" t="s">
        <v>623</v>
      </c>
      <c r="AA41" s="420" t="s">
        <v>623</v>
      </c>
      <c r="AB41" s="420" t="s">
        <v>623</v>
      </c>
      <c r="AC41" s="550" t="e">
        <f t="shared" si="26"/>
        <v>#VALUE!</v>
      </c>
      <c r="AD41" s="638"/>
      <c r="AE41" s="550" t="s">
        <v>623</v>
      </c>
      <c r="AF41" s="420" t="s">
        <v>623</v>
      </c>
      <c r="AG41" s="420" t="s">
        <v>623</v>
      </c>
      <c r="AH41" s="550" t="e">
        <f t="shared" si="28"/>
        <v>#VALUE!</v>
      </c>
      <c r="AI41" s="638"/>
      <c r="AJ41" s="550" t="s">
        <v>623</v>
      </c>
      <c r="AK41" s="420" t="s">
        <v>623</v>
      </c>
      <c r="AL41" s="420" t="s">
        <v>623</v>
      </c>
      <c r="AM41" s="550" t="e">
        <f t="shared" si="30"/>
        <v>#VALUE!</v>
      </c>
      <c r="AN41" s="638"/>
      <c r="AO41" s="550" t="s">
        <v>623</v>
      </c>
      <c r="AP41" s="420" t="s">
        <v>623</v>
      </c>
      <c r="AQ41" s="420" t="s">
        <v>623</v>
      </c>
      <c r="AR41" s="550" t="e">
        <f t="shared" si="32"/>
        <v>#VALUE!</v>
      </c>
      <c r="AS41" s="638"/>
      <c r="AT41" s="550" t="s">
        <v>623</v>
      </c>
      <c r="AU41" s="420" t="s">
        <v>623</v>
      </c>
      <c r="AV41" s="420" t="s">
        <v>623</v>
      </c>
      <c r="AW41" s="550" t="e">
        <f t="shared" si="34"/>
        <v>#VALUE!</v>
      </c>
      <c r="AX41" s="638"/>
      <c r="AY41" s="638"/>
      <c r="AZ41" s="406" t="e">
        <f t="shared" si="37"/>
        <v>#VALUE!</v>
      </c>
      <c r="BA41" s="638"/>
    </row>
    <row r="42" spans="2:53" ht="15.75">
      <c r="B42" s="653" t="s">
        <v>163</v>
      </c>
      <c r="C42" s="654"/>
      <c r="D42" s="654"/>
      <c r="E42" s="654"/>
      <c r="F42" s="654"/>
      <c r="G42" s="654"/>
      <c r="H42" s="654"/>
      <c r="I42" s="207"/>
      <c r="J42" s="202"/>
      <c r="K42" s="207"/>
      <c r="L42" s="207"/>
      <c r="M42" s="203"/>
      <c r="N42" s="628" t="s">
        <v>156</v>
      </c>
      <c r="O42" s="628" t="s">
        <v>105</v>
      </c>
      <c r="P42" s="634">
        <f>P22+7</f>
        <v>46182</v>
      </c>
      <c r="Q42" s="635"/>
      <c r="R42" s="635"/>
      <c r="S42" s="635"/>
      <c r="T42" s="635"/>
      <c r="U42" s="631">
        <f>P42+1</f>
        <v>46183</v>
      </c>
      <c r="V42" s="632"/>
      <c r="W42" s="632"/>
      <c r="X42" s="632"/>
      <c r="Y42" s="633"/>
      <c r="Z42" s="631">
        <f>U42+1</f>
        <v>46184</v>
      </c>
      <c r="AA42" s="632"/>
      <c r="AB42" s="632"/>
      <c r="AC42" s="632"/>
      <c r="AD42" s="633"/>
      <c r="AE42" s="631">
        <f>Z42+1</f>
        <v>46185</v>
      </c>
      <c r="AF42" s="632"/>
      <c r="AG42" s="632"/>
      <c r="AH42" s="632"/>
      <c r="AI42" s="633"/>
      <c r="AJ42" s="631">
        <f>AE42+1</f>
        <v>46186</v>
      </c>
      <c r="AK42" s="632"/>
      <c r="AL42" s="632"/>
      <c r="AM42" s="632"/>
      <c r="AN42" s="633"/>
      <c r="AO42" s="631">
        <f>AJ42+1</f>
        <v>46187</v>
      </c>
      <c r="AP42" s="632"/>
      <c r="AQ42" s="632"/>
      <c r="AR42" s="632"/>
      <c r="AS42" s="633"/>
      <c r="AT42" s="631">
        <f>AO42+1</f>
        <v>46188</v>
      </c>
      <c r="AU42" s="632"/>
      <c r="AV42" s="632"/>
      <c r="AW42" s="632"/>
      <c r="AX42" s="633"/>
    </row>
    <row r="43" spans="2:53" ht="15.75">
      <c r="B43" s="642"/>
      <c r="C43" s="642"/>
      <c r="D43" s="642"/>
      <c r="E43" s="642"/>
      <c r="F43" s="642"/>
      <c r="G43" s="642"/>
      <c r="H43" s="642"/>
      <c r="I43" s="204"/>
      <c r="J43" s="204"/>
      <c r="K43" s="204"/>
      <c r="L43" s="204"/>
      <c r="M43" s="205"/>
      <c r="N43" s="630"/>
      <c r="O43" s="630"/>
      <c r="P43" s="634" t="s">
        <v>318</v>
      </c>
      <c r="Q43" s="635"/>
      <c r="R43" s="635"/>
      <c r="S43" s="635"/>
      <c r="T43" s="635"/>
      <c r="U43" s="634" t="s">
        <v>319</v>
      </c>
      <c r="V43" s="635"/>
      <c r="W43" s="635"/>
      <c r="X43" s="635"/>
      <c r="Y43" s="635"/>
      <c r="Z43" s="634" t="s">
        <v>320</v>
      </c>
      <c r="AA43" s="635"/>
      <c r="AB43" s="635"/>
      <c r="AC43" s="635"/>
      <c r="AD43" s="635"/>
      <c r="AE43" s="634" t="s">
        <v>321</v>
      </c>
      <c r="AF43" s="635"/>
      <c r="AG43" s="635"/>
      <c r="AH43" s="635"/>
      <c r="AI43" s="635"/>
      <c r="AJ43" s="634" t="s">
        <v>322</v>
      </c>
      <c r="AK43" s="635"/>
      <c r="AL43" s="635"/>
      <c r="AM43" s="635"/>
      <c r="AN43" s="635"/>
      <c r="AO43" s="634" t="s">
        <v>323</v>
      </c>
      <c r="AP43" s="635"/>
      <c r="AQ43" s="635"/>
      <c r="AR43" s="635"/>
      <c r="AS43" s="635"/>
      <c r="AT43" s="634" t="s">
        <v>324</v>
      </c>
      <c r="AU43" s="635"/>
      <c r="AV43" s="635"/>
      <c r="AW43" s="635"/>
      <c r="AX43" s="635"/>
    </row>
    <row r="44" spans="2:53">
      <c r="B44" s="627" t="s">
        <v>482</v>
      </c>
      <c r="C44" s="627" t="s">
        <v>384</v>
      </c>
      <c r="D44" s="627"/>
      <c r="E44" s="627" t="s">
        <v>375</v>
      </c>
      <c r="F44" s="627"/>
      <c r="G44" s="627"/>
      <c r="H44" s="643" t="s">
        <v>371</v>
      </c>
      <c r="I44" s="627" t="s">
        <v>376</v>
      </c>
      <c r="J44" s="627"/>
      <c r="K44" s="627"/>
      <c r="L44" s="643" t="s">
        <v>371</v>
      </c>
      <c r="M44" s="628" t="s">
        <v>372</v>
      </c>
      <c r="N44" s="627"/>
      <c r="O44" s="627" t="s">
        <v>377</v>
      </c>
      <c r="P44" s="624" t="s">
        <v>373</v>
      </c>
      <c r="Q44" s="625"/>
      <c r="R44" s="625"/>
      <c r="S44" s="626"/>
      <c r="T44" s="627" t="s">
        <v>371</v>
      </c>
      <c r="U44" s="624" t="s">
        <v>373</v>
      </c>
      <c r="V44" s="625"/>
      <c r="W44" s="625"/>
      <c r="X44" s="626"/>
      <c r="Y44" s="627" t="s">
        <v>371</v>
      </c>
      <c r="Z44" s="624" t="s">
        <v>373</v>
      </c>
      <c r="AA44" s="625"/>
      <c r="AB44" s="625"/>
      <c r="AC44" s="626"/>
      <c r="AD44" s="627" t="s">
        <v>371</v>
      </c>
      <c r="AE44" s="624" t="s">
        <v>373</v>
      </c>
      <c r="AF44" s="625"/>
      <c r="AG44" s="625"/>
      <c r="AH44" s="626"/>
      <c r="AI44" s="627" t="s">
        <v>371</v>
      </c>
      <c r="AJ44" s="624" t="s">
        <v>373</v>
      </c>
      <c r="AK44" s="625"/>
      <c r="AL44" s="625"/>
      <c r="AM44" s="626"/>
      <c r="AN44" s="627" t="s">
        <v>371</v>
      </c>
      <c r="AO44" s="624" t="s">
        <v>373</v>
      </c>
      <c r="AP44" s="625"/>
      <c r="AQ44" s="625"/>
      <c r="AR44" s="626"/>
      <c r="AS44" s="627" t="s">
        <v>371</v>
      </c>
      <c r="AT44" s="624" t="s">
        <v>373</v>
      </c>
      <c r="AU44" s="625"/>
      <c r="AV44" s="625"/>
      <c r="AW44" s="626"/>
      <c r="AX44" s="627" t="s">
        <v>371</v>
      </c>
      <c r="BA44" s="627" t="s">
        <v>371</v>
      </c>
    </row>
    <row r="45" spans="2:53">
      <c r="B45" s="627"/>
      <c r="C45" s="627"/>
      <c r="D45" s="627"/>
      <c r="E45" s="627" t="s">
        <v>378</v>
      </c>
      <c r="F45" s="627"/>
      <c r="G45" s="627"/>
      <c r="H45" s="644"/>
      <c r="I45" s="627" t="s">
        <v>378</v>
      </c>
      <c r="J45" s="627"/>
      <c r="K45" s="627"/>
      <c r="L45" s="644"/>
      <c r="M45" s="629"/>
      <c r="N45" s="627"/>
      <c r="O45" s="627"/>
      <c r="P45" s="624" t="s">
        <v>379</v>
      </c>
      <c r="Q45" s="625"/>
      <c r="R45" s="625"/>
      <c r="S45" s="626"/>
      <c r="T45" s="627"/>
      <c r="U45" s="624" t="s">
        <v>379</v>
      </c>
      <c r="V45" s="625"/>
      <c r="W45" s="625"/>
      <c r="X45" s="626"/>
      <c r="Y45" s="627"/>
      <c r="Z45" s="624" t="s">
        <v>379</v>
      </c>
      <c r="AA45" s="625"/>
      <c r="AB45" s="625"/>
      <c r="AC45" s="626"/>
      <c r="AD45" s="627"/>
      <c r="AE45" s="624" t="s">
        <v>379</v>
      </c>
      <c r="AF45" s="625"/>
      <c r="AG45" s="625"/>
      <c r="AH45" s="626"/>
      <c r="AI45" s="627"/>
      <c r="AJ45" s="624" t="s">
        <v>379</v>
      </c>
      <c r="AK45" s="625"/>
      <c r="AL45" s="625"/>
      <c r="AM45" s="626"/>
      <c r="AN45" s="627"/>
      <c r="AO45" s="624" t="s">
        <v>379</v>
      </c>
      <c r="AP45" s="625"/>
      <c r="AQ45" s="625"/>
      <c r="AR45" s="626"/>
      <c r="AS45" s="627"/>
      <c r="AT45" s="624" t="s">
        <v>379</v>
      </c>
      <c r="AU45" s="625"/>
      <c r="AV45" s="625"/>
      <c r="AW45" s="626"/>
      <c r="AX45" s="627"/>
      <c r="BA45" s="627"/>
    </row>
    <row r="46" spans="2:53">
      <c r="B46" s="627"/>
      <c r="C46" s="627"/>
      <c r="D46" s="627"/>
      <c r="E46" s="412" t="s">
        <v>380</v>
      </c>
      <c r="F46" s="412" t="s">
        <v>381</v>
      </c>
      <c r="G46" s="412" t="s">
        <v>382</v>
      </c>
      <c r="H46" s="645"/>
      <c r="I46" s="412" t="s">
        <v>380</v>
      </c>
      <c r="J46" s="412" t="s">
        <v>381</v>
      </c>
      <c r="K46" s="412" t="s">
        <v>382</v>
      </c>
      <c r="L46" s="645"/>
      <c r="M46" s="630"/>
      <c r="N46" s="627"/>
      <c r="O46" s="627"/>
      <c r="P46" s="412" t="s">
        <v>380</v>
      </c>
      <c r="Q46" s="412" t="s">
        <v>381</v>
      </c>
      <c r="R46" s="412" t="s">
        <v>382</v>
      </c>
      <c r="S46" s="412" t="s">
        <v>372</v>
      </c>
      <c r="T46" s="627"/>
      <c r="U46" s="412" t="s">
        <v>380</v>
      </c>
      <c r="V46" s="412" t="s">
        <v>381</v>
      </c>
      <c r="W46" s="412" t="s">
        <v>382</v>
      </c>
      <c r="X46" s="412" t="s">
        <v>372</v>
      </c>
      <c r="Y46" s="627"/>
      <c r="Z46" s="412" t="s">
        <v>380</v>
      </c>
      <c r="AA46" s="412" t="s">
        <v>381</v>
      </c>
      <c r="AB46" s="412" t="s">
        <v>382</v>
      </c>
      <c r="AC46" s="412" t="s">
        <v>372</v>
      </c>
      <c r="AD46" s="627"/>
      <c r="AE46" s="412" t="s">
        <v>380</v>
      </c>
      <c r="AF46" s="412" t="s">
        <v>381</v>
      </c>
      <c r="AG46" s="412" t="s">
        <v>382</v>
      </c>
      <c r="AH46" s="412" t="s">
        <v>372</v>
      </c>
      <c r="AI46" s="627"/>
      <c r="AJ46" s="412" t="s">
        <v>380</v>
      </c>
      <c r="AK46" s="412" t="s">
        <v>381</v>
      </c>
      <c r="AL46" s="412" t="s">
        <v>382</v>
      </c>
      <c r="AM46" s="412" t="s">
        <v>372</v>
      </c>
      <c r="AN46" s="627"/>
      <c r="AO46" s="412" t="s">
        <v>380</v>
      </c>
      <c r="AP46" s="412" t="s">
        <v>381</v>
      </c>
      <c r="AQ46" s="412" t="s">
        <v>382</v>
      </c>
      <c r="AR46" s="412" t="s">
        <v>372</v>
      </c>
      <c r="AS46" s="627"/>
      <c r="AT46" s="412" t="s">
        <v>380</v>
      </c>
      <c r="AU46" s="412" t="s">
        <v>381</v>
      </c>
      <c r="AV46" s="412" t="s">
        <v>382</v>
      </c>
      <c r="AW46" s="412" t="s">
        <v>372</v>
      </c>
      <c r="AX46" s="627"/>
      <c r="AZ46" s="407" t="s">
        <v>372</v>
      </c>
      <c r="BA46" s="627"/>
    </row>
    <row r="47" spans="2:53">
      <c r="B47" s="675" t="s">
        <v>483</v>
      </c>
      <c r="C47" s="415">
        <v>1</v>
      </c>
      <c r="D47" s="500"/>
      <c r="E47" s="500"/>
      <c r="F47" s="500"/>
      <c r="G47" s="420"/>
      <c r="H47" s="671" t="e">
        <f>AVERAGE(G47:G61)</f>
        <v>#DIV/0!</v>
      </c>
      <c r="I47" s="417" t="str">
        <f t="shared" ref="I47:I61" si="39">IFERROR(AVERAGE(P47,U47,Z47,AE47,AJ47,AO47,AT47),"-")</f>
        <v>-</v>
      </c>
      <c r="J47" s="417" t="str">
        <f t="shared" ref="J47:J61" si="40">IFERROR(AVERAGE(Q47,V47,AA47,AF47,AK47,AP47,AU47),"-")</f>
        <v>-</v>
      </c>
      <c r="K47" s="199" t="str">
        <f t="shared" ref="K47:K61" si="41">IFERROR(AVERAGE(R47,W47,AB47,AG47,AL47,AQ47,AV47),"-")</f>
        <v>-</v>
      </c>
      <c r="L47" s="608" t="str">
        <f>IFERROR(AVERAGE(K47:K61),"-")</f>
        <v>-</v>
      </c>
      <c r="M47" s="486" t="e">
        <f>RANK(K47, K$47:$K$61)</f>
        <v>#VALUE!</v>
      </c>
      <c r="N47" s="627"/>
      <c r="O47" s="627"/>
      <c r="P47" s="483"/>
      <c r="Q47" s="420"/>
      <c r="R47" s="420"/>
      <c r="S47" s="484"/>
      <c r="T47" s="636"/>
      <c r="U47" s="483"/>
      <c r="V47" s="420"/>
      <c r="W47" s="420"/>
      <c r="X47" s="484"/>
      <c r="Y47" s="636"/>
      <c r="Z47" s="483"/>
      <c r="AA47" s="420"/>
      <c r="AB47" s="420"/>
      <c r="AC47" s="484"/>
      <c r="AD47" s="636"/>
      <c r="AE47" s="483"/>
      <c r="AF47" s="420"/>
      <c r="AG47" s="420"/>
      <c r="AH47" s="484"/>
      <c r="AI47" s="636"/>
      <c r="AJ47" s="483"/>
      <c r="AK47" s="420"/>
      <c r="AL47" s="420"/>
      <c r="AM47" s="484"/>
      <c r="AN47" s="636"/>
      <c r="AO47" s="483"/>
      <c r="AP47" s="420"/>
      <c r="AQ47" s="420"/>
      <c r="AR47" s="484"/>
      <c r="AS47" s="636"/>
      <c r="AT47" s="483"/>
      <c r="AU47" s="420"/>
      <c r="AV47" s="420"/>
      <c r="AW47" s="484"/>
      <c r="AX47" s="636"/>
      <c r="AZ47" s="409" t="e">
        <f t="shared" ref="AZ47:AZ53" si="42">RANK(AY47, AY$47:AY$61)</f>
        <v>#N/A</v>
      </c>
      <c r="BA47" s="636" t="e">
        <f t="shared" ref="BA47" si="43">AVERAGE(AY47:AY61)</f>
        <v>#DIV/0!</v>
      </c>
    </row>
    <row r="48" spans="2:53">
      <c r="B48" s="635"/>
      <c r="C48" s="415">
        <v>2</v>
      </c>
      <c r="D48" s="500"/>
      <c r="E48" s="500"/>
      <c r="F48" s="500"/>
      <c r="G48" s="420"/>
      <c r="H48" s="672"/>
      <c r="I48" s="417" t="str">
        <f t="shared" si="39"/>
        <v>-</v>
      </c>
      <c r="J48" s="417" t="str">
        <f t="shared" si="40"/>
        <v>-</v>
      </c>
      <c r="K48" s="199" t="str">
        <f t="shared" si="41"/>
        <v>-</v>
      </c>
      <c r="L48" s="609"/>
      <c r="M48" s="486" t="e">
        <f>RANK(K48, K$47:$K$61)</f>
        <v>#VALUE!</v>
      </c>
      <c r="N48" s="627"/>
      <c r="O48" s="627"/>
      <c r="P48" s="483"/>
      <c r="Q48" s="420"/>
      <c r="R48" s="420"/>
      <c r="S48" s="484"/>
      <c r="T48" s="637"/>
      <c r="U48" s="483"/>
      <c r="V48" s="420"/>
      <c r="W48" s="420"/>
      <c r="X48" s="484"/>
      <c r="Y48" s="637"/>
      <c r="Z48" s="483"/>
      <c r="AA48" s="420"/>
      <c r="AB48" s="420"/>
      <c r="AC48" s="484"/>
      <c r="AD48" s="637"/>
      <c r="AE48" s="483"/>
      <c r="AF48" s="420"/>
      <c r="AG48" s="420"/>
      <c r="AH48" s="484"/>
      <c r="AI48" s="637"/>
      <c r="AJ48" s="483"/>
      <c r="AK48" s="420"/>
      <c r="AL48" s="420"/>
      <c r="AM48" s="484"/>
      <c r="AN48" s="637"/>
      <c r="AO48" s="483"/>
      <c r="AP48" s="420"/>
      <c r="AQ48" s="420"/>
      <c r="AR48" s="484"/>
      <c r="AS48" s="637"/>
      <c r="AT48" s="483"/>
      <c r="AU48" s="420"/>
      <c r="AV48" s="420"/>
      <c r="AW48" s="484"/>
      <c r="AX48" s="637"/>
      <c r="AZ48" s="409" t="e">
        <f t="shared" si="42"/>
        <v>#N/A</v>
      </c>
      <c r="BA48" s="637"/>
    </row>
    <row r="49" spans="2:53">
      <c r="B49" s="635"/>
      <c r="C49" s="415">
        <v>3</v>
      </c>
      <c r="D49" s="500"/>
      <c r="E49" s="500"/>
      <c r="F49" s="500"/>
      <c r="G49" s="420"/>
      <c r="H49" s="672"/>
      <c r="I49" s="417" t="str">
        <f t="shared" si="39"/>
        <v>-</v>
      </c>
      <c r="J49" s="417" t="str">
        <f t="shared" si="40"/>
        <v>-</v>
      </c>
      <c r="K49" s="199" t="str">
        <f t="shared" si="41"/>
        <v>-</v>
      </c>
      <c r="L49" s="609"/>
      <c r="M49" s="486" t="e">
        <f>RANK(K49, K$47:$K$61)</f>
        <v>#VALUE!</v>
      </c>
      <c r="N49" s="627"/>
      <c r="O49" s="627"/>
      <c r="P49" s="483"/>
      <c r="Q49" s="420"/>
      <c r="R49" s="420"/>
      <c r="S49" s="484"/>
      <c r="T49" s="637"/>
      <c r="U49" s="483"/>
      <c r="V49" s="420"/>
      <c r="W49" s="420"/>
      <c r="X49" s="484"/>
      <c r="Y49" s="637"/>
      <c r="Z49" s="483"/>
      <c r="AA49" s="420"/>
      <c r="AB49" s="420"/>
      <c r="AC49" s="484"/>
      <c r="AD49" s="637"/>
      <c r="AE49" s="483"/>
      <c r="AF49" s="420"/>
      <c r="AG49" s="420"/>
      <c r="AH49" s="484"/>
      <c r="AI49" s="637"/>
      <c r="AJ49" s="483"/>
      <c r="AK49" s="420"/>
      <c r="AL49" s="420"/>
      <c r="AM49" s="484"/>
      <c r="AN49" s="637"/>
      <c r="AO49" s="483"/>
      <c r="AP49" s="420"/>
      <c r="AQ49" s="420"/>
      <c r="AR49" s="484"/>
      <c r="AS49" s="637"/>
      <c r="AT49" s="483"/>
      <c r="AU49" s="420"/>
      <c r="AV49" s="420"/>
      <c r="AW49" s="484"/>
      <c r="AX49" s="637"/>
      <c r="AZ49" s="409" t="e">
        <f t="shared" si="42"/>
        <v>#N/A</v>
      </c>
      <c r="BA49" s="637"/>
    </row>
    <row r="50" spans="2:53">
      <c r="B50" s="635"/>
      <c r="C50" s="415">
        <v>4</v>
      </c>
      <c r="D50" s="500"/>
      <c r="E50" s="500"/>
      <c r="F50" s="500"/>
      <c r="G50" s="420"/>
      <c r="H50" s="672"/>
      <c r="I50" s="417" t="str">
        <f t="shared" si="39"/>
        <v>-</v>
      </c>
      <c r="J50" s="417" t="str">
        <f t="shared" si="40"/>
        <v>-</v>
      </c>
      <c r="K50" s="199" t="str">
        <f t="shared" si="41"/>
        <v>-</v>
      </c>
      <c r="L50" s="609"/>
      <c r="M50" s="486" t="e">
        <f>RANK(K50, K$47:$K$61)</f>
        <v>#VALUE!</v>
      </c>
      <c r="N50" s="627"/>
      <c r="O50" s="627"/>
      <c r="P50" s="483"/>
      <c r="Q50" s="420"/>
      <c r="R50" s="420"/>
      <c r="S50" s="484"/>
      <c r="T50" s="637"/>
      <c r="U50" s="483"/>
      <c r="V50" s="420"/>
      <c r="W50" s="420"/>
      <c r="X50" s="484"/>
      <c r="Y50" s="637"/>
      <c r="Z50" s="483"/>
      <c r="AA50" s="420"/>
      <c r="AB50" s="420"/>
      <c r="AC50" s="484"/>
      <c r="AD50" s="637"/>
      <c r="AE50" s="483"/>
      <c r="AF50" s="420"/>
      <c r="AG50" s="420"/>
      <c r="AH50" s="484"/>
      <c r="AI50" s="637"/>
      <c r="AJ50" s="483"/>
      <c r="AK50" s="420"/>
      <c r="AL50" s="420"/>
      <c r="AM50" s="484"/>
      <c r="AN50" s="637"/>
      <c r="AO50" s="483"/>
      <c r="AP50" s="420"/>
      <c r="AQ50" s="420"/>
      <c r="AR50" s="484"/>
      <c r="AS50" s="637"/>
      <c r="AT50" s="483"/>
      <c r="AU50" s="420"/>
      <c r="AV50" s="420"/>
      <c r="AW50" s="484"/>
      <c r="AX50" s="637"/>
      <c r="AZ50" s="409" t="e">
        <f t="shared" si="42"/>
        <v>#N/A</v>
      </c>
      <c r="BA50" s="637"/>
    </row>
    <row r="51" spans="2:53">
      <c r="B51" s="635"/>
      <c r="C51" s="415">
        <v>5</v>
      </c>
      <c r="D51" s="500"/>
      <c r="E51" s="500"/>
      <c r="F51" s="500"/>
      <c r="G51" s="420"/>
      <c r="H51" s="672"/>
      <c r="I51" s="417" t="str">
        <f t="shared" si="39"/>
        <v>-</v>
      </c>
      <c r="J51" s="417" t="str">
        <f t="shared" si="40"/>
        <v>-</v>
      </c>
      <c r="K51" s="199" t="str">
        <f t="shared" si="41"/>
        <v>-</v>
      </c>
      <c r="L51" s="609"/>
      <c r="M51" s="486" t="e">
        <f>RANK(K51, K$47:$K$61)</f>
        <v>#VALUE!</v>
      </c>
      <c r="N51" s="627"/>
      <c r="O51" s="627"/>
      <c r="P51" s="483"/>
      <c r="Q51" s="420"/>
      <c r="R51" s="420"/>
      <c r="S51" s="484"/>
      <c r="T51" s="637"/>
      <c r="U51" s="483"/>
      <c r="V51" s="420"/>
      <c r="W51" s="420"/>
      <c r="X51" s="484"/>
      <c r="Y51" s="637"/>
      <c r="Z51" s="483"/>
      <c r="AA51" s="420"/>
      <c r="AB51" s="420"/>
      <c r="AC51" s="484"/>
      <c r="AD51" s="637"/>
      <c r="AE51" s="483"/>
      <c r="AF51" s="420"/>
      <c r="AG51" s="420"/>
      <c r="AH51" s="484"/>
      <c r="AI51" s="637"/>
      <c r="AJ51" s="483"/>
      <c r="AK51" s="420"/>
      <c r="AL51" s="420"/>
      <c r="AM51" s="484"/>
      <c r="AN51" s="637"/>
      <c r="AO51" s="483"/>
      <c r="AP51" s="420"/>
      <c r="AQ51" s="420"/>
      <c r="AR51" s="484"/>
      <c r="AS51" s="637"/>
      <c r="AT51" s="483"/>
      <c r="AU51" s="420"/>
      <c r="AV51" s="420"/>
      <c r="AW51" s="484"/>
      <c r="AX51" s="637"/>
      <c r="AZ51" s="409" t="e">
        <f t="shared" si="42"/>
        <v>#N/A</v>
      </c>
      <c r="BA51" s="637"/>
    </row>
    <row r="52" spans="2:53">
      <c r="B52" s="635"/>
      <c r="C52" s="415">
        <v>6</v>
      </c>
      <c r="D52" s="500"/>
      <c r="E52" s="500"/>
      <c r="F52" s="500"/>
      <c r="G52" s="420"/>
      <c r="H52" s="672"/>
      <c r="I52" s="417" t="str">
        <f t="shared" si="39"/>
        <v>-</v>
      </c>
      <c r="J52" s="417" t="str">
        <f t="shared" si="40"/>
        <v>-</v>
      </c>
      <c r="K52" s="199" t="str">
        <f t="shared" si="41"/>
        <v>-</v>
      </c>
      <c r="L52" s="609"/>
      <c r="M52" s="486" t="e">
        <f>RANK(K52, K$47:$K$61)</f>
        <v>#VALUE!</v>
      </c>
      <c r="N52" s="627"/>
      <c r="O52" s="627"/>
      <c r="P52" s="483"/>
      <c r="Q52" s="420"/>
      <c r="R52" s="420"/>
      <c r="S52" s="484"/>
      <c r="T52" s="637"/>
      <c r="U52" s="483"/>
      <c r="V52" s="420"/>
      <c r="W52" s="420"/>
      <c r="X52" s="484"/>
      <c r="Y52" s="637"/>
      <c r="Z52" s="483"/>
      <c r="AA52" s="420"/>
      <c r="AB52" s="420"/>
      <c r="AC52" s="484"/>
      <c r="AD52" s="637"/>
      <c r="AE52" s="483"/>
      <c r="AF52" s="420"/>
      <c r="AG52" s="420"/>
      <c r="AH52" s="484"/>
      <c r="AI52" s="637"/>
      <c r="AJ52" s="483"/>
      <c r="AK52" s="420"/>
      <c r="AL52" s="420"/>
      <c r="AM52" s="484"/>
      <c r="AN52" s="637"/>
      <c r="AO52" s="483"/>
      <c r="AP52" s="420"/>
      <c r="AQ52" s="420"/>
      <c r="AR52" s="484"/>
      <c r="AS52" s="637"/>
      <c r="AT52" s="483"/>
      <c r="AU52" s="420"/>
      <c r="AV52" s="420"/>
      <c r="AW52" s="484"/>
      <c r="AX52" s="637"/>
      <c r="AZ52" s="409" t="e">
        <f t="shared" si="42"/>
        <v>#N/A</v>
      </c>
      <c r="BA52" s="637"/>
    </row>
    <row r="53" spans="2:53">
      <c r="B53" s="635"/>
      <c r="C53" s="415">
        <v>7</v>
      </c>
      <c r="D53" s="500"/>
      <c r="E53" s="500"/>
      <c r="F53" s="500"/>
      <c r="G53" s="420"/>
      <c r="H53" s="672"/>
      <c r="I53" s="417" t="str">
        <f t="shared" si="39"/>
        <v>-</v>
      </c>
      <c r="J53" s="417" t="str">
        <f t="shared" si="40"/>
        <v>-</v>
      </c>
      <c r="K53" s="199" t="str">
        <f t="shared" si="41"/>
        <v>-</v>
      </c>
      <c r="L53" s="609"/>
      <c r="M53" s="486" t="e">
        <f>RANK(K53, K$47:$K$61)</f>
        <v>#VALUE!</v>
      </c>
      <c r="N53" s="627"/>
      <c r="O53" s="627"/>
      <c r="P53" s="483"/>
      <c r="Q53" s="420"/>
      <c r="R53" s="420"/>
      <c r="S53" s="484"/>
      <c r="T53" s="637"/>
      <c r="U53" s="483"/>
      <c r="V53" s="420"/>
      <c r="W53" s="420"/>
      <c r="X53" s="484"/>
      <c r="Y53" s="637"/>
      <c r="Z53" s="483"/>
      <c r="AA53" s="420"/>
      <c r="AB53" s="420"/>
      <c r="AC53" s="484"/>
      <c r="AD53" s="637"/>
      <c r="AE53" s="483"/>
      <c r="AF53" s="420"/>
      <c r="AG53" s="420"/>
      <c r="AH53" s="484"/>
      <c r="AI53" s="637"/>
      <c r="AJ53" s="483"/>
      <c r="AK53" s="420"/>
      <c r="AL53" s="420"/>
      <c r="AM53" s="484"/>
      <c r="AN53" s="637"/>
      <c r="AO53" s="483"/>
      <c r="AP53" s="420"/>
      <c r="AQ53" s="420"/>
      <c r="AR53" s="484"/>
      <c r="AS53" s="637"/>
      <c r="AT53" s="483"/>
      <c r="AU53" s="420"/>
      <c r="AV53" s="420"/>
      <c r="AW53" s="484"/>
      <c r="AX53" s="637"/>
      <c r="AZ53" s="409" t="e">
        <f t="shared" si="42"/>
        <v>#N/A</v>
      </c>
      <c r="BA53" s="637"/>
    </row>
    <row r="54" spans="2:53">
      <c r="B54" s="635"/>
      <c r="C54" s="415">
        <v>8</v>
      </c>
      <c r="D54" s="500"/>
      <c r="E54" s="500"/>
      <c r="F54" s="500"/>
      <c r="G54" s="420"/>
      <c r="H54" s="672"/>
      <c r="I54" s="417" t="str">
        <f t="shared" si="39"/>
        <v>-</v>
      </c>
      <c r="J54" s="417" t="str">
        <f t="shared" si="40"/>
        <v>-</v>
      </c>
      <c r="K54" s="199" t="str">
        <f t="shared" si="41"/>
        <v>-</v>
      </c>
      <c r="L54" s="609"/>
      <c r="M54" s="486" t="e">
        <f>RANK(K54, K$47:$K$61)</f>
        <v>#VALUE!</v>
      </c>
      <c r="N54" s="627"/>
      <c r="O54" s="627"/>
      <c r="P54" s="483"/>
      <c r="Q54" s="420"/>
      <c r="R54" s="420"/>
      <c r="S54" s="484"/>
      <c r="T54" s="637"/>
      <c r="U54" s="483"/>
      <c r="V54" s="420"/>
      <c r="W54" s="420"/>
      <c r="X54" s="484"/>
      <c r="Y54" s="637"/>
      <c r="Z54" s="483"/>
      <c r="AA54" s="420"/>
      <c r="AB54" s="420"/>
      <c r="AC54" s="484"/>
      <c r="AD54" s="637"/>
      <c r="AE54" s="483"/>
      <c r="AF54" s="420"/>
      <c r="AG54" s="420"/>
      <c r="AH54" s="484"/>
      <c r="AI54" s="637"/>
      <c r="AJ54" s="483"/>
      <c r="AK54" s="420"/>
      <c r="AL54" s="420"/>
      <c r="AM54" s="484"/>
      <c r="AN54" s="637"/>
      <c r="AO54" s="483"/>
      <c r="AP54" s="420"/>
      <c r="AQ54" s="420"/>
      <c r="AR54" s="484"/>
      <c r="AS54" s="637"/>
      <c r="AT54" s="483"/>
      <c r="AU54" s="420"/>
      <c r="AV54" s="420"/>
      <c r="AW54" s="484"/>
      <c r="AX54" s="637"/>
      <c r="AZ54" s="409"/>
      <c r="BA54" s="637"/>
    </row>
    <row r="55" spans="2:53">
      <c r="B55" s="635"/>
      <c r="C55" s="415">
        <v>9</v>
      </c>
      <c r="D55" s="500"/>
      <c r="E55" s="500"/>
      <c r="F55" s="500"/>
      <c r="G55" s="420"/>
      <c r="H55" s="672"/>
      <c r="I55" s="417" t="str">
        <f t="shared" si="39"/>
        <v>-</v>
      </c>
      <c r="J55" s="417" t="str">
        <f t="shared" si="40"/>
        <v>-</v>
      </c>
      <c r="K55" s="199" t="str">
        <f t="shared" si="41"/>
        <v>-</v>
      </c>
      <c r="L55" s="609"/>
      <c r="M55" s="486" t="e">
        <f>RANK(K55, K$47:$K$61)</f>
        <v>#VALUE!</v>
      </c>
      <c r="N55" s="627"/>
      <c r="O55" s="627"/>
      <c r="P55" s="483"/>
      <c r="Q55" s="420"/>
      <c r="R55" s="420"/>
      <c r="S55" s="484"/>
      <c r="T55" s="637"/>
      <c r="U55" s="483"/>
      <c r="V55" s="420"/>
      <c r="W55" s="420"/>
      <c r="X55" s="484"/>
      <c r="Y55" s="637"/>
      <c r="Z55" s="483"/>
      <c r="AA55" s="420"/>
      <c r="AB55" s="420"/>
      <c r="AC55" s="484"/>
      <c r="AD55" s="637"/>
      <c r="AE55" s="483"/>
      <c r="AF55" s="420"/>
      <c r="AG55" s="420"/>
      <c r="AH55" s="484"/>
      <c r="AI55" s="637"/>
      <c r="AJ55" s="483"/>
      <c r="AK55" s="420"/>
      <c r="AL55" s="420"/>
      <c r="AM55" s="484"/>
      <c r="AN55" s="637"/>
      <c r="AO55" s="483"/>
      <c r="AP55" s="420"/>
      <c r="AQ55" s="420"/>
      <c r="AR55" s="484"/>
      <c r="AS55" s="637"/>
      <c r="AT55" s="483"/>
      <c r="AU55" s="420"/>
      <c r="AV55" s="420"/>
      <c r="AW55" s="484"/>
      <c r="AX55" s="637"/>
      <c r="AZ55" s="409"/>
      <c r="BA55" s="637"/>
    </row>
    <row r="56" spans="2:53">
      <c r="B56" s="635"/>
      <c r="C56" s="415">
        <v>10</v>
      </c>
      <c r="D56" s="500"/>
      <c r="E56" s="500"/>
      <c r="F56" s="500"/>
      <c r="G56" s="420"/>
      <c r="H56" s="672"/>
      <c r="I56" s="417" t="str">
        <f t="shared" si="39"/>
        <v>-</v>
      </c>
      <c r="J56" s="417" t="str">
        <f t="shared" si="40"/>
        <v>-</v>
      </c>
      <c r="K56" s="199" t="str">
        <f t="shared" si="41"/>
        <v>-</v>
      </c>
      <c r="L56" s="609"/>
      <c r="M56" s="486" t="e">
        <f>RANK(K56, K$47:$K$61)</f>
        <v>#VALUE!</v>
      </c>
      <c r="N56" s="627"/>
      <c r="O56" s="627"/>
      <c r="P56" s="483"/>
      <c r="Q56" s="420"/>
      <c r="R56" s="420"/>
      <c r="S56" s="484"/>
      <c r="T56" s="637"/>
      <c r="U56" s="483"/>
      <c r="V56" s="420"/>
      <c r="W56" s="420"/>
      <c r="X56" s="484"/>
      <c r="Y56" s="637"/>
      <c r="Z56" s="483"/>
      <c r="AA56" s="420"/>
      <c r="AB56" s="420"/>
      <c r="AC56" s="484"/>
      <c r="AD56" s="637"/>
      <c r="AE56" s="483"/>
      <c r="AF56" s="420"/>
      <c r="AG56" s="420"/>
      <c r="AH56" s="484"/>
      <c r="AI56" s="637"/>
      <c r="AJ56" s="483"/>
      <c r="AK56" s="420"/>
      <c r="AL56" s="420"/>
      <c r="AM56" s="484"/>
      <c r="AN56" s="637"/>
      <c r="AO56" s="483"/>
      <c r="AP56" s="420"/>
      <c r="AQ56" s="420"/>
      <c r="AR56" s="484"/>
      <c r="AS56" s="637"/>
      <c r="AT56" s="483"/>
      <c r="AU56" s="420"/>
      <c r="AV56" s="420"/>
      <c r="AW56" s="484"/>
      <c r="AX56" s="637"/>
      <c r="AZ56" s="409"/>
      <c r="BA56" s="637"/>
    </row>
    <row r="57" spans="2:53">
      <c r="B57" s="635"/>
      <c r="C57" s="415">
        <v>11</v>
      </c>
      <c r="D57" s="500"/>
      <c r="E57" s="500"/>
      <c r="F57" s="500"/>
      <c r="G57" s="420"/>
      <c r="H57" s="672"/>
      <c r="I57" s="417" t="str">
        <f t="shared" si="39"/>
        <v>-</v>
      </c>
      <c r="J57" s="417" t="str">
        <f t="shared" si="40"/>
        <v>-</v>
      </c>
      <c r="K57" s="199" t="str">
        <f t="shared" si="41"/>
        <v>-</v>
      </c>
      <c r="L57" s="609"/>
      <c r="M57" s="486" t="e">
        <f>RANK(K57, K$47:$K$61)</f>
        <v>#VALUE!</v>
      </c>
      <c r="N57" s="627"/>
      <c r="O57" s="627"/>
      <c r="P57" s="483"/>
      <c r="Q57" s="420"/>
      <c r="R57" s="420"/>
      <c r="S57" s="484"/>
      <c r="T57" s="637"/>
      <c r="U57" s="483"/>
      <c r="V57" s="420"/>
      <c r="W57" s="420"/>
      <c r="X57" s="484"/>
      <c r="Y57" s="637"/>
      <c r="Z57" s="483"/>
      <c r="AA57" s="420"/>
      <c r="AB57" s="420"/>
      <c r="AC57" s="484"/>
      <c r="AD57" s="637"/>
      <c r="AE57" s="483"/>
      <c r="AF57" s="420"/>
      <c r="AG57" s="420"/>
      <c r="AH57" s="484"/>
      <c r="AI57" s="637"/>
      <c r="AJ57" s="483"/>
      <c r="AK57" s="420"/>
      <c r="AL57" s="420"/>
      <c r="AM57" s="484"/>
      <c r="AN57" s="637"/>
      <c r="AO57" s="483"/>
      <c r="AP57" s="420"/>
      <c r="AQ57" s="420"/>
      <c r="AR57" s="484"/>
      <c r="AS57" s="637"/>
      <c r="AT57" s="483"/>
      <c r="AU57" s="420"/>
      <c r="AV57" s="420"/>
      <c r="AW57" s="484"/>
      <c r="AX57" s="637"/>
      <c r="AZ57" s="409"/>
      <c r="BA57" s="637"/>
    </row>
    <row r="58" spans="2:53">
      <c r="B58" s="635"/>
      <c r="C58" s="415">
        <v>12</v>
      </c>
      <c r="D58" s="500"/>
      <c r="E58" s="500"/>
      <c r="F58" s="500"/>
      <c r="G58" s="420"/>
      <c r="H58" s="672"/>
      <c r="I58" s="417" t="str">
        <f t="shared" si="39"/>
        <v>-</v>
      </c>
      <c r="J58" s="417" t="str">
        <f t="shared" si="40"/>
        <v>-</v>
      </c>
      <c r="K58" s="199" t="str">
        <f t="shared" si="41"/>
        <v>-</v>
      </c>
      <c r="L58" s="609"/>
      <c r="M58" s="486" t="e">
        <f>RANK(K58, K$47:$K$61)</f>
        <v>#VALUE!</v>
      </c>
      <c r="N58" s="627"/>
      <c r="O58" s="627"/>
      <c r="P58" s="483"/>
      <c r="Q58" s="420"/>
      <c r="R58" s="420"/>
      <c r="S58" s="484"/>
      <c r="T58" s="637"/>
      <c r="U58" s="483"/>
      <c r="V58" s="420"/>
      <c r="W58" s="420"/>
      <c r="X58" s="484"/>
      <c r="Y58" s="637"/>
      <c r="Z58" s="483"/>
      <c r="AA58" s="420"/>
      <c r="AB58" s="420"/>
      <c r="AC58" s="484"/>
      <c r="AD58" s="637"/>
      <c r="AE58" s="483"/>
      <c r="AF58" s="420"/>
      <c r="AG58" s="420"/>
      <c r="AH58" s="484"/>
      <c r="AI58" s="637"/>
      <c r="AJ58" s="483"/>
      <c r="AK58" s="420"/>
      <c r="AL58" s="420"/>
      <c r="AM58" s="484"/>
      <c r="AN58" s="637"/>
      <c r="AO58" s="483"/>
      <c r="AP58" s="420"/>
      <c r="AQ58" s="420"/>
      <c r="AR58" s="484"/>
      <c r="AS58" s="637"/>
      <c r="AT58" s="483"/>
      <c r="AU58" s="420"/>
      <c r="AV58" s="420"/>
      <c r="AW58" s="484"/>
      <c r="AX58" s="637"/>
      <c r="AZ58" s="409"/>
      <c r="BA58" s="637"/>
    </row>
    <row r="59" spans="2:53">
      <c r="B59" s="635"/>
      <c r="C59" s="415">
        <v>13</v>
      </c>
      <c r="D59" s="500"/>
      <c r="E59" s="500"/>
      <c r="F59" s="500"/>
      <c r="G59" s="420"/>
      <c r="H59" s="672"/>
      <c r="I59" s="417" t="str">
        <f t="shared" si="39"/>
        <v>-</v>
      </c>
      <c r="J59" s="417" t="str">
        <f t="shared" si="40"/>
        <v>-</v>
      </c>
      <c r="K59" s="199" t="str">
        <f t="shared" si="41"/>
        <v>-</v>
      </c>
      <c r="L59" s="609"/>
      <c r="M59" s="486" t="e">
        <f>RANK(K59, K$47:$K$61)</f>
        <v>#VALUE!</v>
      </c>
      <c r="N59" s="627"/>
      <c r="O59" s="627"/>
      <c r="P59" s="483"/>
      <c r="Q59" s="420"/>
      <c r="R59" s="420"/>
      <c r="S59" s="484"/>
      <c r="T59" s="637"/>
      <c r="U59" s="483"/>
      <c r="V59" s="420"/>
      <c r="W59" s="420"/>
      <c r="X59" s="484"/>
      <c r="Y59" s="637"/>
      <c r="Z59" s="483"/>
      <c r="AA59" s="420"/>
      <c r="AB59" s="420"/>
      <c r="AC59" s="484"/>
      <c r="AD59" s="637"/>
      <c r="AE59" s="483"/>
      <c r="AF59" s="420"/>
      <c r="AG59" s="420"/>
      <c r="AH59" s="484"/>
      <c r="AI59" s="637"/>
      <c r="AJ59" s="483"/>
      <c r="AK59" s="420"/>
      <c r="AL59" s="420"/>
      <c r="AM59" s="484"/>
      <c r="AN59" s="637"/>
      <c r="AO59" s="483"/>
      <c r="AP59" s="420"/>
      <c r="AQ59" s="420"/>
      <c r="AR59" s="484"/>
      <c r="AS59" s="637"/>
      <c r="AT59" s="483"/>
      <c r="AU59" s="420"/>
      <c r="AV59" s="420"/>
      <c r="AW59" s="484"/>
      <c r="AX59" s="637"/>
      <c r="AZ59" s="409"/>
      <c r="BA59" s="637"/>
    </row>
    <row r="60" spans="2:53">
      <c r="B60" s="635"/>
      <c r="C60" s="415">
        <v>14</v>
      </c>
      <c r="D60" s="500"/>
      <c r="E60" s="500"/>
      <c r="F60" s="500"/>
      <c r="G60" s="420"/>
      <c r="H60" s="672"/>
      <c r="I60" s="417" t="str">
        <f t="shared" si="39"/>
        <v>-</v>
      </c>
      <c r="J60" s="417" t="str">
        <f t="shared" si="40"/>
        <v>-</v>
      </c>
      <c r="K60" s="199" t="str">
        <f t="shared" si="41"/>
        <v>-</v>
      </c>
      <c r="L60" s="609"/>
      <c r="M60" s="486" t="e">
        <f>RANK(K60, K$47:$K$61)</f>
        <v>#VALUE!</v>
      </c>
      <c r="N60" s="627"/>
      <c r="O60" s="627"/>
      <c r="P60" s="483"/>
      <c r="Q60" s="420"/>
      <c r="R60" s="420"/>
      <c r="S60" s="484"/>
      <c r="T60" s="637"/>
      <c r="U60" s="483"/>
      <c r="V60" s="420"/>
      <c r="W60" s="420"/>
      <c r="X60" s="484"/>
      <c r="Y60" s="637"/>
      <c r="Z60" s="483"/>
      <c r="AA60" s="420"/>
      <c r="AB60" s="420"/>
      <c r="AC60" s="484"/>
      <c r="AD60" s="637"/>
      <c r="AE60" s="483"/>
      <c r="AF60" s="420"/>
      <c r="AG60" s="420"/>
      <c r="AH60" s="484"/>
      <c r="AI60" s="637"/>
      <c r="AJ60" s="483"/>
      <c r="AK60" s="420"/>
      <c r="AL60" s="420"/>
      <c r="AM60" s="484"/>
      <c r="AN60" s="637"/>
      <c r="AO60" s="483"/>
      <c r="AP60" s="420"/>
      <c r="AQ60" s="420"/>
      <c r="AR60" s="484"/>
      <c r="AS60" s="637"/>
      <c r="AT60" s="483"/>
      <c r="AU60" s="420"/>
      <c r="AV60" s="420"/>
      <c r="AW60" s="484"/>
      <c r="AX60" s="637"/>
      <c r="AZ60" s="409"/>
      <c r="BA60" s="637"/>
    </row>
    <row r="61" spans="2:53">
      <c r="B61" s="635"/>
      <c r="C61" s="415">
        <v>15</v>
      </c>
      <c r="D61" s="500"/>
      <c r="E61" s="500"/>
      <c r="F61" s="500"/>
      <c r="G61" s="500"/>
      <c r="H61" s="676"/>
      <c r="I61" s="417" t="str">
        <f t="shared" si="39"/>
        <v>-</v>
      </c>
      <c r="J61" s="417" t="str">
        <f t="shared" si="40"/>
        <v>-</v>
      </c>
      <c r="K61" s="199" t="str">
        <f t="shared" si="41"/>
        <v>-</v>
      </c>
      <c r="L61" s="610"/>
      <c r="M61" s="486" t="e">
        <f>RANK(K61, K$47:$K$61)</f>
        <v>#VALUE!</v>
      </c>
      <c r="N61" s="627"/>
      <c r="O61" s="627"/>
      <c r="P61" s="483"/>
      <c r="Q61" s="420"/>
      <c r="R61" s="420"/>
      <c r="S61" s="484"/>
      <c r="T61" s="638"/>
      <c r="U61" s="483"/>
      <c r="V61" s="420"/>
      <c r="W61" s="420"/>
      <c r="X61" s="484"/>
      <c r="Y61" s="638"/>
      <c r="Z61" s="483"/>
      <c r="AA61" s="420"/>
      <c r="AB61" s="420"/>
      <c r="AC61" s="484"/>
      <c r="AD61" s="638"/>
      <c r="AE61" s="483"/>
      <c r="AF61" s="420"/>
      <c r="AG61" s="420"/>
      <c r="AH61" s="484"/>
      <c r="AI61" s="638"/>
      <c r="AJ61" s="483"/>
      <c r="AK61" s="420"/>
      <c r="AL61" s="420"/>
      <c r="AM61" s="484"/>
      <c r="AN61" s="638"/>
      <c r="AO61" s="483"/>
      <c r="AP61" s="420"/>
      <c r="AQ61" s="420"/>
      <c r="AR61" s="484"/>
      <c r="AS61" s="638"/>
      <c r="AT61" s="483"/>
      <c r="AU61" s="420"/>
      <c r="AV61" s="420"/>
      <c r="AW61" s="484"/>
      <c r="AX61" s="638"/>
      <c r="AZ61" s="409"/>
      <c r="BA61" s="638"/>
    </row>
    <row r="62" spans="2:53" ht="15.75">
      <c r="B62" s="639" t="s">
        <v>163</v>
      </c>
      <c r="C62" s="640"/>
      <c r="D62" s="640"/>
      <c r="E62" s="640"/>
      <c r="F62" s="640"/>
      <c r="G62" s="640"/>
      <c r="H62" s="641"/>
      <c r="I62" s="207"/>
      <c r="J62" s="207"/>
      <c r="K62" s="207"/>
      <c r="L62" s="207"/>
      <c r="M62" s="206"/>
      <c r="N62" s="628" t="s">
        <v>156</v>
      </c>
      <c r="O62" s="628" t="s">
        <v>105</v>
      </c>
      <c r="P62" s="634">
        <f>P42+7</f>
        <v>46189</v>
      </c>
      <c r="Q62" s="635"/>
      <c r="R62" s="635"/>
      <c r="S62" s="635"/>
      <c r="T62" s="635"/>
      <c r="U62" s="631">
        <f>P62+1</f>
        <v>46190</v>
      </c>
      <c r="V62" s="632"/>
      <c r="W62" s="632"/>
      <c r="X62" s="632"/>
      <c r="Y62" s="633"/>
      <c r="Z62" s="631">
        <f>U62+1</f>
        <v>46191</v>
      </c>
      <c r="AA62" s="632"/>
      <c r="AB62" s="632"/>
      <c r="AC62" s="632"/>
      <c r="AD62" s="633"/>
      <c r="AE62" s="631">
        <f>Z62+1</f>
        <v>46192</v>
      </c>
      <c r="AF62" s="632"/>
      <c r="AG62" s="632"/>
      <c r="AH62" s="632"/>
      <c r="AI62" s="633"/>
      <c r="AJ62" s="631">
        <f>AE62+1</f>
        <v>46193</v>
      </c>
      <c r="AK62" s="632"/>
      <c r="AL62" s="632"/>
      <c r="AM62" s="632"/>
      <c r="AN62" s="633"/>
      <c r="AO62" s="631">
        <f>AJ62+1</f>
        <v>46194</v>
      </c>
      <c r="AP62" s="632"/>
      <c r="AQ62" s="632"/>
      <c r="AR62" s="632"/>
      <c r="AS62" s="633"/>
      <c r="AT62" s="631">
        <f>AO62+1</f>
        <v>46195</v>
      </c>
      <c r="AU62" s="632"/>
      <c r="AV62" s="632"/>
      <c r="AW62" s="632"/>
      <c r="AX62" s="633"/>
    </row>
    <row r="63" spans="2:53" ht="15.75">
      <c r="B63" s="642"/>
      <c r="C63" s="642"/>
      <c r="D63" s="642"/>
      <c r="E63" s="642"/>
      <c r="F63" s="642"/>
      <c r="G63" s="642"/>
      <c r="H63" s="642"/>
      <c r="I63" s="204"/>
      <c r="J63" s="204"/>
      <c r="K63" s="204"/>
      <c r="L63" s="204"/>
      <c r="M63" s="205"/>
      <c r="N63" s="630"/>
      <c r="O63" s="630"/>
      <c r="P63" s="634" t="s">
        <v>318</v>
      </c>
      <c r="Q63" s="635"/>
      <c r="R63" s="635"/>
      <c r="S63" s="635"/>
      <c r="T63" s="635"/>
      <c r="U63" s="634" t="s">
        <v>319</v>
      </c>
      <c r="V63" s="635"/>
      <c r="W63" s="635"/>
      <c r="X63" s="635"/>
      <c r="Y63" s="635"/>
      <c r="Z63" s="634" t="s">
        <v>320</v>
      </c>
      <c r="AA63" s="635"/>
      <c r="AB63" s="635"/>
      <c r="AC63" s="635"/>
      <c r="AD63" s="635"/>
      <c r="AE63" s="634" t="s">
        <v>321</v>
      </c>
      <c r="AF63" s="635"/>
      <c r="AG63" s="635"/>
      <c r="AH63" s="635"/>
      <c r="AI63" s="635"/>
      <c r="AJ63" s="634" t="s">
        <v>322</v>
      </c>
      <c r="AK63" s="635"/>
      <c r="AL63" s="635"/>
      <c r="AM63" s="635"/>
      <c r="AN63" s="635"/>
      <c r="AO63" s="634" t="s">
        <v>323</v>
      </c>
      <c r="AP63" s="635"/>
      <c r="AQ63" s="635"/>
      <c r="AR63" s="635"/>
      <c r="AS63" s="635"/>
      <c r="AT63" s="634" t="s">
        <v>324</v>
      </c>
      <c r="AU63" s="635"/>
      <c r="AV63" s="635"/>
      <c r="AW63" s="635"/>
      <c r="AX63" s="635"/>
    </row>
    <row r="64" spans="2:53">
      <c r="B64" s="627" t="s">
        <v>374</v>
      </c>
      <c r="C64" s="627" t="s">
        <v>384</v>
      </c>
      <c r="D64" s="627"/>
      <c r="E64" s="627" t="s">
        <v>375</v>
      </c>
      <c r="F64" s="627"/>
      <c r="G64" s="627"/>
      <c r="H64" s="643" t="s">
        <v>371</v>
      </c>
      <c r="I64" s="627" t="s">
        <v>376</v>
      </c>
      <c r="J64" s="627"/>
      <c r="K64" s="627"/>
      <c r="L64" s="643" t="s">
        <v>371</v>
      </c>
      <c r="M64" s="628" t="s">
        <v>372</v>
      </c>
      <c r="N64" s="627"/>
      <c r="O64" s="627" t="s">
        <v>377</v>
      </c>
      <c r="P64" s="624" t="s">
        <v>373</v>
      </c>
      <c r="Q64" s="625"/>
      <c r="R64" s="625"/>
      <c r="S64" s="626"/>
      <c r="T64" s="627" t="s">
        <v>371</v>
      </c>
      <c r="U64" s="624" t="s">
        <v>373</v>
      </c>
      <c r="V64" s="625"/>
      <c r="W64" s="625"/>
      <c r="X64" s="626"/>
      <c r="Y64" s="627" t="s">
        <v>371</v>
      </c>
      <c r="Z64" s="624" t="s">
        <v>373</v>
      </c>
      <c r="AA64" s="625"/>
      <c r="AB64" s="625"/>
      <c r="AC64" s="626"/>
      <c r="AD64" s="627" t="s">
        <v>371</v>
      </c>
      <c r="AE64" s="624" t="s">
        <v>373</v>
      </c>
      <c r="AF64" s="625"/>
      <c r="AG64" s="625"/>
      <c r="AH64" s="626"/>
      <c r="AI64" s="627" t="s">
        <v>371</v>
      </c>
      <c r="AJ64" s="624" t="s">
        <v>373</v>
      </c>
      <c r="AK64" s="625"/>
      <c r="AL64" s="625"/>
      <c r="AM64" s="626"/>
      <c r="AN64" s="627" t="s">
        <v>371</v>
      </c>
      <c r="AO64" s="624" t="s">
        <v>373</v>
      </c>
      <c r="AP64" s="625"/>
      <c r="AQ64" s="625"/>
      <c r="AR64" s="626"/>
      <c r="AS64" s="627" t="s">
        <v>371</v>
      </c>
      <c r="AT64" s="624" t="s">
        <v>373</v>
      </c>
      <c r="AU64" s="625"/>
      <c r="AV64" s="625"/>
      <c r="AW64" s="626"/>
      <c r="AX64" s="627" t="s">
        <v>371</v>
      </c>
      <c r="BA64" s="627" t="s">
        <v>371</v>
      </c>
    </row>
    <row r="65" spans="2:53">
      <c r="B65" s="627"/>
      <c r="C65" s="627"/>
      <c r="D65" s="627"/>
      <c r="E65" s="627" t="s">
        <v>378</v>
      </c>
      <c r="F65" s="627"/>
      <c r="G65" s="627"/>
      <c r="H65" s="644"/>
      <c r="I65" s="627" t="s">
        <v>378</v>
      </c>
      <c r="J65" s="627"/>
      <c r="K65" s="627"/>
      <c r="L65" s="644"/>
      <c r="M65" s="629"/>
      <c r="N65" s="627"/>
      <c r="O65" s="627"/>
      <c r="P65" s="624" t="s">
        <v>379</v>
      </c>
      <c r="Q65" s="625"/>
      <c r="R65" s="625"/>
      <c r="S65" s="626"/>
      <c r="T65" s="627"/>
      <c r="U65" s="624" t="s">
        <v>379</v>
      </c>
      <c r="V65" s="625"/>
      <c r="W65" s="625"/>
      <c r="X65" s="626"/>
      <c r="Y65" s="627"/>
      <c r="Z65" s="624" t="s">
        <v>379</v>
      </c>
      <c r="AA65" s="625"/>
      <c r="AB65" s="625"/>
      <c r="AC65" s="626"/>
      <c r="AD65" s="627"/>
      <c r="AE65" s="624" t="s">
        <v>379</v>
      </c>
      <c r="AF65" s="625"/>
      <c r="AG65" s="625"/>
      <c r="AH65" s="626"/>
      <c r="AI65" s="627"/>
      <c r="AJ65" s="624" t="s">
        <v>379</v>
      </c>
      <c r="AK65" s="625"/>
      <c r="AL65" s="625"/>
      <c r="AM65" s="626"/>
      <c r="AN65" s="627"/>
      <c r="AO65" s="624" t="s">
        <v>379</v>
      </c>
      <c r="AP65" s="625"/>
      <c r="AQ65" s="625"/>
      <c r="AR65" s="626"/>
      <c r="AS65" s="627"/>
      <c r="AT65" s="624" t="s">
        <v>379</v>
      </c>
      <c r="AU65" s="625"/>
      <c r="AV65" s="625"/>
      <c r="AW65" s="626"/>
      <c r="AX65" s="627"/>
      <c r="BA65" s="627"/>
    </row>
    <row r="66" spans="2:53">
      <c r="B66" s="627"/>
      <c r="C66" s="627"/>
      <c r="D66" s="627"/>
      <c r="E66" s="412" t="s">
        <v>380</v>
      </c>
      <c r="F66" s="412" t="s">
        <v>381</v>
      </c>
      <c r="G66" s="412" t="s">
        <v>382</v>
      </c>
      <c r="H66" s="645"/>
      <c r="I66" s="412" t="s">
        <v>380</v>
      </c>
      <c r="J66" s="412" t="s">
        <v>381</v>
      </c>
      <c r="K66" s="412" t="s">
        <v>382</v>
      </c>
      <c r="L66" s="645"/>
      <c r="M66" s="630"/>
      <c r="N66" s="627"/>
      <c r="O66" s="627"/>
      <c r="P66" s="412" t="s">
        <v>380</v>
      </c>
      <c r="Q66" s="412" t="s">
        <v>381</v>
      </c>
      <c r="R66" s="412" t="s">
        <v>382</v>
      </c>
      <c r="S66" s="412" t="s">
        <v>372</v>
      </c>
      <c r="T66" s="627"/>
      <c r="U66" s="412" t="s">
        <v>380</v>
      </c>
      <c r="V66" s="412" t="s">
        <v>381</v>
      </c>
      <c r="W66" s="412" t="s">
        <v>382</v>
      </c>
      <c r="X66" s="412" t="s">
        <v>372</v>
      </c>
      <c r="Y66" s="627"/>
      <c r="Z66" s="412" t="s">
        <v>380</v>
      </c>
      <c r="AA66" s="412" t="s">
        <v>381</v>
      </c>
      <c r="AB66" s="412" t="s">
        <v>382</v>
      </c>
      <c r="AC66" s="412" t="s">
        <v>372</v>
      </c>
      <c r="AD66" s="627"/>
      <c r="AE66" s="412" t="s">
        <v>380</v>
      </c>
      <c r="AF66" s="412" t="s">
        <v>381</v>
      </c>
      <c r="AG66" s="412" t="s">
        <v>382</v>
      </c>
      <c r="AH66" s="412" t="s">
        <v>372</v>
      </c>
      <c r="AI66" s="627"/>
      <c r="AJ66" s="412" t="s">
        <v>380</v>
      </c>
      <c r="AK66" s="412" t="s">
        <v>381</v>
      </c>
      <c r="AL66" s="412" t="s">
        <v>382</v>
      </c>
      <c r="AM66" s="412" t="s">
        <v>372</v>
      </c>
      <c r="AN66" s="627"/>
      <c r="AO66" s="412" t="s">
        <v>380</v>
      </c>
      <c r="AP66" s="412" t="s">
        <v>381</v>
      </c>
      <c r="AQ66" s="412" t="s">
        <v>382</v>
      </c>
      <c r="AR66" s="412" t="s">
        <v>372</v>
      </c>
      <c r="AS66" s="627"/>
      <c r="AT66" s="412" t="s">
        <v>380</v>
      </c>
      <c r="AU66" s="412" t="s">
        <v>381</v>
      </c>
      <c r="AV66" s="412" t="s">
        <v>382</v>
      </c>
      <c r="AW66" s="412" t="s">
        <v>372</v>
      </c>
      <c r="AX66" s="627"/>
      <c r="AZ66" s="407" t="s">
        <v>372</v>
      </c>
      <c r="BA66" s="627"/>
    </row>
    <row r="67" spans="2:53">
      <c r="B67" s="675" t="s">
        <v>396</v>
      </c>
      <c r="C67" s="415">
        <v>1</v>
      </c>
      <c r="D67" s="413"/>
      <c r="E67" s="413"/>
      <c r="F67" s="413"/>
      <c r="G67" s="420"/>
      <c r="H67" s="671" t="e">
        <f>AVERAGE(G67:G81)</f>
        <v>#DIV/0!</v>
      </c>
      <c r="I67" s="417" t="str">
        <f t="shared" ref="I67:I81" si="44">IFERROR(AVERAGE(P67,U67,Z67,AE67,AJ67,AO67,AT67),"-")</f>
        <v>-</v>
      </c>
      <c r="J67" s="417" t="str">
        <f t="shared" ref="J67:J81" si="45">IFERROR(AVERAGE(Q67,V67,AA67,AF67,AK67,AP67,AU67),"-")</f>
        <v>-</v>
      </c>
      <c r="K67" s="199" t="str">
        <f t="shared" ref="K67:K81" si="46">IFERROR(AVERAGE(R67,W67,AB67,AG67,AL67,AQ67,AV67),"-")</f>
        <v>-</v>
      </c>
      <c r="L67" s="608" t="str">
        <f>IFERROR(AVERAGE(K67:K81),"-")</f>
        <v>-</v>
      </c>
      <c r="M67" s="421" t="e">
        <f>RANK(K67, K$67:$K$81)</f>
        <v>#VALUE!</v>
      </c>
      <c r="N67" s="627"/>
      <c r="O67" s="627"/>
      <c r="P67" s="487"/>
      <c r="Q67" s="420"/>
      <c r="R67" s="420"/>
      <c r="S67" s="488"/>
      <c r="T67" s="636"/>
      <c r="U67" s="487"/>
      <c r="V67" s="420"/>
      <c r="W67" s="420"/>
      <c r="X67" s="488"/>
      <c r="Y67" s="636"/>
      <c r="Z67" s="487"/>
      <c r="AA67" s="420"/>
      <c r="AB67" s="420"/>
      <c r="AC67" s="488"/>
      <c r="AD67" s="636"/>
      <c r="AE67" s="487"/>
      <c r="AF67" s="420"/>
      <c r="AG67" s="420"/>
      <c r="AH67" s="488"/>
      <c r="AI67" s="636"/>
      <c r="AJ67" s="487"/>
      <c r="AK67" s="420"/>
      <c r="AL67" s="420"/>
      <c r="AM67" s="488"/>
      <c r="AN67" s="636"/>
      <c r="AO67" s="487"/>
      <c r="AP67" s="420"/>
      <c r="AQ67" s="420"/>
      <c r="AR67" s="488"/>
      <c r="AS67" s="636"/>
      <c r="AT67" s="487"/>
      <c r="AU67" s="420"/>
      <c r="AV67" s="420"/>
      <c r="AW67" s="488"/>
      <c r="AX67" s="636"/>
      <c r="AZ67" s="409" t="e">
        <f t="shared" ref="AZ67:AZ81" si="47">RANK(AY67, AY$67:AY$81)</f>
        <v>#N/A</v>
      </c>
      <c r="BA67" s="636" t="e">
        <f t="shared" ref="BA67" si="48">AVERAGE(AY67:AY81)</f>
        <v>#DIV/0!</v>
      </c>
    </row>
    <row r="68" spans="2:53">
      <c r="B68" s="635"/>
      <c r="C68" s="415">
        <v>2</v>
      </c>
      <c r="D68" s="413"/>
      <c r="E68" s="413"/>
      <c r="F68" s="413"/>
      <c r="G68" s="420"/>
      <c r="H68" s="672"/>
      <c r="I68" s="417" t="str">
        <f t="shared" si="44"/>
        <v>-</v>
      </c>
      <c r="J68" s="417" t="str">
        <f t="shared" si="45"/>
        <v>-</v>
      </c>
      <c r="K68" s="199" t="str">
        <f t="shared" si="46"/>
        <v>-</v>
      </c>
      <c r="L68" s="609"/>
      <c r="M68" s="494" t="e">
        <f>RANK(K68, K$67:$K$81)</f>
        <v>#VALUE!</v>
      </c>
      <c r="N68" s="627"/>
      <c r="O68" s="627"/>
      <c r="P68" s="487"/>
      <c r="Q68" s="420"/>
      <c r="R68" s="420"/>
      <c r="S68" s="488"/>
      <c r="T68" s="637"/>
      <c r="U68" s="487"/>
      <c r="V68" s="420"/>
      <c r="W68" s="420"/>
      <c r="X68" s="488"/>
      <c r="Y68" s="637"/>
      <c r="Z68" s="487"/>
      <c r="AA68" s="420"/>
      <c r="AB68" s="420"/>
      <c r="AC68" s="488"/>
      <c r="AD68" s="637"/>
      <c r="AE68" s="487"/>
      <c r="AF68" s="420"/>
      <c r="AG68" s="420"/>
      <c r="AH68" s="488"/>
      <c r="AI68" s="637"/>
      <c r="AJ68" s="487"/>
      <c r="AK68" s="420"/>
      <c r="AL68" s="420"/>
      <c r="AM68" s="488"/>
      <c r="AN68" s="637"/>
      <c r="AO68" s="487"/>
      <c r="AP68" s="420"/>
      <c r="AQ68" s="420"/>
      <c r="AR68" s="488"/>
      <c r="AS68" s="637"/>
      <c r="AT68" s="487"/>
      <c r="AU68" s="420"/>
      <c r="AV68" s="420"/>
      <c r="AW68" s="488"/>
      <c r="AX68" s="637"/>
      <c r="AZ68" s="409" t="e">
        <f t="shared" si="47"/>
        <v>#N/A</v>
      </c>
      <c r="BA68" s="637"/>
    </row>
    <row r="69" spans="2:53">
      <c r="B69" s="635"/>
      <c r="C69" s="415">
        <v>3</v>
      </c>
      <c r="D69" s="413"/>
      <c r="E69" s="413"/>
      <c r="F69" s="413"/>
      <c r="G69" s="420"/>
      <c r="H69" s="672"/>
      <c r="I69" s="417" t="str">
        <f t="shared" si="44"/>
        <v>-</v>
      </c>
      <c r="J69" s="417" t="str">
        <f t="shared" si="45"/>
        <v>-</v>
      </c>
      <c r="K69" s="199" t="str">
        <f t="shared" si="46"/>
        <v>-</v>
      </c>
      <c r="L69" s="609"/>
      <c r="M69" s="494" t="e">
        <f>RANK(K69, K$67:$K$81)</f>
        <v>#VALUE!</v>
      </c>
      <c r="N69" s="627"/>
      <c r="O69" s="627"/>
      <c r="P69" s="487"/>
      <c r="Q69" s="420"/>
      <c r="R69" s="420"/>
      <c r="S69" s="488"/>
      <c r="T69" s="637"/>
      <c r="U69" s="487"/>
      <c r="V69" s="420"/>
      <c r="W69" s="420"/>
      <c r="X69" s="488"/>
      <c r="Y69" s="637"/>
      <c r="Z69" s="487"/>
      <c r="AA69" s="420"/>
      <c r="AB69" s="420"/>
      <c r="AC69" s="488"/>
      <c r="AD69" s="637"/>
      <c r="AE69" s="487"/>
      <c r="AF69" s="420"/>
      <c r="AG69" s="420"/>
      <c r="AH69" s="488"/>
      <c r="AI69" s="637"/>
      <c r="AJ69" s="487"/>
      <c r="AK69" s="420"/>
      <c r="AL69" s="420"/>
      <c r="AM69" s="488"/>
      <c r="AN69" s="637"/>
      <c r="AO69" s="487"/>
      <c r="AP69" s="420"/>
      <c r="AQ69" s="420"/>
      <c r="AR69" s="488"/>
      <c r="AS69" s="637"/>
      <c r="AT69" s="487"/>
      <c r="AU69" s="420"/>
      <c r="AV69" s="420"/>
      <c r="AW69" s="488"/>
      <c r="AX69" s="637"/>
      <c r="AZ69" s="409" t="e">
        <f t="shared" si="47"/>
        <v>#N/A</v>
      </c>
      <c r="BA69" s="637"/>
    </row>
    <row r="70" spans="2:53">
      <c r="B70" s="635"/>
      <c r="C70" s="415">
        <v>4</v>
      </c>
      <c r="D70" s="413"/>
      <c r="E70" s="413"/>
      <c r="F70" s="413"/>
      <c r="G70" s="420"/>
      <c r="H70" s="672"/>
      <c r="I70" s="417" t="str">
        <f t="shared" si="44"/>
        <v>-</v>
      </c>
      <c r="J70" s="417" t="str">
        <f t="shared" si="45"/>
        <v>-</v>
      </c>
      <c r="K70" s="199" t="str">
        <f t="shared" si="46"/>
        <v>-</v>
      </c>
      <c r="L70" s="609"/>
      <c r="M70" s="494" t="e">
        <f>RANK(K70, K$67:$K$81)</f>
        <v>#VALUE!</v>
      </c>
      <c r="N70" s="627"/>
      <c r="O70" s="627"/>
      <c r="P70" s="487"/>
      <c r="Q70" s="420"/>
      <c r="R70" s="420"/>
      <c r="S70" s="488"/>
      <c r="T70" s="637"/>
      <c r="U70" s="487"/>
      <c r="V70" s="420"/>
      <c r="W70" s="420"/>
      <c r="X70" s="488"/>
      <c r="Y70" s="637"/>
      <c r="Z70" s="487"/>
      <c r="AA70" s="420"/>
      <c r="AB70" s="420"/>
      <c r="AC70" s="488"/>
      <c r="AD70" s="637"/>
      <c r="AE70" s="487"/>
      <c r="AF70" s="420"/>
      <c r="AG70" s="420"/>
      <c r="AH70" s="488"/>
      <c r="AI70" s="637"/>
      <c r="AJ70" s="487"/>
      <c r="AK70" s="420"/>
      <c r="AL70" s="420"/>
      <c r="AM70" s="488"/>
      <c r="AN70" s="637"/>
      <c r="AO70" s="487"/>
      <c r="AP70" s="420"/>
      <c r="AQ70" s="420"/>
      <c r="AR70" s="488"/>
      <c r="AS70" s="637"/>
      <c r="AT70" s="487"/>
      <c r="AU70" s="420"/>
      <c r="AV70" s="420"/>
      <c r="AW70" s="488"/>
      <c r="AX70" s="637"/>
      <c r="AZ70" s="409" t="e">
        <f t="shared" si="47"/>
        <v>#N/A</v>
      </c>
      <c r="BA70" s="637"/>
    </row>
    <row r="71" spans="2:53">
      <c r="B71" s="635"/>
      <c r="C71" s="415">
        <v>5</v>
      </c>
      <c r="D71" s="413"/>
      <c r="E71" s="413"/>
      <c r="F71" s="413"/>
      <c r="G71" s="420"/>
      <c r="H71" s="672"/>
      <c r="I71" s="417" t="str">
        <f t="shared" si="44"/>
        <v>-</v>
      </c>
      <c r="J71" s="417" t="str">
        <f t="shared" si="45"/>
        <v>-</v>
      </c>
      <c r="K71" s="199" t="str">
        <f t="shared" si="46"/>
        <v>-</v>
      </c>
      <c r="L71" s="609"/>
      <c r="M71" s="494" t="e">
        <f>RANK(K71, K$67:$K$81)</f>
        <v>#VALUE!</v>
      </c>
      <c r="N71" s="627"/>
      <c r="O71" s="627"/>
      <c r="P71" s="487"/>
      <c r="Q71" s="420"/>
      <c r="R71" s="420"/>
      <c r="S71" s="488"/>
      <c r="T71" s="637"/>
      <c r="U71" s="487"/>
      <c r="V71" s="420"/>
      <c r="W71" s="420"/>
      <c r="X71" s="488"/>
      <c r="Y71" s="637"/>
      <c r="Z71" s="487"/>
      <c r="AA71" s="420"/>
      <c r="AB71" s="420"/>
      <c r="AC71" s="488"/>
      <c r="AD71" s="637"/>
      <c r="AE71" s="487"/>
      <c r="AF71" s="420"/>
      <c r="AG71" s="420"/>
      <c r="AH71" s="488"/>
      <c r="AI71" s="637"/>
      <c r="AJ71" s="487"/>
      <c r="AK71" s="420"/>
      <c r="AL71" s="420"/>
      <c r="AM71" s="488"/>
      <c r="AN71" s="637"/>
      <c r="AO71" s="487"/>
      <c r="AP71" s="420"/>
      <c r="AQ71" s="420"/>
      <c r="AR71" s="488"/>
      <c r="AS71" s="637"/>
      <c r="AT71" s="487"/>
      <c r="AU71" s="420"/>
      <c r="AV71" s="420"/>
      <c r="AW71" s="488"/>
      <c r="AX71" s="637"/>
      <c r="AZ71" s="409" t="e">
        <f t="shared" si="47"/>
        <v>#N/A</v>
      </c>
      <c r="BA71" s="637"/>
    </row>
    <row r="72" spans="2:53">
      <c r="B72" s="635"/>
      <c r="C72" s="415">
        <v>6</v>
      </c>
      <c r="D72" s="413"/>
      <c r="E72" s="413"/>
      <c r="F72" s="413"/>
      <c r="G72" s="420"/>
      <c r="H72" s="672"/>
      <c r="I72" s="417" t="str">
        <f t="shared" si="44"/>
        <v>-</v>
      </c>
      <c r="J72" s="417" t="str">
        <f t="shared" si="45"/>
        <v>-</v>
      </c>
      <c r="K72" s="199" t="str">
        <f t="shared" si="46"/>
        <v>-</v>
      </c>
      <c r="L72" s="609"/>
      <c r="M72" s="494" t="e">
        <f>RANK(K72, K$67:$K$81)</f>
        <v>#VALUE!</v>
      </c>
      <c r="N72" s="627"/>
      <c r="O72" s="627"/>
      <c r="P72" s="487"/>
      <c r="Q72" s="420"/>
      <c r="R72" s="420"/>
      <c r="S72" s="488"/>
      <c r="T72" s="637"/>
      <c r="U72" s="487"/>
      <c r="V72" s="420"/>
      <c r="W72" s="420"/>
      <c r="X72" s="488"/>
      <c r="Y72" s="637"/>
      <c r="Z72" s="487"/>
      <c r="AA72" s="420"/>
      <c r="AB72" s="420"/>
      <c r="AC72" s="488"/>
      <c r="AD72" s="637"/>
      <c r="AE72" s="487"/>
      <c r="AF72" s="420"/>
      <c r="AG72" s="420"/>
      <c r="AH72" s="488"/>
      <c r="AI72" s="637"/>
      <c r="AJ72" s="487"/>
      <c r="AK72" s="420"/>
      <c r="AL72" s="420"/>
      <c r="AM72" s="488"/>
      <c r="AN72" s="637"/>
      <c r="AO72" s="487"/>
      <c r="AP72" s="420"/>
      <c r="AQ72" s="420"/>
      <c r="AR72" s="488"/>
      <c r="AS72" s="637"/>
      <c r="AT72" s="487"/>
      <c r="AU72" s="420"/>
      <c r="AV72" s="420"/>
      <c r="AW72" s="488"/>
      <c r="AX72" s="637"/>
      <c r="AZ72" s="409" t="e">
        <f t="shared" si="47"/>
        <v>#N/A</v>
      </c>
      <c r="BA72" s="637"/>
    </row>
    <row r="73" spans="2:53">
      <c r="B73" s="635"/>
      <c r="C73" s="415">
        <v>7</v>
      </c>
      <c r="D73" s="413"/>
      <c r="E73" s="413"/>
      <c r="F73" s="413"/>
      <c r="G73" s="420"/>
      <c r="H73" s="672"/>
      <c r="I73" s="417" t="str">
        <f t="shared" si="44"/>
        <v>-</v>
      </c>
      <c r="J73" s="417" t="str">
        <f t="shared" si="45"/>
        <v>-</v>
      </c>
      <c r="K73" s="199" t="str">
        <f t="shared" si="46"/>
        <v>-</v>
      </c>
      <c r="L73" s="609"/>
      <c r="M73" s="494" t="e">
        <f>RANK(K73, K$67:$K$81)</f>
        <v>#VALUE!</v>
      </c>
      <c r="N73" s="627"/>
      <c r="O73" s="627"/>
      <c r="P73" s="487"/>
      <c r="Q73" s="420"/>
      <c r="R73" s="420"/>
      <c r="S73" s="488"/>
      <c r="T73" s="637"/>
      <c r="U73" s="487"/>
      <c r="V73" s="420"/>
      <c r="W73" s="420"/>
      <c r="X73" s="488"/>
      <c r="Y73" s="637"/>
      <c r="Z73" s="487"/>
      <c r="AA73" s="420"/>
      <c r="AB73" s="420"/>
      <c r="AC73" s="488"/>
      <c r="AD73" s="637"/>
      <c r="AE73" s="487"/>
      <c r="AF73" s="420"/>
      <c r="AG73" s="420"/>
      <c r="AH73" s="488"/>
      <c r="AI73" s="637"/>
      <c r="AJ73" s="487"/>
      <c r="AK73" s="420"/>
      <c r="AL73" s="420"/>
      <c r="AM73" s="488"/>
      <c r="AN73" s="637"/>
      <c r="AO73" s="487"/>
      <c r="AP73" s="420"/>
      <c r="AQ73" s="420"/>
      <c r="AR73" s="488"/>
      <c r="AS73" s="637"/>
      <c r="AT73" s="487"/>
      <c r="AU73" s="420"/>
      <c r="AV73" s="420"/>
      <c r="AW73" s="488"/>
      <c r="AX73" s="637"/>
      <c r="AZ73" s="409" t="e">
        <f t="shared" si="47"/>
        <v>#N/A</v>
      </c>
      <c r="BA73" s="637"/>
    </row>
    <row r="74" spans="2:53">
      <c r="B74" s="635"/>
      <c r="C74" s="415">
        <v>8</v>
      </c>
      <c r="D74" s="413"/>
      <c r="E74" s="413"/>
      <c r="F74" s="413"/>
      <c r="G74" s="420"/>
      <c r="H74" s="672"/>
      <c r="I74" s="417" t="str">
        <f t="shared" si="44"/>
        <v>-</v>
      </c>
      <c r="J74" s="417" t="str">
        <f t="shared" si="45"/>
        <v>-</v>
      </c>
      <c r="K74" s="199" t="str">
        <f t="shared" si="46"/>
        <v>-</v>
      </c>
      <c r="L74" s="609"/>
      <c r="M74" s="494" t="e">
        <f>RANK(K74, K$67:$K$81)</f>
        <v>#VALUE!</v>
      </c>
      <c r="N74" s="627"/>
      <c r="O74" s="627"/>
      <c r="P74" s="487"/>
      <c r="Q74" s="420"/>
      <c r="R74" s="420"/>
      <c r="S74" s="488"/>
      <c r="T74" s="637"/>
      <c r="U74" s="487"/>
      <c r="V74" s="420"/>
      <c r="W74" s="420"/>
      <c r="X74" s="488"/>
      <c r="Y74" s="637"/>
      <c r="Z74" s="487"/>
      <c r="AA74" s="420"/>
      <c r="AB74" s="420"/>
      <c r="AC74" s="488"/>
      <c r="AD74" s="637"/>
      <c r="AE74" s="487"/>
      <c r="AF74" s="420"/>
      <c r="AG74" s="420"/>
      <c r="AH74" s="488"/>
      <c r="AI74" s="637"/>
      <c r="AJ74" s="487"/>
      <c r="AK74" s="420"/>
      <c r="AL74" s="420"/>
      <c r="AM74" s="488"/>
      <c r="AN74" s="637"/>
      <c r="AO74" s="487"/>
      <c r="AP74" s="420"/>
      <c r="AQ74" s="420"/>
      <c r="AR74" s="488"/>
      <c r="AS74" s="637"/>
      <c r="AT74" s="487"/>
      <c r="AU74" s="420"/>
      <c r="AV74" s="420"/>
      <c r="AW74" s="488"/>
      <c r="AX74" s="637"/>
      <c r="AZ74" s="409" t="e">
        <f t="shared" si="47"/>
        <v>#N/A</v>
      </c>
      <c r="BA74" s="637"/>
    </row>
    <row r="75" spans="2:53">
      <c r="B75" s="635"/>
      <c r="C75" s="415">
        <v>9</v>
      </c>
      <c r="D75" s="413"/>
      <c r="E75" s="413"/>
      <c r="F75" s="413"/>
      <c r="G75" s="420"/>
      <c r="H75" s="672"/>
      <c r="I75" s="417" t="str">
        <f t="shared" si="44"/>
        <v>-</v>
      </c>
      <c r="J75" s="417" t="str">
        <f t="shared" si="45"/>
        <v>-</v>
      </c>
      <c r="K75" s="199" t="str">
        <f t="shared" si="46"/>
        <v>-</v>
      </c>
      <c r="L75" s="609"/>
      <c r="M75" s="494" t="e">
        <f>RANK(K75, K$67:$K$81)</f>
        <v>#VALUE!</v>
      </c>
      <c r="N75" s="627"/>
      <c r="O75" s="627"/>
      <c r="P75" s="487"/>
      <c r="Q75" s="420"/>
      <c r="R75" s="420"/>
      <c r="S75" s="488"/>
      <c r="T75" s="637"/>
      <c r="U75" s="487"/>
      <c r="V75" s="420"/>
      <c r="W75" s="420"/>
      <c r="X75" s="488"/>
      <c r="Y75" s="637"/>
      <c r="Z75" s="487"/>
      <c r="AA75" s="420"/>
      <c r="AB75" s="420"/>
      <c r="AC75" s="488"/>
      <c r="AD75" s="637"/>
      <c r="AE75" s="487"/>
      <c r="AF75" s="420"/>
      <c r="AG75" s="420"/>
      <c r="AH75" s="488"/>
      <c r="AI75" s="637"/>
      <c r="AJ75" s="487"/>
      <c r="AK75" s="420"/>
      <c r="AL75" s="420"/>
      <c r="AM75" s="488"/>
      <c r="AN75" s="637"/>
      <c r="AO75" s="487"/>
      <c r="AP75" s="420"/>
      <c r="AQ75" s="420"/>
      <c r="AR75" s="488"/>
      <c r="AS75" s="637"/>
      <c r="AT75" s="487"/>
      <c r="AU75" s="420"/>
      <c r="AV75" s="420"/>
      <c r="AW75" s="488"/>
      <c r="AX75" s="637"/>
      <c r="AZ75" s="409" t="e">
        <f t="shared" si="47"/>
        <v>#N/A</v>
      </c>
      <c r="BA75" s="637"/>
    </row>
    <row r="76" spans="2:53">
      <c r="B76" s="635"/>
      <c r="C76" s="415">
        <v>10</v>
      </c>
      <c r="D76" s="413"/>
      <c r="E76" s="413"/>
      <c r="F76" s="413"/>
      <c r="G76" s="420"/>
      <c r="H76" s="672"/>
      <c r="I76" s="417" t="str">
        <f t="shared" si="44"/>
        <v>-</v>
      </c>
      <c r="J76" s="417" t="str">
        <f t="shared" si="45"/>
        <v>-</v>
      </c>
      <c r="K76" s="199" t="str">
        <f t="shared" si="46"/>
        <v>-</v>
      </c>
      <c r="L76" s="609"/>
      <c r="M76" s="494" t="e">
        <f>RANK(K76, K$67:$K$81)</f>
        <v>#VALUE!</v>
      </c>
      <c r="N76" s="627"/>
      <c r="O76" s="627"/>
      <c r="P76" s="487"/>
      <c r="Q76" s="420"/>
      <c r="R76" s="420"/>
      <c r="S76" s="488"/>
      <c r="T76" s="637"/>
      <c r="U76" s="487"/>
      <c r="V76" s="420"/>
      <c r="W76" s="420"/>
      <c r="X76" s="488"/>
      <c r="Y76" s="637"/>
      <c r="Z76" s="487"/>
      <c r="AA76" s="420"/>
      <c r="AB76" s="420"/>
      <c r="AC76" s="488"/>
      <c r="AD76" s="637"/>
      <c r="AE76" s="487"/>
      <c r="AF76" s="420"/>
      <c r="AG76" s="420"/>
      <c r="AH76" s="488"/>
      <c r="AI76" s="637"/>
      <c r="AJ76" s="487"/>
      <c r="AK76" s="420"/>
      <c r="AL76" s="420"/>
      <c r="AM76" s="488"/>
      <c r="AN76" s="637"/>
      <c r="AO76" s="487"/>
      <c r="AP76" s="420"/>
      <c r="AQ76" s="420"/>
      <c r="AR76" s="488"/>
      <c r="AS76" s="637"/>
      <c r="AT76" s="487"/>
      <c r="AU76" s="420"/>
      <c r="AV76" s="420"/>
      <c r="AW76" s="488"/>
      <c r="AX76" s="637"/>
      <c r="AZ76" s="409" t="e">
        <f t="shared" si="47"/>
        <v>#N/A</v>
      </c>
      <c r="BA76" s="637"/>
    </row>
    <row r="77" spans="2:53">
      <c r="B77" s="635"/>
      <c r="C77" s="415">
        <v>11</v>
      </c>
      <c r="D77" s="413"/>
      <c r="E77" s="413"/>
      <c r="F77" s="413"/>
      <c r="G77" s="420"/>
      <c r="H77" s="672"/>
      <c r="I77" s="417" t="str">
        <f t="shared" si="44"/>
        <v>-</v>
      </c>
      <c r="J77" s="417" t="str">
        <f t="shared" si="45"/>
        <v>-</v>
      </c>
      <c r="K77" s="199" t="str">
        <f t="shared" si="46"/>
        <v>-</v>
      </c>
      <c r="L77" s="609"/>
      <c r="M77" s="494" t="e">
        <f>RANK(K77, K$67:$K$81)</f>
        <v>#VALUE!</v>
      </c>
      <c r="N77" s="627"/>
      <c r="O77" s="627"/>
      <c r="P77" s="487"/>
      <c r="Q77" s="420"/>
      <c r="R77" s="420"/>
      <c r="S77" s="488"/>
      <c r="T77" s="637"/>
      <c r="U77" s="487"/>
      <c r="V77" s="420"/>
      <c r="W77" s="420"/>
      <c r="X77" s="488"/>
      <c r="Y77" s="637"/>
      <c r="Z77" s="487"/>
      <c r="AA77" s="420"/>
      <c r="AB77" s="420"/>
      <c r="AC77" s="488"/>
      <c r="AD77" s="637"/>
      <c r="AE77" s="487"/>
      <c r="AF77" s="420"/>
      <c r="AG77" s="420"/>
      <c r="AH77" s="488"/>
      <c r="AI77" s="637"/>
      <c r="AJ77" s="487"/>
      <c r="AK77" s="420"/>
      <c r="AL77" s="420"/>
      <c r="AM77" s="488"/>
      <c r="AN77" s="637"/>
      <c r="AO77" s="487"/>
      <c r="AP77" s="420"/>
      <c r="AQ77" s="420"/>
      <c r="AR77" s="488"/>
      <c r="AS77" s="637"/>
      <c r="AT77" s="487"/>
      <c r="AU77" s="420"/>
      <c r="AV77" s="420"/>
      <c r="AW77" s="488"/>
      <c r="AX77" s="637"/>
      <c r="AZ77" s="409" t="e">
        <f t="shared" si="47"/>
        <v>#N/A</v>
      </c>
      <c r="BA77" s="637"/>
    </row>
    <row r="78" spans="2:53">
      <c r="B78" s="635"/>
      <c r="C78" s="415">
        <v>12</v>
      </c>
      <c r="D78" s="413"/>
      <c r="E78" s="413"/>
      <c r="F78" s="413"/>
      <c r="G78" s="420"/>
      <c r="H78" s="672"/>
      <c r="I78" s="417" t="str">
        <f t="shared" si="44"/>
        <v>-</v>
      </c>
      <c r="J78" s="417" t="str">
        <f t="shared" si="45"/>
        <v>-</v>
      </c>
      <c r="K78" s="199" t="str">
        <f t="shared" si="46"/>
        <v>-</v>
      </c>
      <c r="L78" s="609"/>
      <c r="M78" s="494" t="e">
        <f>RANK(K78, K$67:$K$81)</f>
        <v>#VALUE!</v>
      </c>
      <c r="N78" s="627"/>
      <c r="O78" s="627"/>
      <c r="P78" s="487"/>
      <c r="Q78" s="420"/>
      <c r="R78" s="420"/>
      <c r="S78" s="488"/>
      <c r="T78" s="637"/>
      <c r="U78" s="487"/>
      <c r="V78" s="420"/>
      <c r="W78" s="420"/>
      <c r="X78" s="488"/>
      <c r="Y78" s="637"/>
      <c r="Z78" s="487"/>
      <c r="AA78" s="420"/>
      <c r="AB78" s="420"/>
      <c r="AC78" s="488"/>
      <c r="AD78" s="637"/>
      <c r="AE78" s="487"/>
      <c r="AF78" s="420"/>
      <c r="AG78" s="420"/>
      <c r="AH78" s="488"/>
      <c r="AI78" s="637"/>
      <c r="AJ78" s="487"/>
      <c r="AK78" s="420"/>
      <c r="AL78" s="420"/>
      <c r="AM78" s="488"/>
      <c r="AN78" s="637"/>
      <c r="AO78" s="487"/>
      <c r="AP78" s="420"/>
      <c r="AQ78" s="420"/>
      <c r="AR78" s="488"/>
      <c r="AS78" s="637"/>
      <c r="AT78" s="487"/>
      <c r="AU78" s="420"/>
      <c r="AV78" s="420"/>
      <c r="AW78" s="488"/>
      <c r="AX78" s="637"/>
      <c r="AZ78" s="409" t="e">
        <f t="shared" si="47"/>
        <v>#N/A</v>
      </c>
      <c r="BA78" s="637"/>
    </row>
    <row r="79" spans="2:53">
      <c r="B79" s="635"/>
      <c r="C79" s="415">
        <v>13</v>
      </c>
      <c r="D79" s="413"/>
      <c r="E79" s="413"/>
      <c r="F79" s="413"/>
      <c r="G79" s="420"/>
      <c r="H79" s="672"/>
      <c r="I79" s="417" t="str">
        <f t="shared" si="44"/>
        <v>-</v>
      </c>
      <c r="J79" s="417" t="str">
        <f t="shared" si="45"/>
        <v>-</v>
      </c>
      <c r="K79" s="199" t="str">
        <f t="shared" si="46"/>
        <v>-</v>
      </c>
      <c r="L79" s="609"/>
      <c r="M79" s="494" t="e">
        <f>RANK(K79, K$67:$K$81)</f>
        <v>#VALUE!</v>
      </c>
      <c r="N79" s="627"/>
      <c r="O79" s="627"/>
      <c r="P79" s="487"/>
      <c r="Q79" s="420"/>
      <c r="R79" s="420"/>
      <c r="S79" s="488"/>
      <c r="T79" s="637"/>
      <c r="U79" s="487"/>
      <c r="V79" s="420"/>
      <c r="W79" s="420"/>
      <c r="X79" s="488"/>
      <c r="Y79" s="637"/>
      <c r="Z79" s="487"/>
      <c r="AA79" s="420"/>
      <c r="AB79" s="420"/>
      <c r="AC79" s="488"/>
      <c r="AD79" s="637"/>
      <c r="AE79" s="487"/>
      <c r="AF79" s="420"/>
      <c r="AG79" s="420"/>
      <c r="AH79" s="488"/>
      <c r="AI79" s="637"/>
      <c r="AJ79" s="487"/>
      <c r="AK79" s="420"/>
      <c r="AL79" s="420"/>
      <c r="AM79" s="488"/>
      <c r="AN79" s="637"/>
      <c r="AO79" s="487"/>
      <c r="AP79" s="420"/>
      <c r="AQ79" s="420"/>
      <c r="AR79" s="488"/>
      <c r="AS79" s="637"/>
      <c r="AT79" s="487"/>
      <c r="AU79" s="420"/>
      <c r="AV79" s="420"/>
      <c r="AW79" s="488"/>
      <c r="AX79" s="637"/>
      <c r="AZ79" s="409" t="e">
        <f t="shared" si="47"/>
        <v>#N/A</v>
      </c>
      <c r="BA79" s="637"/>
    </row>
    <row r="80" spans="2:53">
      <c r="B80" s="635"/>
      <c r="C80" s="415">
        <v>14</v>
      </c>
      <c r="D80" s="413"/>
      <c r="E80" s="413"/>
      <c r="F80" s="413"/>
      <c r="G80" s="420"/>
      <c r="H80" s="672"/>
      <c r="I80" s="417" t="str">
        <f t="shared" si="44"/>
        <v>-</v>
      </c>
      <c r="J80" s="417" t="str">
        <f t="shared" si="45"/>
        <v>-</v>
      </c>
      <c r="K80" s="199" t="str">
        <f t="shared" si="46"/>
        <v>-</v>
      </c>
      <c r="L80" s="609"/>
      <c r="M80" s="494" t="e">
        <f>RANK(K80, K$67:$K$81)</f>
        <v>#VALUE!</v>
      </c>
      <c r="N80" s="627"/>
      <c r="O80" s="627"/>
      <c r="P80" s="487"/>
      <c r="Q80" s="420"/>
      <c r="R80" s="420"/>
      <c r="S80" s="488"/>
      <c r="T80" s="637"/>
      <c r="U80" s="487"/>
      <c r="V80" s="420"/>
      <c r="W80" s="420"/>
      <c r="X80" s="488"/>
      <c r="Y80" s="637"/>
      <c r="Z80" s="487"/>
      <c r="AA80" s="420"/>
      <c r="AB80" s="420"/>
      <c r="AC80" s="488"/>
      <c r="AD80" s="637"/>
      <c r="AE80" s="487"/>
      <c r="AF80" s="420"/>
      <c r="AG80" s="420"/>
      <c r="AH80" s="488"/>
      <c r="AI80" s="637"/>
      <c r="AJ80" s="487"/>
      <c r="AK80" s="420"/>
      <c r="AL80" s="420"/>
      <c r="AM80" s="488"/>
      <c r="AN80" s="637"/>
      <c r="AO80" s="487"/>
      <c r="AP80" s="420"/>
      <c r="AQ80" s="420"/>
      <c r="AR80" s="488"/>
      <c r="AS80" s="637"/>
      <c r="AT80" s="487"/>
      <c r="AU80" s="420"/>
      <c r="AV80" s="420"/>
      <c r="AW80" s="488"/>
      <c r="AX80" s="637"/>
      <c r="AZ80" s="409" t="e">
        <f t="shared" si="47"/>
        <v>#N/A</v>
      </c>
      <c r="BA80" s="637"/>
    </row>
    <row r="81" spans="2:53">
      <c r="B81" s="635"/>
      <c r="C81" s="415">
        <v>15</v>
      </c>
      <c r="D81" s="413"/>
      <c r="E81" s="413"/>
      <c r="F81" s="413"/>
      <c r="G81" s="413"/>
      <c r="H81" s="676"/>
      <c r="I81" s="417" t="str">
        <f t="shared" si="44"/>
        <v>-</v>
      </c>
      <c r="J81" s="417" t="str">
        <f t="shared" si="45"/>
        <v>-</v>
      </c>
      <c r="K81" s="199" t="str">
        <f t="shared" si="46"/>
        <v>-</v>
      </c>
      <c r="L81" s="610"/>
      <c r="M81" s="494" t="e">
        <f>RANK(K81, K$67:$K$81)</f>
        <v>#VALUE!</v>
      </c>
      <c r="N81" s="627"/>
      <c r="O81" s="627"/>
      <c r="P81" s="488"/>
      <c r="Q81" s="490"/>
      <c r="R81" s="490"/>
      <c r="S81" s="488"/>
      <c r="T81" s="638"/>
      <c r="U81" s="488"/>
      <c r="V81" s="490"/>
      <c r="W81" s="490"/>
      <c r="X81" s="488"/>
      <c r="Y81" s="638"/>
      <c r="Z81" s="488"/>
      <c r="AA81" s="490"/>
      <c r="AB81" s="490"/>
      <c r="AC81" s="488"/>
      <c r="AD81" s="638"/>
      <c r="AE81" s="488"/>
      <c r="AF81" s="490"/>
      <c r="AG81" s="490"/>
      <c r="AH81" s="488"/>
      <c r="AI81" s="638"/>
      <c r="AJ81" s="488"/>
      <c r="AK81" s="490"/>
      <c r="AL81" s="490"/>
      <c r="AM81" s="488"/>
      <c r="AN81" s="638"/>
      <c r="AO81" s="488"/>
      <c r="AP81" s="490"/>
      <c r="AQ81" s="490"/>
      <c r="AR81" s="488"/>
      <c r="AS81" s="638"/>
      <c r="AT81" s="488"/>
      <c r="AU81" s="490"/>
      <c r="AV81" s="490"/>
      <c r="AW81" s="488"/>
      <c r="AX81" s="638"/>
      <c r="AZ81" s="409" t="e">
        <f t="shared" si="47"/>
        <v>#N/A</v>
      </c>
      <c r="BA81" s="638"/>
    </row>
    <row r="82" spans="2:53" ht="15.75">
      <c r="B82" s="639" t="s">
        <v>163</v>
      </c>
      <c r="C82" s="640"/>
      <c r="D82" s="640"/>
      <c r="E82" s="640"/>
      <c r="F82" s="640"/>
      <c r="G82" s="640"/>
      <c r="H82" s="641"/>
      <c r="I82" s="207"/>
      <c r="J82" s="207"/>
      <c r="K82" s="207"/>
      <c r="L82" s="207"/>
      <c r="M82" s="206"/>
      <c r="N82" s="628" t="s">
        <v>156</v>
      </c>
      <c r="O82" s="628" t="s">
        <v>105</v>
      </c>
      <c r="P82" s="634">
        <f>P62+7</f>
        <v>46196</v>
      </c>
      <c r="Q82" s="635"/>
      <c r="R82" s="635"/>
      <c r="S82" s="635"/>
      <c r="T82" s="635"/>
      <c r="U82" s="631">
        <f>P82+1</f>
        <v>46197</v>
      </c>
      <c r="V82" s="632"/>
      <c r="W82" s="632"/>
      <c r="X82" s="632"/>
      <c r="Y82" s="633"/>
      <c r="Z82" s="631">
        <f>U82+1</f>
        <v>46198</v>
      </c>
      <c r="AA82" s="632"/>
      <c r="AB82" s="632"/>
      <c r="AC82" s="632"/>
      <c r="AD82" s="633"/>
      <c r="AE82" s="631">
        <f>Z82+1</f>
        <v>46199</v>
      </c>
      <c r="AF82" s="632"/>
      <c r="AG82" s="632"/>
      <c r="AH82" s="632"/>
      <c r="AI82" s="633"/>
      <c r="AJ82" s="631">
        <f>AE82+1</f>
        <v>46200</v>
      </c>
      <c r="AK82" s="632"/>
      <c r="AL82" s="632"/>
      <c r="AM82" s="632"/>
      <c r="AN82" s="633"/>
      <c r="AO82" s="631">
        <f>AJ82+1</f>
        <v>46201</v>
      </c>
      <c r="AP82" s="632"/>
      <c r="AQ82" s="632"/>
      <c r="AR82" s="632"/>
      <c r="AS82" s="633"/>
      <c r="AT82" s="631">
        <f>AO82+1</f>
        <v>46202</v>
      </c>
      <c r="AU82" s="632"/>
      <c r="AV82" s="632"/>
      <c r="AW82" s="632"/>
      <c r="AX82" s="633"/>
    </row>
    <row r="83" spans="2:53" ht="15.75">
      <c r="B83" s="642"/>
      <c r="C83" s="642"/>
      <c r="D83" s="642"/>
      <c r="E83" s="642"/>
      <c r="F83" s="642"/>
      <c r="G83" s="642"/>
      <c r="H83" s="642"/>
      <c r="I83" s="204"/>
      <c r="J83" s="204"/>
      <c r="K83" s="204"/>
      <c r="L83" s="204"/>
      <c r="M83" s="205"/>
      <c r="N83" s="630"/>
      <c r="O83" s="630"/>
      <c r="P83" s="634" t="s">
        <v>318</v>
      </c>
      <c r="Q83" s="635"/>
      <c r="R83" s="635"/>
      <c r="S83" s="635"/>
      <c r="T83" s="635"/>
      <c r="U83" s="634" t="s">
        <v>319</v>
      </c>
      <c r="V83" s="635"/>
      <c r="W83" s="635"/>
      <c r="X83" s="635"/>
      <c r="Y83" s="635"/>
      <c r="Z83" s="634" t="s">
        <v>320</v>
      </c>
      <c r="AA83" s="635"/>
      <c r="AB83" s="635"/>
      <c r="AC83" s="635"/>
      <c r="AD83" s="635"/>
      <c r="AE83" s="634" t="s">
        <v>321</v>
      </c>
      <c r="AF83" s="635"/>
      <c r="AG83" s="635"/>
      <c r="AH83" s="635"/>
      <c r="AI83" s="635"/>
      <c r="AJ83" s="634" t="s">
        <v>322</v>
      </c>
      <c r="AK83" s="635"/>
      <c r="AL83" s="635"/>
      <c r="AM83" s="635"/>
      <c r="AN83" s="635"/>
      <c r="AO83" s="634" t="s">
        <v>323</v>
      </c>
      <c r="AP83" s="635"/>
      <c r="AQ83" s="635"/>
      <c r="AR83" s="635"/>
      <c r="AS83" s="635"/>
      <c r="AT83" s="634" t="s">
        <v>324</v>
      </c>
      <c r="AU83" s="635"/>
      <c r="AV83" s="635"/>
      <c r="AW83" s="635"/>
      <c r="AX83" s="635"/>
    </row>
    <row r="84" spans="2:53">
      <c r="B84" s="627" t="s">
        <v>399</v>
      </c>
      <c r="C84" s="627" t="s">
        <v>384</v>
      </c>
      <c r="D84" s="627"/>
      <c r="E84" s="627" t="s">
        <v>375</v>
      </c>
      <c r="F84" s="627"/>
      <c r="G84" s="627"/>
      <c r="H84" s="643" t="s">
        <v>371</v>
      </c>
      <c r="I84" s="627" t="s">
        <v>376</v>
      </c>
      <c r="J84" s="627"/>
      <c r="K84" s="627"/>
      <c r="L84" s="643" t="s">
        <v>371</v>
      </c>
      <c r="M84" s="628" t="s">
        <v>372</v>
      </c>
      <c r="N84" s="627"/>
      <c r="O84" s="627" t="s">
        <v>377</v>
      </c>
      <c r="P84" s="624" t="s">
        <v>373</v>
      </c>
      <c r="Q84" s="625"/>
      <c r="R84" s="625"/>
      <c r="S84" s="626"/>
      <c r="T84" s="627" t="s">
        <v>371</v>
      </c>
      <c r="U84" s="624" t="s">
        <v>373</v>
      </c>
      <c r="V84" s="625"/>
      <c r="W84" s="625"/>
      <c r="X84" s="626"/>
      <c r="Y84" s="627" t="s">
        <v>371</v>
      </c>
      <c r="Z84" s="624" t="s">
        <v>373</v>
      </c>
      <c r="AA84" s="625"/>
      <c r="AB84" s="625"/>
      <c r="AC84" s="626"/>
      <c r="AD84" s="627" t="s">
        <v>371</v>
      </c>
      <c r="AE84" s="624" t="s">
        <v>373</v>
      </c>
      <c r="AF84" s="625"/>
      <c r="AG84" s="625"/>
      <c r="AH84" s="626"/>
      <c r="AI84" s="627" t="s">
        <v>371</v>
      </c>
      <c r="AJ84" s="624" t="s">
        <v>373</v>
      </c>
      <c r="AK84" s="625"/>
      <c r="AL84" s="625"/>
      <c r="AM84" s="626"/>
      <c r="AN84" s="627" t="s">
        <v>371</v>
      </c>
      <c r="AO84" s="624" t="s">
        <v>373</v>
      </c>
      <c r="AP84" s="625"/>
      <c r="AQ84" s="625"/>
      <c r="AR84" s="626"/>
      <c r="AS84" s="627" t="s">
        <v>371</v>
      </c>
      <c r="AT84" s="624" t="s">
        <v>373</v>
      </c>
      <c r="AU84" s="625"/>
      <c r="AV84" s="625"/>
      <c r="AW84" s="626"/>
      <c r="AX84" s="627" t="s">
        <v>371</v>
      </c>
      <c r="BA84" s="627" t="s">
        <v>371</v>
      </c>
    </row>
    <row r="85" spans="2:53">
      <c r="B85" s="627"/>
      <c r="C85" s="627"/>
      <c r="D85" s="627"/>
      <c r="E85" s="627" t="s">
        <v>378</v>
      </c>
      <c r="F85" s="627"/>
      <c r="G85" s="627"/>
      <c r="H85" s="644"/>
      <c r="I85" s="627" t="s">
        <v>378</v>
      </c>
      <c r="J85" s="627"/>
      <c r="K85" s="627"/>
      <c r="L85" s="644"/>
      <c r="M85" s="629"/>
      <c r="N85" s="627"/>
      <c r="O85" s="627"/>
      <c r="P85" s="624" t="s">
        <v>379</v>
      </c>
      <c r="Q85" s="625"/>
      <c r="R85" s="625"/>
      <c r="S85" s="626"/>
      <c r="T85" s="627"/>
      <c r="U85" s="624" t="s">
        <v>379</v>
      </c>
      <c r="V85" s="625"/>
      <c r="W85" s="625"/>
      <c r="X85" s="626"/>
      <c r="Y85" s="627"/>
      <c r="Z85" s="624" t="s">
        <v>379</v>
      </c>
      <c r="AA85" s="625"/>
      <c r="AB85" s="625"/>
      <c r="AC85" s="626"/>
      <c r="AD85" s="627"/>
      <c r="AE85" s="624" t="s">
        <v>379</v>
      </c>
      <c r="AF85" s="625"/>
      <c r="AG85" s="625"/>
      <c r="AH85" s="626"/>
      <c r="AI85" s="627"/>
      <c r="AJ85" s="624" t="s">
        <v>379</v>
      </c>
      <c r="AK85" s="625"/>
      <c r="AL85" s="625"/>
      <c r="AM85" s="626"/>
      <c r="AN85" s="627"/>
      <c r="AO85" s="624" t="s">
        <v>379</v>
      </c>
      <c r="AP85" s="625"/>
      <c r="AQ85" s="625"/>
      <c r="AR85" s="626"/>
      <c r="AS85" s="627"/>
      <c r="AT85" s="624" t="s">
        <v>379</v>
      </c>
      <c r="AU85" s="625"/>
      <c r="AV85" s="625"/>
      <c r="AW85" s="626"/>
      <c r="AX85" s="627"/>
      <c r="BA85" s="627"/>
    </row>
    <row r="86" spans="2:53">
      <c r="B86" s="627"/>
      <c r="C86" s="627"/>
      <c r="D86" s="627"/>
      <c r="E86" s="412" t="s">
        <v>380</v>
      </c>
      <c r="F86" s="412" t="s">
        <v>381</v>
      </c>
      <c r="G86" s="412" t="s">
        <v>382</v>
      </c>
      <c r="H86" s="645"/>
      <c r="I86" s="412" t="s">
        <v>380</v>
      </c>
      <c r="J86" s="412" t="s">
        <v>381</v>
      </c>
      <c r="K86" s="412" t="s">
        <v>382</v>
      </c>
      <c r="L86" s="645"/>
      <c r="M86" s="630"/>
      <c r="N86" s="627"/>
      <c r="O86" s="627"/>
      <c r="P86" s="412" t="s">
        <v>380</v>
      </c>
      <c r="Q86" s="412" t="s">
        <v>381</v>
      </c>
      <c r="R86" s="412" t="s">
        <v>382</v>
      </c>
      <c r="S86" s="412" t="s">
        <v>372</v>
      </c>
      <c r="T86" s="627"/>
      <c r="U86" s="412" t="s">
        <v>380</v>
      </c>
      <c r="V86" s="412" t="s">
        <v>381</v>
      </c>
      <c r="W86" s="412" t="s">
        <v>382</v>
      </c>
      <c r="X86" s="412" t="s">
        <v>372</v>
      </c>
      <c r="Y86" s="627"/>
      <c r="Z86" s="412" t="s">
        <v>380</v>
      </c>
      <c r="AA86" s="412" t="s">
        <v>381</v>
      </c>
      <c r="AB86" s="412" t="s">
        <v>382</v>
      </c>
      <c r="AC86" s="412" t="s">
        <v>372</v>
      </c>
      <c r="AD86" s="627"/>
      <c r="AE86" s="412" t="s">
        <v>380</v>
      </c>
      <c r="AF86" s="412" t="s">
        <v>381</v>
      </c>
      <c r="AG86" s="412" t="s">
        <v>382</v>
      </c>
      <c r="AH86" s="412" t="s">
        <v>372</v>
      </c>
      <c r="AI86" s="627"/>
      <c r="AJ86" s="412" t="s">
        <v>380</v>
      </c>
      <c r="AK86" s="412" t="s">
        <v>381</v>
      </c>
      <c r="AL86" s="412" t="s">
        <v>382</v>
      </c>
      <c r="AM86" s="412" t="s">
        <v>372</v>
      </c>
      <c r="AN86" s="627"/>
      <c r="AO86" s="412" t="s">
        <v>380</v>
      </c>
      <c r="AP86" s="412" t="s">
        <v>381</v>
      </c>
      <c r="AQ86" s="412" t="s">
        <v>382</v>
      </c>
      <c r="AR86" s="412" t="s">
        <v>372</v>
      </c>
      <c r="AS86" s="627"/>
      <c r="AT86" s="412" t="s">
        <v>380</v>
      </c>
      <c r="AU86" s="412" t="s">
        <v>381</v>
      </c>
      <c r="AV86" s="412" t="s">
        <v>382</v>
      </c>
      <c r="AW86" s="412" t="s">
        <v>372</v>
      </c>
      <c r="AX86" s="627"/>
      <c r="AZ86" s="407" t="s">
        <v>372</v>
      </c>
      <c r="BA86" s="627"/>
    </row>
    <row r="87" spans="2:53">
      <c r="B87" s="675" t="s">
        <v>412</v>
      </c>
      <c r="C87" s="415">
        <v>1</v>
      </c>
      <c r="D87" s="413"/>
      <c r="E87" s="413"/>
      <c r="F87" s="413"/>
      <c r="G87" s="420"/>
      <c r="H87" s="671" t="e">
        <f>AVERAGE(G87:G101)</f>
        <v>#DIV/0!</v>
      </c>
      <c r="I87" s="417" t="str">
        <f t="shared" ref="I87:I101" si="49">IFERROR(AVERAGE(P87,U87,Z87,AE87,AJ87,AO87,AT87),"-")</f>
        <v>-</v>
      </c>
      <c r="J87" s="417" t="str">
        <f t="shared" ref="J87:J101" si="50">IFERROR(AVERAGE(Q87,V87,AA87,AF87,AK87,AP87,AU87),"-")</f>
        <v>-</v>
      </c>
      <c r="K87" s="199" t="str">
        <f t="shared" ref="K87:K101" si="51">IFERROR(AVERAGE(R87,W87,AB87,AG87,AL87,AQ87,AV87),"-")</f>
        <v>-</v>
      </c>
      <c r="L87" s="608" t="str">
        <f>IFERROR(AVERAGE(K87:K101),"-")</f>
        <v>-</v>
      </c>
      <c r="M87" s="421" t="e">
        <f>RANK(K87, K$107:$K$121)</f>
        <v>#VALUE!</v>
      </c>
      <c r="N87" s="627"/>
      <c r="O87" s="627"/>
      <c r="P87" s="495"/>
      <c r="Q87" s="420"/>
      <c r="R87" s="420"/>
      <c r="S87" s="495" t="e">
        <f t="shared" ref="S87:S101" si="52">RANK(R87, R$87:R$101)</f>
        <v>#N/A</v>
      </c>
      <c r="T87" s="649" t="e">
        <f t="shared" ref="T87" si="53">AVERAGE(R87:R101)</f>
        <v>#DIV/0!</v>
      </c>
      <c r="U87" s="495"/>
      <c r="V87" s="420"/>
      <c r="W87" s="420"/>
      <c r="X87" s="495"/>
      <c r="Y87" s="649"/>
      <c r="Z87" s="495"/>
      <c r="AA87" s="420"/>
      <c r="AB87" s="420"/>
      <c r="AC87" s="495"/>
      <c r="AD87" s="649"/>
      <c r="AE87" s="495"/>
      <c r="AF87" s="420"/>
      <c r="AG87" s="420"/>
      <c r="AH87" s="495"/>
      <c r="AI87" s="649"/>
      <c r="AJ87" s="495"/>
      <c r="AK87" s="420"/>
      <c r="AL87" s="420"/>
      <c r="AM87" s="495"/>
      <c r="AN87" s="649"/>
      <c r="AO87" s="495"/>
      <c r="AP87" s="420"/>
      <c r="AQ87" s="420"/>
      <c r="AR87" s="495"/>
      <c r="AS87" s="649"/>
      <c r="AT87" s="495"/>
      <c r="AU87" s="420"/>
      <c r="AV87" s="420"/>
      <c r="AW87" s="495"/>
      <c r="AX87" s="649"/>
      <c r="AZ87" s="406" t="e">
        <f t="shared" ref="AZ87:AZ101" si="54">RANK(AY87, AY$87:AY$101)</f>
        <v>#N/A</v>
      </c>
      <c r="BA87" s="649" t="e">
        <f t="shared" ref="BA87" si="55">AVERAGE(AY87:AY101)</f>
        <v>#DIV/0!</v>
      </c>
    </row>
    <row r="88" spans="2:53">
      <c r="B88" s="635"/>
      <c r="C88" s="415">
        <v>2</v>
      </c>
      <c r="D88" s="413"/>
      <c r="E88" s="413"/>
      <c r="F88" s="413"/>
      <c r="G88" s="420"/>
      <c r="H88" s="672"/>
      <c r="I88" s="417" t="str">
        <f t="shared" si="49"/>
        <v>-</v>
      </c>
      <c r="J88" s="417" t="str">
        <f t="shared" si="50"/>
        <v>-</v>
      </c>
      <c r="K88" s="199" t="str">
        <f t="shared" si="51"/>
        <v>-</v>
      </c>
      <c r="L88" s="609"/>
      <c r="M88" s="421" t="e">
        <f>RANK(K88, K$107:$K$121)</f>
        <v>#VALUE!</v>
      </c>
      <c r="N88" s="627"/>
      <c r="O88" s="627"/>
      <c r="P88" s="495"/>
      <c r="Q88" s="420"/>
      <c r="R88" s="420"/>
      <c r="S88" s="495" t="e">
        <f t="shared" si="52"/>
        <v>#N/A</v>
      </c>
      <c r="T88" s="649"/>
      <c r="U88" s="495"/>
      <c r="V88" s="420"/>
      <c r="W88" s="420"/>
      <c r="X88" s="495"/>
      <c r="Y88" s="649"/>
      <c r="Z88" s="495"/>
      <c r="AA88" s="420"/>
      <c r="AB88" s="420"/>
      <c r="AC88" s="495"/>
      <c r="AD88" s="649"/>
      <c r="AE88" s="495"/>
      <c r="AF88" s="420"/>
      <c r="AG88" s="420"/>
      <c r="AH88" s="495"/>
      <c r="AI88" s="649"/>
      <c r="AJ88" s="495"/>
      <c r="AK88" s="420"/>
      <c r="AL88" s="420"/>
      <c r="AM88" s="495"/>
      <c r="AN88" s="649"/>
      <c r="AO88" s="495"/>
      <c r="AP88" s="420"/>
      <c r="AQ88" s="420"/>
      <c r="AR88" s="495"/>
      <c r="AS88" s="649"/>
      <c r="AT88" s="495"/>
      <c r="AU88" s="420"/>
      <c r="AV88" s="420"/>
      <c r="AW88" s="495"/>
      <c r="AX88" s="649"/>
      <c r="AZ88" s="406" t="e">
        <f t="shared" si="54"/>
        <v>#N/A</v>
      </c>
      <c r="BA88" s="649"/>
    </row>
    <row r="89" spans="2:53">
      <c r="B89" s="635"/>
      <c r="C89" s="415">
        <v>3</v>
      </c>
      <c r="D89" s="413"/>
      <c r="E89" s="413"/>
      <c r="F89" s="413"/>
      <c r="G89" s="420"/>
      <c r="H89" s="672"/>
      <c r="I89" s="417" t="str">
        <f t="shared" si="49"/>
        <v>-</v>
      </c>
      <c r="J89" s="417" t="str">
        <f t="shared" si="50"/>
        <v>-</v>
      </c>
      <c r="K89" s="199" t="str">
        <f t="shared" si="51"/>
        <v>-</v>
      </c>
      <c r="L89" s="609"/>
      <c r="M89" s="421" t="e">
        <f>RANK(K89, K$107:$K$121)</f>
        <v>#VALUE!</v>
      </c>
      <c r="N89" s="627"/>
      <c r="O89" s="627"/>
      <c r="P89" s="495"/>
      <c r="Q89" s="420"/>
      <c r="R89" s="420"/>
      <c r="S89" s="495" t="e">
        <f t="shared" si="52"/>
        <v>#N/A</v>
      </c>
      <c r="T89" s="649"/>
      <c r="U89" s="495"/>
      <c r="V89" s="420"/>
      <c r="W89" s="420"/>
      <c r="X89" s="495"/>
      <c r="Y89" s="649"/>
      <c r="Z89" s="495"/>
      <c r="AA89" s="420"/>
      <c r="AB89" s="420"/>
      <c r="AC89" s="495"/>
      <c r="AD89" s="649"/>
      <c r="AE89" s="495"/>
      <c r="AF89" s="420"/>
      <c r="AG89" s="420"/>
      <c r="AH89" s="495"/>
      <c r="AI89" s="649"/>
      <c r="AJ89" s="495"/>
      <c r="AK89" s="420"/>
      <c r="AL89" s="420"/>
      <c r="AM89" s="495"/>
      <c r="AN89" s="649"/>
      <c r="AO89" s="495"/>
      <c r="AP89" s="420"/>
      <c r="AQ89" s="420"/>
      <c r="AR89" s="495"/>
      <c r="AS89" s="649"/>
      <c r="AT89" s="495"/>
      <c r="AU89" s="420"/>
      <c r="AV89" s="420"/>
      <c r="AW89" s="495"/>
      <c r="AX89" s="649"/>
      <c r="AZ89" s="406" t="e">
        <f t="shared" si="54"/>
        <v>#N/A</v>
      </c>
      <c r="BA89" s="649"/>
    </row>
    <row r="90" spans="2:53">
      <c r="B90" s="635"/>
      <c r="C90" s="415">
        <v>4</v>
      </c>
      <c r="D90" s="413"/>
      <c r="E90" s="413"/>
      <c r="F90" s="413"/>
      <c r="G90" s="420"/>
      <c r="H90" s="672"/>
      <c r="I90" s="417" t="str">
        <f t="shared" si="49"/>
        <v>-</v>
      </c>
      <c r="J90" s="417" t="str">
        <f t="shared" si="50"/>
        <v>-</v>
      </c>
      <c r="K90" s="199" t="str">
        <f t="shared" si="51"/>
        <v>-</v>
      </c>
      <c r="L90" s="609"/>
      <c r="M90" s="421" t="e">
        <f>RANK(K90, K$107:$K$121)</f>
        <v>#VALUE!</v>
      </c>
      <c r="N90" s="627"/>
      <c r="O90" s="627"/>
      <c r="P90" s="495"/>
      <c r="Q90" s="420"/>
      <c r="R90" s="420"/>
      <c r="S90" s="495" t="e">
        <f t="shared" si="52"/>
        <v>#N/A</v>
      </c>
      <c r="T90" s="649"/>
      <c r="U90" s="495"/>
      <c r="V90" s="420"/>
      <c r="W90" s="420"/>
      <c r="X90" s="495"/>
      <c r="Y90" s="649"/>
      <c r="Z90" s="495"/>
      <c r="AA90" s="420"/>
      <c r="AB90" s="420"/>
      <c r="AC90" s="495"/>
      <c r="AD90" s="649"/>
      <c r="AE90" s="495"/>
      <c r="AF90" s="420"/>
      <c r="AG90" s="420"/>
      <c r="AH90" s="495"/>
      <c r="AI90" s="649"/>
      <c r="AJ90" s="495"/>
      <c r="AK90" s="420"/>
      <c r="AL90" s="420"/>
      <c r="AM90" s="495"/>
      <c r="AN90" s="649"/>
      <c r="AO90" s="495"/>
      <c r="AP90" s="420"/>
      <c r="AQ90" s="420"/>
      <c r="AR90" s="495"/>
      <c r="AS90" s="649"/>
      <c r="AT90" s="495"/>
      <c r="AU90" s="420"/>
      <c r="AV90" s="420"/>
      <c r="AW90" s="495"/>
      <c r="AX90" s="649"/>
      <c r="AZ90" s="406" t="e">
        <f t="shared" si="54"/>
        <v>#N/A</v>
      </c>
      <c r="BA90" s="649"/>
    </row>
    <row r="91" spans="2:53">
      <c r="B91" s="635"/>
      <c r="C91" s="415">
        <v>5</v>
      </c>
      <c r="D91" s="413"/>
      <c r="E91" s="413"/>
      <c r="F91" s="413"/>
      <c r="G91" s="420"/>
      <c r="H91" s="672"/>
      <c r="I91" s="417" t="str">
        <f t="shared" si="49"/>
        <v>-</v>
      </c>
      <c r="J91" s="417" t="str">
        <f t="shared" si="50"/>
        <v>-</v>
      </c>
      <c r="K91" s="199" t="str">
        <f t="shared" si="51"/>
        <v>-</v>
      </c>
      <c r="L91" s="609"/>
      <c r="M91" s="421" t="e">
        <f>RANK(K91, K$107:$K$121)</f>
        <v>#VALUE!</v>
      </c>
      <c r="N91" s="627"/>
      <c r="O91" s="627"/>
      <c r="P91" s="495"/>
      <c r="Q91" s="420"/>
      <c r="R91" s="420"/>
      <c r="S91" s="495" t="e">
        <f t="shared" si="52"/>
        <v>#N/A</v>
      </c>
      <c r="T91" s="649"/>
      <c r="U91" s="495"/>
      <c r="V91" s="420"/>
      <c r="W91" s="420"/>
      <c r="X91" s="495"/>
      <c r="Y91" s="649"/>
      <c r="Z91" s="495"/>
      <c r="AA91" s="420"/>
      <c r="AB91" s="420"/>
      <c r="AC91" s="495"/>
      <c r="AD91" s="649"/>
      <c r="AE91" s="495"/>
      <c r="AF91" s="420"/>
      <c r="AG91" s="420"/>
      <c r="AH91" s="495"/>
      <c r="AI91" s="649"/>
      <c r="AJ91" s="495"/>
      <c r="AK91" s="420"/>
      <c r="AL91" s="420"/>
      <c r="AM91" s="495"/>
      <c r="AN91" s="649"/>
      <c r="AO91" s="495"/>
      <c r="AP91" s="420"/>
      <c r="AQ91" s="420"/>
      <c r="AR91" s="495"/>
      <c r="AS91" s="649"/>
      <c r="AT91" s="495"/>
      <c r="AU91" s="420"/>
      <c r="AV91" s="420"/>
      <c r="AW91" s="495"/>
      <c r="AX91" s="649"/>
      <c r="AZ91" s="406" t="e">
        <f t="shared" si="54"/>
        <v>#N/A</v>
      </c>
      <c r="BA91" s="649"/>
    </row>
    <row r="92" spans="2:53">
      <c r="B92" s="635"/>
      <c r="C92" s="415">
        <v>6</v>
      </c>
      <c r="D92" s="413"/>
      <c r="E92" s="413"/>
      <c r="F92" s="413"/>
      <c r="G92" s="420"/>
      <c r="H92" s="672"/>
      <c r="I92" s="417" t="str">
        <f t="shared" si="49"/>
        <v>-</v>
      </c>
      <c r="J92" s="417" t="str">
        <f t="shared" si="50"/>
        <v>-</v>
      </c>
      <c r="K92" s="199" t="str">
        <f t="shared" si="51"/>
        <v>-</v>
      </c>
      <c r="L92" s="609"/>
      <c r="M92" s="421" t="e">
        <f>RANK(K92, K$107:$K$121)</f>
        <v>#VALUE!</v>
      </c>
      <c r="N92" s="627"/>
      <c r="O92" s="627"/>
      <c r="P92" s="495"/>
      <c r="Q92" s="420"/>
      <c r="R92" s="420"/>
      <c r="S92" s="495" t="e">
        <f t="shared" si="52"/>
        <v>#N/A</v>
      </c>
      <c r="T92" s="649"/>
      <c r="U92" s="495"/>
      <c r="V92" s="420"/>
      <c r="W92" s="420"/>
      <c r="X92" s="495"/>
      <c r="Y92" s="649"/>
      <c r="Z92" s="495"/>
      <c r="AA92" s="420"/>
      <c r="AB92" s="420"/>
      <c r="AC92" s="495"/>
      <c r="AD92" s="649"/>
      <c r="AE92" s="495"/>
      <c r="AF92" s="420"/>
      <c r="AG92" s="420"/>
      <c r="AH92" s="495"/>
      <c r="AI92" s="649"/>
      <c r="AJ92" s="495"/>
      <c r="AK92" s="420"/>
      <c r="AL92" s="420"/>
      <c r="AM92" s="495"/>
      <c r="AN92" s="649"/>
      <c r="AO92" s="495"/>
      <c r="AP92" s="420"/>
      <c r="AQ92" s="420"/>
      <c r="AR92" s="495"/>
      <c r="AS92" s="649"/>
      <c r="AT92" s="495"/>
      <c r="AU92" s="420"/>
      <c r="AV92" s="420"/>
      <c r="AW92" s="495"/>
      <c r="AX92" s="649"/>
      <c r="AZ92" s="406" t="e">
        <f t="shared" si="54"/>
        <v>#N/A</v>
      </c>
      <c r="BA92" s="649"/>
    </row>
    <row r="93" spans="2:53">
      <c r="B93" s="635"/>
      <c r="C93" s="415">
        <v>7</v>
      </c>
      <c r="D93" s="413"/>
      <c r="E93" s="413"/>
      <c r="F93" s="413"/>
      <c r="G93" s="420"/>
      <c r="H93" s="672"/>
      <c r="I93" s="417" t="str">
        <f t="shared" si="49"/>
        <v>-</v>
      </c>
      <c r="J93" s="417" t="str">
        <f t="shared" si="50"/>
        <v>-</v>
      </c>
      <c r="K93" s="199" t="str">
        <f t="shared" si="51"/>
        <v>-</v>
      </c>
      <c r="L93" s="609"/>
      <c r="M93" s="421" t="e">
        <f>RANK(K93, K$107:$K$121)</f>
        <v>#VALUE!</v>
      </c>
      <c r="N93" s="627"/>
      <c r="O93" s="627"/>
      <c r="P93" s="495"/>
      <c r="Q93" s="420"/>
      <c r="R93" s="420"/>
      <c r="S93" s="495" t="e">
        <f t="shared" si="52"/>
        <v>#N/A</v>
      </c>
      <c r="T93" s="649"/>
      <c r="U93" s="495"/>
      <c r="V93" s="420"/>
      <c r="W93" s="420"/>
      <c r="X93" s="495"/>
      <c r="Y93" s="649"/>
      <c r="Z93" s="495"/>
      <c r="AA93" s="420"/>
      <c r="AB93" s="420"/>
      <c r="AC93" s="495"/>
      <c r="AD93" s="649"/>
      <c r="AE93" s="495"/>
      <c r="AF93" s="420"/>
      <c r="AG93" s="420"/>
      <c r="AH93" s="495"/>
      <c r="AI93" s="649"/>
      <c r="AJ93" s="495"/>
      <c r="AK93" s="420"/>
      <c r="AL93" s="420"/>
      <c r="AM93" s="495"/>
      <c r="AN93" s="649"/>
      <c r="AO93" s="495"/>
      <c r="AP93" s="420"/>
      <c r="AQ93" s="420"/>
      <c r="AR93" s="495"/>
      <c r="AS93" s="649"/>
      <c r="AT93" s="495"/>
      <c r="AU93" s="420"/>
      <c r="AV93" s="420"/>
      <c r="AW93" s="495"/>
      <c r="AX93" s="649"/>
      <c r="AZ93" s="406" t="e">
        <f t="shared" si="54"/>
        <v>#N/A</v>
      </c>
      <c r="BA93" s="649"/>
    </row>
    <row r="94" spans="2:53">
      <c r="B94" s="635"/>
      <c r="C94" s="415">
        <v>8</v>
      </c>
      <c r="D94" s="413"/>
      <c r="E94" s="413"/>
      <c r="F94" s="413"/>
      <c r="G94" s="420"/>
      <c r="H94" s="672"/>
      <c r="I94" s="417" t="str">
        <f t="shared" si="49"/>
        <v>-</v>
      </c>
      <c r="J94" s="417" t="str">
        <f t="shared" si="50"/>
        <v>-</v>
      </c>
      <c r="K94" s="199" t="str">
        <f t="shared" si="51"/>
        <v>-</v>
      </c>
      <c r="L94" s="609"/>
      <c r="M94" s="421" t="e">
        <f>RANK(K94, K$107:$K$121)</f>
        <v>#VALUE!</v>
      </c>
      <c r="N94" s="627"/>
      <c r="O94" s="627"/>
      <c r="P94" s="495"/>
      <c r="Q94" s="420"/>
      <c r="R94" s="420"/>
      <c r="S94" s="495" t="e">
        <f t="shared" si="52"/>
        <v>#N/A</v>
      </c>
      <c r="T94" s="649"/>
      <c r="U94" s="495"/>
      <c r="V94" s="420"/>
      <c r="W94" s="420"/>
      <c r="X94" s="495"/>
      <c r="Y94" s="649"/>
      <c r="Z94" s="495"/>
      <c r="AA94" s="420"/>
      <c r="AB94" s="420"/>
      <c r="AC94" s="495"/>
      <c r="AD94" s="649"/>
      <c r="AE94" s="495"/>
      <c r="AF94" s="420"/>
      <c r="AG94" s="420"/>
      <c r="AH94" s="495"/>
      <c r="AI94" s="649"/>
      <c r="AJ94" s="495"/>
      <c r="AK94" s="420"/>
      <c r="AL94" s="420"/>
      <c r="AM94" s="495"/>
      <c r="AN94" s="649"/>
      <c r="AO94" s="495"/>
      <c r="AP94" s="420"/>
      <c r="AQ94" s="420"/>
      <c r="AR94" s="495"/>
      <c r="AS94" s="649"/>
      <c r="AT94" s="495"/>
      <c r="AU94" s="420"/>
      <c r="AV94" s="420"/>
      <c r="AW94" s="495"/>
      <c r="AX94" s="649"/>
      <c r="AZ94" s="406" t="e">
        <f t="shared" si="54"/>
        <v>#N/A</v>
      </c>
      <c r="BA94" s="649"/>
    </row>
    <row r="95" spans="2:53">
      <c r="B95" s="635"/>
      <c r="C95" s="415">
        <v>9</v>
      </c>
      <c r="D95" s="413"/>
      <c r="E95" s="413"/>
      <c r="F95" s="413"/>
      <c r="G95" s="420"/>
      <c r="H95" s="672"/>
      <c r="I95" s="417" t="str">
        <f t="shared" si="49"/>
        <v>-</v>
      </c>
      <c r="J95" s="417" t="str">
        <f t="shared" si="50"/>
        <v>-</v>
      </c>
      <c r="K95" s="199" t="str">
        <f t="shared" si="51"/>
        <v>-</v>
      </c>
      <c r="L95" s="609"/>
      <c r="M95" s="421" t="e">
        <f>RANK(K95, K$107:$K$121)</f>
        <v>#VALUE!</v>
      </c>
      <c r="N95" s="627"/>
      <c r="O95" s="627"/>
      <c r="P95" s="495"/>
      <c r="Q95" s="420"/>
      <c r="R95" s="420"/>
      <c r="S95" s="495" t="e">
        <f t="shared" si="52"/>
        <v>#N/A</v>
      </c>
      <c r="T95" s="649"/>
      <c r="U95" s="495"/>
      <c r="V95" s="420"/>
      <c r="W95" s="420"/>
      <c r="X95" s="495"/>
      <c r="Y95" s="649"/>
      <c r="Z95" s="495"/>
      <c r="AA95" s="420"/>
      <c r="AB95" s="420"/>
      <c r="AC95" s="495"/>
      <c r="AD95" s="649"/>
      <c r="AE95" s="495"/>
      <c r="AF95" s="420"/>
      <c r="AG95" s="420"/>
      <c r="AH95" s="495"/>
      <c r="AI95" s="649"/>
      <c r="AJ95" s="495"/>
      <c r="AK95" s="420"/>
      <c r="AL95" s="420"/>
      <c r="AM95" s="495"/>
      <c r="AN95" s="649"/>
      <c r="AO95" s="495"/>
      <c r="AP95" s="420"/>
      <c r="AQ95" s="420"/>
      <c r="AR95" s="495"/>
      <c r="AS95" s="649"/>
      <c r="AT95" s="495"/>
      <c r="AU95" s="420"/>
      <c r="AV95" s="420"/>
      <c r="AW95" s="495"/>
      <c r="AX95" s="649"/>
      <c r="AZ95" s="406" t="e">
        <f t="shared" si="54"/>
        <v>#N/A</v>
      </c>
      <c r="BA95" s="649"/>
    </row>
    <row r="96" spans="2:53">
      <c r="B96" s="635"/>
      <c r="C96" s="415">
        <v>10</v>
      </c>
      <c r="D96" s="413"/>
      <c r="E96" s="413"/>
      <c r="F96" s="413"/>
      <c r="G96" s="420"/>
      <c r="H96" s="672"/>
      <c r="I96" s="417" t="str">
        <f t="shared" si="49"/>
        <v>-</v>
      </c>
      <c r="J96" s="417" t="str">
        <f t="shared" si="50"/>
        <v>-</v>
      </c>
      <c r="K96" s="199" t="str">
        <f t="shared" si="51"/>
        <v>-</v>
      </c>
      <c r="L96" s="609"/>
      <c r="M96" s="421" t="e">
        <f>RANK(K96, K$107:$K$121)</f>
        <v>#VALUE!</v>
      </c>
      <c r="N96" s="627"/>
      <c r="O96" s="627"/>
      <c r="P96" s="495"/>
      <c r="Q96" s="420"/>
      <c r="R96" s="420"/>
      <c r="S96" s="495" t="e">
        <f t="shared" si="52"/>
        <v>#N/A</v>
      </c>
      <c r="T96" s="649"/>
      <c r="U96" s="495"/>
      <c r="V96" s="420"/>
      <c r="W96" s="420"/>
      <c r="X96" s="495"/>
      <c r="Y96" s="649"/>
      <c r="Z96" s="495"/>
      <c r="AA96" s="420"/>
      <c r="AB96" s="420"/>
      <c r="AC96" s="495"/>
      <c r="AD96" s="649"/>
      <c r="AE96" s="495"/>
      <c r="AF96" s="420"/>
      <c r="AG96" s="420"/>
      <c r="AH96" s="495"/>
      <c r="AI96" s="649"/>
      <c r="AJ96" s="495"/>
      <c r="AK96" s="420"/>
      <c r="AL96" s="420"/>
      <c r="AM96" s="495"/>
      <c r="AN96" s="649"/>
      <c r="AO96" s="495"/>
      <c r="AP96" s="420"/>
      <c r="AQ96" s="420"/>
      <c r="AR96" s="495"/>
      <c r="AS96" s="649"/>
      <c r="AT96" s="495"/>
      <c r="AU96" s="420"/>
      <c r="AV96" s="420"/>
      <c r="AW96" s="495"/>
      <c r="AX96" s="649"/>
      <c r="AZ96" s="406" t="e">
        <f t="shared" si="54"/>
        <v>#N/A</v>
      </c>
      <c r="BA96" s="649"/>
    </row>
    <row r="97" spans="2:53">
      <c r="B97" s="635"/>
      <c r="C97" s="415">
        <v>11</v>
      </c>
      <c r="D97" s="413"/>
      <c r="E97" s="413"/>
      <c r="F97" s="413"/>
      <c r="G97" s="420"/>
      <c r="H97" s="672"/>
      <c r="I97" s="417" t="str">
        <f t="shared" si="49"/>
        <v>-</v>
      </c>
      <c r="J97" s="417" t="str">
        <f t="shared" si="50"/>
        <v>-</v>
      </c>
      <c r="K97" s="199" t="str">
        <f t="shared" si="51"/>
        <v>-</v>
      </c>
      <c r="L97" s="609"/>
      <c r="M97" s="421" t="e">
        <f>RANK(K97, K$107:$K$121)</f>
        <v>#VALUE!</v>
      </c>
      <c r="N97" s="627"/>
      <c r="O97" s="627"/>
      <c r="P97" s="495"/>
      <c r="Q97" s="420"/>
      <c r="R97" s="420"/>
      <c r="S97" s="495" t="e">
        <f t="shared" si="52"/>
        <v>#N/A</v>
      </c>
      <c r="T97" s="649"/>
      <c r="U97" s="495"/>
      <c r="V97" s="420"/>
      <c r="W97" s="420"/>
      <c r="X97" s="495"/>
      <c r="Y97" s="649"/>
      <c r="Z97" s="495"/>
      <c r="AA97" s="420"/>
      <c r="AB97" s="420"/>
      <c r="AC97" s="495"/>
      <c r="AD97" s="649"/>
      <c r="AE97" s="495"/>
      <c r="AF97" s="420"/>
      <c r="AG97" s="420"/>
      <c r="AH97" s="495"/>
      <c r="AI97" s="649"/>
      <c r="AJ97" s="495"/>
      <c r="AK97" s="420"/>
      <c r="AL97" s="420"/>
      <c r="AM97" s="495"/>
      <c r="AN97" s="649"/>
      <c r="AO97" s="495"/>
      <c r="AP97" s="420"/>
      <c r="AQ97" s="420"/>
      <c r="AR97" s="495"/>
      <c r="AS97" s="649"/>
      <c r="AT97" s="495"/>
      <c r="AU97" s="420"/>
      <c r="AV97" s="420"/>
      <c r="AW97" s="495"/>
      <c r="AX97" s="649"/>
      <c r="AZ97" s="406" t="e">
        <f t="shared" si="54"/>
        <v>#N/A</v>
      </c>
      <c r="BA97" s="649"/>
    </row>
    <row r="98" spans="2:53">
      <c r="B98" s="635"/>
      <c r="C98" s="415">
        <v>12</v>
      </c>
      <c r="D98" s="413"/>
      <c r="E98" s="413"/>
      <c r="F98" s="413"/>
      <c r="G98" s="420"/>
      <c r="H98" s="672"/>
      <c r="I98" s="417" t="str">
        <f t="shared" si="49"/>
        <v>-</v>
      </c>
      <c r="J98" s="417" t="str">
        <f t="shared" si="50"/>
        <v>-</v>
      </c>
      <c r="K98" s="199" t="str">
        <f t="shared" si="51"/>
        <v>-</v>
      </c>
      <c r="L98" s="609"/>
      <c r="M98" s="421" t="e">
        <f>RANK(K98, K$107:$K$121)</f>
        <v>#VALUE!</v>
      </c>
      <c r="N98" s="627"/>
      <c r="O98" s="627"/>
      <c r="P98" s="495"/>
      <c r="Q98" s="420"/>
      <c r="R98" s="420"/>
      <c r="S98" s="495" t="e">
        <f t="shared" si="52"/>
        <v>#N/A</v>
      </c>
      <c r="T98" s="649"/>
      <c r="U98" s="495"/>
      <c r="V98" s="420"/>
      <c r="W98" s="420"/>
      <c r="X98" s="495"/>
      <c r="Y98" s="649"/>
      <c r="Z98" s="495"/>
      <c r="AA98" s="420"/>
      <c r="AB98" s="420"/>
      <c r="AC98" s="495"/>
      <c r="AD98" s="649"/>
      <c r="AE98" s="495"/>
      <c r="AF98" s="420"/>
      <c r="AG98" s="420"/>
      <c r="AH98" s="495"/>
      <c r="AI98" s="649"/>
      <c r="AJ98" s="495"/>
      <c r="AK98" s="420"/>
      <c r="AL98" s="420"/>
      <c r="AM98" s="495"/>
      <c r="AN98" s="649"/>
      <c r="AO98" s="495"/>
      <c r="AP98" s="420"/>
      <c r="AQ98" s="420"/>
      <c r="AR98" s="495"/>
      <c r="AS98" s="649"/>
      <c r="AT98" s="495"/>
      <c r="AU98" s="420"/>
      <c r="AV98" s="420"/>
      <c r="AW98" s="495"/>
      <c r="AX98" s="649"/>
      <c r="AZ98" s="406" t="e">
        <f t="shared" si="54"/>
        <v>#N/A</v>
      </c>
      <c r="BA98" s="649"/>
    </row>
    <row r="99" spans="2:53">
      <c r="B99" s="635"/>
      <c r="C99" s="415">
        <v>13</v>
      </c>
      <c r="D99" s="413"/>
      <c r="E99" s="413"/>
      <c r="F99" s="413"/>
      <c r="G99" s="420"/>
      <c r="H99" s="672"/>
      <c r="I99" s="417" t="str">
        <f t="shared" si="49"/>
        <v>-</v>
      </c>
      <c r="J99" s="417" t="str">
        <f t="shared" si="50"/>
        <v>-</v>
      </c>
      <c r="K99" s="199" t="str">
        <f t="shared" si="51"/>
        <v>-</v>
      </c>
      <c r="L99" s="609"/>
      <c r="M99" s="421" t="e">
        <f>RANK(K99, K$107:$K$121)</f>
        <v>#VALUE!</v>
      </c>
      <c r="N99" s="627"/>
      <c r="O99" s="627"/>
      <c r="P99" s="495"/>
      <c r="Q99" s="420"/>
      <c r="R99" s="420"/>
      <c r="S99" s="495" t="e">
        <f t="shared" si="52"/>
        <v>#N/A</v>
      </c>
      <c r="T99" s="649"/>
      <c r="U99" s="495"/>
      <c r="V99" s="420"/>
      <c r="W99" s="420"/>
      <c r="X99" s="495"/>
      <c r="Y99" s="649"/>
      <c r="Z99" s="495"/>
      <c r="AA99" s="420"/>
      <c r="AB99" s="420"/>
      <c r="AC99" s="495"/>
      <c r="AD99" s="649"/>
      <c r="AE99" s="495"/>
      <c r="AF99" s="420"/>
      <c r="AG99" s="420"/>
      <c r="AH99" s="495"/>
      <c r="AI99" s="649"/>
      <c r="AJ99" s="495"/>
      <c r="AK99" s="420"/>
      <c r="AL99" s="420"/>
      <c r="AM99" s="495"/>
      <c r="AN99" s="649"/>
      <c r="AO99" s="495"/>
      <c r="AP99" s="420"/>
      <c r="AQ99" s="420"/>
      <c r="AR99" s="495"/>
      <c r="AS99" s="649"/>
      <c r="AT99" s="495"/>
      <c r="AU99" s="420"/>
      <c r="AV99" s="420"/>
      <c r="AW99" s="495"/>
      <c r="AX99" s="649"/>
      <c r="AZ99" s="406" t="e">
        <f t="shared" si="54"/>
        <v>#N/A</v>
      </c>
      <c r="BA99" s="649"/>
    </row>
    <row r="100" spans="2:53">
      <c r="B100" s="635"/>
      <c r="C100" s="415">
        <v>14</v>
      </c>
      <c r="D100" s="413"/>
      <c r="E100" s="413"/>
      <c r="F100" s="413"/>
      <c r="G100" s="420"/>
      <c r="H100" s="672"/>
      <c r="I100" s="417" t="str">
        <f t="shared" si="49"/>
        <v>-</v>
      </c>
      <c r="J100" s="417" t="str">
        <f t="shared" si="50"/>
        <v>-</v>
      </c>
      <c r="K100" s="199" t="str">
        <f t="shared" si="51"/>
        <v>-</v>
      </c>
      <c r="L100" s="609"/>
      <c r="M100" s="421" t="e">
        <f>RANK(K100, K$107:$K$121)</f>
        <v>#VALUE!</v>
      </c>
      <c r="N100" s="627"/>
      <c r="O100" s="627"/>
      <c r="P100" s="495"/>
      <c r="Q100" s="420"/>
      <c r="R100" s="420"/>
      <c r="S100" s="495" t="e">
        <f t="shared" si="52"/>
        <v>#N/A</v>
      </c>
      <c r="T100" s="649"/>
      <c r="U100" s="495"/>
      <c r="V100" s="420"/>
      <c r="W100" s="420"/>
      <c r="X100" s="495"/>
      <c r="Y100" s="649"/>
      <c r="Z100" s="495"/>
      <c r="AA100" s="420"/>
      <c r="AB100" s="420"/>
      <c r="AC100" s="495"/>
      <c r="AD100" s="649"/>
      <c r="AE100" s="495"/>
      <c r="AF100" s="420"/>
      <c r="AG100" s="420"/>
      <c r="AH100" s="495"/>
      <c r="AI100" s="649"/>
      <c r="AJ100" s="495"/>
      <c r="AK100" s="420"/>
      <c r="AL100" s="420"/>
      <c r="AM100" s="495"/>
      <c r="AN100" s="649"/>
      <c r="AO100" s="495"/>
      <c r="AP100" s="420"/>
      <c r="AQ100" s="420"/>
      <c r="AR100" s="495"/>
      <c r="AS100" s="649"/>
      <c r="AT100" s="495"/>
      <c r="AU100" s="420"/>
      <c r="AV100" s="420"/>
      <c r="AW100" s="495"/>
      <c r="AX100" s="649"/>
      <c r="AZ100" s="406" t="e">
        <f t="shared" si="54"/>
        <v>#N/A</v>
      </c>
      <c r="BA100" s="649"/>
    </row>
    <row r="101" spans="2:53">
      <c r="B101" s="635"/>
      <c r="C101" s="415">
        <v>15</v>
      </c>
      <c r="D101" s="413"/>
      <c r="E101" s="413"/>
      <c r="F101" s="413"/>
      <c r="G101" s="413"/>
      <c r="H101" s="676"/>
      <c r="I101" s="417" t="str">
        <f t="shared" si="49"/>
        <v>-</v>
      </c>
      <c r="J101" s="417" t="str">
        <f t="shared" si="50"/>
        <v>-</v>
      </c>
      <c r="K101" s="199" t="str">
        <f t="shared" si="51"/>
        <v>-</v>
      </c>
      <c r="L101" s="610"/>
      <c r="M101" s="421" t="e">
        <f>RANK(K101, K$107:$K$121)</f>
        <v>#VALUE!</v>
      </c>
      <c r="N101" s="627"/>
      <c r="O101" s="627"/>
      <c r="P101" s="496"/>
      <c r="Q101" s="497"/>
      <c r="R101" s="497"/>
      <c r="S101" s="495" t="e">
        <f t="shared" si="52"/>
        <v>#N/A</v>
      </c>
      <c r="T101" s="649"/>
      <c r="U101" s="496"/>
      <c r="V101" s="497"/>
      <c r="W101" s="497"/>
      <c r="X101" s="495"/>
      <c r="Y101" s="649"/>
      <c r="Z101" s="496"/>
      <c r="AA101" s="497"/>
      <c r="AB101" s="497"/>
      <c r="AC101" s="495"/>
      <c r="AD101" s="649"/>
      <c r="AE101" s="496"/>
      <c r="AF101" s="497"/>
      <c r="AG101" s="497"/>
      <c r="AH101" s="495"/>
      <c r="AI101" s="649"/>
      <c r="AJ101" s="496"/>
      <c r="AK101" s="497"/>
      <c r="AL101" s="497"/>
      <c r="AM101" s="495"/>
      <c r="AN101" s="649"/>
      <c r="AO101" s="496"/>
      <c r="AP101" s="497"/>
      <c r="AQ101" s="497"/>
      <c r="AR101" s="495"/>
      <c r="AS101" s="649"/>
      <c r="AT101" s="496"/>
      <c r="AU101" s="497"/>
      <c r="AV101" s="497"/>
      <c r="AW101" s="495"/>
      <c r="AX101" s="649"/>
      <c r="AZ101" s="406" t="e">
        <f t="shared" si="54"/>
        <v>#N/A</v>
      </c>
      <c r="BA101" s="649"/>
    </row>
    <row r="102" spans="2:53" ht="15.75">
      <c r="B102" s="639" t="s">
        <v>163</v>
      </c>
      <c r="C102" s="640"/>
      <c r="D102" s="640"/>
      <c r="E102" s="640"/>
      <c r="F102" s="640"/>
      <c r="G102" s="640"/>
      <c r="H102" s="641"/>
      <c r="I102" s="207"/>
      <c r="J102" s="207"/>
      <c r="K102" s="207"/>
      <c r="L102" s="207"/>
      <c r="M102" s="206"/>
      <c r="N102" s="628" t="s">
        <v>156</v>
      </c>
      <c r="O102" s="628" t="s">
        <v>105</v>
      </c>
      <c r="P102" s="634">
        <f>P82+7</f>
        <v>46203</v>
      </c>
      <c r="Q102" s="635"/>
      <c r="R102" s="635"/>
      <c r="S102" s="635"/>
      <c r="T102" s="635"/>
      <c r="U102" s="631">
        <f>P102+1</f>
        <v>46204</v>
      </c>
      <c r="V102" s="632"/>
      <c r="W102" s="632"/>
      <c r="X102" s="632"/>
      <c r="Y102" s="633"/>
      <c r="Z102" s="631">
        <f>U102+1</f>
        <v>46205</v>
      </c>
      <c r="AA102" s="632"/>
      <c r="AB102" s="632"/>
      <c r="AC102" s="632"/>
      <c r="AD102" s="633"/>
      <c r="AE102" s="631">
        <f>Z102+1</f>
        <v>46206</v>
      </c>
      <c r="AF102" s="632"/>
      <c r="AG102" s="632"/>
      <c r="AH102" s="632"/>
      <c r="AI102" s="633"/>
      <c r="AJ102" s="631">
        <f>AE102+1</f>
        <v>46207</v>
      </c>
      <c r="AK102" s="632"/>
      <c r="AL102" s="632"/>
      <c r="AM102" s="632"/>
      <c r="AN102" s="633"/>
      <c r="AO102" s="631">
        <f>AJ102+1</f>
        <v>46208</v>
      </c>
      <c r="AP102" s="632"/>
      <c r="AQ102" s="632"/>
      <c r="AR102" s="632"/>
      <c r="AS102" s="633"/>
      <c r="AT102" s="631">
        <f>AO102+1</f>
        <v>46209</v>
      </c>
      <c r="AU102" s="632"/>
      <c r="AV102" s="632"/>
      <c r="AW102" s="632"/>
      <c r="AX102" s="633"/>
    </row>
    <row r="103" spans="2:53" ht="15.75">
      <c r="B103" s="642"/>
      <c r="C103" s="642"/>
      <c r="D103" s="642"/>
      <c r="E103" s="642"/>
      <c r="F103" s="642"/>
      <c r="G103" s="642"/>
      <c r="H103" s="642"/>
      <c r="I103" s="204"/>
      <c r="J103" s="204"/>
      <c r="K103" s="204"/>
      <c r="L103" s="204"/>
      <c r="M103" s="205"/>
      <c r="N103" s="630"/>
      <c r="O103" s="630"/>
      <c r="P103" s="634" t="s">
        <v>158</v>
      </c>
      <c r="Q103" s="635"/>
      <c r="R103" s="635"/>
      <c r="S103" s="635"/>
      <c r="T103" s="635"/>
      <c r="U103" s="634" t="s">
        <v>114</v>
      </c>
      <c r="V103" s="635"/>
      <c r="W103" s="635"/>
      <c r="X103" s="635"/>
      <c r="Y103" s="635"/>
      <c r="Z103" s="634" t="s">
        <v>159</v>
      </c>
      <c r="AA103" s="635"/>
      <c r="AB103" s="635"/>
      <c r="AC103" s="635"/>
      <c r="AD103" s="635"/>
      <c r="AE103" s="634" t="s">
        <v>157</v>
      </c>
      <c r="AF103" s="635"/>
      <c r="AG103" s="635"/>
      <c r="AH103" s="635"/>
      <c r="AI103" s="635"/>
      <c r="AJ103" s="634" t="s">
        <v>160</v>
      </c>
      <c r="AK103" s="635"/>
      <c r="AL103" s="635"/>
      <c r="AM103" s="635"/>
      <c r="AN103" s="635"/>
      <c r="AO103" s="634" t="s">
        <v>115</v>
      </c>
      <c r="AP103" s="635"/>
      <c r="AQ103" s="635"/>
      <c r="AR103" s="635"/>
      <c r="AS103" s="635"/>
      <c r="AT103" s="634" t="s">
        <v>162</v>
      </c>
      <c r="AU103" s="635"/>
      <c r="AV103" s="635"/>
      <c r="AW103" s="635"/>
      <c r="AX103" s="635"/>
    </row>
    <row r="104" spans="2:53">
      <c r="B104" s="627" t="s">
        <v>535</v>
      </c>
      <c r="C104" s="627" t="s">
        <v>536</v>
      </c>
      <c r="D104" s="627"/>
      <c r="E104" s="627" t="s">
        <v>537</v>
      </c>
      <c r="F104" s="627"/>
      <c r="G104" s="627"/>
      <c r="H104" s="643" t="s">
        <v>538</v>
      </c>
      <c r="I104" s="627" t="s">
        <v>539</v>
      </c>
      <c r="J104" s="627"/>
      <c r="K104" s="627"/>
      <c r="L104" s="643" t="s">
        <v>538</v>
      </c>
      <c r="M104" s="628" t="s">
        <v>540</v>
      </c>
      <c r="N104" s="627"/>
      <c r="O104" s="627" t="s">
        <v>541</v>
      </c>
      <c r="P104" s="624" t="s">
        <v>542</v>
      </c>
      <c r="Q104" s="625"/>
      <c r="R104" s="625"/>
      <c r="S104" s="626"/>
      <c r="T104" s="627" t="s">
        <v>538</v>
      </c>
      <c r="U104" s="624" t="s">
        <v>542</v>
      </c>
      <c r="V104" s="625"/>
      <c r="W104" s="625"/>
      <c r="X104" s="626"/>
      <c r="Y104" s="627" t="s">
        <v>538</v>
      </c>
      <c r="Z104" s="624" t="s">
        <v>542</v>
      </c>
      <c r="AA104" s="625"/>
      <c r="AB104" s="625"/>
      <c r="AC104" s="626"/>
      <c r="AD104" s="627" t="s">
        <v>538</v>
      </c>
      <c r="AE104" s="624" t="s">
        <v>542</v>
      </c>
      <c r="AF104" s="625"/>
      <c r="AG104" s="625"/>
      <c r="AH104" s="626"/>
      <c r="AI104" s="627" t="s">
        <v>538</v>
      </c>
      <c r="AJ104" s="624" t="s">
        <v>542</v>
      </c>
      <c r="AK104" s="625"/>
      <c r="AL104" s="625"/>
      <c r="AM104" s="626"/>
      <c r="AN104" s="627" t="s">
        <v>538</v>
      </c>
      <c r="AO104" s="624" t="s">
        <v>542</v>
      </c>
      <c r="AP104" s="625"/>
      <c r="AQ104" s="625"/>
      <c r="AR104" s="626"/>
      <c r="AS104" s="627" t="s">
        <v>538</v>
      </c>
      <c r="AT104" s="624" t="s">
        <v>542</v>
      </c>
      <c r="AU104" s="625"/>
      <c r="AV104" s="625"/>
      <c r="AW104" s="626"/>
      <c r="AX104" s="627" t="s">
        <v>538</v>
      </c>
      <c r="BA104" s="627" t="s">
        <v>371</v>
      </c>
    </row>
    <row r="105" spans="2:53">
      <c r="B105" s="627"/>
      <c r="C105" s="627"/>
      <c r="D105" s="627"/>
      <c r="E105" s="627" t="s">
        <v>543</v>
      </c>
      <c r="F105" s="627"/>
      <c r="G105" s="627"/>
      <c r="H105" s="644"/>
      <c r="I105" s="627" t="s">
        <v>543</v>
      </c>
      <c r="J105" s="627"/>
      <c r="K105" s="627"/>
      <c r="L105" s="644"/>
      <c r="M105" s="629"/>
      <c r="N105" s="627"/>
      <c r="O105" s="627"/>
      <c r="P105" s="624" t="s">
        <v>544</v>
      </c>
      <c r="Q105" s="625"/>
      <c r="R105" s="625"/>
      <c r="S105" s="626"/>
      <c r="T105" s="627"/>
      <c r="U105" s="624" t="s">
        <v>544</v>
      </c>
      <c r="V105" s="625"/>
      <c r="W105" s="625"/>
      <c r="X105" s="626"/>
      <c r="Y105" s="627"/>
      <c r="Z105" s="624" t="s">
        <v>544</v>
      </c>
      <c r="AA105" s="625"/>
      <c r="AB105" s="625"/>
      <c r="AC105" s="626"/>
      <c r="AD105" s="627"/>
      <c r="AE105" s="624" t="s">
        <v>544</v>
      </c>
      <c r="AF105" s="625"/>
      <c r="AG105" s="625"/>
      <c r="AH105" s="626"/>
      <c r="AI105" s="627"/>
      <c r="AJ105" s="624" t="s">
        <v>544</v>
      </c>
      <c r="AK105" s="625"/>
      <c r="AL105" s="625"/>
      <c r="AM105" s="626"/>
      <c r="AN105" s="627"/>
      <c r="AO105" s="624" t="s">
        <v>544</v>
      </c>
      <c r="AP105" s="625"/>
      <c r="AQ105" s="625"/>
      <c r="AR105" s="626"/>
      <c r="AS105" s="627"/>
      <c r="AT105" s="624" t="s">
        <v>544</v>
      </c>
      <c r="AU105" s="625"/>
      <c r="AV105" s="625"/>
      <c r="AW105" s="626"/>
      <c r="AX105" s="627"/>
      <c r="BA105" s="627"/>
    </row>
    <row r="106" spans="2:53">
      <c r="B106" s="627"/>
      <c r="C106" s="627"/>
      <c r="D106" s="627"/>
      <c r="E106" s="361" t="s">
        <v>545</v>
      </c>
      <c r="F106" s="361" t="s">
        <v>546</v>
      </c>
      <c r="G106" s="361" t="s">
        <v>547</v>
      </c>
      <c r="H106" s="645"/>
      <c r="I106" s="361" t="s">
        <v>545</v>
      </c>
      <c r="J106" s="361" t="s">
        <v>546</v>
      </c>
      <c r="K106" s="361" t="s">
        <v>547</v>
      </c>
      <c r="L106" s="645"/>
      <c r="M106" s="630"/>
      <c r="N106" s="627"/>
      <c r="O106" s="627"/>
      <c r="P106" s="361" t="s">
        <v>545</v>
      </c>
      <c r="Q106" s="361" t="s">
        <v>546</v>
      </c>
      <c r="R106" s="361" t="s">
        <v>547</v>
      </c>
      <c r="S106" s="361" t="s">
        <v>540</v>
      </c>
      <c r="T106" s="627"/>
      <c r="U106" s="361" t="s">
        <v>545</v>
      </c>
      <c r="V106" s="361" t="s">
        <v>546</v>
      </c>
      <c r="W106" s="361" t="s">
        <v>547</v>
      </c>
      <c r="X106" s="361" t="s">
        <v>540</v>
      </c>
      <c r="Y106" s="627"/>
      <c r="Z106" s="361" t="s">
        <v>545</v>
      </c>
      <c r="AA106" s="361" t="s">
        <v>546</v>
      </c>
      <c r="AB106" s="361" t="s">
        <v>547</v>
      </c>
      <c r="AC106" s="361" t="s">
        <v>540</v>
      </c>
      <c r="AD106" s="627"/>
      <c r="AE106" s="361" t="s">
        <v>545</v>
      </c>
      <c r="AF106" s="361" t="s">
        <v>546</v>
      </c>
      <c r="AG106" s="361" t="s">
        <v>547</v>
      </c>
      <c r="AH106" s="361" t="s">
        <v>540</v>
      </c>
      <c r="AI106" s="627"/>
      <c r="AJ106" s="361" t="s">
        <v>545</v>
      </c>
      <c r="AK106" s="361" t="s">
        <v>546</v>
      </c>
      <c r="AL106" s="361" t="s">
        <v>547</v>
      </c>
      <c r="AM106" s="361" t="s">
        <v>540</v>
      </c>
      <c r="AN106" s="627"/>
      <c r="AO106" s="361" t="s">
        <v>545</v>
      </c>
      <c r="AP106" s="361" t="s">
        <v>546</v>
      </c>
      <c r="AQ106" s="361" t="s">
        <v>547</v>
      </c>
      <c r="AR106" s="361" t="s">
        <v>540</v>
      </c>
      <c r="AS106" s="627"/>
      <c r="AT106" s="361" t="s">
        <v>545</v>
      </c>
      <c r="AU106" s="361" t="s">
        <v>546</v>
      </c>
      <c r="AV106" s="361" t="s">
        <v>547</v>
      </c>
      <c r="AW106" s="361" t="s">
        <v>540</v>
      </c>
      <c r="AX106" s="627"/>
      <c r="AZ106" s="407" t="s">
        <v>372</v>
      </c>
      <c r="BA106" s="627"/>
    </row>
    <row r="107" spans="2:53">
      <c r="B107" s="675" t="s">
        <v>548</v>
      </c>
      <c r="C107" s="366">
        <v>1</v>
      </c>
      <c r="D107" s="372"/>
      <c r="E107" s="372"/>
      <c r="F107" s="372"/>
      <c r="G107" s="181"/>
      <c r="H107" s="671" t="e">
        <f>AVERAGE(G107:G121)</f>
        <v>#DIV/0!</v>
      </c>
      <c r="I107" s="395" t="str">
        <f t="shared" ref="I107:I121" si="56">IFERROR(AVERAGE(P107,U107,Z107,AE107,AJ107,AO107,AT107),"-")</f>
        <v>-</v>
      </c>
      <c r="J107" s="395" t="str">
        <f t="shared" ref="J107:J121" si="57">IFERROR(AVERAGE(Q107,V107,AA107,AF107,AK107,AP107,AU107),"-")</f>
        <v>-</v>
      </c>
      <c r="K107" s="199" t="str">
        <f t="shared" ref="K107:K121" si="58">IFERROR(AVERAGE(R107,W107,AB107,AG107,AL107,AQ107,AV107),"-")</f>
        <v>-</v>
      </c>
      <c r="L107" s="608" t="str">
        <f>IFERROR(AVERAGE(K107:K121),"-")</f>
        <v>-</v>
      </c>
      <c r="M107" s="367" t="e">
        <f>RANK(K107, K$107:$K$121)</f>
        <v>#VALUE!</v>
      </c>
      <c r="N107" s="627"/>
      <c r="O107" s="627"/>
      <c r="P107" s="181"/>
      <c r="Q107" s="181"/>
      <c r="R107" s="373"/>
      <c r="S107" s="366" t="e">
        <f t="shared" ref="S107:S121" si="59">RANK(R107, R$81:R$87)</f>
        <v>#N/A</v>
      </c>
      <c r="T107" s="674" t="e">
        <f>AVERAGE(R107:R121)</f>
        <v>#DIV/0!</v>
      </c>
      <c r="U107" s="181"/>
      <c r="V107" s="181"/>
      <c r="W107" s="373"/>
      <c r="X107" s="366" t="e">
        <f t="shared" ref="X107:X121" si="60">RANK(W107, W$81:W$87)</f>
        <v>#N/A</v>
      </c>
      <c r="Y107" s="674" t="e">
        <f t="shared" ref="Y107" si="61">AVERAGE(W107:W121)</f>
        <v>#DIV/0!</v>
      </c>
      <c r="Z107" s="181"/>
      <c r="AA107" s="181"/>
      <c r="AB107" s="373"/>
      <c r="AC107" s="366" t="e">
        <f t="shared" ref="AC107:AC121" si="62">RANK(AB107, AB$81:AB$87)</f>
        <v>#N/A</v>
      </c>
      <c r="AD107" s="674" t="e">
        <f t="shared" ref="AD107" si="63">AVERAGE(AB107:AB121)</f>
        <v>#DIV/0!</v>
      </c>
      <c r="AE107" s="181"/>
      <c r="AF107" s="181"/>
      <c r="AG107" s="373"/>
      <c r="AH107" s="366" t="e">
        <f t="shared" ref="AH107:AH121" si="64">RANK(AG107, AG$81:AG$87)</f>
        <v>#N/A</v>
      </c>
      <c r="AI107" s="674" t="e">
        <f t="shared" ref="AI107" si="65">AVERAGE(AG107:AG121)</f>
        <v>#DIV/0!</v>
      </c>
      <c r="AJ107" s="181"/>
      <c r="AK107" s="181"/>
      <c r="AL107" s="373"/>
      <c r="AM107" s="366" t="e">
        <f t="shared" ref="AM107:AM121" si="66">RANK(AL107, AL$81:AL$87)</f>
        <v>#N/A</v>
      </c>
      <c r="AN107" s="674" t="e">
        <f t="shared" ref="AN107" si="67">AVERAGE(AL107:AL121)</f>
        <v>#DIV/0!</v>
      </c>
      <c r="AO107" s="181"/>
      <c r="AP107" s="181"/>
      <c r="AQ107" s="373"/>
      <c r="AR107" s="366" t="e">
        <f t="shared" ref="AR107:AR121" si="68">RANK(AQ107, AQ$81:AQ$87)</f>
        <v>#N/A</v>
      </c>
      <c r="AS107" s="674" t="e">
        <f t="shared" ref="AS107" si="69">AVERAGE(AQ107:AQ121)</f>
        <v>#DIV/0!</v>
      </c>
      <c r="AT107" s="181"/>
      <c r="AU107" s="181"/>
      <c r="AV107" s="373"/>
      <c r="AW107" s="366" t="e">
        <f t="shared" ref="AW107:AW121" si="70">RANK(AV107, AV$81:AV$87)</f>
        <v>#N/A</v>
      </c>
      <c r="AX107" s="674" t="e">
        <f t="shared" ref="AX107" si="71">AVERAGE(AV107:AV121)</f>
        <v>#DIV/0!</v>
      </c>
      <c r="AZ107" s="409" t="e">
        <f t="shared" ref="AZ107:AZ121" si="72">RANK(AY107, AY$81:AY$87)</f>
        <v>#N/A</v>
      </c>
      <c r="BA107" s="674" t="e">
        <f t="shared" ref="BA107" si="73">AVERAGE(AY107:AY121)</f>
        <v>#DIV/0!</v>
      </c>
    </row>
    <row r="108" spans="2:53">
      <c r="B108" s="660"/>
      <c r="C108" s="366">
        <v>2</v>
      </c>
      <c r="D108" s="372"/>
      <c r="E108" s="372"/>
      <c r="F108" s="372"/>
      <c r="G108" s="181"/>
      <c r="H108" s="672"/>
      <c r="I108" s="395" t="str">
        <f t="shared" si="56"/>
        <v>-</v>
      </c>
      <c r="J108" s="395" t="str">
        <f t="shared" si="57"/>
        <v>-</v>
      </c>
      <c r="K108" s="199" t="str">
        <f t="shared" si="58"/>
        <v>-</v>
      </c>
      <c r="L108" s="609"/>
      <c r="M108" s="367" t="e">
        <f>RANK(K108, K$107:$K$121)</f>
        <v>#VALUE!</v>
      </c>
      <c r="N108" s="627"/>
      <c r="O108" s="627"/>
      <c r="P108" s="372"/>
      <c r="Q108" s="181"/>
      <c r="R108" s="373"/>
      <c r="S108" s="366" t="e">
        <f t="shared" si="59"/>
        <v>#N/A</v>
      </c>
      <c r="T108" s="674"/>
      <c r="U108" s="372"/>
      <c r="V108" s="181"/>
      <c r="W108" s="373"/>
      <c r="X108" s="366" t="e">
        <f t="shared" si="60"/>
        <v>#N/A</v>
      </c>
      <c r="Y108" s="674"/>
      <c r="Z108" s="372"/>
      <c r="AA108" s="181"/>
      <c r="AB108" s="373"/>
      <c r="AC108" s="366" t="e">
        <f t="shared" si="62"/>
        <v>#N/A</v>
      </c>
      <c r="AD108" s="674"/>
      <c r="AE108" s="372"/>
      <c r="AF108" s="181"/>
      <c r="AG108" s="373"/>
      <c r="AH108" s="366" t="e">
        <f t="shared" si="64"/>
        <v>#N/A</v>
      </c>
      <c r="AI108" s="674"/>
      <c r="AJ108" s="372"/>
      <c r="AK108" s="181"/>
      <c r="AL108" s="373"/>
      <c r="AM108" s="366" t="e">
        <f t="shared" si="66"/>
        <v>#N/A</v>
      </c>
      <c r="AN108" s="674"/>
      <c r="AO108" s="372"/>
      <c r="AP108" s="181"/>
      <c r="AQ108" s="373"/>
      <c r="AR108" s="366" t="e">
        <f t="shared" si="68"/>
        <v>#N/A</v>
      </c>
      <c r="AS108" s="674"/>
      <c r="AT108" s="372"/>
      <c r="AU108" s="181"/>
      <c r="AV108" s="373"/>
      <c r="AW108" s="366" t="e">
        <f t="shared" si="70"/>
        <v>#N/A</v>
      </c>
      <c r="AX108" s="674"/>
      <c r="AZ108" s="409" t="e">
        <f t="shared" si="72"/>
        <v>#N/A</v>
      </c>
      <c r="BA108" s="674"/>
    </row>
    <row r="109" spans="2:53">
      <c r="B109" s="660"/>
      <c r="C109" s="366">
        <v>3</v>
      </c>
      <c r="D109" s="372"/>
      <c r="E109" s="372"/>
      <c r="F109" s="372"/>
      <c r="G109" s="181"/>
      <c r="H109" s="672"/>
      <c r="I109" s="395" t="str">
        <f t="shared" si="56"/>
        <v>-</v>
      </c>
      <c r="J109" s="395" t="str">
        <f t="shared" si="57"/>
        <v>-</v>
      </c>
      <c r="K109" s="199" t="str">
        <f t="shared" si="58"/>
        <v>-</v>
      </c>
      <c r="L109" s="609"/>
      <c r="M109" s="367" t="e">
        <f>RANK(K109, K$107:$K$121)</f>
        <v>#VALUE!</v>
      </c>
      <c r="N109" s="627"/>
      <c r="O109" s="627"/>
      <c r="P109" s="372"/>
      <c r="Q109" s="181"/>
      <c r="R109" s="373"/>
      <c r="S109" s="366" t="e">
        <f t="shared" si="59"/>
        <v>#N/A</v>
      </c>
      <c r="T109" s="674"/>
      <c r="U109" s="372"/>
      <c r="V109" s="181"/>
      <c r="W109" s="373"/>
      <c r="X109" s="366" t="e">
        <f t="shared" si="60"/>
        <v>#N/A</v>
      </c>
      <c r="Y109" s="674"/>
      <c r="Z109" s="372"/>
      <c r="AA109" s="181"/>
      <c r="AB109" s="373"/>
      <c r="AC109" s="366" t="e">
        <f t="shared" si="62"/>
        <v>#N/A</v>
      </c>
      <c r="AD109" s="674"/>
      <c r="AE109" s="372"/>
      <c r="AF109" s="181"/>
      <c r="AG109" s="373"/>
      <c r="AH109" s="366" t="e">
        <f t="shared" si="64"/>
        <v>#N/A</v>
      </c>
      <c r="AI109" s="674"/>
      <c r="AJ109" s="372"/>
      <c r="AK109" s="181"/>
      <c r="AL109" s="373"/>
      <c r="AM109" s="366" t="e">
        <f t="shared" si="66"/>
        <v>#N/A</v>
      </c>
      <c r="AN109" s="674"/>
      <c r="AO109" s="372"/>
      <c r="AP109" s="181"/>
      <c r="AQ109" s="373"/>
      <c r="AR109" s="366" t="e">
        <f t="shared" si="68"/>
        <v>#N/A</v>
      </c>
      <c r="AS109" s="674"/>
      <c r="AT109" s="372"/>
      <c r="AU109" s="181"/>
      <c r="AV109" s="373"/>
      <c r="AW109" s="366" t="e">
        <f t="shared" si="70"/>
        <v>#N/A</v>
      </c>
      <c r="AX109" s="674"/>
      <c r="AZ109" s="409" t="e">
        <f t="shared" si="72"/>
        <v>#N/A</v>
      </c>
      <c r="BA109" s="674"/>
    </row>
    <row r="110" spans="2:53">
      <c r="B110" s="660"/>
      <c r="C110" s="366">
        <v>4</v>
      </c>
      <c r="D110" s="372"/>
      <c r="E110" s="372"/>
      <c r="F110" s="372"/>
      <c r="G110" s="181"/>
      <c r="H110" s="672"/>
      <c r="I110" s="395" t="str">
        <f t="shared" si="56"/>
        <v>-</v>
      </c>
      <c r="J110" s="395" t="str">
        <f t="shared" si="57"/>
        <v>-</v>
      </c>
      <c r="K110" s="199" t="str">
        <f t="shared" si="58"/>
        <v>-</v>
      </c>
      <c r="L110" s="609"/>
      <c r="M110" s="367" t="e">
        <f>RANK(K110, K$107:$K$121)</f>
        <v>#VALUE!</v>
      </c>
      <c r="N110" s="627"/>
      <c r="O110" s="627"/>
      <c r="P110" s="372"/>
      <c r="Q110" s="181"/>
      <c r="R110" s="373"/>
      <c r="S110" s="366" t="e">
        <f t="shared" si="59"/>
        <v>#N/A</v>
      </c>
      <c r="T110" s="674"/>
      <c r="U110" s="372"/>
      <c r="V110" s="181"/>
      <c r="W110" s="373"/>
      <c r="X110" s="366" t="e">
        <f t="shared" si="60"/>
        <v>#N/A</v>
      </c>
      <c r="Y110" s="674"/>
      <c r="Z110" s="372"/>
      <c r="AA110" s="181"/>
      <c r="AB110" s="373"/>
      <c r="AC110" s="366" t="e">
        <f t="shared" si="62"/>
        <v>#N/A</v>
      </c>
      <c r="AD110" s="674"/>
      <c r="AE110" s="372"/>
      <c r="AF110" s="181"/>
      <c r="AG110" s="373"/>
      <c r="AH110" s="366" t="e">
        <f t="shared" si="64"/>
        <v>#N/A</v>
      </c>
      <c r="AI110" s="674"/>
      <c r="AJ110" s="372"/>
      <c r="AK110" s="181"/>
      <c r="AL110" s="373"/>
      <c r="AM110" s="366" t="e">
        <f t="shared" si="66"/>
        <v>#N/A</v>
      </c>
      <c r="AN110" s="674"/>
      <c r="AO110" s="372"/>
      <c r="AP110" s="181"/>
      <c r="AQ110" s="373"/>
      <c r="AR110" s="366" t="e">
        <f t="shared" si="68"/>
        <v>#N/A</v>
      </c>
      <c r="AS110" s="674"/>
      <c r="AT110" s="372"/>
      <c r="AU110" s="181"/>
      <c r="AV110" s="373"/>
      <c r="AW110" s="366" t="e">
        <f t="shared" si="70"/>
        <v>#N/A</v>
      </c>
      <c r="AX110" s="674"/>
      <c r="AZ110" s="409" t="e">
        <f t="shared" si="72"/>
        <v>#N/A</v>
      </c>
      <c r="BA110" s="674"/>
    </row>
    <row r="111" spans="2:53">
      <c r="B111" s="660"/>
      <c r="C111" s="366">
        <v>5</v>
      </c>
      <c r="D111" s="372"/>
      <c r="E111" s="372"/>
      <c r="F111" s="372"/>
      <c r="G111" s="181"/>
      <c r="H111" s="672"/>
      <c r="I111" s="395" t="str">
        <f t="shared" si="56"/>
        <v>-</v>
      </c>
      <c r="J111" s="395" t="str">
        <f t="shared" si="57"/>
        <v>-</v>
      </c>
      <c r="K111" s="199" t="str">
        <f t="shared" si="58"/>
        <v>-</v>
      </c>
      <c r="L111" s="609"/>
      <c r="M111" s="367" t="e">
        <f>RANK(K111, K$107:$K$121)</f>
        <v>#VALUE!</v>
      </c>
      <c r="N111" s="627"/>
      <c r="O111" s="627"/>
      <c r="P111" s="372"/>
      <c r="Q111" s="181"/>
      <c r="R111" s="373"/>
      <c r="S111" s="366" t="e">
        <f t="shared" si="59"/>
        <v>#N/A</v>
      </c>
      <c r="T111" s="674"/>
      <c r="U111" s="372"/>
      <c r="V111" s="181"/>
      <c r="W111" s="373"/>
      <c r="X111" s="366" t="e">
        <f t="shared" si="60"/>
        <v>#N/A</v>
      </c>
      <c r="Y111" s="674"/>
      <c r="Z111" s="372"/>
      <c r="AA111" s="181"/>
      <c r="AB111" s="373"/>
      <c r="AC111" s="366" t="e">
        <f t="shared" si="62"/>
        <v>#N/A</v>
      </c>
      <c r="AD111" s="674"/>
      <c r="AE111" s="372"/>
      <c r="AF111" s="181"/>
      <c r="AG111" s="373"/>
      <c r="AH111" s="366" t="e">
        <f t="shared" si="64"/>
        <v>#N/A</v>
      </c>
      <c r="AI111" s="674"/>
      <c r="AJ111" s="372"/>
      <c r="AK111" s="181"/>
      <c r="AL111" s="373"/>
      <c r="AM111" s="366" t="e">
        <f t="shared" si="66"/>
        <v>#N/A</v>
      </c>
      <c r="AN111" s="674"/>
      <c r="AO111" s="372"/>
      <c r="AP111" s="181"/>
      <c r="AQ111" s="373"/>
      <c r="AR111" s="366" t="e">
        <f t="shared" si="68"/>
        <v>#N/A</v>
      </c>
      <c r="AS111" s="674"/>
      <c r="AT111" s="372"/>
      <c r="AU111" s="181"/>
      <c r="AV111" s="373"/>
      <c r="AW111" s="366" t="e">
        <f t="shared" si="70"/>
        <v>#N/A</v>
      </c>
      <c r="AX111" s="674"/>
      <c r="AZ111" s="409" t="e">
        <f t="shared" si="72"/>
        <v>#N/A</v>
      </c>
      <c r="BA111" s="674"/>
    </row>
    <row r="112" spans="2:53">
      <c r="B112" s="660"/>
      <c r="C112" s="366">
        <v>6</v>
      </c>
      <c r="D112" s="372"/>
      <c r="E112" s="372"/>
      <c r="F112" s="372"/>
      <c r="G112" s="181"/>
      <c r="H112" s="672"/>
      <c r="I112" s="395" t="str">
        <f t="shared" si="56"/>
        <v>-</v>
      </c>
      <c r="J112" s="395" t="str">
        <f t="shared" si="57"/>
        <v>-</v>
      </c>
      <c r="K112" s="199" t="str">
        <f t="shared" si="58"/>
        <v>-</v>
      </c>
      <c r="L112" s="609"/>
      <c r="M112" s="367" t="e">
        <f>RANK(K112, K$107:$K$121)</f>
        <v>#VALUE!</v>
      </c>
      <c r="N112" s="627"/>
      <c r="O112" s="627"/>
      <c r="P112" s="372"/>
      <c r="Q112" s="181"/>
      <c r="R112" s="373"/>
      <c r="S112" s="366" t="e">
        <f t="shared" si="59"/>
        <v>#N/A</v>
      </c>
      <c r="T112" s="674"/>
      <c r="U112" s="372"/>
      <c r="V112" s="181"/>
      <c r="W112" s="373"/>
      <c r="X112" s="366" t="e">
        <f t="shared" si="60"/>
        <v>#N/A</v>
      </c>
      <c r="Y112" s="674"/>
      <c r="Z112" s="372"/>
      <c r="AA112" s="181"/>
      <c r="AB112" s="373"/>
      <c r="AC112" s="366" t="e">
        <f t="shared" si="62"/>
        <v>#N/A</v>
      </c>
      <c r="AD112" s="674"/>
      <c r="AE112" s="372"/>
      <c r="AF112" s="181"/>
      <c r="AG112" s="373"/>
      <c r="AH112" s="366" t="e">
        <f t="shared" si="64"/>
        <v>#N/A</v>
      </c>
      <c r="AI112" s="674"/>
      <c r="AJ112" s="372"/>
      <c r="AK112" s="181"/>
      <c r="AL112" s="373"/>
      <c r="AM112" s="366" t="e">
        <f t="shared" si="66"/>
        <v>#N/A</v>
      </c>
      <c r="AN112" s="674"/>
      <c r="AO112" s="372"/>
      <c r="AP112" s="181"/>
      <c r="AQ112" s="373"/>
      <c r="AR112" s="366" t="e">
        <f t="shared" si="68"/>
        <v>#N/A</v>
      </c>
      <c r="AS112" s="674"/>
      <c r="AT112" s="372"/>
      <c r="AU112" s="181"/>
      <c r="AV112" s="373"/>
      <c r="AW112" s="366" t="e">
        <f t="shared" si="70"/>
        <v>#N/A</v>
      </c>
      <c r="AX112" s="674"/>
      <c r="AZ112" s="409" t="e">
        <f t="shared" si="72"/>
        <v>#N/A</v>
      </c>
      <c r="BA112" s="674"/>
    </row>
    <row r="113" spans="2:53">
      <c r="B113" s="660"/>
      <c r="C113" s="366">
        <v>7</v>
      </c>
      <c r="D113" s="372"/>
      <c r="E113" s="372"/>
      <c r="F113" s="372"/>
      <c r="G113" s="181"/>
      <c r="H113" s="672"/>
      <c r="I113" s="395" t="str">
        <f t="shared" si="56"/>
        <v>-</v>
      </c>
      <c r="J113" s="395" t="str">
        <f t="shared" si="57"/>
        <v>-</v>
      </c>
      <c r="K113" s="199" t="str">
        <f t="shared" si="58"/>
        <v>-</v>
      </c>
      <c r="L113" s="609"/>
      <c r="M113" s="367" t="e">
        <f>RANK(K113, K$107:$K$121)</f>
        <v>#VALUE!</v>
      </c>
      <c r="N113" s="627"/>
      <c r="O113" s="627"/>
      <c r="P113" s="372"/>
      <c r="Q113" s="181"/>
      <c r="R113" s="373"/>
      <c r="S113" s="366" t="e">
        <f t="shared" si="59"/>
        <v>#N/A</v>
      </c>
      <c r="T113" s="674"/>
      <c r="U113" s="372"/>
      <c r="V113" s="181"/>
      <c r="W113" s="373"/>
      <c r="X113" s="366" t="e">
        <f t="shared" si="60"/>
        <v>#N/A</v>
      </c>
      <c r="Y113" s="674"/>
      <c r="Z113" s="372"/>
      <c r="AA113" s="181"/>
      <c r="AB113" s="373"/>
      <c r="AC113" s="366" t="e">
        <f t="shared" si="62"/>
        <v>#N/A</v>
      </c>
      <c r="AD113" s="674"/>
      <c r="AE113" s="372"/>
      <c r="AF113" s="181"/>
      <c r="AG113" s="373"/>
      <c r="AH113" s="366" t="e">
        <f t="shared" si="64"/>
        <v>#N/A</v>
      </c>
      <c r="AI113" s="674"/>
      <c r="AJ113" s="372"/>
      <c r="AK113" s="181"/>
      <c r="AL113" s="373"/>
      <c r="AM113" s="366" t="e">
        <f t="shared" si="66"/>
        <v>#N/A</v>
      </c>
      <c r="AN113" s="674"/>
      <c r="AO113" s="372"/>
      <c r="AP113" s="181"/>
      <c r="AQ113" s="373"/>
      <c r="AR113" s="366" t="e">
        <f t="shared" si="68"/>
        <v>#N/A</v>
      </c>
      <c r="AS113" s="674"/>
      <c r="AT113" s="372"/>
      <c r="AU113" s="181"/>
      <c r="AV113" s="373"/>
      <c r="AW113" s="366" t="e">
        <f t="shared" si="70"/>
        <v>#N/A</v>
      </c>
      <c r="AX113" s="674"/>
      <c r="AZ113" s="409" t="e">
        <f t="shared" si="72"/>
        <v>#N/A</v>
      </c>
      <c r="BA113" s="674"/>
    </row>
    <row r="114" spans="2:53">
      <c r="B114" s="660"/>
      <c r="C114" s="366">
        <v>8</v>
      </c>
      <c r="D114" s="372"/>
      <c r="E114" s="372"/>
      <c r="F114" s="372"/>
      <c r="G114" s="181"/>
      <c r="H114" s="672"/>
      <c r="I114" s="395" t="str">
        <f t="shared" si="56"/>
        <v>-</v>
      </c>
      <c r="J114" s="395" t="str">
        <f t="shared" si="57"/>
        <v>-</v>
      </c>
      <c r="K114" s="199" t="str">
        <f t="shared" si="58"/>
        <v>-</v>
      </c>
      <c r="L114" s="609"/>
      <c r="M114" s="367" t="e">
        <f>RANK(K114, K$107:$K$121)</f>
        <v>#VALUE!</v>
      </c>
      <c r="N114" s="627"/>
      <c r="O114" s="627"/>
      <c r="P114" s="372"/>
      <c r="Q114" s="181"/>
      <c r="R114" s="373"/>
      <c r="S114" s="366" t="e">
        <f t="shared" si="59"/>
        <v>#N/A</v>
      </c>
      <c r="T114" s="674"/>
      <c r="U114" s="372"/>
      <c r="V114" s="181"/>
      <c r="W114" s="373"/>
      <c r="X114" s="366" t="e">
        <f t="shared" si="60"/>
        <v>#N/A</v>
      </c>
      <c r="Y114" s="674"/>
      <c r="Z114" s="372"/>
      <c r="AA114" s="181"/>
      <c r="AB114" s="373"/>
      <c r="AC114" s="366" t="e">
        <f t="shared" si="62"/>
        <v>#N/A</v>
      </c>
      <c r="AD114" s="674"/>
      <c r="AE114" s="372"/>
      <c r="AF114" s="181"/>
      <c r="AG114" s="373"/>
      <c r="AH114" s="366" t="e">
        <f t="shared" si="64"/>
        <v>#N/A</v>
      </c>
      <c r="AI114" s="674"/>
      <c r="AJ114" s="372"/>
      <c r="AK114" s="181"/>
      <c r="AL114" s="373"/>
      <c r="AM114" s="366" t="e">
        <f t="shared" si="66"/>
        <v>#N/A</v>
      </c>
      <c r="AN114" s="674"/>
      <c r="AO114" s="372"/>
      <c r="AP114" s="181"/>
      <c r="AQ114" s="373"/>
      <c r="AR114" s="366" t="e">
        <f t="shared" si="68"/>
        <v>#N/A</v>
      </c>
      <c r="AS114" s="674"/>
      <c r="AT114" s="372"/>
      <c r="AU114" s="181"/>
      <c r="AV114" s="373"/>
      <c r="AW114" s="366" t="e">
        <f t="shared" si="70"/>
        <v>#N/A</v>
      </c>
      <c r="AX114" s="674"/>
      <c r="AZ114" s="409" t="e">
        <f t="shared" si="72"/>
        <v>#N/A</v>
      </c>
      <c r="BA114" s="674"/>
    </row>
    <row r="115" spans="2:53">
      <c r="B115" s="660"/>
      <c r="C115" s="366">
        <v>9</v>
      </c>
      <c r="D115" s="372"/>
      <c r="E115" s="372"/>
      <c r="F115" s="372"/>
      <c r="G115" s="181"/>
      <c r="H115" s="672"/>
      <c r="I115" s="395" t="str">
        <f t="shared" si="56"/>
        <v>-</v>
      </c>
      <c r="J115" s="395" t="str">
        <f t="shared" si="57"/>
        <v>-</v>
      </c>
      <c r="K115" s="199" t="str">
        <f t="shared" si="58"/>
        <v>-</v>
      </c>
      <c r="L115" s="609"/>
      <c r="M115" s="367" t="e">
        <f>RANK(K115, K$107:$K$121)</f>
        <v>#VALUE!</v>
      </c>
      <c r="N115" s="627"/>
      <c r="O115" s="627"/>
      <c r="P115" s="372"/>
      <c r="Q115" s="181"/>
      <c r="R115" s="373"/>
      <c r="S115" s="366" t="e">
        <f t="shared" si="59"/>
        <v>#N/A</v>
      </c>
      <c r="T115" s="674"/>
      <c r="U115" s="372"/>
      <c r="V115" s="181"/>
      <c r="W115" s="373"/>
      <c r="X115" s="366" t="e">
        <f t="shared" si="60"/>
        <v>#N/A</v>
      </c>
      <c r="Y115" s="674"/>
      <c r="Z115" s="372"/>
      <c r="AA115" s="181"/>
      <c r="AB115" s="373"/>
      <c r="AC115" s="366" t="e">
        <f t="shared" si="62"/>
        <v>#N/A</v>
      </c>
      <c r="AD115" s="674"/>
      <c r="AE115" s="372"/>
      <c r="AF115" s="181"/>
      <c r="AG115" s="373"/>
      <c r="AH115" s="366" t="e">
        <f t="shared" si="64"/>
        <v>#N/A</v>
      </c>
      <c r="AI115" s="674"/>
      <c r="AJ115" s="372"/>
      <c r="AK115" s="181"/>
      <c r="AL115" s="373"/>
      <c r="AM115" s="366" t="e">
        <f t="shared" si="66"/>
        <v>#N/A</v>
      </c>
      <c r="AN115" s="674"/>
      <c r="AO115" s="372"/>
      <c r="AP115" s="181"/>
      <c r="AQ115" s="373"/>
      <c r="AR115" s="366" t="e">
        <f t="shared" si="68"/>
        <v>#N/A</v>
      </c>
      <c r="AS115" s="674"/>
      <c r="AT115" s="372"/>
      <c r="AU115" s="181"/>
      <c r="AV115" s="373"/>
      <c r="AW115" s="366" t="e">
        <f t="shared" si="70"/>
        <v>#N/A</v>
      </c>
      <c r="AX115" s="674"/>
      <c r="AZ115" s="409" t="e">
        <f t="shared" si="72"/>
        <v>#N/A</v>
      </c>
      <c r="BA115" s="674"/>
    </row>
    <row r="116" spans="2:53">
      <c r="B116" s="660"/>
      <c r="C116" s="366">
        <v>10</v>
      </c>
      <c r="D116" s="372"/>
      <c r="E116" s="372"/>
      <c r="F116" s="372"/>
      <c r="G116" s="181"/>
      <c r="H116" s="672"/>
      <c r="I116" s="395" t="str">
        <f t="shared" si="56"/>
        <v>-</v>
      </c>
      <c r="J116" s="395" t="str">
        <f t="shared" si="57"/>
        <v>-</v>
      </c>
      <c r="K116" s="199" t="str">
        <f t="shared" si="58"/>
        <v>-</v>
      </c>
      <c r="L116" s="609"/>
      <c r="M116" s="367" t="e">
        <f>RANK(K116, K$107:$K$121)</f>
        <v>#VALUE!</v>
      </c>
      <c r="N116" s="627"/>
      <c r="O116" s="627"/>
      <c r="P116" s="372"/>
      <c r="Q116" s="181"/>
      <c r="R116" s="373"/>
      <c r="S116" s="366" t="e">
        <f t="shared" si="59"/>
        <v>#N/A</v>
      </c>
      <c r="T116" s="674"/>
      <c r="U116" s="372"/>
      <c r="V116" s="181"/>
      <c r="W116" s="373"/>
      <c r="X116" s="366" t="e">
        <f t="shared" si="60"/>
        <v>#N/A</v>
      </c>
      <c r="Y116" s="674"/>
      <c r="Z116" s="372"/>
      <c r="AA116" s="181"/>
      <c r="AB116" s="373"/>
      <c r="AC116" s="366" t="e">
        <f t="shared" si="62"/>
        <v>#N/A</v>
      </c>
      <c r="AD116" s="674"/>
      <c r="AE116" s="372"/>
      <c r="AF116" s="181"/>
      <c r="AG116" s="373"/>
      <c r="AH116" s="366" t="e">
        <f t="shared" si="64"/>
        <v>#N/A</v>
      </c>
      <c r="AI116" s="674"/>
      <c r="AJ116" s="372"/>
      <c r="AK116" s="181"/>
      <c r="AL116" s="373"/>
      <c r="AM116" s="366" t="e">
        <f t="shared" si="66"/>
        <v>#N/A</v>
      </c>
      <c r="AN116" s="674"/>
      <c r="AO116" s="372"/>
      <c r="AP116" s="181"/>
      <c r="AQ116" s="373"/>
      <c r="AR116" s="366" t="e">
        <f t="shared" si="68"/>
        <v>#N/A</v>
      </c>
      <c r="AS116" s="674"/>
      <c r="AT116" s="372"/>
      <c r="AU116" s="181"/>
      <c r="AV116" s="373"/>
      <c r="AW116" s="366" t="e">
        <f t="shared" si="70"/>
        <v>#N/A</v>
      </c>
      <c r="AX116" s="674"/>
      <c r="AZ116" s="409" t="e">
        <f t="shared" si="72"/>
        <v>#N/A</v>
      </c>
      <c r="BA116" s="674"/>
    </row>
    <row r="117" spans="2:53">
      <c r="B117" s="660"/>
      <c r="C117" s="366">
        <v>11</v>
      </c>
      <c r="D117" s="372"/>
      <c r="E117" s="372"/>
      <c r="F117" s="372"/>
      <c r="G117" s="181"/>
      <c r="H117" s="672"/>
      <c r="I117" s="395" t="str">
        <f t="shared" si="56"/>
        <v>-</v>
      </c>
      <c r="J117" s="395" t="str">
        <f t="shared" si="57"/>
        <v>-</v>
      </c>
      <c r="K117" s="199" t="str">
        <f t="shared" si="58"/>
        <v>-</v>
      </c>
      <c r="L117" s="609"/>
      <c r="M117" s="367" t="e">
        <f>RANK(K117, K$107:$K$121)</f>
        <v>#VALUE!</v>
      </c>
      <c r="N117" s="627"/>
      <c r="O117" s="627"/>
      <c r="P117" s="372"/>
      <c r="Q117" s="372"/>
      <c r="R117" s="372"/>
      <c r="S117" s="366" t="e">
        <f t="shared" si="59"/>
        <v>#N/A</v>
      </c>
      <c r="T117" s="674"/>
      <c r="U117" s="372"/>
      <c r="V117" s="372"/>
      <c r="W117" s="372"/>
      <c r="X117" s="366" t="e">
        <f t="shared" si="60"/>
        <v>#N/A</v>
      </c>
      <c r="Y117" s="674"/>
      <c r="Z117" s="372"/>
      <c r="AA117" s="372"/>
      <c r="AB117" s="372"/>
      <c r="AC117" s="366" t="e">
        <f t="shared" si="62"/>
        <v>#N/A</v>
      </c>
      <c r="AD117" s="674"/>
      <c r="AE117" s="372"/>
      <c r="AF117" s="372"/>
      <c r="AG117" s="372"/>
      <c r="AH117" s="366" t="e">
        <f t="shared" si="64"/>
        <v>#N/A</v>
      </c>
      <c r="AI117" s="674"/>
      <c r="AJ117" s="372"/>
      <c r="AK117" s="372"/>
      <c r="AL117" s="372"/>
      <c r="AM117" s="366" t="e">
        <f t="shared" si="66"/>
        <v>#N/A</v>
      </c>
      <c r="AN117" s="674"/>
      <c r="AO117" s="372"/>
      <c r="AP117" s="372"/>
      <c r="AQ117" s="372"/>
      <c r="AR117" s="366" t="e">
        <f t="shared" si="68"/>
        <v>#N/A</v>
      </c>
      <c r="AS117" s="674"/>
      <c r="AT117" s="372"/>
      <c r="AU117" s="372"/>
      <c r="AV117" s="372"/>
      <c r="AW117" s="366" t="e">
        <f t="shared" si="70"/>
        <v>#N/A</v>
      </c>
      <c r="AX117" s="674"/>
      <c r="AZ117" s="409" t="e">
        <f t="shared" si="72"/>
        <v>#N/A</v>
      </c>
      <c r="BA117" s="674"/>
    </row>
    <row r="118" spans="2:53">
      <c r="B118" s="660"/>
      <c r="C118" s="366">
        <v>12</v>
      </c>
      <c r="D118" s="372"/>
      <c r="E118" s="372"/>
      <c r="F118" s="372"/>
      <c r="G118" s="181"/>
      <c r="H118" s="672"/>
      <c r="I118" s="395" t="str">
        <f t="shared" si="56"/>
        <v>-</v>
      </c>
      <c r="J118" s="395" t="str">
        <f t="shared" si="57"/>
        <v>-</v>
      </c>
      <c r="K118" s="199" t="str">
        <f t="shared" si="58"/>
        <v>-</v>
      </c>
      <c r="L118" s="609"/>
      <c r="M118" s="367" t="e">
        <f>RANK(K118, K$107:$K$121)</f>
        <v>#VALUE!</v>
      </c>
      <c r="N118" s="627"/>
      <c r="O118" s="627"/>
      <c r="P118" s="372"/>
      <c r="Q118" s="372"/>
      <c r="R118" s="372"/>
      <c r="S118" s="366" t="e">
        <f t="shared" si="59"/>
        <v>#N/A</v>
      </c>
      <c r="T118" s="674"/>
      <c r="U118" s="372"/>
      <c r="V118" s="372"/>
      <c r="W118" s="372"/>
      <c r="X118" s="366" t="e">
        <f t="shared" si="60"/>
        <v>#N/A</v>
      </c>
      <c r="Y118" s="674"/>
      <c r="Z118" s="372"/>
      <c r="AA118" s="372"/>
      <c r="AB118" s="372"/>
      <c r="AC118" s="366" t="e">
        <f t="shared" si="62"/>
        <v>#N/A</v>
      </c>
      <c r="AD118" s="674"/>
      <c r="AE118" s="372"/>
      <c r="AF118" s="372"/>
      <c r="AG118" s="372"/>
      <c r="AH118" s="366" t="e">
        <f t="shared" si="64"/>
        <v>#N/A</v>
      </c>
      <c r="AI118" s="674"/>
      <c r="AJ118" s="372"/>
      <c r="AK118" s="372"/>
      <c r="AL118" s="372"/>
      <c r="AM118" s="366" t="e">
        <f t="shared" si="66"/>
        <v>#N/A</v>
      </c>
      <c r="AN118" s="674"/>
      <c r="AO118" s="372"/>
      <c r="AP118" s="372"/>
      <c r="AQ118" s="372"/>
      <c r="AR118" s="366" t="e">
        <f t="shared" si="68"/>
        <v>#N/A</v>
      </c>
      <c r="AS118" s="674"/>
      <c r="AT118" s="372"/>
      <c r="AU118" s="372"/>
      <c r="AV118" s="372"/>
      <c r="AW118" s="366" t="e">
        <f t="shared" si="70"/>
        <v>#N/A</v>
      </c>
      <c r="AX118" s="674"/>
      <c r="AZ118" s="409" t="e">
        <f t="shared" si="72"/>
        <v>#N/A</v>
      </c>
      <c r="BA118" s="674"/>
    </row>
    <row r="119" spans="2:53">
      <c r="B119" s="660"/>
      <c r="C119" s="366">
        <v>13</v>
      </c>
      <c r="D119" s="372"/>
      <c r="E119" s="372"/>
      <c r="F119" s="372"/>
      <c r="G119" s="181"/>
      <c r="H119" s="672"/>
      <c r="I119" s="395" t="str">
        <f t="shared" si="56"/>
        <v>-</v>
      </c>
      <c r="J119" s="395" t="str">
        <f t="shared" si="57"/>
        <v>-</v>
      </c>
      <c r="K119" s="199" t="str">
        <f t="shared" si="58"/>
        <v>-</v>
      </c>
      <c r="L119" s="609"/>
      <c r="M119" s="367" t="e">
        <f>RANK(K119, K$107:$K$121)</f>
        <v>#VALUE!</v>
      </c>
      <c r="N119" s="627"/>
      <c r="O119" s="627"/>
      <c r="P119" s="372"/>
      <c r="Q119" s="372"/>
      <c r="R119" s="372"/>
      <c r="S119" s="366" t="e">
        <f t="shared" si="59"/>
        <v>#N/A</v>
      </c>
      <c r="T119" s="674"/>
      <c r="U119" s="372"/>
      <c r="V119" s="372"/>
      <c r="W119" s="372"/>
      <c r="X119" s="366" t="e">
        <f t="shared" si="60"/>
        <v>#N/A</v>
      </c>
      <c r="Y119" s="674"/>
      <c r="Z119" s="372"/>
      <c r="AA119" s="372"/>
      <c r="AB119" s="372"/>
      <c r="AC119" s="366" t="e">
        <f t="shared" si="62"/>
        <v>#N/A</v>
      </c>
      <c r="AD119" s="674"/>
      <c r="AE119" s="372"/>
      <c r="AF119" s="372"/>
      <c r="AG119" s="372"/>
      <c r="AH119" s="366" t="e">
        <f t="shared" si="64"/>
        <v>#N/A</v>
      </c>
      <c r="AI119" s="674"/>
      <c r="AJ119" s="372"/>
      <c r="AK119" s="372"/>
      <c r="AL119" s="372"/>
      <c r="AM119" s="366" t="e">
        <f t="shared" si="66"/>
        <v>#N/A</v>
      </c>
      <c r="AN119" s="674"/>
      <c r="AO119" s="372"/>
      <c r="AP119" s="372"/>
      <c r="AQ119" s="372"/>
      <c r="AR119" s="366" t="e">
        <f t="shared" si="68"/>
        <v>#N/A</v>
      </c>
      <c r="AS119" s="674"/>
      <c r="AT119" s="372"/>
      <c r="AU119" s="372"/>
      <c r="AV119" s="372"/>
      <c r="AW119" s="366" t="e">
        <f t="shared" si="70"/>
        <v>#N/A</v>
      </c>
      <c r="AX119" s="674"/>
      <c r="AZ119" s="409" t="e">
        <f t="shared" si="72"/>
        <v>#N/A</v>
      </c>
      <c r="BA119" s="674"/>
    </row>
    <row r="120" spans="2:53">
      <c r="B120" s="660"/>
      <c r="C120" s="366">
        <v>14</v>
      </c>
      <c r="D120" s="372"/>
      <c r="E120" s="372"/>
      <c r="F120" s="372"/>
      <c r="G120" s="181"/>
      <c r="H120" s="672"/>
      <c r="I120" s="395" t="str">
        <f t="shared" si="56"/>
        <v>-</v>
      </c>
      <c r="J120" s="395" t="str">
        <f t="shared" si="57"/>
        <v>-</v>
      </c>
      <c r="K120" s="199" t="str">
        <f t="shared" si="58"/>
        <v>-</v>
      </c>
      <c r="L120" s="609"/>
      <c r="M120" s="367" t="e">
        <f>RANK(K120, K$107:$K$121)</f>
        <v>#VALUE!</v>
      </c>
      <c r="N120" s="627"/>
      <c r="O120" s="627"/>
      <c r="P120" s="372"/>
      <c r="Q120" s="372"/>
      <c r="R120" s="372"/>
      <c r="S120" s="366" t="e">
        <f t="shared" si="59"/>
        <v>#N/A</v>
      </c>
      <c r="T120" s="674"/>
      <c r="U120" s="372"/>
      <c r="V120" s="372"/>
      <c r="W120" s="372"/>
      <c r="X120" s="366" t="e">
        <f t="shared" si="60"/>
        <v>#N/A</v>
      </c>
      <c r="Y120" s="674"/>
      <c r="Z120" s="372"/>
      <c r="AA120" s="372"/>
      <c r="AB120" s="372"/>
      <c r="AC120" s="366" t="e">
        <f t="shared" si="62"/>
        <v>#N/A</v>
      </c>
      <c r="AD120" s="674"/>
      <c r="AE120" s="372"/>
      <c r="AF120" s="372"/>
      <c r="AG120" s="372"/>
      <c r="AH120" s="366" t="e">
        <f t="shared" si="64"/>
        <v>#N/A</v>
      </c>
      <c r="AI120" s="674"/>
      <c r="AJ120" s="372"/>
      <c r="AK120" s="372"/>
      <c r="AL120" s="372"/>
      <c r="AM120" s="366" t="e">
        <f t="shared" si="66"/>
        <v>#N/A</v>
      </c>
      <c r="AN120" s="674"/>
      <c r="AO120" s="372"/>
      <c r="AP120" s="372"/>
      <c r="AQ120" s="372"/>
      <c r="AR120" s="366" t="e">
        <f t="shared" si="68"/>
        <v>#N/A</v>
      </c>
      <c r="AS120" s="674"/>
      <c r="AT120" s="372"/>
      <c r="AU120" s="372"/>
      <c r="AV120" s="372"/>
      <c r="AW120" s="366" t="e">
        <f t="shared" si="70"/>
        <v>#N/A</v>
      </c>
      <c r="AX120" s="674"/>
      <c r="AZ120" s="409" t="e">
        <f t="shared" si="72"/>
        <v>#N/A</v>
      </c>
      <c r="BA120" s="674"/>
    </row>
    <row r="121" spans="2:53">
      <c r="B121" s="660"/>
      <c r="C121" s="366">
        <v>15</v>
      </c>
      <c r="D121" s="372"/>
      <c r="E121" s="372"/>
      <c r="F121" s="372"/>
      <c r="G121" s="372"/>
      <c r="H121" s="676"/>
      <c r="I121" s="395" t="str">
        <f t="shared" si="56"/>
        <v>-</v>
      </c>
      <c r="J121" s="395" t="str">
        <f t="shared" si="57"/>
        <v>-</v>
      </c>
      <c r="K121" s="199" t="str">
        <f t="shared" si="58"/>
        <v>-</v>
      </c>
      <c r="L121" s="610"/>
      <c r="M121" s="367" t="e">
        <f>RANK(K121, K$107:$K$121)</f>
        <v>#VALUE!</v>
      </c>
      <c r="N121" s="627"/>
      <c r="O121" s="627"/>
      <c r="P121" s="366"/>
      <c r="Q121" s="367"/>
      <c r="R121" s="367"/>
      <c r="S121" s="366" t="e">
        <f t="shared" si="59"/>
        <v>#N/A</v>
      </c>
      <c r="T121" s="674"/>
      <c r="U121" s="366"/>
      <c r="V121" s="367"/>
      <c r="W121" s="367"/>
      <c r="X121" s="366" t="e">
        <f t="shared" si="60"/>
        <v>#N/A</v>
      </c>
      <c r="Y121" s="674"/>
      <c r="Z121" s="366"/>
      <c r="AA121" s="367"/>
      <c r="AB121" s="367"/>
      <c r="AC121" s="366" t="e">
        <f t="shared" si="62"/>
        <v>#N/A</v>
      </c>
      <c r="AD121" s="674"/>
      <c r="AE121" s="366"/>
      <c r="AF121" s="367"/>
      <c r="AG121" s="367"/>
      <c r="AH121" s="366" t="e">
        <f t="shared" si="64"/>
        <v>#N/A</v>
      </c>
      <c r="AI121" s="674"/>
      <c r="AJ121" s="366"/>
      <c r="AK121" s="367"/>
      <c r="AL121" s="367"/>
      <c r="AM121" s="366" t="e">
        <f t="shared" si="66"/>
        <v>#N/A</v>
      </c>
      <c r="AN121" s="674"/>
      <c r="AO121" s="366"/>
      <c r="AP121" s="367"/>
      <c r="AQ121" s="367"/>
      <c r="AR121" s="366" t="e">
        <f t="shared" si="68"/>
        <v>#N/A</v>
      </c>
      <c r="AS121" s="674"/>
      <c r="AT121" s="366"/>
      <c r="AU121" s="367"/>
      <c r="AV121" s="367"/>
      <c r="AW121" s="366" t="e">
        <f t="shared" si="70"/>
        <v>#N/A</v>
      </c>
      <c r="AX121" s="674"/>
      <c r="AZ121" s="409" t="e">
        <f t="shared" si="72"/>
        <v>#N/A</v>
      </c>
      <c r="BA121" s="674"/>
    </row>
    <row r="123" spans="2:53" ht="15.75">
      <c r="B123" s="666" t="s">
        <v>484</v>
      </c>
      <c r="C123" s="667"/>
      <c r="D123" s="667"/>
      <c r="E123" s="667"/>
      <c r="F123" s="667"/>
      <c r="G123" s="667"/>
      <c r="H123" s="668"/>
      <c r="I123" s="316"/>
      <c r="J123" s="316"/>
      <c r="K123" s="316"/>
      <c r="L123" s="316"/>
      <c r="M123" s="317"/>
    </row>
    <row r="124" spans="2:53" ht="15.75">
      <c r="B124" s="669"/>
      <c r="C124" s="669"/>
      <c r="D124" s="669"/>
      <c r="E124" s="669"/>
      <c r="F124" s="669"/>
      <c r="G124" s="669"/>
      <c r="H124" s="669"/>
      <c r="I124" s="318"/>
      <c r="J124" s="318"/>
      <c r="K124" s="318"/>
      <c r="L124" s="318"/>
      <c r="M124" s="319"/>
    </row>
    <row r="125" spans="2:53">
      <c r="B125" s="627" t="s">
        <v>485</v>
      </c>
      <c r="C125" s="627" t="s">
        <v>486</v>
      </c>
      <c r="D125" s="627"/>
      <c r="E125" s="627" t="s">
        <v>487</v>
      </c>
      <c r="F125" s="627"/>
      <c r="G125" s="627"/>
      <c r="H125" s="643" t="s">
        <v>488</v>
      </c>
      <c r="I125" s="670" t="s">
        <v>489</v>
      </c>
      <c r="J125" s="670"/>
      <c r="K125" s="670"/>
      <c r="L125" s="683" t="s">
        <v>488</v>
      </c>
      <c r="M125" s="686" t="s">
        <v>490</v>
      </c>
    </row>
    <row r="126" spans="2:53">
      <c r="B126" s="627"/>
      <c r="C126" s="627"/>
      <c r="D126" s="627"/>
      <c r="E126" s="627" t="s">
        <v>491</v>
      </c>
      <c r="F126" s="627"/>
      <c r="G126" s="627"/>
      <c r="H126" s="644"/>
      <c r="I126" s="670" t="s">
        <v>491</v>
      </c>
      <c r="J126" s="670"/>
      <c r="K126" s="670"/>
      <c r="L126" s="684"/>
      <c r="M126" s="687"/>
    </row>
    <row r="127" spans="2:53">
      <c r="B127" s="627"/>
      <c r="C127" s="627"/>
      <c r="D127" s="627"/>
      <c r="E127" s="313" t="s">
        <v>492</v>
      </c>
      <c r="F127" s="313" t="s">
        <v>493</v>
      </c>
      <c r="G127" s="313" t="s">
        <v>494</v>
      </c>
      <c r="H127" s="645"/>
      <c r="I127" s="320" t="s">
        <v>492</v>
      </c>
      <c r="J127" s="320" t="s">
        <v>493</v>
      </c>
      <c r="K127" s="320" t="s">
        <v>494</v>
      </c>
      <c r="L127" s="685"/>
      <c r="M127" s="688"/>
    </row>
    <row r="128" spans="2:53">
      <c r="B128" s="675" t="s">
        <v>496</v>
      </c>
      <c r="C128" s="312">
        <v>1</v>
      </c>
      <c r="D128" s="225"/>
      <c r="E128" s="181"/>
      <c r="F128" s="312"/>
      <c r="G128" s="315"/>
      <c r="H128" s="677" t="e">
        <f>AVERAGE(G128:G142)</f>
        <v>#DIV/0!</v>
      </c>
      <c r="I128" s="198" t="e">
        <f t="shared" ref="I128:K134" si="74">AVERAGEIF($D$7:$D$121,$D128,I$7:I$121)</f>
        <v>#DIV/0!</v>
      </c>
      <c r="J128" s="198" t="e">
        <f t="shared" si="74"/>
        <v>#DIV/0!</v>
      </c>
      <c r="K128" s="198" t="e">
        <f>AVERAGEIF($D$7:$D$121,$D128,K$7:K$121)</f>
        <v>#DIV/0!</v>
      </c>
      <c r="L128" s="680" t="e">
        <f>AVERAGE(K128:K142)</f>
        <v>#DIV/0!</v>
      </c>
      <c r="M128" s="198" t="e">
        <f>RANK(K128, K$128:$K$142)</f>
        <v>#DIV/0!</v>
      </c>
    </row>
    <row r="129" spans="2:39">
      <c r="B129" s="635"/>
      <c r="C129" s="312">
        <v>2</v>
      </c>
      <c r="D129" s="225"/>
      <c r="E129" s="181"/>
      <c r="F129" s="312"/>
      <c r="G129" s="315"/>
      <c r="H129" s="678"/>
      <c r="I129" s="198" t="e">
        <f t="shared" si="74"/>
        <v>#DIV/0!</v>
      </c>
      <c r="J129" s="198" t="e">
        <f t="shared" si="74"/>
        <v>#DIV/0!</v>
      </c>
      <c r="K129" s="198" t="e">
        <f t="shared" si="74"/>
        <v>#DIV/0!</v>
      </c>
      <c r="L129" s="681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35"/>
      <c r="C130" s="312">
        <v>3</v>
      </c>
      <c r="D130" s="225"/>
      <c r="E130" s="181"/>
      <c r="F130" s="312"/>
      <c r="G130" s="315"/>
      <c r="H130" s="678"/>
      <c r="I130" s="198" t="e">
        <f t="shared" si="74"/>
        <v>#DIV/0!</v>
      </c>
      <c r="J130" s="198" t="e">
        <f t="shared" si="74"/>
        <v>#DIV/0!</v>
      </c>
      <c r="K130" s="198" t="e">
        <f t="shared" si="74"/>
        <v>#DIV/0!</v>
      </c>
      <c r="L130" s="681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35"/>
      <c r="C131" s="312">
        <v>4</v>
      </c>
      <c r="D131" s="225"/>
      <c r="E131" s="181"/>
      <c r="F131" s="312"/>
      <c r="G131" s="315"/>
      <c r="H131" s="678"/>
      <c r="I131" s="198" t="e">
        <f t="shared" si="74"/>
        <v>#DIV/0!</v>
      </c>
      <c r="J131" s="198" t="e">
        <f t="shared" si="74"/>
        <v>#DIV/0!</v>
      </c>
      <c r="K131" s="198" t="e">
        <f t="shared" si="74"/>
        <v>#DIV/0!</v>
      </c>
      <c r="L131" s="681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35"/>
      <c r="C132" s="312">
        <v>5</v>
      </c>
      <c r="D132" s="225"/>
      <c r="E132" s="181"/>
      <c r="F132" s="312"/>
      <c r="G132" s="315"/>
      <c r="H132" s="678"/>
      <c r="I132" s="198" t="e">
        <f t="shared" si="74"/>
        <v>#DIV/0!</v>
      </c>
      <c r="J132" s="198" t="e">
        <f t="shared" si="74"/>
        <v>#DIV/0!</v>
      </c>
      <c r="K132" s="198" t="e">
        <f t="shared" si="74"/>
        <v>#DIV/0!</v>
      </c>
      <c r="L132" s="681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35"/>
      <c r="C133" s="312">
        <v>6</v>
      </c>
      <c r="D133" s="321"/>
      <c r="E133" s="181"/>
      <c r="F133" s="312"/>
      <c r="G133" s="315"/>
      <c r="H133" s="678"/>
      <c r="I133" s="198" t="e">
        <f t="shared" si="74"/>
        <v>#DIV/0!</v>
      </c>
      <c r="J133" s="198" t="e">
        <f t="shared" si="74"/>
        <v>#DIV/0!</v>
      </c>
      <c r="K133" s="198" t="e">
        <f t="shared" si="74"/>
        <v>#DIV/0!</v>
      </c>
      <c r="L133" s="681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35"/>
      <c r="C134" s="312">
        <v>7</v>
      </c>
      <c r="D134" s="225"/>
      <c r="E134" s="181"/>
      <c r="F134" s="312"/>
      <c r="G134" s="315"/>
      <c r="H134" s="678"/>
      <c r="I134" s="198" t="e">
        <f t="shared" si="74"/>
        <v>#DIV/0!</v>
      </c>
      <c r="J134" s="198" t="e">
        <f t="shared" si="74"/>
        <v>#DIV/0!</v>
      </c>
      <c r="K134" s="198" t="e">
        <f t="shared" si="74"/>
        <v>#DIV/0!</v>
      </c>
      <c r="L134" s="681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35"/>
      <c r="C135" s="312">
        <v>8</v>
      </c>
      <c r="D135" s="225"/>
      <c r="E135" s="181"/>
      <c r="F135" s="312"/>
      <c r="G135" s="315"/>
      <c r="H135" s="678"/>
      <c r="I135" s="198"/>
      <c r="J135" s="198"/>
      <c r="K135" s="198"/>
      <c r="L135" s="681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35"/>
      <c r="C136" s="312">
        <v>9</v>
      </c>
      <c r="D136" s="225"/>
      <c r="E136" s="312"/>
      <c r="F136" s="312"/>
      <c r="G136" s="312"/>
      <c r="H136" s="678"/>
      <c r="I136" s="198"/>
      <c r="J136" s="198"/>
      <c r="K136" s="198"/>
      <c r="L136" s="681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35"/>
      <c r="C137" s="312">
        <v>10</v>
      </c>
      <c r="D137" s="225"/>
      <c r="E137" s="312"/>
      <c r="F137" s="312"/>
      <c r="G137" s="312"/>
      <c r="H137" s="678"/>
      <c r="I137" s="198"/>
      <c r="J137" s="198"/>
      <c r="K137" s="198"/>
      <c r="L137" s="681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35"/>
      <c r="C138" s="312">
        <v>11</v>
      </c>
      <c r="D138" s="225"/>
      <c r="E138" s="312"/>
      <c r="F138" s="312"/>
      <c r="G138" s="312"/>
      <c r="H138" s="678"/>
      <c r="I138" s="198"/>
      <c r="J138" s="198"/>
      <c r="K138" s="198"/>
      <c r="L138" s="681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35"/>
      <c r="C139" s="312">
        <v>12</v>
      </c>
      <c r="D139" s="225"/>
      <c r="E139" s="312"/>
      <c r="F139" s="312"/>
      <c r="G139" s="312"/>
      <c r="H139" s="678"/>
      <c r="I139" s="198"/>
      <c r="J139" s="198"/>
      <c r="K139" s="198"/>
      <c r="L139" s="681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35"/>
      <c r="C140" s="312">
        <v>13</v>
      </c>
      <c r="D140" s="225"/>
      <c r="E140" s="312"/>
      <c r="F140" s="312"/>
      <c r="G140" s="312"/>
      <c r="H140" s="678"/>
      <c r="I140" s="198"/>
      <c r="J140" s="198"/>
      <c r="K140" s="198"/>
      <c r="L140" s="681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35"/>
      <c r="C141" s="312">
        <v>14</v>
      </c>
      <c r="D141" s="225"/>
      <c r="E141" s="312"/>
      <c r="F141" s="312"/>
      <c r="G141" s="312"/>
      <c r="H141" s="678"/>
      <c r="I141" s="198"/>
      <c r="J141" s="198"/>
      <c r="K141" s="198"/>
      <c r="L141" s="681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35"/>
      <c r="C142" s="312">
        <v>15</v>
      </c>
      <c r="D142" s="225"/>
      <c r="E142" s="312"/>
      <c r="F142" s="312"/>
      <c r="G142" s="312"/>
      <c r="H142" s="679"/>
      <c r="I142" s="198"/>
      <c r="J142" s="198"/>
      <c r="K142" s="198"/>
      <c r="L142" s="682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80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Y27:AY4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85" zoomScaleNormal="85" workbookViewId="0">
      <pane xSplit="15" topLeftCell="P1" activePane="topRight" state="frozen"/>
      <selection activeCell="P87" sqref="P87:R101"/>
      <selection pane="topRight" activeCell="T27" activeCellId="2" sqref="AC27:AD41 X27:Y41 S27:T4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314</v>
      </c>
      <c r="C1" s="219">
        <f>AVERAGE(L7,L27,L47,L67,L87,L107)</f>
        <v>230.65620278854391</v>
      </c>
    </row>
    <row r="2" spans="1:53" ht="15.75">
      <c r="A2" s="81"/>
      <c r="B2" s="639" t="s">
        <v>163</v>
      </c>
      <c r="C2" s="639"/>
      <c r="D2" s="639"/>
      <c r="E2" s="639"/>
      <c r="F2" s="639"/>
      <c r="G2" s="639"/>
      <c r="H2" s="639"/>
      <c r="I2" s="293"/>
      <c r="J2" s="293"/>
      <c r="K2" s="293"/>
      <c r="L2" s="293"/>
      <c r="M2" s="196"/>
      <c r="N2" s="628" t="s">
        <v>156</v>
      </c>
      <c r="O2" s="628" t="s">
        <v>155</v>
      </c>
      <c r="P2" s="655">
        <v>46168</v>
      </c>
      <c r="Q2" s="656"/>
      <c r="R2" s="656"/>
      <c r="S2" s="656"/>
      <c r="T2" s="657"/>
      <c r="U2" s="634">
        <v>46168</v>
      </c>
      <c r="V2" s="635"/>
      <c r="W2" s="635"/>
      <c r="X2" s="635"/>
      <c r="Y2" s="635"/>
      <c r="Z2" s="634">
        <f>U2+1</f>
        <v>46169</v>
      </c>
      <c r="AA2" s="635"/>
      <c r="AB2" s="635"/>
      <c r="AC2" s="635"/>
      <c r="AD2" s="635"/>
      <c r="AE2" s="634">
        <f>Z2+1</f>
        <v>46170</v>
      </c>
      <c r="AF2" s="635"/>
      <c r="AG2" s="635"/>
      <c r="AH2" s="635"/>
      <c r="AI2" s="635"/>
      <c r="AJ2" s="634">
        <f>AE2+1</f>
        <v>46171</v>
      </c>
      <c r="AK2" s="635"/>
      <c r="AL2" s="635"/>
      <c r="AM2" s="635"/>
      <c r="AN2" s="635"/>
      <c r="AO2" s="634">
        <f>AJ2+1</f>
        <v>46172</v>
      </c>
      <c r="AP2" s="635"/>
      <c r="AQ2" s="635"/>
      <c r="AR2" s="635"/>
      <c r="AS2" s="635"/>
      <c r="AT2" s="631">
        <f>AO2+1</f>
        <v>46173</v>
      </c>
      <c r="AU2" s="632"/>
      <c r="AV2" s="632"/>
      <c r="AW2" s="632"/>
      <c r="AX2" s="633"/>
    </row>
    <row r="3" spans="1:53" ht="15.75">
      <c r="A3" s="81"/>
      <c r="B3" s="658"/>
      <c r="C3" s="658"/>
      <c r="D3" s="658"/>
      <c r="E3" s="658"/>
      <c r="F3" s="658"/>
      <c r="G3" s="658"/>
      <c r="H3" s="658"/>
      <c r="I3" s="294"/>
      <c r="J3" s="294"/>
      <c r="K3" s="294"/>
      <c r="L3" s="294"/>
      <c r="M3" s="197"/>
      <c r="N3" s="630"/>
      <c r="O3" s="630"/>
      <c r="P3" s="631" t="s">
        <v>158</v>
      </c>
      <c r="Q3" s="632"/>
      <c r="R3" s="632"/>
      <c r="S3" s="632"/>
      <c r="T3" s="633"/>
      <c r="U3" s="631" t="s">
        <v>114</v>
      </c>
      <c r="V3" s="632"/>
      <c r="W3" s="632"/>
      <c r="X3" s="632"/>
      <c r="Y3" s="633"/>
      <c r="Z3" s="631" t="s">
        <v>159</v>
      </c>
      <c r="AA3" s="632"/>
      <c r="AB3" s="632"/>
      <c r="AC3" s="632"/>
      <c r="AD3" s="633"/>
      <c r="AE3" s="631" t="s">
        <v>157</v>
      </c>
      <c r="AF3" s="632"/>
      <c r="AG3" s="632"/>
      <c r="AH3" s="632"/>
      <c r="AI3" s="633"/>
      <c r="AJ3" s="631" t="s">
        <v>160</v>
      </c>
      <c r="AK3" s="632"/>
      <c r="AL3" s="632"/>
      <c r="AM3" s="632"/>
      <c r="AN3" s="633"/>
      <c r="AO3" s="631" t="s">
        <v>161</v>
      </c>
      <c r="AP3" s="632"/>
      <c r="AQ3" s="632"/>
      <c r="AR3" s="632"/>
      <c r="AS3" s="633"/>
      <c r="AT3" s="631" t="s">
        <v>162</v>
      </c>
      <c r="AU3" s="632"/>
      <c r="AV3" s="632"/>
      <c r="AW3" s="632"/>
      <c r="AX3" s="633"/>
    </row>
    <row r="4" spans="1:53" ht="14.25">
      <c r="A4" s="81"/>
      <c r="B4" s="627" t="s">
        <v>154</v>
      </c>
      <c r="C4" s="627" t="s">
        <v>384</v>
      </c>
      <c r="D4" s="627"/>
      <c r="E4" s="627" t="s">
        <v>375</v>
      </c>
      <c r="F4" s="627"/>
      <c r="G4" s="627"/>
      <c r="H4" s="643" t="s">
        <v>371</v>
      </c>
      <c r="I4" s="611" t="s">
        <v>376</v>
      </c>
      <c r="J4" s="611"/>
      <c r="K4" s="611"/>
      <c r="L4" s="612" t="s">
        <v>371</v>
      </c>
      <c r="M4" s="618" t="s">
        <v>372</v>
      </c>
      <c r="N4" s="627"/>
      <c r="O4" s="627" t="s">
        <v>377</v>
      </c>
      <c r="P4" s="624" t="s">
        <v>373</v>
      </c>
      <c r="Q4" s="625"/>
      <c r="R4" s="625"/>
      <c r="S4" s="626"/>
      <c r="T4" s="627" t="s">
        <v>371</v>
      </c>
      <c r="U4" s="624" t="s">
        <v>373</v>
      </c>
      <c r="V4" s="625"/>
      <c r="W4" s="625"/>
      <c r="X4" s="626"/>
      <c r="Y4" s="627" t="s">
        <v>371</v>
      </c>
      <c r="Z4" s="624" t="s">
        <v>373</v>
      </c>
      <c r="AA4" s="625"/>
      <c r="AB4" s="625"/>
      <c r="AC4" s="626"/>
      <c r="AD4" s="627" t="s">
        <v>371</v>
      </c>
      <c r="AE4" s="624" t="s">
        <v>373</v>
      </c>
      <c r="AF4" s="625"/>
      <c r="AG4" s="625"/>
      <c r="AH4" s="626"/>
      <c r="AI4" s="627" t="s">
        <v>371</v>
      </c>
      <c r="AJ4" s="624" t="s">
        <v>373</v>
      </c>
      <c r="AK4" s="625"/>
      <c r="AL4" s="625"/>
      <c r="AM4" s="626"/>
      <c r="AN4" s="627" t="s">
        <v>371</v>
      </c>
      <c r="AO4" s="624" t="s">
        <v>373</v>
      </c>
      <c r="AP4" s="625"/>
      <c r="AQ4" s="625"/>
      <c r="AR4" s="626"/>
      <c r="AS4" s="627" t="s">
        <v>371</v>
      </c>
      <c r="AT4" s="624" t="s">
        <v>373</v>
      </c>
      <c r="AU4" s="625"/>
      <c r="AV4" s="625"/>
      <c r="AW4" s="626"/>
      <c r="AX4" s="627" t="s">
        <v>371</v>
      </c>
      <c r="BA4" s="627" t="s">
        <v>371</v>
      </c>
    </row>
    <row r="5" spans="1:53" ht="14.25">
      <c r="A5" s="81"/>
      <c r="B5" s="627"/>
      <c r="C5" s="627"/>
      <c r="D5" s="627"/>
      <c r="E5" s="627" t="s">
        <v>378</v>
      </c>
      <c r="F5" s="627"/>
      <c r="G5" s="627"/>
      <c r="H5" s="644"/>
      <c r="I5" s="611" t="s">
        <v>378</v>
      </c>
      <c r="J5" s="611"/>
      <c r="K5" s="611"/>
      <c r="L5" s="613"/>
      <c r="M5" s="619"/>
      <c r="N5" s="627"/>
      <c r="O5" s="627"/>
      <c r="P5" s="624" t="s">
        <v>379</v>
      </c>
      <c r="Q5" s="625"/>
      <c r="R5" s="625"/>
      <c r="S5" s="626"/>
      <c r="T5" s="627"/>
      <c r="U5" s="624" t="s">
        <v>379</v>
      </c>
      <c r="V5" s="625"/>
      <c r="W5" s="625"/>
      <c r="X5" s="626"/>
      <c r="Y5" s="627"/>
      <c r="Z5" s="624" t="s">
        <v>379</v>
      </c>
      <c r="AA5" s="625"/>
      <c r="AB5" s="625"/>
      <c r="AC5" s="626"/>
      <c r="AD5" s="627"/>
      <c r="AE5" s="624" t="s">
        <v>379</v>
      </c>
      <c r="AF5" s="625"/>
      <c r="AG5" s="625"/>
      <c r="AH5" s="626"/>
      <c r="AI5" s="627"/>
      <c r="AJ5" s="624" t="s">
        <v>379</v>
      </c>
      <c r="AK5" s="625"/>
      <c r="AL5" s="625"/>
      <c r="AM5" s="626"/>
      <c r="AN5" s="627"/>
      <c r="AO5" s="624" t="s">
        <v>379</v>
      </c>
      <c r="AP5" s="625"/>
      <c r="AQ5" s="625"/>
      <c r="AR5" s="626"/>
      <c r="AS5" s="627"/>
      <c r="AT5" s="624" t="s">
        <v>379</v>
      </c>
      <c r="AU5" s="625"/>
      <c r="AV5" s="625"/>
      <c r="AW5" s="626"/>
      <c r="AX5" s="627"/>
      <c r="BA5" s="627"/>
    </row>
    <row r="6" spans="1:53" ht="14.25">
      <c r="A6" s="79"/>
      <c r="B6" s="627"/>
      <c r="C6" s="627"/>
      <c r="D6" s="627"/>
      <c r="E6" s="412" t="s">
        <v>380</v>
      </c>
      <c r="F6" s="412" t="s">
        <v>381</v>
      </c>
      <c r="G6" s="412" t="s">
        <v>382</v>
      </c>
      <c r="H6" s="645"/>
      <c r="I6" s="411" t="s">
        <v>380</v>
      </c>
      <c r="J6" s="411" t="s">
        <v>381</v>
      </c>
      <c r="K6" s="411" t="s">
        <v>382</v>
      </c>
      <c r="L6" s="614"/>
      <c r="M6" s="620"/>
      <c r="N6" s="627"/>
      <c r="O6" s="627"/>
      <c r="P6" s="412" t="s">
        <v>380</v>
      </c>
      <c r="Q6" s="412" t="s">
        <v>381</v>
      </c>
      <c r="R6" s="412" t="s">
        <v>382</v>
      </c>
      <c r="S6" s="412" t="s">
        <v>372</v>
      </c>
      <c r="T6" s="627"/>
      <c r="U6" s="412" t="s">
        <v>380</v>
      </c>
      <c r="V6" s="412" t="s">
        <v>381</v>
      </c>
      <c r="W6" s="412" t="s">
        <v>382</v>
      </c>
      <c r="X6" s="412" t="s">
        <v>372</v>
      </c>
      <c r="Y6" s="627"/>
      <c r="Z6" s="412" t="s">
        <v>380</v>
      </c>
      <c r="AA6" s="412" t="s">
        <v>381</v>
      </c>
      <c r="AB6" s="412" t="s">
        <v>382</v>
      </c>
      <c r="AC6" s="412" t="s">
        <v>372</v>
      </c>
      <c r="AD6" s="627"/>
      <c r="AE6" s="412" t="s">
        <v>380</v>
      </c>
      <c r="AF6" s="412" t="s">
        <v>381</v>
      </c>
      <c r="AG6" s="412" t="s">
        <v>382</v>
      </c>
      <c r="AH6" s="412" t="s">
        <v>372</v>
      </c>
      <c r="AI6" s="627"/>
      <c r="AJ6" s="412" t="s">
        <v>380</v>
      </c>
      <c r="AK6" s="412" t="s">
        <v>381</v>
      </c>
      <c r="AL6" s="412" t="s">
        <v>382</v>
      </c>
      <c r="AM6" s="412" t="s">
        <v>372</v>
      </c>
      <c r="AN6" s="627"/>
      <c r="AO6" s="412" t="s">
        <v>380</v>
      </c>
      <c r="AP6" s="412" t="s">
        <v>381</v>
      </c>
      <c r="AQ6" s="412" t="s">
        <v>382</v>
      </c>
      <c r="AR6" s="412" t="s">
        <v>372</v>
      </c>
      <c r="AS6" s="627"/>
      <c r="AT6" s="412" t="s">
        <v>380</v>
      </c>
      <c r="AU6" s="412" t="s">
        <v>381</v>
      </c>
      <c r="AV6" s="412" t="s">
        <v>382</v>
      </c>
      <c r="AW6" s="412" t="s">
        <v>372</v>
      </c>
      <c r="AX6" s="627"/>
      <c r="AZ6" s="401" t="s">
        <v>372</v>
      </c>
      <c r="BA6" s="627"/>
    </row>
    <row r="7" spans="1:53" ht="14.25">
      <c r="A7" s="81"/>
      <c r="B7" s="675" t="s">
        <v>549</v>
      </c>
      <c r="C7" s="413">
        <v>1</v>
      </c>
      <c r="D7" s="370" t="s">
        <v>362</v>
      </c>
      <c r="E7" s="504">
        <v>4</v>
      </c>
      <c r="F7" s="504">
        <v>2000</v>
      </c>
      <c r="G7" s="504">
        <v>500</v>
      </c>
      <c r="H7" s="677">
        <f>AVERAGE(G7:G21)</f>
        <v>255.34006410256413</v>
      </c>
      <c r="I7" s="417">
        <f t="shared" ref="I7:I20" si="0">IFERROR(AVERAGE(P7,U7,Z7,AE7,AJ7,AO7,AT7),"-")</f>
        <v>5</v>
      </c>
      <c r="J7" s="417">
        <f t="shared" ref="J7:J20" si="1">IFERROR(AVERAGE(Q7,V7,AA7,AF7,AK7,AP7,AU7),"-")</f>
        <v>2168.4106530701765</v>
      </c>
      <c r="K7" s="199">
        <f t="shared" ref="K7:K20" si="2">IFERROR(AVERAGE(R7,W7,AB7,AG7,AL7,AQ7,AV7),"-")</f>
        <v>433.68213061403532</v>
      </c>
      <c r="L7" s="608">
        <f>IFERROR(AVERAGE(K7:K21),"-")</f>
        <v>232.06793472450235</v>
      </c>
      <c r="M7" s="419">
        <f>RANK(K7, K$7:$K$21)</f>
        <v>1</v>
      </c>
      <c r="N7" s="627"/>
      <c r="O7" s="627"/>
      <c r="P7" s="413">
        <v>5</v>
      </c>
      <c r="Q7" s="420">
        <v>2180.3076923076919</v>
      </c>
      <c r="R7" s="420">
        <v>436.06153846153836</v>
      </c>
      <c r="S7" s="415">
        <f t="shared" ref="S7:S21" si="3">RANK(R7, R$7:R$21)</f>
        <v>1</v>
      </c>
      <c r="T7" s="674">
        <f t="shared" ref="T7" si="4">AVERAGE(R7:R21)</f>
        <v>341.64821844821836</v>
      </c>
      <c r="U7" s="500">
        <v>5</v>
      </c>
      <c r="V7" s="420">
        <v>2146.0000000000005</v>
      </c>
      <c r="W7" s="420">
        <v>429.2000000000001</v>
      </c>
      <c r="X7" s="502">
        <f t="shared" ref="X7:X21" si="5">RANK(W7, W$7:W$21)</f>
        <v>2</v>
      </c>
      <c r="Y7" s="674">
        <f t="shared" ref="Y7" si="6">AVERAGE(W7:W21)</f>
        <v>232.85845743220671</v>
      </c>
      <c r="Z7" s="500">
        <v>5</v>
      </c>
      <c r="AA7" s="420">
        <v>2168.4210526315787</v>
      </c>
      <c r="AB7" s="420">
        <v>433.68421052631572</v>
      </c>
      <c r="AC7" s="502">
        <f t="shared" ref="AC7:AC21" si="7">RANK(AB7, AB$7:AB$21)</f>
        <v>1</v>
      </c>
      <c r="AD7" s="674">
        <f t="shared" ref="AD7" si="8">AVERAGE(AB7:AB21)</f>
        <v>232.11226355794406</v>
      </c>
      <c r="AE7" s="500">
        <v>5</v>
      </c>
      <c r="AF7" s="420">
        <v>2188.6363636363635</v>
      </c>
      <c r="AG7" s="420">
        <v>437.72727272727269</v>
      </c>
      <c r="AH7" s="502">
        <f t="shared" ref="AH7:AH21" si="9">RANK(AG7, AG$7:AG$21)</f>
        <v>1</v>
      </c>
      <c r="AI7" s="674">
        <f t="shared" ref="AI7" si="10">AVERAGE(AG7:AG21)</f>
        <v>230.73858697426124</v>
      </c>
      <c r="AJ7" s="500">
        <v>5</v>
      </c>
      <c r="AK7" s="420">
        <v>2161.1999999999989</v>
      </c>
      <c r="AL7" s="420">
        <v>432.23999999999978</v>
      </c>
      <c r="AM7" s="502">
        <f t="shared" ref="AM7:AM21" si="11">RANK(AL7, AL$7:AL$21)</f>
        <v>1</v>
      </c>
      <c r="AN7" s="674">
        <f t="shared" ref="AN7" si="12">AVERAGE(AL7:AL21)</f>
        <v>232.35236998350189</v>
      </c>
      <c r="AO7" s="500">
        <v>5</v>
      </c>
      <c r="AP7" s="420">
        <v>2146.9565217391305</v>
      </c>
      <c r="AQ7" s="420">
        <v>429.39130434782612</v>
      </c>
      <c r="AR7" s="502">
        <f t="shared" ref="AR7:AR21" si="13">RANK(AQ7, AQ$7:AQ$21)</f>
        <v>1</v>
      </c>
      <c r="AS7" s="674">
        <f t="shared" ref="AS7" si="14">AVERAGE(AQ7:AQ21)</f>
        <v>231.41886432840658</v>
      </c>
      <c r="AT7" s="500">
        <v>5</v>
      </c>
      <c r="AU7" s="420">
        <v>2187.3529411764703</v>
      </c>
      <c r="AV7" s="420">
        <v>437.47058823529403</v>
      </c>
      <c r="AW7" s="502">
        <f t="shared" ref="AW7:AW21" si="15">RANK(AV7, AV$7:AV$21)</f>
        <v>1</v>
      </c>
      <c r="AX7" s="674">
        <f t="shared" ref="AX7" si="16">AVERAGE(AV7:AV21)</f>
        <v>232.15772886855427</v>
      </c>
      <c r="AZ7" s="403" t="e">
        <f t="shared" ref="AZ7:AZ21" si="17">RANK(AY7, AY$7:AY$21)</f>
        <v>#N/A</v>
      </c>
      <c r="BA7" s="674" t="e">
        <f t="shared" ref="BA7" si="18">AVERAGE(AY7:AY21)</f>
        <v>#DIV/0!</v>
      </c>
    </row>
    <row r="8" spans="1:53" ht="15" customHeight="1">
      <c r="A8" s="81"/>
      <c r="B8" s="660"/>
      <c r="C8" s="413">
        <v>2</v>
      </c>
      <c r="D8" s="370" t="s">
        <v>440</v>
      </c>
      <c r="E8" s="504">
        <v>4</v>
      </c>
      <c r="F8" s="504">
        <v>2000</v>
      </c>
      <c r="G8" s="504">
        <v>500</v>
      </c>
      <c r="H8" s="678"/>
      <c r="I8" s="417">
        <f t="shared" si="0"/>
        <v>5</v>
      </c>
      <c r="J8" s="417">
        <f t="shared" si="1"/>
        <v>2143.2779604745965</v>
      </c>
      <c r="K8" s="199">
        <f t="shared" si="2"/>
        <v>428.65559209491914</v>
      </c>
      <c r="L8" s="609"/>
      <c r="M8" s="419">
        <f>RANK(K8, K$7:$K$21)</f>
        <v>2</v>
      </c>
      <c r="N8" s="627"/>
      <c r="O8" s="627"/>
      <c r="P8" s="413">
        <v>5</v>
      </c>
      <c r="Q8" s="420">
        <v>2159.9999999999991</v>
      </c>
      <c r="R8" s="420">
        <v>431.99999999999983</v>
      </c>
      <c r="S8" s="415">
        <f t="shared" si="3"/>
        <v>2</v>
      </c>
      <c r="T8" s="674"/>
      <c r="U8" s="500">
        <v>5</v>
      </c>
      <c r="V8" s="420">
        <v>2162.0338983050847</v>
      </c>
      <c r="W8" s="420">
        <v>432.40677966101691</v>
      </c>
      <c r="X8" s="502">
        <f t="shared" si="5"/>
        <v>1</v>
      </c>
      <c r="Y8" s="674"/>
      <c r="Z8" s="500">
        <v>5</v>
      </c>
      <c r="AA8" s="420">
        <v>2124.2105263157891</v>
      </c>
      <c r="AB8" s="420">
        <v>424.8421052631578</v>
      </c>
      <c r="AC8" s="502">
        <f t="shared" si="7"/>
        <v>2</v>
      </c>
      <c r="AD8" s="674"/>
      <c r="AE8" s="500">
        <v>5</v>
      </c>
      <c r="AF8" s="420">
        <v>2108</v>
      </c>
      <c r="AG8" s="420">
        <v>421.6</v>
      </c>
      <c r="AH8" s="502">
        <f t="shared" si="9"/>
        <v>2</v>
      </c>
      <c r="AI8" s="674"/>
      <c r="AJ8" s="500">
        <v>5</v>
      </c>
      <c r="AK8" s="420">
        <v>2151.428571428572</v>
      </c>
      <c r="AL8" s="420">
        <v>430.28571428571439</v>
      </c>
      <c r="AM8" s="502">
        <f t="shared" si="11"/>
        <v>2</v>
      </c>
      <c r="AN8" s="674"/>
      <c r="AO8" s="500">
        <v>5</v>
      </c>
      <c r="AP8" s="420">
        <v>2130.909090909091</v>
      </c>
      <c r="AQ8" s="420">
        <v>426.18181818181819</v>
      </c>
      <c r="AR8" s="502">
        <f t="shared" si="13"/>
        <v>2</v>
      </c>
      <c r="AS8" s="674"/>
      <c r="AT8" s="500">
        <v>5</v>
      </c>
      <c r="AU8" s="420">
        <v>2166.3636363636374</v>
      </c>
      <c r="AV8" s="420">
        <v>433.27272727272748</v>
      </c>
      <c r="AW8" s="502">
        <f t="shared" si="15"/>
        <v>2</v>
      </c>
      <c r="AX8" s="674"/>
      <c r="AZ8" s="403" t="e">
        <f t="shared" si="17"/>
        <v>#N/A</v>
      </c>
      <c r="BA8" s="674"/>
    </row>
    <row r="9" spans="1:53" ht="14.25">
      <c r="A9" s="81"/>
      <c r="B9" s="660"/>
      <c r="C9" s="413">
        <v>3</v>
      </c>
      <c r="D9" s="370" t="s">
        <v>363</v>
      </c>
      <c r="E9" s="504">
        <v>12</v>
      </c>
      <c r="F9" s="504">
        <v>2118</v>
      </c>
      <c r="G9" s="504">
        <v>176.5</v>
      </c>
      <c r="H9" s="678"/>
      <c r="I9" s="417">
        <f t="shared" si="0"/>
        <v>12</v>
      </c>
      <c r="J9" s="417">
        <f t="shared" si="1"/>
        <v>1877.4268202230394</v>
      </c>
      <c r="K9" s="199">
        <f t="shared" si="2"/>
        <v>156.45223501858661</v>
      </c>
      <c r="L9" s="609"/>
      <c r="M9" s="419">
        <f>RANK(K9, K$7:$K$21)</f>
        <v>6</v>
      </c>
      <c r="N9" s="627"/>
      <c r="O9" s="627"/>
      <c r="P9" s="413">
        <v>12</v>
      </c>
      <c r="Q9" s="420">
        <v>1882.5974025974026</v>
      </c>
      <c r="R9" s="420">
        <v>156.88311688311688</v>
      </c>
      <c r="S9" s="415">
        <f t="shared" si="3"/>
        <v>3</v>
      </c>
      <c r="T9" s="674"/>
      <c r="U9" s="500">
        <v>12</v>
      </c>
      <c r="V9" s="420">
        <v>1888.2857142857147</v>
      </c>
      <c r="W9" s="420">
        <v>157.35714285714289</v>
      </c>
      <c r="X9" s="502">
        <f t="shared" si="5"/>
        <v>6</v>
      </c>
      <c r="Y9" s="674"/>
      <c r="Z9" s="500">
        <v>12</v>
      </c>
      <c r="AA9" s="420">
        <v>1887.3529411764707</v>
      </c>
      <c r="AB9" s="420">
        <v>157.27941176470588</v>
      </c>
      <c r="AC9" s="502">
        <f t="shared" si="7"/>
        <v>6</v>
      </c>
      <c r="AD9" s="674"/>
      <c r="AE9" s="500">
        <v>12</v>
      </c>
      <c r="AF9" s="420">
        <v>1856.0000000000005</v>
      </c>
      <c r="AG9" s="420">
        <v>154.66666666666671</v>
      </c>
      <c r="AH9" s="502">
        <f t="shared" si="9"/>
        <v>7</v>
      </c>
      <c r="AI9" s="674"/>
      <c r="AJ9" s="500">
        <v>12</v>
      </c>
      <c r="AK9" s="420">
        <v>1860.9090909090919</v>
      </c>
      <c r="AL9" s="420">
        <v>155.07575757575765</v>
      </c>
      <c r="AM9" s="502">
        <f t="shared" si="11"/>
        <v>7</v>
      </c>
      <c r="AN9" s="674"/>
      <c r="AO9" s="500">
        <v>12</v>
      </c>
      <c r="AP9" s="420">
        <v>1874.2500000000011</v>
      </c>
      <c r="AQ9" s="420">
        <v>156.18750000000009</v>
      </c>
      <c r="AR9" s="502">
        <f t="shared" si="13"/>
        <v>6</v>
      </c>
      <c r="AS9" s="674"/>
      <c r="AT9" s="500">
        <v>12</v>
      </c>
      <c r="AU9" s="420">
        <v>1892.5925925925931</v>
      </c>
      <c r="AV9" s="420">
        <v>157.71604938271608</v>
      </c>
      <c r="AW9" s="502">
        <f t="shared" si="15"/>
        <v>6</v>
      </c>
      <c r="AX9" s="674"/>
      <c r="AZ9" s="403" t="e">
        <f t="shared" si="17"/>
        <v>#N/A</v>
      </c>
      <c r="BA9" s="674"/>
    </row>
    <row r="10" spans="1:53" ht="14.25">
      <c r="A10" s="81"/>
      <c r="B10" s="660"/>
      <c r="C10" s="413">
        <v>4</v>
      </c>
      <c r="D10" s="370" t="s">
        <v>599</v>
      </c>
      <c r="E10" s="504">
        <v>13</v>
      </c>
      <c r="F10" s="504">
        <v>2250</v>
      </c>
      <c r="G10" s="504">
        <v>173.07692307692307</v>
      </c>
      <c r="H10" s="678"/>
      <c r="I10" s="417">
        <f t="shared" si="0"/>
        <v>13</v>
      </c>
      <c r="J10" s="417">
        <f t="shared" si="1"/>
        <v>2210.7371946001376</v>
      </c>
      <c r="K10" s="199">
        <f t="shared" si="2"/>
        <v>170.05670727693368</v>
      </c>
      <c r="L10" s="609"/>
      <c r="M10" s="419">
        <f>RANK(K10, K$7:$K$21)</f>
        <v>5</v>
      </c>
      <c r="N10" s="627"/>
      <c r="O10" s="627"/>
      <c r="P10" s="413"/>
      <c r="Q10" s="420"/>
      <c r="R10" s="420"/>
      <c r="S10" s="415" t="e">
        <f t="shared" si="3"/>
        <v>#N/A</v>
      </c>
      <c r="T10" s="674"/>
      <c r="U10" s="500">
        <v>13</v>
      </c>
      <c r="V10" s="420">
        <v>2223.78947368421</v>
      </c>
      <c r="W10" s="420">
        <v>171.06072874493924</v>
      </c>
      <c r="X10" s="502">
        <f t="shared" si="5"/>
        <v>4</v>
      </c>
      <c r="Y10" s="674"/>
      <c r="Z10" s="500">
        <v>13</v>
      </c>
      <c r="AA10" s="420">
        <v>2205.348837209302</v>
      </c>
      <c r="AB10" s="420">
        <v>169.64221824686939</v>
      </c>
      <c r="AC10" s="502">
        <f t="shared" si="7"/>
        <v>5</v>
      </c>
      <c r="AD10" s="674"/>
      <c r="AE10" s="500">
        <v>13</v>
      </c>
      <c r="AF10" s="420">
        <v>2187.341772151899</v>
      </c>
      <c r="AG10" s="420">
        <v>168.25705939629992</v>
      </c>
      <c r="AH10" s="502">
        <f t="shared" si="9"/>
        <v>5</v>
      </c>
      <c r="AI10" s="674"/>
      <c r="AJ10" s="500">
        <v>13</v>
      </c>
      <c r="AK10" s="420">
        <v>2233.7349397590365</v>
      </c>
      <c r="AL10" s="420">
        <v>171.82576459684896</v>
      </c>
      <c r="AM10" s="502">
        <f t="shared" si="11"/>
        <v>4</v>
      </c>
      <c r="AN10" s="674"/>
      <c r="AO10" s="500">
        <v>13</v>
      </c>
      <c r="AP10" s="420">
        <v>2228.8235294117649</v>
      </c>
      <c r="AQ10" s="420">
        <v>171.447963800905</v>
      </c>
      <c r="AR10" s="502">
        <f t="shared" si="13"/>
        <v>5</v>
      </c>
      <c r="AS10" s="674"/>
      <c r="AT10" s="500">
        <v>13</v>
      </c>
      <c r="AU10" s="420">
        <v>2185.3846153846157</v>
      </c>
      <c r="AV10" s="420">
        <v>168.10650887573968</v>
      </c>
      <c r="AW10" s="502">
        <f t="shared" si="15"/>
        <v>5</v>
      </c>
      <c r="AX10" s="674"/>
      <c r="AZ10" s="403" t="e">
        <f t="shared" si="17"/>
        <v>#N/A</v>
      </c>
      <c r="BA10" s="674"/>
    </row>
    <row r="11" spans="1:53" ht="14.25">
      <c r="A11" s="81"/>
      <c r="B11" s="660"/>
      <c r="C11" s="413">
        <v>5</v>
      </c>
      <c r="D11" s="370" t="s">
        <v>364</v>
      </c>
      <c r="E11" s="504">
        <v>13</v>
      </c>
      <c r="F11" s="504">
        <v>2250</v>
      </c>
      <c r="G11" s="504">
        <v>173.07692307692307</v>
      </c>
      <c r="H11" s="678"/>
      <c r="I11" s="417">
        <f t="shared" si="0"/>
        <v>13</v>
      </c>
      <c r="J11" s="417">
        <f t="shared" si="1"/>
        <v>2212.7318706575857</v>
      </c>
      <c r="K11" s="199">
        <f t="shared" si="2"/>
        <v>170.21014389673741</v>
      </c>
      <c r="L11" s="609"/>
      <c r="M11" s="419">
        <f>RANK(K11, K$7:$K$21)</f>
        <v>4</v>
      </c>
      <c r="N11" s="627"/>
      <c r="O11" s="627"/>
      <c r="P11" s="413"/>
      <c r="Q11" s="420"/>
      <c r="R11" s="420"/>
      <c r="S11" s="415" t="e">
        <f t="shared" si="3"/>
        <v>#N/A</v>
      </c>
      <c r="T11" s="674"/>
      <c r="U11" s="500">
        <v>13</v>
      </c>
      <c r="V11" s="420">
        <v>2217.5257731958759</v>
      </c>
      <c r="W11" s="420">
        <v>170.578905630452</v>
      </c>
      <c r="X11" s="502">
        <f t="shared" si="5"/>
        <v>5</v>
      </c>
      <c r="Y11" s="674"/>
      <c r="Z11" s="500">
        <v>13</v>
      </c>
      <c r="AA11" s="420">
        <v>2213.7931034482754</v>
      </c>
      <c r="AB11" s="420">
        <v>170.29177718832887</v>
      </c>
      <c r="AC11" s="502">
        <f t="shared" si="7"/>
        <v>4</v>
      </c>
      <c r="AD11" s="674"/>
      <c r="AE11" s="500">
        <v>13</v>
      </c>
      <c r="AF11" s="420">
        <v>2196.9230769230767</v>
      </c>
      <c r="AG11" s="420">
        <v>168.99408284023667</v>
      </c>
      <c r="AH11" s="502">
        <f t="shared" si="9"/>
        <v>4</v>
      </c>
      <c r="AI11" s="674"/>
      <c r="AJ11" s="500">
        <v>13</v>
      </c>
      <c r="AK11" s="420">
        <v>2213.1034482758628</v>
      </c>
      <c r="AL11" s="420">
        <v>170.23872679045098</v>
      </c>
      <c r="AM11" s="502">
        <f t="shared" si="11"/>
        <v>5</v>
      </c>
      <c r="AN11" s="674"/>
      <c r="AO11" s="500">
        <v>13</v>
      </c>
      <c r="AP11" s="420">
        <v>2234.8571428571431</v>
      </c>
      <c r="AQ11" s="420">
        <v>171.91208791208794</v>
      </c>
      <c r="AR11" s="502">
        <f t="shared" si="13"/>
        <v>4</v>
      </c>
      <c r="AS11" s="674"/>
      <c r="AT11" s="500">
        <v>13</v>
      </c>
      <c r="AU11" s="420">
        <v>2200.1886792452824</v>
      </c>
      <c r="AV11" s="420">
        <v>169.24528301886787</v>
      </c>
      <c r="AW11" s="502">
        <f t="shared" si="15"/>
        <v>4</v>
      </c>
      <c r="AX11" s="674"/>
      <c r="AZ11" s="403" t="e">
        <f t="shared" si="17"/>
        <v>#N/A</v>
      </c>
      <c r="BA11" s="674"/>
    </row>
    <row r="12" spans="1:53" ht="14.25">
      <c r="A12" s="81"/>
      <c r="B12" s="660"/>
      <c r="C12" s="413">
        <v>6</v>
      </c>
      <c r="D12" s="370" t="s">
        <v>365</v>
      </c>
      <c r="E12" s="504">
        <v>10</v>
      </c>
      <c r="F12" s="504">
        <v>2769</v>
      </c>
      <c r="G12" s="504">
        <v>276.89999999999998</v>
      </c>
      <c r="H12" s="678"/>
      <c r="I12" s="417">
        <f t="shared" si="0"/>
        <v>10</v>
      </c>
      <c r="J12" s="417">
        <f t="shared" si="1"/>
        <v>2455.0606780738199</v>
      </c>
      <c r="K12" s="199">
        <f t="shared" si="2"/>
        <v>245.50606780738198</v>
      </c>
      <c r="L12" s="609"/>
      <c r="M12" s="419">
        <f>RANK(K12, K$7:$K$21)</f>
        <v>3</v>
      </c>
      <c r="N12" s="627"/>
      <c r="O12" s="627"/>
      <c r="P12" s="413"/>
      <c r="Q12" s="420"/>
      <c r="R12" s="420"/>
      <c r="S12" s="415" t="e">
        <f t="shared" si="3"/>
        <v>#N/A</v>
      </c>
      <c r="T12" s="674"/>
      <c r="U12" s="500">
        <v>10</v>
      </c>
      <c r="V12" s="420">
        <v>2507.3846153846152</v>
      </c>
      <c r="W12" s="420">
        <v>250.73846153846154</v>
      </c>
      <c r="X12" s="502">
        <f t="shared" si="5"/>
        <v>3</v>
      </c>
      <c r="Y12" s="674"/>
      <c r="Z12" s="500">
        <v>10</v>
      </c>
      <c r="AA12" s="420">
        <v>2512.9824561403502</v>
      </c>
      <c r="AB12" s="420">
        <v>251.29824561403501</v>
      </c>
      <c r="AC12" s="502">
        <f t="shared" si="7"/>
        <v>3</v>
      </c>
      <c r="AD12" s="674"/>
      <c r="AE12" s="500">
        <v>10</v>
      </c>
      <c r="AF12" s="420">
        <v>2399.2857142857138</v>
      </c>
      <c r="AG12" s="420">
        <v>239.92857142857139</v>
      </c>
      <c r="AH12" s="502">
        <f t="shared" si="9"/>
        <v>3</v>
      </c>
      <c r="AI12" s="674"/>
      <c r="AJ12" s="500">
        <v>10</v>
      </c>
      <c r="AK12" s="420">
        <v>2453.1736526946097</v>
      </c>
      <c r="AL12" s="420">
        <v>245.31736526946096</v>
      </c>
      <c r="AM12" s="502">
        <f t="shared" si="11"/>
        <v>3</v>
      </c>
      <c r="AN12" s="674"/>
      <c r="AO12" s="500">
        <v>10</v>
      </c>
      <c r="AP12" s="420">
        <v>2426.9538461538455</v>
      </c>
      <c r="AQ12" s="420">
        <v>242.69538461538454</v>
      </c>
      <c r="AR12" s="502">
        <f t="shared" si="13"/>
        <v>3</v>
      </c>
      <c r="AS12" s="674"/>
      <c r="AT12" s="500">
        <v>10</v>
      </c>
      <c r="AU12" s="420">
        <v>2430.5837837837844</v>
      </c>
      <c r="AV12" s="420">
        <v>243.05837837837845</v>
      </c>
      <c r="AW12" s="502">
        <f t="shared" si="15"/>
        <v>3</v>
      </c>
      <c r="AX12" s="674"/>
      <c r="AZ12" s="403" t="e">
        <f t="shared" si="17"/>
        <v>#N/A</v>
      </c>
      <c r="BA12" s="674"/>
    </row>
    <row r="13" spans="1:53" ht="14.25">
      <c r="A13" s="81"/>
      <c r="B13" s="660"/>
      <c r="C13" s="413">
        <v>7</v>
      </c>
      <c r="D13" s="370" t="s">
        <v>361</v>
      </c>
      <c r="E13" s="504">
        <v>18</v>
      </c>
      <c r="F13" s="504">
        <v>1200</v>
      </c>
      <c r="G13" s="504">
        <v>66.666666666666671</v>
      </c>
      <c r="H13" s="678"/>
      <c r="I13" s="417">
        <f t="shared" si="0"/>
        <v>13</v>
      </c>
      <c r="J13" s="417">
        <f t="shared" si="1"/>
        <v>1244.4904970760238</v>
      </c>
      <c r="K13" s="199">
        <f t="shared" si="2"/>
        <v>95.730038236617204</v>
      </c>
      <c r="L13" s="609"/>
      <c r="M13" s="419">
        <f>RANK(K13, K$7:$K$21)</f>
        <v>8</v>
      </c>
      <c r="N13" s="627"/>
      <c r="O13" s="627"/>
      <c r="P13" s="413"/>
      <c r="Q13" s="420"/>
      <c r="R13" s="420"/>
      <c r="S13" s="415" t="e">
        <f t="shared" si="3"/>
        <v>#N/A</v>
      </c>
      <c r="T13" s="674"/>
      <c r="U13" s="500">
        <v>13</v>
      </c>
      <c r="V13" s="420">
        <v>1226.6666666666665</v>
      </c>
      <c r="W13" s="420">
        <v>94.358974358974351</v>
      </c>
      <c r="X13" s="502">
        <f t="shared" si="5"/>
        <v>8</v>
      </c>
      <c r="Y13" s="674"/>
      <c r="Z13" s="500">
        <v>13</v>
      </c>
      <c r="AA13" s="420">
        <v>1206.0000000000007</v>
      </c>
      <c r="AB13" s="420">
        <v>92.769230769230816</v>
      </c>
      <c r="AC13" s="502">
        <f t="shared" si="7"/>
        <v>8</v>
      </c>
      <c r="AD13" s="674"/>
      <c r="AE13" s="500">
        <v>13</v>
      </c>
      <c r="AF13" s="420">
        <v>1272.0000000000005</v>
      </c>
      <c r="AG13" s="420">
        <v>97.846153846153882</v>
      </c>
      <c r="AH13" s="502">
        <f t="shared" si="9"/>
        <v>8</v>
      </c>
      <c r="AI13" s="674"/>
      <c r="AJ13" s="500">
        <v>13</v>
      </c>
      <c r="AK13" s="420">
        <v>1251.7500000000007</v>
      </c>
      <c r="AL13" s="420">
        <v>96.28846153846159</v>
      </c>
      <c r="AM13" s="502">
        <f t="shared" si="11"/>
        <v>8</v>
      </c>
      <c r="AN13" s="674"/>
      <c r="AO13" s="500">
        <v>13</v>
      </c>
      <c r="AP13" s="420">
        <v>1284</v>
      </c>
      <c r="AQ13" s="420">
        <v>98.769230769230774</v>
      </c>
      <c r="AR13" s="502">
        <f t="shared" si="13"/>
        <v>8</v>
      </c>
      <c r="AS13" s="674"/>
      <c r="AT13" s="500">
        <v>13</v>
      </c>
      <c r="AU13" s="420">
        <v>1226.526315789474</v>
      </c>
      <c r="AV13" s="420">
        <v>94.348178137651843</v>
      </c>
      <c r="AW13" s="502">
        <f t="shared" si="15"/>
        <v>8</v>
      </c>
      <c r="AX13" s="674"/>
      <c r="AZ13" s="403" t="e">
        <f t="shared" si="17"/>
        <v>#N/A</v>
      </c>
      <c r="BA13" s="674"/>
    </row>
    <row r="14" spans="1:53" ht="14.25">
      <c r="A14" s="81"/>
      <c r="B14" s="660"/>
      <c r="C14" s="413">
        <v>8</v>
      </c>
      <c r="D14" s="370" t="s">
        <v>533</v>
      </c>
      <c r="E14" s="504">
        <v>12</v>
      </c>
      <c r="F14" s="504">
        <v>2118</v>
      </c>
      <c r="G14" s="504">
        <v>176.5</v>
      </c>
      <c r="H14" s="678"/>
      <c r="I14" s="417">
        <f t="shared" si="0"/>
        <v>12</v>
      </c>
      <c r="J14" s="417">
        <f t="shared" si="1"/>
        <v>1875.0067542096883</v>
      </c>
      <c r="K14" s="199">
        <f t="shared" si="2"/>
        <v>156.25056285080737</v>
      </c>
      <c r="L14" s="609"/>
      <c r="M14" s="419">
        <f>RANK(K14, K$7:$K$21)</f>
        <v>7</v>
      </c>
      <c r="N14" s="627"/>
      <c r="O14" s="627"/>
      <c r="P14" s="413"/>
      <c r="Q14" s="420"/>
      <c r="R14" s="420"/>
      <c r="S14" s="415" t="e">
        <f t="shared" si="3"/>
        <v>#N/A</v>
      </c>
      <c r="T14" s="674"/>
      <c r="U14" s="500">
        <v>12</v>
      </c>
      <c r="V14" s="420">
        <v>1885.9999999999991</v>
      </c>
      <c r="W14" s="420">
        <v>157.1666666666666</v>
      </c>
      <c r="X14" s="502">
        <f t="shared" si="5"/>
        <v>7</v>
      </c>
      <c r="Y14" s="674"/>
      <c r="Z14" s="500">
        <v>12</v>
      </c>
      <c r="AA14" s="420">
        <v>1885.0909090909076</v>
      </c>
      <c r="AB14" s="420">
        <v>157.09090909090898</v>
      </c>
      <c r="AC14" s="502">
        <f t="shared" si="7"/>
        <v>7</v>
      </c>
      <c r="AD14" s="674"/>
      <c r="AE14" s="500">
        <v>12</v>
      </c>
      <c r="AF14" s="420">
        <v>1882.6666666666665</v>
      </c>
      <c r="AG14" s="420">
        <v>156.88888888888889</v>
      </c>
      <c r="AH14" s="502">
        <f t="shared" si="9"/>
        <v>6</v>
      </c>
      <c r="AI14" s="674"/>
      <c r="AJ14" s="500">
        <v>12</v>
      </c>
      <c r="AK14" s="420">
        <v>1890.5660377358502</v>
      </c>
      <c r="AL14" s="420">
        <v>157.54716981132086</v>
      </c>
      <c r="AM14" s="502">
        <f t="shared" si="11"/>
        <v>6</v>
      </c>
      <c r="AN14" s="674"/>
      <c r="AO14" s="500">
        <v>12</v>
      </c>
      <c r="AP14" s="420">
        <v>1857.1875000000009</v>
      </c>
      <c r="AQ14" s="420">
        <v>154.76562500000009</v>
      </c>
      <c r="AR14" s="502">
        <f t="shared" si="13"/>
        <v>7</v>
      </c>
      <c r="AS14" s="674"/>
      <c r="AT14" s="500">
        <v>12</v>
      </c>
      <c r="AU14" s="420">
        <v>1848.529411764707</v>
      </c>
      <c r="AV14" s="420">
        <v>154.04411764705893</v>
      </c>
      <c r="AW14" s="502">
        <f t="shared" si="15"/>
        <v>7</v>
      </c>
      <c r="AX14" s="674"/>
      <c r="AZ14" s="403" t="e">
        <f t="shared" si="17"/>
        <v>#N/A</v>
      </c>
      <c r="BA14" s="674"/>
    </row>
    <row r="15" spans="1:53" ht="14.25">
      <c r="A15" s="81"/>
      <c r="B15" s="660"/>
      <c r="C15" s="413">
        <v>9</v>
      </c>
      <c r="D15" s="370"/>
      <c r="E15" s="504"/>
      <c r="F15" s="504"/>
      <c r="G15" s="504"/>
      <c r="H15" s="678"/>
      <c r="I15" s="417" t="str">
        <f t="shared" si="0"/>
        <v>-</v>
      </c>
      <c r="J15" s="417" t="str">
        <f t="shared" si="1"/>
        <v>-</v>
      </c>
      <c r="K15" s="199" t="str">
        <f t="shared" si="2"/>
        <v>-</v>
      </c>
      <c r="L15" s="609"/>
      <c r="M15" s="419" t="e">
        <f>RANK(K15, K$7:$K$21)</f>
        <v>#VALUE!</v>
      </c>
      <c r="N15" s="627"/>
      <c r="O15" s="627"/>
      <c r="P15" s="413"/>
      <c r="Q15" s="420"/>
      <c r="R15" s="420"/>
      <c r="S15" s="415" t="e">
        <f t="shared" si="3"/>
        <v>#N/A</v>
      </c>
      <c r="T15" s="674"/>
      <c r="U15" s="500"/>
      <c r="V15" s="420"/>
      <c r="W15" s="420"/>
      <c r="X15" s="502" t="e">
        <f t="shared" si="5"/>
        <v>#N/A</v>
      </c>
      <c r="Y15" s="674"/>
      <c r="Z15" s="500"/>
      <c r="AA15" s="420"/>
      <c r="AB15" s="420"/>
      <c r="AC15" s="502" t="e">
        <f t="shared" si="7"/>
        <v>#N/A</v>
      </c>
      <c r="AD15" s="674"/>
      <c r="AE15" s="500"/>
      <c r="AF15" s="420"/>
      <c r="AG15" s="420"/>
      <c r="AH15" s="502" t="e">
        <f t="shared" si="9"/>
        <v>#N/A</v>
      </c>
      <c r="AI15" s="674"/>
      <c r="AJ15" s="500"/>
      <c r="AK15" s="420"/>
      <c r="AL15" s="420"/>
      <c r="AM15" s="502" t="e">
        <f t="shared" si="11"/>
        <v>#N/A</v>
      </c>
      <c r="AN15" s="674"/>
      <c r="AO15" s="500"/>
      <c r="AP15" s="420"/>
      <c r="AQ15" s="420"/>
      <c r="AR15" s="502" t="e">
        <f t="shared" si="13"/>
        <v>#N/A</v>
      </c>
      <c r="AS15" s="674"/>
      <c r="AT15" s="500"/>
      <c r="AU15" s="420"/>
      <c r="AV15" s="420"/>
      <c r="AW15" s="502" t="e">
        <f t="shared" si="15"/>
        <v>#N/A</v>
      </c>
      <c r="AX15" s="674"/>
      <c r="AZ15" s="403" t="e">
        <f t="shared" si="17"/>
        <v>#N/A</v>
      </c>
      <c r="BA15" s="674"/>
    </row>
    <row r="16" spans="1:53" ht="14.25">
      <c r="A16" s="81"/>
      <c r="B16" s="660"/>
      <c r="C16" s="413">
        <v>10</v>
      </c>
      <c r="D16" s="370"/>
      <c r="E16" s="504"/>
      <c r="F16" s="504"/>
      <c r="G16" s="504"/>
      <c r="H16" s="678"/>
      <c r="I16" s="417" t="str">
        <f t="shared" si="0"/>
        <v>-</v>
      </c>
      <c r="J16" s="417" t="str">
        <f t="shared" si="1"/>
        <v>-</v>
      </c>
      <c r="K16" s="199" t="str">
        <f t="shared" si="2"/>
        <v>-</v>
      </c>
      <c r="L16" s="609"/>
      <c r="M16" s="419" t="e">
        <f>RANK(K16, K$7:$K$21)</f>
        <v>#VALUE!</v>
      </c>
      <c r="N16" s="627"/>
      <c r="O16" s="627"/>
      <c r="P16" s="413"/>
      <c r="Q16" s="420"/>
      <c r="R16" s="420"/>
      <c r="S16" s="415" t="e">
        <f t="shared" si="3"/>
        <v>#N/A</v>
      </c>
      <c r="T16" s="674"/>
      <c r="U16" s="500"/>
      <c r="V16" s="420"/>
      <c r="W16" s="420"/>
      <c r="X16" s="502" t="e">
        <f t="shared" si="5"/>
        <v>#N/A</v>
      </c>
      <c r="Y16" s="674"/>
      <c r="Z16" s="500"/>
      <c r="AA16" s="420"/>
      <c r="AB16" s="420"/>
      <c r="AC16" s="502" t="e">
        <f t="shared" si="7"/>
        <v>#N/A</v>
      </c>
      <c r="AD16" s="674"/>
      <c r="AE16" s="500"/>
      <c r="AF16" s="420"/>
      <c r="AG16" s="420"/>
      <c r="AH16" s="502" t="e">
        <f t="shared" si="9"/>
        <v>#N/A</v>
      </c>
      <c r="AI16" s="674"/>
      <c r="AJ16" s="500"/>
      <c r="AK16" s="420"/>
      <c r="AL16" s="420"/>
      <c r="AM16" s="502" t="e">
        <f t="shared" si="11"/>
        <v>#N/A</v>
      </c>
      <c r="AN16" s="674"/>
      <c r="AO16" s="500"/>
      <c r="AP16" s="420"/>
      <c r="AQ16" s="420"/>
      <c r="AR16" s="502" t="e">
        <f t="shared" si="13"/>
        <v>#N/A</v>
      </c>
      <c r="AS16" s="674"/>
      <c r="AT16" s="500"/>
      <c r="AU16" s="420"/>
      <c r="AV16" s="420"/>
      <c r="AW16" s="502" t="e">
        <f t="shared" si="15"/>
        <v>#N/A</v>
      </c>
      <c r="AX16" s="674"/>
      <c r="AZ16" s="403" t="e">
        <f t="shared" si="17"/>
        <v>#N/A</v>
      </c>
      <c r="BA16" s="674"/>
    </row>
    <row r="17" spans="2:53">
      <c r="B17" s="660"/>
      <c r="C17" s="413">
        <v>11</v>
      </c>
      <c r="D17" s="370"/>
      <c r="E17" s="504"/>
      <c r="F17" s="504"/>
      <c r="G17" s="504"/>
      <c r="H17" s="678"/>
      <c r="I17" s="417" t="str">
        <f t="shared" si="0"/>
        <v>-</v>
      </c>
      <c r="J17" s="417" t="str">
        <f t="shared" si="1"/>
        <v>-</v>
      </c>
      <c r="K17" s="199" t="str">
        <f t="shared" si="2"/>
        <v>-</v>
      </c>
      <c r="L17" s="609"/>
      <c r="M17" s="419" t="e">
        <f>RANK(K17, K$7:$K$21)</f>
        <v>#VALUE!</v>
      </c>
      <c r="N17" s="627"/>
      <c r="O17" s="627"/>
      <c r="P17" s="413"/>
      <c r="Q17" s="420"/>
      <c r="R17" s="420"/>
      <c r="S17" s="415" t="e">
        <f t="shared" si="3"/>
        <v>#N/A</v>
      </c>
      <c r="T17" s="674"/>
      <c r="U17" s="500"/>
      <c r="V17" s="420"/>
      <c r="W17" s="420"/>
      <c r="X17" s="502" t="e">
        <f t="shared" si="5"/>
        <v>#N/A</v>
      </c>
      <c r="Y17" s="674"/>
      <c r="Z17" s="500"/>
      <c r="AA17" s="420"/>
      <c r="AB17" s="420"/>
      <c r="AC17" s="502" t="e">
        <f t="shared" si="7"/>
        <v>#N/A</v>
      </c>
      <c r="AD17" s="674"/>
      <c r="AE17" s="500"/>
      <c r="AF17" s="420"/>
      <c r="AG17" s="420"/>
      <c r="AH17" s="502" t="e">
        <f t="shared" si="9"/>
        <v>#N/A</v>
      </c>
      <c r="AI17" s="674"/>
      <c r="AJ17" s="500"/>
      <c r="AK17" s="420"/>
      <c r="AL17" s="420"/>
      <c r="AM17" s="502" t="e">
        <f t="shared" si="11"/>
        <v>#N/A</v>
      </c>
      <c r="AN17" s="674"/>
      <c r="AO17" s="500"/>
      <c r="AP17" s="420"/>
      <c r="AQ17" s="420"/>
      <c r="AR17" s="502" t="e">
        <f t="shared" si="13"/>
        <v>#N/A</v>
      </c>
      <c r="AS17" s="674"/>
      <c r="AT17" s="500"/>
      <c r="AU17" s="420"/>
      <c r="AV17" s="420"/>
      <c r="AW17" s="502" t="e">
        <f t="shared" si="15"/>
        <v>#N/A</v>
      </c>
      <c r="AX17" s="674"/>
      <c r="AZ17" s="403" t="e">
        <f t="shared" si="17"/>
        <v>#N/A</v>
      </c>
      <c r="BA17" s="674"/>
    </row>
    <row r="18" spans="2:53">
      <c r="B18" s="660"/>
      <c r="C18" s="413">
        <v>12</v>
      </c>
      <c r="D18" s="370"/>
      <c r="E18" s="504"/>
      <c r="F18" s="504"/>
      <c r="G18" s="504"/>
      <c r="H18" s="678"/>
      <c r="I18" s="417" t="str">
        <f t="shared" si="0"/>
        <v>-</v>
      </c>
      <c r="J18" s="417" t="str">
        <f t="shared" si="1"/>
        <v>-</v>
      </c>
      <c r="K18" s="199" t="str">
        <f t="shared" si="2"/>
        <v>-</v>
      </c>
      <c r="L18" s="609"/>
      <c r="M18" s="419" t="e">
        <f>RANK(K18, K$7:$K$21)</f>
        <v>#VALUE!</v>
      </c>
      <c r="N18" s="627"/>
      <c r="O18" s="627"/>
      <c r="P18" s="413"/>
      <c r="Q18" s="420"/>
      <c r="R18" s="420"/>
      <c r="S18" s="415" t="e">
        <f t="shared" si="3"/>
        <v>#N/A</v>
      </c>
      <c r="T18" s="674"/>
      <c r="U18" s="500"/>
      <c r="V18" s="420"/>
      <c r="W18" s="420"/>
      <c r="X18" s="502" t="e">
        <f t="shared" si="5"/>
        <v>#N/A</v>
      </c>
      <c r="Y18" s="674"/>
      <c r="Z18" s="500"/>
      <c r="AA18" s="420"/>
      <c r="AB18" s="420"/>
      <c r="AC18" s="502" t="e">
        <f t="shared" si="7"/>
        <v>#N/A</v>
      </c>
      <c r="AD18" s="674"/>
      <c r="AE18" s="500"/>
      <c r="AF18" s="420"/>
      <c r="AG18" s="420"/>
      <c r="AH18" s="502" t="e">
        <f t="shared" si="9"/>
        <v>#N/A</v>
      </c>
      <c r="AI18" s="674"/>
      <c r="AJ18" s="500"/>
      <c r="AK18" s="420"/>
      <c r="AL18" s="420"/>
      <c r="AM18" s="502" t="e">
        <f t="shared" si="11"/>
        <v>#N/A</v>
      </c>
      <c r="AN18" s="674"/>
      <c r="AO18" s="500"/>
      <c r="AP18" s="420"/>
      <c r="AQ18" s="420"/>
      <c r="AR18" s="502" t="e">
        <f t="shared" si="13"/>
        <v>#N/A</v>
      </c>
      <c r="AS18" s="674"/>
      <c r="AT18" s="500"/>
      <c r="AU18" s="420"/>
      <c r="AV18" s="420"/>
      <c r="AW18" s="502" t="e">
        <f t="shared" si="15"/>
        <v>#N/A</v>
      </c>
      <c r="AX18" s="674"/>
      <c r="AZ18" s="403" t="e">
        <f t="shared" si="17"/>
        <v>#N/A</v>
      </c>
      <c r="BA18" s="674"/>
    </row>
    <row r="19" spans="2:53">
      <c r="B19" s="660"/>
      <c r="C19" s="413">
        <v>13</v>
      </c>
      <c r="D19" s="370"/>
      <c r="E19" s="504"/>
      <c r="F19" s="504"/>
      <c r="G19" s="504"/>
      <c r="H19" s="678"/>
      <c r="I19" s="417" t="str">
        <f t="shared" si="0"/>
        <v>-</v>
      </c>
      <c r="J19" s="417" t="str">
        <f t="shared" si="1"/>
        <v>-</v>
      </c>
      <c r="K19" s="199" t="str">
        <f t="shared" si="2"/>
        <v>-</v>
      </c>
      <c r="L19" s="609"/>
      <c r="M19" s="419" t="e">
        <f>RANK(K19, K$7:$K$21)</f>
        <v>#VALUE!</v>
      </c>
      <c r="N19" s="627"/>
      <c r="O19" s="627"/>
      <c r="P19" s="413"/>
      <c r="Q19" s="420"/>
      <c r="R19" s="420"/>
      <c r="S19" s="415" t="e">
        <f t="shared" si="3"/>
        <v>#N/A</v>
      </c>
      <c r="T19" s="674"/>
      <c r="U19" s="500"/>
      <c r="V19" s="420"/>
      <c r="W19" s="420"/>
      <c r="X19" s="502" t="e">
        <f t="shared" si="5"/>
        <v>#N/A</v>
      </c>
      <c r="Y19" s="674"/>
      <c r="Z19" s="500"/>
      <c r="AA19" s="420"/>
      <c r="AB19" s="420"/>
      <c r="AC19" s="502" t="e">
        <f t="shared" si="7"/>
        <v>#N/A</v>
      </c>
      <c r="AD19" s="674"/>
      <c r="AE19" s="500"/>
      <c r="AF19" s="420"/>
      <c r="AG19" s="420"/>
      <c r="AH19" s="502" t="e">
        <f t="shared" si="9"/>
        <v>#N/A</v>
      </c>
      <c r="AI19" s="674"/>
      <c r="AJ19" s="500"/>
      <c r="AK19" s="420"/>
      <c r="AL19" s="420"/>
      <c r="AM19" s="502" t="e">
        <f t="shared" si="11"/>
        <v>#N/A</v>
      </c>
      <c r="AN19" s="674"/>
      <c r="AO19" s="500"/>
      <c r="AP19" s="420"/>
      <c r="AQ19" s="420"/>
      <c r="AR19" s="502" t="e">
        <f t="shared" si="13"/>
        <v>#N/A</v>
      </c>
      <c r="AS19" s="674"/>
      <c r="AT19" s="500"/>
      <c r="AU19" s="420"/>
      <c r="AV19" s="420"/>
      <c r="AW19" s="502" t="e">
        <f t="shared" si="15"/>
        <v>#N/A</v>
      </c>
      <c r="AX19" s="674"/>
      <c r="AZ19" s="403" t="e">
        <f t="shared" si="17"/>
        <v>#N/A</v>
      </c>
      <c r="BA19" s="674"/>
    </row>
    <row r="20" spans="2:53">
      <c r="B20" s="660"/>
      <c r="C20" s="413">
        <v>14</v>
      </c>
      <c r="D20" s="370"/>
      <c r="E20" s="504"/>
      <c r="F20" s="504"/>
      <c r="G20" s="504"/>
      <c r="H20" s="678"/>
      <c r="I20" s="417" t="str">
        <f t="shared" si="0"/>
        <v>-</v>
      </c>
      <c r="J20" s="417" t="str">
        <f t="shared" si="1"/>
        <v>-</v>
      </c>
      <c r="K20" s="199" t="str">
        <f t="shared" si="2"/>
        <v>-</v>
      </c>
      <c r="L20" s="609"/>
      <c r="M20" s="419" t="e">
        <f>RANK(K20, K$7:$K$21)</f>
        <v>#VALUE!</v>
      </c>
      <c r="N20" s="627"/>
      <c r="O20" s="627"/>
      <c r="P20" s="413"/>
      <c r="Q20" s="420"/>
      <c r="R20" s="420"/>
      <c r="S20" s="415" t="e">
        <f t="shared" si="3"/>
        <v>#N/A</v>
      </c>
      <c r="T20" s="674"/>
      <c r="U20" s="500"/>
      <c r="V20" s="420"/>
      <c r="W20" s="420"/>
      <c r="X20" s="502" t="e">
        <f t="shared" si="5"/>
        <v>#N/A</v>
      </c>
      <c r="Y20" s="674"/>
      <c r="Z20" s="500"/>
      <c r="AA20" s="420"/>
      <c r="AB20" s="420"/>
      <c r="AC20" s="502" t="e">
        <f t="shared" si="7"/>
        <v>#N/A</v>
      </c>
      <c r="AD20" s="674"/>
      <c r="AE20" s="500"/>
      <c r="AF20" s="420"/>
      <c r="AG20" s="420"/>
      <c r="AH20" s="502" t="e">
        <f t="shared" si="9"/>
        <v>#N/A</v>
      </c>
      <c r="AI20" s="674"/>
      <c r="AJ20" s="500"/>
      <c r="AK20" s="420"/>
      <c r="AL20" s="420"/>
      <c r="AM20" s="502" t="e">
        <f t="shared" si="11"/>
        <v>#N/A</v>
      </c>
      <c r="AN20" s="674"/>
      <c r="AO20" s="500"/>
      <c r="AP20" s="420"/>
      <c r="AQ20" s="420"/>
      <c r="AR20" s="502" t="e">
        <f t="shared" si="13"/>
        <v>#N/A</v>
      </c>
      <c r="AS20" s="674"/>
      <c r="AT20" s="500"/>
      <c r="AU20" s="420"/>
      <c r="AV20" s="420"/>
      <c r="AW20" s="502" t="e">
        <f t="shared" si="15"/>
        <v>#N/A</v>
      </c>
      <c r="AX20" s="674"/>
      <c r="AZ20" s="403" t="e">
        <f t="shared" si="17"/>
        <v>#N/A</v>
      </c>
      <c r="BA20" s="674"/>
    </row>
    <row r="21" spans="2:53">
      <c r="B21" s="660"/>
      <c r="C21" s="413">
        <v>15</v>
      </c>
      <c r="D21" s="370"/>
      <c r="E21" s="504"/>
      <c r="F21" s="504"/>
      <c r="G21" s="504"/>
      <c r="H21" s="679"/>
      <c r="I21" s="421"/>
      <c r="J21" s="421"/>
      <c r="K21" s="418"/>
      <c r="L21" s="610"/>
      <c r="M21" s="419" t="e">
        <f>RANK(K21, K$7:$K$21)</f>
        <v>#N/A</v>
      </c>
      <c r="N21" s="627"/>
      <c r="O21" s="627"/>
      <c r="P21" s="413"/>
      <c r="Q21" s="420"/>
      <c r="R21" s="420"/>
      <c r="S21" s="415" t="e">
        <f t="shared" si="3"/>
        <v>#N/A</v>
      </c>
      <c r="T21" s="674"/>
      <c r="U21" s="500"/>
      <c r="V21" s="420"/>
      <c r="W21" s="420"/>
      <c r="X21" s="502" t="e">
        <f t="shared" si="5"/>
        <v>#N/A</v>
      </c>
      <c r="Y21" s="674"/>
      <c r="Z21" s="500"/>
      <c r="AA21" s="420"/>
      <c r="AB21" s="420"/>
      <c r="AC21" s="502" t="e">
        <f t="shared" si="7"/>
        <v>#N/A</v>
      </c>
      <c r="AD21" s="674"/>
      <c r="AE21" s="500"/>
      <c r="AF21" s="420"/>
      <c r="AG21" s="420"/>
      <c r="AH21" s="502" t="e">
        <f t="shared" si="9"/>
        <v>#N/A</v>
      </c>
      <c r="AI21" s="674"/>
      <c r="AJ21" s="500"/>
      <c r="AK21" s="420"/>
      <c r="AL21" s="420"/>
      <c r="AM21" s="502" t="e">
        <f t="shared" si="11"/>
        <v>#N/A</v>
      </c>
      <c r="AN21" s="674"/>
      <c r="AO21" s="500"/>
      <c r="AP21" s="420"/>
      <c r="AQ21" s="420"/>
      <c r="AR21" s="502" t="e">
        <f t="shared" si="13"/>
        <v>#N/A</v>
      </c>
      <c r="AS21" s="674"/>
      <c r="AT21" s="500"/>
      <c r="AU21" s="420"/>
      <c r="AV21" s="420"/>
      <c r="AW21" s="502" t="e">
        <f t="shared" si="15"/>
        <v>#N/A</v>
      </c>
      <c r="AX21" s="674"/>
      <c r="AZ21" s="403" t="e">
        <f t="shared" si="17"/>
        <v>#N/A</v>
      </c>
      <c r="BA21" s="674"/>
    </row>
    <row r="22" spans="2:53" ht="15.75">
      <c r="B22" s="653" t="s">
        <v>163</v>
      </c>
      <c r="C22" s="654"/>
      <c r="D22" s="654"/>
      <c r="E22" s="654"/>
      <c r="F22" s="654"/>
      <c r="G22" s="654"/>
      <c r="H22" s="654"/>
      <c r="I22" s="202"/>
      <c r="J22" s="202"/>
      <c r="K22" s="202"/>
      <c r="L22" s="202"/>
      <c r="M22" s="203"/>
      <c r="N22" s="628" t="s">
        <v>156</v>
      </c>
      <c r="O22" s="628" t="s">
        <v>105</v>
      </c>
      <c r="P22" s="634">
        <f>P2+7</f>
        <v>46175</v>
      </c>
      <c r="Q22" s="635"/>
      <c r="R22" s="635"/>
      <c r="S22" s="635"/>
      <c r="T22" s="635"/>
      <c r="U22" s="631">
        <f>P22+1</f>
        <v>46176</v>
      </c>
      <c r="V22" s="632"/>
      <c r="W22" s="632"/>
      <c r="X22" s="632"/>
      <c r="Y22" s="633"/>
      <c r="Z22" s="631">
        <f>U22+1</f>
        <v>46177</v>
      </c>
      <c r="AA22" s="632"/>
      <c r="AB22" s="632"/>
      <c r="AC22" s="632"/>
      <c r="AD22" s="633"/>
      <c r="AE22" s="631">
        <f>Z22+1</f>
        <v>46178</v>
      </c>
      <c r="AF22" s="632"/>
      <c r="AG22" s="632"/>
      <c r="AH22" s="632"/>
      <c r="AI22" s="633"/>
      <c r="AJ22" s="631">
        <f>AE22+1</f>
        <v>46179</v>
      </c>
      <c r="AK22" s="632"/>
      <c r="AL22" s="632"/>
      <c r="AM22" s="632"/>
      <c r="AN22" s="633"/>
      <c r="AO22" s="631">
        <f>AJ22+1</f>
        <v>46180</v>
      </c>
      <c r="AP22" s="632"/>
      <c r="AQ22" s="632"/>
      <c r="AR22" s="632"/>
      <c r="AS22" s="633"/>
      <c r="AT22" s="631">
        <f>AO22+1</f>
        <v>46181</v>
      </c>
      <c r="AU22" s="632"/>
      <c r="AV22" s="632"/>
      <c r="AW22" s="632"/>
      <c r="AX22" s="633"/>
    </row>
    <row r="23" spans="2:53" ht="15.75">
      <c r="B23" s="642"/>
      <c r="C23" s="642"/>
      <c r="D23" s="642"/>
      <c r="E23" s="642"/>
      <c r="F23" s="642"/>
      <c r="G23" s="642"/>
      <c r="H23" s="642"/>
      <c r="I23" s="204"/>
      <c r="J23" s="204"/>
      <c r="K23" s="204"/>
      <c r="L23" s="204"/>
      <c r="M23" s="205"/>
      <c r="N23" s="630"/>
      <c r="O23" s="630"/>
      <c r="P23" s="634" t="s">
        <v>318</v>
      </c>
      <c r="Q23" s="635"/>
      <c r="R23" s="635"/>
      <c r="S23" s="635"/>
      <c r="T23" s="635"/>
      <c r="U23" s="634" t="s">
        <v>319</v>
      </c>
      <c r="V23" s="635"/>
      <c r="W23" s="635"/>
      <c r="X23" s="635"/>
      <c r="Y23" s="635"/>
      <c r="Z23" s="634" t="s">
        <v>320</v>
      </c>
      <c r="AA23" s="635"/>
      <c r="AB23" s="635"/>
      <c r="AC23" s="635"/>
      <c r="AD23" s="635"/>
      <c r="AE23" s="634" t="s">
        <v>321</v>
      </c>
      <c r="AF23" s="635"/>
      <c r="AG23" s="635"/>
      <c r="AH23" s="635"/>
      <c r="AI23" s="635"/>
      <c r="AJ23" s="634" t="s">
        <v>322</v>
      </c>
      <c r="AK23" s="635"/>
      <c r="AL23" s="635"/>
      <c r="AM23" s="635"/>
      <c r="AN23" s="635"/>
      <c r="AO23" s="634" t="s">
        <v>323</v>
      </c>
      <c r="AP23" s="635"/>
      <c r="AQ23" s="635"/>
      <c r="AR23" s="635"/>
      <c r="AS23" s="635"/>
      <c r="AT23" s="634" t="s">
        <v>324</v>
      </c>
      <c r="AU23" s="635"/>
      <c r="AV23" s="635"/>
      <c r="AW23" s="635"/>
      <c r="AX23" s="635"/>
    </row>
    <row r="24" spans="2:53">
      <c r="B24" s="627" t="s">
        <v>374</v>
      </c>
      <c r="C24" s="627" t="s">
        <v>384</v>
      </c>
      <c r="D24" s="627"/>
      <c r="E24" s="627" t="s">
        <v>375</v>
      </c>
      <c r="F24" s="627"/>
      <c r="G24" s="627"/>
      <c r="H24" s="643" t="s">
        <v>371</v>
      </c>
      <c r="I24" s="627" t="s">
        <v>376</v>
      </c>
      <c r="J24" s="627"/>
      <c r="K24" s="627"/>
      <c r="L24" s="643" t="s">
        <v>371</v>
      </c>
      <c r="M24" s="628" t="s">
        <v>372</v>
      </c>
      <c r="N24" s="627"/>
      <c r="O24" s="627" t="s">
        <v>377</v>
      </c>
      <c r="P24" s="624" t="s">
        <v>373</v>
      </c>
      <c r="Q24" s="625"/>
      <c r="R24" s="625"/>
      <c r="S24" s="626"/>
      <c r="T24" s="627" t="s">
        <v>371</v>
      </c>
      <c r="U24" s="624" t="s">
        <v>373</v>
      </c>
      <c r="V24" s="625"/>
      <c r="W24" s="625"/>
      <c r="X24" s="626"/>
      <c r="Y24" s="627" t="s">
        <v>371</v>
      </c>
      <c r="Z24" s="624" t="s">
        <v>373</v>
      </c>
      <c r="AA24" s="625"/>
      <c r="AB24" s="625"/>
      <c r="AC24" s="626"/>
      <c r="AD24" s="627" t="s">
        <v>371</v>
      </c>
      <c r="AE24" s="624" t="s">
        <v>373</v>
      </c>
      <c r="AF24" s="625"/>
      <c r="AG24" s="625"/>
      <c r="AH24" s="626"/>
      <c r="AI24" s="627" t="s">
        <v>371</v>
      </c>
      <c r="AJ24" s="624" t="s">
        <v>373</v>
      </c>
      <c r="AK24" s="625"/>
      <c r="AL24" s="625"/>
      <c r="AM24" s="626"/>
      <c r="AN24" s="627" t="s">
        <v>371</v>
      </c>
      <c r="AO24" s="624" t="s">
        <v>373</v>
      </c>
      <c r="AP24" s="625"/>
      <c r="AQ24" s="625"/>
      <c r="AR24" s="626"/>
      <c r="AS24" s="627" t="s">
        <v>371</v>
      </c>
      <c r="AT24" s="624" t="s">
        <v>373</v>
      </c>
      <c r="AU24" s="625"/>
      <c r="AV24" s="625"/>
      <c r="AW24" s="626"/>
      <c r="AX24" s="627" t="s">
        <v>371</v>
      </c>
      <c r="BA24" s="627" t="s">
        <v>571</v>
      </c>
    </row>
    <row r="25" spans="2:53">
      <c r="B25" s="627"/>
      <c r="C25" s="627"/>
      <c r="D25" s="627"/>
      <c r="E25" s="627" t="s">
        <v>378</v>
      </c>
      <c r="F25" s="627"/>
      <c r="G25" s="627"/>
      <c r="H25" s="644"/>
      <c r="I25" s="627" t="s">
        <v>378</v>
      </c>
      <c r="J25" s="627"/>
      <c r="K25" s="627"/>
      <c r="L25" s="644"/>
      <c r="M25" s="629"/>
      <c r="N25" s="627"/>
      <c r="O25" s="627"/>
      <c r="P25" s="624" t="s">
        <v>379</v>
      </c>
      <c r="Q25" s="625"/>
      <c r="R25" s="625"/>
      <c r="S25" s="626"/>
      <c r="T25" s="627"/>
      <c r="U25" s="624" t="s">
        <v>379</v>
      </c>
      <c r="V25" s="625"/>
      <c r="W25" s="625"/>
      <c r="X25" s="626"/>
      <c r="Y25" s="627"/>
      <c r="Z25" s="624" t="s">
        <v>379</v>
      </c>
      <c r="AA25" s="625"/>
      <c r="AB25" s="625"/>
      <c r="AC25" s="626"/>
      <c r="AD25" s="627"/>
      <c r="AE25" s="624" t="s">
        <v>379</v>
      </c>
      <c r="AF25" s="625"/>
      <c r="AG25" s="625"/>
      <c r="AH25" s="626"/>
      <c r="AI25" s="627"/>
      <c r="AJ25" s="624" t="s">
        <v>379</v>
      </c>
      <c r="AK25" s="625"/>
      <c r="AL25" s="625"/>
      <c r="AM25" s="626"/>
      <c r="AN25" s="627"/>
      <c r="AO25" s="624" t="s">
        <v>379</v>
      </c>
      <c r="AP25" s="625"/>
      <c r="AQ25" s="625"/>
      <c r="AR25" s="626"/>
      <c r="AS25" s="627"/>
      <c r="AT25" s="624" t="s">
        <v>379</v>
      </c>
      <c r="AU25" s="625"/>
      <c r="AV25" s="625"/>
      <c r="AW25" s="626"/>
      <c r="AX25" s="627"/>
      <c r="BA25" s="627"/>
    </row>
    <row r="26" spans="2:53">
      <c r="B26" s="627"/>
      <c r="C26" s="627"/>
      <c r="D26" s="627"/>
      <c r="E26" s="412" t="s">
        <v>380</v>
      </c>
      <c r="F26" s="412" t="s">
        <v>381</v>
      </c>
      <c r="G26" s="412" t="s">
        <v>382</v>
      </c>
      <c r="H26" s="645"/>
      <c r="I26" s="412" t="s">
        <v>380</v>
      </c>
      <c r="J26" s="412" t="s">
        <v>381</v>
      </c>
      <c r="K26" s="412" t="s">
        <v>382</v>
      </c>
      <c r="L26" s="645"/>
      <c r="M26" s="630"/>
      <c r="N26" s="627"/>
      <c r="O26" s="627"/>
      <c r="P26" s="412" t="s">
        <v>380</v>
      </c>
      <c r="Q26" s="412" t="s">
        <v>381</v>
      </c>
      <c r="R26" s="412" t="s">
        <v>382</v>
      </c>
      <c r="S26" s="412" t="s">
        <v>372</v>
      </c>
      <c r="T26" s="627"/>
      <c r="U26" s="412" t="s">
        <v>380</v>
      </c>
      <c r="V26" s="412" t="s">
        <v>381</v>
      </c>
      <c r="W26" s="412" t="s">
        <v>382</v>
      </c>
      <c r="X26" s="412" t="s">
        <v>372</v>
      </c>
      <c r="Y26" s="627"/>
      <c r="Z26" s="412" t="s">
        <v>380</v>
      </c>
      <c r="AA26" s="412" t="s">
        <v>381</v>
      </c>
      <c r="AB26" s="412" t="s">
        <v>382</v>
      </c>
      <c r="AC26" s="412" t="s">
        <v>372</v>
      </c>
      <c r="AD26" s="627"/>
      <c r="AE26" s="412" t="s">
        <v>380</v>
      </c>
      <c r="AF26" s="412" t="s">
        <v>381</v>
      </c>
      <c r="AG26" s="412" t="s">
        <v>382</v>
      </c>
      <c r="AH26" s="412" t="s">
        <v>372</v>
      </c>
      <c r="AI26" s="627"/>
      <c r="AJ26" s="412" t="s">
        <v>380</v>
      </c>
      <c r="AK26" s="412" t="s">
        <v>381</v>
      </c>
      <c r="AL26" s="412" t="s">
        <v>382</v>
      </c>
      <c r="AM26" s="412" t="s">
        <v>372</v>
      </c>
      <c r="AN26" s="627"/>
      <c r="AO26" s="412" t="s">
        <v>380</v>
      </c>
      <c r="AP26" s="412" t="s">
        <v>381</v>
      </c>
      <c r="AQ26" s="412" t="s">
        <v>382</v>
      </c>
      <c r="AR26" s="412" t="s">
        <v>372</v>
      </c>
      <c r="AS26" s="627"/>
      <c r="AT26" s="412" t="s">
        <v>380</v>
      </c>
      <c r="AU26" s="412" t="s">
        <v>381</v>
      </c>
      <c r="AV26" s="412" t="s">
        <v>382</v>
      </c>
      <c r="AW26" s="412" t="s">
        <v>372</v>
      </c>
      <c r="AX26" s="627"/>
      <c r="AZ26" s="401" t="s">
        <v>372</v>
      </c>
      <c r="BA26" s="627"/>
    </row>
    <row r="27" spans="2:53">
      <c r="B27" s="675" t="s">
        <v>383</v>
      </c>
      <c r="C27" s="415">
        <v>1</v>
      </c>
      <c r="D27" s="370" t="s">
        <v>362</v>
      </c>
      <c r="E27" s="504">
        <v>4</v>
      </c>
      <c r="F27" s="504">
        <v>2000</v>
      </c>
      <c r="G27" s="504">
        <v>500</v>
      </c>
      <c r="H27" s="671">
        <f>AVERAGE(G27:G41)</f>
        <v>255.34006410256413</v>
      </c>
      <c r="I27" s="417">
        <f t="shared" ref="I27:I40" si="19">IFERROR(AVERAGE(P27,U27,Z27,AE27,AJ27,AO27,AT27),"-")</f>
        <v>5</v>
      </c>
      <c r="J27" s="417">
        <f t="shared" ref="J27:J40" si="20">IFERROR(AVERAGE(Q27,V27,AA27,AF27,AK27,AP27,AU27),"-")</f>
        <v>2114.1394458951909</v>
      </c>
      <c r="K27" s="199">
        <f t="shared" ref="K27:K40" si="21">IFERROR(AVERAGE(R27,W27,AB27,AG27,AL27,AQ27,AV27),"-")</f>
        <v>422.82788917903821</v>
      </c>
      <c r="L27" s="608">
        <f>IFERROR(AVERAGE(K27:K41),"-")</f>
        <v>229.24447085258544</v>
      </c>
      <c r="M27" s="421">
        <f>RANK(K27, K$27:$K$41)</f>
        <v>2</v>
      </c>
      <c r="N27" s="627"/>
      <c r="O27" s="627"/>
      <c r="P27" s="550">
        <v>5</v>
      </c>
      <c r="Q27" s="420">
        <v>2150.7692307692305</v>
      </c>
      <c r="R27" s="420">
        <v>430.15384615384608</v>
      </c>
      <c r="S27" s="550">
        <f t="shared" ref="S27:S41" si="22">RANK(R27, R$27:R$41)</f>
        <v>1</v>
      </c>
      <c r="T27" s="636">
        <f t="shared" ref="T27" si="23">AVERAGE(R27:R41)</f>
        <v>229.70331748786055</v>
      </c>
      <c r="U27" s="550">
        <v>5</v>
      </c>
      <c r="V27" s="420">
        <v>2103.1034482758623</v>
      </c>
      <c r="W27" s="420">
        <v>420.62068965517244</v>
      </c>
      <c r="X27" s="550">
        <f t="shared" ref="X27:X41" si="24">RANK(W27, W$27:W$41)</f>
        <v>2</v>
      </c>
      <c r="Y27" s="636">
        <f t="shared" ref="Y27" si="25">AVERAGE(W27:W41)</f>
        <v>228.73350576371709</v>
      </c>
      <c r="Z27" s="550">
        <v>5</v>
      </c>
      <c r="AA27" s="420">
        <v>2095.4716981132069</v>
      </c>
      <c r="AB27" s="420">
        <v>419.09433962264137</v>
      </c>
      <c r="AC27" s="550">
        <f t="shared" ref="AC27:AC41" si="26">RANK(AB27, AB$27:AB$41)</f>
        <v>2</v>
      </c>
      <c r="AD27" s="636">
        <f t="shared" ref="AD27" si="27">AVERAGE(AB27:AB41)</f>
        <v>230.12321779219667</v>
      </c>
      <c r="AE27" s="550">
        <v>5</v>
      </c>
      <c r="AF27" s="420">
        <v>2138.0487804878039</v>
      </c>
      <c r="AG27" s="420">
        <v>427.60975609756076</v>
      </c>
      <c r="AH27" s="550">
        <f t="shared" ref="AH27:AH41" si="28">RANK(AG27, AG$27:AG$41)</f>
        <v>1</v>
      </c>
      <c r="AI27" s="636">
        <f t="shared" ref="AI27" si="29">AVERAGE(AG27:AG41)</f>
        <v>230.42807232952524</v>
      </c>
      <c r="AJ27" s="550">
        <v>5</v>
      </c>
      <c r="AK27" s="420">
        <v>2107.3469387755108</v>
      </c>
      <c r="AL27" s="420">
        <v>421.46938775510216</v>
      </c>
      <c r="AM27" s="550">
        <f t="shared" ref="AM27:AM41" si="30">RANK(AL27, AL$27:AL$41)</f>
        <v>2</v>
      </c>
      <c r="AN27" s="636">
        <f t="shared" ref="AN27" si="31">AVERAGE(AL27:AL41)</f>
        <v>229.10715964059474</v>
      </c>
      <c r="AO27" s="550">
        <v>5</v>
      </c>
      <c r="AP27" s="420">
        <v>2107.7142857142862</v>
      </c>
      <c r="AQ27" s="420">
        <v>421.54285714285726</v>
      </c>
      <c r="AR27" s="550">
        <f t="shared" ref="AR27:AR41" si="32">RANK(AQ27, AQ$27:AQ$41)</f>
        <v>2</v>
      </c>
      <c r="AS27" s="636">
        <f t="shared" ref="AS27" si="33">AVERAGE(AQ27:AQ41)</f>
        <v>228.76402623002792</v>
      </c>
      <c r="AT27" s="550">
        <v>5</v>
      </c>
      <c r="AU27" s="420">
        <v>2096.521739130435</v>
      </c>
      <c r="AV27" s="420">
        <v>419.304347826087</v>
      </c>
      <c r="AW27" s="550">
        <f t="shared" ref="AW27:AW41" si="34">RANK(AV27, AV$27:AV$41)</f>
        <v>2</v>
      </c>
      <c r="AX27" s="636">
        <f t="shared" ref="AX27" si="35">AVERAGE(AV27:AV41)</f>
        <v>227.85199672417582</v>
      </c>
      <c r="AZ27" s="402" t="e">
        <f t="shared" ref="AZ27:AZ41" si="36">RANK(AY27, AY$27:AY$41)</f>
        <v>#N/A</v>
      </c>
      <c r="BA27" s="636" t="e">
        <f t="shared" ref="BA27" si="37">AVERAGE(AY27:AY41)</f>
        <v>#DIV/0!</v>
      </c>
    </row>
    <row r="28" spans="2:53">
      <c r="B28" s="635"/>
      <c r="C28" s="415">
        <v>2</v>
      </c>
      <c r="D28" s="370" t="s">
        <v>440</v>
      </c>
      <c r="E28" s="504">
        <v>4</v>
      </c>
      <c r="F28" s="504">
        <v>2000</v>
      </c>
      <c r="G28" s="504">
        <v>500</v>
      </c>
      <c r="H28" s="672"/>
      <c r="I28" s="417">
        <f t="shared" si="19"/>
        <v>5</v>
      </c>
      <c r="J28" s="417">
        <f t="shared" si="20"/>
        <v>2118.6463662899355</v>
      </c>
      <c r="K28" s="199">
        <f t="shared" si="21"/>
        <v>423.72927325798707</v>
      </c>
      <c r="L28" s="609"/>
      <c r="M28" s="424">
        <f>RANK(K28, K$27:$K$41)</f>
        <v>1</v>
      </c>
      <c r="N28" s="627"/>
      <c r="O28" s="627"/>
      <c r="P28" s="550">
        <v>5</v>
      </c>
      <c r="Q28" s="420">
        <v>2103.7499999999995</v>
      </c>
      <c r="R28" s="420">
        <v>420.74999999999989</v>
      </c>
      <c r="S28" s="550">
        <f t="shared" si="22"/>
        <v>2</v>
      </c>
      <c r="T28" s="637"/>
      <c r="U28" s="550">
        <v>5</v>
      </c>
      <c r="V28" s="420">
        <v>2120.3571428571431</v>
      </c>
      <c r="W28" s="420">
        <v>424.07142857142861</v>
      </c>
      <c r="X28" s="550">
        <f t="shared" si="24"/>
        <v>1</v>
      </c>
      <c r="Y28" s="637"/>
      <c r="Z28" s="550">
        <v>5</v>
      </c>
      <c r="AA28" s="420">
        <v>2121.9230769230762</v>
      </c>
      <c r="AB28" s="420">
        <v>424.38461538461524</v>
      </c>
      <c r="AC28" s="550">
        <f t="shared" si="26"/>
        <v>1</v>
      </c>
      <c r="AD28" s="637"/>
      <c r="AE28" s="550">
        <v>5</v>
      </c>
      <c r="AF28" s="420">
        <v>2093.0232558139528</v>
      </c>
      <c r="AG28" s="420">
        <v>418.60465116279056</v>
      </c>
      <c r="AH28" s="550">
        <f t="shared" si="28"/>
        <v>2</v>
      </c>
      <c r="AI28" s="637"/>
      <c r="AJ28" s="550">
        <v>5</v>
      </c>
      <c r="AK28" s="420">
        <v>2112.2448979591845</v>
      </c>
      <c r="AL28" s="420">
        <v>422.44897959183692</v>
      </c>
      <c r="AM28" s="550">
        <f t="shared" si="30"/>
        <v>1</v>
      </c>
      <c r="AN28" s="637"/>
      <c r="AO28" s="550">
        <v>5</v>
      </c>
      <c r="AP28" s="420">
        <v>2130.4761904761899</v>
      </c>
      <c r="AQ28" s="420">
        <v>426.09523809523796</v>
      </c>
      <c r="AR28" s="550">
        <f t="shared" si="32"/>
        <v>1</v>
      </c>
      <c r="AS28" s="637"/>
      <c r="AT28" s="550">
        <v>5</v>
      </c>
      <c r="AU28" s="420">
        <v>2148.7500000000009</v>
      </c>
      <c r="AV28" s="420">
        <v>429.75000000000017</v>
      </c>
      <c r="AW28" s="550">
        <f t="shared" si="34"/>
        <v>1</v>
      </c>
      <c r="AX28" s="637"/>
      <c r="AZ28" s="402" t="e">
        <f t="shared" si="36"/>
        <v>#N/A</v>
      </c>
      <c r="BA28" s="637"/>
    </row>
    <row r="29" spans="2:53">
      <c r="B29" s="635"/>
      <c r="C29" s="415">
        <v>3</v>
      </c>
      <c r="D29" s="370" t="s">
        <v>363</v>
      </c>
      <c r="E29" s="504">
        <v>12</v>
      </c>
      <c r="F29" s="504">
        <v>2118</v>
      </c>
      <c r="G29" s="504">
        <v>176.5</v>
      </c>
      <c r="H29" s="672"/>
      <c r="I29" s="417">
        <f t="shared" si="19"/>
        <v>12</v>
      </c>
      <c r="J29" s="417">
        <f t="shared" si="20"/>
        <v>1891.9425165467978</v>
      </c>
      <c r="K29" s="199">
        <f t="shared" si="21"/>
        <v>157.66187637889976</v>
      </c>
      <c r="L29" s="609"/>
      <c r="M29" s="424">
        <f>RANK(K29, K$27:$K$41)</f>
        <v>6</v>
      </c>
      <c r="N29" s="627"/>
      <c r="O29" s="627"/>
      <c r="P29" s="550">
        <v>12</v>
      </c>
      <c r="Q29" s="420">
        <v>1898.6301369863008</v>
      </c>
      <c r="R29" s="420">
        <v>158.21917808219175</v>
      </c>
      <c r="S29" s="550">
        <f t="shared" si="22"/>
        <v>6</v>
      </c>
      <c r="T29" s="637"/>
      <c r="U29" s="550">
        <v>12</v>
      </c>
      <c r="V29" s="420">
        <v>1902.7272727272727</v>
      </c>
      <c r="W29" s="420">
        <v>158.56060606060606</v>
      </c>
      <c r="X29" s="550">
        <f t="shared" si="24"/>
        <v>6</v>
      </c>
      <c r="Y29" s="637"/>
      <c r="Z29" s="550">
        <v>12</v>
      </c>
      <c r="AA29" s="420">
        <v>1882.1538461538457</v>
      </c>
      <c r="AB29" s="420">
        <v>156.84615384615381</v>
      </c>
      <c r="AC29" s="550">
        <f t="shared" si="26"/>
        <v>7</v>
      </c>
      <c r="AD29" s="637"/>
      <c r="AE29" s="550">
        <v>12</v>
      </c>
      <c r="AF29" s="420">
        <v>1910.6896551724139</v>
      </c>
      <c r="AG29" s="420">
        <v>159.22413793103451</v>
      </c>
      <c r="AH29" s="550">
        <f t="shared" si="28"/>
        <v>6</v>
      </c>
      <c r="AI29" s="637"/>
      <c r="AJ29" s="550">
        <v>12</v>
      </c>
      <c r="AK29" s="420">
        <v>1885.0746268656717</v>
      </c>
      <c r="AL29" s="420">
        <v>157.08955223880596</v>
      </c>
      <c r="AM29" s="550">
        <f t="shared" si="30"/>
        <v>6</v>
      </c>
      <c r="AN29" s="637"/>
      <c r="AO29" s="550">
        <v>12</v>
      </c>
      <c r="AP29" s="420">
        <v>1875.4909090909086</v>
      </c>
      <c r="AQ29" s="420">
        <v>156.29090909090905</v>
      </c>
      <c r="AR29" s="550">
        <f t="shared" si="32"/>
        <v>6</v>
      </c>
      <c r="AS29" s="637"/>
      <c r="AT29" s="550">
        <v>12</v>
      </c>
      <c r="AU29" s="420">
        <v>1888.8311688311687</v>
      </c>
      <c r="AV29" s="420">
        <v>157.40259740259739</v>
      </c>
      <c r="AW29" s="550">
        <f t="shared" si="34"/>
        <v>6</v>
      </c>
      <c r="AX29" s="637"/>
      <c r="AZ29" s="402" t="e">
        <f t="shared" si="36"/>
        <v>#N/A</v>
      </c>
      <c r="BA29" s="637"/>
    </row>
    <row r="30" spans="2:53">
      <c r="B30" s="635"/>
      <c r="C30" s="415">
        <v>4</v>
      </c>
      <c r="D30" s="370" t="s">
        <v>599</v>
      </c>
      <c r="E30" s="504">
        <v>13</v>
      </c>
      <c r="F30" s="504">
        <v>2250</v>
      </c>
      <c r="G30" s="504">
        <v>173.07692307692307</v>
      </c>
      <c r="H30" s="672"/>
      <c r="I30" s="417">
        <f t="shared" si="19"/>
        <v>13</v>
      </c>
      <c r="J30" s="417">
        <f t="shared" si="20"/>
        <v>2184.4289443170774</v>
      </c>
      <c r="K30" s="199">
        <f t="shared" si="21"/>
        <v>168.03299571669825</v>
      </c>
      <c r="L30" s="609"/>
      <c r="M30" s="424">
        <f>RANK(K30, K$27:$K$41)</f>
        <v>5</v>
      </c>
      <c r="N30" s="627"/>
      <c r="O30" s="627"/>
      <c r="P30" s="550">
        <v>13</v>
      </c>
      <c r="Q30" s="420">
        <v>2186.6666666666661</v>
      </c>
      <c r="R30" s="420">
        <v>168.20512820512815</v>
      </c>
      <c r="S30" s="550">
        <f t="shared" si="22"/>
        <v>4</v>
      </c>
      <c r="T30" s="637"/>
      <c r="U30" s="550">
        <v>13</v>
      </c>
      <c r="V30" s="420">
        <v>2162.5806451612898</v>
      </c>
      <c r="W30" s="420">
        <v>166.3523573200992</v>
      </c>
      <c r="X30" s="550">
        <f t="shared" si="24"/>
        <v>5</v>
      </c>
      <c r="Y30" s="637"/>
      <c r="Z30" s="550">
        <v>13</v>
      </c>
      <c r="AA30" s="420">
        <v>2200.0000000000005</v>
      </c>
      <c r="AB30" s="420">
        <v>169.23076923076925</v>
      </c>
      <c r="AC30" s="550">
        <f t="shared" si="26"/>
        <v>5</v>
      </c>
      <c r="AD30" s="637"/>
      <c r="AE30" s="550">
        <v>13</v>
      </c>
      <c r="AF30" s="420">
        <v>2219.1999999999994</v>
      </c>
      <c r="AG30" s="420">
        <v>170.70769230769227</v>
      </c>
      <c r="AH30" s="550">
        <f t="shared" si="28"/>
        <v>4</v>
      </c>
      <c r="AI30" s="637"/>
      <c r="AJ30" s="550">
        <v>13</v>
      </c>
      <c r="AK30" s="420">
        <v>2191.0344827586205</v>
      </c>
      <c r="AL30" s="420">
        <v>168.54111405835542</v>
      </c>
      <c r="AM30" s="550">
        <f t="shared" si="30"/>
        <v>5</v>
      </c>
      <c r="AN30" s="637"/>
      <c r="AO30" s="550">
        <v>13</v>
      </c>
      <c r="AP30" s="420">
        <v>2182.4299065420564</v>
      </c>
      <c r="AQ30" s="420">
        <v>167.8792235801582</v>
      </c>
      <c r="AR30" s="550">
        <f t="shared" si="32"/>
        <v>4</v>
      </c>
      <c r="AS30" s="637"/>
      <c r="AT30" s="550">
        <v>13</v>
      </c>
      <c r="AU30" s="420">
        <v>2149.090909090909</v>
      </c>
      <c r="AV30" s="420">
        <v>165.31468531468531</v>
      </c>
      <c r="AW30" s="550">
        <f t="shared" si="34"/>
        <v>4</v>
      </c>
      <c r="AX30" s="637"/>
      <c r="AZ30" s="402" t="e">
        <f t="shared" si="36"/>
        <v>#N/A</v>
      </c>
      <c r="BA30" s="637"/>
    </row>
    <row r="31" spans="2:53">
      <c r="B31" s="635"/>
      <c r="C31" s="415">
        <v>5</v>
      </c>
      <c r="D31" s="370" t="s">
        <v>364</v>
      </c>
      <c r="E31" s="504">
        <v>13</v>
      </c>
      <c r="F31" s="504">
        <v>2250</v>
      </c>
      <c r="G31" s="504">
        <v>173.07692307692307</v>
      </c>
      <c r="H31" s="672"/>
      <c r="I31" s="417">
        <f t="shared" si="19"/>
        <v>13</v>
      </c>
      <c r="J31" s="417">
        <f t="shared" si="20"/>
        <v>2185.0190200502552</v>
      </c>
      <c r="K31" s="199">
        <f t="shared" si="21"/>
        <v>168.07838615771192</v>
      </c>
      <c r="L31" s="609"/>
      <c r="M31" s="424">
        <f>RANK(K31, K$27:$K$41)</f>
        <v>4</v>
      </c>
      <c r="N31" s="627"/>
      <c r="O31" s="627"/>
      <c r="P31" s="550">
        <v>13</v>
      </c>
      <c r="Q31" s="420">
        <v>2179.4285714285716</v>
      </c>
      <c r="R31" s="420">
        <v>167.64835164835165</v>
      </c>
      <c r="S31" s="550">
        <f t="shared" si="22"/>
        <v>5</v>
      </c>
      <c r="T31" s="637"/>
      <c r="U31" s="550">
        <v>13</v>
      </c>
      <c r="V31" s="420">
        <v>2185.16129032258</v>
      </c>
      <c r="W31" s="420">
        <v>168.08933002481385</v>
      </c>
      <c r="X31" s="550">
        <f t="shared" si="24"/>
        <v>4</v>
      </c>
      <c r="Y31" s="637"/>
      <c r="Z31" s="550">
        <v>13</v>
      </c>
      <c r="AA31" s="420">
        <v>2206.5882352941185</v>
      </c>
      <c r="AB31" s="420">
        <v>169.73755656108602</v>
      </c>
      <c r="AC31" s="550">
        <f t="shared" si="26"/>
        <v>4</v>
      </c>
      <c r="AD31" s="637"/>
      <c r="AE31" s="550">
        <v>13</v>
      </c>
      <c r="AF31" s="420">
        <v>2189.9999999999995</v>
      </c>
      <c r="AG31" s="420">
        <v>168.46153846153842</v>
      </c>
      <c r="AH31" s="550">
        <f t="shared" si="28"/>
        <v>5</v>
      </c>
      <c r="AI31" s="637"/>
      <c r="AJ31" s="550">
        <v>13</v>
      </c>
      <c r="AK31" s="420">
        <v>2210.3448275862065</v>
      </c>
      <c r="AL31" s="420">
        <v>170.02652519893897</v>
      </c>
      <c r="AM31" s="550">
        <f t="shared" si="30"/>
        <v>4</v>
      </c>
      <c r="AN31" s="637"/>
      <c r="AO31" s="550">
        <v>13</v>
      </c>
      <c r="AP31" s="420">
        <v>2180.3669724770648</v>
      </c>
      <c r="AQ31" s="420">
        <v>167.72053634438959</v>
      </c>
      <c r="AR31" s="550">
        <f t="shared" si="32"/>
        <v>5</v>
      </c>
      <c r="AS31" s="637"/>
      <c r="AT31" s="550">
        <v>13</v>
      </c>
      <c r="AU31" s="420">
        <v>2143.2432432432433</v>
      </c>
      <c r="AV31" s="420">
        <v>164.86486486486487</v>
      </c>
      <c r="AW31" s="550">
        <f t="shared" si="34"/>
        <v>5</v>
      </c>
      <c r="AX31" s="637"/>
      <c r="AZ31" s="402" t="e">
        <f t="shared" si="36"/>
        <v>#N/A</v>
      </c>
      <c r="BA31" s="637"/>
    </row>
    <row r="32" spans="2:53">
      <c r="B32" s="635"/>
      <c r="C32" s="415">
        <v>6</v>
      </c>
      <c r="D32" s="370" t="s">
        <v>365</v>
      </c>
      <c r="E32" s="504">
        <v>10</v>
      </c>
      <c r="F32" s="504">
        <v>2769</v>
      </c>
      <c r="G32" s="504">
        <v>276.89999999999998</v>
      </c>
      <c r="H32" s="672"/>
      <c r="I32" s="417">
        <f t="shared" si="19"/>
        <v>10</v>
      </c>
      <c r="J32" s="417">
        <f t="shared" si="20"/>
        <v>2431.7904243428784</v>
      </c>
      <c r="K32" s="199">
        <f t="shared" si="21"/>
        <v>243.17904243428782</v>
      </c>
      <c r="L32" s="609"/>
      <c r="M32" s="424">
        <f>RANK(K32, K$27:$K$41)</f>
        <v>3</v>
      </c>
      <c r="N32" s="627"/>
      <c r="O32" s="627"/>
      <c r="P32" s="550">
        <v>10</v>
      </c>
      <c r="Q32" s="420">
        <v>2405.0879999999993</v>
      </c>
      <c r="R32" s="420">
        <v>240.50879999999992</v>
      </c>
      <c r="S32" s="550">
        <f t="shared" si="22"/>
        <v>3</v>
      </c>
      <c r="T32" s="637"/>
      <c r="U32" s="550">
        <v>10</v>
      </c>
      <c r="V32" s="420">
        <v>2417.7345132743362</v>
      </c>
      <c r="W32" s="420">
        <v>241.77345132743363</v>
      </c>
      <c r="X32" s="550">
        <f t="shared" si="24"/>
        <v>3</v>
      </c>
      <c r="Y32" s="637"/>
      <c r="Z32" s="550">
        <v>10</v>
      </c>
      <c r="AA32" s="420">
        <v>2492.3076923076937</v>
      </c>
      <c r="AB32" s="420">
        <v>249.23076923076937</v>
      </c>
      <c r="AC32" s="550">
        <f t="shared" si="26"/>
        <v>3</v>
      </c>
      <c r="AD32" s="637"/>
      <c r="AE32" s="550">
        <v>10</v>
      </c>
      <c r="AF32" s="420">
        <v>2501.7599999999993</v>
      </c>
      <c r="AG32" s="420">
        <v>250.17599999999993</v>
      </c>
      <c r="AH32" s="550">
        <f t="shared" si="28"/>
        <v>3</v>
      </c>
      <c r="AI32" s="637"/>
      <c r="AJ32" s="550">
        <v>10</v>
      </c>
      <c r="AK32" s="420">
        <v>2439.7402597402606</v>
      </c>
      <c r="AL32" s="420">
        <v>243.97402597402606</v>
      </c>
      <c r="AM32" s="550">
        <f t="shared" si="30"/>
        <v>3</v>
      </c>
      <c r="AN32" s="637"/>
      <c r="AO32" s="550">
        <v>10</v>
      </c>
      <c r="AP32" s="420">
        <v>2405.4285714285706</v>
      </c>
      <c r="AQ32" s="420">
        <v>240.54285714285706</v>
      </c>
      <c r="AR32" s="550">
        <f t="shared" si="32"/>
        <v>3</v>
      </c>
      <c r="AS32" s="637"/>
      <c r="AT32" s="550">
        <v>10</v>
      </c>
      <c r="AU32" s="420">
        <v>2360.4739336492894</v>
      </c>
      <c r="AV32" s="420">
        <v>236.04739336492895</v>
      </c>
      <c r="AW32" s="550">
        <f t="shared" si="34"/>
        <v>3</v>
      </c>
      <c r="AX32" s="637"/>
      <c r="AZ32" s="402" t="e">
        <f t="shared" si="36"/>
        <v>#N/A</v>
      </c>
      <c r="BA32" s="637"/>
    </row>
    <row r="33" spans="2:53">
      <c r="B33" s="635"/>
      <c r="C33" s="415">
        <v>7</v>
      </c>
      <c r="D33" s="370" t="s">
        <v>361</v>
      </c>
      <c r="E33" s="504">
        <v>18</v>
      </c>
      <c r="F33" s="504">
        <v>1200</v>
      </c>
      <c r="G33" s="504">
        <v>66.666666666666671</v>
      </c>
      <c r="H33" s="672"/>
      <c r="I33" s="417">
        <f t="shared" si="19"/>
        <v>13</v>
      </c>
      <c r="J33" s="417">
        <f t="shared" si="20"/>
        <v>1226.1063551736486</v>
      </c>
      <c r="K33" s="199">
        <f t="shared" si="21"/>
        <v>94.315873474896051</v>
      </c>
      <c r="L33" s="609"/>
      <c r="M33" s="424">
        <f>RANK(K33, K$27:$K$41)</f>
        <v>8</v>
      </c>
      <c r="N33" s="627"/>
      <c r="O33" s="627"/>
      <c r="P33" s="550">
        <v>13</v>
      </c>
      <c r="Q33" s="550">
        <v>1233.0000000000002</v>
      </c>
      <c r="R33" s="420">
        <v>94.846153846153868</v>
      </c>
      <c r="S33" s="550">
        <f t="shared" si="22"/>
        <v>8</v>
      </c>
      <c r="T33" s="637"/>
      <c r="U33" s="550">
        <v>13</v>
      </c>
      <c r="V33" s="420">
        <v>1214.6666666666665</v>
      </c>
      <c r="W33" s="420">
        <v>93.435897435897431</v>
      </c>
      <c r="X33" s="550">
        <f t="shared" si="24"/>
        <v>8</v>
      </c>
      <c r="Y33" s="637"/>
      <c r="Z33" s="550">
        <v>13</v>
      </c>
      <c r="AA33" s="550">
        <v>1232</v>
      </c>
      <c r="AB33" s="420">
        <v>94.769230769230774</v>
      </c>
      <c r="AC33" s="550">
        <f t="shared" si="26"/>
        <v>8</v>
      </c>
      <c r="AD33" s="637"/>
      <c r="AE33" s="550">
        <v>13</v>
      </c>
      <c r="AF33" s="420">
        <v>1203.2000000000005</v>
      </c>
      <c r="AG33" s="420">
        <v>92.553846153846195</v>
      </c>
      <c r="AH33" s="550">
        <f t="shared" si="28"/>
        <v>8</v>
      </c>
      <c r="AI33" s="637"/>
      <c r="AJ33" s="550">
        <v>13</v>
      </c>
      <c r="AK33" s="420">
        <v>1224.7500000000007</v>
      </c>
      <c r="AL33" s="420">
        <v>94.21153846153851</v>
      </c>
      <c r="AM33" s="550">
        <f t="shared" si="30"/>
        <v>8</v>
      </c>
      <c r="AN33" s="637"/>
      <c r="AO33" s="550">
        <v>13</v>
      </c>
      <c r="AP33" s="420">
        <v>1230.2857142857144</v>
      </c>
      <c r="AQ33" s="420">
        <v>94.637362637362656</v>
      </c>
      <c r="AR33" s="550">
        <f t="shared" si="32"/>
        <v>8</v>
      </c>
      <c r="AS33" s="637"/>
      <c r="AT33" s="550">
        <v>13</v>
      </c>
      <c r="AU33" s="420">
        <v>1244.8421052631581</v>
      </c>
      <c r="AV33" s="420">
        <v>95.75708502024294</v>
      </c>
      <c r="AW33" s="550">
        <f t="shared" si="34"/>
        <v>8</v>
      </c>
      <c r="AX33" s="637"/>
      <c r="AZ33" s="402" t="e">
        <f t="shared" si="36"/>
        <v>#N/A</v>
      </c>
      <c r="BA33" s="637"/>
    </row>
    <row r="34" spans="2:53">
      <c r="B34" s="635"/>
      <c r="C34" s="415">
        <v>8</v>
      </c>
      <c r="D34" s="370" t="s">
        <v>533</v>
      </c>
      <c r="E34" s="504">
        <v>12</v>
      </c>
      <c r="F34" s="504">
        <v>2118</v>
      </c>
      <c r="G34" s="504">
        <v>176.5</v>
      </c>
      <c r="H34" s="672"/>
      <c r="I34" s="417">
        <f t="shared" si="19"/>
        <v>12</v>
      </c>
      <c r="J34" s="417">
        <f t="shared" si="20"/>
        <v>1873.5651626539741</v>
      </c>
      <c r="K34" s="199">
        <f t="shared" si="21"/>
        <v>156.13043022116452</v>
      </c>
      <c r="L34" s="609"/>
      <c r="M34" s="424">
        <f>RANK(K34, K$27:$K$41)</f>
        <v>7</v>
      </c>
      <c r="N34" s="627"/>
      <c r="O34" s="627"/>
      <c r="P34" s="550">
        <v>12</v>
      </c>
      <c r="Q34" s="420">
        <v>1887.5409836065578</v>
      </c>
      <c r="R34" s="420">
        <v>157.29508196721315</v>
      </c>
      <c r="S34" s="550">
        <f t="shared" si="22"/>
        <v>7</v>
      </c>
      <c r="T34" s="637"/>
      <c r="U34" s="550">
        <v>12</v>
      </c>
      <c r="V34" s="420">
        <v>1883.57142857143</v>
      </c>
      <c r="W34" s="420">
        <v>156.96428571428584</v>
      </c>
      <c r="X34" s="550">
        <f t="shared" si="24"/>
        <v>7</v>
      </c>
      <c r="Y34" s="637"/>
      <c r="Z34" s="550">
        <v>12</v>
      </c>
      <c r="AA34" s="420">
        <v>1892.3076923076917</v>
      </c>
      <c r="AB34" s="420">
        <v>157.69230769230765</v>
      </c>
      <c r="AC34" s="550">
        <f t="shared" si="26"/>
        <v>6</v>
      </c>
      <c r="AD34" s="637"/>
      <c r="AE34" s="550">
        <v>12</v>
      </c>
      <c r="AF34" s="420">
        <v>1873.0434782608713</v>
      </c>
      <c r="AG34" s="420">
        <v>156.08695652173927</v>
      </c>
      <c r="AH34" s="550">
        <f t="shared" si="28"/>
        <v>7</v>
      </c>
      <c r="AI34" s="637"/>
      <c r="AJ34" s="550">
        <v>12</v>
      </c>
      <c r="AK34" s="420">
        <v>1861.1538461538473</v>
      </c>
      <c r="AL34" s="420">
        <v>155.09615384615395</v>
      </c>
      <c r="AM34" s="550">
        <f t="shared" si="30"/>
        <v>7</v>
      </c>
      <c r="AN34" s="637"/>
      <c r="AO34" s="550">
        <v>12</v>
      </c>
      <c r="AP34" s="420">
        <v>1864.83870967742</v>
      </c>
      <c r="AQ34" s="420">
        <v>155.40322580645167</v>
      </c>
      <c r="AR34" s="550">
        <f t="shared" si="32"/>
        <v>7</v>
      </c>
      <c r="AS34" s="637"/>
      <c r="AT34" s="550">
        <v>12</v>
      </c>
      <c r="AU34" s="420">
        <v>1852.5000000000009</v>
      </c>
      <c r="AV34" s="420">
        <v>154.37500000000009</v>
      </c>
      <c r="AW34" s="550">
        <f t="shared" si="34"/>
        <v>7</v>
      </c>
      <c r="AX34" s="637"/>
      <c r="AZ34" s="402" t="e">
        <f t="shared" si="36"/>
        <v>#N/A</v>
      </c>
      <c r="BA34" s="637"/>
    </row>
    <row r="35" spans="2:53">
      <c r="B35" s="635"/>
      <c r="C35" s="415">
        <v>9</v>
      </c>
      <c r="D35" s="370"/>
      <c r="E35" s="504"/>
      <c r="F35" s="504"/>
      <c r="G35" s="504"/>
      <c r="H35" s="672"/>
      <c r="I35" s="417" t="str">
        <f t="shared" si="19"/>
        <v>-</v>
      </c>
      <c r="J35" s="417" t="str">
        <f t="shared" si="20"/>
        <v>-</v>
      </c>
      <c r="K35" s="199" t="str">
        <f t="shared" si="21"/>
        <v>-</v>
      </c>
      <c r="L35" s="609"/>
      <c r="M35" s="424" t="e">
        <f>RANK(K35, K$27:$K$41)</f>
        <v>#VALUE!</v>
      </c>
      <c r="N35" s="627"/>
      <c r="O35" s="627"/>
      <c r="P35" s="550" t="s">
        <v>623</v>
      </c>
      <c r="Q35" s="420" t="s">
        <v>623</v>
      </c>
      <c r="R35" s="420" t="s">
        <v>623</v>
      </c>
      <c r="S35" s="550" t="e">
        <f t="shared" si="22"/>
        <v>#VALUE!</v>
      </c>
      <c r="T35" s="637"/>
      <c r="U35" s="550" t="s">
        <v>623</v>
      </c>
      <c r="V35" s="420" t="s">
        <v>623</v>
      </c>
      <c r="W35" s="420" t="s">
        <v>623</v>
      </c>
      <c r="X35" s="550" t="e">
        <f t="shared" si="24"/>
        <v>#VALUE!</v>
      </c>
      <c r="Y35" s="637"/>
      <c r="Z35" s="550" t="s">
        <v>623</v>
      </c>
      <c r="AA35" s="420" t="s">
        <v>623</v>
      </c>
      <c r="AB35" s="420" t="s">
        <v>623</v>
      </c>
      <c r="AC35" s="550" t="e">
        <f t="shared" si="26"/>
        <v>#VALUE!</v>
      </c>
      <c r="AD35" s="637"/>
      <c r="AE35" s="550" t="s">
        <v>623</v>
      </c>
      <c r="AF35" s="420" t="s">
        <v>623</v>
      </c>
      <c r="AG35" s="420" t="s">
        <v>623</v>
      </c>
      <c r="AH35" s="550" t="e">
        <f t="shared" si="28"/>
        <v>#VALUE!</v>
      </c>
      <c r="AI35" s="637"/>
      <c r="AJ35" s="550" t="s">
        <v>623</v>
      </c>
      <c r="AK35" s="420" t="s">
        <v>623</v>
      </c>
      <c r="AL35" s="420" t="s">
        <v>623</v>
      </c>
      <c r="AM35" s="550" t="e">
        <f t="shared" si="30"/>
        <v>#VALUE!</v>
      </c>
      <c r="AN35" s="637"/>
      <c r="AO35" s="550" t="s">
        <v>623</v>
      </c>
      <c r="AP35" s="420" t="s">
        <v>623</v>
      </c>
      <c r="AQ35" s="420" t="s">
        <v>623</v>
      </c>
      <c r="AR35" s="550" t="e">
        <f t="shared" si="32"/>
        <v>#VALUE!</v>
      </c>
      <c r="AS35" s="637"/>
      <c r="AT35" s="550" t="s">
        <v>623</v>
      </c>
      <c r="AU35" s="420" t="s">
        <v>623</v>
      </c>
      <c r="AV35" s="420" t="s">
        <v>623</v>
      </c>
      <c r="AW35" s="550" t="e">
        <f t="shared" si="34"/>
        <v>#VALUE!</v>
      </c>
      <c r="AX35" s="637"/>
      <c r="AZ35" s="402" t="e">
        <f t="shared" si="36"/>
        <v>#N/A</v>
      </c>
      <c r="BA35" s="637"/>
    </row>
    <row r="36" spans="2:53">
      <c r="B36" s="635"/>
      <c r="C36" s="415">
        <v>10</v>
      </c>
      <c r="D36" s="370"/>
      <c r="E36" s="504"/>
      <c r="F36" s="504"/>
      <c r="G36" s="504"/>
      <c r="H36" s="672"/>
      <c r="I36" s="417" t="str">
        <f t="shared" si="19"/>
        <v>-</v>
      </c>
      <c r="J36" s="417" t="str">
        <f t="shared" si="20"/>
        <v>-</v>
      </c>
      <c r="K36" s="199" t="str">
        <f t="shared" si="21"/>
        <v>-</v>
      </c>
      <c r="L36" s="609"/>
      <c r="M36" s="424" t="e">
        <f>RANK(K36, K$27:$K$41)</f>
        <v>#VALUE!</v>
      </c>
      <c r="N36" s="627"/>
      <c r="O36" s="627"/>
      <c r="P36" s="550" t="s">
        <v>623</v>
      </c>
      <c r="Q36" s="420" t="s">
        <v>623</v>
      </c>
      <c r="R36" s="420" t="s">
        <v>623</v>
      </c>
      <c r="S36" s="550" t="e">
        <f t="shared" si="22"/>
        <v>#VALUE!</v>
      </c>
      <c r="T36" s="637"/>
      <c r="U36" s="550" t="s">
        <v>623</v>
      </c>
      <c r="V36" s="420" t="s">
        <v>623</v>
      </c>
      <c r="W36" s="420" t="s">
        <v>623</v>
      </c>
      <c r="X36" s="550" t="e">
        <f t="shared" si="24"/>
        <v>#VALUE!</v>
      </c>
      <c r="Y36" s="637"/>
      <c r="Z36" s="550" t="s">
        <v>623</v>
      </c>
      <c r="AA36" s="420" t="s">
        <v>623</v>
      </c>
      <c r="AB36" s="420" t="s">
        <v>623</v>
      </c>
      <c r="AC36" s="550" t="e">
        <f t="shared" si="26"/>
        <v>#VALUE!</v>
      </c>
      <c r="AD36" s="637"/>
      <c r="AE36" s="550" t="s">
        <v>623</v>
      </c>
      <c r="AF36" s="420" t="s">
        <v>623</v>
      </c>
      <c r="AG36" s="420" t="s">
        <v>623</v>
      </c>
      <c r="AH36" s="550" t="e">
        <f t="shared" si="28"/>
        <v>#VALUE!</v>
      </c>
      <c r="AI36" s="637"/>
      <c r="AJ36" s="550" t="s">
        <v>623</v>
      </c>
      <c r="AK36" s="420" t="s">
        <v>623</v>
      </c>
      <c r="AL36" s="420" t="s">
        <v>623</v>
      </c>
      <c r="AM36" s="550" t="e">
        <f t="shared" si="30"/>
        <v>#VALUE!</v>
      </c>
      <c r="AN36" s="637"/>
      <c r="AO36" s="550" t="s">
        <v>623</v>
      </c>
      <c r="AP36" s="420" t="s">
        <v>623</v>
      </c>
      <c r="AQ36" s="420" t="s">
        <v>623</v>
      </c>
      <c r="AR36" s="550" t="e">
        <f t="shared" si="32"/>
        <v>#VALUE!</v>
      </c>
      <c r="AS36" s="637"/>
      <c r="AT36" s="550" t="s">
        <v>623</v>
      </c>
      <c r="AU36" s="420" t="s">
        <v>623</v>
      </c>
      <c r="AV36" s="420" t="s">
        <v>623</v>
      </c>
      <c r="AW36" s="550" t="e">
        <f t="shared" si="34"/>
        <v>#VALUE!</v>
      </c>
      <c r="AX36" s="637"/>
      <c r="AZ36" s="402" t="e">
        <f t="shared" si="36"/>
        <v>#N/A</v>
      </c>
      <c r="BA36" s="637"/>
    </row>
    <row r="37" spans="2:53">
      <c r="B37" s="635"/>
      <c r="C37" s="415">
        <v>11</v>
      </c>
      <c r="D37" s="370"/>
      <c r="E37" s="504"/>
      <c r="F37" s="504"/>
      <c r="G37" s="504"/>
      <c r="H37" s="672"/>
      <c r="I37" s="417" t="str">
        <f t="shared" si="19"/>
        <v>-</v>
      </c>
      <c r="J37" s="417" t="str">
        <f t="shared" si="20"/>
        <v>-</v>
      </c>
      <c r="K37" s="199" t="str">
        <f t="shared" si="21"/>
        <v>-</v>
      </c>
      <c r="L37" s="609"/>
      <c r="M37" s="424" t="e">
        <f>RANK(K37, K$27:$K$41)</f>
        <v>#VALUE!</v>
      </c>
      <c r="N37" s="627"/>
      <c r="O37" s="627"/>
      <c r="P37" s="550" t="s">
        <v>623</v>
      </c>
      <c r="Q37" s="420" t="s">
        <v>623</v>
      </c>
      <c r="R37" s="420" t="s">
        <v>623</v>
      </c>
      <c r="S37" s="550" t="e">
        <f t="shared" si="22"/>
        <v>#VALUE!</v>
      </c>
      <c r="T37" s="637"/>
      <c r="U37" s="550" t="s">
        <v>623</v>
      </c>
      <c r="V37" s="420" t="s">
        <v>623</v>
      </c>
      <c r="W37" s="420" t="s">
        <v>623</v>
      </c>
      <c r="X37" s="550" t="e">
        <f t="shared" si="24"/>
        <v>#VALUE!</v>
      </c>
      <c r="Y37" s="637"/>
      <c r="Z37" s="550" t="s">
        <v>623</v>
      </c>
      <c r="AA37" s="420" t="s">
        <v>623</v>
      </c>
      <c r="AB37" s="420" t="s">
        <v>623</v>
      </c>
      <c r="AC37" s="550" t="e">
        <f t="shared" si="26"/>
        <v>#VALUE!</v>
      </c>
      <c r="AD37" s="637"/>
      <c r="AE37" s="550" t="s">
        <v>623</v>
      </c>
      <c r="AF37" s="420" t="s">
        <v>623</v>
      </c>
      <c r="AG37" s="420" t="s">
        <v>623</v>
      </c>
      <c r="AH37" s="550" t="e">
        <f t="shared" si="28"/>
        <v>#VALUE!</v>
      </c>
      <c r="AI37" s="637"/>
      <c r="AJ37" s="550" t="s">
        <v>623</v>
      </c>
      <c r="AK37" s="420" t="s">
        <v>623</v>
      </c>
      <c r="AL37" s="420" t="s">
        <v>623</v>
      </c>
      <c r="AM37" s="550" t="e">
        <f t="shared" si="30"/>
        <v>#VALUE!</v>
      </c>
      <c r="AN37" s="637"/>
      <c r="AO37" s="550" t="s">
        <v>623</v>
      </c>
      <c r="AP37" s="420" t="s">
        <v>623</v>
      </c>
      <c r="AQ37" s="420" t="s">
        <v>623</v>
      </c>
      <c r="AR37" s="550" t="e">
        <f t="shared" si="32"/>
        <v>#VALUE!</v>
      </c>
      <c r="AS37" s="637"/>
      <c r="AT37" s="550" t="s">
        <v>623</v>
      </c>
      <c r="AU37" s="420" t="s">
        <v>623</v>
      </c>
      <c r="AV37" s="420" t="s">
        <v>623</v>
      </c>
      <c r="AW37" s="550" t="e">
        <f t="shared" si="34"/>
        <v>#VALUE!</v>
      </c>
      <c r="AX37" s="637"/>
      <c r="AZ37" s="402" t="e">
        <f t="shared" si="36"/>
        <v>#N/A</v>
      </c>
      <c r="BA37" s="637"/>
    </row>
    <row r="38" spans="2:53">
      <c r="B38" s="635"/>
      <c r="C38" s="415">
        <v>12</v>
      </c>
      <c r="D38" s="370"/>
      <c r="E38" s="504"/>
      <c r="F38" s="504"/>
      <c r="G38" s="504"/>
      <c r="H38" s="672"/>
      <c r="I38" s="417" t="str">
        <f t="shared" si="19"/>
        <v>-</v>
      </c>
      <c r="J38" s="417" t="str">
        <f t="shared" si="20"/>
        <v>-</v>
      </c>
      <c r="K38" s="199" t="str">
        <f t="shared" si="21"/>
        <v>-</v>
      </c>
      <c r="L38" s="609"/>
      <c r="M38" s="424" t="e">
        <f>RANK(K38, K$27:$K$41)</f>
        <v>#VALUE!</v>
      </c>
      <c r="N38" s="627"/>
      <c r="O38" s="627"/>
      <c r="P38" s="550" t="s">
        <v>623</v>
      </c>
      <c r="Q38" s="420" t="s">
        <v>623</v>
      </c>
      <c r="R38" s="420" t="s">
        <v>623</v>
      </c>
      <c r="S38" s="550" t="e">
        <f t="shared" si="22"/>
        <v>#VALUE!</v>
      </c>
      <c r="T38" s="637"/>
      <c r="U38" s="550" t="s">
        <v>623</v>
      </c>
      <c r="V38" s="420" t="s">
        <v>623</v>
      </c>
      <c r="W38" s="420" t="s">
        <v>623</v>
      </c>
      <c r="X38" s="550" t="e">
        <f t="shared" si="24"/>
        <v>#VALUE!</v>
      </c>
      <c r="Y38" s="637"/>
      <c r="Z38" s="550" t="s">
        <v>623</v>
      </c>
      <c r="AA38" s="420" t="s">
        <v>623</v>
      </c>
      <c r="AB38" s="420" t="s">
        <v>623</v>
      </c>
      <c r="AC38" s="550" t="e">
        <f t="shared" si="26"/>
        <v>#VALUE!</v>
      </c>
      <c r="AD38" s="637"/>
      <c r="AE38" s="550" t="s">
        <v>623</v>
      </c>
      <c r="AF38" s="420" t="s">
        <v>623</v>
      </c>
      <c r="AG38" s="420" t="s">
        <v>623</v>
      </c>
      <c r="AH38" s="550" t="e">
        <f t="shared" si="28"/>
        <v>#VALUE!</v>
      </c>
      <c r="AI38" s="637"/>
      <c r="AJ38" s="550" t="s">
        <v>623</v>
      </c>
      <c r="AK38" s="420" t="s">
        <v>623</v>
      </c>
      <c r="AL38" s="420" t="s">
        <v>623</v>
      </c>
      <c r="AM38" s="550" t="e">
        <f t="shared" si="30"/>
        <v>#VALUE!</v>
      </c>
      <c r="AN38" s="637"/>
      <c r="AO38" s="550" t="s">
        <v>623</v>
      </c>
      <c r="AP38" s="420" t="s">
        <v>623</v>
      </c>
      <c r="AQ38" s="420" t="s">
        <v>623</v>
      </c>
      <c r="AR38" s="550" t="e">
        <f t="shared" si="32"/>
        <v>#VALUE!</v>
      </c>
      <c r="AS38" s="637"/>
      <c r="AT38" s="550" t="s">
        <v>623</v>
      </c>
      <c r="AU38" s="420" t="s">
        <v>623</v>
      </c>
      <c r="AV38" s="420" t="s">
        <v>623</v>
      </c>
      <c r="AW38" s="550" t="e">
        <f t="shared" si="34"/>
        <v>#VALUE!</v>
      </c>
      <c r="AX38" s="637"/>
      <c r="AZ38" s="402" t="e">
        <f t="shared" si="36"/>
        <v>#N/A</v>
      </c>
      <c r="BA38" s="637"/>
    </row>
    <row r="39" spans="2:53">
      <c r="B39" s="635"/>
      <c r="C39" s="415">
        <v>13</v>
      </c>
      <c r="D39" s="370"/>
      <c r="E39" s="504"/>
      <c r="F39" s="504"/>
      <c r="G39" s="504"/>
      <c r="H39" s="672"/>
      <c r="I39" s="417" t="str">
        <f t="shared" si="19"/>
        <v>-</v>
      </c>
      <c r="J39" s="417" t="str">
        <f t="shared" si="20"/>
        <v>-</v>
      </c>
      <c r="K39" s="199" t="str">
        <f t="shared" si="21"/>
        <v>-</v>
      </c>
      <c r="L39" s="609"/>
      <c r="M39" s="424" t="e">
        <f>RANK(K39, K$27:$K$41)</f>
        <v>#VALUE!</v>
      </c>
      <c r="N39" s="627"/>
      <c r="O39" s="627"/>
      <c r="P39" s="550" t="s">
        <v>623</v>
      </c>
      <c r="Q39" s="420" t="s">
        <v>623</v>
      </c>
      <c r="R39" s="420" t="s">
        <v>623</v>
      </c>
      <c r="S39" s="550" t="e">
        <f t="shared" si="22"/>
        <v>#VALUE!</v>
      </c>
      <c r="T39" s="637"/>
      <c r="U39" s="550" t="s">
        <v>623</v>
      </c>
      <c r="V39" s="420" t="s">
        <v>623</v>
      </c>
      <c r="W39" s="420" t="s">
        <v>623</v>
      </c>
      <c r="X39" s="550" t="e">
        <f t="shared" si="24"/>
        <v>#VALUE!</v>
      </c>
      <c r="Y39" s="637"/>
      <c r="Z39" s="550" t="s">
        <v>623</v>
      </c>
      <c r="AA39" s="420" t="s">
        <v>623</v>
      </c>
      <c r="AB39" s="420" t="s">
        <v>623</v>
      </c>
      <c r="AC39" s="550" t="e">
        <f t="shared" si="26"/>
        <v>#VALUE!</v>
      </c>
      <c r="AD39" s="637"/>
      <c r="AE39" s="550" t="s">
        <v>623</v>
      </c>
      <c r="AF39" s="420" t="s">
        <v>623</v>
      </c>
      <c r="AG39" s="420" t="s">
        <v>623</v>
      </c>
      <c r="AH39" s="550" t="e">
        <f t="shared" si="28"/>
        <v>#VALUE!</v>
      </c>
      <c r="AI39" s="637"/>
      <c r="AJ39" s="550" t="s">
        <v>623</v>
      </c>
      <c r="AK39" s="420" t="s">
        <v>623</v>
      </c>
      <c r="AL39" s="420" t="s">
        <v>623</v>
      </c>
      <c r="AM39" s="550" t="e">
        <f t="shared" si="30"/>
        <v>#VALUE!</v>
      </c>
      <c r="AN39" s="637"/>
      <c r="AO39" s="550" t="s">
        <v>623</v>
      </c>
      <c r="AP39" s="420" t="s">
        <v>623</v>
      </c>
      <c r="AQ39" s="420" t="s">
        <v>623</v>
      </c>
      <c r="AR39" s="550" t="e">
        <f t="shared" si="32"/>
        <v>#VALUE!</v>
      </c>
      <c r="AS39" s="637"/>
      <c r="AT39" s="550" t="s">
        <v>623</v>
      </c>
      <c r="AU39" s="420" t="s">
        <v>623</v>
      </c>
      <c r="AV39" s="420" t="s">
        <v>623</v>
      </c>
      <c r="AW39" s="550" t="e">
        <f t="shared" si="34"/>
        <v>#VALUE!</v>
      </c>
      <c r="AX39" s="637"/>
      <c r="AZ39" s="402" t="e">
        <f t="shared" si="36"/>
        <v>#N/A</v>
      </c>
      <c r="BA39" s="637"/>
    </row>
    <row r="40" spans="2:53">
      <c r="B40" s="635"/>
      <c r="C40" s="415">
        <v>14</v>
      </c>
      <c r="D40" s="370"/>
      <c r="E40" s="504"/>
      <c r="F40" s="504"/>
      <c r="G40" s="504"/>
      <c r="H40" s="672"/>
      <c r="I40" s="417" t="str">
        <f t="shared" si="19"/>
        <v>-</v>
      </c>
      <c r="J40" s="417" t="str">
        <f t="shared" si="20"/>
        <v>-</v>
      </c>
      <c r="K40" s="199" t="str">
        <f t="shared" si="21"/>
        <v>-</v>
      </c>
      <c r="L40" s="609"/>
      <c r="M40" s="424" t="e">
        <f>RANK(K40, K$27:$K$41)</f>
        <v>#VALUE!</v>
      </c>
      <c r="N40" s="627"/>
      <c r="O40" s="627"/>
      <c r="P40" s="550" t="s">
        <v>623</v>
      </c>
      <c r="Q40" s="420" t="s">
        <v>623</v>
      </c>
      <c r="R40" s="420" t="s">
        <v>623</v>
      </c>
      <c r="S40" s="550" t="e">
        <f t="shared" si="22"/>
        <v>#VALUE!</v>
      </c>
      <c r="T40" s="637"/>
      <c r="U40" s="550" t="s">
        <v>623</v>
      </c>
      <c r="V40" s="420" t="s">
        <v>623</v>
      </c>
      <c r="W40" s="420" t="s">
        <v>623</v>
      </c>
      <c r="X40" s="550" t="e">
        <f t="shared" si="24"/>
        <v>#VALUE!</v>
      </c>
      <c r="Y40" s="637"/>
      <c r="Z40" s="550" t="s">
        <v>623</v>
      </c>
      <c r="AA40" s="420" t="s">
        <v>623</v>
      </c>
      <c r="AB40" s="420" t="s">
        <v>623</v>
      </c>
      <c r="AC40" s="550" t="e">
        <f t="shared" si="26"/>
        <v>#VALUE!</v>
      </c>
      <c r="AD40" s="637"/>
      <c r="AE40" s="550" t="s">
        <v>623</v>
      </c>
      <c r="AF40" s="420" t="s">
        <v>623</v>
      </c>
      <c r="AG40" s="420" t="s">
        <v>623</v>
      </c>
      <c r="AH40" s="550" t="e">
        <f t="shared" si="28"/>
        <v>#VALUE!</v>
      </c>
      <c r="AI40" s="637"/>
      <c r="AJ40" s="550" t="s">
        <v>623</v>
      </c>
      <c r="AK40" s="420" t="s">
        <v>623</v>
      </c>
      <c r="AL40" s="420" t="s">
        <v>623</v>
      </c>
      <c r="AM40" s="550" t="e">
        <f t="shared" si="30"/>
        <v>#VALUE!</v>
      </c>
      <c r="AN40" s="637"/>
      <c r="AO40" s="550" t="s">
        <v>623</v>
      </c>
      <c r="AP40" s="420" t="s">
        <v>623</v>
      </c>
      <c r="AQ40" s="420" t="s">
        <v>623</v>
      </c>
      <c r="AR40" s="550" t="e">
        <f t="shared" si="32"/>
        <v>#VALUE!</v>
      </c>
      <c r="AS40" s="637"/>
      <c r="AT40" s="550" t="s">
        <v>623</v>
      </c>
      <c r="AU40" s="420" t="s">
        <v>623</v>
      </c>
      <c r="AV40" s="420" t="s">
        <v>623</v>
      </c>
      <c r="AW40" s="550" t="e">
        <f t="shared" si="34"/>
        <v>#VALUE!</v>
      </c>
      <c r="AX40" s="637"/>
      <c r="AZ40" s="402" t="e">
        <f t="shared" si="36"/>
        <v>#N/A</v>
      </c>
      <c r="BA40" s="637"/>
    </row>
    <row r="41" spans="2:53">
      <c r="B41" s="635"/>
      <c r="C41" s="415">
        <v>15</v>
      </c>
      <c r="D41" s="370"/>
      <c r="E41" s="504"/>
      <c r="F41" s="504"/>
      <c r="G41" s="504"/>
      <c r="H41" s="676"/>
      <c r="I41" s="421"/>
      <c r="J41" s="421"/>
      <c r="K41" s="418"/>
      <c r="L41" s="610"/>
      <c r="M41" s="424" t="e">
        <f>RANK(K41, K$27:$K$41)</f>
        <v>#N/A</v>
      </c>
      <c r="N41" s="627"/>
      <c r="O41" s="627"/>
      <c r="P41" s="550" t="s">
        <v>623</v>
      </c>
      <c r="Q41" s="420" t="s">
        <v>623</v>
      </c>
      <c r="R41" s="420" t="s">
        <v>623</v>
      </c>
      <c r="S41" s="550" t="e">
        <f t="shared" si="22"/>
        <v>#VALUE!</v>
      </c>
      <c r="T41" s="638"/>
      <c r="U41" s="550" t="s">
        <v>623</v>
      </c>
      <c r="V41" s="420" t="s">
        <v>623</v>
      </c>
      <c r="W41" s="420" t="s">
        <v>623</v>
      </c>
      <c r="X41" s="550" t="e">
        <f t="shared" si="24"/>
        <v>#VALUE!</v>
      </c>
      <c r="Y41" s="638"/>
      <c r="Z41" s="550" t="s">
        <v>623</v>
      </c>
      <c r="AA41" s="420" t="s">
        <v>623</v>
      </c>
      <c r="AB41" s="420" t="s">
        <v>623</v>
      </c>
      <c r="AC41" s="550" t="e">
        <f t="shared" si="26"/>
        <v>#VALUE!</v>
      </c>
      <c r="AD41" s="638"/>
      <c r="AE41" s="550" t="s">
        <v>623</v>
      </c>
      <c r="AF41" s="420" t="s">
        <v>623</v>
      </c>
      <c r="AG41" s="420" t="s">
        <v>623</v>
      </c>
      <c r="AH41" s="550" t="e">
        <f t="shared" si="28"/>
        <v>#VALUE!</v>
      </c>
      <c r="AI41" s="638"/>
      <c r="AJ41" s="550" t="s">
        <v>623</v>
      </c>
      <c r="AK41" s="420" t="s">
        <v>623</v>
      </c>
      <c r="AL41" s="420" t="s">
        <v>623</v>
      </c>
      <c r="AM41" s="550" t="e">
        <f t="shared" si="30"/>
        <v>#VALUE!</v>
      </c>
      <c r="AN41" s="638"/>
      <c r="AO41" s="550" t="s">
        <v>623</v>
      </c>
      <c r="AP41" s="420" t="s">
        <v>623</v>
      </c>
      <c r="AQ41" s="420" t="s">
        <v>623</v>
      </c>
      <c r="AR41" s="550" t="e">
        <f t="shared" si="32"/>
        <v>#VALUE!</v>
      </c>
      <c r="AS41" s="638"/>
      <c r="AT41" s="550" t="s">
        <v>623</v>
      </c>
      <c r="AU41" s="420" t="s">
        <v>623</v>
      </c>
      <c r="AV41" s="420" t="s">
        <v>623</v>
      </c>
      <c r="AW41" s="550" t="e">
        <f t="shared" si="34"/>
        <v>#VALUE!</v>
      </c>
      <c r="AX41" s="638"/>
      <c r="AZ41" s="402" t="e">
        <f t="shared" si="36"/>
        <v>#N/A</v>
      </c>
      <c r="BA41" s="638"/>
    </row>
    <row r="42" spans="2:53" ht="15.75">
      <c r="B42" s="653" t="s">
        <v>163</v>
      </c>
      <c r="C42" s="654"/>
      <c r="D42" s="654"/>
      <c r="E42" s="654"/>
      <c r="F42" s="654"/>
      <c r="G42" s="654"/>
      <c r="H42" s="654"/>
      <c r="I42" s="207"/>
      <c r="J42" s="202"/>
      <c r="K42" s="207"/>
      <c r="L42" s="207"/>
      <c r="M42" s="203"/>
      <c r="N42" s="628" t="s">
        <v>156</v>
      </c>
      <c r="O42" s="628" t="s">
        <v>105</v>
      </c>
      <c r="P42" s="634">
        <f>P22+7</f>
        <v>46182</v>
      </c>
      <c r="Q42" s="635"/>
      <c r="R42" s="635"/>
      <c r="S42" s="635"/>
      <c r="T42" s="635"/>
      <c r="U42" s="631">
        <f>P42+1</f>
        <v>46183</v>
      </c>
      <c r="V42" s="632"/>
      <c r="W42" s="632"/>
      <c r="X42" s="632"/>
      <c r="Y42" s="633"/>
      <c r="Z42" s="631">
        <f>U42+1</f>
        <v>46184</v>
      </c>
      <c r="AA42" s="632"/>
      <c r="AB42" s="632"/>
      <c r="AC42" s="632"/>
      <c r="AD42" s="633"/>
      <c r="AE42" s="631">
        <f>Z42+1</f>
        <v>46185</v>
      </c>
      <c r="AF42" s="632"/>
      <c r="AG42" s="632"/>
      <c r="AH42" s="632"/>
      <c r="AI42" s="633"/>
      <c r="AJ42" s="631">
        <f>AE42+1</f>
        <v>46186</v>
      </c>
      <c r="AK42" s="632"/>
      <c r="AL42" s="632"/>
      <c r="AM42" s="632"/>
      <c r="AN42" s="633"/>
      <c r="AO42" s="631">
        <f>AJ42+1</f>
        <v>46187</v>
      </c>
      <c r="AP42" s="632"/>
      <c r="AQ42" s="632"/>
      <c r="AR42" s="632"/>
      <c r="AS42" s="633"/>
      <c r="AT42" s="631">
        <f>AO42+1</f>
        <v>46188</v>
      </c>
      <c r="AU42" s="632"/>
      <c r="AV42" s="632"/>
      <c r="AW42" s="632"/>
      <c r="AX42" s="633"/>
    </row>
    <row r="43" spans="2:53" ht="15.75">
      <c r="B43" s="642"/>
      <c r="C43" s="642"/>
      <c r="D43" s="642"/>
      <c r="E43" s="642"/>
      <c r="F43" s="642"/>
      <c r="G43" s="642"/>
      <c r="H43" s="642"/>
      <c r="I43" s="204"/>
      <c r="J43" s="204"/>
      <c r="K43" s="204"/>
      <c r="L43" s="204"/>
      <c r="M43" s="205"/>
      <c r="N43" s="630"/>
      <c r="O43" s="630"/>
      <c r="P43" s="634" t="s">
        <v>318</v>
      </c>
      <c r="Q43" s="635"/>
      <c r="R43" s="635"/>
      <c r="S43" s="635"/>
      <c r="T43" s="635"/>
      <c r="U43" s="634" t="s">
        <v>319</v>
      </c>
      <c r="V43" s="635"/>
      <c r="W43" s="635"/>
      <c r="X43" s="635"/>
      <c r="Y43" s="635"/>
      <c r="Z43" s="634" t="s">
        <v>320</v>
      </c>
      <c r="AA43" s="635"/>
      <c r="AB43" s="635"/>
      <c r="AC43" s="635"/>
      <c r="AD43" s="635"/>
      <c r="AE43" s="634" t="s">
        <v>321</v>
      </c>
      <c r="AF43" s="635"/>
      <c r="AG43" s="635"/>
      <c r="AH43" s="635"/>
      <c r="AI43" s="635"/>
      <c r="AJ43" s="634" t="s">
        <v>322</v>
      </c>
      <c r="AK43" s="635"/>
      <c r="AL43" s="635"/>
      <c r="AM43" s="635"/>
      <c r="AN43" s="635"/>
      <c r="AO43" s="634" t="s">
        <v>323</v>
      </c>
      <c r="AP43" s="635"/>
      <c r="AQ43" s="635"/>
      <c r="AR43" s="635"/>
      <c r="AS43" s="635"/>
      <c r="AT43" s="634" t="s">
        <v>324</v>
      </c>
      <c r="AU43" s="635"/>
      <c r="AV43" s="635"/>
      <c r="AW43" s="635"/>
      <c r="AX43" s="635"/>
    </row>
    <row r="44" spans="2:53">
      <c r="B44" s="627" t="s">
        <v>374</v>
      </c>
      <c r="C44" s="627" t="s">
        <v>384</v>
      </c>
      <c r="D44" s="627"/>
      <c r="E44" s="627" t="s">
        <v>375</v>
      </c>
      <c r="F44" s="627"/>
      <c r="G44" s="627"/>
      <c r="H44" s="643" t="s">
        <v>371</v>
      </c>
      <c r="I44" s="627" t="s">
        <v>376</v>
      </c>
      <c r="J44" s="627"/>
      <c r="K44" s="627"/>
      <c r="L44" s="643" t="s">
        <v>371</v>
      </c>
      <c r="M44" s="628" t="s">
        <v>372</v>
      </c>
      <c r="N44" s="627"/>
      <c r="O44" s="627" t="s">
        <v>377</v>
      </c>
      <c r="P44" s="624" t="s">
        <v>373</v>
      </c>
      <c r="Q44" s="625"/>
      <c r="R44" s="625"/>
      <c r="S44" s="626"/>
      <c r="T44" s="627" t="s">
        <v>371</v>
      </c>
      <c r="U44" s="624" t="s">
        <v>373</v>
      </c>
      <c r="V44" s="625"/>
      <c r="W44" s="625"/>
      <c r="X44" s="626"/>
      <c r="Y44" s="627" t="s">
        <v>371</v>
      </c>
      <c r="Z44" s="624" t="s">
        <v>373</v>
      </c>
      <c r="AA44" s="625"/>
      <c r="AB44" s="625"/>
      <c r="AC44" s="626"/>
      <c r="AD44" s="627" t="s">
        <v>371</v>
      </c>
      <c r="AE44" s="624" t="s">
        <v>373</v>
      </c>
      <c r="AF44" s="625"/>
      <c r="AG44" s="625"/>
      <c r="AH44" s="626"/>
      <c r="AI44" s="627" t="s">
        <v>371</v>
      </c>
      <c r="AJ44" s="624" t="s">
        <v>373</v>
      </c>
      <c r="AK44" s="625"/>
      <c r="AL44" s="625"/>
      <c r="AM44" s="626"/>
      <c r="AN44" s="627" t="s">
        <v>371</v>
      </c>
      <c r="AO44" s="624" t="s">
        <v>373</v>
      </c>
      <c r="AP44" s="625"/>
      <c r="AQ44" s="625"/>
      <c r="AR44" s="626"/>
      <c r="AS44" s="627" t="s">
        <v>371</v>
      </c>
      <c r="AT44" s="624" t="s">
        <v>373</v>
      </c>
      <c r="AU44" s="625"/>
      <c r="AV44" s="625"/>
      <c r="AW44" s="626"/>
      <c r="AX44" s="627" t="s">
        <v>371</v>
      </c>
      <c r="BA44" s="627" t="s">
        <v>371</v>
      </c>
    </row>
    <row r="45" spans="2:53">
      <c r="B45" s="627"/>
      <c r="C45" s="627"/>
      <c r="D45" s="627"/>
      <c r="E45" s="627" t="s">
        <v>378</v>
      </c>
      <c r="F45" s="627"/>
      <c r="G45" s="627"/>
      <c r="H45" s="644"/>
      <c r="I45" s="627" t="s">
        <v>378</v>
      </c>
      <c r="J45" s="627"/>
      <c r="K45" s="627"/>
      <c r="L45" s="644"/>
      <c r="M45" s="629"/>
      <c r="N45" s="627"/>
      <c r="O45" s="627"/>
      <c r="P45" s="624" t="s">
        <v>379</v>
      </c>
      <c r="Q45" s="625"/>
      <c r="R45" s="625"/>
      <c r="S45" s="626"/>
      <c r="T45" s="627"/>
      <c r="U45" s="624" t="s">
        <v>379</v>
      </c>
      <c r="V45" s="625"/>
      <c r="W45" s="625"/>
      <c r="X45" s="626"/>
      <c r="Y45" s="627"/>
      <c r="Z45" s="624" t="s">
        <v>379</v>
      </c>
      <c r="AA45" s="625"/>
      <c r="AB45" s="625"/>
      <c r="AC45" s="626"/>
      <c r="AD45" s="627"/>
      <c r="AE45" s="624" t="s">
        <v>379</v>
      </c>
      <c r="AF45" s="625"/>
      <c r="AG45" s="625"/>
      <c r="AH45" s="626"/>
      <c r="AI45" s="627"/>
      <c r="AJ45" s="624" t="s">
        <v>379</v>
      </c>
      <c r="AK45" s="625"/>
      <c r="AL45" s="625"/>
      <c r="AM45" s="626"/>
      <c r="AN45" s="627"/>
      <c r="AO45" s="624" t="s">
        <v>379</v>
      </c>
      <c r="AP45" s="625"/>
      <c r="AQ45" s="625"/>
      <c r="AR45" s="626"/>
      <c r="AS45" s="627"/>
      <c r="AT45" s="624" t="s">
        <v>379</v>
      </c>
      <c r="AU45" s="625"/>
      <c r="AV45" s="625"/>
      <c r="AW45" s="626"/>
      <c r="AX45" s="627"/>
      <c r="BA45" s="627"/>
    </row>
    <row r="46" spans="2:53">
      <c r="B46" s="627"/>
      <c r="C46" s="627"/>
      <c r="D46" s="627"/>
      <c r="E46" s="412" t="s">
        <v>380</v>
      </c>
      <c r="F46" s="412" t="s">
        <v>381</v>
      </c>
      <c r="G46" s="412" t="s">
        <v>382</v>
      </c>
      <c r="H46" s="645"/>
      <c r="I46" s="412" t="s">
        <v>380</v>
      </c>
      <c r="J46" s="412" t="s">
        <v>381</v>
      </c>
      <c r="K46" s="412" t="s">
        <v>382</v>
      </c>
      <c r="L46" s="645"/>
      <c r="M46" s="630"/>
      <c r="N46" s="627"/>
      <c r="O46" s="627"/>
      <c r="P46" s="412" t="s">
        <v>380</v>
      </c>
      <c r="Q46" s="412" t="s">
        <v>381</v>
      </c>
      <c r="R46" s="412" t="s">
        <v>382</v>
      </c>
      <c r="S46" s="412" t="s">
        <v>372</v>
      </c>
      <c r="T46" s="627"/>
      <c r="U46" s="412" t="s">
        <v>380</v>
      </c>
      <c r="V46" s="412" t="s">
        <v>381</v>
      </c>
      <c r="W46" s="412" t="s">
        <v>382</v>
      </c>
      <c r="X46" s="412" t="s">
        <v>372</v>
      </c>
      <c r="Y46" s="627"/>
      <c r="Z46" s="412" t="s">
        <v>380</v>
      </c>
      <c r="AA46" s="412" t="s">
        <v>381</v>
      </c>
      <c r="AB46" s="412" t="s">
        <v>382</v>
      </c>
      <c r="AC46" s="412" t="s">
        <v>372</v>
      </c>
      <c r="AD46" s="627"/>
      <c r="AE46" s="412" t="s">
        <v>380</v>
      </c>
      <c r="AF46" s="412" t="s">
        <v>381</v>
      </c>
      <c r="AG46" s="412" t="s">
        <v>382</v>
      </c>
      <c r="AH46" s="412" t="s">
        <v>372</v>
      </c>
      <c r="AI46" s="627"/>
      <c r="AJ46" s="412" t="s">
        <v>380</v>
      </c>
      <c r="AK46" s="412" t="s">
        <v>381</v>
      </c>
      <c r="AL46" s="412" t="s">
        <v>382</v>
      </c>
      <c r="AM46" s="412" t="s">
        <v>372</v>
      </c>
      <c r="AN46" s="627"/>
      <c r="AO46" s="412" t="s">
        <v>380</v>
      </c>
      <c r="AP46" s="412" t="s">
        <v>381</v>
      </c>
      <c r="AQ46" s="412" t="s">
        <v>382</v>
      </c>
      <c r="AR46" s="412" t="s">
        <v>372</v>
      </c>
      <c r="AS46" s="627"/>
      <c r="AT46" s="412" t="s">
        <v>380</v>
      </c>
      <c r="AU46" s="412" t="s">
        <v>381</v>
      </c>
      <c r="AV46" s="412" t="s">
        <v>382</v>
      </c>
      <c r="AW46" s="412" t="s">
        <v>372</v>
      </c>
      <c r="AX46" s="627"/>
      <c r="AZ46" s="401" t="s">
        <v>586</v>
      </c>
      <c r="BA46" s="627"/>
    </row>
    <row r="47" spans="2:53">
      <c r="B47" s="675" t="s">
        <v>383</v>
      </c>
      <c r="C47" s="415">
        <v>1</v>
      </c>
      <c r="D47" s="370"/>
      <c r="E47" s="504"/>
      <c r="F47" s="504"/>
      <c r="G47" s="504"/>
      <c r="H47" s="671" t="e">
        <f>AVERAGE(G47:G61)</f>
        <v>#DIV/0!</v>
      </c>
      <c r="I47" s="417" t="str">
        <f t="shared" ref="I47:I60" si="38">IFERROR(AVERAGE(P47,U47,Z47,AE47,AJ47,AO47,AT47),"-")</f>
        <v>-</v>
      </c>
      <c r="J47" s="417" t="str">
        <f t="shared" ref="J47:J60" si="39">IFERROR(AVERAGE(Q47,V47,AA47,AF47,AK47,AP47,AU47),"-")</f>
        <v>-</v>
      </c>
      <c r="K47" s="199" t="str">
        <f t="shared" ref="K47:K60" si="40">IFERROR(AVERAGE(R47,W47,AB47,AG47,AL47,AQ47,AV47),"-")</f>
        <v>-</v>
      </c>
      <c r="L47" s="608" t="str">
        <f>IFERROR(AVERAGE(K47:K61),"-")</f>
        <v>-</v>
      </c>
      <c r="M47" s="486" t="e">
        <f>RANK(K47, K$47:$K$61)</f>
        <v>#VALUE!</v>
      </c>
      <c r="N47" s="627"/>
      <c r="O47" s="627"/>
      <c r="P47" s="483"/>
      <c r="Q47" s="420"/>
      <c r="R47" s="420"/>
      <c r="S47" s="483"/>
      <c r="T47" s="636"/>
      <c r="U47" s="483"/>
      <c r="V47" s="420"/>
      <c r="W47" s="420"/>
      <c r="X47" s="483"/>
      <c r="Y47" s="636"/>
      <c r="Z47" s="483"/>
      <c r="AA47" s="420"/>
      <c r="AB47" s="420"/>
      <c r="AC47" s="483"/>
      <c r="AD47" s="636"/>
      <c r="AE47" s="483"/>
      <c r="AF47" s="420"/>
      <c r="AG47" s="420"/>
      <c r="AH47" s="483"/>
      <c r="AI47" s="636"/>
      <c r="AJ47" s="483"/>
      <c r="AK47" s="420"/>
      <c r="AL47" s="420"/>
      <c r="AM47" s="483"/>
      <c r="AN47" s="636"/>
      <c r="AO47" s="483"/>
      <c r="AP47" s="420"/>
      <c r="AQ47" s="420"/>
      <c r="AR47" s="483"/>
      <c r="AS47" s="636"/>
      <c r="AT47" s="636"/>
      <c r="AU47" s="420"/>
      <c r="AV47" s="420"/>
      <c r="AW47" s="483"/>
      <c r="AX47" s="636"/>
      <c r="AZ47" s="402" t="e">
        <f t="shared" ref="AZ47:AZ61" si="41">RANK(AY47, AY$47:AY$61)</f>
        <v>#N/A</v>
      </c>
      <c r="BA47" s="636" t="e">
        <f t="shared" ref="BA47" si="42">AVERAGE(AY47:AY61)</f>
        <v>#DIV/0!</v>
      </c>
    </row>
    <row r="48" spans="2:53">
      <c r="B48" s="635"/>
      <c r="C48" s="415">
        <v>2</v>
      </c>
      <c r="D48" s="370"/>
      <c r="E48" s="504"/>
      <c r="F48" s="504"/>
      <c r="G48" s="504"/>
      <c r="H48" s="672"/>
      <c r="I48" s="417" t="str">
        <f t="shared" si="38"/>
        <v>-</v>
      </c>
      <c r="J48" s="417" t="str">
        <f t="shared" si="39"/>
        <v>-</v>
      </c>
      <c r="K48" s="199" t="str">
        <f t="shared" si="40"/>
        <v>-</v>
      </c>
      <c r="L48" s="609"/>
      <c r="M48" s="486" t="e">
        <f>RANK(K48, K$47:$K$61)</f>
        <v>#VALUE!</v>
      </c>
      <c r="N48" s="627"/>
      <c r="O48" s="627"/>
      <c r="P48" s="483"/>
      <c r="Q48" s="420"/>
      <c r="R48" s="420"/>
      <c r="S48" s="483"/>
      <c r="T48" s="637"/>
      <c r="U48" s="483"/>
      <c r="V48" s="420"/>
      <c r="W48" s="420"/>
      <c r="X48" s="483"/>
      <c r="Y48" s="637"/>
      <c r="Z48" s="483"/>
      <c r="AA48" s="420"/>
      <c r="AB48" s="420"/>
      <c r="AC48" s="483"/>
      <c r="AD48" s="637"/>
      <c r="AE48" s="483"/>
      <c r="AF48" s="420"/>
      <c r="AG48" s="420"/>
      <c r="AH48" s="483"/>
      <c r="AI48" s="637"/>
      <c r="AJ48" s="483"/>
      <c r="AK48" s="420"/>
      <c r="AL48" s="420"/>
      <c r="AM48" s="483"/>
      <c r="AN48" s="637"/>
      <c r="AO48" s="483"/>
      <c r="AP48" s="420"/>
      <c r="AQ48" s="420"/>
      <c r="AR48" s="483"/>
      <c r="AS48" s="637"/>
      <c r="AT48" s="637"/>
      <c r="AU48" s="420"/>
      <c r="AV48" s="420"/>
      <c r="AW48" s="483"/>
      <c r="AX48" s="637"/>
      <c r="AZ48" s="402" t="e">
        <f t="shared" si="41"/>
        <v>#N/A</v>
      </c>
      <c r="BA48" s="637"/>
    </row>
    <row r="49" spans="2:53">
      <c r="B49" s="635"/>
      <c r="C49" s="415">
        <v>3</v>
      </c>
      <c r="D49" s="370"/>
      <c r="E49" s="504"/>
      <c r="F49" s="504"/>
      <c r="G49" s="504"/>
      <c r="H49" s="672"/>
      <c r="I49" s="417" t="str">
        <f t="shared" si="38"/>
        <v>-</v>
      </c>
      <c r="J49" s="417" t="str">
        <f t="shared" si="39"/>
        <v>-</v>
      </c>
      <c r="K49" s="199" t="str">
        <f t="shared" si="40"/>
        <v>-</v>
      </c>
      <c r="L49" s="609"/>
      <c r="M49" s="486" t="e">
        <f>RANK(K49, K$47:$K$61)</f>
        <v>#VALUE!</v>
      </c>
      <c r="N49" s="627"/>
      <c r="O49" s="627"/>
      <c r="P49" s="483"/>
      <c r="Q49" s="420"/>
      <c r="R49" s="420"/>
      <c r="S49" s="483"/>
      <c r="T49" s="637"/>
      <c r="U49" s="483"/>
      <c r="V49" s="420"/>
      <c r="W49" s="420"/>
      <c r="X49" s="483"/>
      <c r="Y49" s="637"/>
      <c r="Z49" s="483"/>
      <c r="AA49" s="420"/>
      <c r="AB49" s="420"/>
      <c r="AC49" s="483"/>
      <c r="AD49" s="637"/>
      <c r="AE49" s="483"/>
      <c r="AF49" s="420"/>
      <c r="AG49" s="420"/>
      <c r="AH49" s="483"/>
      <c r="AI49" s="637"/>
      <c r="AJ49" s="483"/>
      <c r="AK49" s="420"/>
      <c r="AL49" s="420"/>
      <c r="AM49" s="483"/>
      <c r="AN49" s="637"/>
      <c r="AO49" s="483"/>
      <c r="AP49" s="420"/>
      <c r="AQ49" s="420"/>
      <c r="AR49" s="483"/>
      <c r="AS49" s="637"/>
      <c r="AT49" s="637"/>
      <c r="AU49" s="420"/>
      <c r="AV49" s="420"/>
      <c r="AW49" s="483"/>
      <c r="AX49" s="637"/>
      <c r="AZ49" s="402" t="e">
        <f t="shared" si="41"/>
        <v>#N/A</v>
      </c>
      <c r="BA49" s="637"/>
    </row>
    <row r="50" spans="2:53">
      <c r="B50" s="635"/>
      <c r="C50" s="415">
        <v>4</v>
      </c>
      <c r="D50" s="370"/>
      <c r="E50" s="504"/>
      <c r="F50" s="504"/>
      <c r="G50" s="504"/>
      <c r="H50" s="672"/>
      <c r="I50" s="417" t="str">
        <f t="shared" si="38"/>
        <v>-</v>
      </c>
      <c r="J50" s="417" t="str">
        <f t="shared" si="39"/>
        <v>-</v>
      </c>
      <c r="K50" s="199" t="str">
        <f t="shared" si="40"/>
        <v>-</v>
      </c>
      <c r="L50" s="609"/>
      <c r="M50" s="486" t="e">
        <f>RANK(K50, K$47:$K$61)</f>
        <v>#VALUE!</v>
      </c>
      <c r="N50" s="627"/>
      <c r="O50" s="627"/>
      <c r="P50" s="483"/>
      <c r="Q50" s="420"/>
      <c r="R50" s="420"/>
      <c r="S50" s="483"/>
      <c r="T50" s="637"/>
      <c r="U50" s="483"/>
      <c r="V50" s="420"/>
      <c r="W50" s="420"/>
      <c r="X50" s="483"/>
      <c r="Y50" s="637"/>
      <c r="Z50" s="483"/>
      <c r="AA50" s="420"/>
      <c r="AB50" s="420"/>
      <c r="AC50" s="483"/>
      <c r="AD50" s="637"/>
      <c r="AE50" s="483"/>
      <c r="AF50" s="420"/>
      <c r="AG50" s="420"/>
      <c r="AH50" s="483"/>
      <c r="AI50" s="637"/>
      <c r="AJ50" s="483"/>
      <c r="AK50" s="420"/>
      <c r="AL50" s="420"/>
      <c r="AM50" s="483"/>
      <c r="AN50" s="637"/>
      <c r="AO50" s="483"/>
      <c r="AP50" s="420"/>
      <c r="AQ50" s="420"/>
      <c r="AR50" s="483"/>
      <c r="AS50" s="637"/>
      <c r="AT50" s="637"/>
      <c r="AU50" s="420"/>
      <c r="AV50" s="420"/>
      <c r="AW50" s="483"/>
      <c r="AX50" s="637"/>
      <c r="AZ50" s="402" t="e">
        <f t="shared" si="41"/>
        <v>#N/A</v>
      </c>
      <c r="BA50" s="637"/>
    </row>
    <row r="51" spans="2:53">
      <c r="B51" s="635"/>
      <c r="C51" s="415">
        <v>5</v>
      </c>
      <c r="D51" s="370"/>
      <c r="E51" s="504"/>
      <c r="F51" s="504"/>
      <c r="G51" s="504"/>
      <c r="H51" s="672"/>
      <c r="I51" s="417" t="str">
        <f t="shared" si="38"/>
        <v>-</v>
      </c>
      <c r="J51" s="417" t="str">
        <f t="shared" si="39"/>
        <v>-</v>
      </c>
      <c r="K51" s="199" t="str">
        <f t="shared" si="40"/>
        <v>-</v>
      </c>
      <c r="L51" s="609"/>
      <c r="M51" s="486" t="e">
        <f>RANK(K51, K$47:$K$61)</f>
        <v>#VALUE!</v>
      </c>
      <c r="N51" s="627"/>
      <c r="O51" s="627"/>
      <c r="P51" s="483"/>
      <c r="Q51" s="420"/>
      <c r="R51" s="420"/>
      <c r="S51" s="483"/>
      <c r="T51" s="637"/>
      <c r="U51" s="483"/>
      <c r="V51" s="420"/>
      <c r="W51" s="420"/>
      <c r="X51" s="483"/>
      <c r="Y51" s="637"/>
      <c r="Z51" s="483"/>
      <c r="AA51" s="420"/>
      <c r="AB51" s="420"/>
      <c r="AC51" s="483"/>
      <c r="AD51" s="637"/>
      <c r="AE51" s="483"/>
      <c r="AF51" s="420"/>
      <c r="AG51" s="420"/>
      <c r="AH51" s="483"/>
      <c r="AI51" s="637"/>
      <c r="AJ51" s="483"/>
      <c r="AK51" s="420"/>
      <c r="AL51" s="420"/>
      <c r="AM51" s="483"/>
      <c r="AN51" s="637"/>
      <c r="AO51" s="483"/>
      <c r="AP51" s="420"/>
      <c r="AQ51" s="420"/>
      <c r="AR51" s="483"/>
      <c r="AS51" s="637"/>
      <c r="AT51" s="637"/>
      <c r="AU51" s="420"/>
      <c r="AV51" s="420"/>
      <c r="AW51" s="483"/>
      <c r="AX51" s="637"/>
      <c r="AZ51" s="402" t="e">
        <f t="shared" si="41"/>
        <v>#N/A</v>
      </c>
      <c r="BA51" s="637"/>
    </row>
    <row r="52" spans="2:53">
      <c r="B52" s="635"/>
      <c r="C52" s="415">
        <v>6</v>
      </c>
      <c r="D52" s="370"/>
      <c r="E52" s="504"/>
      <c r="F52" s="504"/>
      <c r="G52" s="504"/>
      <c r="H52" s="672"/>
      <c r="I52" s="417" t="str">
        <f t="shared" si="38"/>
        <v>-</v>
      </c>
      <c r="J52" s="417" t="str">
        <f t="shared" si="39"/>
        <v>-</v>
      </c>
      <c r="K52" s="199" t="str">
        <f t="shared" si="40"/>
        <v>-</v>
      </c>
      <c r="L52" s="609"/>
      <c r="M52" s="486" t="e">
        <f>RANK(K52, K$47:$K$61)</f>
        <v>#VALUE!</v>
      </c>
      <c r="N52" s="627"/>
      <c r="O52" s="627"/>
      <c r="P52" s="483"/>
      <c r="Q52" s="420"/>
      <c r="R52" s="420"/>
      <c r="S52" s="483"/>
      <c r="T52" s="637"/>
      <c r="U52" s="483"/>
      <c r="V52" s="420"/>
      <c r="W52" s="420"/>
      <c r="X52" s="483"/>
      <c r="Y52" s="637"/>
      <c r="Z52" s="483"/>
      <c r="AA52" s="420"/>
      <c r="AB52" s="420"/>
      <c r="AC52" s="483"/>
      <c r="AD52" s="637"/>
      <c r="AE52" s="483"/>
      <c r="AF52" s="420"/>
      <c r="AG52" s="420"/>
      <c r="AH52" s="483"/>
      <c r="AI52" s="637"/>
      <c r="AJ52" s="483"/>
      <c r="AK52" s="420"/>
      <c r="AL52" s="420"/>
      <c r="AM52" s="483"/>
      <c r="AN52" s="637"/>
      <c r="AO52" s="483"/>
      <c r="AP52" s="420"/>
      <c r="AQ52" s="420"/>
      <c r="AR52" s="483"/>
      <c r="AS52" s="637"/>
      <c r="AT52" s="637"/>
      <c r="AU52" s="420"/>
      <c r="AV52" s="420"/>
      <c r="AW52" s="483"/>
      <c r="AX52" s="637"/>
      <c r="AZ52" s="402" t="e">
        <f t="shared" si="41"/>
        <v>#N/A</v>
      </c>
      <c r="BA52" s="637"/>
    </row>
    <row r="53" spans="2:53">
      <c r="B53" s="635"/>
      <c r="C53" s="415">
        <v>7</v>
      </c>
      <c r="D53" s="370"/>
      <c r="E53" s="504"/>
      <c r="F53" s="504"/>
      <c r="G53" s="504"/>
      <c r="H53" s="672"/>
      <c r="I53" s="417" t="str">
        <f t="shared" si="38"/>
        <v>-</v>
      </c>
      <c r="J53" s="417" t="str">
        <f t="shared" si="39"/>
        <v>-</v>
      </c>
      <c r="K53" s="199" t="str">
        <f t="shared" si="40"/>
        <v>-</v>
      </c>
      <c r="L53" s="609"/>
      <c r="M53" s="486" t="e">
        <f>RANK(K53, K$47:$K$61)</f>
        <v>#VALUE!</v>
      </c>
      <c r="N53" s="627"/>
      <c r="O53" s="627"/>
      <c r="P53" s="483"/>
      <c r="Q53" s="420"/>
      <c r="R53" s="420"/>
      <c r="S53" s="483"/>
      <c r="T53" s="637"/>
      <c r="U53" s="483"/>
      <c r="V53" s="420"/>
      <c r="W53" s="420"/>
      <c r="X53" s="483"/>
      <c r="Y53" s="637"/>
      <c r="Z53" s="483"/>
      <c r="AA53" s="420"/>
      <c r="AB53" s="420"/>
      <c r="AC53" s="483"/>
      <c r="AD53" s="637"/>
      <c r="AE53" s="483"/>
      <c r="AF53" s="420"/>
      <c r="AG53" s="420"/>
      <c r="AH53" s="483"/>
      <c r="AI53" s="637"/>
      <c r="AJ53" s="483"/>
      <c r="AK53" s="420"/>
      <c r="AL53" s="420"/>
      <c r="AM53" s="483"/>
      <c r="AN53" s="637"/>
      <c r="AO53" s="483"/>
      <c r="AP53" s="420"/>
      <c r="AQ53" s="420"/>
      <c r="AR53" s="483"/>
      <c r="AS53" s="637"/>
      <c r="AT53" s="637"/>
      <c r="AU53" s="420"/>
      <c r="AV53" s="420"/>
      <c r="AW53" s="483"/>
      <c r="AX53" s="637"/>
      <c r="AZ53" s="402" t="e">
        <f t="shared" si="41"/>
        <v>#N/A</v>
      </c>
      <c r="BA53" s="637"/>
    </row>
    <row r="54" spans="2:53">
      <c r="B54" s="635"/>
      <c r="C54" s="415">
        <v>8</v>
      </c>
      <c r="D54" s="370"/>
      <c r="E54" s="504"/>
      <c r="F54" s="504"/>
      <c r="G54" s="504"/>
      <c r="H54" s="672"/>
      <c r="I54" s="417" t="str">
        <f t="shared" si="38"/>
        <v>-</v>
      </c>
      <c r="J54" s="417" t="str">
        <f t="shared" si="39"/>
        <v>-</v>
      </c>
      <c r="K54" s="199" t="str">
        <f t="shared" si="40"/>
        <v>-</v>
      </c>
      <c r="L54" s="609"/>
      <c r="M54" s="486" t="e">
        <f>RANK(K54, K$47:$K$61)</f>
        <v>#VALUE!</v>
      </c>
      <c r="N54" s="627"/>
      <c r="O54" s="627"/>
      <c r="P54" s="483"/>
      <c r="Q54" s="420"/>
      <c r="R54" s="420"/>
      <c r="S54" s="483"/>
      <c r="T54" s="637"/>
      <c r="U54" s="483"/>
      <c r="V54" s="420"/>
      <c r="W54" s="420"/>
      <c r="X54" s="483"/>
      <c r="Y54" s="637"/>
      <c r="Z54" s="483"/>
      <c r="AA54" s="420"/>
      <c r="AB54" s="420"/>
      <c r="AC54" s="483"/>
      <c r="AD54" s="637"/>
      <c r="AE54" s="483"/>
      <c r="AF54" s="420"/>
      <c r="AG54" s="420"/>
      <c r="AH54" s="483"/>
      <c r="AI54" s="637"/>
      <c r="AJ54" s="483"/>
      <c r="AK54" s="420"/>
      <c r="AL54" s="420"/>
      <c r="AM54" s="483"/>
      <c r="AN54" s="637"/>
      <c r="AO54" s="483"/>
      <c r="AP54" s="420"/>
      <c r="AQ54" s="420"/>
      <c r="AR54" s="483"/>
      <c r="AS54" s="637"/>
      <c r="AT54" s="637"/>
      <c r="AU54" s="420"/>
      <c r="AV54" s="420"/>
      <c r="AW54" s="483"/>
      <c r="AX54" s="637"/>
      <c r="AZ54" s="402" t="e">
        <f t="shared" si="41"/>
        <v>#N/A</v>
      </c>
      <c r="BA54" s="637"/>
    </row>
    <row r="55" spans="2:53">
      <c r="B55" s="635"/>
      <c r="C55" s="415">
        <v>9</v>
      </c>
      <c r="D55" s="370"/>
      <c r="E55" s="504"/>
      <c r="F55" s="504"/>
      <c r="G55" s="504"/>
      <c r="H55" s="672"/>
      <c r="I55" s="417" t="str">
        <f t="shared" si="38"/>
        <v>-</v>
      </c>
      <c r="J55" s="417" t="str">
        <f t="shared" si="39"/>
        <v>-</v>
      </c>
      <c r="K55" s="199" t="str">
        <f t="shared" si="40"/>
        <v>-</v>
      </c>
      <c r="L55" s="609"/>
      <c r="M55" s="486" t="e">
        <f>RANK(K55, K$47:$K$61)</f>
        <v>#VALUE!</v>
      </c>
      <c r="N55" s="627"/>
      <c r="O55" s="627"/>
      <c r="P55" s="483"/>
      <c r="Q55" s="420"/>
      <c r="R55" s="420"/>
      <c r="S55" s="483"/>
      <c r="T55" s="637"/>
      <c r="U55" s="483"/>
      <c r="V55" s="420"/>
      <c r="W55" s="420"/>
      <c r="X55" s="483"/>
      <c r="Y55" s="637"/>
      <c r="Z55" s="483"/>
      <c r="AA55" s="420"/>
      <c r="AB55" s="420"/>
      <c r="AC55" s="483"/>
      <c r="AD55" s="637"/>
      <c r="AE55" s="483"/>
      <c r="AF55" s="420"/>
      <c r="AG55" s="420"/>
      <c r="AH55" s="483"/>
      <c r="AI55" s="637"/>
      <c r="AJ55" s="483"/>
      <c r="AK55" s="420"/>
      <c r="AL55" s="420"/>
      <c r="AM55" s="483"/>
      <c r="AN55" s="637"/>
      <c r="AO55" s="483"/>
      <c r="AP55" s="420"/>
      <c r="AQ55" s="420"/>
      <c r="AR55" s="483"/>
      <c r="AS55" s="637"/>
      <c r="AT55" s="637"/>
      <c r="AU55" s="420"/>
      <c r="AV55" s="420"/>
      <c r="AW55" s="483"/>
      <c r="AX55" s="637"/>
      <c r="AZ55" s="402" t="e">
        <f t="shared" si="41"/>
        <v>#N/A</v>
      </c>
      <c r="BA55" s="637"/>
    </row>
    <row r="56" spans="2:53">
      <c r="B56" s="635"/>
      <c r="C56" s="415">
        <v>10</v>
      </c>
      <c r="D56" s="370"/>
      <c r="E56" s="504"/>
      <c r="F56" s="504"/>
      <c r="G56" s="504"/>
      <c r="H56" s="672"/>
      <c r="I56" s="417" t="str">
        <f t="shared" si="38"/>
        <v>-</v>
      </c>
      <c r="J56" s="417" t="str">
        <f t="shared" si="39"/>
        <v>-</v>
      </c>
      <c r="K56" s="199" t="str">
        <f t="shared" si="40"/>
        <v>-</v>
      </c>
      <c r="L56" s="609"/>
      <c r="M56" s="486" t="e">
        <f>RANK(K56, K$47:$K$61)</f>
        <v>#VALUE!</v>
      </c>
      <c r="N56" s="627"/>
      <c r="O56" s="627"/>
      <c r="P56" s="483"/>
      <c r="Q56" s="420"/>
      <c r="R56" s="420"/>
      <c r="S56" s="483"/>
      <c r="T56" s="637"/>
      <c r="U56" s="483"/>
      <c r="V56" s="420"/>
      <c r="W56" s="420"/>
      <c r="X56" s="483"/>
      <c r="Y56" s="637"/>
      <c r="Z56" s="483"/>
      <c r="AA56" s="420"/>
      <c r="AB56" s="420"/>
      <c r="AC56" s="483"/>
      <c r="AD56" s="637"/>
      <c r="AE56" s="483"/>
      <c r="AF56" s="420"/>
      <c r="AG56" s="420"/>
      <c r="AH56" s="483"/>
      <c r="AI56" s="637"/>
      <c r="AJ56" s="483"/>
      <c r="AK56" s="420"/>
      <c r="AL56" s="420"/>
      <c r="AM56" s="483"/>
      <c r="AN56" s="637"/>
      <c r="AO56" s="483"/>
      <c r="AP56" s="420"/>
      <c r="AQ56" s="420"/>
      <c r="AR56" s="483"/>
      <c r="AS56" s="637"/>
      <c r="AT56" s="637"/>
      <c r="AU56" s="420"/>
      <c r="AV56" s="420"/>
      <c r="AW56" s="483"/>
      <c r="AX56" s="637"/>
      <c r="AZ56" s="402" t="e">
        <f t="shared" si="41"/>
        <v>#N/A</v>
      </c>
      <c r="BA56" s="637"/>
    </row>
    <row r="57" spans="2:53">
      <c r="B57" s="635"/>
      <c r="C57" s="415">
        <v>11</v>
      </c>
      <c r="D57" s="370"/>
      <c r="E57" s="504"/>
      <c r="F57" s="504"/>
      <c r="G57" s="504"/>
      <c r="H57" s="672"/>
      <c r="I57" s="417" t="str">
        <f t="shared" si="38"/>
        <v>-</v>
      </c>
      <c r="J57" s="417" t="str">
        <f t="shared" si="39"/>
        <v>-</v>
      </c>
      <c r="K57" s="199" t="str">
        <f t="shared" si="40"/>
        <v>-</v>
      </c>
      <c r="L57" s="609"/>
      <c r="M57" s="486" t="e">
        <f>RANK(K57, K$47:$K$61)</f>
        <v>#VALUE!</v>
      </c>
      <c r="N57" s="627"/>
      <c r="O57" s="627"/>
      <c r="P57" s="483"/>
      <c r="Q57" s="420"/>
      <c r="R57" s="420"/>
      <c r="S57" s="483"/>
      <c r="T57" s="637"/>
      <c r="U57" s="483"/>
      <c r="V57" s="420"/>
      <c r="W57" s="420"/>
      <c r="X57" s="483"/>
      <c r="Y57" s="637"/>
      <c r="Z57" s="483"/>
      <c r="AA57" s="420"/>
      <c r="AB57" s="420"/>
      <c r="AC57" s="483"/>
      <c r="AD57" s="637"/>
      <c r="AE57" s="483"/>
      <c r="AF57" s="420"/>
      <c r="AG57" s="420"/>
      <c r="AH57" s="483"/>
      <c r="AI57" s="637"/>
      <c r="AJ57" s="483"/>
      <c r="AK57" s="420"/>
      <c r="AL57" s="420"/>
      <c r="AM57" s="483"/>
      <c r="AN57" s="637"/>
      <c r="AO57" s="483"/>
      <c r="AP57" s="420"/>
      <c r="AQ57" s="420"/>
      <c r="AR57" s="483"/>
      <c r="AS57" s="637"/>
      <c r="AT57" s="637"/>
      <c r="AU57" s="420"/>
      <c r="AV57" s="420"/>
      <c r="AW57" s="483"/>
      <c r="AX57" s="637"/>
      <c r="AZ57" s="402" t="e">
        <f t="shared" si="41"/>
        <v>#N/A</v>
      </c>
      <c r="BA57" s="637"/>
    </row>
    <row r="58" spans="2:53">
      <c r="B58" s="635"/>
      <c r="C58" s="415">
        <v>12</v>
      </c>
      <c r="D58" s="370"/>
      <c r="E58" s="504"/>
      <c r="F58" s="504"/>
      <c r="G58" s="504"/>
      <c r="H58" s="672"/>
      <c r="I58" s="417" t="str">
        <f t="shared" si="38"/>
        <v>-</v>
      </c>
      <c r="J58" s="417" t="str">
        <f t="shared" si="39"/>
        <v>-</v>
      </c>
      <c r="K58" s="199" t="str">
        <f t="shared" si="40"/>
        <v>-</v>
      </c>
      <c r="L58" s="609"/>
      <c r="M58" s="486" t="e">
        <f>RANK(K58, K$47:$K$61)</f>
        <v>#VALUE!</v>
      </c>
      <c r="N58" s="627"/>
      <c r="O58" s="627"/>
      <c r="P58" s="483"/>
      <c r="Q58" s="420"/>
      <c r="R58" s="420"/>
      <c r="S58" s="483"/>
      <c r="T58" s="637"/>
      <c r="U58" s="483"/>
      <c r="V58" s="420"/>
      <c r="W58" s="420"/>
      <c r="X58" s="483"/>
      <c r="Y58" s="637"/>
      <c r="Z58" s="483"/>
      <c r="AA58" s="420"/>
      <c r="AB58" s="420"/>
      <c r="AC58" s="483"/>
      <c r="AD58" s="637"/>
      <c r="AE58" s="483"/>
      <c r="AF58" s="420"/>
      <c r="AG58" s="420"/>
      <c r="AH58" s="483"/>
      <c r="AI58" s="637"/>
      <c r="AJ58" s="483"/>
      <c r="AK58" s="420"/>
      <c r="AL58" s="420"/>
      <c r="AM58" s="483"/>
      <c r="AN58" s="637"/>
      <c r="AO58" s="483"/>
      <c r="AP58" s="420"/>
      <c r="AQ58" s="420"/>
      <c r="AR58" s="483"/>
      <c r="AS58" s="637"/>
      <c r="AT58" s="637"/>
      <c r="AU58" s="420"/>
      <c r="AV58" s="420"/>
      <c r="AW58" s="483"/>
      <c r="AX58" s="637"/>
      <c r="AZ58" s="402" t="e">
        <f t="shared" si="41"/>
        <v>#N/A</v>
      </c>
      <c r="BA58" s="637"/>
    </row>
    <row r="59" spans="2:53">
      <c r="B59" s="635"/>
      <c r="C59" s="415">
        <v>13</v>
      </c>
      <c r="D59" s="370"/>
      <c r="E59" s="504"/>
      <c r="F59" s="504"/>
      <c r="G59" s="504"/>
      <c r="H59" s="672"/>
      <c r="I59" s="417" t="str">
        <f t="shared" si="38"/>
        <v>-</v>
      </c>
      <c r="J59" s="417" t="str">
        <f t="shared" si="39"/>
        <v>-</v>
      </c>
      <c r="K59" s="199" t="str">
        <f t="shared" si="40"/>
        <v>-</v>
      </c>
      <c r="L59" s="609"/>
      <c r="M59" s="486" t="e">
        <f>RANK(K59, K$47:$K$61)</f>
        <v>#VALUE!</v>
      </c>
      <c r="N59" s="627"/>
      <c r="O59" s="627"/>
      <c r="P59" s="483"/>
      <c r="Q59" s="420"/>
      <c r="R59" s="420"/>
      <c r="S59" s="483"/>
      <c r="T59" s="637"/>
      <c r="U59" s="483"/>
      <c r="V59" s="420"/>
      <c r="W59" s="420"/>
      <c r="X59" s="483"/>
      <c r="Y59" s="637"/>
      <c r="Z59" s="483"/>
      <c r="AA59" s="420"/>
      <c r="AB59" s="420"/>
      <c r="AC59" s="483"/>
      <c r="AD59" s="637"/>
      <c r="AE59" s="483"/>
      <c r="AF59" s="420"/>
      <c r="AG59" s="420"/>
      <c r="AH59" s="483"/>
      <c r="AI59" s="637"/>
      <c r="AJ59" s="483"/>
      <c r="AK59" s="420"/>
      <c r="AL59" s="420"/>
      <c r="AM59" s="483"/>
      <c r="AN59" s="637"/>
      <c r="AO59" s="483"/>
      <c r="AP59" s="420"/>
      <c r="AQ59" s="420"/>
      <c r="AR59" s="483"/>
      <c r="AS59" s="637"/>
      <c r="AT59" s="637"/>
      <c r="AU59" s="420"/>
      <c r="AV59" s="420"/>
      <c r="AW59" s="483"/>
      <c r="AX59" s="637"/>
      <c r="AZ59" s="402" t="e">
        <f t="shared" si="41"/>
        <v>#N/A</v>
      </c>
      <c r="BA59" s="637"/>
    </row>
    <row r="60" spans="2:53">
      <c r="B60" s="635"/>
      <c r="C60" s="415">
        <v>14</v>
      </c>
      <c r="D60" s="370"/>
      <c r="E60" s="504"/>
      <c r="F60" s="504"/>
      <c r="G60" s="504"/>
      <c r="H60" s="672"/>
      <c r="I60" s="417" t="str">
        <f t="shared" si="38"/>
        <v>-</v>
      </c>
      <c r="J60" s="417" t="str">
        <f t="shared" si="39"/>
        <v>-</v>
      </c>
      <c r="K60" s="199" t="str">
        <f t="shared" si="40"/>
        <v>-</v>
      </c>
      <c r="L60" s="609"/>
      <c r="M60" s="486" t="e">
        <f>RANK(K60, K$47:$K$61)</f>
        <v>#VALUE!</v>
      </c>
      <c r="N60" s="627"/>
      <c r="O60" s="627"/>
      <c r="P60" s="483"/>
      <c r="Q60" s="420"/>
      <c r="R60" s="420"/>
      <c r="S60" s="483"/>
      <c r="T60" s="637"/>
      <c r="U60" s="483"/>
      <c r="V60" s="420"/>
      <c r="W60" s="420"/>
      <c r="X60" s="483"/>
      <c r="Y60" s="637"/>
      <c r="Z60" s="483"/>
      <c r="AA60" s="420"/>
      <c r="AB60" s="420"/>
      <c r="AC60" s="483"/>
      <c r="AD60" s="637"/>
      <c r="AE60" s="483"/>
      <c r="AF60" s="420"/>
      <c r="AG60" s="420"/>
      <c r="AH60" s="483"/>
      <c r="AI60" s="637"/>
      <c r="AJ60" s="483"/>
      <c r="AK60" s="420"/>
      <c r="AL60" s="420"/>
      <c r="AM60" s="483"/>
      <c r="AN60" s="637"/>
      <c r="AO60" s="483"/>
      <c r="AP60" s="420"/>
      <c r="AQ60" s="420"/>
      <c r="AR60" s="483"/>
      <c r="AS60" s="637"/>
      <c r="AT60" s="637"/>
      <c r="AU60" s="420"/>
      <c r="AV60" s="420"/>
      <c r="AW60" s="483"/>
      <c r="AX60" s="637"/>
      <c r="AZ60" s="402" t="e">
        <f t="shared" si="41"/>
        <v>#N/A</v>
      </c>
      <c r="BA60" s="637"/>
    </row>
    <row r="61" spans="2:53">
      <c r="B61" s="635"/>
      <c r="C61" s="415">
        <v>15</v>
      </c>
      <c r="D61" s="370"/>
      <c r="E61" s="504"/>
      <c r="F61" s="504"/>
      <c r="G61" s="504"/>
      <c r="H61" s="676"/>
      <c r="I61" s="421"/>
      <c r="J61" s="421"/>
      <c r="K61" s="418"/>
      <c r="L61" s="610"/>
      <c r="M61" s="486" t="e">
        <f>RANK(K61, K$47:$K$61)</f>
        <v>#N/A</v>
      </c>
      <c r="N61" s="627"/>
      <c r="O61" s="627"/>
      <c r="P61" s="483"/>
      <c r="Q61" s="420"/>
      <c r="R61" s="420"/>
      <c r="S61" s="483"/>
      <c r="T61" s="638"/>
      <c r="U61" s="483"/>
      <c r="V61" s="420"/>
      <c r="W61" s="420"/>
      <c r="X61" s="483"/>
      <c r="Y61" s="638"/>
      <c r="Z61" s="483"/>
      <c r="AA61" s="420"/>
      <c r="AB61" s="420"/>
      <c r="AC61" s="483"/>
      <c r="AD61" s="638"/>
      <c r="AE61" s="483"/>
      <c r="AF61" s="420"/>
      <c r="AG61" s="420"/>
      <c r="AH61" s="483"/>
      <c r="AI61" s="638"/>
      <c r="AJ61" s="483"/>
      <c r="AK61" s="420"/>
      <c r="AL61" s="420"/>
      <c r="AM61" s="483"/>
      <c r="AN61" s="638"/>
      <c r="AO61" s="483"/>
      <c r="AP61" s="420"/>
      <c r="AQ61" s="420"/>
      <c r="AR61" s="483"/>
      <c r="AS61" s="638"/>
      <c r="AT61" s="638"/>
      <c r="AU61" s="420"/>
      <c r="AV61" s="420"/>
      <c r="AW61" s="483"/>
      <c r="AX61" s="638"/>
      <c r="AZ61" s="402" t="e">
        <f t="shared" si="41"/>
        <v>#N/A</v>
      </c>
      <c r="BA61" s="638"/>
    </row>
    <row r="62" spans="2:53" ht="15.75">
      <c r="B62" s="639" t="s">
        <v>163</v>
      </c>
      <c r="C62" s="640"/>
      <c r="D62" s="640"/>
      <c r="E62" s="640"/>
      <c r="F62" s="640"/>
      <c r="G62" s="640"/>
      <c r="H62" s="641"/>
      <c r="I62" s="207"/>
      <c r="J62" s="207"/>
      <c r="K62" s="207"/>
      <c r="L62" s="207"/>
      <c r="M62" s="206"/>
      <c r="N62" s="628" t="s">
        <v>156</v>
      </c>
      <c r="O62" s="628" t="s">
        <v>105</v>
      </c>
      <c r="P62" s="634">
        <f>P42+7</f>
        <v>46189</v>
      </c>
      <c r="Q62" s="635"/>
      <c r="R62" s="635"/>
      <c r="S62" s="635"/>
      <c r="T62" s="635"/>
      <c r="U62" s="631">
        <f>P62+1</f>
        <v>46190</v>
      </c>
      <c r="V62" s="632"/>
      <c r="W62" s="632"/>
      <c r="X62" s="632"/>
      <c r="Y62" s="633"/>
      <c r="Z62" s="631">
        <f>U62+1</f>
        <v>46191</v>
      </c>
      <c r="AA62" s="632"/>
      <c r="AB62" s="632"/>
      <c r="AC62" s="632"/>
      <c r="AD62" s="633"/>
      <c r="AE62" s="631">
        <f>Z62+1</f>
        <v>46192</v>
      </c>
      <c r="AF62" s="632"/>
      <c r="AG62" s="632"/>
      <c r="AH62" s="632"/>
      <c r="AI62" s="633"/>
      <c r="AJ62" s="631">
        <f>AE62+1</f>
        <v>46193</v>
      </c>
      <c r="AK62" s="632"/>
      <c r="AL62" s="632"/>
      <c r="AM62" s="632"/>
      <c r="AN62" s="633"/>
      <c r="AO62" s="631">
        <f>AJ62+1</f>
        <v>46194</v>
      </c>
      <c r="AP62" s="632"/>
      <c r="AQ62" s="632"/>
      <c r="AR62" s="632"/>
      <c r="AS62" s="633"/>
      <c r="AT62" s="631">
        <f>AO62+1</f>
        <v>46195</v>
      </c>
      <c r="AU62" s="632"/>
      <c r="AV62" s="632"/>
      <c r="AW62" s="632"/>
      <c r="AX62" s="633"/>
    </row>
    <row r="63" spans="2:53" ht="15.75">
      <c r="B63" s="642"/>
      <c r="C63" s="642"/>
      <c r="D63" s="642"/>
      <c r="E63" s="642"/>
      <c r="F63" s="642"/>
      <c r="G63" s="642"/>
      <c r="H63" s="642"/>
      <c r="I63" s="204"/>
      <c r="J63" s="204"/>
      <c r="K63" s="204"/>
      <c r="L63" s="204"/>
      <c r="M63" s="205"/>
      <c r="N63" s="630"/>
      <c r="O63" s="630"/>
      <c r="P63" s="634" t="s">
        <v>318</v>
      </c>
      <c r="Q63" s="635"/>
      <c r="R63" s="635"/>
      <c r="S63" s="635"/>
      <c r="T63" s="635"/>
      <c r="U63" s="634" t="s">
        <v>319</v>
      </c>
      <c r="V63" s="635"/>
      <c r="W63" s="635"/>
      <c r="X63" s="635"/>
      <c r="Y63" s="635"/>
      <c r="Z63" s="634" t="s">
        <v>320</v>
      </c>
      <c r="AA63" s="635"/>
      <c r="AB63" s="635"/>
      <c r="AC63" s="635"/>
      <c r="AD63" s="635"/>
      <c r="AE63" s="634" t="s">
        <v>321</v>
      </c>
      <c r="AF63" s="635"/>
      <c r="AG63" s="635"/>
      <c r="AH63" s="635"/>
      <c r="AI63" s="635"/>
      <c r="AJ63" s="634" t="s">
        <v>322</v>
      </c>
      <c r="AK63" s="635"/>
      <c r="AL63" s="635"/>
      <c r="AM63" s="635"/>
      <c r="AN63" s="635"/>
      <c r="AO63" s="634" t="s">
        <v>323</v>
      </c>
      <c r="AP63" s="635"/>
      <c r="AQ63" s="635"/>
      <c r="AR63" s="635"/>
      <c r="AS63" s="635"/>
      <c r="AT63" s="634" t="s">
        <v>324</v>
      </c>
      <c r="AU63" s="635"/>
      <c r="AV63" s="635"/>
      <c r="AW63" s="635"/>
      <c r="AX63" s="635"/>
    </row>
    <row r="64" spans="2:53">
      <c r="B64" s="627" t="s">
        <v>374</v>
      </c>
      <c r="C64" s="627" t="s">
        <v>384</v>
      </c>
      <c r="D64" s="627"/>
      <c r="E64" s="627" t="s">
        <v>375</v>
      </c>
      <c r="F64" s="627"/>
      <c r="G64" s="627"/>
      <c r="H64" s="643" t="s">
        <v>371</v>
      </c>
      <c r="I64" s="627" t="s">
        <v>376</v>
      </c>
      <c r="J64" s="627"/>
      <c r="K64" s="627"/>
      <c r="L64" s="643" t="s">
        <v>371</v>
      </c>
      <c r="M64" s="628" t="s">
        <v>372</v>
      </c>
      <c r="N64" s="627"/>
      <c r="O64" s="627" t="s">
        <v>377</v>
      </c>
      <c r="P64" s="624" t="s">
        <v>373</v>
      </c>
      <c r="Q64" s="625"/>
      <c r="R64" s="625"/>
      <c r="S64" s="626"/>
      <c r="T64" s="627" t="s">
        <v>371</v>
      </c>
      <c r="U64" s="624" t="s">
        <v>373</v>
      </c>
      <c r="V64" s="625"/>
      <c r="W64" s="625"/>
      <c r="X64" s="626"/>
      <c r="Y64" s="627" t="s">
        <v>371</v>
      </c>
      <c r="Z64" s="624" t="s">
        <v>373</v>
      </c>
      <c r="AA64" s="625"/>
      <c r="AB64" s="625"/>
      <c r="AC64" s="626"/>
      <c r="AD64" s="627" t="s">
        <v>371</v>
      </c>
      <c r="AE64" s="624" t="s">
        <v>373</v>
      </c>
      <c r="AF64" s="625"/>
      <c r="AG64" s="625"/>
      <c r="AH64" s="626"/>
      <c r="AI64" s="627" t="s">
        <v>371</v>
      </c>
      <c r="AJ64" s="624" t="s">
        <v>373</v>
      </c>
      <c r="AK64" s="625"/>
      <c r="AL64" s="625"/>
      <c r="AM64" s="626"/>
      <c r="AN64" s="627" t="s">
        <v>371</v>
      </c>
      <c r="AO64" s="624" t="s">
        <v>373</v>
      </c>
      <c r="AP64" s="625"/>
      <c r="AQ64" s="625"/>
      <c r="AR64" s="626"/>
      <c r="AS64" s="627" t="s">
        <v>371</v>
      </c>
      <c r="AT64" s="624" t="s">
        <v>373</v>
      </c>
      <c r="AU64" s="625"/>
      <c r="AV64" s="625"/>
      <c r="AW64" s="626"/>
      <c r="AX64" s="627" t="s">
        <v>371</v>
      </c>
      <c r="BA64" s="627" t="s">
        <v>371</v>
      </c>
    </row>
    <row r="65" spans="2:53">
      <c r="B65" s="627"/>
      <c r="C65" s="627"/>
      <c r="D65" s="627"/>
      <c r="E65" s="627" t="s">
        <v>378</v>
      </c>
      <c r="F65" s="627"/>
      <c r="G65" s="627"/>
      <c r="H65" s="644"/>
      <c r="I65" s="627" t="s">
        <v>378</v>
      </c>
      <c r="J65" s="627"/>
      <c r="K65" s="627"/>
      <c r="L65" s="644"/>
      <c r="M65" s="629"/>
      <c r="N65" s="627"/>
      <c r="O65" s="627"/>
      <c r="P65" s="624" t="s">
        <v>379</v>
      </c>
      <c r="Q65" s="625"/>
      <c r="R65" s="625"/>
      <c r="S65" s="626"/>
      <c r="T65" s="627"/>
      <c r="U65" s="624" t="s">
        <v>379</v>
      </c>
      <c r="V65" s="625"/>
      <c r="W65" s="625"/>
      <c r="X65" s="626"/>
      <c r="Y65" s="627"/>
      <c r="Z65" s="624" t="s">
        <v>379</v>
      </c>
      <c r="AA65" s="625"/>
      <c r="AB65" s="625"/>
      <c r="AC65" s="626"/>
      <c r="AD65" s="627"/>
      <c r="AE65" s="624" t="s">
        <v>379</v>
      </c>
      <c r="AF65" s="625"/>
      <c r="AG65" s="625"/>
      <c r="AH65" s="626"/>
      <c r="AI65" s="627"/>
      <c r="AJ65" s="624" t="s">
        <v>379</v>
      </c>
      <c r="AK65" s="625"/>
      <c r="AL65" s="625"/>
      <c r="AM65" s="626"/>
      <c r="AN65" s="627"/>
      <c r="AO65" s="624" t="s">
        <v>379</v>
      </c>
      <c r="AP65" s="625"/>
      <c r="AQ65" s="625"/>
      <c r="AR65" s="626"/>
      <c r="AS65" s="627"/>
      <c r="AT65" s="624" t="s">
        <v>379</v>
      </c>
      <c r="AU65" s="625"/>
      <c r="AV65" s="625"/>
      <c r="AW65" s="626"/>
      <c r="AX65" s="627"/>
      <c r="BA65" s="627"/>
    </row>
    <row r="66" spans="2:53">
      <c r="B66" s="627"/>
      <c r="C66" s="627"/>
      <c r="D66" s="627"/>
      <c r="E66" s="412" t="s">
        <v>380</v>
      </c>
      <c r="F66" s="412" t="s">
        <v>381</v>
      </c>
      <c r="G66" s="412" t="s">
        <v>382</v>
      </c>
      <c r="H66" s="645"/>
      <c r="I66" s="412" t="s">
        <v>380</v>
      </c>
      <c r="J66" s="412" t="s">
        <v>381</v>
      </c>
      <c r="K66" s="412" t="s">
        <v>382</v>
      </c>
      <c r="L66" s="645"/>
      <c r="M66" s="630"/>
      <c r="N66" s="627"/>
      <c r="O66" s="627"/>
      <c r="P66" s="412" t="s">
        <v>380</v>
      </c>
      <c r="Q66" s="412" t="s">
        <v>381</v>
      </c>
      <c r="R66" s="412" t="s">
        <v>382</v>
      </c>
      <c r="S66" s="412" t="s">
        <v>372</v>
      </c>
      <c r="T66" s="627"/>
      <c r="U66" s="412" t="s">
        <v>380</v>
      </c>
      <c r="V66" s="412" t="s">
        <v>381</v>
      </c>
      <c r="W66" s="412" t="s">
        <v>382</v>
      </c>
      <c r="X66" s="412" t="s">
        <v>372</v>
      </c>
      <c r="Y66" s="627"/>
      <c r="Z66" s="412" t="s">
        <v>380</v>
      </c>
      <c r="AA66" s="412" t="s">
        <v>381</v>
      </c>
      <c r="AB66" s="412" t="s">
        <v>382</v>
      </c>
      <c r="AC66" s="412" t="s">
        <v>372</v>
      </c>
      <c r="AD66" s="627"/>
      <c r="AE66" s="412" t="s">
        <v>380</v>
      </c>
      <c r="AF66" s="412" t="s">
        <v>381</v>
      </c>
      <c r="AG66" s="412" t="s">
        <v>382</v>
      </c>
      <c r="AH66" s="412" t="s">
        <v>372</v>
      </c>
      <c r="AI66" s="627"/>
      <c r="AJ66" s="412" t="s">
        <v>380</v>
      </c>
      <c r="AK66" s="412" t="s">
        <v>381</v>
      </c>
      <c r="AL66" s="412" t="s">
        <v>382</v>
      </c>
      <c r="AM66" s="412" t="s">
        <v>372</v>
      </c>
      <c r="AN66" s="627"/>
      <c r="AO66" s="412" t="s">
        <v>380</v>
      </c>
      <c r="AP66" s="412" t="s">
        <v>381</v>
      </c>
      <c r="AQ66" s="412" t="s">
        <v>382</v>
      </c>
      <c r="AR66" s="412" t="s">
        <v>372</v>
      </c>
      <c r="AS66" s="627"/>
      <c r="AT66" s="412" t="s">
        <v>380</v>
      </c>
      <c r="AU66" s="412" t="s">
        <v>381</v>
      </c>
      <c r="AV66" s="412" t="s">
        <v>382</v>
      </c>
      <c r="AW66" s="412" t="s">
        <v>372</v>
      </c>
      <c r="AX66" s="627"/>
      <c r="AZ66" s="401" t="s">
        <v>372</v>
      </c>
      <c r="BA66" s="627"/>
    </row>
    <row r="67" spans="2:53">
      <c r="B67" s="675" t="s">
        <v>383</v>
      </c>
      <c r="C67" s="415">
        <v>1</v>
      </c>
      <c r="D67" s="370"/>
      <c r="E67" s="421"/>
      <c r="F67" s="421"/>
      <c r="G67" s="421"/>
      <c r="H67" s="671" t="e">
        <f>AVERAGE(G67:G81)</f>
        <v>#DIV/0!</v>
      </c>
      <c r="I67" s="417" t="str">
        <f t="shared" ref="I67:I80" si="43">IFERROR(AVERAGE(P67,U67,Z67,AE67,AJ67,AO67,AT67),"-")</f>
        <v>-</v>
      </c>
      <c r="J67" s="417" t="str">
        <f t="shared" ref="J67:J80" si="44">IFERROR(AVERAGE(Q67,V67,AA67,AF67,AK67,AP67,AU67),"-")</f>
        <v>-</v>
      </c>
      <c r="K67" s="199" t="str">
        <f t="shared" ref="K67:K80" si="45">IFERROR(AVERAGE(R67,W67,AB67,AG67,AL67,AQ67,AV67),"-")</f>
        <v>-</v>
      </c>
      <c r="L67" s="608" t="str">
        <f>IFERROR(AVERAGE(K67:K81),"-")</f>
        <v>-</v>
      </c>
      <c r="M67" s="421" t="e">
        <f>RANK(K67, K$67:$K$81)</f>
        <v>#VALUE!</v>
      </c>
      <c r="N67" s="627"/>
      <c r="O67" s="627"/>
      <c r="P67" s="487"/>
      <c r="Q67" s="420"/>
      <c r="R67" s="420"/>
      <c r="S67" s="487"/>
      <c r="T67" s="636"/>
      <c r="U67" s="487"/>
      <c r="V67" s="420"/>
      <c r="W67" s="420"/>
      <c r="X67" s="487"/>
      <c r="Y67" s="636"/>
      <c r="Z67" s="487"/>
      <c r="AA67" s="420"/>
      <c r="AB67" s="420"/>
      <c r="AC67" s="487"/>
      <c r="AD67" s="636"/>
      <c r="AE67" s="487"/>
      <c r="AF67" s="420"/>
      <c r="AG67" s="420"/>
      <c r="AH67" s="487"/>
      <c r="AI67" s="636"/>
      <c r="AJ67" s="487"/>
      <c r="AK67" s="420"/>
      <c r="AL67" s="420"/>
      <c r="AM67" s="487"/>
      <c r="AN67" s="636"/>
      <c r="AO67" s="487"/>
      <c r="AP67" s="420"/>
      <c r="AQ67" s="420"/>
      <c r="AR67" s="487"/>
      <c r="AS67" s="636"/>
      <c r="AT67" s="487"/>
      <c r="AU67" s="420"/>
      <c r="AV67" s="420"/>
      <c r="AW67" s="487"/>
      <c r="AX67" s="636"/>
      <c r="AZ67" s="402" t="e">
        <f t="shared" ref="AZ67:AZ81" si="46">RANK(AY67, AY$67:AY$81)</f>
        <v>#N/A</v>
      </c>
      <c r="BA67" s="636" t="e">
        <f t="shared" ref="BA67" si="47">AVERAGE(AY67:AY81)</f>
        <v>#DIV/0!</v>
      </c>
    </row>
    <row r="68" spans="2:53">
      <c r="B68" s="635"/>
      <c r="C68" s="415">
        <v>2</v>
      </c>
      <c r="D68" s="370"/>
      <c r="E68" s="421"/>
      <c r="F68" s="421"/>
      <c r="G68" s="421"/>
      <c r="H68" s="672"/>
      <c r="I68" s="417" t="str">
        <f t="shared" si="43"/>
        <v>-</v>
      </c>
      <c r="J68" s="417" t="str">
        <f t="shared" si="44"/>
        <v>-</v>
      </c>
      <c r="K68" s="199" t="str">
        <f t="shared" si="45"/>
        <v>-</v>
      </c>
      <c r="L68" s="609"/>
      <c r="M68" s="421" t="e">
        <f>RANK(K68, K$67:$K$81)</f>
        <v>#VALUE!</v>
      </c>
      <c r="N68" s="627"/>
      <c r="O68" s="627"/>
      <c r="P68" s="487"/>
      <c r="Q68" s="420"/>
      <c r="R68" s="420"/>
      <c r="S68" s="487"/>
      <c r="T68" s="637"/>
      <c r="U68" s="487"/>
      <c r="V68" s="420"/>
      <c r="W68" s="420"/>
      <c r="X68" s="487"/>
      <c r="Y68" s="637"/>
      <c r="Z68" s="487"/>
      <c r="AA68" s="420"/>
      <c r="AB68" s="420"/>
      <c r="AC68" s="487"/>
      <c r="AD68" s="637"/>
      <c r="AE68" s="487"/>
      <c r="AF68" s="420"/>
      <c r="AG68" s="420"/>
      <c r="AH68" s="487"/>
      <c r="AI68" s="637"/>
      <c r="AJ68" s="487"/>
      <c r="AK68" s="420"/>
      <c r="AL68" s="420"/>
      <c r="AM68" s="487"/>
      <c r="AN68" s="637"/>
      <c r="AO68" s="487"/>
      <c r="AP68" s="420"/>
      <c r="AQ68" s="420"/>
      <c r="AR68" s="487"/>
      <c r="AS68" s="637"/>
      <c r="AT68" s="487"/>
      <c r="AU68" s="420"/>
      <c r="AV68" s="420"/>
      <c r="AW68" s="487"/>
      <c r="AX68" s="637"/>
      <c r="AZ68" s="402" t="e">
        <f t="shared" si="46"/>
        <v>#N/A</v>
      </c>
      <c r="BA68" s="637"/>
    </row>
    <row r="69" spans="2:53">
      <c r="B69" s="635"/>
      <c r="C69" s="415">
        <v>3</v>
      </c>
      <c r="D69" s="370"/>
      <c r="E69" s="421"/>
      <c r="F69" s="421"/>
      <c r="G69" s="421"/>
      <c r="H69" s="672"/>
      <c r="I69" s="417" t="str">
        <f t="shared" si="43"/>
        <v>-</v>
      </c>
      <c r="J69" s="417" t="str">
        <f t="shared" si="44"/>
        <v>-</v>
      </c>
      <c r="K69" s="199" t="str">
        <f t="shared" si="45"/>
        <v>-</v>
      </c>
      <c r="L69" s="609"/>
      <c r="M69" s="421" t="e">
        <f>RANK(K69, K$67:$K$81)</f>
        <v>#VALUE!</v>
      </c>
      <c r="N69" s="627"/>
      <c r="O69" s="627"/>
      <c r="P69" s="487"/>
      <c r="Q69" s="420"/>
      <c r="R69" s="420"/>
      <c r="S69" s="487"/>
      <c r="T69" s="637"/>
      <c r="U69" s="487"/>
      <c r="V69" s="420"/>
      <c r="W69" s="420"/>
      <c r="X69" s="487"/>
      <c r="Y69" s="637"/>
      <c r="Z69" s="487"/>
      <c r="AA69" s="420"/>
      <c r="AB69" s="420"/>
      <c r="AC69" s="487"/>
      <c r="AD69" s="637"/>
      <c r="AE69" s="487"/>
      <c r="AF69" s="420"/>
      <c r="AG69" s="420"/>
      <c r="AH69" s="487"/>
      <c r="AI69" s="637"/>
      <c r="AJ69" s="487"/>
      <c r="AK69" s="420"/>
      <c r="AL69" s="420"/>
      <c r="AM69" s="487"/>
      <c r="AN69" s="637"/>
      <c r="AO69" s="487"/>
      <c r="AP69" s="420"/>
      <c r="AQ69" s="420"/>
      <c r="AR69" s="487"/>
      <c r="AS69" s="637"/>
      <c r="AT69" s="487"/>
      <c r="AU69" s="420"/>
      <c r="AV69" s="420"/>
      <c r="AW69" s="487"/>
      <c r="AX69" s="637"/>
      <c r="AZ69" s="402" t="e">
        <f t="shared" si="46"/>
        <v>#N/A</v>
      </c>
      <c r="BA69" s="637"/>
    </row>
    <row r="70" spans="2:53">
      <c r="B70" s="635"/>
      <c r="C70" s="415">
        <v>4</v>
      </c>
      <c r="D70" s="370"/>
      <c r="E70" s="421"/>
      <c r="F70" s="421"/>
      <c r="G70" s="421"/>
      <c r="H70" s="672"/>
      <c r="I70" s="417" t="str">
        <f t="shared" si="43"/>
        <v>-</v>
      </c>
      <c r="J70" s="417" t="str">
        <f t="shared" si="44"/>
        <v>-</v>
      </c>
      <c r="K70" s="199" t="str">
        <f t="shared" si="45"/>
        <v>-</v>
      </c>
      <c r="L70" s="609"/>
      <c r="M70" s="421" t="e">
        <f>RANK(K70, K$67:$K$81)</f>
        <v>#VALUE!</v>
      </c>
      <c r="N70" s="627"/>
      <c r="O70" s="627"/>
      <c r="P70" s="487"/>
      <c r="Q70" s="420"/>
      <c r="R70" s="420"/>
      <c r="S70" s="487"/>
      <c r="T70" s="637"/>
      <c r="U70" s="487"/>
      <c r="V70" s="420"/>
      <c r="W70" s="420"/>
      <c r="X70" s="487"/>
      <c r="Y70" s="637"/>
      <c r="Z70" s="487"/>
      <c r="AA70" s="420"/>
      <c r="AB70" s="420"/>
      <c r="AC70" s="487"/>
      <c r="AD70" s="637"/>
      <c r="AE70" s="487"/>
      <c r="AF70" s="420"/>
      <c r="AG70" s="420"/>
      <c r="AH70" s="487"/>
      <c r="AI70" s="637"/>
      <c r="AJ70" s="487"/>
      <c r="AK70" s="420"/>
      <c r="AL70" s="420"/>
      <c r="AM70" s="487"/>
      <c r="AN70" s="637"/>
      <c r="AO70" s="487"/>
      <c r="AP70" s="420"/>
      <c r="AQ70" s="420"/>
      <c r="AR70" s="487"/>
      <c r="AS70" s="637"/>
      <c r="AT70" s="487"/>
      <c r="AU70" s="420"/>
      <c r="AV70" s="420"/>
      <c r="AW70" s="487"/>
      <c r="AX70" s="637"/>
      <c r="AZ70" s="402" t="e">
        <f t="shared" si="46"/>
        <v>#N/A</v>
      </c>
      <c r="BA70" s="637"/>
    </row>
    <row r="71" spans="2:53">
      <c r="B71" s="635"/>
      <c r="C71" s="415">
        <v>5</v>
      </c>
      <c r="D71" s="370"/>
      <c r="E71" s="421"/>
      <c r="F71" s="421"/>
      <c r="G71" s="421"/>
      <c r="H71" s="672"/>
      <c r="I71" s="417" t="str">
        <f t="shared" si="43"/>
        <v>-</v>
      </c>
      <c r="J71" s="417" t="str">
        <f t="shared" si="44"/>
        <v>-</v>
      </c>
      <c r="K71" s="199" t="str">
        <f t="shared" si="45"/>
        <v>-</v>
      </c>
      <c r="L71" s="609"/>
      <c r="M71" s="421" t="e">
        <f>RANK(K71, K$67:$K$81)</f>
        <v>#VALUE!</v>
      </c>
      <c r="N71" s="627"/>
      <c r="O71" s="627"/>
      <c r="P71" s="487"/>
      <c r="Q71" s="420"/>
      <c r="R71" s="420"/>
      <c r="S71" s="487"/>
      <c r="T71" s="637"/>
      <c r="U71" s="487"/>
      <c r="V71" s="420"/>
      <c r="W71" s="420"/>
      <c r="X71" s="487"/>
      <c r="Y71" s="637"/>
      <c r="Z71" s="487"/>
      <c r="AA71" s="420"/>
      <c r="AB71" s="420"/>
      <c r="AC71" s="487"/>
      <c r="AD71" s="637"/>
      <c r="AE71" s="487"/>
      <c r="AF71" s="420"/>
      <c r="AG71" s="420"/>
      <c r="AH71" s="487"/>
      <c r="AI71" s="637"/>
      <c r="AJ71" s="487"/>
      <c r="AK71" s="420"/>
      <c r="AL71" s="420"/>
      <c r="AM71" s="487"/>
      <c r="AN71" s="637"/>
      <c r="AO71" s="487"/>
      <c r="AP71" s="420"/>
      <c r="AQ71" s="420"/>
      <c r="AR71" s="487"/>
      <c r="AS71" s="637"/>
      <c r="AT71" s="487"/>
      <c r="AU71" s="420"/>
      <c r="AV71" s="420"/>
      <c r="AW71" s="487"/>
      <c r="AX71" s="637"/>
      <c r="AZ71" s="402" t="e">
        <f t="shared" si="46"/>
        <v>#N/A</v>
      </c>
      <c r="BA71" s="637"/>
    </row>
    <row r="72" spans="2:53">
      <c r="B72" s="635"/>
      <c r="C72" s="415">
        <v>6</v>
      </c>
      <c r="D72" s="370"/>
      <c r="E72" s="421"/>
      <c r="F72" s="421"/>
      <c r="G72" s="421"/>
      <c r="H72" s="672"/>
      <c r="I72" s="417" t="str">
        <f t="shared" si="43"/>
        <v>-</v>
      </c>
      <c r="J72" s="417" t="str">
        <f t="shared" si="44"/>
        <v>-</v>
      </c>
      <c r="K72" s="199" t="str">
        <f t="shared" si="45"/>
        <v>-</v>
      </c>
      <c r="L72" s="609"/>
      <c r="M72" s="421" t="e">
        <f>RANK(K72, K$67:$K$81)</f>
        <v>#VALUE!</v>
      </c>
      <c r="N72" s="627"/>
      <c r="O72" s="627"/>
      <c r="P72" s="487"/>
      <c r="Q72" s="420"/>
      <c r="R72" s="420"/>
      <c r="S72" s="487"/>
      <c r="T72" s="637"/>
      <c r="U72" s="487"/>
      <c r="V72" s="420"/>
      <c r="W72" s="420"/>
      <c r="X72" s="487"/>
      <c r="Y72" s="637"/>
      <c r="Z72" s="487"/>
      <c r="AA72" s="420"/>
      <c r="AB72" s="420"/>
      <c r="AC72" s="487"/>
      <c r="AD72" s="637"/>
      <c r="AE72" s="487"/>
      <c r="AF72" s="420"/>
      <c r="AG72" s="420"/>
      <c r="AH72" s="487"/>
      <c r="AI72" s="637"/>
      <c r="AJ72" s="487"/>
      <c r="AK72" s="420"/>
      <c r="AL72" s="420"/>
      <c r="AM72" s="487"/>
      <c r="AN72" s="637"/>
      <c r="AO72" s="487"/>
      <c r="AP72" s="420"/>
      <c r="AQ72" s="420"/>
      <c r="AR72" s="487"/>
      <c r="AS72" s="637"/>
      <c r="AT72" s="487"/>
      <c r="AU72" s="420"/>
      <c r="AV72" s="420"/>
      <c r="AW72" s="487"/>
      <c r="AX72" s="637"/>
      <c r="AZ72" s="402" t="e">
        <f t="shared" si="46"/>
        <v>#N/A</v>
      </c>
      <c r="BA72" s="637"/>
    </row>
    <row r="73" spans="2:53">
      <c r="B73" s="635"/>
      <c r="C73" s="415">
        <v>7</v>
      </c>
      <c r="D73" s="370"/>
      <c r="E73" s="421"/>
      <c r="F73" s="421"/>
      <c r="G73" s="421"/>
      <c r="H73" s="672"/>
      <c r="I73" s="417" t="str">
        <f t="shared" si="43"/>
        <v>-</v>
      </c>
      <c r="J73" s="417" t="str">
        <f t="shared" si="44"/>
        <v>-</v>
      </c>
      <c r="K73" s="199" t="str">
        <f t="shared" si="45"/>
        <v>-</v>
      </c>
      <c r="L73" s="609"/>
      <c r="M73" s="421" t="e">
        <f>RANK(K73, K$67:$K$81)</f>
        <v>#VALUE!</v>
      </c>
      <c r="N73" s="627"/>
      <c r="O73" s="627"/>
      <c r="P73" s="487"/>
      <c r="Q73" s="420"/>
      <c r="R73" s="420"/>
      <c r="S73" s="487"/>
      <c r="T73" s="637"/>
      <c r="U73" s="487"/>
      <c r="V73" s="420"/>
      <c r="W73" s="420"/>
      <c r="X73" s="487"/>
      <c r="Y73" s="637"/>
      <c r="Z73" s="487"/>
      <c r="AA73" s="420"/>
      <c r="AB73" s="420"/>
      <c r="AC73" s="487"/>
      <c r="AD73" s="637"/>
      <c r="AE73" s="487"/>
      <c r="AF73" s="420"/>
      <c r="AG73" s="420"/>
      <c r="AH73" s="487"/>
      <c r="AI73" s="637"/>
      <c r="AJ73" s="487"/>
      <c r="AK73" s="420"/>
      <c r="AL73" s="420"/>
      <c r="AM73" s="487"/>
      <c r="AN73" s="637"/>
      <c r="AO73" s="487"/>
      <c r="AP73" s="420"/>
      <c r="AQ73" s="420"/>
      <c r="AR73" s="487"/>
      <c r="AS73" s="637"/>
      <c r="AT73" s="487"/>
      <c r="AU73" s="420"/>
      <c r="AV73" s="420"/>
      <c r="AW73" s="487"/>
      <c r="AX73" s="637"/>
      <c r="AZ73" s="402" t="e">
        <f t="shared" si="46"/>
        <v>#N/A</v>
      </c>
      <c r="BA73" s="637"/>
    </row>
    <row r="74" spans="2:53">
      <c r="B74" s="635"/>
      <c r="C74" s="415">
        <v>8</v>
      </c>
      <c r="D74" s="370"/>
      <c r="E74" s="421"/>
      <c r="F74" s="421"/>
      <c r="G74" s="421"/>
      <c r="H74" s="672"/>
      <c r="I74" s="417" t="str">
        <f t="shared" si="43"/>
        <v>-</v>
      </c>
      <c r="J74" s="417" t="str">
        <f t="shared" si="44"/>
        <v>-</v>
      </c>
      <c r="K74" s="199" t="str">
        <f t="shared" si="45"/>
        <v>-</v>
      </c>
      <c r="L74" s="609"/>
      <c r="M74" s="421" t="e">
        <f>RANK(K74, K$67:$K$81)</f>
        <v>#VALUE!</v>
      </c>
      <c r="N74" s="627"/>
      <c r="O74" s="627"/>
      <c r="P74" s="487"/>
      <c r="Q74" s="420"/>
      <c r="R74" s="420"/>
      <c r="S74" s="487"/>
      <c r="T74" s="637"/>
      <c r="U74" s="487"/>
      <c r="V74" s="420"/>
      <c r="W74" s="420"/>
      <c r="X74" s="487"/>
      <c r="Y74" s="637"/>
      <c r="Z74" s="487"/>
      <c r="AA74" s="420"/>
      <c r="AB74" s="420"/>
      <c r="AC74" s="487"/>
      <c r="AD74" s="637"/>
      <c r="AE74" s="487"/>
      <c r="AF74" s="420"/>
      <c r="AG74" s="420"/>
      <c r="AH74" s="487"/>
      <c r="AI74" s="637"/>
      <c r="AJ74" s="487"/>
      <c r="AK74" s="420"/>
      <c r="AL74" s="420"/>
      <c r="AM74" s="487"/>
      <c r="AN74" s="637"/>
      <c r="AO74" s="487"/>
      <c r="AP74" s="420"/>
      <c r="AQ74" s="420"/>
      <c r="AR74" s="487"/>
      <c r="AS74" s="637"/>
      <c r="AT74" s="487"/>
      <c r="AU74" s="420"/>
      <c r="AV74" s="420"/>
      <c r="AW74" s="487"/>
      <c r="AX74" s="637"/>
      <c r="AZ74" s="402" t="e">
        <f t="shared" si="46"/>
        <v>#N/A</v>
      </c>
      <c r="BA74" s="637"/>
    </row>
    <row r="75" spans="2:53">
      <c r="B75" s="635"/>
      <c r="C75" s="415">
        <v>9</v>
      </c>
      <c r="D75" s="370"/>
      <c r="E75" s="421"/>
      <c r="F75" s="421"/>
      <c r="G75" s="421"/>
      <c r="H75" s="672"/>
      <c r="I75" s="417" t="str">
        <f t="shared" si="43"/>
        <v>-</v>
      </c>
      <c r="J75" s="417" t="str">
        <f t="shared" si="44"/>
        <v>-</v>
      </c>
      <c r="K75" s="199" t="str">
        <f t="shared" si="45"/>
        <v>-</v>
      </c>
      <c r="L75" s="609"/>
      <c r="M75" s="421" t="e">
        <f>RANK(K75, K$67:$K$81)</f>
        <v>#VALUE!</v>
      </c>
      <c r="N75" s="627"/>
      <c r="O75" s="627"/>
      <c r="P75" s="487"/>
      <c r="Q75" s="420"/>
      <c r="R75" s="420"/>
      <c r="S75" s="487"/>
      <c r="T75" s="637"/>
      <c r="U75" s="487"/>
      <c r="V75" s="420"/>
      <c r="W75" s="420"/>
      <c r="X75" s="487"/>
      <c r="Y75" s="637"/>
      <c r="Z75" s="487"/>
      <c r="AA75" s="420"/>
      <c r="AB75" s="420"/>
      <c r="AC75" s="487"/>
      <c r="AD75" s="637"/>
      <c r="AE75" s="487"/>
      <c r="AF75" s="420"/>
      <c r="AG75" s="420"/>
      <c r="AH75" s="487"/>
      <c r="AI75" s="637"/>
      <c r="AJ75" s="487"/>
      <c r="AK75" s="420"/>
      <c r="AL75" s="420"/>
      <c r="AM75" s="487"/>
      <c r="AN75" s="637"/>
      <c r="AO75" s="487"/>
      <c r="AP75" s="420"/>
      <c r="AQ75" s="420"/>
      <c r="AR75" s="487"/>
      <c r="AS75" s="637"/>
      <c r="AT75" s="487"/>
      <c r="AU75" s="420"/>
      <c r="AV75" s="420"/>
      <c r="AW75" s="487"/>
      <c r="AX75" s="637"/>
      <c r="AZ75" s="402" t="e">
        <f t="shared" si="46"/>
        <v>#N/A</v>
      </c>
      <c r="BA75" s="637"/>
    </row>
    <row r="76" spans="2:53">
      <c r="B76" s="635"/>
      <c r="C76" s="415">
        <v>10</v>
      </c>
      <c r="D76" s="370"/>
      <c r="E76" s="421"/>
      <c r="F76" s="421"/>
      <c r="G76" s="421"/>
      <c r="H76" s="672"/>
      <c r="I76" s="417" t="str">
        <f t="shared" si="43"/>
        <v>-</v>
      </c>
      <c r="J76" s="417" t="str">
        <f t="shared" si="44"/>
        <v>-</v>
      </c>
      <c r="K76" s="199" t="str">
        <f t="shared" si="45"/>
        <v>-</v>
      </c>
      <c r="L76" s="609"/>
      <c r="M76" s="421" t="e">
        <f>RANK(K76, K$67:$K$81)</f>
        <v>#VALUE!</v>
      </c>
      <c r="N76" s="627"/>
      <c r="O76" s="627"/>
      <c r="P76" s="487"/>
      <c r="Q76" s="420"/>
      <c r="R76" s="420"/>
      <c r="S76" s="487"/>
      <c r="T76" s="637"/>
      <c r="U76" s="487"/>
      <c r="V76" s="420"/>
      <c r="W76" s="420"/>
      <c r="X76" s="487"/>
      <c r="Y76" s="637"/>
      <c r="Z76" s="487"/>
      <c r="AA76" s="420"/>
      <c r="AB76" s="420"/>
      <c r="AC76" s="487"/>
      <c r="AD76" s="637"/>
      <c r="AE76" s="487"/>
      <c r="AF76" s="420"/>
      <c r="AG76" s="420"/>
      <c r="AH76" s="487"/>
      <c r="AI76" s="637"/>
      <c r="AJ76" s="487"/>
      <c r="AK76" s="420"/>
      <c r="AL76" s="420"/>
      <c r="AM76" s="487"/>
      <c r="AN76" s="637"/>
      <c r="AO76" s="487"/>
      <c r="AP76" s="420"/>
      <c r="AQ76" s="420"/>
      <c r="AR76" s="487"/>
      <c r="AS76" s="637"/>
      <c r="AT76" s="487"/>
      <c r="AU76" s="420"/>
      <c r="AV76" s="420"/>
      <c r="AW76" s="487"/>
      <c r="AX76" s="637"/>
      <c r="AZ76" s="402" t="e">
        <f t="shared" si="46"/>
        <v>#N/A</v>
      </c>
      <c r="BA76" s="637"/>
    </row>
    <row r="77" spans="2:53">
      <c r="B77" s="635"/>
      <c r="C77" s="415">
        <v>11</v>
      </c>
      <c r="D77" s="370"/>
      <c r="E77" s="421"/>
      <c r="F77" s="421"/>
      <c r="G77" s="421"/>
      <c r="H77" s="672"/>
      <c r="I77" s="417" t="str">
        <f t="shared" si="43"/>
        <v>-</v>
      </c>
      <c r="J77" s="417" t="str">
        <f t="shared" si="44"/>
        <v>-</v>
      </c>
      <c r="K77" s="199" t="str">
        <f t="shared" si="45"/>
        <v>-</v>
      </c>
      <c r="L77" s="609"/>
      <c r="M77" s="421" t="e">
        <f>RANK(K77, K$67:$K$81)</f>
        <v>#VALUE!</v>
      </c>
      <c r="N77" s="627"/>
      <c r="O77" s="627"/>
      <c r="P77" s="487"/>
      <c r="Q77" s="420"/>
      <c r="R77" s="420"/>
      <c r="S77" s="487"/>
      <c r="T77" s="637"/>
      <c r="U77" s="487"/>
      <c r="V77" s="420"/>
      <c r="W77" s="420"/>
      <c r="X77" s="487"/>
      <c r="Y77" s="637"/>
      <c r="Z77" s="487"/>
      <c r="AA77" s="420"/>
      <c r="AB77" s="420"/>
      <c r="AC77" s="487"/>
      <c r="AD77" s="637"/>
      <c r="AE77" s="487"/>
      <c r="AF77" s="420"/>
      <c r="AG77" s="420"/>
      <c r="AH77" s="487"/>
      <c r="AI77" s="637"/>
      <c r="AJ77" s="487"/>
      <c r="AK77" s="420"/>
      <c r="AL77" s="420"/>
      <c r="AM77" s="487"/>
      <c r="AN77" s="637"/>
      <c r="AO77" s="487"/>
      <c r="AP77" s="420"/>
      <c r="AQ77" s="420"/>
      <c r="AR77" s="487"/>
      <c r="AS77" s="637"/>
      <c r="AT77" s="487"/>
      <c r="AU77" s="420"/>
      <c r="AV77" s="420"/>
      <c r="AW77" s="487"/>
      <c r="AX77" s="637"/>
      <c r="AZ77" s="402" t="e">
        <f t="shared" si="46"/>
        <v>#N/A</v>
      </c>
      <c r="BA77" s="637"/>
    </row>
    <row r="78" spans="2:53">
      <c r="B78" s="635"/>
      <c r="C78" s="415">
        <v>12</v>
      </c>
      <c r="D78" s="370"/>
      <c r="E78" s="421"/>
      <c r="F78" s="421"/>
      <c r="G78" s="421"/>
      <c r="H78" s="672"/>
      <c r="I78" s="417" t="str">
        <f t="shared" si="43"/>
        <v>-</v>
      </c>
      <c r="J78" s="417" t="str">
        <f t="shared" si="44"/>
        <v>-</v>
      </c>
      <c r="K78" s="199" t="str">
        <f t="shared" si="45"/>
        <v>-</v>
      </c>
      <c r="L78" s="609"/>
      <c r="M78" s="421" t="e">
        <f>RANK(K78, K$67:$K$81)</f>
        <v>#VALUE!</v>
      </c>
      <c r="N78" s="627"/>
      <c r="O78" s="627"/>
      <c r="P78" s="487"/>
      <c r="Q78" s="420"/>
      <c r="R78" s="420"/>
      <c r="S78" s="487"/>
      <c r="T78" s="637"/>
      <c r="U78" s="487"/>
      <c r="V78" s="420"/>
      <c r="W78" s="420"/>
      <c r="X78" s="487"/>
      <c r="Y78" s="637"/>
      <c r="Z78" s="487"/>
      <c r="AA78" s="420"/>
      <c r="AB78" s="420"/>
      <c r="AC78" s="487"/>
      <c r="AD78" s="637"/>
      <c r="AE78" s="487"/>
      <c r="AF78" s="420"/>
      <c r="AG78" s="420"/>
      <c r="AH78" s="487"/>
      <c r="AI78" s="637"/>
      <c r="AJ78" s="487"/>
      <c r="AK78" s="420"/>
      <c r="AL78" s="420"/>
      <c r="AM78" s="487"/>
      <c r="AN78" s="637"/>
      <c r="AO78" s="487"/>
      <c r="AP78" s="420"/>
      <c r="AQ78" s="420"/>
      <c r="AR78" s="487"/>
      <c r="AS78" s="637"/>
      <c r="AT78" s="487"/>
      <c r="AU78" s="420"/>
      <c r="AV78" s="420"/>
      <c r="AW78" s="487"/>
      <c r="AX78" s="637"/>
      <c r="AZ78" s="402" t="e">
        <f t="shared" si="46"/>
        <v>#N/A</v>
      </c>
      <c r="BA78" s="637"/>
    </row>
    <row r="79" spans="2:53">
      <c r="B79" s="635"/>
      <c r="C79" s="415">
        <v>13</v>
      </c>
      <c r="D79" s="370"/>
      <c r="E79" s="421"/>
      <c r="F79" s="421"/>
      <c r="G79" s="421"/>
      <c r="H79" s="672"/>
      <c r="I79" s="417" t="str">
        <f t="shared" si="43"/>
        <v>-</v>
      </c>
      <c r="J79" s="417" t="str">
        <f t="shared" si="44"/>
        <v>-</v>
      </c>
      <c r="K79" s="199" t="str">
        <f t="shared" si="45"/>
        <v>-</v>
      </c>
      <c r="L79" s="609"/>
      <c r="M79" s="421" t="e">
        <f>RANK(K79, K$67:$K$81)</f>
        <v>#VALUE!</v>
      </c>
      <c r="N79" s="627"/>
      <c r="O79" s="627"/>
      <c r="P79" s="487"/>
      <c r="Q79" s="420"/>
      <c r="R79" s="420"/>
      <c r="S79" s="487"/>
      <c r="T79" s="637"/>
      <c r="U79" s="487"/>
      <c r="V79" s="420"/>
      <c r="W79" s="420"/>
      <c r="X79" s="487"/>
      <c r="Y79" s="637"/>
      <c r="Z79" s="487"/>
      <c r="AA79" s="420"/>
      <c r="AB79" s="420"/>
      <c r="AC79" s="487"/>
      <c r="AD79" s="637"/>
      <c r="AE79" s="487"/>
      <c r="AF79" s="420"/>
      <c r="AG79" s="420"/>
      <c r="AH79" s="487"/>
      <c r="AI79" s="637"/>
      <c r="AJ79" s="487"/>
      <c r="AK79" s="420"/>
      <c r="AL79" s="420"/>
      <c r="AM79" s="487"/>
      <c r="AN79" s="637"/>
      <c r="AO79" s="487"/>
      <c r="AP79" s="420"/>
      <c r="AQ79" s="420"/>
      <c r="AR79" s="487"/>
      <c r="AS79" s="637"/>
      <c r="AT79" s="487"/>
      <c r="AU79" s="420"/>
      <c r="AV79" s="420"/>
      <c r="AW79" s="487"/>
      <c r="AX79" s="637"/>
      <c r="AZ79" s="402" t="e">
        <f t="shared" si="46"/>
        <v>#N/A</v>
      </c>
      <c r="BA79" s="637"/>
    </row>
    <row r="80" spans="2:53">
      <c r="B80" s="635"/>
      <c r="C80" s="415">
        <v>14</v>
      </c>
      <c r="D80" s="370"/>
      <c r="E80" s="421"/>
      <c r="F80" s="421"/>
      <c r="G80" s="421"/>
      <c r="H80" s="672"/>
      <c r="I80" s="417" t="str">
        <f t="shared" si="43"/>
        <v>-</v>
      </c>
      <c r="J80" s="417" t="str">
        <f t="shared" si="44"/>
        <v>-</v>
      </c>
      <c r="K80" s="199" t="str">
        <f t="shared" si="45"/>
        <v>-</v>
      </c>
      <c r="L80" s="609"/>
      <c r="M80" s="421" t="e">
        <f>RANK(K80, K$67:$K$81)</f>
        <v>#VALUE!</v>
      </c>
      <c r="N80" s="627"/>
      <c r="O80" s="627"/>
      <c r="P80" s="487"/>
      <c r="Q80" s="420"/>
      <c r="R80" s="420"/>
      <c r="S80" s="487"/>
      <c r="T80" s="637"/>
      <c r="U80" s="487"/>
      <c r="V80" s="420"/>
      <c r="W80" s="420"/>
      <c r="X80" s="487"/>
      <c r="Y80" s="637"/>
      <c r="Z80" s="487"/>
      <c r="AA80" s="420"/>
      <c r="AB80" s="420"/>
      <c r="AC80" s="487"/>
      <c r="AD80" s="637"/>
      <c r="AE80" s="487"/>
      <c r="AF80" s="420"/>
      <c r="AG80" s="420"/>
      <c r="AH80" s="487"/>
      <c r="AI80" s="637"/>
      <c r="AJ80" s="487"/>
      <c r="AK80" s="420"/>
      <c r="AL80" s="420"/>
      <c r="AM80" s="487"/>
      <c r="AN80" s="637"/>
      <c r="AO80" s="487"/>
      <c r="AP80" s="420"/>
      <c r="AQ80" s="420"/>
      <c r="AR80" s="487"/>
      <c r="AS80" s="637"/>
      <c r="AT80" s="487"/>
      <c r="AU80" s="420"/>
      <c r="AV80" s="420"/>
      <c r="AW80" s="487"/>
      <c r="AX80" s="637"/>
      <c r="AZ80" s="402" t="e">
        <f t="shared" si="46"/>
        <v>#N/A</v>
      </c>
      <c r="BA80" s="637"/>
    </row>
    <row r="81" spans="2:53">
      <c r="B81" s="635"/>
      <c r="C81" s="415">
        <v>15</v>
      </c>
      <c r="D81" s="370"/>
      <c r="E81" s="421"/>
      <c r="F81" s="421"/>
      <c r="G81" s="421"/>
      <c r="H81" s="676"/>
      <c r="I81" s="421"/>
      <c r="J81" s="421"/>
      <c r="K81" s="418"/>
      <c r="L81" s="610"/>
      <c r="M81" s="421" t="e">
        <f>RANK(K81, K$67:$K$81)</f>
        <v>#N/A</v>
      </c>
      <c r="N81" s="627"/>
      <c r="O81" s="627"/>
      <c r="P81" s="487"/>
      <c r="Q81" s="420"/>
      <c r="R81" s="420"/>
      <c r="S81" s="487"/>
      <c r="T81" s="638"/>
      <c r="U81" s="487"/>
      <c r="V81" s="420"/>
      <c r="W81" s="420"/>
      <c r="X81" s="487"/>
      <c r="Y81" s="638"/>
      <c r="Z81" s="487"/>
      <c r="AA81" s="420"/>
      <c r="AB81" s="420"/>
      <c r="AC81" s="487"/>
      <c r="AD81" s="638"/>
      <c r="AE81" s="487"/>
      <c r="AF81" s="420"/>
      <c r="AG81" s="420"/>
      <c r="AH81" s="487"/>
      <c r="AI81" s="638"/>
      <c r="AJ81" s="487"/>
      <c r="AK81" s="420"/>
      <c r="AL81" s="420"/>
      <c r="AM81" s="487"/>
      <c r="AN81" s="638"/>
      <c r="AO81" s="487"/>
      <c r="AP81" s="420"/>
      <c r="AQ81" s="420"/>
      <c r="AR81" s="487"/>
      <c r="AS81" s="638"/>
      <c r="AT81" s="487"/>
      <c r="AU81" s="420"/>
      <c r="AV81" s="420"/>
      <c r="AW81" s="487"/>
      <c r="AX81" s="638"/>
      <c r="AZ81" s="402" t="e">
        <f t="shared" si="46"/>
        <v>#N/A</v>
      </c>
      <c r="BA81" s="638"/>
    </row>
    <row r="82" spans="2:53" ht="15.75">
      <c r="B82" s="639" t="s">
        <v>163</v>
      </c>
      <c r="C82" s="640"/>
      <c r="D82" s="640"/>
      <c r="E82" s="640"/>
      <c r="F82" s="640"/>
      <c r="G82" s="640"/>
      <c r="H82" s="641"/>
      <c r="I82" s="207"/>
      <c r="J82" s="207"/>
      <c r="K82" s="207"/>
      <c r="L82" s="207"/>
      <c r="M82" s="206"/>
      <c r="N82" s="628" t="s">
        <v>156</v>
      </c>
      <c r="O82" s="628" t="s">
        <v>105</v>
      </c>
      <c r="P82" s="634">
        <f>P62+7</f>
        <v>46196</v>
      </c>
      <c r="Q82" s="635"/>
      <c r="R82" s="635"/>
      <c r="S82" s="635"/>
      <c r="T82" s="635"/>
      <c r="U82" s="631">
        <f>P82+1</f>
        <v>46197</v>
      </c>
      <c r="V82" s="632"/>
      <c r="W82" s="632"/>
      <c r="X82" s="632"/>
      <c r="Y82" s="633"/>
      <c r="Z82" s="631">
        <f>U82+1</f>
        <v>46198</v>
      </c>
      <c r="AA82" s="632"/>
      <c r="AB82" s="632"/>
      <c r="AC82" s="632"/>
      <c r="AD82" s="633"/>
      <c r="AE82" s="631">
        <f>Z82+1</f>
        <v>46199</v>
      </c>
      <c r="AF82" s="632"/>
      <c r="AG82" s="632"/>
      <c r="AH82" s="632"/>
      <c r="AI82" s="633"/>
      <c r="AJ82" s="631">
        <f>AE82+1</f>
        <v>46200</v>
      </c>
      <c r="AK82" s="632"/>
      <c r="AL82" s="632"/>
      <c r="AM82" s="632"/>
      <c r="AN82" s="633"/>
      <c r="AO82" s="631">
        <f>AJ82+1</f>
        <v>46201</v>
      </c>
      <c r="AP82" s="632"/>
      <c r="AQ82" s="632"/>
      <c r="AR82" s="632"/>
      <c r="AS82" s="633"/>
      <c r="AT82" s="631">
        <f>AO82+1</f>
        <v>46202</v>
      </c>
      <c r="AU82" s="632"/>
      <c r="AV82" s="632"/>
      <c r="AW82" s="632"/>
      <c r="AX82" s="633"/>
    </row>
    <row r="83" spans="2:53" ht="15.75">
      <c r="B83" s="642"/>
      <c r="C83" s="642"/>
      <c r="D83" s="642"/>
      <c r="E83" s="642"/>
      <c r="F83" s="642"/>
      <c r="G83" s="642"/>
      <c r="H83" s="642"/>
      <c r="I83" s="204"/>
      <c r="J83" s="204"/>
      <c r="K83" s="204"/>
      <c r="L83" s="204"/>
      <c r="M83" s="205"/>
      <c r="N83" s="630"/>
      <c r="O83" s="630"/>
      <c r="P83" s="634" t="s">
        <v>318</v>
      </c>
      <c r="Q83" s="635"/>
      <c r="R83" s="635"/>
      <c r="S83" s="635"/>
      <c r="T83" s="635"/>
      <c r="U83" s="634" t="s">
        <v>319</v>
      </c>
      <c r="V83" s="635"/>
      <c r="W83" s="635"/>
      <c r="X83" s="635"/>
      <c r="Y83" s="635"/>
      <c r="Z83" s="634" t="s">
        <v>320</v>
      </c>
      <c r="AA83" s="635"/>
      <c r="AB83" s="635"/>
      <c r="AC83" s="635"/>
      <c r="AD83" s="635"/>
      <c r="AE83" s="634" t="s">
        <v>321</v>
      </c>
      <c r="AF83" s="635"/>
      <c r="AG83" s="635"/>
      <c r="AH83" s="635"/>
      <c r="AI83" s="635"/>
      <c r="AJ83" s="634" t="s">
        <v>322</v>
      </c>
      <c r="AK83" s="635"/>
      <c r="AL83" s="635"/>
      <c r="AM83" s="635"/>
      <c r="AN83" s="635"/>
      <c r="AO83" s="634" t="s">
        <v>323</v>
      </c>
      <c r="AP83" s="635"/>
      <c r="AQ83" s="635"/>
      <c r="AR83" s="635"/>
      <c r="AS83" s="635"/>
      <c r="AT83" s="634" t="s">
        <v>324</v>
      </c>
      <c r="AU83" s="635"/>
      <c r="AV83" s="635"/>
      <c r="AW83" s="635"/>
      <c r="AX83" s="635"/>
    </row>
    <row r="84" spans="2:53">
      <c r="B84" s="627" t="s">
        <v>399</v>
      </c>
      <c r="C84" s="627" t="s">
        <v>384</v>
      </c>
      <c r="D84" s="627"/>
      <c r="E84" s="627" t="s">
        <v>375</v>
      </c>
      <c r="F84" s="627"/>
      <c r="G84" s="627"/>
      <c r="H84" s="643" t="s">
        <v>371</v>
      </c>
      <c r="I84" s="627" t="s">
        <v>376</v>
      </c>
      <c r="J84" s="627"/>
      <c r="K84" s="627"/>
      <c r="L84" s="643" t="s">
        <v>371</v>
      </c>
      <c r="M84" s="628" t="s">
        <v>372</v>
      </c>
      <c r="N84" s="627"/>
      <c r="O84" s="627" t="s">
        <v>377</v>
      </c>
      <c r="P84" s="624" t="s">
        <v>373</v>
      </c>
      <c r="Q84" s="625"/>
      <c r="R84" s="625"/>
      <c r="S84" s="626"/>
      <c r="T84" s="627" t="s">
        <v>371</v>
      </c>
      <c r="U84" s="624" t="s">
        <v>373</v>
      </c>
      <c r="V84" s="625"/>
      <c r="W84" s="625"/>
      <c r="X84" s="626"/>
      <c r="Y84" s="627" t="s">
        <v>371</v>
      </c>
      <c r="Z84" s="624" t="s">
        <v>373</v>
      </c>
      <c r="AA84" s="625"/>
      <c r="AB84" s="625"/>
      <c r="AC84" s="626"/>
      <c r="AD84" s="627" t="s">
        <v>371</v>
      </c>
      <c r="AE84" s="624" t="s">
        <v>373</v>
      </c>
      <c r="AF84" s="625"/>
      <c r="AG84" s="625"/>
      <c r="AH84" s="626"/>
      <c r="AI84" s="627" t="s">
        <v>371</v>
      </c>
      <c r="AJ84" s="624" t="s">
        <v>373</v>
      </c>
      <c r="AK84" s="625"/>
      <c r="AL84" s="625"/>
      <c r="AM84" s="626"/>
      <c r="AN84" s="627" t="s">
        <v>371</v>
      </c>
      <c r="AO84" s="624" t="s">
        <v>373</v>
      </c>
      <c r="AP84" s="625"/>
      <c r="AQ84" s="625"/>
      <c r="AR84" s="626"/>
      <c r="AS84" s="627" t="s">
        <v>371</v>
      </c>
      <c r="AT84" s="624" t="s">
        <v>373</v>
      </c>
      <c r="AU84" s="625"/>
      <c r="AV84" s="625"/>
      <c r="AW84" s="626"/>
      <c r="AX84" s="627" t="s">
        <v>371</v>
      </c>
      <c r="BA84" s="627" t="s">
        <v>371</v>
      </c>
    </row>
    <row r="85" spans="2:53">
      <c r="B85" s="627"/>
      <c r="C85" s="627"/>
      <c r="D85" s="627"/>
      <c r="E85" s="627" t="s">
        <v>378</v>
      </c>
      <c r="F85" s="627"/>
      <c r="G85" s="627"/>
      <c r="H85" s="644"/>
      <c r="I85" s="627" t="s">
        <v>378</v>
      </c>
      <c r="J85" s="627"/>
      <c r="K85" s="627"/>
      <c r="L85" s="644"/>
      <c r="M85" s="629"/>
      <c r="N85" s="627"/>
      <c r="O85" s="627"/>
      <c r="P85" s="624" t="s">
        <v>379</v>
      </c>
      <c r="Q85" s="625"/>
      <c r="R85" s="625"/>
      <c r="S85" s="626"/>
      <c r="T85" s="627"/>
      <c r="U85" s="624" t="s">
        <v>379</v>
      </c>
      <c r="V85" s="625"/>
      <c r="W85" s="625"/>
      <c r="X85" s="626"/>
      <c r="Y85" s="627"/>
      <c r="Z85" s="624" t="s">
        <v>379</v>
      </c>
      <c r="AA85" s="625"/>
      <c r="AB85" s="625"/>
      <c r="AC85" s="626"/>
      <c r="AD85" s="627"/>
      <c r="AE85" s="624" t="s">
        <v>379</v>
      </c>
      <c r="AF85" s="625"/>
      <c r="AG85" s="625"/>
      <c r="AH85" s="626"/>
      <c r="AI85" s="627"/>
      <c r="AJ85" s="624" t="s">
        <v>379</v>
      </c>
      <c r="AK85" s="625"/>
      <c r="AL85" s="625"/>
      <c r="AM85" s="626"/>
      <c r="AN85" s="627"/>
      <c r="AO85" s="624" t="s">
        <v>379</v>
      </c>
      <c r="AP85" s="625"/>
      <c r="AQ85" s="625"/>
      <c r="AR85" s="626"/>
      <c r="AS85" s="627"/>
      <c r="AT85" s="624" t="s">
        <v>379</v>
      </c>
      <c r="AU85" s="625"/>
      <c r="AV85" s="625"/>
      <c r="AW85" s="626"/>
      <c r="AX85" s="627"/>
      <c r="BA85" s="627"/>
    </row>
    <row r="86" spans="2:53">
      <c r="B86" s="627"/>
      <c r="C86" s="627"/>
      <c r="D86" s="627"/>
      <c r="E86" s="412" t="s">
        <v>380</v>
      </c>
      <c r="F86" s="412" t="s">
        <v>381</v>
      </c>
      <c r="G86" s="412" t="s">
        <v>382</v>
      </c>
      <c r="H86" s="645"/>
      <c r="I86" s="412" t="s">
        <v>380</v>
      </c>
      <c r="J86" s="412" t="s">
        <v>381</v>
      </c>
      <c r="K86" s="412" t="s">
        <v>382</v>
      </c>
      <c r="L86" s="645"/>
      <c r="M86" s="630"/>
      <c r="N86" s="627"/>
      <c r="O86" s="627"/>
      <c r="P86" s="412" t="s">
        <v>380</v>
      </c>
      <c r="Q86" s="412" t="s">
        <v>381</v>
      </c>
      <c r="R86" s="412" t="s">
        <v>382</v>
      </c>
      <c r="S86" s="412" t="s">
        <v>372</v>
      </c>
      <c r="T86" s="627"/>
      <c r="U86" s="412" t="s">
        <v>380</v>
      </c>
      <c r="V86" s="412" t="s">
        <v>381</v>
      </c>
      <c r="W86" s="412" t="s">
        <v>382</v>
      </c>
      <c r="X86" s="412" t="s">
        <v>372</v>
      </c>
      <c r="Y86" s="627"/>
      <c r="Z86" s="412" t="s">
        <v>380</v>
      </c>
      <c r="AA86" s="412" t="s">
        <v>381</v>
      </c>
      <c r="AB86" s="412" t="s">
        <v>382</v>
      </c>
      <c r="AC86" s="412" t="s">
        <v>372</v>
      </c>
      <c r="AD86" s="627"/>
      <c r="AE86" s="412" t="s">
        <v>380</v>
      </c>
      <c r="AF86" s="412" t="s">
        <v>381</v>
      </c>
      <c r="AG86" s="412" t="s">
        <v>382</v>
      </c>
      <c r="AH86" s="412" t="s">
        <v>372</v>
      </c>
      <c r="AI86" s="627"/>
      <c r="AJ86" s="412" t="s">
        <v>380</v>
      </c>
      <c r="AK86" s="412" t="s">
        <v>381</v>
      </c>
      <c r="AL86" s="412" t="s">
        <v>382</v>
      </c>
      <c r="AM86" s="412" t="s">
        <v>372</v>
      </c>
      <c r="AN86" s="627"/>
      <c r="AO86" s="412" t="s">
        <v>380</v>
      </c>
      <c r="AP86" s="412" t="s">
        <v>381</v>
      </c>
      <c r="AQ86" s="412" t="s">
        <v>382</v>
      </c>
      <c r="AR86" s="412" t="s">
        <v>372</v>
      </c>
      <c r="AS86" s="627"/>
      <c r="AT86" s="412" t="s">
        <v>380</v>
      </c>
      <c r="AU86" s="412" t="s">
        <v>381</v>
      </c>
      <c r="AV86" s="412" t="s">
        <v>382</v>
      </c>
      <c r="AW86" s="412" t="s">
        <v>372</v>
      </c>
      <c r="AX86" s="627"/>
      <c r="AZ86" s="401" t="s">
        <v>372</v>
      </c>
      <c r="BA86" s="627"/>
    </row>
    <row r="87" spans="2:53">
      <c r="B87" s="675" t="s">
        <v>413</v>
      </c>
      <c r="C87" s="415">
        <v>1</v>
      </c>
      <c r="D87" s="370"/>
      <c r="E87" s="421"/>
      <c r="F87" s="421"/>
      <c r="G87" s="421"/>
      <c r="H87" s="671" t="e">
        <f>AVERAGE(G87:G101)</f>
        <v>#DIV/0!</v>
      </c>
      <c r="I87" s="417" t="str">
        <f t="shared" ref="I87:I100" si="48">IFERROR(AVERAGE(P87,U87,Z87,AE87,AJ87,AO87,AT87),"-")</f>
        <v>-</v>
      </c>
      <c r="J87" s="417" t="str">
        <f t="shared" ref="J87:J100" si="49">IFERROR(AVERAGE(Q87,V87,AA87,AF87,AK87,AP87,AU87),"-")</f>
        <v>-</v>
      </c>
      <c r="K87" s="199" t="str">
        <f t="shared" ref="K87:K100" si="50">IFERROR(AVERAGE(R87,W87,AB87,AG87,AL87,AQ87,AV87),"-")</f>
        <v>-</v>
      </c>
      <c r="L87" s="608" t="str">
        <f>IFERROR(AVERAGE(K87:K101),"-")</f>
        <v>-</v>
      </c>
      <c r="M87" s="421" t="e">
        <f>RANK(K87, K$87:$K$101)</f>
        <v>#VALUE!</v>
      </c>
      <c r="N87" s="627"/>
      <c r="O87" s="627"/>
      <c r="P87" s="495"/>
      <c r="Q87" s="420"/>
      <c r="R87" s="420"/>
      <c r="S87" s="495" t="e">
        <f t="shared" ref="S87:S101" si="51">RANK(R87, R$87:R$101)</f>
        <v>#N/A</v>
      </c>
      <c r="T87" s="649" t="e">
        <f t="shared" ref="T87" si="52">AVERAGE(R87:R101)</f>
        <v>#DIV/0!</v>
      </c>
      <c r="U87" s="495"/>
      <c r="V87" s="420"/>
      <c r="W87" s="420"/>
      <c r="X87" s="495"/>
      <c r="Y87" s="649"/>
      <c r="Z87" s="495"/>
      <c r="AA87" s="420"/>
      <c r="AB87" s="420"/>
      <c r="AC87" s="495"/>
      <c r="AD87" s="649"/>
      <c r="AE87" s="495"/>
      <c r="AF87" s="420"/>
      <c r="AG87" s="420"/>
      <c r="AH87" s="495"/>
      <c r="AI87" s="649"/>
      <c r="AJ87" s="495"/>
      <c r="AK87" s="420"/>
      <c r="AL87" s="420"/>
      <c r="AM87" s="495"/>
      <c r="AN87" s="649"/>
      <c r="AO87" s="495"/>
      <c r="AP87" s="420"/>
      <c r="AQ87" s="420"/>
      <c r="AR87" s="495"/>
      <c r="AS87" s="649"/>
      <c r="AT87" s="495"/>
      <c r="AU87" s="420"/>
      <c r="AV87" s="420"/>
      <c r="AW87" s="495"/>
      <c r="AX87" s="649"/>
      <c r="AZ87" s="402" t="e">
        <f t="shared" ref="AZ87:AZ101" si="53">RANK(AY87, AY$87:AY$101)</f>
        <v>#N/A</v>
      </c>
      <c r="BA87" s="649" t="e">
        <f t="shared" ref="BA87" si="54">AVERAGE(AY87:AY101)</f>
        <v>#DIV/0!</v>
      </c>
    </row>
    <row r="88" spans="2:53">
      <c r="B88" s="635"/>
      <c r="C88" s="415">
        <v>2</v>
      </c>
      <c r="D88" s="370"/>
      <c r="E88" s="421"/>
      <c r="F88" s="421"/>
      <c r="G88" s="421"/>
      <c r="H88" s="672"/>
      <c r="I88" s="417" t="str">
        <f t="shared" si="48"/>
        <v>-</v>
      </c>
      <c r="J88" s="417" t="str">
        <f t="shared" si="49"/>
        <v>-</v>
      </c>
      <c r="K88" s="199" t="str">
        <f t="shared" si="50"/>
        <v>-</v>
      </c>
      <c r="L88" s="609"/>
      <c r="M88" s="497" t="e">
        <f>RANK(K88, K$87:$K$101)</f>
        <v>#VALUE!</v>
      </c>
      <c r="N88" s="627"/>
      <c r="O88" s="627"/>
      <c r="P88" s="495"/>
      <c r="Q88" s="420"/>
      <c r="R88" s="420"/>
      <c r="S88" s="495" t="e">
        <f t="shared" si="51"/>
        <v>#N/A</v>
      </c>
      <c r="T88" s="649"/>
      <c r="U88" s="495"/>
      <c r="V88" s="420"/>
      <c r="W88" s="420"/>
      <c r="X88" s="495"/>
      <c r="Y88" s="649"/>
      <c r="Z88" s="495"/>
      <c r="AA88" s="420"/>
      <c r="AB88" s="420"/>
      <c r="AC88" s="495"/>
      <c r="AD88" s="649"/>
      <c r="AE88" s="495"/>
      <c r="AF88" s="420"/>
      <c r="AG88" s="420"/>
      <c r="AH88" s="495"/>
      <c r="AI88" s="649"/>
      <c r="AJ88" s="495"/>
      <c r="AK88" s="420"/>
      <c r="AL88" s="420"/>
      <c r="AM88" s="495"/>
      <c r="AN88" s="649"/>
      <c r="AO88" s="495"/>
      <c r="AP88" s="420"/>
      <c r="AQ88" s="420"/>
      <c r="AR88" s="495"/>
      <c r="AS88" s="649"/>
      <c r="AT88" s="495"/>
      <c r="AU88" s="420"/>
      <c r="AV88" s="420"/>
      <c r="AW88" s="495"/>
      <c r="AX88" s="649"/>
      <c r="AZ88" s="402" t="e">
        <f t="shared" si="53"/>
        <v>#N/A</v>
      </c>
      <c r="BA88" s="649"/>
    </row>
    <row r="89" spans="2:53">
      <c r="B89" s="635"/>
      <c r="C89" s="415">
        <v>3</v>
      </c>
      <c r="D89" s="370"/>
      <c r="E89" s="421"/>
      <c r="F89" s="421"/>
      <c r="G89" s="421"/>
      <c r="H89" s="672"/>
      <c r="I89" s="417" t="str">
        <f t="shared" si="48"/>
        <v>-</v>
      </c>
      <c r="J89" s="417" t="str">
        <f t="shared" si="49"/>
        <v>-</v>
      </c>
      <c r="K89" s="199" t="str">
        <f t="shared" si="50"/>
        <v>-</v>
      </c>
      <c r="L89" s="609"/>
      <c r="M89" s="497" t="e">
        <f>RANK(K89, K$87:$K$101)</f>
        <v>#VALUE!</v>
      </c>
      <c r="N89" s="627"/>
      <c r="O89" s="627"/>
      <c r="P89" s="495"/>
      <c r="Q89" s="420"/>
      <c r="R89" s="420"/>
      <c r="S89" s="495" t="e">
        <f t="shared" si="51"/>
        <v>#N/A</v>
      </c>
      <c r="T89" s="649"/>
      <c r="U89" s="495"/>
      <c r="V89" s="420"/>
      <c r="W89" s="420"/>
      <c r="X89" s="495"/>
      <c r="Y89" s="649"/>
      <c r="Z89" s="495"/>
      <c r="AA89" s="420"/>
      <c r="AB89" s="420"/>
      <c r="AC89" s="495"/>
      <c r="AD89" s="649"/>
      <c r="AE89" s="495"/>
      <c r="AF89" s="420"/>
      <c r="AG89" s="420"/>
      <c r="AH89" s="495"/>
      <c r="AI89" s="649"/>
      <c r="AJ89" s="495"/>
      <c r="AK89" s="420"/>
      <c r="AL89" s="420"/>
      <c r="AM89" s="495"/>
      <c r="AN89" s="649"/>
      <c r="AO89" s="495"/>
      <c r="AP89" s="420"/>
      <c r="AQ89" s="420"/>
      <c r="AR89" s="495"/>
      <c r="AS89" s="649"/>
      <c r="AT89" s="495"/>
      <c r="AU89" s="420"/>
      <c r="AV89" s="420"/>
      <c r="AW89" s="495"/>
      <c r="AX89" s="649"/>
      <c r="AZ89" s="402" t="e">
        <f t="shared" si="53"/>
        <v>#N/A</v>
      </c>
      <c r="BA89" s="649"/>
    </row>
    <row r="90" spans="2:53">
      <c r="B90" s="635"/>
      <c r="C90" s="415">
        <v>4</v>
      </c>
      <c r="D90" s="370"/>
      <c r="E90" s="421"/>
      <c r="F90" s="421"/>
      <c r="G90" s="421"/>
      <c r="H90" s="672"/>
      <c r="I90" s="417" t="str">
        <f t="shared" si="48"/>
        <v>-</v>
      </c>
      <c r="J90" s="417" t="str">
        <f t="shared" si="49"/>
        <v>-</v>
      </c>
      <c r="K90" s="199" t="str">
        <f t="shared" si="50"/>
        <v>-</v>
      </c>
      <c r="L90" s="609"/>
      <c r="M90" s="497" t="e">
        <f>RANK(K90, K$87:$K$101)</f>
        <v>#VALUE!</v>
      </c>
      <c r="N90" s="627"/>
      <c r="O90" s="627"/>
      <c r="P90" s="495"/>
      <c r="Q90" s="420"/>
      <c r="R90" s="420"/>
      <c r="S90" s="495" t="e">
        <f t="shared" si="51"/>
        <v>#N/A</v>
      </c>
      <c r="T90" s="649"/>
      <c r="U90" s="495"/>
      <c r="V90" s="420"/>
      <c r="W90" s="420"/>
      <c r="X90" s="495"/>
      <c r="Y90" s="649"/>
      <c r="Z90" s="495"/>
      <c r="AA90" s="420"/>
      <c r="AB90" s="420"/>
      <c r="AC90" s="495"/>
      <c r="AD90" s="649"/>
      <c r="AE90" s="495"/>
      <c r="AF90" s="420"/>
      <c r="AG90" s="420"/>
      <c r="AH90" s="495"/>
      <c r="AI90" s="649"/>
      <c r="AJ90" s="495"/>
      <c r="AK90" s="420"/>
      <c r="AL90" s="420"/>
      <c r="AM90" s="495"/>
      <c r="AN90" s="649"/>
      <c r="AO90" s="495"/>
      <c r="AP90" s="420"/>
      <c r="AQ90" s="420"/>
      <c r="AR90" s="495"/>
      <c r="AS90" s="649"/>
      <c r="AT90" s="495"/>
      <c r="AU90" s="420"/>
      <c r="AV90" s="420"/>
      <c r="AW90" s="495"/>
      <c r="AX90" s="649"/>
      <c r="AZ90" s="402" t="e">
        <f t="shared" si="53"/>
        <v>#N/A</v>
      </c>
      <c r="BA90" s="649"/>
    </row>
    <row r="91" spans="2:53">
      <c r="B91" s="635"/>
      <c r="C91" s="415">
        <v>5</v>
      </c>
      <c r="D91" s="370"/>
      <c r="E91" s="421"/>
      <c r="F91" s="421"/>
      <c r="G91" s="421"/>
      <c r="H91" s="672"/>
      <c r="I91" s="417" t="str">
        <f t="shared" si="48"/>
        <v>-</v>
      </c>
      <c r="J91" s="417" t="str">
        <f t="shared" si="49"/>
        <v>-</v>
      </c>
      <c r="K91" s="199" t="str">
        <f t="shared" si="50"/>
        <v>-</v>
      </c>
      <c r="L91" s="609"/>
      <c r="M91" s="497" t="e">
        <f>RANK(K91, K$87:$K$101)</f>
        <v>#VALUE!</v>
      </c>
      <c r="N91" s="627"/>
      <c r="O91" s="627"/>
      <c r="P91" s="495"/>
      <c r="Q91" s="420"/>
      <c r="R91" s="420"/>
      <c r="S91" s="495" t="e">
        <f t="shared" si="51"/>
        <v>#N/A</v>
      </c>
      <c r="T91" s="649"/>
      <c r="U91" s="495"/>
      <c r="V91" s="420"/>
      <c r="W91" s="420"/>
      <c r="X91" s="495"/>
      <c r="Y91" s="649"/>
      <c r="Z91" s="495"/>
      <c r="AA91" s="420"/>
      <c r="AB91" s="420"/>
      <c r="AC91" s="495"/>
      <c r="AD91" s="649"/>
      <c r="AE91" s="495"/>
      <c r="AF91" s="420"/>
      <c r="AG91" s="420"/>
      <c r="AH91" s="495"/>
      <c r="AI91" s="649"/>
      <c r="AJ91" s="495"/>
      <c r="AK91" s="420"/>
      <c r="AL91" s="420"/>
      <c r="AM91" s="495"/>
      <c r="AN91" s="649"/>
      <c r="AO91" s="495"/>
      <c r="AP91" s="420"/>
      <c r="AQ91" s="420"/>
      <c r="AR91" s="495"/>
      <c r="AS91" s="649"/>
      <c r="AT91" s="495"/>
      <c r="AU91" s="420"/>
      <c r="AV91" s="420"/>
      <c r="AW91" s="495"/>
      <c r="AX91" s="649"/>
      <c r="AZ91" s="402" t="e">
        <f t="shared" si="53"/>
        <v>#N/A</v>
      </c>
      <c r="BA91" s="649"/>
    </row>
    <row r="92" spans="2:53">
      <c r="B92" s="635"/>
      <c r="C92" s="415">
        <v>6</v>
      </c>
      <c r="D92" s="370"/>
      <c r="E92" s="421"/>
      <c r="F92" s="421"/>
      <c r="G92" s="421"/>
      <c r="H92" s="672"/>
      <c r="I92" s="417" t="str">
        <f t="shared" si="48"/>
        <v>-</v>
      </c>
      <c r="J92" s="417" t="str">
        <f t="shared" si="49"/>
        <v>-</v>
      </c>
      <c r="K92" s="199" t="str">
        <f t="shared" si="50"/>
        <v>-</v>
      </c>
      <c r="L92" s="609"/>
      <c r="M92" s="497" t="e">
        <f>RANK(K92, K$87:$K$101)</f>
        <v>#VALUE!</v>
      </c>
      <c r="N92" s="627"/>
      <c r="O92" s="627"/>
      <c r="P92" s="495"/>
      <c r="Q92" s="420"/>
      <c r="R92" s="420"/>
      <c r="S92" s="495" t="e">
        <f t="shared" si="51"/>
        <v>#N/A</v>
      </c>
      <c r="T92" s="649"/>
      <c r="U92" s="495"/>
      <c r="V92" s="420"/>
      <c r="W92" s="420"/>
      <c r="X92" s="495"/>
      <c r="Y92" s="649"/>
      <c r="Z92" s="495"/>
      <c r="AA92" s="420"/>
      <c r="AB92" s="420"/>
      <c r="AC92" s="495"/>
      <c r="AD92" s="649"/>
      <c r="AE92" s="495"/>
      <c r="AF92" s="420"/>
      <c r="AG92" s="420"/>
      <c r="AH92" s="495"/>
      <c r="AI92" s="649"/>
      <c r="AJ92" s="495"/>
      <c r="AK92" s="420"/>
      <c r="AL92" s="420"/>
      <c r="AM92" s="495"/>
      <c r="AN92" s="649"/>
      <c r="AO92" s="495"/>
      <c r="AP92" s="420"/>
      <c r="AQ92" s="420"/>
      <c r="AR92" s="495"/>
      <c r="AS92" s="649"/>
      <c r="AT92" s="495"/>
      <c r="AU92" s="420"/>
      <c r="AV92" s="420"/>
      <c r="AW92" s="495"/>
      <c r="AX92" s="649"/>
      <c r="AZ92" s="402" t="e">
        <f t="shared" si="53"/>
        <v>#N/A</v>
      </c>
      <c r="BA92" s="649"/>
    </row>
    <row r="93" spans="2:53">
      <c r="B93" s="635"/>
      <c r="C93" s="415">
        <v>7</v>
      </c>
      <c r="D93" s="370"/>
      <c r="E93" s="421"/>
      <c r="F93" s="421"/>
      <c r="G93" s="421"/>
      <c r="H93" s="672"/>
      <c r="I93" s="417" t="str">
        <f t="shared" si="48"/>
        <v>-</v>
      </c>
      <c r="J93" s="417" t="str">
        <f t="shared" si="49"/>
        <v>-</v>
      </c>
      <c r="K93" s="199" t="str">
        <f t="shared" si="50"/>
        <v>-</v>
      </c>
      <c r="L93" s="609"/>
      <c r="M93" s="497" t="e">
        <f>RANK(K93, K$87:$K$101)</f>
        <v>#VALUE!</v>
      </c>
      <c r="N93" s="627"/>
      <c r="O93" s="627"/>
      <c r="P93" s="495"/>
      <c r="Q93" s="420"/>
      <c r="R93" s="420"/>
      <c r="S93" s="495" t="e">
        <f t="shared" si="51"/>
        <v>#N/A</v>
      </c>
      <c r="T93" s="649"/>
      <c r="U93" s="495"/>
      <c r="V93" s="420"/>
      <c r="W93" s="420"/>
      <c r="X93" s="495"/>
      <c r="Y93" s="649"/>
      <c r="Z93" s="495"/>
      <c r="AA93" s="420"/>
      <c r="AB93" s="420"/>
      <c r="AC93" s="495"/>
      <c r="AD93" s="649"/>
      <c r="AE93" s="495"/>
      <c r="AF93" s="420"/>
      <c r="AG93" s="420"/>
      <c r="AH93" s="495"/>
      <c r="AI93" s="649"/>
      <c r="AJ93" s="495"/>
      <c r="AK93" s="420"/>
      <c r="AL93" s="420"/>
      <c r="AM93" s="495"/>
      <c r="AN93" s="649"/>
      <c r="AO93" s="495"/>
      <c r="AP93" s="420"/>
      <c r="AQ93" s="420"/>
      <c r="AR93" s="495"/>
      <c r="AS93" s="649"/>
      <c r="AT93" s="495"/>
      <c r="AU93" s="420"/>
      <c r="AV93" s="420"/>
      <c r="AW93" s="495"/>
      <c r="AX93" s="649"/>
      <c r="AZ93" s="402" t="e">
        <f t="shared" si="53"/>
        <v>#N/A</v>
      </c>
      <c r="BA93" s="649"/>
    </row>
    <row r="94" spans="2:53">
      <c r="B94" s="635"/>
      <c r="C94" s="415">
        <v>8</v>
      </c>
      <c r="D94" s="370"/>
      <c r="E94" s="421"/>
      <c r="F94" s="421"/>
      <c r="G94" s="421"/>
      <c r="H94" s="672"/>
      <c r="I94" s="417" t="str">
        <f t="shared" si="48"/>
        <v>-</v>
      </c>
      <c r="J94" s="417" t="str">
        <f t="shared" si="49"/>
        <v>-</v>
      </c>
      <c r="K94" s="199" t="str">
        <f t="shared" si="50"/>
        <v>-</v>
      </c>
      <c r="L94" s="609"/>
      <c r="M94" s="497" t="e">
        <f>RANK(K94, K$87:$K$101)</f>
        <v>#VALUE!</v>
      </c>
      <c r="N94" s="627"/>
      <c r="O94" s="627"/>
      <c r="P94" s="495"/>
      <c r="Q94" s="420"/>
      <c r="R94" s="420"/>
      <c r="S94" s="495" t="e">
        <f t="shared" si="51"/>
        <v>#N/A</v>
      </c>
      <c r="T94" s="649"/>
      <c r="U94" s="495"/>
      <c r="V94" s="420"/>
      <c r="W94" s="420"/>
      <c r="X94" s="495"/>
      <c r="Y94" s="649"/>
      <c r="Z94" s="495"/>
      <c r="AA94" s="420"/>
      <c r="AB94" s="420"/>
      <c r="AC94" s="495"/>
      <c r="AD94" s="649"/>
      <c r="AE94" s="495"/>
      <c r="AF94" s="420"/>
      <c r="AG94" s="420"/>
      <c r="AH94" s="495"/>
      <c r="AI94" s="649"/>
      <c r="AJ94" s="495"/>
      <c r="AK94" s="420"/>
      <c r="AL94" s="420"/>
      <c r="AM94" s="495"/>
      <c r="AN94" s="649"/>
      <c r="AO94" s="495"/>
      <c r="AP94" s="420"/>
      <c r="AQ94" s="420"/>
      <c r="AR94" s="495"/>
      <c r="AS94" s="649"/>
      <c r="AT94" s="495"/>
      <c r="AU94" s="420"/>
      <c r="AV94" s="420"/>
      <c r="AW94" s="495"/>
      <c r="AX94" s="649"/>
      <c r="AZ94" s="402" t="e">
        <f t="shared" si="53"/>
        <v>#N/A</v>
      </c>
      <c r="BA94" s="649"/>
    </row>
    <row r="95" spans="2:53">
      <c r="B95" s="635"/>
      <c r="C95" s="415">
        <v>9</v>
      </c>
      <c r="D95" s="370"/>
      <c r="E95" s="421"/>
      <c r="F95" s="421"/>
      <c r="G95" s="421"/>
      <c r="H95" s="672"/>
      <c r="I95" s="417" t="str">
        <f t="shared" si="48"/>
        <v>-</v>
      </c>
      <c r="J95" s="417" t="str">
        <f t="shared" si="49"/>
        <v>-</v>
      </c>
      <c r="K95" s="199" t="str">
        <f t="shared" si="50"/>
        <v>-</v>
      </c>
      <c r="L95" s="609"/>
      <c r="M95" s="497" t="e">
        <f>RANK(K95, K$87:$K$101)</f>
        <v>#VALUE!</v>
      </c>
      <c r="N95" s="627"/>
      <c r="O95" s="627"/>
      <c r="P95" s="495"/>
      <c r="Q95" s="420"/>
      <c r="R95" s="420"/>
      <c r="S95" s="495" t="e">
        <f t="shared" si="51"/>
        <v>#N/A</v>
      </c>
      <c r="T95" s="649"/>
      <c r="U95" s="495"/>
      <c r="V95" s="420"/>
      <c r="W95" s="420"/>
      <c r="X95" s="495"/>
      <c r="Y95" s="649"/>
      <c r="Z95" s="495"/>
      <c r="AA95" s="420"/>
      <c r="AB95" s="420"/>
      <c r="AC95" s="495"/>
      <c r="AD95" s="649"/>
      <c r="AE95" s="495"/>
      <c r="AF95" s="420"/>
      <c r="AG95" s="420"/>
      <c r="AH95" s="495"/>
      <c r="AI95" s="649"/>
      <c r="AJ95" s="495"/>
      <c r="AK95" s="420"/>
      <c r="AL95" s="420"/>
      <c r="AM95" s="495"/>
      <c r="AN95" s="649"/>
      <c r="AO95" s="495"/>
      <c r="AP95" s="420"/>
      <c r="AQ95" s="420"/>
      <c r="AR95" s="495"/>
      <c r="AS95" s="649"/>
      <c r="AT95" s="495"/>
      <c r="AU95" s="420"/>
      <c r="AV95" s="420"/>
      <c r="AW95" s="495"/>
      <c r="AX95" s="649"/>
      <c r="AZ95" s="402" t="e">
        <f t="shared" si="53"/>
        <v>#N/A</v>
      </c>
      <c r="BA95" s="649"/>
    </row>
    <row r="96" spans="2:53">
      <c r="B96" s="635"/>
      <c r="C96" s="415">
        <v>10</v>
      </c>
      <c r="D96" s="370"/>
      <c r="E96" s="421"/>
      <c r="F96" s="421"/>
      <c r="G96" s="421"/>
      <c r="H96" s="672"/>
      <c r="I96" s="417" t="str">
        <f t="shared" si="48"/>
        <v>-</v>
      </c>
      <c r="J96" s="417" t="str">
        <f t="shared" si="49"/>
        <v>-</v>
      </c>
      <c r="K96" s="199" t="str">
        <f t="shared" si="50"/>
        <v>-</v>
      </c>
      <c r="L96" s="609"/>
      <c r="M96" s="497" t="e">
        <f>RANK(K96, K$87:$K$101)</f>
        <v>#VALUE!</v>
      </c>
      <c r="N96" s="627"/>
      <c r="O96" s="627"/>
      <c r="P96" s="495"/>
      <c r="Q96" s="420"/>
      <c r="R96" s="420"/>
      <c r="S96" s="495" t="e">
        <f t="shared" si="51"/>
        <v>#N/A</v>
      </c>
      <c r="T96" s="649"/>
      <c r="U96" s="495"/>
      <c r="V96" s="420"/>
      <c r="W96" s="420"/>
      <c r="X96" s="495"/>
      <c r="Y96" s="649"/>
      <c r="Z96" s="495"/>
      <c r="AA96" s="420"/>
      <c r="AB96" s="420"/>
      <c r="AC96" s="495"/>
      <c r="AD96" s="649"/>
      <c r="AE96" s="495"/>
      <c r="AF96" s="420"/>
      <c r="AG96" s="420"/>
      <c r="AH96" s="495"/>
      <c r="AI96" s="649"/>
      <c r="AJ96" s="495"/>
      <c r="AK96" s="420"/>
      <c r="AL96" s="420"/>
      <c r="AM96" s="495"/>
      <c r="AN96" s="649"/>
      <c r="AO96" s="495"/>
      <c r="AP96" s="420"/>
      <c r="AQ96" s="420"/>
      <c r="AR96" s="495"/>
      <c r="AS96" s="649"/>
      <c r="AT96" s="495"/>
      <c r="AU96" s="420"/>
      <c r="AV96" s="420"/>
      <c r="AW96" s="495"/>
      <c r="AX96" s="649"/>
      <c r="AZ96" s="402" t="e">
        <f t="shared" si="53"/>
        <v>#N/A</v>
      </c>
      <c r="BA96" s="649"/>
    </row>
    <row r="97" spans="2:53">
      <c r="B97" s="635"/>
      <c r="C97" s="415">
        <v>11</v>
      </c>
      <c r="D97" s="370"/>
      <c r="E97" s="421"/>
      <c r="F97" s="421"/>
      <c r="G97" s="421"/>
      <c r="H97" s="672"/>
      <c r="I97" s="417" t="str">
        <f t="shared" si="48"/>
        <v>-</v>
      </c>
      <c r="J97" s="417" t="str">
        <f t="shared" si="49"/>
        <v>-</v>
      </c>
      <c r="K97" s="199" t="str">
        <f t="shared" si="50"/>
        <v>-</v>
      </c>
      <c r="L97" s="609"/>
      <c r="M97" s="497" t="e">
        <f>RANK(K97, K$87:$K$101)</f>
        <v>#VALUE!</v>
      </c>
      <c r="N97" s="627"/>
      <c r="O97" s="627"/>
      <c r="P97" s="495"/>
      <c r="Q97" s="420"/>
      <c r="R97" s="420"/>
      <c r="S97" s="495" t="e">
        <f t="shared" si="51"/>
        <v>#N/A</v>
      </c>
      <c r="T97" s="649"/>
      <c r="U97" s="495"/>
      <c r="V97" s="420"/>
      <c r="W97" s="420"/>
      <c r="X97" s="495"/>
      <c r="Y97" s="649"/>
      <c r="Z97" s="495"/>
      <c r="AA97" s="420"/>
      <c r="AB97" s="420"/>
      <c r="AC97" s="495"/>
      <c r="AD97" s="649"/>
      <c r="AE97" s="495"/>
      <c r="AF97" s="420"/>
      <c r="AG97" s="420"/>
      <c r="AH97" s="495"/>
      <c r="AI97" s="649"/>
      <c r="AJ97" s="495"/>
      <c r="AK97" s="420"/>
      <c r="AL97" s="420"/>
      <c r="AM97" s="495"/>
      <c r="AN97" s="649"/>
      <c r="AO97" s="495"/>
      <c r="AP97" s="420"/>
      <c r="AQ97" s="420"/>
      <c r="AR97" s="495"/>
      <c r="AS97" s="649"/>
      <c r="AT97" s="495"/>
      <c r="AU97" s="420"/>
      <c r="AV97" s="420"/>
      <c r="AW97" s="495"/>
      <c r="AX97" s="649"/>
      <c r="AZ97" s="402" t="e">
        <f t="shared" si="53"/>
        <v>#N/A</v>
      </c>
      <c r="BA97" s="649"/>
    </row>
    <row r="98" spans="2:53">
      <c r="B98" s="635"/>
      <c r="C98" s="415">
        <v>12</v>
      </c>
      <c r="D98" s="370"/>
      <c r="E98" s="421"/>
      <c r="F98" s="421"/>
      <c r="G98" s="421"/>
      <c r="H98" s="672"/>
      <c r="I98" s="417" t="str">
        <f t="shared" si="48"/>
        <v>-</v>
      </c>
      <c r="J98" s="417" t="str">
        <f t="shared" si="49"/>
        <v>-</v>
      </c>
      <c r="K98" s="199" t="str">
        <f t="shared" si="50"/>
        <v>-</v>
      </c>
      <c r="L98" s="609"/>
      <c r="M98" s="497" t="e">
        <f>RANK(K98, K$87:$K$101)</f>
        <v>#VALUE!</v>
      </c>
      <c r="N98" s="627"/>
      <c r="O98" s="627"/>
      <c r="P98" s="495"/>
      <c r="Q98" s="420"/>
      <c r="R98" s="420"/>
      <c r="S98" s="495" t="e">
        <f t="shared" si="51"/>
        <v>#N/A</v>
      </c>
      <c r="T98" s="649"/>
      <c r="U98" s="495"/>
      <c r="V98" s="420"/>
      <c r="W98" s="420"/>
      <c r="X98" s="495"/>
      <c r="Y98" s="649"/>
      <c r="Z98" s="495"/>
      <c r="AA98" s="420"/>
      <c r="AB98" s="420"/>
      <c r="AC98" s="495"/>
      <c r="AD98" s="649"/>
      <c r="AE98" s="495"/>
      <c r="AF98" s="420"/>
      <c r="AG98" s="420"/>
      <c r="AH98" s="495"/>
      <c r="AI98" s="649"/>
      <c r="AJ98" s="495"/>
      <c r="AK98" s="420"/>
      <c r="AL98" s="420"/>
      <c r="AM98" s="495"/>
      <c r="AN98" s="649"/>
      <c r="AO98" s="495"/>
      <c r="AP98" s="420"/>
      <c r="AQ98" s="420"/>
      <c r="AR98" s="495"/>
      <c r="AS98" s="649"/>
      <c r="AT98" s="495"/>
      <c r="AU98" s="420"/>
      <c r="AV98" s="420"/>
      <c r="AW98" s="495"/>
      <c r="AX98" s="649"/>
      <c r="AZ98" s="402" t="e">
        <f t="shared" si="53"/>
        <v>#N/A</v>
      </c>
      <c r="BA98" s="649"/>
    </row>
    <row r="99" spans="2:53">
      <c r="B99" s="635"/>
      <c r="C99" s="415">
        <v>13</v>
      </c>
      <c r="D99" s="370"/>
      <c r="E99" s="421"/>
      <c r="F99" s="421"/>
      <c r="G99" s="421"/>
      <c r="H99" s="672"/>
      <c r="I99" s="417" t="str">
        <f t="shared" si="48"/>
        <v>-</v>
      </c>
      <c r="J99" s="417" t="str">
        <f t="shared" si="49"/>
        <v>-</v>
      </c>
      <c r="K99" s="199" t="str">
        <f t="shared" si="50"/>
        <v>-</v>
      </c>
      <c r="L99" s="609"/>
      <c r="M99" s="497" t="e">
        <f>RANK(K99, K$87:$K$101)</f>
        <v>#VALUE!</v>
      </c>
      <c r="N99" s="627"/>
      <c r="O99" s="627"/>
      <c r="P99" s="495"/>
      <c r="Q99" s="420"/>
      <c r="R99" s="420"/>
      <c r="S99" s="495" t="e">
        <f t="shared" si="51"/>
        <v>#N/A</v>
      </c>
      <c r="T99" s="649"/>
      <c r="U99" s="495"/>
      <c r="V99" s="420"/>
      <c r="W99" s="420"/>
      <c r="X99" s="495"/>
      <c r="Y99" s="649"/>
      <c r="Z99" s="495"/>
      <c r="AA99" s="420"/>
      <c r="AB99" s="420"/>
      <c r="AC99" s="495"/>
      <c r="AD99" s="649"/>
      <c r="AE99" s="495"/>
      <c r="AF99" s="420"/>
      <c r="AG99" s="420"/>
      <c r="AH99" s="495"/>
      <c r="AI99" s="649"/>
      <c r="AJ99" s="495"/>
      <c r="AK99" s="420"/>
      <c r="AL99" s="420"/>
      <c r="AM99" s="495"/>
      <c r="AN99" s="649"/>
      <c r="AO99" s="495"/>
      <c r="AP99" s="420"/>
      <c r="AQ99" s="420"/>
      <c r="AR99" s="495"/>
      <c r="AS99" s="649"/>
      <c r="AT99" s="495"/>
      <c r="AU99" s="420"/>
      <c r="AV99" s="420"/>
      <c r="AW99" s="495"/>
      <c r="AX99" s="649"/>
      <c r="AZ99" s="402" t="e">
        <f t="shared" si="53"/>
        <v>#N/A</v>
      </c>
      <c r="BA99" s="649"/>
    </row>
    <row r="100" spans="2:53">
      <c r="B100" s="635"/>
      <c r="C100" s="415">
        <v>14</v>
      </c>
      <c r="D100" s="370"/>
      <c r="E100" s="421"/>
      <c r="F100" s="421"/>
      <c r="G100" s="421"/>
      <c r="H100" s="672"/>
      <c r="I100" s="417" t="str">
        <f t="shared" si="48"/>
        <v>-</v>
      </c>
      <c r="J100" s="417" t="str">
        <f t="shared" si="49"/>
        <v>-</v>
      </c>
      <c r="K100" s="199" t="str">
        <f t="shared" si="50"/>
        <v>-</v>
      </c>
      <c r="L100" s="609"/>
      <c r="M100" s="497" t="e">
        <f>RANK(K100, K$87:$K$101)</f>
        <v>#VALUE!</v>
      </c>
      <c r="N100" s="627"/>
      <c r="O100" s="627"/>
      <c r="P100" s="495"/>
      <c r="Q100" s="420"/>
      <c r="R100" s="420"/>
      <c r="S100" s="495" t="e">
        <f t="shared" si="51"/>
        <v>#N/A</v>
      </c>
      <c r="T100" s="649"/>
      <c r="U100" s="495"/>
      <c r="V100" s="420"/>
      <c r="W100" s="420"/>
      <c r="X100" s="495"/>
      <c r="Y100" s="649"/>
      <c r="Z100" s="495"/>
      <c r="AA100" s="420"/>
      <c r="AB100" s="420"/>
      <c r="AC100" s="495"/>
      <c r="AD100" s="649"/>
      <c r="AE100" s="495"/>
      <c r="AF100" s="420"/>
      <c r="AG100" s="420"/>
      <c r="AH100" s="495"/>
      <c r="AI100" s="649"/>
      <c r="AJ100" s="495"/>
      <c r="AK100" s="420"/>
      <c r="AL100" s="420"/>
      <c r="AM100" s="495"/>
      <c r="AN100" s="649"/>
      <c r="AO100" s="495"/>
      <c r="AP100" s="420"/>
      <c r="AQ100" s="420"/>
      <c r="AR100" s="495"/>
      <c r="AS100" s="649"/>
      <c r="AT100" s="495"/>
      <c r="AU100" s="420"/>
      <c r="AV100" s="420"/>
      <c r="AW100" s="495"/>
      <c r="AX100" s="649"/>
      <c r="AZ100" s="402" t="e">
        <f t="shared" si="53"/>
        <v>#N/A</v>
      </c>
      <c r="BA100" s="649"/>
    </row>
    <row r="101" spans="2:53">
      <c r="B101" s="635"/>
      <c r="C101" s="415">
        <v>15</v>
      </c>
      <c r="D101" s="370"/>
      <c r="E101" s="421"/>
      <c r="F101" s="421"/>
      <c r="G101" s="421"/>
      <c r="H101" s="676"/>
      <c r="I101" s="421"/>
      <c r="J101" s="421"/>
      <c r="K101" s="418"/>
      <c r="L101" s="610"/>
      <c r="M101" s="497" t="e">
        <f>RANK(K101, K$87:$K$101)</f>
        <v>#N/A</v>
      </c>
      <c r="N101" s="627"/>
      <c r="O101" s="627"/>
      <c r="P101" s="495"/>
      <c r="Q101" s="420"/>
      <c r="R101" s="420"/>
      <c r="S101" s="495" t="e">
        <f t="shared" si="51"/>
        <v>#N/A</v>
      </c>
      <c r="T101" s="649"/>
      <c r="U101" s="495"/>
      <c r="V101" s="420"/>
      <c r="W101" s="420"/>
      <c r="X101" s="495"/>
      <c r="Y101" s="649"/>
      <c r="Z101" s="495"/>
      <c r="AA101" s="420"/>
      <c r="AB101" s="420"/>
      <c r="AC101" s="495"/>
      <c r="AD101" s="649"/>
      <c r="AE101" s="495"/>
      <c r="AF101" s="420"/>
      <c r="AG101" s="420"/>
      <c r="AH101" s="495"/>
      <c r="AI101" s="649"/>
      <c r="AJ101" s="495"/>
      <c r="AK101" s="420"/>
      <c r="AL101" s="420"/>
      <c r="AM101" s="495"/>
      <c r="AN101" s="649"/>
      <c r="AO101" s="495"/>
      <c r="AP101" s="420"/>
      <c r="AQ101" s="420"/>
      <c r="AR101" s="495"/>
      <c r="AS101" s="649"/>
      <c r="AT101" s="495"/>
      <c r="AU101" s="420"/>
      <c r="AV101" s="420"/>
      <c r="AW101" s="495"/>
      <c r="AX101" s="649"/>
      <c r="AZ101" s="402" t="e">
        <f t="shared" si="53"/>
        <v>#N/A</v>
      </c>
      <c r="BA101" s="649"/>
    </row>
    <row r="102" spans="2:53" ht="15.75">
      <c r="B102" s="639" t="s">
        <v>163</v>
      </c>
      <c r="C102" s="640"/>
      <c r="D102" s="640"/>
      <c r="E102" s="640"/>
      <c r="F102" s="640"/>
      <c r="G102" s="640"/>
      <c r="H102" s="641"/>
      <c r="I102" s="207"/>
      <c r="J102" s="207"/>
      <c r="K102" s="207"/>
      <c r="L102" s="207"/>
      <c r="M102" s="206"/>
      <c r="N102" s="628" t="s">
        <v>156</v>
      </c>
      <c r="O102" s="628" t="s">
        <v>105</v>
      </c>
      <c r="P102" s="634">
        <f>P82+7</f>
        <v>46203</v>
      </c>
      <c r="Q102" s="635"/>
      <c r="R102" s="635"/>
      <c r="S102" s="635"/>
      <c r="T102" s="635"/>
      <c r="U102" s="631">
        <f>P102+1</f>
        <v>46204</v>
      </c>
      <c r="V102" s="632"/>
      <c r="W102" s="632"/>
      <c r="X102" s="632"/>
      <c r="Y102" s="633"/>
      <c r="Z102" s="631">
        <f>U102+1</f>
        <v>46205</v>
      </c>
      <c r="AA102" s="632"/>
      <c r="AB102" s="632"/>
      <c r="AC102" s="632"/>
      <c r="AD102" s="633"/>
      <c r="AE102" s="631">
        <f>Z102+1</f>
        <v>46206</v>
      </c>
      <c r="AF102" s="632"/>
      <c r="AG102" s="632"/>
      <c r="AH102" s="632"/>
      <c r="AI102" s="633"/>
      <c r="AJ102" s="631">
        <f>AE102+1</f>
        <v>46207</v>
      </c>
      <c r="AK102" s="632"/>
      <c r="AL102" s="632"/>
      <c r="AM102" s="632"/>
      <c r="AN102" s="633"/>
      <c r="AO102" s="631">
        <f>AJ102+1</f>
        <v>46208</v>
      </c>
      <c r="AP102" s="632"/>
      <c r="AQ102" s="632"/>
      <c r="AR102" s="632"/>
      <c r="AS102" s="633"/>
      <c r="AT102" s="631">
        <f>AO102+1</f>
        <v>46209</v>
      </c>
      <c r="AU102" s="632"/>
      <c r="AV102" s="632"/>
      <c r="AW102" s="632"/>
      <c r="AX102" s="633"/>
    </row>
    <row r="103" spans="2:53" ht="15.75">
      <c r="B103" s="642"/>
      <c r="C103" s="642"/>
      <c r="D103" s="642"/>
      <c r="E103" s="642"/>
      <c r="F103" s="642"/>
      <c r="G103" s="642"/>
      <c r="H103" s="642"/>
      <c r="I103" s="204"/>
      <c r="J103" s="204"/>
      <c r="K103" s="204"/>
      <c r="L103" s="204"/>
      <c r="M103" s="205"/>
      <c r="N103" s="630"/>
      <c r="O103" s="630"/>
      <c r="P103" s="634" t="s">
        <v>158</v>
      </c>
      <c r="Q103" s="635"/>
      <c r="R103" s="635"/>
      <c r="S103" s="635"/>
      <c r="T103" s="635"/>
      <c r="U103" s="634" t="s">
        <v>114</v>
      </c>
      <c r="V103" s="635"/>
      <c r="W103" s="635"/>
      <c r="X103" s="635"/>
      <c r="Y103" s="635"/>
      <c r="Z103" s="634" t="s">
        <v>159</v>
      </c>
      <c r="AA103" s="635"/>
      <c r="AB103" s="635"/>
      <c r="AC103" s="635"/>
      <c r="AD103" s="635"/>
      <c r="AE103" s="634" t="s">
        <v>157</v>
      </c>
      <c r="AF103" s="635"/>
      <c r="AG103" s="635"/>
      <c r="AH103" s="635"/>
      <c r="AI103" s="635"/>
      <c r="AJ103" s="634" t="s">
        <v>160</v>
      </c>
      <c r="AK103" s="635"/>
      <c r="AL103" s="635"/>
      <c r="AM103" s="635"/>
      <c r="AN103" s="635"/>
      <c r="AO103" s="634" t="s">
        <v>115</v>
      </c>
      <c r="AP103" s="635"/>
      <c r="AQ103" s="635"/>
      <c r="AR103" s="635"/>
      <c r="AS103" s="635"/>
      <c r="AT103" s="634" t="s">
        <v>162</v>
      </c>
      <c r="AU103" s="635"/>
      <c r="AV103" s="635"/>
      <c r="AW103" s="635"/>
      <c r="AX103" s="635"/>
    </row>
    <row r="104" spans="2:53">
      <c r="B104" s="627" t="s">
        <v>535</v>
      </c>
      <c r="C104" s="627" t="s">
        <v>536</v>
      </c>
      <c r="D104" s="627"/>
      <c r="E104" s="627" t="s">
        <v>537</v>
      </c>
      <c r="F104" s="627"/>
      <c r="G104" s="627"/>
      <c r="H104" s="643" t="s">
        <v>538</v>
      </c>
      <c r="I104" s="627" t="s">
        <v>539</v>
      </c>
      <c r="J104" s="627"/>
      <c r="K104" s="627"/>
      <c r="L104" s="643" t="s">
        <v>371</v>
      </c>
      <c r="M104" s="628" t="s">
        <v>540</v>
      </c>
      <c r="N104" s="627"/>
      <c r="O104" s="627" t="s">
        <v>541</v>
      </c>
      <c r="P104" s="624" t="s">
        <v>542</v>
      </c>
      <c r="Q104" s="625"/>
      <c r="R104" s="625"/>
      <c r="S104" s="626"/>
      <c r="T104" s="627" t="s">
        <v>538</v>
      </c>
      <c r="U104" s="624" t="s">
        <v>542</v>
      </c>
      <c r="V104" s="625"/>
      <c r="W104" s="625"/>
      <c r="X104" s="626"/>
      <c r="Y104" s="627" t="s">
        <v>538</v>
      </c>
      <c r="Z104" s="624" t="s">
        <v>542</v>
      </c>
      <c r="AA104" s="625"/>
      <c r="AB104" s="625"/>
      <c r="AC104" s="626"/>
      <c r="AD104" s="627" t="s">
        <v>538</v>
      </c>
      <c r="AE104" s="624" t="s">
        <v>542</v>
      </c>
      <c r="AF104" s="625"/>
      <c r="AG104" s="625"/>
      <c r="AH104" s="626"/>
      <c r="AI104" s="627" t="s">
        <v>538</v>
      </c>
      <c r="AJ104" s="624" t="s">
        <v>542</v>
      </c>
      <c r="AK104" s="625"/>
      <c r="AL104" s="625"/>
      <c r="AM104" s="626"/>
      <c r="AN104" s="627" t="s">
        <v>538</v>
      </c>
      <c r="AO104" s="624" t="s">
        <v>542</v>
      </c>
      <c r="AP104" s="625"/>
      <c r="AQ104" s="625"/>
      <c r="AR104" s="626"/>
      <c r="AS104" s="627" t="s">
        <v>538</v>
      </c>
      <c r="AT104" s="624" t="s">
        <v>542</v>
      </c>
      <c r="AU104" s="625"/>
      <c r="AV104" s="625"/>
      <c r="AW104" s="626"/>
      <c r="AX104" s="627" t="s">
        <v>538</v>
      </c>
      <c r="BA104" s="627" t="s">
        <v>371</v>
      </c>
    </row>
    <row r="105" spans="2:53">
      <c r="B105" s="627"/>
      <c r="C105" s="627"/>
      <c r="D105" s="627"/>
      <c r="E105" s="627" t="s">
        <v>543</v>
      </c>
      <c r="F105" s="627"/>
      <c r="G105" s="627"/>
      <c r="H105" s="644"/>
      <c r="I105" s="627" t="s">
        <v>543</v>
      </c>
      <c r="J105" s="627"/>
      <c r="K105" s="627"/>
      <c r="L105" s="644"/>
      <c r="M105" s="629"/>
      <c r="N105" s="627"/>
      <c r="O105" s="627"/>
      <c r="P105" s="624" t="s">
        <v>544</v>
      </c>
      <c r="Q105" s="625"/>
      <c r="R105" s="625"/>
      <c r="S105" s="626"/>
      <c r="T105" s="627"/>
      <c r="U105" s="624" t="s">
        <v>544</v>
      </c>
      <c r="V105" s="625"/>
      <c r="W105" s="625"/>
      <c r="X105" s="626"/>
      <c r="Y105" s="627"/>
      <c r="Z105" s="624" t="s">
        <v>544</v>
      </c>
      <c r="AA105" s="625"/>
      <c r="AB105" s="625"/>
      <c r="AC105" s="626"/>
      <c r="AD105" s="627"/>
      <c r="AE105" s="624" t="s">
        <v>544</v>
      </c>
      <c r="AF105" s="625"/>
      <c r="AG105" s="625"/>
      <c r="AH105" s="626"/>
      <c r="AI105" s="627"/>
      <c r="AJ105" s="624" t="s">
        <v>544</v>
      </c>
      <c r="AK105" s="625"/>
      <c r="AL105" s="625"/>
      <c r="AM105" s="626"/>
      <c r="AN105" s="627"/>
      <c r="AO105" s="624" t="s">
        <v>544</v>
      </c>
      <c r="AP105" s="625"/>
      <c r="AQ105" s="625"/>
      <c r="AR105" s="626"/>
      <c r="AS105" s="627"/>
      <c r="AT105" s="624" t="s">
        <v>544</v>
      </c>
      <c r="AU105" s="625"/>
      <c r="AV105" s="625"/>
      <c r="AW105" s="626"/>
      <c r="AX105" s="627"/>
      <c r="BA105" s="627"/>
    </row>
    <row r="106" spans="2:53">
      <c r="B106" s="627"/>
      <c r="C106" s="627"/>
      <c r="D106" s="627"/>
      <c r="E106" s="361" t="s">
        <v>545</v>
      </c>
      <c r="F106" s="361" t="s">
        <v>546</v>
      </c>
      <c r="G106" s="361" t="s">
        <v>547</v>
      </c>
      <c r="H106" s="645"/>
      <c r="I106" s="361" t="s">
        <v>545</v>
      </c>
      <c r="J106" s="361" t="s">
        <v>546</v>
      </c>
      <c r="K106" s="361" t="s">
        <v>547</v>
      </c>
      <c r="L106" s="645"/>
      <c r="M106" s="630"/>
      <c r="N106" s="627"/>
      <c r="O106" s="627"/>
      <c r="P106" s="361" t="s">
        <v>545</v>
      </c>
      <c r="Q106" s="361" t="s">
        <v>546</v>
      </c>
      <c r="R106" s="361" t="s">
        <v>547</v>
      </c>
      <c r="S106" s="361" t="s">
        <v>540</v>
      </c>
      <c r="T106" s="627"/>
      <c r="U106" s="361" t="s">
        <v>545</v>
      </c>
      <c r="V106" s="361" t="s">
        <v>546</v>
      </c>
      <c r="W106" s="361" t="s">
        <v>547</v>
      </c>
      <c r="X106" s="361" t="s">
        <v>540</v>
      </c>
      <c r="Y106" s="627"/>
      <c r="Z106" s="361" t="s">
        <v>545</v>
      </c>
      <c r="AA106" s="361" t="s">
        <v>546</v>
      </c>
      <c r="AB106" s="361" t="s">
        <v>547</v>
      </c>
      <c r="AC106" s="361" t="s">
        <v>540</v>
      </c>
      <c r="AD106" s="627"/>
      <c r="AE106" s="361" t="s">
        <v>545</v>
      </c>
      <c r="AF106" s="361" t="s">
        <v>546</v>
      </c>
      <c r="AG106" s="361" t="s">
        <v>547</v>
      </c>
      <c r="AH106" s="361" t="s">
        <v>540</v>
      </c>
      <c r="AI106" s="627"/>
      <c r="AJ106" s="361" t="s">
        <v>545</v>
      </c>
      <c r="AK106" s="361" t="s">
        <v>546</v>
      </c>
      <c r="AL106" s="361" t="s">
        <v>547</v>
      </c>
      <c r="AM106" s="361" t="s">
        <v>540</v>
      </c>
      <c r="AN106" s="627"/>
      <c r="AO106" s="361" t="s">
        <v>545</v>
      </c>
      <c r="AP106" s="361" t="s">
        <v>546</v>
      </c>
      <c r="AQ106" s="361" t="s">
        <v>547</v>
      </c>
      <c r="AR106" s="361" t="s">
        <v>540</v>
      </c>
      <c r="AS106" s="627"/>
      <c r="AT106" s="361" t="s">
        <v>545</v>
      </c>
      <c r="AU106" s="361" t="s">
        <v>546</v>
      </c>
      <c r="AV106" s="361" t="s">
        <v>547</v>
      </c>
      <c r="AW106" s="361" t="s">
        <v>540</v>
      </c>
      <c r="AX106" s="627"/>
      <c r="AZ106" s="401" t="s">
        <v>540</v>
      </c>
      <c r="BA106" s="627"/>
    </row>
    <row r="107" spans="2:53">
      <c r="B107" s="675" t="s">
        <v>549</v>
      </c>
      <c r="C107" s="366">
        <v>1</v>
      </c>
      <c r="D107" s="370"/>
      <c r="E107" s="367"/>
      <c r="F107" s="367"/>
      <c r="G107" s="367"/>
      <c r="H107" s="671" t="e">
        <f>AVERAGE(G107:G121)</f>
        <v>#DIV/0!</v>
      </c>
      <c r="I107" s="395" t="str">
        <f t="shared" ref="I107:I120" si="55">IFERROR(AVERAGE(P107,U107,Z107,AE107,AJ107,AO107,AT107),"-")</f>
        <v>-</v>
      </c>
      <c r="J107" s="395" t="str">
        <f t="shared" ref="J107:J120" si="56">IFERROR(AVERAGE(Q107,V107,AA107,AF107,AK107,AP107,AU107),"-")</f>
        <v>-</v>
      </c>
      <c r="K107" s="199" t="str">
        <f t="shared" ref="K107:K120" si="57">IFERROR(AVERAGE(R107,W107,AB107,AG107,AL107,AQ107,AV107),"-")</f>
        <v>-</v>
      </c>
      <c r="L107" s="608" t="str">
        <f>IFERROR(AVERAGE(K107:K121),"-")</f>
        <v>-</v>
      </c>
      <c r="M107" s="367" t="e">
        <f>RANK(K107, K$67:$K$81)</f>
        <v>#VALUE!</v>
      </c>
      <c r="N107" s="627"/>
      <c r="O107" s="627"/>
      <c r="P107" s="181"/>
      <c r="Q107" s="181"/>
      <c r="R107" s="181"/>
      <c r="S107" s="366" t="e">
        <f>RANK(R107, R$67:R$81)</f>
        <v>#N/A</v>
      </c>
      <c r="T107" s="674" t="e">
        <f>AVERAGE(R107:R121)</f>
        <v>#DIV/0!</v>
      </c>
      <c r="U107" s="181"/>
      <c r="V107" s="181"/>
      <c r="W107" s="181"/>
      <c r="X107" s="366" t="e">
        <f t="shared" ref="X107:AM121" si="58">RANK(W107, W$67:W$81)</f>
        <v>#N/A</v>
      </c>
      <c r="Y107" s="674" t="e">
        <f t="shared" ref="Y107" si="59">AVERAGE(W107:W121)</f>
        <v>#DIV/0!</v>
      </c>
      <c r="Z107" s="181"/>
      <c r="AA107" s="181"/>
      <c r="AB107" s="181"/>
      <c r="AC107" s="366" t="e">
        <f t="shared" ref="AC107" si="60">RANK(AB107, AB$67:AB$81)</f>
        <v>#N/A</v>
      </c>
      <c r="AD107" s="674" t="e">
        <f t="shared" ref="AD107" si="61">AVERAGE(AB107:AB121)</f>
        <v>#DIV/0!</v>
      </c>
      <c r="AE107" s="181"/>
      <c r="AF107" s="181"/>
      <c r="AG107" s="181"/>
      <c r="AH107" s="366" t="e">
        <f t="shared" ref="AH107" si="62">RANK(AG107, AG$67:AG$81)</f>
        <v>#N/A</v>
      </c>
      <c r="AI107" s="674" t="e">
        <f t="shared" ref="AI107" si="63">AVERAGE(AG107:AG121)</f>
        <v>#DIV/0!</v>
      </c>
      <c r="AJ107" s="181"/>
      <c r="AK107" s="181"/>
      <c r="AL107" s="181"/>
      <c r="AM107" s="366" t="e">
        <f t="shared" ref="AM107" si="64">RANK(AL107, AL$67:AL$81)</f>
        <v>#N/A</v>
      </c>
      <c r="AN107" s="674" t="e">
        <f t="shared" ref="AN107" si="65">AVERAGE(AL107:AL121)</f>
        <v>#DIV/0!</v>
      </c>
      <c r="AO107" s="181"/>
      <c r="AP107" s="181"/>
      <c r="AQ107" s="181"/>
      <c r="AR107" s="366" t="e">
        <f t="shared" ref="AR107:AW121" si="66">RANK(AQ107, AQ$67:AQ$81)</f>
        <v>#N/A</v>
      </c>
      <c r="AS107" s="674" t="e">
        <f t="shared" ref="AS107" si="67">AVERAGE(AQ107:AQ121)</f>
        <v>#DIV/0!</v>
      </c>
      <c r="AT107" s="181"/>
      <c r="AU107" s="181"/>
      <c r="AV107" s="181"/>
      <c r="AW107" s="366" t="e">
        <f t="shared" ref="AW107" si="68">RANK(AV107, AV$67:AV$81)</f>
        <v>#N/A</v>
      </c>
      <c r="AX107" s="674" t="e">
        <f t="shared" ref="AX107" si="69">AVERAGE(AV107:AV121)</f>
        <v>#DIV/0!</v>
      </c>
      <c r="AZ107" s="403" t="e">
        <f t="shared" ref="AZ107:AZ121" si="70">RANK(AY107, AY$67:AY$81)</f>
        <v>#N/A</v>
      </c>
      <c r="BA107" s="674" t="e">
        <f t="shared" ref="BA107" si="71">AVERAGE(AY107:AY121)</f>
        <v>#DIV/0!</v>
      </c>
    </row>
    <row r="108" spans="2:53">
      <c r="B108" s="660"/>
      <c r="C108" s="366">
        <v>2</v>
      </c>
      <c r="D108" s="370"/>
      <c r="E108" s="367"/>
      <c r="F108" s="367"/>
      <c r="G108" s="367"/>
      <c r="H108" s="672"/>
      <c r="I108" s="395" t="str">
        <f t="shared" si="55"/>
        <v>-</v>
      </c>
      <c r="J108" s="395" t="str">
        <f t="shared" si="56"/>
        <v>-</v>
      </c>
      <c r="K108" s="199" t="str">
        <f t="shared" si="57"/>
        <v>-</v>
      </c>
      <c r="L108" s="609"/>
      <c r="M108" s="367" t="e">
        <f>RANK(K108, K$67:$K$81)</f>
        <v>#VALUE!</v>
      </c>
      <c r="N108" s="627"/>
      <c r="O108" s="627"/>
      <c r="P108" s="181"/>
      <c r="Q108" s="181"/>
      <c r="R108" s="181"/>
      <c r="S108" s="366" t="e">
        <f t="shared" ref="S108:S121" si="72">RANK(R108, R$67:R$81)</f>
        <v>#N/A</v>
      </c>
      <c r="T108" s="674"/>
      <c r="U108" s="181"/>
      <c r="V108" s="181"/>
      <c r="W108" s="181"/>
      <c r="X108" s="366" t="e">
        <f t="shared" si="58"/>
        <v>#N/A</v>
      </c>
      <c r="Y108" s="674"/>
      <c r="Z108" s="181"/>
      <c r="AA108" s="181"/>
      <c r="AB108" s="181"/>
      <c r="AC108" s="366" t="e">
        <f t="shared" si="58"/>
        <v>#N/A</v>
      </c>
      <c r="AD108" s="674"/>
      <c r="AE108" s="181"/>
      <c r="AF108" s="181"/>
      <c r="AG108" s="181"/>
      <c r="AH108" s="366" t="e">
        <f t="shared" si="58"/>
        <v>#N/A</v>
      </c>
      <c r="AI108" s="674"/>
      <c r="AJ108" s="181"/>
      <c r="AK108" s="181"/>
      <c r="AL108" s="181"/>
      <c r="AM108" s="366" t="e">
        <f t="shared" si="58"/>
        <v>#N/A</v>
      </c>
      <c r="AN108" s="674"/>
      <c r="AO108" s="181"/>
      <c r="AP108" s="181"/>
      <c r="AQ108" s="181"/>
      <c r="AR108" s="366" t="e">
        <f t="shared" si="66"/>
        <v>#N/A</v>
      </c>
      <c r="AS108" s="674"/>
      <c r="AT108" s="181"/>
      <c r="AU108" s="181"/>
      <c r="AV108" s="181"/>
      <c r="AW108" s="366" t="e">
        <f t="shared" si="66"/>
        <v>#N/A</v>
      </c>
      <c r="AX108" s="674"/>
      <c r="AZ108" s="403" t="e">
        <f t="shared" si="70"/>
        <v>#N/A</v>
      </c>
      <c r="BA108" s="674"/>
    </row>
    <row r="109" spans="2:53">
      <c r="B109" s="660"/>
      <c r="C109" s="366">
        <v>3</v>
      </c>
      <c r="D109" s="370"/>
      <c r="E109" s="367"/>
      <c r="F109" s="367"/>
      <c r="G109" s="367"/>
      <c r="H109" s="672"/>
      <c r="I109" s="395" t="str">
        <f t="shared" si="55"/>
        <v>-</v>
      </c>
      <c r="J109" s="395" t="str">
        <f t="shared" si="56"/>
        <v>-</v>
      </c>
      <c r="K109" s="199" t="str">
        <f t="shared" si="57"/>
        <v>-</v>
      </c>
      <c r="L109" s="609"/>
      <c r="M109" s="367" t="e">
        <f>RANK(K109, K$67:$K$81)</f>
        <v>#VALUE!</v>
      </c>
      <c r="N109" s="627"/>
      <c r="O109" s="627"/>
      <c r="P109" s="181"/>
      <c r="Q109" s="181"/>
      <c r="R109" s="181"/>
      <c r="S109" s="366" t="e">
        <f t="shared" si="72"/>
        <v>#N/A</v>
      </c>
      <c r="T109" s="674"/>
      <c r="U109" s="181"/>
      <c r="V109" s="181"/>
      <c r="W109" s="181"/>
      <c r="X109" s="366" t="e">
        <f t="shared" si="58"/>
        <v>#N/A</v>
      </c>
      <c r="Y109" s="674"/>
      <c r="Z109" s="181"/>
      <c r="AA109" s="181"/>
      <c r="AB109" s="181"/>
      <c r="AC109" s="366" t="e">
        <f t="shared" si="58"/>
        <v>#N/A</v>
      </c>
      <c r="AD109" s="674"/>
      <c r="AE109" s="181"/>
      <c r="AF109" s="181"/>
      <c r="AG109" s="181"/>
      <c r="AH109" s="366" t="e">
        <f t="shared" si="58"/>
        <v>#N/A</v>
      </c>
      <c r="AI109" s="674"/>
      <c r="AJ109" s="181"/>
      <c r="AK109" s="181"/>
      <c r="AL109" s="181"/>
      <c r="AM109" s="366" t="e">
        <f t="shared" si="58"/>
        <v>#N/A</v>
      </c>
      <c r="AN109" s="674"/>
      <c r="AO109" s="181"/>
      <c r="AP109" s="181"/>
      <c r="AQ109" s="181"/>
      <c r="AR109" s="366" t="e">
        <f t="shared" si="66"/>
        <v>#N/A</v>
      </c>
      <c r="AS109" s="674"/>
      <c r="AT109" s="181"/>
      <c r="AU109" s="181"/>
      <c r="AV109" s="181"/>
      <c r="AW109" s="366" t="e">
        <f t="shared" si="66"/>
        <v>#N/A</v>
      </c>
      <c r="AX109" s="674"/>
      <c r="AZ109" s="403" t="e">
        <f t="shared" si="70"/>
        <v>#N/A</v>
      </c>
      <c r="BA109" s="674"/>
    </row>
    <row r="110" spans="2:53">
      <c r="B110" s="660"/>
      <c r="C110" s="366">
        <v>4</v>
      </c>
      <c r="D110" s="370"/>
      <c r="E110" s="367"/>
      <c r="F110" s="367"/>
      <c r="G110" s="367"/>
      <c r="H110" s="672"/>
      <c r="I110" s="395" t="str">
        <f t="shared" si="55"/>
        <v>-</v>
      </c>
      <c r="J110" s="395" t="str">
        <f t="shared" si="56"/>
        <v>-</v>
      </c>
      <c r="K110" s="199" t="str">
        <f t="shared" si="57"/>
        <v>-</v>
      </c>
      <c r="L110" s="609"/>
      <c r="M110" s="367" t="e">
        <f>RANK(K110, K$67:$K$81)</f>
        <v>#VALUE!</v>
      </c>
      <c r="N110" s="627"/>
      <c r="O110" s="627"/>
      <c r="P110" s="181"/>
      <c r="Q110" s="181"/>
      <c r="R110" s="181"/>
      <c r="S110" s="366" t="e">
        <f t="shared" si="72"/>
        <v>#N/A</v>
      </c>
      <c r="T110" s="674"/>
      <c r="U110" s="181"/>
      <c r="V110" s="181"/>
      <c r="W110" s="181"/>
      <c r="X110" s="366" t="e">
        <f t="shared" si="58"/>
        <v>#N/A</v>
      </c>
      <c r="Y110" s="674"/>
      <c r="Z110" s="181"/>
      <c r="AA110" s="181"/>
      <c r="AB110" s="181"/>
      <c r="AC110" s="366" t="e">
        <f t="shared" si="58"/>
        <v>#N/A</v>
      </c>
      <c r="AD110" s="674"/>
      <c r="AE110" s="181"/>
      <c r="AF110" s="181"/>
      <c r="AG110" s="181"/>
      <c r="AH110" s="366" t="e">
        <f t="shared" si="58"/>
        <v>#N/A</v>
      </c>
      <c r="AI110" s="674"/>
      <c r="AJ110" s="181"/>
      <c r="AK110" s="181"/>
      <c r="AL110" s="181"/>
      <c r="AM110" s="366" t="e">
        <f t="shared" si="58"/>
        <v>#N/A</v>
      </c>
      <c r="AN110" s="674"/>
      <c r="AO110" s="181"/>
      <c r="AP110" s="181"/>
      <c r="AQ110" s="181"/>
      <c r="AR110" s="366" t="e">
        <f t="shared" si="66"/>
        <v>#N/A</v>
      </c>
      <c r="AS110" s="674"/>
      <c r="AT110" s="181"/>
      <c r="AU110" s="181"/>
      <c r="AV110" s="181"/>
      <c r="AW110" s="366" t="e">
        <f t="shared" si="66"/>
        <v>#N/A</v>
      </c>
      <c r="AX110" s="674"/>
      <c r="AZ110" s="403" t="e">
        <f t="shared" si="70"/>
        <v>#N/A</v>
      </c>
      <c r="BA110" s="674"/>
    </row>
    <row r="111" spans="2:53">
      <c r="B111" s="660"/>
      <c r="C111" s="366">
        <v>5</v>
      </c>
      <c r="D111" s="370"/>
      <c r="E111" s="367"/>
      <c r="F111" s="367"/>
      <c r="G111" s="367"/>
      <c r="H111" s="672"/>
      <c r="I111" s="395" t="str">
        <f t="shared" si="55"/>
        <v>-</v>
      </c>
      <c r="J111" s="395" t="str">
        <f t="shared" si="56"/>
        <v>-</v>
      </c>
      <c r="K111" s="199" t="str">
        <f t="shared" si="57"/>
        <v>-</v>
      </c>
      <c r="L111" s="609"/>
      <c r="M111" s="367" t="e">
        <f>RANK(K111, K$67:$K$81)</f>
        <v>#VALUE!</v>
      </c>
      <c r="N111" s="627"/>
      <c r="O111" s="627"/>
      <c r="P111" s="181"/>
      <c r="Q111" s="181"/>
      <c r="R111" s="181"/>
      <c r="S111" s="366" t="e">
        <f t="shared" si="72"/>
        <v>#N/A</v>
      </c>
      <c r="T111" s="674"/>
      <c r="U111" s="181"/>
      <c r="V111" s="181"/>
      <c r="W111" s="181"/>
      <c r="X111" s="366" t="e">
        <f t="shared" si="58"/>
        <v>#N/A</v>
      </c>
      <c r="Y111" s="674"/>
      <c r="Z111" s="181"/>
      <c r="AA111" s="181"/>
      <c r="AB111" s="181"/>
      <c r="AC111" s="366" t="e">
        <f t="shared" si="58"/>
        <v>#N/A</v>
      </c>
      <c r="AD111" s="674"/>
      <c r="AE111" s="181"/>
      <c r="AF111" s="181"/>
      <c r="AG111" s="181"/>
      <c r="AH111" s="366" t="e">
        <f t="shared" si="58"/>
        <v>#N/A</v>
      </c>
      <c r="AI111" s="674"/>
      <c r="AJ111" s="181"/>
      <c r="AK111" s="181"/>
      <c r="AL111" s="181"/>
      <c r="AM111" s="366" t="e">
        <f t="shared" si="58"/>
        <v>#N/A</v>
      </c>
      <c r="AN111" s="674"/>
      <c r="AO111" s="181"/>
      <c r="AP111" s="181"/>
      <c r="AQ111" s="181"/>
      <c r="AR111" s="366" t="e">
        <f t="shared" si="66"/>
        <v>#N/A</v>
      </c>
      <c r="AS111" s="674"/>
      <c r="AT111" s="181"/>
      <c r="AU111" s="181"/>
      <c r="AV111" s="181"/>
      <c r="AW111" s="366" t="e">
        <f t="shared" si="66"/>
        <v>#N/A</v>
      </c>
      <c r="AX111" s="674"/>
      <c r="AZ111" s="403" t="e">
        <f t="shared" si="70"/>
        <v>#N/A</v>
      </c>
      <c r="BA111" s="674"/>
    </row>
    <row r="112" spans="2:53">
      <c r="B112" s="660"/>
      <c r="C112" s="366">
        <v>6</v>
      </c>
      <c r="D112" s="370"/>
      <c r="E112" s="367"/>
      <c r="F112" s="367"/>
      <c r="G112" s="367"/>
      <c r="H112" s="672"/>
      <c r="I112" s="395" t="str">
        <f t="shared" si="55"/>
        <v>-</v>
      </c>
      <c r="J112" s="395" t="str">
        <f t="shared" si="56"/>
        <v>-</v>
      </c>
      <c r="K112" s="199" t="str">
        <f t="shared" si="57"/>
        <v>-</v>
      </c>
      <c r="L112" s="609"/>
      <c r="M112" s="367" t="e">
        <f>RANK(K112, K$67:$K$81)</f>
        <v>#VALUE!</v>
      </c>
      <c r="N112" s="627"/>
      <c r="O112" s="627"/>
      <c r="P112" s="181"/>
      <c r="Q112" s="181"/>
      <c r="R112" s="181"/>
      <c r="S112" s="366" t="e">
        <f t="shared" si="72"/>
        <v>#N/A</v>
      </c>
      <c r="T112" s="674"/>
      <c r="U112" s="181"/>
      <c r="V112" s="181"/>
      <c r="W112" s="181"/>
      <c r="X112" s="366" t="e">
        <f t="shared" si="58"/>
        <v>#N/A</v>
      </c>
      <c r="Y112" s="674"/>
      <c r="Z112" s="181"/>
      <c r="AA112" s="181"/>
      <c r="AB112" s="181"/>
      <c r="AC112" s="366" t="e">
        <f t="shared" si="58"/>
        <v>#N/A</v>
      </c>
      <c r="AD112" s="674"/>
      <c r="AE112" s="181"/>
      <c r="AF112" s="181"/>
      <c r="AG112" s="181"/>
      <c r="AH112" s="366" t="e">
        <f t="shared" si="58"/>
        <v>#N/A</v>
      </c>
      <c r="AI112" s="674"/>
      <c r="AJ112" s="181"/>
      <c r="AK112" s="181"/>
      <c r="AL112" s="181"/>
      <c r="AM112" s="366" t="e">
        <f t="shared" si="58"/>
        <v>#N/A</v>
      </c>
      <c r="AN112" s="674"/>
      <c r="AO112" s="181"/>
      <c r="AP112" s="181"/>
      <c r="AQ112" s="181"/>
      <c r="AR112" s="366" t="e">
        <f t="shared" si="66"/>
        <v>#N/A</v>
      </c>
      <c r="AS112" s="674"/>
      <c r="AT112" s="181"/>
      <c r="AU112" s="181"/>
      <c r="AV112" s="181"/>
      <c r="AW112" s="366" t="e">
        <f t="shared" si="66"/>
        <v>#N/A</v>
      </c>
      <c r="AX112" s="674"/>
      <c r="AZ112" s="403" t="e">
        <f t="shared" si="70"/>
        <v>#N/A</v>
      </c>
      <c r="BA112" s="674"/>
    </row>
    <row r="113" spans="2:53">
      <c r="B113" s="660"/>
      <c r="C113" s="366">
        <v>7</v>
      </c>
      <c r="D113" s="370"/>
      <c r="E113" s="367"/>
      <c r="F113" s="367"/>
      <c r="G113" s="367"/>
      <c r="H113" s="672"/>
      <c r="I113" s="395" t="str">
        <f t="shared" si="55"/>
        <v>-</v>
      </c>
      <c r="J113" s="395" t="str">
        <f t="shared" si="56"/>
        <v>-</v>
      </c>
      <c r="K113" s="199" t="str">
        <f t="shared" si="57"/>
        <v>-</v>
      </c>
      <c r="L113" s="609"/>
      <c r="M113" s="367" t="e">
        <f>RANK(K113, K$67:$K$81)</f>
        <v>#VALUE!</v>
      </c>
      <c r="N113" s="627"/>
      <c r="O113" s="627"/>
      <c r="P113" s="181"/>
      <c r="Q113" s="181"/>
      <c r="R113" s="181"/>
      <c r="S113" s="366" t="e">
        <f t="shared" si="72"/>
        <v>#N/A</v>
      </c>
      <c r="T113" s="674"/>
      <c r="U113" s="181"/>
      <c r="V113" s="181"/>
      <c r="W113" s="181"/>
      <c r="X113" s="366" t="e">
        <f t="shared" si="58"/>
        <v>#N/A</v>
      </c>
      <c r="Y113" s="674"/>
      <c r="Z113" s="181"/>
      <c r="AA113" s="181"/>
      <c r="AB113" s="181"/>
      <c r="AC113" s="366" t="e">
        <f t="shared" si="58"/>
        <v>#N/A</v>
      </c>
      <c r="AD113" s="674"/>
      <c r="AE113" s="181"/>
      <c r="AF113" s="181"/>
      <c r="AG113" s="181"/>
      <c r="AH113" s="366" t="e">
        <f t="shared" si="58"/>
        <v>#N/A</v>
      </c>
      <c r="AI113" s="674"/>
      <c r="AJ113" s="181"/>
      <c r="AK113" s="181"/>
      <c r="AL113" s="181"/>
      <c r="AM113" s="366" t="e">
        <f t="shared" si="58"/>
        <v>#N/A</v>
      </c>
      <c r="AN113" s="674"/>
      <c r="AO113" s="181"/>
      <c r="AP113" s="181"/>
      <c r="AQ113" s="181"/>
      <c r="AR113" s="366" t="e">
        <f t="shared" si="66"/>
        <v>#N/A</v>
      </c>
      <c r="AS113" s="674"/>
      <c r="AT113" s="181"/>
      <c r="AU113" s="181"/>
      <c r="AV113" s="181"/>
      <c r="AW113" s="366" t="e">
        <f t="shared" si="66"/>
        <v>#N/A</v>
      </c>
      <c r="AX113" s="674"/>
      <c r="AZ113" s="403" t="e">
        <f t="shared" si="70"/>
        <v>#N/A</v>
      </c>
      <c r="BA113" s="674"/>
    </row>
    <row r="114" spans="2:53">
      <c r="B114" s="660"/>
      <c r="C114" s="366">
        <v>8</v>
      </c>
      <c r="D114" s="370"/>
      <c r="E114" s="367"/>
      <c r="F114" s="367"/>
      <c r="G114" s="367"/>
      <c r="H114" s="672"/>
      <c r="I114" s="395" t="str">
        <f t="shared" si="55"/>
        <v>-</v>
      </c>
      <c r="J114" s="395" t="str">
        <f t="shared" si="56"/>
        <v>-</v>
      </c>
      <c r="K114" s="199" t="str">
        <f t="shared" si="57"/>
        <v>-</v>
      </c>
      <c r="L114" s="609"/>
      <c r="M114" s="367" t="e">
        <f>RANK(K114, K$67:$K$81)</f>
        <v>#VALUE!</v>
      </c>
      <c r="N114" s="627"/>
      <c r="O114" s="627"/>
      <c r="P114" s="181"/>
      <c r="Q114" s="181"/>
      <c r="R114" s="181"/>
      <c r="S114" s="366" t="e">
        <f t="shared" si="72"/>
        <v>#N/A</v>
      </c>
      <c r="T114" s="674"/>
      <c r="U114" s="181"/>
      <c r="V114" s="181"/>
      <c r="W114" s="181"/>
      <c r="X114" s="366" t="e">
        <f t="shared" si="58"/>
        <v>#N/A</v>
      </c>
      <c r="Y114" s="674"/>
      <c r="Z114" s="181"/>
      <c r="AA114" s="181"/>
      <c r="AB114" s="181"/>
      <c r="AC114" s="366" t="e">
        <f t="shared" si="58"/>
        <v>#N/A</v>
      </c>
      <c r="AD114" s="674"/>
      <c r="AE114" s="181"/>
      <c r="AF114" s="181"/>
      <c r="AG114" s="181"/>
      <c r="AH114" s="366" t="e">
        <f t="shared" si="58"/>
        <v>#N/A</v>
      </c>
      <c r="AI114" s="674"/>
      <c r="AJ114" s="181"/>
      <c r="AK114" s="181"/>
      <c r="AL114" s="181"/>
      <c r="AM114" s="366" t="e">
        <f t="shared" si="58"/>
        <v>#N/A</v>
      </c>
      <c r="AN114" s="674"/>
      <c r="AO114" s="181"/>
      <c r="AP114" s="181"/>
      <c r="AQ114" s="181"/>
      <c r="AR114" s="366" t="e">
        <f t="shared" si="66"/>
        <v>#N/A</v>
      </c>
      <c r="AS114" s="674"/>
      <c r="AT114" s="181"/>
      <c r="AU114" s="181"/>
      <c r="AV114" s="181"/>
      <c r="AW114" s="366" t="e">
        <f t="shared" si="66"/>
        <v>#N/A</v>
      </c>
      <c r="AX114" s="674"/>
      <c r="AZ114" s="403" t="e">
        <f t="shared" si="70"/>
        <v>#N/A</v>
      </c>
      <c r="BA114" s="674"/>
    </row>
    <row r="115" spans="2:53">
      <c r="B115" s="660"/>
      <c r="C115" s="366">
        <v>9</v>
      </c>
      <c r="D115" s="370"/>
      <c r="E115" s="367"/>
      <c r="F115" s="367"/>
      <c r="G115" s="367"/>
      <c r="H115" s="672"/>
      <c r="I115" s="395" t="str">
        <f t="shared" si="55"/>
        <v>-</v>
      </c>
      <c r="J115" s="395" t="str">
        <f t="shared" si="56"/>
        <v>-</v>
      </c>
      <c r="K115" s="199" t="str">
        <f t="shared" si="57"/>
        <v>-</v>
      </c>
      <c r="L115" s="609"/>
      <c r="M115" s="367" t="e">
        <f>RANK(K115, K$67:$K$81)</f>
        <v>#VALUE!</v>
      </c>
      <c r="N115" s="627"/>
      <c r="O115" s="627"/>
      <c r="P115" s="181"/>
      <c r="Q115" s="181"/>
      <c r="R115" s="181"/>
      <c r="S115" s="366" t="e">
        <f t="shared" si="72"/>
        <v>#N/A</v>
      </c>
      <c r="T115" s="674"/>
      <c r="U115" s="181"/>
      <c r="V115" s="181"/>
      <c r="W115" s="181"/>
      <c r="X115" s="366" t="e">
        <f t="shared" si="58"/>
        <v>#N/A</v>
      </c>
      <c r="Y115" s="674"/>
      <c r="Z115" s="181"/>
      <c r="AA115" s="181"/>
      <c r="AB115" s="181"/>
      <c r="AC115" s="366" t="e">
        <f t="shared" si="58"/>
        <v>#N/A</v>
      </c>
      <c r="AD115" s="674"/>
      <c r="AE115" s="181"/>
      <c r="AF115" s="181"/>
      <c r="AG115" s="181"/>
      <c r="AH115" s="366" t="e">
        <f t="shared" si="58"/>
        <v>#N/A</v>
      </c>
      <c r="AI115" s="674"/>
      <c r="AJ115" s="181"/>
      <c r="AK115" s="181"/>
      <c r="AL115" s="181"/>
      <c r="AM115" s="366" t="e">
        <f t="shared" si="58"/>
        <v>#N/A</v>
      </c>
      <c r="AN115" s="674"/>
      <c r="AO115" s="181"/>
      <c r="AP115" s="181"/>
      <c r="AQ115" s="181"/>
      <c r="AR115" s="366" t="e">
        <f t="shared" si="66"/>
        <v>#N/A</v>
      </c>
      <c r="AS115" s="674"/>
      <c r="AT115" s="181"/>
      <c r="AU115" s="181"/>
      <c r="AV115" s="181"/>
      <c r="AW115" s="366" t="e">
        <f t="shared" si="66"/>
        <v>#N/A</v>
      </c>
      <c r="AX115" s="674"/>
      <c r="AZ115" s="403" t="e">
        <f t="shared" si="70"/>
        <v>#N/A</v>
      </c>
      <c r="BA115" s="674"/>
    </row>
    <row r="116" spans="2:53">
      <c r="B116" s="660"/>
      <c r="C116" s="366">
        <v>10</v>
      </c>
      <c r="D116" s="370"/>
      <c r="E116" s="367"/>
      <c r="F116" s="367"/>
      <c r="G116" s="367"/>
      <c r="H116" s="672"/>
      <c r="I116" s="395" t="str">
        <f t="shared" si="55"/>
        <v>-</v>
      </c>
      <c r="J116" s="395" t="str">
        <f t="shared" si="56"/>
        <v>-</v>
      </c>
      <c r="K116" s="199" t="str">
        <f t="shared" si="57"/>
        <v>-</v>
      </c>
      <c r="L116" s="609"/>
      <c r="M116" s="367" t="e">
        <f>RANK(K116, K$67:$K$81)</f>
        <v>#VALUE!</v>
      </c>
      <c r="N116" s="627"/>
      <c r="O116" s="627"/>
      <c r="P116" s="181"/>
      <c r="Q116" s="181"/>
      <c r="R116" s="181"/>
      <c r="S116" s="366" t="e">
        <f t="shared" si="72"/>
        <v>#N/A</v>
      </c>
      <c r="T116" s="674"/>
      <c r="U116" s="181"/>
      <c r="V116" s="181"/>
      <c r="W116" s="181"/>
      <c r="X116" s="366" t="e">
        <f t="shared" si="58"/>
        <v>#N/A</v>
      </c>
      <c r="Y116" s="674"/>
      <c r="Z116" s="181"/>
      <c r="AA116" s="181"/>
      <c r="AB116" s="181"/>
      <c r="AC116" s="366" t="e">
        <f t="shared" si="58"/>
        <v>#N/A</v>
      </c>
      <c r="AD116" s="674"/>
      <c r="AE116" s="181"/>
      <c r="AF116" s="181"/>
      <c r="AG116" s="181"/>
      <c r="AH116" s="366" t="e">
        <f t="shared" si="58"/>
        <v>#N/A</v>
      </c>
      <c r="AI116" s="674"/>
      <c r="AJ116" s="181"/>
      <c r="AK116" s="181"/>
      <c r="AL116" s="181"/>
      <c r="AM116" s="366" t="e">
        <f t="shared" si="58"/>
        <v>#N/A</v>
      </c>
      <c r="AN116" s="674"/>
      <c r="AO116" s="181"/>
      <c r="AP116" s="181"/>
      <c r="AQ116" s="181"/>
      <c r="AR116" s="366" t="e">
        <f t="shared" si="66"/>
        <v>#N/A</v>
      </c>
      <c r="AS116" s="674"/>
      <c r="AT116" s="181"/>
      <c r="AU116" s="181"/>
      <c r="AV116" s="181"/>
      <c r="AW116" s="366" t="e">
        <f t="shared" si="66"/>
        <v>#N/A</v>
      </c>
      <c r="AX116" s="674"/>
      <c r="AZ116" s="403" t="e">
        <f t="shared" si="70"/>
        <v>#N/A</v>
      </c>
      <c r="BA116" s="674"/>
    </row>
    <row r="117" spans="2:53">
      <c r="B117" s="660"/>
      <c r="C117" s="366">
        <v>11</v>
      </c>
      <c r="D117" s="370"/>
      <c r="E117" s="367"/>
      <c r="F117" s="367"/>
      <c r="G117" s="367"/>
      <c r="H117" s="672"/>
      <c r="I117" s="395" t="str">
        <f t="shared" si="55"/>
        <v>-</v>
      </c>
      <c r="J117" s="395" t="str">
        <f t="shared" si="56"/>
        <v>-</v>
      </c>
      <c r="K117" s="199" t="str">
        <f t="shared" si="57"/>
        <v>-</v>
      </c>
      <c r="L117" s="609"/>
      <c r="M117" s="367" t="e">
        <f>RANK(K117, K$67:$K$81)</f>
        <v>#VALUE!</v>
      </c>
      <c r="N117" s="627"/>
      <c r="O117" s="627"/>
      <c r="P117" s="181"/>
      <c r="Q117" s="181"/>
      <c r="R117" s="181"/>
      <c r="S117" s="366" t="e">
        <f t="shared" si="72"/>
        <v>#N/A</v>
      </c>
      <c r="T117" s="674"/>
      <c r="U117" s="181"/>
      <c r="V117" s="181"/>
      <c r="W117" s="181"/>
      <c r="X117" s="366" t="e">
        <f t="shared" si="58"/>
        <v>#N/A</v>
      </c>
      <c r="Y117" s="674"/>
      <c r="Z117" s="181"/>
      <c r="AA117" s="181"/>
      <c r="AB117" s="181"/>
      <c r="AC117" s="366" t="e">
        <f t="shared" si="58"/>
        <v>#N/A</v>
      </c>
      <c r="AD117" s="674"/>
      <c r="AE117" s="181"/>
      <c r="AF117" s="181"/>
      <c r="AG117" s="181"/>
      <c r="AH117" s="366" t="e">
        <f t="shared" si="58"/>
        <v>#N/A</v>
      </c>
      <c r="AI117" s="674"/>
      <c r="AJ117" s="181"/>
      <c r="AK117" s="181"/>
      <c r="AL117" s="181"/>
      <c r="AM117" s="366" t="e">
        <f t="shared" si="58"/>
        <v>#N/A</v>
      </c>
      <c r="AN117" s="674"/>
      <c r="AO117" s="181"/>
      <c r="AP117" s="181"/>
      <c r="AQ117" s="181"/>
      <c r="AR117" s="366" t="e">
        <f t="shared" si="66"/>
        <v>#N/A</v>
      </c>
      <c r="AS117" s="674"/>
      <c r="AT117" s="181"/>
      <c r="AU117" s="181"/>
      <c r="AV117" s="181"/>
      <c r="AW117" s="366" t="e">
        <f t="shared" si="66"/>
        <v>#N/A</v>
      </c>
      <c r="AX117" s="674"/>
      <c r="AZ117" s="403" t="e">
        <f t="shared" si="70"/>
        <v>#N/A</v>
      </c>
      <c r="BA117" s="674"/>
    </row>
    <row r="118" spans="2:53">
      <c r="B118" s="660"/>
      <c r="C118" s="366">
        <v>12</v>
      </c>
      <c r="D118" s="370"/>
      <c r="E118" s="367"/>
      <c r="F118" s="367"/>
      <c r="G118" s="367"/>
      <c r="H118" s="672"/>
      <c r="I118" s="395" t="str">
        <f t="shared" si="55"/>
        <v>-</v>
      </c>
      <c r="J118" s="395" t="str">
        <f t="shared" si="56"/>
        <v>-</v>
      </c>
      <c r="K118" s="199" t="str">
        <f t="shared" si="57"/>
        <v>-</v>
      </c>
      <c r="L118" s="609"/>
      <c r="M118" s="367" t="e">
        <f>RANK(K118, K$67:$K$81)</f>
        <v>#VALUE!</v>
      </c>
      <c r="N118" s="627"/>
      <c r="O118" s="627"/>
      <c r="P118" s="181"/>
      <c r="Q118" s="181"/>
      <c r="R118" s="181"/>
      <c r="S118" s="366" t="e">
        <f t="shared" si="72"/>
        <v>#N/A</v>
      </c>
      <c r="T118" s="674"/>
      <c r="U118" s="181"/>
      <c r="V118" s="181"/>
      <c r="W118" s="181"/>
      <c r="X118" s="366" t="e">
        <f t="shared" si="58"/>
        <v>#N/A</v>
      </c>
      <c r="Y118" s="674"/>
      <c r="Z118" s="181"/>
      <c r="AA118" s="181"/>
      <c r="AB118" s="181"/>
      <c r="AC118" s="366" t="e">
        <f t="shared" si="58"/>
        <v>#N/A</v>
      </c>
      <c r="AD118" s="674"/>
      <c r="AE118" s="181"/>
      <c r="AF118" s="181"/>
      <c r="AG118" s="181"/>
      <c r="AH118" s="366" t="e">
        <f t="shared" si="58"/>
        <v>#N/A</v>
      </c>
      <c r="AI118" s="674"/>
      <c r="AJ118" s="181"/>
      <c r="AK118" s="181"/>
      <c r="AL118" s="181"/>
      <c r="AM118" s="366" t="e">
        <f t="shared" si="58"/>
        <v>#N/A</v>
      </c>
      <c r="AN118" s="674"/>
      <c r="AO118" s="181"/>
      <c r="AP118" s="181"/>
      <c r="AQ118" s="181"/>
      <c r="AR118" s="366" t="e">
        <f t="shared" si="66"/>
        <v>#N/A</v>
      </c>
      <c r="AS118" s="674"/>
      <c r="AT118" s="181"/>
      <c r="AU118" s="181"/>
      <c r="AV118" s="181"/>
      <c r="AW118" s="366" t="e">
        <f t="shared" si="66"/>
        <v>#N/A</v>
      </c>
      <c r="AX118" s="674"/>
      <c r="AZ118" s="403" t="e">
        <f t="shared" si="70"/>
        <v>#N/A</v>
      </c>
      <c r="BA118" s="674"/>
    </row>
    <row r="119" spans="2:53">
      <c r="B119" s="660"/>
      <c r="C119" s="366">
        <v>13</v>
      </c>
      <c r="D119" s="370"/>
      <c r="E119" s="367"/>
      <c r="F119" s="367"/>
      <c r="G119" s="367"/>
      <c r="H119" s="672"/>
      <c r="I119" s="395" t="str">
        <f t="shared" si="55"/>
        <v>-</v>
      </c>
      <c r="J119" s="395" t="str">
        <f t="shared" si="56"/>
        <v>-</v>
      </c>
      <c r="K119" s="199" t="str">
        <f t="shared" si="57"/>
        <v>-</v>
      </c>
      <c r="L119" s="609"/>
      <c r="M119" s="367" t="e">
        <f>RANK(K119, K$67:$K$81)</f>
        <v>#VALUE!</v>
      </c>
      <c r="N119" s="627"/>
      <c r="O119" s="627"/>
      <c r="P119" s="181"/>
      <c r="Q119" s="181"/>
      <c r="R119" s="181"/>
      <c r="S119" s="366" t="e">
        <f t="shared" si="72"/>
        <v>#N/A</v>
      </c>
      <c r="T119" s="674"/>
      <c r="U119" s="181"/>
      <c r="V119" s="181"/>
      <c r="W119" s="181"/>
      <c r="X119" s="366" t="e">
        <f t="shared" si="58"/>
        <v>#N/A</v>
      </c>
      <c r="Y119" s="674"/>
      <c r="Z119" s="181"/>
      <c r="AA119" s="181"/>
      <c r="AB119" s="181"/>
      <c r="AC119" s="366" t="e">
        <f t="shared" si="58"/>
        <v>#N/A</v>
      </c>
      <c r="AD119" s="674"/>
      <c r="AE119" s="181"/>
      <c r="AF119" s="181"/>
      <c r="AG119" s="181"/>
      <c r="AH119" s="366" t="e">
        <f t="shared" si="58"/>
        <v>#N/A</v>
      </c>
      <c r="AI119" s="674"/>
      <c r="AJ119" s="181"/>
      <c r="AK119" s="181"/>
      <c r="AL119" s="181"/>
      <c r="AM119" s="366" t="e">
        <f t="shared" si="58"/>
        <v>#N/A</v>
      </c>
      <c r="AN119" s="674"/>
      <c r="AO119" s="181"/>
      <c r="AP119" s="181"/>
      <c r="AQ119" s="181"/>
      <c r="AR119" s="366" t="e">
        <f t="shared" si="66"/>
        <v>#N/A</v>
      </c>
      <c r="AS119" s="674"/>
      <c r="AT119" s="181"/>
      <c r="AU119" s="181"/>
      <c r="AV119" s="181"/>
      <c r="AW119" s="366" t="e">
        <f t="shared" si="66"/>
        <v>#N/A</v>
      </c>
      <c r="AX119" s="674"/>
      <c r="AZ119" s="403" t="e">
        <f t="shared" si="70"/>
        <v>#N/A</v>
      </c>
      <c r="BA119" s="674"/>
    </row>
    <row r="120" spans="2:53">
      <c r="B120" s="660"/>
      <c r="C120" s="366">
        <v>14</v>
      </c>
      <c r="D120" s="370"/>
      <c r="E120" s="367"/>
      <c r="F120" s="367"/>
      <c r="G120" s="367"/>
      <c r="H120" s="672"/>
      <c r="I120" s="395" t="str">
        <f t="shared" si="55"/>
        <v>-</v>
      </c>
      <c r="J120" s="395" t="str">
        <f t="shared" si="56"/>
        <v>-</v>
      </c>
      <c r="K120" s="199" t="str">
        <f t="shared" si="57"/>
        <v>-</v>
      </c>
      <c r="L120" s="609"/>
      <c r="M120" s="367" t="e">
        <f>RANK(K120, K$67:$K$81)</f>
        <v>#VALUE!</v>
      </c>
      <c r="N120" s="627"/>
      <c r="O120" s="627"/>
      <c r="P120" s="181"/>
      <c r="Q120" s="181"/>
      <c r="R120" s="181"/>
      <c r="S120" s="366" t="e">
        <f t="shared" si="72"/>
        <v>#N/A</v>
      </c>
      <c r="T120" s="674"/>
      <c r="U120" s="181"/>
      <c r="V120" s="181"/>
      <c r="W120" s="181"/>
      <c r="X120" s="366" t="e">
        <f t="shared" si="58"/>
        <v>#N/A</v>
      </c>
      <c r="Y120" s="674"/>
      <c r="Z120" s="181"/>
      <c r="AA120" s="181"/>
      <c r="AB120" s="181"/>
      <c r="AC120" s="366" t="e">
        <f t="shared" si="58"/>
        <v>#N/A</v>
      </c>
      <c r="AD120" s="674"/>
      <c r="AE120" s="181"/>
      <c r="AF120" s="181"/>
      <c r="AG120" s="181"/>
      <c r="AH120" s="366" t="e">
        <f t="shared" si="58"/>
        <v>#N/A</v>
      </c>
      <c r="AI120" s="674"/>
      <c r="AJ120" s="181"/>
      <c r="AK120" s="181"/>
      <c r="AL120" s="181"/>
      <c r="AM120" s="366" t="e">
        <f t="shared" si="58"/>
        <v>#N/A</v>
      </c>
      <c r="AN120" s="674"/>
      <c r="AO120" s="181"/>
      <c r="AP120" s="181"/>
      <c r="AQ120" s="181"/>
      <c r="AR120" s="366" t="e">
        <f t="shared" si="66"/>
        <v>#N/A</v>
      </c>
      <c r="AS120" s="674"/>
      <c r="AT120" s="181"/>
      <c r="AU120" s="181"/>
      <c r="AV120" s="181"/>
      <c r="AW120" s="366" t="e">
        <f t="shared" si="66"/>
        <v>#N/A</v>
      </c>
      <c r="AX120" s="674"/>
      <c r="AZ120" s="403" t="e">
        <f t="shared" si="70"/>
        <v>#N/A</v>
      </c>
      <c r="BA120" s="674"/>
    </row>
    <row r="121" spans="2:53">
      <c r="B121" s="660"/>
      <c r="C121" s="366">
        <v>15</v>
      </c>
      <c r="D121" s="370"/>
      <c r="E121" s="367"/>
      <c r="F121" s="367"/>
      <c r="G121" s="367"/>
      <c r="H121" s="676"/>
      <c r="I121" s="400"/>
      <c r="J121" s="400"/>
      <c r="K121" s="396"/>
      <c r="L121" s="610"/>
      <c r="M121" s="367" t="e">
        <f>RANK(K121, K$67:$K$81)</f>
        <v>#N/A</v>
      </c>
      <c r="N121" s="627"/>
      <c r="O121" s="627"/>
      <c r="P121" s="181"/>
      <c r="Q121" s="181"/>
      <c r="R121" s="181"/>
      <c r="S121" s="366" t="e">
        <f t="shared" si="72"/>
        <v>#N/A</v>
      </c>
      <c r="T121" s="674"/>
      <c r="U121" s="181"/>
      <c r="V121" s="181"/>
      <c r="W121" s="181"/>
      <c r="X121" s="366" t="e">
        <f t="shared" si="58"/>
        <v>#N/A</v>
      </c>
      <c r="Y121" s="674"/>
      <c r="Z121" s="181"/>
      <c r="AA121" s="181"/>
      <c r="AB121" s="181"/>
      <c r="AC121" s="366" t="e">
        <f t="shared" si="58"/>
        <v>#N/A</v>
      </c>
      <c r="AD121" s="674"/>
      <c r="AE121" s="181"/>
      <c r="AF121" s="181"/>
      <c r="AG121" s="181"/>
      <c r="AH121" s="366" t="e">
        <f t="shared" si="58"/>
        <v>#N/A</v>
      </c>
      <c r="AI121" s="674"/>
      <c r="AJ121" s="181"/>
      <c r="AK121" s="181"/>
      <c r="AL121" s="181"/>
      <c r="AM121" s="366" t="e">
        <f t="shared" si="58"/>
        <v>#N/A</v>
      </c>
      <c r="AN121" s="674"/>
      <c r="AO121" s="181"/>
      <c r="AP121" s="181"/>
      <c r="AQ121" s="181"/>
      <c r="AR121" s="366" t="e">
        <f t="shared" si="66"/>
        <v>#N/A</v>
      </c>
      <c r="AS121" s="674"/>
      <c r="AT121" s="181"/>
      <c r="AU121" s="181"/>
      <c r="AV121" s="181"/>
      <c r="AW121" s="366" t="e">
        <f t="shared" si="66"/>
        <v>#N/A</v>
      </c>
      <c r="AX121" s="674"/>
      <c r="AZ121" s="403" t="e">
        <f t="shared" si="70"/>
        <v>#N/A</v>
      </c>
      <c r="BA121" s="674"/>
    </row>
    <row r="123" spans="2:53" ht="15.75">
      <c r="B123" s="666" t="s">
        <v>497</v>
      </c>
      <c r="C123" s="667"/>
      <c r="D123" s="667"/>
      <c r="E123" s="667"/>
      <c r="F123" s="667"/>
      <c r="G123" s="667"/>
      <c r="H123" s="668"/>
      <c r="I123" s="316"/>
      <c r="J123" s="316"/>
      <c r="K123" s="316"/>
      <c r="L123" s="316"/>
      <c r="M123" s="317"/>
    </row>
    <row r="124" spans="2:53" ht="15.75">
      <c r="B124" s="669"/>
      <c r="C124" s="669"/>
      <c r="D124" s="669"/>
      <c r="E124" s="669"/>
      <c r="F124" s="669"/>
      <c r="G124" s="669"/>
      <c r="H124" s="669"/>
      <c r="I124" s="318"/>
      <c r="J124" s="318"/>
      <c r="K124" s="318"/>
      <c r="L124" s="318"/>
      <c r="M124" s="319"/>
    </row>
    <row r="125" spans="2:53">
      <c r="B125" s="627" t="s">
        <v>154</v>
      </c>
      <c r="C125" s="627" t="s">
        <v>384</v>
      </c>
      <c r="D125" s="627"/>
      <c r="E125" s="627" t="s">
        <v>375</v>
      </c>
      <c r="F125" s="627"/>
      <c r="G125" s="627"/>
      <c r="H125" s="643" t="s">
        <v>371</v>
      </c>
      <c r="I125" s="670" t="s">
        <v>376</v>
      </c>
      <c r="J125" s="670"/>
      <c r="K125" s="670"/>
      <c r="L125" s="683" t="s">
        <v>371</v>
      </c>
      <c r="M125" s="686" t="s">
        <v>372</v>
      </c>
    </row>
    <row r="126" spans="2:53">
      <c r="B126" s="627"/>
      <c r="C126" s="627"/>
      <c r="D126" s="627"/>
      <c r="E126" s="627" t="s">
        <v>378</v>
      </c>
      <c r="F126" s="627"/>
      <c r="G126" s="627"/>
      <c r="H126" s="644"/>
      <c r="I126" s="670" t="s">
        <v>378</v>
      </c>
      <c r="J126" s="670"/>
      <c r="K126" s="670"/>
      <c r="L126" s="684"/>
      <c r="M126" s="687"/>
    </row>
    <row r="127" spans="2:53">
      <c r="B127" s="627"/>
      <c r="C127" s="627"/>
      <c r="D127" s="627"/>
      <c r="E127" s="313" t="s">
        <v>380</v>
      </c>
      <c r="F127" s="313" t="s">
        <v>381</v>
      </c>
      <c r="G127" s="313" t="s">
        <v>382</v>
      </c>
      <c r="H127" s="645"/>
      <c r="I127" s="320" t="s">
        <v>380</v>
      </c>
      <c r="J127" s="320" t="s">
        <v>381</v>
      </c>
      <c r="K127" s="320" t="s">
        <v>382</v>
      </c>
      <c r="L127" s="685"/>
      <c r="M127" s="688"/>
    </row>
    <row r="128" spans="2:53">
      <c r="B128" s="675" t="s">
        <v>383</v>
      </c>
      <c r="C128" s="312">
        <v>1</v>
      </c>
      <c r="D128" s="225"/>
      <c r="E128" s="181"/>
      <c r="F128" s="312"/>
      <c r="G128" s="315"/>
      <c r="H128" s="677" t="e">
        <f>AVERAGE(G128:G142)</f>
        <v>#DIV/0!</v>
      </c>
      <c r="I128" s="198" t="e">
        <f t="shared" ref="I128:J138" si="73">AVERAGEIF($D$7:$D$121,$D128,I$7:I$121)</f>
        <v>#DIV/0!</v>
      </c>
      <c r="J128" s="198" t="e">
        <f t="shared" si="73"/>
        <v>#DIV/0!</v>
      </c>
      <c r="K128" s="198" t="e">
        <f t="shared" ref="K128:K138" si="74">AVERAGEIF($D$7:$D$121,$D128,K$7:K$121)</f>
        <v>#DIV/0!</v>
      </c>
      <c r="L128" s="680" t="e">
        <f>AVERAGE(K128:K142)</f>
        <v>#DIV/0!</v>
      </c>
      <c r="M128" s="198" t="e">
        <f>RANK(K128, K$128:$K$142)</f>
        <v>#DIV/0!</v>
      </c>
    </row>
    <row r="129" spans="2:39">
      <c r="B129" s="635"/>
      <c r="C129" s="312">
        <v>2</v>
      </c>
      <c r="D129" s="225"/>
      <c r="E129" s="181"/>
      <c r="F129" s="312"/>
      <c r="G129" s="315"/>
      <c r="H129" s="678"/>
      <c r="I129" s="198" t="e">
        <f t="shared" si="73"/>
        <v>#DIV/0!</v>
      </c>
      <c r="J129" s="198" t="e">
        <f t="shared" si="73"/>
        <v>#DIV/0!</v>
      </c>
      <c r="K129" s="198" t="e">
        <f t="shared" si="74"/>
        <v>#DIV/0!</v>
      </c>
      <c r="L129" s="681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35"/>
      <c r="C130" s="312">
        <v>3</v>
      </c>
      <c r="D130" s="225"/>
      <c r="E130" s="181"/>
      <c r="F130" s="312"/>
      <c r="G130" s="315"/>
      <c r="H130" s="678"/>
      <c r="I130" s="198" t="e">
        <f t="shared" si="73"/>
        <v>#DIV/0!</v>
      </c>
      <c r="J130" s="198" t="e">
        <f t="shared" si="73"/>
        <v>#DIV/0!</v>
      </c>
      <c r="K130" s="198" t="e">
        <f t="shared" si="74"/>
        <v>#DIV/0!</v>
      </c>
      <c r="L130" s="681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35"/>
      <c r="C131" s="312">
        <v>4</v>
      </c>
      <c r="D131" s="225"/>
      <c r="E131" s="181"/>
      <c r="F131" s="312"/>
      <c r="G131" s="315"/>
      <c r="H131" s="678"/>
      <c r="I131" s="198" t="e">
        <f t="shared" si="73"/>
        <v>#DIV/0!</v>
      </c>
      <c r="J131" s="198" t="e">
        <f t="shared" si="73"/>
        <v>#DIV/0!</v>
      </c>
      <c r="K131" s="198" t="e">
        <f t="shared" si="74"/>
        <v>#DIV/0!</v>
      </c>
      <c r="L131" s="681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35"/>
      <c r="C132" s="312">
        <v>5</v>
      </c>
      <c r="D132" s="225"/>
      <c r="E132" s="181"/>
      <c r="F132" s="312"/>
      <c r="G132" s="315"/>
      <c r="H132" s="678"/>
      <c r="I132" s="198" t="e">
        <f t="shared" si="73"/>
        <v>#DIV/0!</v>
      </c>
      <c r="J132" s="198" t="e">
        <f t="shared" si="73"/>
        <v>#DIV/0!</v>
      </c>
      <c r="K132" s="198" t="e">
        <f t="shared" si="74"/>
        <v>#DIV/0!</v>
      </c>
      <c r="L132" s="681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35"/>
      <c r="C133" s="312">
        <v>6</v>
      </c>
      <c r="D133" s="321"/>
      <c r="E133" s="181"/>
      <c r="F133" s="312"/>
      <c r="G133" s="315"/>
      <c r="H133" s="678"/>
      <c r="I133" s="198" t="e">
        <f t="shared" si="73"/>
        <v>#DIV/0!</v>
      </c>
      <c r="J133" s="198" t="e">
        <f t="shared" si="73"/>
        <v>#DIV/0!</v>
      </c>
      <c r="K133" s="198" t="e">
        <f t="shared" si="74"/>
        <v>#DIV/0!</v>
      </c>
      <c r="L133" s="681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35"/>
      <c r="C134" s="312">
        <v>7</v>
      </c>
      <c r="D134" s="225"/>
      <c r="E134" s="181"/>
      <c r="F134" s="312"/>
      <c r="G134" s="315"/>
      <c r="H134" s="678"/>
      <c r="I134" s="198" t="e">
        <f t="shared" si="73"/>
        <v>#DIV/0!</v>
      </c>
      <c r="J134" s="198" t="e">
        <f t="shared" si="73"/>
        <v>#DIV/0!</v>
      </c>
      <c r="K134" s="198" t="e">
        <f t="shared" si="74"/>
        <v>#DIV/0!</v>
      </c>
      <c r="L134" s="681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35"/>
      <c r="C135" s="312">
        <v>8</v>
      </c>
      <c r="D135" s="225"/>
      <c r="E135" s="181"/>
      <c r="F135" s="312"/>
      <c r="G135" s="315"/>
      <c r="H135" s="678"/>
      <c r="I135" s="198" t="e">
        <f t="shared" si="73"/>
        <v>#DIV/0!</v>
      </c>
      <c r="J135" s="198" t="e">
        <f t="shared" si="73"/>
        <v>#DIV/0!</v>
      </c>
      <c r="K135" s="198" t="e">
        <f t="shared" si="74"/>
        <v>#DIV/0!</v>
      </c>
      <c r="L135" s="681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35"/>
      <c r="C136" s="312">
        <v>9</v>
      </c>
      <c r="D136" s="225"/>
      <c r="E136" s="312"/>
      <c r="F136" s="312"/>
      <c r="G136" s="312"/>
      <c r="H136" s="678"/>
      <c r="I136" s="198" t="e">
        <f t="shared" si="73"/>
        <v>#DIV/0!</v>
      </c>
      <c r="J136" s="198" t="e">
        <f t="shared" si="73"/>
        <v>#DIV/0!</v>
      </c>
      <c r="K136" s="198" t="e">
        <f t="shared" si="74"/>
        <v>#DIV/0!</v>
      </c>
      <c r="L136" s="681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35"/>
      <c r="C137" s="312">
        <v>10</v>
      </c>
      <c r="D137" s="225"/>
      <c r="E137" s="312"/>
      <c r="F137" s="312"/>
      <c r="G137" s="312"/>
      <c r="H137" s="678"/>
      <c r="I137" s="198" t="e">
        <f t="shared" si="73"/>
        <v>#DIV/0!</v>
      </c>
      <c r="J137" s="198" t="e">
        <f t="shared" si="73"/>
        <v>#DIV/0!</v>
      </c>
      <c r="K137" s="198" t="e">
        <f t="shared" si="74"/>
        <v>#DIV/0!</v>
      </c>
      <c r="L137" s="681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35"/>
      <c r="C138" s="312">
        <v>11</v>
      </c>
      <c r="D138" s="225"/>
      <c r="E138" s="312"/>
      <c r="F138" s="312"/>
      <c r="G138" s="312"/>
      <c r="H138" s="678"/>
      <c r="I138" s="198" t="e">
        <f t="shared" si="73"/>
        <v>#DIV/0!</v>
      </c>
      <c r="J138" s="198" t="e">
        <f t="shared" si="73"/>
        <v>#DIV/0!</v>
      </c>
      <c r="K138" s="198" t="e">
        <f t="shared" si="74"/>
        <v>#DIV/0!</v>
      </c>
      <c r="L138" s="681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35"/>
      <c r="C139" s="312">
        <v>12</v>
      </c>
      <c r="D139" s="225"/>
      <c r="E139" s="312"/>
      <c r="F139" s="312"/>
      <c r="G139" s="312"/>
      <c r="H139" s="678"/>
      <c r="I139" s="198"/>
      <c r="J139" s="198"/>
      <c r="K139" s="198"/>
      <c r="L139" s="681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35"/>
      <c r="C140" s="312">
        <v>13</v>
      </c>
      <c r="D140" s="225"/>
      <c r="E140" s="312"/>
      <c r="F140" s="312"/>
      <c r="G140" s="312"/>
      <c r="H140" s="678"/>
      <c r="I140" s="198"/>
      <c r="J140" s="198"/>
      <c r="K140" s="198"/>
      <c r="L140" s="681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35"/>
      <c r="C141" s="312">
        <v>14</v>
      </c>
      <c r="D141" s="225"/>
      <c r="E141" s="312"/>
      <c r="F141" s="312"/>
      <c r="G141" s="312"/>
      <c r="H141" s="678"/>
      <c r="I141" s="198"/>
      <c r="J141" s="198"/>
      <c r="K141" s="198"/>
      <c r="L141" s="681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35"/>
      <c r="C142" s="312">
        <v>15</v>
      </c>
      <c r="D142" s="225"/>
      <c r="E142" s="312"/>
      <c r="F142" s="312"/>
      <c r="G142" s="312"/>
      <c r="H142" s="679"/>
      <c r="I142" s="198"/>
      <c r="J142" s="198"/>
      <c r="K142" s="198"/>
      <c r="L142" s="682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80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T47:AT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7:BA21"/>
    <mergeCell ref="BA4:BA6"/>
    <mergeCell ref="BA24:BA26"/>
    <mergeCell ref="BA27:BA41"/>
    <mergeCell ref="BA44:BA46"/>
    <mergeCell ref="BA47:BA61"/>
    <mergeCell ref="BA64:BA66"/>
    <mergeCell ref="BA67:BA81"/>
    <mergeCell ref="BA84:BA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85" zoomScaleNormal="85" workbookViewId="0">
      <pane xSplit="15" topLeftCell="P1" activePane="topRight" state="frozen"/>
      <selection activeCell="P87" sqref="P87:R101"/>
      <selection pane="topRight" activeCell="Q27" sqref="Q27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314</v>
      </c>
      <c r="C1" s="219">
        <f>AVERAGE(L7,L27,L47,L67,L87,L107)</f>
        <v>117.74621002247051</v>
      </c>
    </row>
    <row r="2" spans="1:53" ht="15.75">
      <c r="A2" s="81"/>
      <c r="B2" s="639" t="s">
        <v>163</v>
      </c>
      <c r="C2" s="639"/>
      <c r="D2" s="639"/>
      <c r="E2" s="639"/>
      <c r="F2" s="639"/>
      <c r="G2" s="639"/>
      <c r="H2" s="639"/>
      <c r="I2" s="293"/>
      <c r="J2" s="293"/>
      <c r="K2" s="293"/>
      <c r="L2" s="293"/>
      <c r="M2" s="196"/>
      <c r="N2" s="628" t="s">
        <v>156</v>
      </c>
      <c r="O2" s="628" t="s">
        <v>155</v>
      </c>
      <c r="P2" s="689">
        <v>46168</v>
      </c>
      <c r="Q2" s="690"/>
      <c r="R2" s="690"/>
      <c r="S2" s="690"/>
      <c r="T2" s="691"/>
      <c r="U2" s="634">
        <v>46168</v>
      </c>
      <c r="V2" s="635"/>
      <c r="W2" s="635"/>
      <c r="X2" s="635"/>
      <c r="Y2" s="635"/>
      <c r="Z2" s="634">
        <f>U2+1</f>
        <v>46169</v>
      </c>
      <c r="AA2" s="635"/>
      <c r="AB2" s="635"/>
      <c r="AC2" s="635"/>
      <c r="AD2" s="635"/>
      <c r="AE2" s="634">
        <f>Z2+1</f>
        <v>46170</v>
      </c>
      <c r="AF2" s="635"/>
      <c r="AG2" s="635"/>
      <c r="AH2" s="635"/>
      <c r="AI2" s="635"/>
      <c r="AJ2" s="634">
        <f>AE2+1</f>
        <v>46171</v>
      </c>
      <c r="AK2" s="635"/>
      <c r="AL2" s="635"/>
      <c r="AM2" s="635"/>
      <c r="AN2" s="635"/>
      <c r="AO2" s="634">
        <f>AJ2+1</f>
        <v>46172</v>
      </c>
      <c r="AP2" s="635"/>
      <c r="AQ2" s="635"/>
      <c r="AR2" s="635"/>
      <c r="AS2" s="635"/>
      <c r="AT2" s="631">
        <f>AO2+1</f>
        <v>46173</v>
      </c>
      <c r="AU2" s="632"/>
      <c r="AV2" s="632"/>
      <c r="AW2" s="632"/>
      <c r="AX2" s="633"/>
    </row>
    <row r="3" spans="1:53" ht="15.75">
      <c r="A3" s="81"/>
      <c r="B3" s="658"/>
      <c r="C3" s="658"/>
      <c r="D3" s="658"/>
      <c r="E3" s="658"/>
      <c r="F3" s="658"/>
      <c r="G3" s="658"/>
      <c r="H3" s="658"/>
      <c r="I3" s="294"/>
      <c r="J3" s="294"/>
      <c r="K3" s="294"/>
      <c r="L3" s="294"/>
      <c r="M3" s="197"/>
      <c r="N3" s="630"/>
      <c r="O3" s="630"/>
      <c r="P3" s="631" t="s">
        <v>158</v>
      </c>
      <c r="Q3" s="632"/>
      <c r="R3" s="632"/>
      <c r="S3" s="632"/>
      <c r="T3" s="633"/>
      <c r="U3" s="631" t="s">
        <v>114</v>
      </c>
      <c r="V3" s="632"/>
      <c r="W3" s="632"/>
      <c r="X3" s="632"/>
      <c r="Y3" s="633"/>
      <c r="Z3" s="631" t="s">
        <v>159</v>
      </c>
      <c r="AA3" s="632"/>
      <c r="AB3" s="632"/>
      <c r="AC3" s="632"/>
      <c r="AD3" s="633"/>
      <c r="AE3" s="631" t="s">
        <v>157</v>
      </c>
      <c r="AF3" s="632"/>
      <c r="AG3" s="632"/>
      <c r="AH3" s="632"/>
      <c r="AI3" s="633"/>
      <c r="AJ3" s="631" t="s">
        <v>160</v>
      </c>
      <c r="AK3" s="632"/>
      <c r="AL3" s="632"/>
      <c r="AM3" s="632"/>
      <c r="AN3" s="633"/>
      <c r="AO3" s="631" t="s">
        <v>161</v>
      </c>
      <c r="AP3" s="632"/>
      <c r="AQ3" s="632"/>
      <c r="AR3" s="632"/>
      <c r="AS3" s="633"/>
      <c r="AT3" s="631" t="s">
        <v>162</v>
      </c>
      <c r="AU3" s="632"/>
      <c r="AV3" s="632"/>
      <c r="AW3" s="632"/>
      <c r="AX3" s="633"/>
    </row>
    <row r="4" spans="1:53" ht="14.25">
      <c r="A4" s="81"/>
      <c r="B4" s="627" t="s">
        <v>399</v>
      </c>
      <c r="C4" s="627" t="s">
        <v>384</v>
      </c>
      <c r="D4" s="627"/>
      <c r="E4" s="627" t="s">
        <v>375</v>
      </c>
      <c r="F4" s="627"/>
      <c r="G4" s="627"/>
      <c r="H4" s="643" t="s">
        <v>371</v>
      </c>
      <c r="I4" s="611" t="s">
        <v>376</v>
      </c>
      <c r="J4" s="611"/>
      <c r="K4" s="611"/>
      <c r="L4" s="612" t="s">
        <v>371</v>
      </c>
      <c r="M4" s="618" t="s">
        <v>372</v>
      </c>
      <c r="N4" s="627"/>
      <c r="O4" s="627" t="s">
        <v>377</v>
      </c>
      <c r="P4" s="624" t="s">
        <v>373</v>
      </c>
      <c r="Q4" s="625"/>
      <c r="R4" s="625"/>
      <c r="S4" s="626"/>
      <c r="T4" s="627" t="s">
        <v>371</v>
      </c>
      <c r="U4" s="624" t="s">
        <v>373</v>
      </c>
      <c r="V4" s="625"/>
      <c r="W4" s="625"/>
      <c r="X4" s="626"/>
      <c r="Y4" s="627" t="s">
        <v>371</v>
      </c>
      <c r="Z4" s="624" t="s">
        <v>373</v>
      </c>
      <c r="AA4" s="625"/>
      <c r="AB4" s="625"/>
      <c r="AC4" s="626"/>
      <c r="AD4" s="627" t="s">
        <v>371</v>
      </c>
      <c r="AE4" s="624" t="s">
        <v>373</v>
      </c>
      <c r="AF4" s="625"/>
      <c r="AG4" s="625"/>
      <c r="AH4" s="626"/>
      <c r="AI4" s="627" t="s">
        <v>371</v>
      </c>
      <c r="AJ4" s="624" t="s">
        <v>373</v>
      </c>
      <c r="AK4" s="625"/>
      <c r="AL4" s="625"/>
      <c r="AM4" s="626"/>
      <c r="AN4" s="627" t="s">
        <v>371</v>
      </c>
      <c r="AO4" s="624" t="s">
        <v>373</v>
      </c>
      <c r="AP4" s="625"/>
      <c r="AQ4" s="625"/>
      <c r="AR4" s="626"/>
      <c r="AS4" s="627" t="s">
        <v>371</v>
      </c>
      <c r="AT4" s="624" t="s">
        <v>373</v>
      </c>
      <c r="AU4" s="625"/>
      <c r="AV4" s="625"/>
      <c r="AW4" s="626"/>
      <c r="AX4" s="627" t="s">
        <v>371</v>
      </c>
      <c r="BA4" s="627" t="s">
        <v>371</v>
      </c>
    </row>
    <row r="5" spans="1:53" ht="14.25">
      <c r="A5" s="81"/>
      <c r="B5" s="627"/>
      <c r="C5" s="627"/>
      <c r="D5" s="627"/>
      <c r="E5" s="627" t="s">
        <v>378</v>
      </c>
      <c r="F5" s="627"/>
      <c r="G5" s="627"/>
      <c r="H5" s="644"/>
      <c r="I5" s="611" t="s">
        <v>378</v>
      </c>
      <c r="J5" s="611"/>
      <c r="K5" s="611"/>
      <c r="L5" s="613"/>
      <c r="M5" s="619"/>
      <c r="N5" s="627"/>
      <c r="O5" s="627"/>
      <c r="P5" s="624" t="s">
        <v>379</v>
      </c>
      <c r="Q5" s="625"/>
      <c r="R5" s="625"/>
      <c r="S5" s="626"/>
      <c r="T5" s="627"/>
      <c r="U5" s="624" t="s">
        <v>379</v>
      </c>
      <c r="V5" s="625"/>
      <c r="W5" s="625"/>
      <c r="X5" s="626"/>
      <c r="Y5" s="627"/>
      <c r="Z5" s="624" t="s">
        <v>379</v>
      </c>
      <c r="AA5" s="625"/>
      <c r="AB5" s="625"/>
      <c r="AC5" s="626"/>
      <c r="AD5" s="627"/>
      <c r="AE5" s="624" t="s">
        <v>379</v>
      </c>
      <c r="AF5" s="625"/>
      <c r="AG5" s="625"/>
      <c r="AH5" s="626"/>
      <c r="AI5" s="627"/>
      <c r="AJ5" s="624" t="s">
        <v>379</v>
      </c>
      <c r="AK5" s="625"/>
      <c r="AL5" s="625"/>
      <c r="AM5" s="626"/>
      <c r="AN5" s="627"/>
      <c r="AO5" s="624" t="s">
        <v>379</v>
      </c>
      <c r="AP5" s="625"/>
      <c r="AQ5" s="625"/>
      <c r="AR5" s="626"/>
      <c r="AS5" s="627"/>
      <c r="AT5" s="624" t="s">
        <v>379</v>
      </c>
      <c r="AU5" s="625"/>
      <c r="AV5" s="625"/>
      <c r="AW5" s="626"/>
      <c r="AX5" s="627"/>
      <c r="BA5" s="627"/>
    </row>
    <row r="6" spans="1:53" ht="14.25">
      <c r="A6" s="79"/>
      <c r="B6" s="627"/>
      <c r="C6" s="627"/>
      <c r="D6" s="627"/>
      <c r="E6" s="412" t="s">
        <v>380</v>
      </c>
      <c r="F6" s="412" t="s">
        <v>381</v>
      </c>
      <c r="G6" s="412" t="s">
        <v>382</v>
      </c>
      <c r="H6" s="645"/>
      <c r="I6" s="411" t="s">
        <v>380</v>
      </c>
      <c r="J6" s="411" t="s">
        <v>381</v>
      </c>
      <c r="K6" s="411" t="s">
        <v>382</v>
      </c>
      <c r="L6" s="614"/>
      <c r="M6" s="620"/>
      <c r="N6" s="627"/>
      <c r="O6" s="627"/>
      <c r="P6" s="412" t="s">
        <v>380</v>
      </c>
      <c r="Q6" s="412" t="s">
        <v>381</v>
      </c>
      <c r="R6" s="412" t="s">
        <v>382</v>
      </c>
      <c r="S6" s="412" t="s">
        <v>372</v>
      </c>
      <c r="T6" s="627"/>
      <c r="U6" s="412" t="s">
        <v>380</v>
      </c>
      <c r="V6" s="412" t="s">
        <v>381</v>
      </c>
      <c r="W6" s="412" t="s">
        <v>382</v>
      </c>
      <c r="X6" s="412" t="s">
        <v>372</v>
      </c>
      <c r="Y6" s="627"/>
      <c r="Z6" s="412" t="s">
        <v>380</v>
      </c>
      <c r="AA6" s="412" t="s">
        <v>381</v>
      </c>
      <c r="AB6" s="412" t="s">
        <v>382</v>
      </c>
      <c r="AC6" s="412" t="s">
        <v>372</v>
      </c>
      <c r="AD6" s="627"/>
      <c r="AE6" s="412" t="s">
        <v>380</v>
      </c>
      <c r="AF6" s="412" t="s">
        <v>381</v>
      </c>
      <c r="AG6" s="412" t="s">
        <v>382</v>
      </c>
      <c r="AH6" s="412" t="s">
        <v>372</v>
      </c>
      <c r="AI6" s="627"/>
      <c r="AJ6" s="412" t="s">
        <v>380</v>
      </c>
      <c r="AK6" s="412" t="s">
        <v>381</v>
      </c>
      <c r="AL6" s="412" t="s">
        <v>382</v>
      </c>
      <c r="AM6" s="412" t="s">
        <v>372</v>
      </c>
      <c r="AN6" s="627"/>
      <c r="AO6" s="412" t="s">
        <v>380</v>
      </c>
      <c r="AP6" s="412" t="s">
        <v>381</v>
      </c>
      <c r="AQ6" s="412" t="s">
        <v>382</v>
      </c>
      <c r="AR6" s="412" t="s">
        <v>372</v>
      </c>
      <c r="AS6" s="627"/>
      <c r="AT6" s="412" t="s">
        <v>380</v>
      </c>
      <c r="AU6" s="412" t="s">
        <v>381</v>
      </c>
      <c r="AV6" s="412" t="s">
        <v>382</v>
      </c>
      <c r="AW6" s="412" t="s">
        <v>372</v>
      </c>
      <c r="AX6" s="627"/>
      <c r="AZ6" s="401" t="s">
        <v>372</v>
      </c>
      <c r="BA6" s="627"/>
    </row>
    <row r="7" spans="1:53" ht="14.25">
      <c r="A7" s="81"/>
      <c r="B7" s="627" t="s">
        <v>414</v>
      </c>
      <c r="C7" s="413">
        <v>1</v>
      </c>
      <c r="D7" s="225" t="s">
        <v>642</v>
      </c>
      <c r="E7" s="420">
        <v>13</v>
      </c>
      <c r="F7" s="500">
        <v>1500</v>
      </c>
      <c r="G7" s="501">
        <v>116</v>
      </c>
      <c r="H7" s="677">
        <f>AVERAGE(G7:G21)</f>
        <v>116</v>
      </c>
      <c r="I7" s="417">
        <f t="shared" ref="I7:I20" si="0">IFERROR(AVERAGE(P7,U7,Z7,AE7,AJ7,AO7,AT7),"-")</f>
        <v>12.857142857142858</v>
      </c>
      <c r="J7" s="417">
        <f t="shared" ref="J7:J20" si="1">IFERROR(AVERAGE(Q7,V7,AA7,AF7,AK7,AP7,AU7),"-")</f>
        <v>1512.5915966386551</v>
      </c>
      <c r="K7" s="199">
        <f t="shared" ref="K7:K20" si="2">IFERROR(AVERAGE(R7,W7,AB7,AG7,AL7,AQ7,AV7),"-")</f>
        <v>117.71034259857785</v>
      </c>
      <c r="L7" s="608">
        <f>IFERROR(AVERAGE(K7:K21),"-")</f>
        <v>117.71034259857785</v>
      </c>
      <c r="M7" s="419">
        <f>RANK(K7, K$7:$K$21)</f>
        <v>1</v>
      </c>
      <c r="N7" s="627"/>
      <c r="O7" s="627"/>
      <c r="P7" s="413">
        <v>13</v>
      </c>
      <c r="Q7" s="420">
        <v>1504.7999999999993</v>
      </c>
      <c r="R7" s="420">
        <v>115.7538461538461</v>
      </c>
      <c r="S7" s="413">
        <f t="shared" ref="S7:S21" si="3">RANK(R7, R$7:R$21)</f>
        <v>1</v>
      </c>
      <c r="T7" s="649">
        <f t="shared" ref="T7" si="4">AVERAGE(R7:R21)</f>
        <v>115.7538461538461</v>
      </c>
      <c r="U7" s="500">
        <v>13</v>
      </c>
      <c r="V7" s="420">
        <v>1504.2000000000005</v>
      </c>
      <c r="W7" s="420">
        <v>115.70769230769234</v>
      </c>
      <c r="X7" s="500">
        <f t="shared" ref="X7:X21" si="5">RANK(W7, W$7:W$21)</f>
        <v>1</v>
      </c>
      <c r="Y7" s="649">
        <f t="shared" ref="Y7" si="6">AVERAGE(W7:W21)</f>
        <v>115.70769230769234</v>
      </c>
      <c r="Z7" s="500">
        <v>12</v>
      </c>
      <c r="AA7" s="420">
        <v>1482</v>
      </c>
      <c r="AB7" s="420">
        <v>123.5</v>
      </c>
      <c r="AC7" s="500">
        <f t="shared" ref="AC7:AC21" si="7">RANK(AB7, AB$7:AB$21)</f>
        <v>1</v>
      </c>
      <c r="AD7" s="649">
        <f t="shared" ref="AD7" si="8">AVERAGE(AB7:AB21)</f>
        <v>123.5</v>
      </c>
      <c r="AE7" s="500">
        <v>13</v>
      </c>
      <c r="AF7" s="420">
        <v>1580.9999999999993</v>
      </c>
      <c r="AG7" s="420">
        <v>121.61538461538456</v>
      </c>
      <c r="AH7" s="500">
        <f t="shared" ref="AH7:AH21" si="9">RANK(AG7, AG$7:AG$21)</f>
        <v>1</v>
      </c>
      <c r="AI7" s="649">
        <f t="shared" ref="AI7" si="10">AVERAGE(AG7:AG21)</f>
        <v>121.61538461538456</v>
      </c>
      <c r="AJ7" s="500">
        <v>13</v>
      </c>
      <c r="AK7" s="420">
        <v>1455.1999999999989</v>
      </c>
      <c r="AL7" s="420">
        <v>111.93846153846145</v>
      </c>
      <c r="AM7" s="500">
        <f t="shared" ref="AM7:AM21" si="11">RANK(AL7, AL$7:AL$21)</f>
        <v>1</v>
      </c>
      <c r="AN7" s="649">
        <f t="shared" ref="AN7" si="12">AVERAGE(AL7:AL21)</f>
        <v>111.93846153846145</v>
      </c>
      <c r="AO7" s="500">
        <v>13</v>
      </c>
      <c r="AP7" s="420">
        <v>1516.9411764705881</v>
      </c>
      <c r="AQ7" s="420">
        <v>116.68778280542985</v>
      </c>
      <c r="AR7" s="500">
        <f t="shared" ref="AR7:AR21" si="13">RANK(AQ7, AQ$7:AQ$21)</f>
        <v>1</v>
      </c>
      <c r="AS7" s="649">
        <f t="shared" ref="AS7" si="14">AVERAGE(AQ7:AQ21)</f>
        <v>116.68778280542985</v>
      </c>
      <c r="AT7" s="500">
        <v>13</v>
      </c>
      <c r="AU7" s="420">
        <v>1544</v>
      </c>
      <c r="AV7" s="420">
        <v>118.76923076923077</v>
      </c>
      <c r="AW7" s="500">
        <f t="shared" ref="AW7:AW21" si="15">RANK(AV7, AV$7:AV$21)</f>
        <v>1</v>
      </c>
      <c r="AX7" s="649">
        <f t="shared" ref="AX7" si="16">AVERAGE(AV7:AV21)</f>
        <v>118.76923076923077</v>
      </c>
      <c r="AZ7" s="402" t="e">
        <f t="shared" ref="AZ7:AZ21" si="17">RANK(AY7, AY$7:AY$21)</f>
        <v>#N/A</v>
      </c>
      <c r="BA7" s="649" t="e">
        <f t="shared" ref="BA7" si="18">AVERAGE(AY7:AY21)</f>
        <v>#DIV/0!</v>
      </c>
    </row>
    <row r="8" spans="1:53" ht="15" customHeight="1">
      <c r="A8" s="81"/>
      <c r="B8" s="635"/>
      <c r="C8" s="413">
        <v>2</v>
      </c>
      <c r="D8" s="225"/>
      <c r="E8" s="420"/>
      <c r="F8" s="500"/>
      <c r="G8" s="501"/>
      <c r="H8" s="678"/>
      <c r="I8" s="417" t="str">
        <f t="shared" si="0"/>
        <v>-</v>
      </c>
      <c r="J8" s="417" t="str">
        <f t="shared" si="1"/>
        <v>-</v>
      </c>
      <c r="K8" s="199" t="str">
        <f t="shared" si="2"/>
        <v>-</v>
      </c>
      <c r="L8" s="609"/>
      <c r="M8" s="419" t="e">
        <f>RANK(K8, K$7:$K$21)</f>
        <v>#VALUE!</v>
      </c>
      <c r="N8" s="627"/>
      <c r="O8" s="627"/>
      <c r="P8" s="413"/>
      <c r="Q8" s="420"/>
      <c r="R8" s="420"/>
      <c r="S8" s="413" t="e">
        <f t="shared" si="3"/>
        <v>#N/A</v>
      </c>
      <c r="T8" s="649"/>
      <c r="U8" s="500"/>
      <c r="V8" s="420"/>
      <c r="W8" s="420"/>
      <c r="X8" s="500" t="e">
        <f t="shared" si="5"/>
        <v>#N/A</v>
      </c>
      <c r="Y8" s="649"/>
      <c r="Z8" s="500"/>
      <c r="AA8" s="420"/>
      <c r="AB8" s="420"/>
      <c r="AC8" s="500" t="e">
        <f t="shared" si="7"/>
        <v>#N/A</v>
      </c>
      <c r="AD8" s="649"/>
      <c r="AE8" s="500"/>
      <c r="AF8" s="420"/>
      <c r="AG8" s="420"/>
      <c r="AH8" s="500" t="e">
        <f t="shared" si="9"/>
        <v>#N/A</v>
      </c>
      <c r="AI8" s="649"/>
      <c r="AJ8" s="500"/>
      <c r="AK8" s="420"/>
      <c r="AL8" s="420"/>
      <c r="AM8" s="500" t="e">
        <f t="shared" si="11"/>
        <v>#N/A</v>
      </c>
      <c r="AN8" s="649"/>
      <c r="AO8" s="500"/>
      <c r="AP8" s="420"/>
      <c r="AQ8" s="420"/>
      <c r="AR8" s="500" t="e">
        <f t="shared" si="13"/>
        <v>#N/A</v>
      </c>
      <c r="AS8" s="649"/>
      <c r="AT8" s="500"/>
      <c r="AU8" s="420"/>
      <c r="AV8" s="420"/>
      <c r="AW8" s="500" t="e">
        <f t="shared" si="15"/>
        <v>#N/A</v>
      </c>
      <c r="AX8" s="649"/>
      <c r="AZ8" s="402" t="e">
        <f t="shared" si="17"/>
        <v>#N/A</v>
      </c>
      <c r="BA8" s="649"/>
    </row>
    <row r="9" spans="1:53" ht="14.25">
      <c r="A9" s="81"/>
      <c r="B9" s="635"/>
      <c r="C9" s="413">
        <v>3</v>
      </c>
      <c r="D9" s="225"/>
      <c r="E9" s="420"/>
      <c r="F9" s="500"/>
      <c r="G9" s="501"/>
      <c r="H9" s="678"/>
      <c r="I9" s="417" t="str">
        <f t="shared" si="0"/>
        <v>-</v>
      </c>
      <c r="J9" s="417" t="str">
        <f t="shared" si="1"/>
        <v>-</v>
      </c>
      <c r="K9" s="199" t="str">
        <f t="shared" si="2"/>
        <v>-</v>
      </c>
      <c r="L9" s="609"/>
      <c r="M9" s="419" t="e">
        <f>RANK(K9, K$7:$K$21)</f>
        <v>#VALUE!</v>
      </c>
      <c r="N9" s="627"/>
      <c r="O9" s="627"/>
      <c r="P9" s="413"/>
      <c r="Q9" s="420"/>
      <c r="R9" s="420"/>
      <c r="S9" s="413" t="e">
        <f t="shared" si="3"/>
        <v>#N/A</v>
      </c>
      <c r="T9" s="649"/>
      <c r="U9" s="500"/>
      <c r="V9" s="420"/>
      <c r="W9" s="420"/>
      <c r="X9" s="500" t="e">
        <f t="shared" si="5"/>
        <v>#N/A</v>
      </c>
      <c r="Y9" s="649"/>
      <c r="Z9" s="500"/>
      <c r="AA9" s="420"/>
      <c r="AB9" s="420"/>
      <c r="AC9" s="500" t="e">
        <f t="shared" si="7"/>
        <v>#N/A</v>
      </c>
      <c r="AD9" s="649"/>
      <c r="AE9" s="500"/>
      <c r="AF9" s="420"/>
      <c r="AG9" s="420"/>
      <c r="AH9" s="500" t="e">
        <f t="shared" si="9"/>
        <v>#N/A</v>
      </c>
      <c r="AI9" s="649"/>
      <c r="AJ9" s="500"/>
      <c r="AK9" s="420"/>
      <c r="AL9" s="420"/>
      <c r="AM9" s="500" t="e">
        <f t="shared" si="11"/>
        <v>#N/A</v>
      </c>
      <c r="AN9" s="649"/>
      <c r="AO9" s="500"/>
      <c r="AP9" s="420"/>
      <c r="AQ9" s="420"/>
      <c r="AR9" s="500" t="e">
        <f t="shared" si="13"/>
        <v>#N/A</v>
      </c>
      <c r="AS9" s="649"/>
      <c r="AT9" s="500"/>
      <c r="AU9" s="420"/>
      <c r="AV9" s="420"/>
      <c r="AW9" s="500" t="e">
        <f t="shared" si="15"/>
        <v>#N/A</v>
      </c>
      <c r="AX9" s="649"/>
      <c r="AZ9" s="402" t="e">
        <f t="shared" si="17"/>
        <v>#N/A</v>
      </c>
      <c r="BA9" s="649"/>
    </row>
    <row r="10" spans="1:53" ht="14.25">
      <c r="A10" s="81"/>
      <c r="B10" s="635"/>
      <c r="C10" s="413">
        <v>4</v>
      </c>
      <c r="D10" s="225"/>
      <c r="E10" s="420"/>
      <c r="F10" s="500"/>
      <c r="G10" s="501"/>
      <c r="H10" s="678"/>
      <c r="I10" s="417" t="str">
        <f t="shared" si="0"/>
        <v>-</v>
      </c>
      <c r="J10" s="417" t="str">
        <f t="shared" si="1"/>
        <v>-</v>
      </c>
      <c r="K10" s="199" t="str">
        <f t="shared" si="2"/>
        <v>-</v>
      </c>
      <c r="L10" s="609"/>
      <c r="M10" s="419" t="e">
        <f>RANK(K10, K$7:$K$21)</f>
        <v>#VALUE!</v>
      </c>
      <c r="N10" s="627"/>
      <c r="O10" s="627"/>
      <c r="P10" s="413"/>
      <c r="Q10" s="420"/>
      <c r="R10" s="420"/>
      <c r="S10" s="413" t="e">
        <f t="shared" si="3"/>
        <v>#N/A</v>
      </c>
      <c r="T10" s="649"/>
      <c r="U10" s="500"/>
      <c r="V10" s="420"/>
      <c r="W10" s="420"/>
      <c r="X10" s="500" t="e">
        <f t="shared" si="5"/>
        <v>#N/A</v>
      </c>
      <c r="Y10" s="649"/>
      <c r="Z10" s="500"/>
      <c r="AA10" s="420"/>
      <c r="AB10" s="420"/>
      <c r="AC10" s="500" t="e">
        <f t="shared" si="7"/>
        <v>#N/A</v>
      </c>
      <c r="AD10" s="649"/>
      <c r="AE10" s="500"/>
      <c r="AF10" s="420"/>
      <c r="AG10" s="420"/>
      <c r="AH10" s="500" t="e">
        <f t="shared" si="9"/>
        <v>#N/A</v>
      </c>
      <c r="AI10" s="649"/>
      <c r="AJ10" s="500"/>
      <c r="AK10" s="420"/>
      <c r="AL10" s="420"/>
      <c r="AM10" s="500" t="e">
        <f t="shared" si="11"/>
        <v>#N/A</v>
      </c>
      <c r="AN10" s="649"/>
      <c r="AO10" s="500"/>
      <c r="AP10" s="420"/>
      <c r="AQ10" s="420"/>
      <c r="AR10" s="500" t="e">
        <f t="shared" si="13"/>
        <v>#N/A</v>
      </c>
      <c r="AS10" s="649"/>
      <c r="AT10" s="500"/>
      <c r="AU10" s="420"/>
      <c r="AV10" s="420"/>
      <c r="AW10" s="500" t="e">
        <f t="shared" si="15"/>
        <v>#N/A</v>
      </c>
      <c r="AX10" s="649"/>
      <c r="AZ10" s="402" t="e">
        <f t="shared" si="17"/>
        <v>#N/A</v>
      </c>
      <c r="BA10" s="649"/>
    </row>
    <row r="11" spans="1:53" ht="14.25">
      <c r="A11" s="81"/>
      <c r="B11" s="635"/>
      <c r="C11" s="413">
        <v>5</v>
      </c>
      <c r="D11" s="225"/>
      <c r="E11" s="420"/>
      <c r="F11" s="500"/>
      <c r="G11" s="501"/>
      <c r="H11" s="678"/>
      <c r="I11" s="417" t="str">
        <f t="shared" si="0"/>
        <v>-</v>
      </c>
      <c r="J11" s="417" t="str">
        <f t="shared" si="1"/>
        <v>-</v>
      </c>
      <c r="K11" s="199" t="str">
        <f t="shared" si="2"/>
        <v>-</v>
      </c>
      <c r="L11" s="609"/>
      <c r="M11" s="419" t="e">
        <f>RANK(K11, K$7:$K$21)</f>
        <v>#VALUE!</v>
      </c>
      <c r="N11" s="627"/>
      <c r="O11" s="627"/>
      <c r="P11" s="413"/>
      <c r="Q11" s="420"/>
      <c r="R11" s="420"/>
      <c r="S11" s="413" t="e">
        <f t="shared" si="3"/>
        <v>#N/A</v>
      </c>
      <c r="T11" s="649"/>
      <c r="U11" s="500"/>
      <c r="V11" s="420"/>
      <c r="W11" s="420"/>
      <c r="X11" s="500" t="e">
        <f t="shared" si="5"/>
        <v>#N/A</v>
      </c>
      <c r="Y11" s="649"/>
      <c r="Z11" s="500"/>
      <c r="AA11" s="420"/>
      <c r="AB11" s="420"/>
      <c r="AC11" s="500" t="e">
        <f t="shared" si="7"/>
        <v>#N/A</v>
      </c>
      <c r="AD11" s="649"/>
      <c r="AE11" s="500"/>
      <c r="AF11" s="420"/>
      <c r="AG11" s="420"/>
      <c r="AH11" s="500" t="e">
        <f t="shared" si="9"/>
        <v>#N/A</v>
      </c>
      <c r="AI11" s="649"/>
      <c r="AJ11" s="500"/>
      <c r="AK11" s="420"/>
      <c r="AL11" s="420"/>
      <c r="AM11" s="500" t="e">
        <f t="shared" si="11"/>
        <v>#N/A</v>
      </c>
      <c r="AN11" s="649"/>
      <c r="AO11" s="500"/>
      <c r="AP11" s="420"/>
      <c r="AQ11" s="420"/>
      <c r="AR11" s="500" t="e">
        <f t="shared" si="13"/>
        <v>#N/A</v>
      </c>
      <c r="AS11" s="649"/>
      <c r="AT11" s="500"/>
      <c r="AU11" s="420"/>
      <c r="AV11" s="420"/>
      <c r="AW11" s="500" t="e">
        <f t="shared" si="15"/>
        <v>#N/A</v>
      </c>
      <c r="AX11" s="649"/>
      <c r="AZ11" s="402" t="e">
        <f t="shared" si="17"/>
        <v>#N/A</v>
      </c>
      <c r="BA11" s="649"/>
    </row>
    <row r="12" spans="1:53" ht="14.25">
      <c r="A12" s="81"/>
      <c r="B12" s="635"/>
      <c r="C12" s="413">
        <v>6</v>
      </c>
      <c r="D12" s="225"/>
      <c r="E12" s="420"/>
      <c r="F12" s="500"/>
      <c r="G12" s="501"/>
      <c r="H12" s="678"/>
      <c r="I12" s="417" t="str">
        <f t="shared" si="0"/>
        <v>-</v>
      </c>
      <c r="J12" s="417" t="str">
        <f t="shared" si="1"/>
        <v>-</v>
      </c>
      <c r="K12" s="199" t="str">
        <f t="shared" si="2"/>
        <v>-</v>
      </c>
      <c r="L12" s="609"/>
      <c r="M12" s="419" t="e">
        <f>RANK(K12, K$7:$K$21)</f>
        <v>#VALUE!</v>
      </c>
      <c r="N12" s="627"/>
      <c r="O12" s="627"/>
      <c r="P12" s="413"/>
      <c r="Q12" s="420"/>
      <c r="R12" s="420"/>
      <c r="S12" s="413" t="e">
        <f t="shared" si="3"/>
        <v>#N/A</v>
      </c>
      <c r="T12" s="649"/>
      <c r="U12" s="500"/>
      <c r="V12" s="420"/>
      <c r="W12" s="420"/>
      <c r="X12" s="500" t="e">
        <f t="shared" si="5"/>
        <v>#N/A</v>
      </c>
      <c r="Y12" s="649"/>
      <c r="Z12" s="500"/>
      <c r="AA12" s="420"/>
      <c r="AB12" s="420"/>
      <c r="AC12" s="500" t="e">
        <f t="shared" si="7"/>
        <v>#N/A</v>
      </c>
      <c r="AD12" s="649"/>
      <c r="AE12" s="500"/>
      <c r="AF12" s="420"/>
      <c r="AG12" s="420"/>
      <c r="AH12" s="500" t="e">
        <f t="shared" si="9"/>
        <v>#N/A</v>
      </c>
      <c r="AI12" s="649"/>
      <c r="AJ12" s="500"/>
      <c r="AK12" s="420"/>
      <c r="AL12" s="420"/>
      <c r="AM12" s="500" t="e">
        <f t="shared" si="11"/>
        <v>#N/A</v>
      </c>
      <c r="AN12" s="649"/>
      <c r="AO12" s="500"/>
      <c r="AP12" s="420"/>
      <c r="AQ12" s="420"/>
      <c r="AR12" s="500" t="e">
        <f t="shared" si="13"/>
        <v>#N/A</v>
      </c>
      <c r="AS12" s="649"/>
      <c r="AT12" s="500"/>
      <c r="AU12" s="420"/>
      <c r="AV12" s="420"/>
      <c r="AW12" s="500" t="e">
        <f t="shared" si="15"/>
        <v>#N/A</v>
      </c>
      <c r="AX12" s="649"/>
      <c r="AZ12" s="402" t="e">
        <f t="shared" si="17"/>
        <v>#N/A</v>
      </c>
      <c r="BA12" s="649"/>
    </row>
    <row r="13" spans="1:53" ht="14.25">
      <c r="A13" s="81"/>
      <c r="B13" s="635"/>
      <c r="C13" s="413">
        <v>7</v>
      </c>
      <c r="D13" s="225"/>
      <c r="E13" s="420"/>
      <c r="F13" s="500"/>
      <c r="G13" s="501"/>
      <c r="H13" s="678"/>
      <c r="I13" s="417" t="str">
        <f t="shared" si="0"/>
        <v>-</v>
      </c>
      <c r="J13" s="417" t="str">
        <f t="shared" si="1"/>
        <v>-</v>
      </c>
      <c r="K13" s="199" t="str">
        <f t="shared" si="2"/>
        <v>-</v>
      </c>
      <c r="L13" s="609"/>
      <c r="M13" s="419" t="e">
        <f>RANK(K13, K$7:$K$21)</f>
        <v>#VALUE!</v>
      </c>
      <c r="N13" s="627"/>
      <c r="O13" s="627"/>
      <c r="P13" s="413"/>
      <c r="Q13" s="420"/>
      <c r="R13" s="420"/>
      <c r="S13" s="413" t="e">
        <f t="shared" si="3"/>
        <v>#N/A</v>
      </c>
      <c r="T13" s="649"/>
      <c r="U13" s="500"/>
      <c r="V13" s="420"/>
      <c r="W13" s="420"/>
      <c r="X13" s="500" t="e">
        <f t="shared" si="5"/>
        <v>#N/A</v>
      </c>
      <c r="Y13" s="649"/>
      <c r="Z13" s="500"/>
      <c r="AA13" s="420"/>
      <c r="AB13" s="420"/>
      <c r="AC13" s="500" t="e">
        <f t="shared" si="7"/>
        <v>#N/A</v>
      </c>
      <c r="AD13" s="649"/>
      <c r="AE13" s="500"/>
      <c r="AF13" s="420"/>
      <c r="AG13" s="420"/>
      <c r="AH13" s="500" t="e">
        <f t="shared" si="9"/>
        <v>#N/A</v>
      </c>
      <c r="AI13" s="649"/>
      <c r="AJ13" s="500"/>
      <c r="AK13" s="420"/>
      <c r="AL13" s="420"/>
      <c r="AM13" s="500" t="e">
        <f t="shared" si="11"/>
        <v>#N/A</v>
      </c>
      <c r="AN13" s="649"/>
      <c r="AO13" s="500"/>
      <c r="AP13" s="420"/>
      <c r="AQ13" s="420"/>
      <c r="AR13" s="500" t="e">
        <f t="shared" si="13"/>
        <v>#N/A</v>
      </c>
      <c r="AS13" s="649"/>
      <c r="AT13" s="500"/>
      <c r="AU13" s="420"/>
      <c r="AV13" s="420"/>
      <c r="AW13" s="500" t="e">
        <f t="shared" si="15"/>
        <v>#N/A</v>
      </c>
      <c r="AX13" s="649"/>
      <c r="AZ13" s="402" t="e">
        <f t="shared" si="17"/>
        <v>#N/A</v>
      </c>
      <c r="BA13" s="649"/>
    </row>
    <row r="14" spans="1:53" ht="14.25">
      <c r="A14" s="81"/>
      <c r="B14" s="635"/>
      <c r="C14" s="413">
        <v>8</v>
      </c>
      <c r="D14" s="225"/>
      <c r="E14" s="420"/>
      <c r="F14" s="500"/>
      <c r="G14" s="501"/>
      <c r="H14" s="678"/>
      <c r="I14" s="417" t="str">
        <f t="shared" si="0"/>
        <v>-</v>
      </c>
      <c r="J14" s="417" t="str">
        <f t="shared" si="1"/>
        <v>-</v>
      </c>
      <c r="K14" s="199" t="str">
        <f t="shared" si="2"/>
        <v>-</v>
      </c>
      <c r="L14" s="609"/>
      <c r="M14" s="419" t="e">
        <f>RANK(K14, K$7:$K$21)</f>
        <v>#VALUE!</v>
      </c>
      <c r="N14" s="627"/>
      <c r="O14" s="627"/>
      <c r="P14" s="413"/>
      <c r="Q14" s="420"/>
      <c r="R14" s="420"/>
      <c r="S14" s="413" t="e">
        <f t="shared" si="3"/>
        <v>#N/A</v>
      </c>
      <c r="T14" s="649"/>
      <c r="U14" s="500"/>
      <c r="V14" s="420"/>
      <c r="W14" s="420"/>
      <c r="X14" s="500" t="e">
        <f t="shared" si="5"/>
        <v>#N/A</v>
      </c>
      <c r="Y14" s="649"/>
      <c r="Z14" s="500"/>
      <c r="AA14" s="420"/>
      <c r="AB14" s="420"/>
      <c r="AC14" s="500" t="e">
        <f t="shared" si="7"/>
        <v>#N/A</v>
      </c>
      <c r="AD14" s="649"/>
      <c r="AE14" s="500"/>
      <c r="AF14" s="420"/>
      <c r="AG14" s="420"/>
      <c r="AH14" s="500" t="e">
        <f t="shared" si="9"/>
        <v>#N/A</v>
      </c>
      <c r="AI14" s="649"/>
      <c r="AJ14" s="500"/>
      <c r="AK14" s="420"/>
      <c r="AL14" s="420"/>
      <c r="AM14" s="500" t="e">
        <f t="shared" si="11"/>
        <v>#N/A</v>
      </c>
      <c r="AN14" s="649"/>
      <c r="AO14" s="500"/>
      <c r="AP14" s="420"/>
      <c r="AQ14" s="420"/>
      <c r="AR14" s="500" t="e">
        <f t="shared" si="13"/>
        <v>#N/A</v>
      </c>
      <c r="AS14" s="649"/>
      <c r="AT14" s="500"/>
      <c r="AU14" s="420"/>
      <c r="AV14" s="420"/>
      <c r="AW14" s="500" t="e">
        <f t="shared" si="15"/>
        <v>#N/A</v>
      </c>
      <c r="AX14" s="649"/>
      <c r="AZ14" s="402" t="e">
        <f t="shared" si="17"/>
        <v>#N/A</v>
      </c>
      <c r="BA14" s="649"/>
    </row>
    <row r="15" spans="1:53" ht="14.25">
      <c r="A15" s="81"/>
      <c r="B15" s="635"/>
      <c r="C15" s="413">
        <v>9</v>
      </c>
      <c r="D15" s="225"/>
      <c r="E15" s="420"/>
      <c r="F15" s="500"/>
      <c r="G15" s="501"/>
      <c r="H15" s="678"/>
      <c r="I15" s="417" t="str">
        <f t="shared" si="0"/>
        <v>-</v>
      </c>
      <c r="J15" s="417" t="str">
        <f t="shared" si="1"/>
        <v>-</v>
      </c>
      <c r="K15" s="199" t="str">
        <f t="shared" si="2"/>
        <v>-</v>
      </c>
      <c r="L15" s="609"/>
      <c r="M15" s="419" t="e">
        <f>RANK(K15, K$7:$K$21)</f>
        <v>#VALUE!</v>
      </c>
      <c r="N15" s="627"/>
      <c r="O15" s="627"/>
      <c r="P15" s="413"/>
      <c r="Q15" s="420"/>
      <c r="R15" s="420"/>
      <c r="S15" s="413" t="e">
        <f t="shared" si="3"/>
        <v>#N/A</v>
      </c>
      <c r="T15" s="649"/>
      <c r="U15" s="500"/>
      <c r="V15" s="420"/>
      <c r="W15" s="420"/>
      <c r="X15" s="500" t="e">
        <f t="shared" si="5"/>
        <v>#N/A</v>
      </c>
      <c r="Y15" s="649"/>
      <c r="Z15" s="500"/>
      <c r="AA15" s="420"/>
      <c r="AB15" s="420"/>
      <c r="AC15" s="500" t="e">
        <f t="shared" si="7"/>
        <v>#N/A</v>
      </c>
      <c r="AD15" s="649"/>
      <c r="AE15" s="500"/>
      <c r="AF15" s="420"/>
      <c r="AG15" s="420"/>
      <c r="AH15" s="500" t="e">
        <f t="shared" si="9"/>
        <v>#N/A</v>
      </c>
      <c r="AI15" s="649"/>
      <c r="AJ15" s="500"/>
      <c r="AK15" s="420"/>
      <c r="AL15" s="420"/>
      <c r="AM15" s="500" t="e">
        <f t="shared" si="11"/>
        <v>#N/A</v>
      </c>
      <c r="AN15" s="649"/>
      <c r="AO15" s="500"/>
      <c r="AP15" s="420"/>
      <c r="AQ15" s="420"/>
      <c r="AR15" s="500" t="e">
        <f t="shared" si="13"/>
        <v>#N/A</v>
      </c>
      <c r="AS15" s="649"/>
      <c r="AT15" s="500"/>
      <c r="AU15" s="420"/>
      <c r="AV15" s="420"/>
      <c r="AW15" s="500" t="e">
        <f t="shared" si="15"/>
        <v>#N/A</v>
      </c>
      <c r="AX15" s="649"/>
      <c r="AZ15" s="402" t="e">
        <f t="shared" si="17"/>
        <v>#N/A</v>
      </c>
      <c r="BA15" s="649"/>
    </row>
    <row r="16" spans="1:53" ht="14.25">
      <c r="A16" s="81"/>
      <c r="B16" s="635"/>
      <c r="C16" s="413">
        <v>10</v>
      </c>
      <c r="D16" s="225"/>
      <c r="E16" s="420"/>
      <c r="F16" s="500"/>
      <c r="G16" s="501"/>
      <c r="H16" s="678"/>
      <c r="I16" s="417" t="str">
        <f t="shared" si="0"/>
        <v>-</v>
      </c>
      <c r="J16" s="417" t="str">
        <f t="shared" si="1"/>
        <v>-</v>
      </c>
      <c r="K16" s="199" t="str">
        <f t="shared" si="2"/>
        <v>-</v>
      </c>
      <c r="L16" s="609"/>
      <c r="M16" s="419" t="e">
        <f>RANK(K16, K$7:$K$21)</f>
        <v>#VALUE!</v>
      </c>
      <c r="N16" s="627"/>
      <c r="O16" s="627"/>
      <c r="P16" s="413"/>
      <c r="Q16" s="420"/>
      <c r="R16" s="420"/>
      <c r="S16" s="413" t="e">
        <f t="shared" si="3"/>
        <v>#N/A</v>
      </c>
      <c r="T16" s="649"/>
      <c r="U16" s="500"/>
      <c r="V16" s="420"/>
      <c r="W16" s="420"/>
      <c r="X16" s="500" t="e">
        <f t="shared" si="5"/>
        <v>#N/A</v>
      </c>
      <c r="Y16" s="649"/>
      <c r="Z16" s="500"/>
      <c r="AA16" s="420"/>
      <c r="AB16" s="420"/>
      <c r="AC16" s="500" t="e">
        <f t="shared" si="7"/>
        <v>#N/A</v>
      </c>
      <c r="AD16" s="649"/>
      <c r="AE16" s="500"/>
      <c r="AF16" s="420"/>
      <c r="AG16" s="420"/>
      <c r="AH16" s="500" t="e">
        <f t="shared" si="9"/>
        <v>#N/A</v>
      </c>
      <c r="AI16" s="649"/>
      <c r="AJ16" s="500"/>
      <c r="AK16" s="420"/>
      <c r="AL16" s="420"/>
      <c r="AM16" s="500" t="e">
        <f t="shared" si="11"/>
        <v>#N/A</v>
      </c>
      <c r="AN16" s="649"/>
      <c r="AO16" s="500"/>
      <c r="AP16" s="420"/>
      <c r="AQ16" s="420"/>
      <c r="AR16" s="500" t="e">
        <f t="shared" si="13"/>
        <v>#N/A</v>
      </c>
      <c r="AS16" s="649"/>
      <c r="AT16" s="500"/>
      <c r="AU16" s="420"/>
      <c r="AV16" s="420"/>
      <c r="AW16" s="500" t="e">
        <f t="shared" si="15"/>
        <v>#N/A</v>
      </c>
      <c r="AX16" s="649"/>
      <c r="AZ16" s="402" t="e">
        <f t="shared" si="17"/>
        <v>#N/A</v>
      </c>
      <c r="BA16" s="649"/>
    </row>
    <row r="17" spans="2:53">
      <c r="B17" s="635"/>
      <c r="C17" s="413">
        <v>11</v>
      </c>
      <c r="D17" s="225"/>
      <c r="E17" s="420"/>
      <c r="F17" s="500"/>
      <c r="G17" s="501"/>
      <c r="H17" s="678"/>
      <c r="I17" s="417" t="str">
        <f t="shared" si="0"/>
        <v>-</v>
      </c>
      <c r="J17" s="417" t="str">
        <f t="shared" si="1"/>
        <v>-</v>
      </c>
      <c r="K17" s="199" t="str">
        <f t="shared" si="2"/>
        <v>-</v>
      </c>
      <c r="L17" s="609"/>
      <c r="M17" s="419" t="e">
        <f>RANK(K17, K$7:$K$21)</f>
        <v>#VALUE!</v>
      </c>
      <c r="N17" s="627"/>
      <c r="O17" s="627"/>
      <c r="P17" s="413"/>
      <c r="Q17" s="420"/>
      <c r="R17" s="420"/>
      <c r="S17" s="413" t="e">
        <f t="shared" si="3"/>
        <v>#N/A</v>
      </c>
      <c r="T17" s="649"/>
      <c r="U17" s="500"/>
      <c r="V17" s="420"/>
      <c r="W17" s="420"/>
      <c r="X17" s="500" t="e">
        <f t="shared" si="5"/>
        <v>#N/A</v>
      </c>
      <c r="Y17" s="649"/>
      <c r="Z17" s="500"/>
      <c r="AA17" s="420"/>
      <c r="AB17" s="420"/>
      <c r="AC17" s="500" t="e">
        <f t="shared" si="7"/>
        <v>#N/A</v>
      </c>
      <c r="AD17" s="649"/>
      <c r="AE17" s="500"/>
      <c r="AF17" s="420"/>
      <c r="AG17" s="420"/>
      <c r="AH17" s="500" t="e">
        <f t="shared" si="9"/>
        <v>#N/A</v>
      </c>
      <c r="AI17" s="649"/>
      <c r="AJ17" s="500"/>
      <c r="AK17" s="420"/>
      <c r="AL17" s="420"/>
      <c r="AM17" s="500" t="e">
        <f t="shared" si="11"/>
        <v>#N/A</v>
      </c>
      <c r="AN17" s="649"/>
      <c r="AO17" s="500"/>
      <c r="AP17" s="420"/>
      <c r="AQ17" s="420"/>
      <c r="AR17" s="500" t="e">
        <f t="shared" si="13"/>
        <v>#N/A</v>
      </c>
      <c r="AS17" s="649"/>
      <c r="AT17" s="500"/>
      <c r="AU17" s="420"/>
      <c r="AV17" s="420"/>
      <c r="AW17" s="500" t="e">
        <f t="shared" si="15"/>
        <v>#N/A</v>
      </c>
      <c r="AX17" s="649"/>
      <c r="AZ17" s="402" t="e">
        <f t="shared" si="17"/>
        <v>#N/A</v>
      </c>
      <c r="BA17" s="649"/>
    </row>
    <row r="18" spans="2:53">
      <c r="B18" s="635"/>
      <c r="C18" s="413">
        <v>12</v>
      </c>
      <c r="D18" s="225"/>
      <c r="E18" s="420"/>
      <c r="F18" s="500"/>
      <c r="G18" s="501"/>
      <c r="H18" s="678"/>
      <c r="I18" s="417" t="str">
        <f t="shared" si="0"/>
        <v>-</v>
      </c>
      <c r="J18" s="417" t="str">
        <f t="shared" si="1"/>
        <v>-</v>
      </c>
      <c r="K18" s="199" t="str">
        <f t="shared" si="2"/>
        <v>-</v>
      </c>
      <c r="L18" s="609"/>
      <c r="M18" s="419" t="e">
        <f>RANK(K18, K$7:$K$21)</f>
        <v>#VALUE!</v>
      </c>
      <c r="N18" s="627"/>
      <c r="O18" s="627"/>
      <c r="P18" s="413"/>
      <c r="Q18" s="420"/>
      <c r="R18" s="420"/>
      <c r="S18" s="413" t="e">
        <f t="shared" si="3"/>
        <v>#N/A</v>
      </c>
      <c r="T18" s="649"/>
      <c r="U18" s="500"/>
      <c r="V18" s="420"/>
      <c r="W18" s="420"/>
      <c r="X18" s="500" t="e">
        <f t="shared" si="5"/>
        <v>#N/A</v>
      </c>
      <c r="Y18" s="649"/>
      <c r="Z18" s="500"/>
      <c r="AA18" s="420"/>
      <c r="AB18" s="420"/>
      <c r="AC18" s="500" t="e">
        <f t="shared" si="7"/>
        <v>#N/A</v>
      </c>
      <c r="AD18" s="649"/>
      <c r="AE18" s="500"/>
      <c r="AF18" s="420"/>
      <c r="AG18" s="420"/>
      <c r="AH18" s="500" t="e">
        <f t="shared" si="9"/>
        <v>#N/A</v>
      </c>
      <c r="AI18" s="649"/>
      <c r="AJ18" s="500"/>
      <c r="AK18" s="420"/>
      <c r="AL18" s="420"/>
      <c r="AM18" s="500" t="e">
        <f t="shared" si="11"/>
        <v>#N/A</v>
      </c>
      <c r="AN18" s="649"/>
      <c r="AO18" s="500"/>
      <c r="AP18" s="420"/>
      <c r="AQ18" s="420"/>
      <c r="AR18" s="500" t="e">
        <f t="shared" si="13"/>
        <v>#N/A</v>
      </c>
      <c r="AS18" s="649"/>
      <c r="AT18" s="500"/>
      <c r="AU18" s="420"/>
      <c r="AV18" s="420"/>
      <c r="AW18" s="500" t="e">
        <f t="shared" si="15"/>
        <v>#N/A</v>
      </c>
      <c r="AX18" s="649"/>
      <c r="AZ18" s="402" t="e">
        <f t="shared" si="17"/>
        <v>#N/A</v>
      </c>
      <c r="BA18" s="649"/>
    </row>
    <row r="19" spans="2:53">
      <c r="B19" s="635"/>
      <c r="C19" s="413">
        <v>13</v>
      </c>
      <c r="D19" s="225"/>
      <c r="E19" s="420"/>
      <c r="F19" s="500"/>
      <c r="G19" s="501"/>
      <c r="H19" s="678"/>
      <c r="I19" s="417" t="str">
        <f t="shared" si="0"/>
        <v>-</v>
      </c>
      <c r="J19" s="417" t="str">
        <f t="shared" si="1"/>
        <v>-</v>
      </c>
      <c r="K19" s="199" t="str">
        <f t="shared" si="2"/>
        <v>-</v>
      </c>
      <c r="L19" s="609"/>
      <c r="M19" s="419" t="e">
        <f>RANK(K19, K$7:$K$21)</f>
        <v>#VALUE!</v>
      </c>
      <c r="N19" s="627"/>
      <c r="O19" s="627"/>
      <c r="P19" s="413"/>
      <c r="Q19" s="420"/>
      <c r="R19" s="420"/>
      <c r="S19" s="413" t="e">
        <f t="shared" si="3"/>
        <v>#N/A</v>
      </c>
      <c r="T19" s="649"/>
      <c r="U19" s="500"/>
      <c r="V19" s="420"/>
      <c r="W19" s="420"/>
      <c r="X19" s="500" t="e">
        <f t="shared" si="5"/>
        <v>#N/A</v>
      </c>
      <c r="Y19" s="649"/>
      <c r="Z19" s="500"/>
      <c r="AA19" s="420"/>
      <c r="AB19" s="420"/>
      <c r="AC19" s="500" t="e">
        <f t="shared" si="7"/>
        <v>#N/A</v>
      </c>
      <c r="AD19" s="649"/>
      <c r="AE19" s="500"/>
      <c r="AF19" s="420"/>
      <c r="AG19" s="420"/>
      <c r="AH19" s="500" t="e">
        <f t="shared" si="9"/>
        <v>#N/A</v>
      </c>
      <c r="AI19" s="649"/>
      <c r="AJ19" s="500"/>
      <c r="AK19" s="420"/>
      <c r="AL19" s="420"/>
      <c r="AM19" s="500" t="e">
        <f t="shared" si="11"/>
        <v>#N/A</v>
      </c>
      <c r="AN19" s="649"/>
      <c r="AO19" s="500"/>
      <c r="AP19" s="420"/>
      <c r="AQ19" s="420"/>
      <c r="AR19" s="500" t="e">
        <f t="shared" si="13"/>
        <v>#N/A</v>
      </c>
      <c r="AS19" s="649"/>
      <c r="AT19" s="500"/>
      <c r="AU19" s="420"/>
      <c r="AV19" s="420"/>
      <c r="AW19" s="500" t="e">
        <f t="shared" si="15"/>
        <v>#N/A</v>
      </c>
      <c r="AX19" s="649"/>
      <c r="AZ19" s="402" t="e">
        <f t="shared" si="17"/>
        <v>#N/A</v>
      </c>
      <c r="BA19" s="649"/>
    </row>
    <row r="20" spans="2:53">
      <c r="B20" s="635"/>
      <c r="C20" s="413">
        <v>14</v>
      </c>
      <c r="D20" s="225"/>
      <c r="E20" s="420"/>
      <c r="F20" s="500"/>
      <c r="G20" s="501"/>
      <c r="H20" s="678"/>
      <c r="I20" s="417" t="str">
        <f t="shared" si="0"/>
        <v>-</v>
      </c>
      <c r="J20" s="417" t="str">
        <f t="shared" si="1"/>
        <v>-</v>
      </c>
      <c r="K20" s="199" t="str">
        <f t="shared" si="2"/>
        <v>-</v>
      </c>
      <c r="L20" s="609"/>
      <c r="M20" s="419" t="e">
        <f>RANK(K20, K$7:$K$21)</f>
        <v>#VALUE!</v>
      </c>
      <c r="N20" s="627"/>
      <c r="O20" s="627"/>
      <c r="P20" s="413"/>
      <c r="Q20" s="420"/>
      <c r="R20" s="420"/>
      <c r="S20" s="413" t="e">
        <f t="shared" si="3"/>
        <v>#N/A</v>
      </c>
      <c r="T20" s="649"/>
      <c r="U20" s="500"/>
      <c r="V20" s="420"/>
      <c r="W20" s="420"/>
      <c r="X20" s="500" t="e">
        <f t="shared" si="5"/>
        <v>#N/A</v>
      </c>
      <c r="Y20" s="649"/>
      <c r="Z20" s="500"/>
      <c r="AA20" s="420"/>
      <c r="AB20" s="420"/>
      <c r="AC20" s="500" t="e">
        <f t="shared" si="7"/>
        <v>#N/A</v>
      </c>
      <c r="AD20" s="649"/>
      <c r="AE20" s="500"/>
      <c r="AF20" s="420"/>
      <c r="AG20" s="420"/>
      <c r="AH20" s="500" t="e">
        <f t="shared" si="9"/>
        <v>#N/A</v>
      </c>
      <c r="AI20" s="649"/>
      <c r="AJ20" s="500"/>
      <c r="AK20" s="420"/>
      <c r="AL20" s="420"/>
      <c r="AM20" s="500" t="e">
        <f t="shared" si="11"/>
        <v>#N/A</v>
      </c>
      <c r="AN20" s="649"/>
      <c r="AO20" s="500"/>
      <c r="AP20" s="420"/>
      <c r="AQ20" s="420"/>
      <c r="AR20" s="500" t="e">
        <f t="shared" si="13"/>
        <v>#N/A</v>
      </c>
      <c r="AS20" s="649"/>
      <c r="AT20" s="500"/>
      <c r="AU20" s="420"/>
      <c r="AV20" s="420"/>
      <c r="AW20" s="500" t="e">
        <f t="shared" si="15"/>
        <v>#N/A</v>
      </c>
      <c r="AX20" s="649"/>
      <c r="AZ20" s="402" t="e">
        <f t="shared" si="17"/>
        <v>#N/A</v>
      </c>
      <c r="BA20" s="649"/>
    </row>
    <row r="21" spans="2:53">
      <c r="B21" s="635"/>
      <c r="C21" s="413">
        <v>15</v>
      </c>
      <c r="D21" s="225"/>
      <c r="E21" s="420"/>
      <c r="F21" s="500"/>
      <c r="G21" s="501"/>
      <c r="H21" s="679"/>
      <c r="I21" s="201"/>
      <c r="J21" s="201"/>
      <c r="K21" s="201"/>
      <c r="L21" s="610"/>
      <c r="M21" s="422" t="e">
        <f>RANK(K21, K$7:$K$21)</f>
        <v>#N/A</v>
      </c>
      <c r="N21" s="627"/>
      <c r="O21" s="627"/>
      <c r="P21" s="413"/>
      <c r="Q21" s="420"/>
      <c r="R21" s="420"/>
      <c r="S21" s="413" t="e">
        <f t="shared" si="3"/>
        <v>#N/A</v>
      </c>
      <c r="T21" s="649"/>
      <c r="U21" s="500"/>
      <c r="V21" s="420"/>
      <c r="W21" s="420"/>
      <c r="X21" s="500" t="e">
        <f t="shared" si="5"/>
        <v>#N/A</v>
      </c>
      <c r="Y21" s="649"/>
      <c r="Z21" s="500"/>
      <c r="AA21" s="420"/>
      <c r="AB21" s="420"/>
      <c r="AC21" s="500" t="e">
        <f t="shared" si="7"/>
        <v>#N/A</v>
      </c>
      <c r="AD21" s="649"/>
      <c r="AE21" s="500"/>
      <c r="AF21" s="420"/>
      <c r="AG21" s="420"/>
      <c r="AH21" s="500" t="e">
        <f t="shared" si="9"/>
        <v>#N/A</v>
      </c>
      <c r="AI21" s="649"/>
      <c r="AJ21" s="500"/>
      <c r="AK21" s="420"/>
      <c r="AL21" s="420"/>
      <c r="AM21" s="500" t="e">
        <f t="shared" si="11"/>
        <v>#N/A</v>
      </c>
      <c r="AN21" s="649"/>
      <c r="AO21" s="500"/>
      <c r="AP21" s="420"/>
      <c r="AQ21" s="420"/>
      <c r="AR21" s="500" t="e">
        <f t="shared" si="13"/>
        <v>#N/A</v>
      </c>
      <c r="AS21" s="649"/>
      <c r="AT21" s="500"/>
      <c r="AU21" s="420"/>
      <c r="AV21" s="420"/>
      <c r="AW21" s="500" t="e">
        <f t="shared" si="15"/>
        <v>#N/A</v>
      </c>
      <c r="AX21" s="649"/>
      <c r="AZ21" s="402" t="e">
        <f t="shared" si="17"/>
        <v>#N/A</v>
      </c>
      <c r="BA21" s="649"/>
    </row>
    <row r="22" spans="2:53" ht="15.75">
      <c r="B22" s="653" t="s">
        <v>163</v>
      </c>
      <c r="C22" s="654"/>
      <c r="D22" s="654"/>
      <c r="E22" s="654"/>
      <c r="F22" s="654"/>
      <c r="G22" s="654"/>
      <c r="H22" s="654"/>
      <c r="I22" s="202"/>
      <c r="J22" s="202"/>
      <c r="K22" s="202"/>
      <c r="L22" s="202"/>
      <c r="M22" s="203"/>
      <c r="N22" s="628" t="s">
        <v>156</v>
      </c>
      <c r="O22" s="628" t="s">
        <v>105</v>
      </c>
      <c r="P22" s="634">
        <f>P2+7</f>
        <v>46175</v>
      </c>
      <c r="Q22" s="635"/>
      <c r="R22" s="635"/>
      <c r="S22" s="635"/>
      <c r="T22" s="635"/>
      <c r="U22" s="631">
        <f>P22+1</f>
        <v>46176</v>
      </c>
      <c r="V22" s="632"/>
      <c r="W22" s="632"/>
      <c r="X22" s="632"/>
      <c r="Y22" s="633"/>
      <c r="Z22" s="631">
        <f>U22+1</f>
        <v>46177</v>
      </c>
      <c r="AA22" s="632"/>
      <c r="AB22" s="632"/>
      <c r="AC22" s="632"/>
      <c r="AD22" s="633"/>
      <c r="AE22" s="631">
        <f>Z22+1</f>
        <v>46178</v>
      </c>
      <c r="AF22" s="632"/>
      <c r="AG22" s="632"/>
      <c r="AH22" s="632"/>
      <c r="AI22" s="633"/>
      <c r="AJ22" s="631">
        <f>AE22+1</f>
        <v>46179</v>
      </c>
      <c r="AK22" s="632"/>
      <c r="AL22" s="632"/>
      <c r="AM22" s="632"/>
      <c r="AN22" s="633"/>
      <c r="AO22" s="631">
        <f>AJ22+1</f>
        <v>46180</v>
      </c>
      <c r="AP22" s="632"/>
      <c r="AQ22" s="632"/>
      <c r="AR22" s="632"/>
      <c r="AS22" s="633"/>
      <c r="AT22" s="631">
        <f>AO22+1</f>
        <v>46181</v>
      </c>
      <c r="AU22" s="632"/>
      <c r="AV22" s="632"/>
      <c r="AW22" s="632"/>
      <c r="AX22" s="633"/>
    </row>
    <row r="23" spans="2:53" ht="15.75">
      <c r="B23" s="642"/>
      <c r="C23" s="642"/>
      <c r="D23" s="642"/>
      <c r="E23" s="642"/>
      <c r="F23" s="642"/>
      <c r="G23" s="642"/>
      <c r="H23" s="642"/>
      <c r="I23" s="204"/>
      <c r="J23" s="204"/>
      <c r="K23" s="204"/>
      <c r="L23" s="204"/>
      <c r="M23" s="205"/>
      <c r="N23" s="630"/>
      <c r="O23" s="630"/>
      <c r="P23" s="634" t="s">
        <v>318</v>
      </c>
      <c r="Q23" s="635"/>
      <c r="R23" s="635"/>
      <c r="S23" s="635"/>
      <c r="T23" s="635"/>
      <c r="U23" s="634" t="s">
        <v>319</v>
      </c>
      <c r="V23" s="635"/>
      <c r="W23" s="635"/>
      <c r="X23" s="635"/>
      <c r="Y23" s="635"/>
      <c r="Z23" s="634" t="s">
        <v>320</v>
      </c>
      <c r="AA23" s="635"/>
      <c r="AB23" s="635"/>
      <c r="AC23" s="635"/>
      <c r="AD23" s="635"/>
      <c r="AE23" s="634" t="s">
        <v>321</v>
      </c>
      <c r="AF23" s="635"/>
      <c r="AG23" s="635"/>
      <c r="AH23" s="635"/>
      <c r="AI23" s="635"/>
      <c r="AJ23" s="634" t="s">
        <v>322</v>
      </c>
      <c r="AK23" s="635"/>
      <c r="AL23" s="635"/>
      <c r="AM23" s="635"/>
      <c r="AN23" s="635"/>
      <c r="AO23" s="634" t="s">
        <v>323</v>
      </c>
      <c r="AP23" s="635"/>
      <c r="AQ23" s="635"/>
      <c r="AR23" s="635"/>
      <c r="AS23" s="635"/>
      <c r="AT23" s="634" t="s">
        <v>324</v>
      </c>
      <c r="AU23" s="635"/>
      <c r="AV23" s="635"/>
      <c r="AW23" s="635"/>
      <c r="AX23" s="635"/>
    </row>
    <row r="24" spans="2:53">
      <c r="B24" s="627" t="s">
        <v>154</v>
      </c>
      <c r="C24" s="627" t="s">
        <v>384</v>
      </c>
      <c r="D24" s="627"/>
      <c r="E24" s="627" t="s">
        <v>375</v>
      </c>
      <c r="F24" s="627"/>
      <c r="G24" s="627"/>
      <c r="H24" s="643" t="s">
        <v>371</v>
      </c>
      <c r="I24" s="611" t="s">
        <v>376</v>
      </c>
      <c r="J24" s="611"/>
      <c r="K24" s="611"/>
      <c r="L24" s="612" t="s">
        <v>371</v>
      </c>
      <c r="M24" s="618" t="s">
        <v>372</v>
      </c>
      <c r="N24" s="627"/>
      <c r="O24" s="627" t="s">
        <v>377</v>
      </c>
      <c r="P24" s="624" t="s">
        <v>373</v>
      </c>
      <c r="Q24" s="625"/>
      <c r="R24" s="625"/>
      <c r="S24" s="626"/>
      <c r="T24" s="627" t="s">
        <v>371</v>
      </c>
      <c r="U24" s="624" t="s">
        <v>373</v>
      </c>
      <c r="V24" s="625"/>
      <c r="W24" s="625"/>
      <c r="X24" s="626"/>
      <c r="Y24" s="627" t="s">
        <v>371</v>
      </c>
      <c r="Z24" s="624" t="s">
        <v>373</v>
      </c>
      <c r="AA24" s="625"/>
      <c r="AB24" s="625"/>
      <c r="AC24" s="626"/>
      <c r="AD24" s="627" t="s">
        <v>371</v>
      </c>
      <c r="AE24" s="624" t="s">
        <v>373</v>
      </c>
      <c r="AF24" s="625"/>
      <c r="AG24" s="625"/>
      <c r="AH24" s="626"/>
      <c r="AI24" s="627" t="s">
        <v>371</v>
      </c>
      <c r="AJ24" s="624" t="s">
        <v>373</v>
      </c>
      <c r="AK24" s="625"/>
      <c r="AL24" s="625"/>
      <c r="AM24" s="626"/>
      <c r="AN24" s="627" t="s">
        <v>371</v>
      </c>
      <c r="AO24" s="624" t="s">
        <v>373</v>
      </c>
      <c r="AP24" s="625"/>
      <c r="AQ24" s="625"/>
      <c r="AR24" s="626"/>
      <c r="AS24" s="627" t="s">
        <v>371</v>
      </c>
      <c r="AT24" s="624" t="s">
        <v>373</v>
      </c>
      <c r="AU24" s="625"/>
      <c r="AV24" s="625"/>
      <c r="AW24" s="626"/>
      <c r="AX24" s="627" t="s">
        <v>371</v>
      </c>
      <c r="BA24" s="627" t="s">
        <v>371</v>
      </c>
    </row>
    <row r="25" spans="2:53">
      <c r="B25" s="627"/>
      <c r="C25" s="627"/>
      <c r="D25" s="627"/>
      <c r="E25" s="627" t="s">
        <v>378</v>
      </c>
      <c r="F25" s="627"/>
      <c r="G25" s="627"/>
      <c r="H25" s="644"/>
      <c r="I25" s="611" t="s">
        <v>378</v>
      </c>
      <c r="J25" s="611"/>
      <c r="K25" s="611"/>
      <c r="L25" s="613"/>
      <c r="M25" s="619"/>
      <c r="N25" s="627"/>
      <c r="O25" s="627"/>
      <c r="P25" s="624" t="s">
        <v>379</v>
      </c>
      <c r="Q25" s="625"/>
      <c r="R25" s="625"/>
      <c r="S25" s="626"/>
      <c r="T25" s="627"/>
      <c r="U25" s="624" t="s">
        <v>379</v>
      </c>
      <c r="V25" s="625"/>
      <c r="W25" s="625"/>
      <c r="X25" s="626"/>
      <c r="Y25" s="627"/>
      <c r="Z25" s="624" t="s">
        <v>379</v>
      </c>
      <c r="AA25" s="625"/>
      <c r="AB25" s="625"/>
      <c r="AC25" s="626"/>
      <c r="AD25" s="627"/>
      <c r="AE25" s="624" t="s">
        <v>379</v>
      </c>
      <c r="AF25" s="625"/>
      <c r="AG25" s="625"/>
      <c r="AH25" s="626"/>
      <c r="AI25" s="627"/>
      <c r="AJ25" s="624" t="s">
        <v>379</v>
      </c>
      <c r="AK25" s="625"/>
      <c r="AL25" s="625"/>
      <c r="AM25" s="626"/>
      <c r="AN25" s="627"/>
      <c r="AO25" s="624" t="s">
        <v>379</v>
      </c>
      <c r="AP25" s="625"/>
      <c r="AQ25" s="625"/>
      <c r="AR25" s="626"/>
      <c r="AS25" s="627"/>
      <c r="AT25" s="624" t="s">
        <v>379</v>
      </c>
      <c r="AU25" s="625"/>
      <c r="AV25" s="625"/>
      <c r="AW25" s="626"/>
      <c r="AX25" s="627"/>
      <c r="BA25" s="627"/>
    </row>
    <row r="26" spans="2:53">
      <c r="B26" s="627"/>
      <c r="C26" s="627"/>
      <c r="D26" s="627"/>
      <c r="E26" s="412" t="s">
        <v>380</v>
      </c>
      <c r="F26" s="412" t="s">
        <v>381</v>
      </c>
      <c r="G26" s="412" t="s">
        <v>382</v>
      </c>
      <c r="H26" s="645"/>
      <c r="I26" s="411" t="s">
        <v>380</v>
      </c>
      <c r="J26" s="411" t="s">
        <v>381</v>
      </c>
      <c r="K26" s="411" t="s">
        <v>382</v>
      </c>
      <c r="L26" s="614"/>
      <c r="M26" s="620"/>
      <c r="N26" s="627"/>
      <c r="O26" s="627"/>
      <c r="P26" s="412" t="s">
        <v>380</v>
      </c>
      <c r="Q26" s="412" t="s">
        <v>381</v>
      </c>
      <c r="R26" s="412" t="s">
        <v>382</v>
      </c>
      <c r="S26" s="412" t="s">
        <v>372</v>
      </c>
      <c r="T26" s="627"/>
      <c r="U26" s="412" t="s">
        <v>380</v>
      </c>
      <c r="V26" s="412" t="s">
        <v>381</v>
      </c>
      <c r="W26" s="412" t="s">
        <v>382</v>
      </c>
      <c r="X26" s="412" t="s">
        <v>372</v>
      </c>
      <c r="Y26" s="627"/>
      <c r="Z26" s="412" t="s">
        <v>380</v>
      </c>
      <c r="AA26" s="412" t="s">
        <v>381</v>
      </c>
      <c r="AB26" s="412" t="s">
        <v>382</v>
      </c>
      <c r="AC26" s="412" t="s">
        <v>372</v>
      </c>
      <c r="AD26" s="627"/>
      <c r="AE26" s="412" t="s">
        <v>380</v>
      </c>
      <c r="AF26" s="412" t="s">
        <v>381</v>
      </c>
      <c r="AG26" s="412" t="s">
        <v>382</v>
      </c>
      <c r="AH26" s="412" t="s">
        <v>372</v>
      </c>
      <c r="AI26" s="627"/>
      <c r="AJ26" s="412" t="s">
        <v>380</v>
      </c>
      <c r="AK26" s="412" t="s">
        <v>381</v>
      </c>
      <c r="AL26" s="412" t="s">
        <v>382</v>
      </c>
      <c r="AM26" s="412" t="s">
        <v>372</v>
      </c>
      <c r="AN26" s="627"/>
      <c r="AO26" s="412" t="s">
        <v>380</v>
      </c>
      <c r="AP26" s="412" t="s">
        <v>381</v>
      </c>
      <c r="AQ26" s="412" t="s">
        <v>382</v>
      </c>
      <c r="AR26" s="412" t="s">
        <v>372</v>
      </c>
      <c r="AS26" s="627"/>
      <c r="AT26" s="412" t="s">
        <v>380</v>
      </c>
      <c r="AU26" s="412" t="s">
        <v>381</v>
      </c>
      <c r="AV26" s="412" t="s">
        <v>382</v>
      </c>
      <c r="AW26" s="412" t="s">
        <v>372</v>
      </c>
      <c r="AX26" s="627"/>
      <c r="AZ26" s="401" t="s">
        <v>372</v>
      </c>
      <c r="BA26" s="627"/>
    </row>
    <row r="27" spans="2:53">
      <c r="B27" s="627" t="s">
        <v>385</v>
      </c>
      <c r="C27" s="413">
        <v>1</v>
      </c>
      <c r="D27" s="225" t="s">
        <v>642</v>
      </c>
      <c r="E27" s="420">
        <v>15</v>
      </c>
      <c r="F27" s="500">
        <v>1500</v>
      </c>
      <c r="G27" s="501">
        <v>100</v>
      </c>
      <c r="H27" s="677">
        <f>AVERAGE(G27:G41)</f>
        <v>100</v>
      </c>
      <c r="I27" s="417">
        <f t="shared" ref="I27:I40" si="19">IFERROR(AVERAGE(P27,U27,Z27,AE27,AJ27,AO27,AT27),"-")</f>
        <v>12.571428571428571</v>
      </c>
      <c r="J27" s="417">
        <f t="shared" ref="J27:J40" si="20">IFERROR(AVERAGE(Q27,V27,AA27,AF27,AK27,AP27,AU27),"-")</f>
        <v>1479.0336734693876</v>
      </c>
      <c r="K27" s="199">
        <f t="shared" ref="K27:K40" si="21">IFERROR(AVERAGE(R27,W27,AB27,AG27,AL27,AQ27,AV27),"-")</f>
        <v>117.78207744636315</v>
      </c>
      <c r="L27" s="608">
        <f>IFERROR(AVERAGE(K27:K41),"-")</f>
        <v>117.78207744636315</v>
      </c>
      <c r="M27" s="419">
        <f>RANK(K27, K$24:$K$41)</f>
        <v>1</v>
      </c>
      <c r="N27" s="627"/>
      <c r="O27" s="627"/>
      <c r="P27" s="550">
        <v>13</v>
      </c>
      <c r="Q27" s="420">
        <v>1463.2499999999995</v>
      </c>
      <c r="R27" s="420">
        <v>112.55769230769228</v>
      </c>
      <c r="S27" s="550">
        <f t="shared" ref="S27:S41" si="22">RANK(R27, R$27:R$41)</f>
        <v>1</v>
      </c>
      <c r="T27" s="636">
        <f t="shared" ref="T27" si="23">AVERAGE(R27:R41)</f>
        <v>112.55769230769228</v>
      </c>
      <c r="U27" s="550">
        <v>12</v>
      </c>
      <c r="V27" s="420">
        <v>1460.0000000000005</v>
      </c>
      <c r="W27" s="420">
        <v>121.6666666666667</v>
      </c>
      <c r="X27" s="550">
        <f t="shared" ref="X27:X41" si="24">RANK(W27, W$27:W$41)</f>
        <v>1</v>
      </c>
      <c r="Y27" s="636">
        <f t="shared" ref="Y27" si="25">AVERAGE(W27:W41)</f>
        <v>121.6666666666667</v>
      </c>
      <c r="Z27" s="550">
        <v>12</v>
      </c>
      <c r="AA27" s="420">
        <v>1443.2000000000005</v>
      </c>
      <c r="AB27" s="420">
        <v>120.26666666666671</v>
      </c>
      <c r="AC27" s="550">
        <f t="shared" ref="AC27:AC41" si="26">RANK(AB27, AB$27:AB$41)</f>
        <v>1</v>
      </c>
      <c r="AD27" s="636">
        <f t="shared" ref="AD27" si="27">AVERAGE(AB27:AB41)</f>
        <v>120.26666666666671</v>
      </c>
      <c r="AE27" s="550">
        <v>12</v>
      </c>
      <c r="AF27" s="420">
        <v>1476.0000000000005</v>
      </c>
      <c r="AG27" s="420">
        <v>123.00000000000004</v>
      </c>
      <c r="AH27" s="550">
        <f t="shared" ref="AH27:AH41" si="28">RANK(AG27, AG$27:AG$41)</f>
        <v>1</v>
      </c>
      <c r="AI27" s="636">
        <f t="shared" ref="AI27" si="29">AVERAGE(AG27:AG41)</f>
        <v>123.00000000000004</v>
      </c>
      <c r="AJ27" s="550">
        <v>13</v>
      </c>
      <c r="AK27" s="420">
        <v>1531.9999999999993</v>
      </c>
      <c r="AL27" s="420">
        <v>117.8461538461538</v>
      </c>
      <c r="AM27" s="550">
        <f t="shared" ref="AM27:AM41" si="30">RANK(AL27, AL$27:AL$41)</f>
        <v>1</v>
      </c>
      <c r="AN27" s="636">
        <f t="shared" ref="AN27" si="31">AVERAGE(AL27:AL41)</f>
        <v>117.8461538461538</v>
      </c>
      <c r="AO27" s="550">
        <v>13</v>
      </c>
      <c r="AP27" s="420">
        <v>1534.2857142857126</v>
      </c>
      <c r="AQ27" s="420">
        <v>118.0219780219779</v>
      </c>
      <c r="AR27" s="550">
        <f t="shared" ref="AR27:AR41" si="32">RANK(AQ27, AQ$27:AQ$41)</f>
        <v>1</v>
      </c>
      <c r="AS27" s="636">
        <f t="shared" ref="AS27" si="33">AVERAGE(AQ27:AQ41)</f>
        <v>118.0219780219779</v>
      </c>
      <c r="AT27" s="550">
        <v>13</v>
      </c>
      <c r="AU27" s="420">
        <v>1444.4999999999995</v>
      </c>
      <c r="AV27" s="420">
        <v>111.11538461538458</v>
      </c>
      <c r="AW27" s="550">
        <f t="shared" ref="AW27:AW41" si="34">RANK(AV27, AV$27:AV$41)</f>
        <v>1</v>
      </c>
      <c r="AX27" s="636">
        <f t="shared" ref="AX27" si="35">AVERAGE(AV27:AV41)</f>
        <v>111.11538461538458</v>
      </c>
      <c r="AZ27" s="402" t="e">
        <f t="shared" ref="AZ27:AZ41" si="36">RANK(AY27, AY$27:AY$41)</f>
        <v>#N/A</v>
      </c>
      <c r="BA27" s="636" t="e">
        <f t="shared" ref="BA27" si="37">AVERAGE(AY27:AY41)</f>
        <v>#DIV/0!</v>
      </c>
    </row>
    <row r="28" spans="2:53">
      <c r="B28" s="635"/>
      <c r="C28" s="413">
        <v>2</v>
      </c>
      <c r="D28" s="225"/>
      <c r="E28" s="420"/>
      <c r="F28" s="500"/>
      <c r="G28" s="501"/>
      <c r="H28" s="678"/>
      <c r="I28" s="417" t="str">
        <f t="shared" si="19"/>
        <v>-</v>
      </c>
      <c r="J28" s="417" t="str">
        <f t="shared" si="20"/>
        <v>-</v>
      </c>
      <c r="K28" s="199" t="str">
        <f t="shared" si="21"/>
        <v>-</v>
      </c>
      <c r="L28" s="609"/>
      <c r="M28" s="423" t="e">
        <f>RANK(K28, K$24:$K$41)</f>
        <v>#VALUE!</v>
      </c>
      <c r="N28" s="627"/>
      <c r="O28" s="627"/>
      <c r="P28" s="550" t="s">
        <v>623</v>
      </c>
      <c r="Q28" s="420" t="s">
        <v>623</v>
      </c>
      <c r="R28" s="420" t="s">
        <v>623</v>
      </c>
      <c r="S28" s="550" t="e">
        <f t="shared" si="22"/>
        <v>#VALUE!</v>
      </c>
      <c r="T28" s="637"/>
      <c r="U28" s="550" t="s">
        <v>623</v>
      </c>
      <c r="V28" s="420" t="s">
        <v>623</v>
      </c>
      <c r="W28" s="420" t="s">
        <v>623</v>
      </c>
      <c r="X28" s="550" t="e">
        <f t="shared" si="24"/>
        <v>#VALUE!</v>
      </c>
      <c r="Y28" s="637"/>
      <c r="Z28" s="550" t="s">
        <v>623</v>
      </c>
      <c r="AA28" s="420" t="s">
        <v>623</v>
      </c>
      <c r="AB28" s="420" t="s">
        <v>623</v>
      </c>
      <c r="AC28" s="550" t="e">
        <f t="shared" si="26"/>
        <v>#VALUE!</v>
      </c>
      <c r="AD28" s="637"/>
      <c r="AE28" s="550" t="s">
        <v>623</v>
      </c>
      <c r="AF28" s="420" t="s">
        <v>623</v>
      </c>
      <c r="AG28" s="420" t="s">
        <v>623</v>
      </c>
      <c r="AH28" s="550" t="e">
        <f t="shared" si="28"/>
        <v>#VALUE!</v>
      </c>
      <c r="AI28" s="637"/>
      <c r="AJ28" s="550" t="s">
        <v>623</v>
      </c>
      <c r="AK28" s="420" t="s">
        <v>623</v>
      </c>
      <c r="AL28" s="420" t="s">
        <v>623</v>
      </c>
      <c r="AM28" s="550" t="e">
        <f t="shared" si="30"/>
        <v>#VALUE!</v>
      </c>
      <c r="AN28" s="637"/>
      <c r="AO28" s="550" t="s">
        <v>623</v>
      </c>
      <c r="AP28" s="420" t="s">
        <v>623</v>
      </c>
      <c r="AQ28" s="420" t="s">
        <v>623</v>
      </c>
      <c r="AR28" s="550" t="e">
        <f t="shared" si="32"/>
        <v>#VALUE!</v>
      </c>
      <c r="AS28" s="637"/>
      <c r="AT28" s="550" t="s">
        <v>623</v>
      </c>
      <c r="AU28" s="420" t="s">
        <v>623</v>
      </c>
      <c r="AV28" s="420" t="s">
        <v>623</v>
      </c>
      <c r="AW28" s="550" t="e">
        <f t="shared" si="34"/>
        <v>#VALUE!</v>
      </c>
      <c r="AX28" s="637"/>
      <c r="AZ28" s="402" t="e">
        <f t="shared" si="36"/>
        <v>#N/A</v>
      </c>
      <c r="BA28" s="637"/>
    </row>
    <row r="29" spans="2:53">
      <c r="B29" s="635"/>
      <c r="C29" s="413">
        <v>3</v>
      </c>
      <c r="D29" s="225"/>
      <c r="E29" s="420"/>
      <c r="F29" s="500"/>
      <c r="G29" s="501"/>
      <c r="H29" s="678"/>
      <c r="I29" s="417" t="str">
        <f t="shared" si="19"/>
        <v>-</v>
      </c>
      <c r="J29" s="417" t="str">
        <f t="shared" si="20"/>
        <v>-</v>
      </c>
      <c r="K29" s="199" t="str">
        <f t="shared" si="21"/>
        <v>-</v>
      </c>
      <c r="L29" s="609"/>
      <c r="M29" s="423" t="e">
        <f>RANK(K29, K$24:$K$41)</f>
        <v>#VALUE!</v>
      </c>
      <c r="N29" s="627"/>
      <c r="O29" s="627"/>
      <c r="P29" s="550" t="s">
        <v>623</v>
      </c>
      <c r="Q29" s="420" t="s">
        <v>623</v>
      </c>
      <c r="R29" s="420" t="s">
        <v>623</v>
      </c>
      <c r="S29" s="550" t="e">
        <f t="shared" si="22"/>
        <v>#VALUE!</v>
      </c>
      <c r="T29" s="637"/>
      <c r="U29" s="550" t="s">
        <v>623</v>
      </c>
      <c r="V29" s="420" t="s">
        <v>623</v>
      </c>
      <c r="W29" s="420" t="s">
        <v>623</v>
      </c>
      <c r="X29" s="550" t="e">
        <f t="shared" si="24"/>
        <v>#VALUE!</v>
      </c>
      <c r="Y29" s="637"/>
      <c r="Z29" s="550" t="s">
        <v>623</v>
      </c>
      <c r="AA29" s="420" t="s">
        <v>623</v>
      </c>
      <c r="AB29" s="420" t="s">
        <v>623</v>
      </c>
      <c r="AC29" s="550" t="e">
        <f t="shared" si="26"/>
        <v>#VALUE!</v>
      </c>
      <c r="AD29" s="637"/>
      <c r="AE29" s="550" t="s">
        <v>623</v>
      </c>
      <c r="AF29" s="420" t="s">
        <v>623</v>
      </c>
      <c r="AG29" s="420" t="s">
        <v>623</v>
      </c>
      <c r="AH29" s="550" t="e">
        <f t="shared" si="28"/>
        <v>#VALUE!</v>
      </c>
      <c r="AI29" s="637"/>
      <c r="AJ29" s="550" t="s">
        <v>623</v>
      </c>
      <c r="AK29" s="420" t="s">
        <v>623</v>
      </c>
      <c r="AL29" s="420" t="s">
        <v>623</v>
      </c>
      <c r="AM29" s="550" t="e">
        <f t="shared" si="30"/>
        <v>#VALUE!</v>
      </c>
      <c r="AN29" s="637"/>
      <c r="AO29" s="550" t="s">
        <v>623</v>
      </c>
      <c r="AP29" s="420" t="s">
        <v>623</v>
      </c>
      <c r="AQ29" s="420" t="s">
        <v>623</v>
      </c>
      <c r="AR29" s="550" t="e">
        <f t="shared" si="32"/>
        <v>#VALUE!</v>
      </c>
      <c r="AS29" s="637"/>
      <c r="AT29" s="550" t="s">
        <v>623</v>
      </c>
      <c r="AU29" s="420" t="s">
        <v>623</v>
      </c>
      <c r="AV29" s="420" t="s">
        <v>623</v>
      </c>
      <c r="AW29" s="550" t="e">
        <f t="shared" si="34"/>
        <v>#VALUE!</v>
      </c>
      <c r="AX29" s="637"/>
      <c r="AZ29" s="402" t="e">
        <f t="shared" si="36"/>
        <v>#N/A</v>
      </c>
      <c r="BA29" s="637"/>
    </row>
    <row r="30" spans="2:53">
      <c r="B30" s="635"/>
      <c r="C30" s="413">
        <v>4</v>
      </c>
      <c r="D30" s="225"/>
      <c r="E30" s="420"/>
      <c r="F30" s="500"/>
      <c r="G30" s="501"/>
      <c r="H30" s="678"/>
      <c r="I30" s="417" t="str">
        <f t="shared" si="19"/>
        <v>-</v>
      </c>
      <c r="J30" s="417" t="str">
        <f t="shared" si="20"/>
        <v>-</v>
      </c>
      <c r="K30" s="199" t="str">
        <f t="shared" si="21"/>
        <v>-</v>
      </c>
      <c r="L30" s="609"/>
      <c r="M30" s="423" t="e">
        <f>RANK(K30, K$24:$K$41)</f>
        <v>#VALUE!</v>
      </c>
      <c r="N30" s="627"/>
      <c r="O30" s="627"/>
      <c r="P30" s="550" t="s">
        <v>623</v>
      </c>
      <c r="Q30" s="420" t="s">
        <v>623</v>
      </c>
      <c r="R30" s="420" t="s">
        <v>623</v>
      </c>
      <c r="S30" s="550" t="e">
        <f t="shared" si="22"/>
        <v>#VALUE!</v>
      </c>
      <c r="T30" s="637"/>
      <c r="U30" s="550" t="s">
        <v>623</v>
      </c>
      <c r="V30" s="420" t="s">
        <v>623</v>
      </c>
      <c r="W30" s="420" t="s">
        <v>623</v>
      </c>
      <c r="X30" s="550" t="e">
        <f t="shared" si="24"/>
        <v>#VALUE!</v>
      </c>
      <c r="Y30" s="637"/>
      <c r="Z30" s="550" t="s">
        <v>623</v>
      </c>
      <c r="AA30" s="420" t="s">
        <v>623</v>
      </c>
      <c r="AB30" s="420" t="s">
        <v>623</v>
      </c>
      <c r="AC30" s="550" t="e">
        <f t="shared" si="26"/>
        <v>#VALUE!</v>
      </c>
      <c r="AD30" s="637"/>
      <c r="AE30" s="550" t="s">
        <v>623</v>
      </c>
      <c r="AF30" s="420" t="s">
        <v>623</v>
      </c>
      <c r="AG30" s="420" t="s">
        <v>623</v>
      </c>
      <c r="AH30" s="550" t="e">
        <f t="shared" si="28"/>
        <v>#VALUE!</v>
      </c>
      <c r="AI30" s="637"/>
      <c r="AJ30" s="550" t="s">
        <v>623</v>
      </c>
      <c r="AK30" s="420" t="s">
        <v>623</v>
      </c>
      <c r="AL30" s="420" t="s">
        <v>623</v>
      </c>
      <c r="AM30" s="550" t="e">
        <f t="shared" si="30"/>
        <v>#VALUE!</v>
      </c>
      <c r="AN30" s="637"/>
      <c r="AO30" s="550" t="s">
        <v>623</v>
      </c>
      <c r="AP30" s="420" t="s">
        <v>623</v>
      </c>
      <c r="AQ30" s="420" t="s">
        <v>623</v>
      </c>
      <c r="AR30" s="550" t="e">
        <f t="shared" si="32"/>
        <v>#VALUE!</v>
      </c>
      <c r="AS30" s="637"/>
      <c r="AT30" s="550" t="s">
        <v>623</v>
      </c>
      <c r="AU30" s="420" t="s">
        <v>623</v>
      </c>
      <c r="AV30" s="420" t="s">
        <v>623</v>
      </c>
      <c r="AW30" s="550" t="e">
        <f t="shared" si="34"/>
        <v>#VALUE!</v>
      </c>
      <c r="AX30" s="637"/>
      <c r="AZ30" s="402" t="e">
        <f t="shared" si="36"/>
        <v>#N/A</v>
      </c>
      <c r="BA30" s="637"/>
    </row>
    <row r="31" spans="2:53">
      <c r="B31" s="635"/>
      <c r="C31" s="413">
        <v>5</v>
      </c>
      <c r="D31" s="225"/>
      <c r="E31" s="420"/>
      <c r="F31" s="500"/>
      <c r="G31" s="501"/>
      <c r="H31" s="678"/>
      <c r="I31" s="417" t="str">
        <f t="shared" si="19"/>
        <v>-</v>
      </c>
      <c r="J31" s="417" t="str">
        <f t="shared" si="20"/>
        <v>-</v>
      </c>
      <c r="K31" s="199" t="str">
        <f t="shared" si="21"/>
        <v>-</v>
      </c>
      <c r="L31" s="609"/>
      <c r="M31" s="423" t="e">
        <f>RANK(K31, K$24:$K$41)</f>
        <v>#VALUE!</v>
      </c>
      <c r="N31" s="627"/>
      <c r="O31" s="627"/>
      <c r="P31" s="550" t="s">
        <v>623</v>
      </c>
      <c r="Q31" s="420" t="s">
        <v>623</v>
      </c>
      <c r="R31" s="420" t="s">
        <v>623</v>
      </c>
      <c r="S31" s="550" t="e">
        <f t="shared" si="22"/>
        <v>#VALUE!</v>
      </c>
      <c r="T31" s="637"/>
      <c r="U31" s="550" t="s">
        <v>623</v>
      </c>
      <c r="V31" s="420" t="s">
        <v>623</v>
      </c>
      <c r="W31" s="420" t="s">
        <v>623</v>
      </c>
      <c r="X31" s="550" t="e">
        <f t="shared" si="24"/>
        <v>#VALUE!</v>
      </c>
      <c r="Y31" s="637"/>
      <c r="Z31" s="550" t="s">
        <v>623</v>
      </c>
      <c r="AA31" s="420" t="s">
        <v>623</v>
      </c>
      <c r="AB31" s="420" t="s">
        <v>623</v>
      </c>
      <c r="AC31" s="550" t="e">
        <f t="shared" si="26"/>
        <v>#VALUE!</v>
      </c>
      <c r="AD31" s="637"/>
      <c r="AE31" s="550" t="s">
        <v>623</v>
      </c>
      <c r="AF31" s="420" t="s">
        <v>623</v>
      </c>
      <c r="AG31" s="420" t="s">
        <v>623</v>
      </c>
      <c r="AH31" s="550" t="e">
        <f t="shared" si="28"/>
        <v>#VALUE!</v>
      </c>
      <c r="AI31" s="637"/>
      <c r="AJ31" s="550" t="s">
        <v>623</v>
      </c>
      <c r="AK31" s="420" t="s">
        <v>623</v>
      </c>
      <c r="AL31" s="420" t="s">
        <v>623</v>
      </c>
      <c r="AM31" s="550" t="e">
        <f t="shared" si="30"/>
        <v>#VALUE!</v>
      </c>
      <c r="AN31" s="637"/>
      <c r="AO31" s="550" t="s">
        <v>623</v>
      </c>
      <c r="AP31" s="420" t="s">
        <v>623</v>
      </c>
      <c r="AQ31" s="420" t="s">
        <v>623</v>
      </c>
      <c r="AR31" s="550" t="e">
        <f t="shared" si="32"/>
        <v>#VALUE!</v>
      </c>
      <c r="AS31" s="637"/>
      <c r="AT31" s="550" t="s">
        <v>623</v>
      </c>
      <c r="AU31" s="420" t="s">
        <v>623</v>
      </c>
      <c r="AV31" s="420" t="s">
        <v>623</v>
      </c>
      <c r="AW31" s="550" t="e">
        <f t="shared" si="34"/>
        <v>#VALUE!</v>
      </c>
      <c r="AX31" s="637"/>
      <c r="AZ31" s="402" t="e">
        <f t="shared" si="36"/>
        <v>#N/A</v>
      </c>
      <c r="BA31" s="637"/>
    </row>
    <row r="32" spans="2:53">
      <c r="B32" s="635"/>
      <c r="C32" s="413">
        <v>6</v>
      </c>
      <c r="D32" s="225"/>
      <c r="E32" s="420"/>
      <c r="F32" s="500"/>
      <c r="G32" s="501"/>
      <c r="H32" s="678"/>
      <c r="I32" s="417" t="str">
        <f t="shared" si="19"/>
        <v>-</v>
      </c>
      <c r="J32" s="417" t="str">
        <f t="shared" si="20"/>
        <v>-</v>
      </c>
      <c r="K32" s="199" t="str">
        <f t="shared" si="21"/>
        <v>-</v>
      </c>
      <c r="L32" s="609"/>
      <c r="M32" s="423" t="e">
        <f>RANK(K32, K$24:$K$41)</f>
        <v>#VALUE!</v>
      </c>
      <c r="N32" s="627"/>
      <c r="O32" s="627"/>
      <c r="P32" s="550" t="s">
        <v>623</v>
      </c>
      <c r="Q32" s="420" t="s">
        <v>623</v>
      </c>
      <c r="R32" s="420" t="s">
        <v>623</v>
      </c>
      <c r="S32" s="550" t="e">
        <f t="shared" si="22"/>
        <v>#VALUE!</v>
      </c>
      <c r="T32" s="637"/>
      <c r="U32" s="550" t="s">
        <v>623</v>
      </c>
      <c r="V32" s="420" t="s">
        <v>623</v>
      </c>
      <c r="W32" s="420" t="s">
        <v>623</v>
      </c>
      <c r="X32" s="550" t="e">
        <f t="shared" si="24"/>
        <v>#VALUE!</v>
      </c>
      <c r="Y32" s="637"/>
      <c r="Z32" s="550" t="s">
        <v>623</v>
      </c>
      <c r="AA32" s="420" t="s">
        <v>623</v>
      </c>
      <c r="AB32" s="420" t="s">
        <v>623</v>
      </c>
      <c r="AC32" s="550" t="e">
        <f t="shared" si="26"/>
        <v>#VALUE!</v>
      </c>
      <c r="AD32" s="637"/>
      <c r="AE32" s="550" t="s">
        <v>623</v>
      </c>
      <c r="AF32" s="420" t="s">
        <v>623</v>
      </c>
      <c r="AG32" s="420" t="s">
        <v>623</v>
      </c>
      <c r="AH32" s="550" t="e">
        <f t="shared" si="28"/>
        <v>#VALUE!</v>
      </c>
      <c r="AI32" s="637"/>
      <c r="AJ32" s="550" t="s">
        <v>623</v>
      </c>
      <c r="AK32" s="420" t="s">
        <v>623</v>
      </c>
      <c r="AL32" s="420" t="s">
        <v>623</v>
      </c>
      <c r="AM32" s="550" t="e">
        <f t="shared" si="30"/>
        <v>#VALUE!</v>
      </c>
      <c r="AN32" s="637"/>
      <c r="AO32" s="550" t="s">
        <v>623</v>
      </c>
      <c r="AP32" s="420" t="s">
        <v>623</v>
      </c>
      <c r="AQ32" s="420" t="s">
        <v>623</v>
      </c>
      <c r="AR32" s="550" t="e">
        <f t="shared" si="32"/>
        <v>#VALUE!</v>
      </c>
      <c r="AS32" s="637"/>
      <c r="AT32" s="550" t="s">
        <v>623</v>
      </c>
      <c r="AU32" s="420" t="s">
        <v>623</v>
      </c>
      <c r="AV32" s="420" t="s">
        <v>623</v>
      </c>
      <c r="AW32" s="550" t="e">
        <f t="shared" si="34"/>
        <v>#VALUE!</v>
      </c>
      <c r="AX32" s="637"/>
      <c r="AZ32" s="402" t="e">
        <f t="shared" si="36"/>
        <v>#N/A</v>
      </c>
      <c r="BA32" s="637"/>
    </row>
    <row r="33" spans="2:53">
      <c r="B33" s="635"/>
      <c r="C33" s="413">
        <v>7</v>
      </c>
      <c r="D33" s="225"/>
      <c r="E33" s="420"/>
      <c r="F33" s="500"/>
      <c r="G33" s="501"/>
      <c r="H33" s="678"/>
      <c r="I33" s="417" t="str">
        <f t="shared" si="19"/>
        <v>-</v>
      </c>
      <c r="J33" s="417" t="str">
        <f t="shared" si="20"/>
        <v>-</v>
      </c>
      <c r="K33" s="199" t="str">
        <f t="shared" si="21"/>
        <v>-</v>
      </c>
      <c r="L33" s="609"/>
      <c r="M33" s="423" t="e">
        <f>RANK(K33, K$24:$K$41)</f>
        <v>#VALUE!</v>
      </c>
      <c r="N33" s="627"/>
      <c r="O33" s="627"/>
      <c r="P33" s="550" t="s">
        <v>623</v>
      </c>
      <c r="Q33" s="420" t="s">
        <v>623</v>
      </c>
      <c r="R33" s="420" t="s">
        <v>623</v>
      </c>
      <c r="S33" s="550" t="e">
        <f t="shared" si="22"/>
        <v>#VALUE!</v>
      </c>
      <c r="T33" s="637"/>
      <c r="U33" s="550" t="s">
        <v>623</v>
      </c>
      <c r="V33" s="420" t="s">
        <v>623</v>
      </c>
      <c r="W33" s="420" t="s">
        <v>623</v>
      </c>
      <c r="X33" s="550" t="e">
        <f t="shared" si="24"/>
        <v>#VALUE!</v>
      </c>
      <c r="Y33" s="637"/>
      <c r="Z33" s="550" t="s">
        <v>623</v>
      </c>
      <c r="AA33" s="420" t="s">
        <v>623</v>
      </c>
      <c r="AB33" s="420" t="s">
        <v>623</v>
      </c>
      <c r="AC33" s="550" t="e">
        <f t="shared" si="26"/>
        <v>#VALUE!</v>
      </c>
      <c r="AD33" s="637"/>
      <c r="AE33" s="550" t="s">
        <v>623</v>
      </c>
      <c r="AF33" s="420" t="s">
        <v>623</v>
      </c>
      <c r="AG33" s="420" t="s">
        <v>623</v>
      </c>
      <c r="AH33" s="550" t="e">
        <f t="shared" si="28"/>
        <v>#VALUE!</v>
      </c>
      <c r="AI33" s="637"/>
      <c r="AJ33" s="550" t="s">
        <v>623</v>
      </c>
      <c r="AK33" s="420" t="s">
        <v>623</v>
      </c>
      <c r="AL33" s="420" t="s">
        <v>623</v>
      </c>
      <c r="AM33" s="550" t="e">
        <f t="shared" si="30"/>
        <v>#VALUE!</v>
      </c>
      <c r="AN33" s="637"/>
      <c r="AO33" s="550" t="s">
        <v>623</v>
      </c>
      <c r="AP33" s="420" t="s">
        <v>623</v>
      </c>
      <c r="AQ33" s="420" t="s">
        <v>623</v>
      </c>
      <c r="AR33" s="550" t="e">
        <f t="shared" si="32"/>
        <v>#VALUE!</v>
      </c>
      <c r="AS33" s="637"/>
      <c r="AT33" s="550" t="s">
        <v>623</v>
      </c>
      <c r="AU33" s="420" t="s">
        <v>623</v>
      </c>
      <c r="AV33" s="420" t="s">
        <v>623</v>
      </c>
      <c r="AW33" s="550" t="e">
        <f t="shared" si="34"/>
        <v>#VALUE!</v>
      </c>
      <c r="AX33" s="637"/>
      <c r="AZ33" s="402" t="e">
        <f t="shared" si="36"/>
        <v>#N/A</v>
      </c>
      <c r="BA33" s="637"/>
    </row>
    <row r="34" spans="2:53">
      <c r="B34" s="635"/>
      <c r="C34" s="413">
        <v>8</v>
      </c>
      <c r="D34" s="225"/>
      <c r="E34" s="420"/>
      <c r="F34" s="500"/>
      <c r="G34" s="501"/>
      <c r="H34" s="678"/>
      <c r="I34" s="417" t="str">
        <f t="shared" si="19"/>
        <v>-</v>
      </c>
      <c r="J34" s="417" t="str">
        <f t="shared" si="20"/>
        <v>-</v>
      </c>
      <c r="K34" s="199" t="str">
        <f t="shared" si="21"/>
        <v>-</v>
      </c>
      <c r="L34" s="609"/>
      <c r="M34" s="423" t="e">
        <f>RANK(K34, K$24:$K$41)</f>
        <v>#VALUE!</v>
      </c>
      <c r="N34" s="627"/>
      <c r="O34" s="627"/>
      <c r="P34" s="550" t="s">
        <v>623</v>
      </c>
      <c r="Q34" s="420" t="s">
        <v>623</v>
      </c>
      <c r="R34" s="420" t="s">
        <v>623</v>
      </c>
      <c r="S34" s="550" t="e">
        <f t="shared" si="22"/>
        <v>#VALUE!</v>
      </c>
      <c r="T34" s="637"/>
      <c r="U34" s="550" t="s">
        <v>623</v>
      </c>
      <c r="V34" s="420" t="s">
        <v>623</v>
      </c>
      <c r="W34" s="420" t="s">
        <v>623</v>
      </c>
      <c r="X34" s="550" t="e">
        <f t="shared" si="24"/>
        <v>#VALUE!</v>
      </c>
      <c r="Y34" s="637"/>
      <c r="Z34" s="550" t="s">
        <v>623</v>
      </c>
      <c r="AA34" s="420" t="s">
        <v>623</v>
      </c>
      <c r="AB34" s="420" t="s">
        <v>623</v>
      </c>
      <c r="AC34" s="550" t="e">
        <f t="shared" si="26"/>
        <v>#VALUE!</v>
      </c>
      <c r="AD34" s="637"/>
      <c r="AE34" s="550" t="s">
        <v>623</v>
      </c>
      <c r="AF34" s="420" t="s">
        <v>623</v>
      </c>
      <c r="AG34" s="420" t="s">
        <v>623</v>
      </c>
      <c r="AH34" s="550" t="e">
        <f t="shared" si="28"/>
        <v>#VALUE!</v>
      </c>
      <c r="AI34" s="637"/>
      <c r="AJ34" s="550" t="s">
        <v>623</v>
      </c>
      <c r="AK34" s="420" t="s">
        <v>623</v>
      </c>
      <c r="AL34" s="420" t="s">
        <v>623</v>
      </c>
      <c r="AM34" s="550" t="e">
        <f t="shared" si="30"/>
        <v>#VALUE!</v>
      </c>
      <c r="AN34" s="637"/>
      <c r="AO34" s="550" t="s">
        <v>623</v>
      </c>
      <c r="AP34" s="420" t="s">
        <v>623</v>
      </c>
      <c r="AQ34" s="420" t="s">
        <v>623</v>
      </c>
      <c r="AR34" s="550" t="e">
        <f t="shared" si="32"/>
        <v>#VALUE!</v>
      </c>
      <c r="AS34" s="637"/>
      <c r="AT34" s="550" t="s">
        <v>623</v>
      </c>
      <c r="AU34" s="420" t="s">
        <v>623</v>
      </c>
      <c r="AV34" s="420" t="s">
        <v>623</v>
      </c>
      <c r="AW34" s="550" t="e">
        <f t="shared" si="34"/>
        <v>#VALUE!</v>
      </c>
      <c r="AX34" s="637"/>
      <c r="AZ34" s="402" t="e">
        <f t="shared" si="36"/>
        <v>#N/A</v>
      </c>
      <c r="BA34" s="637"/>
    </row>
    <row r="35" spans="2:53">
      <c r="B35" s="635"/>
      <c r="C35" s="413">
        <v>9</v>
      </c>
      <c r="D35" s="225"/>
      <c r="E35" s="420"/>
      <c r="F35" s="500"/>
      <c r="G35" s="501"/>
      <c r="H35" s="678"/>
      <c r="I35" s="417" t="str">
        <f t="shared" si="19"/>
        <v>-</v>
      </c>
      <c r="J35" s="417" t="str">
        <f t="shared" si="20"/>
        <v>-</v>
      </c>
      <c r="K35" s="199" t="str">
        <f t="shared" si="21"/>
        <v>-</v>
      </c>
      <c r="L35" s="609"/>
      <c r="M35" s="423" t="e">
        <f>RANK(K35, K$24:$K$41)</f>
        <v>#VALUE!</v>
      </c>
      <c r="N35" s="627"/>
      <c r="O35" s="627"/>
      <c r="P35" s="550" t="s">
        <v>623</v>
      </c>
      <c r="Q35" s="420" t="s">
        <v>623</v>
      </c>
      <c r="R35" s="420" t="s">
        <v>623</v>
      </c>
      <c r="S35" s="550" t="e">
        <f t="shared" si="22"/>
        <v>#VALUE!</v>
      </c>
      <c r="T35" s="637"/>
      <c r="U35" s="550" t="s">
        <v>623</v>
      </c>
      <c r="V35" s="420" t="s">
        <v>623</v>
      </c>
      <c r="W35" s="420" t="s">
        <v>623</v>
      </c>
      <c r="X35" s="550" t="e">
        <f t="shared" si="24"/>
        <v>#VALUE!</v>
      </c>
      <c r="Y35" s="637"/>
      <c r="Z35" s="550" t="s">
        <v>623</v>
      </c>
      <c r="AA35" s="420" t="s">
        <v>623</v>
      </c>
      <c r="AB35" s="420" t="s">
        <v>623</v>
      </c>
      <c r="AC35" s="550" t="e">
        <f t="shared" si="26"/>
        <v>#VALUE!</v>
      </c>
      <c r="AD35" s="637"/>
      <c r="AE35" s="550" t="s">
        <v>623</v>
      </c>
      <c r="AF35" s="420" t="s">
        <v>623</v>
      </c>
      <c r="AG35" s="420" t="s">
        <v>623</v>
      </c>
      <c r="AH35" s="550" t="e">
        <f t="shared" si="28"/>
        <v>#VALUE!</v>
      </c>
      <c r="AI35" s="637"/>
      <c r="AJ35" s="550" t="s">
        <v>623</v>
      </c>
      <c r="AK35" s="420" t="s">
        <v>623</v>
      </c>
      <c r="AL35" s="420" t="s">
        <v>623</v>
      </c>
      <c r="AM35" s="550" t="e">
        <f t="shared" si="30"/>
        <v>#VALUE!</v>
      </c>
      <c r="AN35" s="637"/>
      <c r="AO35" s="550" t="s">
        <v>623</v>
      </c>
      <c r="AP35" s="420" t="s">
        <v>623</v>
      </c>
      <c r="AQ35" s="420" t="s">
        <v>623</v>
      </c>
      <c r="AR35" s="550" t="e">
        <f t="shared" si="32"/>
        <v>#VALUE!</v>
      </c>
      <c r="AS35" s="637"/>
      <c r="AT35" s="550" t="s">
        <v>623</v>
      </c>
      <c r="AU35" s="420" t="s">
        <v>623</v>
      </c>
      <c r="AV35" s="420" t="s">
        <v>623</v>
      </c>
      <c r="AW35" s="550" t="e">
        <f t="shared" si="34"/>
        <v>#VALUE!</v>
      </c>
      <c r="AX35" s="637"/>
      <c r="AZ35" s="402" t="e">
        <f t="shared" si="36"/>
        <v>#N/A</v>
      </c>
      <c r="BA35" s="637"/>
    </row>
    <row r="36" spans="2:53">
      <c r="B36" s="635"/>
      <c r="C36" s="413">
        <v>10</v>
      </c>
      <c r="D36" s="225"/>
      <c r="E36" s="420"/>
      <c r="F36" s="500"/>
      <c r="G36" s="501"/>
      <c r="H36" s="678"/>
      <c r="I36" s="417" t="str">
        <f t="shared" si="19"/>
        <v>-</v>
      </c>
      <c r="J36" s="417" t="str">
        <f t="shared" si="20"/>
        <v>-</v>
      </c>
      <c r="K36" s="199" t="str">
        <f t="shared" si="21"/>
        <v>-</v>
      </c>
      <c r="L36" s="609"/>
      <c r="M36" s="423" t="e">
        <f>RANK(K36, K$24:$K$41)</f>
        <v>#VALUE!</v>
      </c>
      <c r="N36" s="627"/>
      <c r="O36" s="627"/>
      <c r="P36" s="550" t="s">
        <v>623</v>
      </c>
      <c r="Q36" s="420" t="s">
        <v>623</v>
      </c>
      <c r="R36" s="420" t="s">
        <v>623</v>
      </c>
      <c r="S36" s="550" t="e">
        <f t="shared" si="22"/>
        <v>#VALUE!</v>
      </c>
      <c r="T36" s="637"/>
      <c r="U36" s="550" t="s">
        <v>623</v>
      </c>
      <c r="V36" s="420" t="s">
        <v>623</v>
      </c>
      <c r="W36" s="420" t="s">
        <v>623</v>
      </c>
      <c r="X36" s="550" t="e">
        <f t="shared" si="24"/>
        <v>#VALUE!</v>
      </c>
      <c r="Y36" s="637"/>
      <c r="Z36" s="550" t="s">
        <v>623</v>
      </c>
      <c r="AA36" s="420" t="s">
        <v>623</v>
      </c>
      <c r="AB36" s="420" t="s">
        <v>623</v>
      </c>
      <c r="AC36" s="550" t="e">
        <f t="shared" si="26"/>
        <v>#VALUE!</v>
      </c>
      <c r="AD36" s="637"/>
      <c r="AE36" s="550" t="s">
        <v>623</v>
      </c>
      <c r="AF36" s="420" t="s">
        <v>623</v>
      </c>
      <c r="AG36" s="420" t="s">
        <v>623</v>
      </c>
      <c r="AH36" s="550" t="e">
        <f t="shared" si="28"/>
        <v>#VALUE!</v>
      </c>
      <c r="AI36" s="637"/>
      <c r="AJ36" s="550" t="s">
        <v>623</v>
      </c>
      <c r="AK36" s="420" t="s">
        <v>623</v>
      </c>
      <c r="AL36" s="420" t="s">
        <v>623</v>
      </c>
      <c r="AM36" s="550" t="e">
        <f t="shared" si="30"/>
        <v>#VALUE!</v>
      </c>
      <c r="AN36" s="637"/>
      <c r="AO36" s="550" t="s">
        <v>623</v>
      </c>
      <c r="AP36" s="420" t="s">
        <v>623</v>
      </c>
      <c r="AQ36" s="420" t="s">
        <v>623</v>
      </c>
      <c r="AR36" s="550" t="e">
        <f t="shared" si="32"/>
        <v>#VALUE!</v>
      </c>
      <c r="AS36" s="637"/>
      <c r="AT36" s="550" t="s">
        <v>623</v>
      </c>
      <c r="AU36" s="420" t="s">
        <v>623</v>
      </c>
      <c r="AV36" s="420" t="s">
        <v>623</v>
      </c>
      <c r="AW36" s="550" t="e">
        <f t="shared" si="34"/>
        <v>#VALUE!</v>
      </c>
      <c r="AX36" s="637"/>
      <c r="AZ36" s="402" t="e">
        <f t="shared" si="36"/>
        <v>#N/A</v>
      </c>
      <c r="BA36" s="637"/>
    </row>
    <row r="37" spans="2:53">
      <c r="B37" s="635"/>
      <c r="C37" s="413">
        <v>11</v>
      </c>
      <c r="D37" s="225"/>
      <c r="E37" s="420"/>
      <c r="F37" s="500"/>
      <c r="G37" s="501"/>
      <c r="H37" s="678"/>
      <c r="I37" s="417" t="str">
        <f t="shared" si="19"/>
        <v>-</v>
      </c>
      <c r="J37" s="417" t="str">
        <f t="shared" si="20"/>
        <v>-</v>
      </c>
      <c r="K37" s="199" t="str">
        <f t="shared" si="21"/>
        <v>-</v>
      </c>
      <c r="L37" s="609"/>
      <c r="M37" s="423" t="e">
        <f>RANK(K37, K$24:$K$41)</f>
        <v>#VALUE!</v>
      </c>
      <c r="N37" s="627"/>
      <c r="O37" s="627"/>
      <c r="P37" s="550" t="s">
        <v>623</v>
      </c>
      <c r="Q37" s="420" t="s">
        <v>623</v>
      </c>
      <c r="R37" s="420" t="s">
        <v>623</v>
      </c>
      <c r="S37" s="550" t="e">
        <f t="shared" si="22"/>
        <v>#VALUE!</v>
      </c>
      <c r="T37" s="637"/>
      <c r="U37" s="550" t="s">
        <v>623</v>
      </c>
      <c r="V37" s="420" t="s">
        <v>623</v>
      </c>
      <c r="W37" s="420" t="s">
        <v>623</v>
      </c>
      <c r="X37" s="550" t="e">
        <f t="shared" si="24"/>
        <v>#VALUE!</v>
      </c>
      <c r="Y37" s="637"/>
      <c r="Z37" s="550" t="s">
        <v>623</v>
      </c>
      <c r="AA37" s="420" t="s">
        <v>623</v>
      </c>
      <c r="AB37" s="420" t="s">
        <v>623</v>
      </c>
      <c r="AC37" s="550" t="e">
        <f t="shared" si="26"/>
        <v>#VALUE!</v>
      </c>
      <c r="AD37" s="637"/>
      <c r="AE37" s="550" t="s">
        <v>623</v>
      </c>
      <c r="AF37" s="420" t="s">
        <v>623</v>
      </c>
      <c r="AG37" s="420" t="s">
        <v>623</v>
      </c>
      <c r="AH37" s="550" t="e">
        <f t="shared" si="28"/>
        <v>#VALUE!</v>
      </c>
      <c r="AI37" s="637"/>
      <c r="AJ37" s="550" t="s">
        <v>623</v>
      </c>
      <c r="AK37" s="420" t="s">
        <v>623</v>
      </c>
      <c r="AL37" s="420" t="s">
        <v>623</v>
      </c>
      <c r="AM37" s="550" t="e">
        <f t="shared" si="30"/>
        <v>#VALUE!</v>
      </c>
      <c r="AN37" s="637"/>
      <c r="AO37" s="550" t="s">
        <v>623</v>
      </c>
      <c r="AP37" s="420" t="s">
        <v>623</v>
      </c>
      <c r="AQ37" s="420" t="s">
        <v>623</v>
      </c>
      <c r="AR37" s="550" t="e">
        <f t="shared" si="32"/>
        <v>#VALUE!</v>
      </c>
      <c r="AS37" s="637"/>
      <c r="AT37" s="550" t="s">
        <v>623</v>
      </c>
      <c r="AU37" s="420" t="s">
        <v>623</v>
      </c>
      <c r="AV37" s="420" t="s">
        <v>623</v>
      </c>
      <c r="AW37" s="550" t="e">
        <f t="shared" si="34"/>
        <v>#VALUE!</v>
      </c>
      <c r="AX37" s="637"/>
      <c r="AZ37" s="402" t="e">
        <f t="shared" si="36"/>
        <v>#N/A</v>
      </c>
      <c r="BA37" s="637"/>
    </row>
    <row r="38" spans="2:53">
      <c r="B38" s="635"/>
      <c r="C38" s="413">
        <v>12</v>
      </c>
      <c r="D38" s="225"/>
      <c r="E38" s="420"/>
      <c r="F38" s="500"/>
      <c r="G38" s="501"/>
      <c r="H38" s="678"/>
      <c r="I38" s="417" t="str">
        <f t="shared" si="19"/>
        <v>-</v>
      </c>
      <c r="J38" s="417" t="str">
        <f t="shared" si="20"/>
        <v>-</v>
      </c>
      <c r="K38" s="199" t="str">
        <f t="shared" si="21"/>
        <v>-</v>
      </c>
      <c r="L38" s="609"/>
      <c r="M38" s="423" t="e">
        <f>RANK(K38, K$24:$K$41)</f>
        <v>#VALUE!</v>
      </c>
      <c r="N38" s="627"/>
      <c r="O38" s="627"/>
      <c r="P38" s="550" t="s">
        <v>623</v>
      </c>
      <c r="Q38" s="420" t="s">
        <v>623</v>
      </c>
      <c r="R38" s="420" t="s">
        <v>623</v>
      </c>
      <c r="S38" s="550" t="e">
        <f t="shared" si="22"/>
        <v>#VALUE!</v>
      </c>
      <c r="T38" s="637"/>
      <c r="U38" s="550" t="s">
        <v>623</v>
      </c>
      <c r="V38" s="420" t="s">
        <v>623</v>
      </c>
      <c r="W38" s="420" t="s">
        <v>623</v>
      </c>
      <c r="X38" s="550" t="e">
        <f t="shared" si="24"/>
        <v>#VALUE!</v>
      </c>
      <c r="Y38" s="637"/>
      <c r="Z38" s="550" t="s">
        <v>623</v>
      </c>
      <c r="AA38" s="420" t="s">
        <v>623</v>
      </c>
      <c r="AB38" s="420" t="s">
        <v>623</v>
      </c>
      <c r="AC38" s="550" t="e">
        <f t="shared" si="26"/>
        <v>#VALUE!</v>
      </c>
      <c r="AD38" s="637"/>
      <c r="AE38" s="550" t="s">
        <v>623</v>
      </c>
      <c r="AF38" s="420" t="s">
        <v>623</v>
      </c>
      <c r="AG38" s="420" t="s">
        <v>623</v>
      </c>
      <c r="AH38" s="550" t="e">
        <f t="shared" si="28"/>
        <v>#VALUE!</v>
      </c>
      <c r="AI38" s="637"/>
      <c r="AJ38" s="550" t="s">
        <v>623</v>
      </c>
      <c r="AK38" s="420" t="s">
        <v>623</v>
      </c>
      <c r="AL38" s="420" t="s">
        <v>623</v>
      </c>
      <c r="AM38" s="550" t="e">
        <f t="shared" si="30"/>
        <v>#VALUE!</v>
      </c>
      <c r="AN38" s="637"/>
      <c r="AO38" s="550" t="s">
        <v>623</v>
      </c>
      <c r="AP38" s="420" t="s">
        <v>623</v>
      </c>
      <c r="AQ38" s="420" t="s">
        <v>623</v>
      </c>
      <c r="AR38" s="550" t="e">
        <f t="shared" si="32"/>
        <v>#VALUE!</v>
      </c>
      <c r="AS38" s="637"/>
      <c r="AT38" s="550" t="s">
        <v>623</v>
      </c>
      <c r="AU38" s="420" t="s">
        <v>623</v>
      </c>
      <c r="AV38" s="420" t="s">
        <v>623</v>
      </c>
      <c r="AW38" s="550" t="e">
        <f t="shared" si="34"/>
        <v>#VALUE!</v>
      </c>
      <c r="AX38" s="637"/>
      <c r="AZ38" s="402" t="e">
        <f t="shared" si="36"/>
        <v>#N/A</v>
      </c>
      <c r="BA38" s="637"/>
    </row>
    <row r="39" spans="2:53">
      <c r="B39" s="635"/>
      <c r="C39" s="413">
        <v>13</v>
      </c>
      <c r="D39" s="225"/>
      <c r="E39" s="420"/>
      <c r="F39" s="500"/>
      <c r="G39" s="501"/>
      <c r="H39" s="678"/>
      <c r="I39" s="417" t="str">
        <f t="shared" si="19"/>
        <v>-</v>
      </c>
      <c r="J39" s="417" t="str">
        <f t="shared" si="20"/>
        <v>-</v>
      </c>
      <c r="K39" s="199" t="str">
        <f t="shared" si="21"/>
        <v>-</v>
      </c>
      <c r="L39" s="609"/>
      <c r="M39" s="423" t="e">
        <f>RANK(K39, K$24:$K$41)</f>
        <v>#VALUE!</v>
      </c>
      <c r="N39" s="627"/>
      <c r="O39" s="627"/>
      <c r="P39" s="550" t="s">
        <v>623</v>
      </c>
      <c r="Q39" s="420" t="s">
        <v>623</v>
      </c>
      <c r="R39" s="420" t="s">
        <v>623</v>
      </c>
      <c r="S39" s="550" t="e">
        <f t="shared" si="22"/>
        <v>#VALUE!</v>
      </c>
      <c r="T39" s="637"/>
      <c r="U39" s="550" t="s">
        <v>623</v>
      </c>
      <c r="V39" s="420" t="s">
        <v>623</v>
      </c>
      <c r="W39" s="420" t="s">
        <v>623</v>
      </c>
      <c r="X39" s="550" t="e">
        <f t="shared" si="24"/>
        <v>#VALUE!</v>
      </c>
      <c r="Y39" s="637"/>
      <c r="Z39" s="550" t="s">
        <v>623</v>
      </c>
      <c r="AA39" s="420" t="s">
        <v>623</v>
      </c>
      <c r="AB39" s="420" t="s">
        <v>623</v>
      </c>
      <c r="AC39" s="550" t="e">
        <f t="shared" si="26"/>
        <v>#VALUE!</v>
      </c>
      <c r="AD39" s="637"/>
      <c r="AE39" s="550" t="s">
        <v>623</v>
      </c>
      <c r="AF39" s="420" t="s">
        <v>623</v>
      </c>
      <c r="AG39" s="420" t="s">
        <v>623</v>
      </c>
      <c r="AH39" s="550" t="e">
        <f t="shared" si="28"/>
        <v>#VALUE!</v>
      </c>
      <c r="AI39" s="637"/>
      <c r="AJ39" s="550" t="s">
        <v>623</v>
      </c>
      <c r="AK39" s="420" t="s">
        <v>623</v>
      </c>
      <c r="AL39" s="420" t="s">
        <v>623</v>
      </c>
      <c r="AM39" s="550" t="e">
        <f t="shared" si="30"/>
        <v>#VALUE!</v>
      </c>
      <c r="AN39" s="637"/>
      <c r="AO39" s="550" t="s">
        <v>623</v>
      </c>
      <c r="AP39" s="420" t="s">
        <v>623</v>
      </c>
      <c r="AQ39" s="420" t="s">
        <v>623</v>
      </c>
      <c r="AR39" s="550" t="e">
        <f t="shared" si="32"/>
        <v>#VALUE!</v>
      </c>
      <c r="AS39" s="637"/>
      <c r="AT39" s="550" t="s">
        <v>623</v>
      </c>
      <c r="AU39" s="420" t="s">
        <v>623</v>
      </c>
      <c r="AV39" s="420" t="s">
        <v>623</v>
      </c>
      <c r="AW39" s="550" t="e">
        <f t="shared" si="34"/>
        <v>#VALUE!</v>
      </c>
      <c r="AX39" s="637"/>
      <c r="AZ39" s="402" t="e">
        <f t="shared" si="36"/>
        <v>#N/A</v>
      </c>
      <c r="BA39" s="637"/>
    </row>
    <row r="40" spans="2:53">
      <c r="B40" s="635"/>
      <c r="C40" s="413">
        <v>14</v>
      </c>
      <c r="D40" s="225"/>
      <c r="E40" s="420"/>
      <c r="F40" s="500"/>
      <c r="G40" s="501"/>
      <c r="H40" s="678"/>
      <c r="I40" s="417" t="str">
        <f t="shared" si="19"/>
        <v>-</v>
      </c>
      <c r="J40" s="417" t="str">
        <f t="shared" si="20"/>
        <v>-</v>
      </c>
      <c r="K40" s="199" t="str">
        <f t="shared" si="21"/>
        <v>-</v>
      </c>
      <c r="L40" s="609"/>
      <c r="M40" s="423" t="e">
        <f>RANK(K40, K$24:$K$41)</f>
        <v>#VALUE!</v>
      </c>
      <c r="N40" s="627"/>
      <c r="O40" s="627"/>
      <c r="P40" s="550" t="s">
        <v>623</v>
      </c>
      <c r="Q40" s="420" t="s">
        <v>623</v>
      </c>
      <c r="R40" s="420" t="s">
        <v>623</v>
      </c>
      <c r="S40" s="550" t="e">
        <f t="shared" si="22"/>
        <v>#VALUE!</v>
      </c>
      <c r="T40" s="637"/>
      <c r="U40" s="550" t="s">
        <v>623</v>
      </c>
      <c r="V40" s="420" t="s">
        <v>623</v>
      </c>
      <c r="W40" s="420" t="s">
        <v>623</v>
      </c>
      <c r="X40" s="550" t="e">
        <f t="shared" si="24"/>
        <v>#VALUE!</v>
      </c>
      <c r="Y40" s="637"/>
      <c r="Z40" s="550" t="s">
        <v>623</v>
      </c>
      <c r="AA40" s="420" t="s">
        <v>623</v>
      </c>
      <c r="AB40" s="420" t="s">
        <v>623</v>
      </c>
      <c r="AC40" s="550" t="e">
        <f t="shared" si="26"/>
        <v>#VALUE!</v>
      </c>
      <c r="AD40" s="637"/>
      <c r="AE40" s="550" t="s">
        <v>623</v>
      </c>
      <c r="AF40" s="420" t="s">
        <v>623</v>
      </c>
      <c r="AG40" s="420" t="s">
        <v>623</v>
      </c>
      <c r="AH40" s="550" t="e">
        <f t="shared" si="28"/>
        <v>#VALUE!</v>
      </c>
      <c r="AI40" s="637"/>
      <c r="AJ40" s="550" t="s">
        <v>623</v>
      </c>
      <c r="AK40" s="420" t="s">
        <v>623</v>
      </c>
      <c r="AL40" s="420" t="s">
        <v>623</v>
      </c>
      <c r="AM40" s="550" t="e">
        <f t="shared" si="30"/>
        <v>#VALUE!</v>
      </c>
      <c r="AN40" s="637"/>
      <c r="AO40" s="550" t="s">
        <v>623</v>
      </c>
      <c r="AP40" s="420" t="s">
        <v>623</v>
      </c>
      <c r="AQ40" s="420" t="s">
        <v>623</v>
      </c>
      <c r="AR40" s="550" t="e">
        <f t="shared" si="32"/>
        <v>#VALUE!</v>
      </c>
      <c r="AS40" s="637"/>
      <c r="AT40" s="550" t="s">
        <v>623</v>
      </c>
      <c r="AU40" s="420" t="s">
        <v>623</v>
      </c>
      <c r="AV40" s="420" t="s">
        <v>623</v>
      </c>
      <c r="AW40" s="550" t="e">
        <f t="shared" si="34"/>
        <v>#VALUE!</v>
      </c>
      <c r="AX40" s="637"/>
      <c r="AZ40" s="402" t="e">
        <f t="shared" si="36"/>
        <v>#N/A</v>
      </c>
      <c r="BA40" s="637"/>
    </row>
    <row r="41" spans="2:53">
      <c r="B41" s="635"/>
      <c r="C41" s="413">
        <v>15</v>
      </c>
      <c r="D41" s="225"/>
      <c r="E41" s="420"/>
      <c r="F41" s="500"/>
      <c r="G41" s="501"/>
      <c r="H41" s="679"/>
      <c r="I41" s="201"/>
      <c r="J41" s="201"/>
      <c r="K41" s="201"/>
      <c r="L41" s="610"/>
      <c r="M41" s="422" t="e">
        <f>RANK(K41, K$24:$K$41)</f>
        <v>#N/A</v>
      </c>
      <c r="N41" s="627"/>
      <c r="O41" s="627"/>
      <c r="P41" s="550" t="s">
        <v>623</v>
      </c>
      <c r="Q41" s="420" t="s">
        <v>623</v>
      </c>
      <c r="R41" s="420" t="s">
        <v>623</v>
      </c>
      <c r="S41" s="550" t="e">
        <f t="shared" si="22"/>
        <v>#VALUE!</v>
      </c>
      <c r="T41" s="638"/>
      <c r="U41" s="550" t="s">
        <v>623</v>
      </c>
      <c r="V41" s="420" t="s">
        <v>623</v>
      </c>
      <c r="W41" s="420" t="s">
        <v>623</v>
      </c>
      <c r="X41" s="550" t="e">
        <f t="shared" si="24"/>
        <v>#VALUE!</v>
      </c>
      <c r="Y41" s="638"/>
      <c r="Z41" s="550" t="s">
        <v>623</v>
      </c>
      <c r="AA41" s="420" t="s">
        <v>623</v>
      </c>
      <c r="AB41" s="420" t="s">
        <v>623</v>
      </c>
      <c r="AC41" s="550" t="e">
        <f t="shared" si="26"/>
        <v>#VALUE!</v>
      </c>
      <c r="AD41" s="638"/>
      <c r="AE41" s="550" t="s">
        <v>623</v>
      </c>
      <c r="AF41" s="420" t="s">
        <v>623</v>
      </c>
      <c r="AG41" s="420" t="s">
        <v>623</v>
      </c>
      <c r="AH41" s="550" t="e">
        <f t="shared" si="28"/>
        <v>#VALUE!</v>
      </c>
      <c r="AI41" s="638"/>
      <c r="AJ41" s="550" t="s">
        <v>623</v>
      </c>
      <c r="AK41" s="420" t="s">
        <v>623</v>
      </c>
      <c r="AL41" s="420" t="s">
        <v>623</v>
      </c>
      <c r="AM41" s="550" t="e">
        <f t="shared" si="30"/>
        <v>#VALUE!</v>
      </c>
      <c r="AN41" s="638"/>
      <c r="AO41" s="550" t="s">
        <v>623</v>
      </c>
      <c r="AP41" s="420" t="s">
        <v>623</v>
      </c>
      <c r="AQ41" s="420" t="s">
        <v>623</v>
      </c>
      <c r="AR41" s="550" t="e">
        <f t="shared" si="32"/>
        <v>#VALUE!</v>
      </c>
      <c r="AS41" s="638"/>
      <c r="AT41" s="550" t="s">
        <v>623</v>
      </c>
      <c r="AU41" s="420" t="s">
        <v>623</v>
      </c>
      <c r="AV41" s="420" t="s">
        <v>623</v>
      </c>
      <c r="AW41" s="550" t="e">
        <f t="shared" si="34"/>
        <v>#VALUE!</v>
      </c>
      <c r="AX41" s="638"/>
      <c r="AZ41" s="402" t="e">
        <f t="shared" si="36"/>
        <v>#N/A</v>
      </c>
      <c r="BA41" s="638"/>
    </row>
    <row r="42" spans="2:53" ht="15.75">
      <c r="B42" s="653" t="s">
        <v>163</v>
      </c>
      <c r="C42" s="654"/>
      <c r="D42" s="654"/>
      <c r="E42" s="654"/>
      <c r="F42" s="654"/>
      <c r="G42" s="654"/>
      <c r="H42" s="654"/>
      <c r="I42" s="207"/>
      <c r="J42" s="202"/>
      <c r="K42" s="207"/>
      <c r="L42" s="207"/>
      <c r="M42" s="203"/>
      <c r="N42" s="628" t="s">
        <v>156</v>
      </c>
      <c r="O42" s="628" t="s">
        <v>105</v>
      </c>
      <c r="P42" s="634">
        <f>P22+7</f>
        <v>46182</v>
      </c>
      <c r="Q42" s="635"/>
      <c r="R42" s="635"/>
      <c r="S42" s="635"/>
      <c r="T42" s="635"/>
      <c r="U42" s="631">
        <f>P42+1</f>
        <v>46183</v>
      </c>
      <c r="V42" s="632"/>
      <c r="W42" s="632"/>
      <c r="X42" s="632"/>
      <c r="Y42" s="633"/>
      <c r="Z42" s="631">
        <f>U42+1</f>
        <v>46184</v>
      </c>
      <c r="AA42" s="632"/>
      <c r="AB42" s="632"/>
      <c r="AC42" s="632"/>
      <c r="AD42" s="633"/>
      <c r="AE42" s="631">
        <f>Z42+1</f>
        <v>46185</v>
      </c>
      <c r="AF42" s="632"/>
      <c r="AG42" s="632"/>
      <c r="AH42" s="632"/>
      <c r="AI42" s="633"/>
      <c r="AJ42" s="631">
        <f>AE42+1</f>
        <v>46186</v>
      </c>
      <c r="AK42" s="632"/>
      <c r="AL42" s="632"/>
      <c r="AM42" s="632"/>
      <c r="AN42" s="633"/>
      <c r="AO42" s="631">
        <f>AJ42+1</f>
        <v>46187</v>
      </c>
      <c r="AP42" s="632"/>
      <c r="AQ42" s="632"/>
      <c r="AR42" s="632"/>
      <c r="AS42" s="633"/>
      <c r="AT42" s="631">
        <f>AO42+1</f>
        <v>46188</v>
      </c>
      <c r="AU42" s="632"/>
      <c r="AV42" s="632"/>
      <c r="AW42" s="632"/>
      <c r="AX42" s="633"/>
    </row>
    <row r="43" spans="2:53" ht="15.75">
      <c r="B43" s="642"/>
      <c r="C43" s="642"/>
      <c r="D43" s="642"/>
      <c r="E43" s="642"/>
      <c r="F43" s="642"/>
      <c r="G43" s="642"/>
      <c r="H43" s="642"/>
      <c r="I43" s="204"/>
      <c r="J43" s="204"/>
      <c r="K43" s="204"/>
      <c r="L43" s="204"/>
      <c r="M43" s="205"/>
      <c r="N43" s="630"/>
      <c r="O43" s="630"/>
      <c r="P43" s="634" t="s">
        <v>318</v>
      </c>
      <c r="Q43" s="635"/>
      <c r="R43" s="635"/>
      <c r="S43" s="635"/>
      <c r="T43" s="635"/>
      <c r="U43" s="634" t="s">
        <v>319</v>
      </c>
      <c r="V43" s="635"/>
      <c r="W43" s="635"/>
      <c r="X43" s="635"/>
      <c r="Y43" s="635"/>
      <c r="Z43" s="634" t="s">
        <v>320</v>
      </c>
      <c r="AA43" s="635"/>
      <c r="AB43" s="635"/>
      <c r="AC43" s="635"/>
      <c r="AD43" s="635"/>
      <c r="AE43" s="634" t="s">
        <v>321</v>
      </c>
      <c r="AF43" s="635"/>
      <c r="AG43" s="635"/>
      <c r="AH43" s="635"/>
      <c r="AI43" s="635"/>
      <c r="AJ43" s="634" t="s">
        <v>322</v>
      </c>
      <c r="AK43" s="635"/>
      <c r="AL43" s="635"/>
      <c r="AM43" s="635"/>
      <c r="AN43" s="635"/>
      <c r="AO43" s="634" t="s">
        <v>323</v>
      </c>
      <c r="AP43" s="635"/>
      <c r="AQ43" s="635"/>
      <c r="AR43" s="635"/>
      <c r="AS43" s="635"/>
      <c r="AT43" s="634" t="s">
        <v>324</v>
      </c>
      <c r="AU43" s="635"/>
      <c r="AV43" s="635"/>
      <c r="AW43" s="635"/>
      <c r="AX43" s="635"/>
    </row>
    <row r="44" spans="2:53">
      <c r="B44" s="627" t="s">
        <v>465</v>
      </c>
      <c r="C44" s="627" t="s">
        <v>384</v>
      </c>
      <c r="D44" s="627"/>
      <c r="E44" s="627" t="s">
        <v>375</v>
      </c>
      <c r="F44" s="627"/>
      <c r="G44" s="627"/>
      <c r="H44" s="643" t="s">
        <v>371</v>
      </c>
      <c r="I44" s="611" t="s">
        <v>376</v>
      </c>
      <c r="J44" s="611"/>
      <c r="K44" s="611"/>
      <c r="L44" s="612" t="s">
        <v>371</v>
      </c>
      <c r="M44" s="618" t="s">
        <v>372</v>
      </c>
      <c r="N44" s="627"/>
      <c r="O44" s="627" t="s">
        <v>377</v>
      </c>
      <c r="P44" s="624" t="s">
        <v>373</v>
      </c>
      <c r="Q44" s="625"/>
      <c r="R44" s="625"/>
      <c r="S44" s="626"/>
      <c r="T44" s="627" t="s">
        <v>371</v>
      </c>
      <c r="U44" s="624" t="s">
        <v>373</v>
      </c>
      <c r="V44" s="625"/>
      <c r="W44" s="625"/>
      <c r="X44" s="626"/>
      <c r="Y44" s="627" t="s">
        <v>371</v>
      </c>
      <c r="Z44" s="624" t="s">
        <v>373</v>
      </c>
      <c r="AA44" s="625"/>
      <c r="AB44" s="625"/>
      <c r="AC44" s="626"/>
      <c r="AD44" s="627" t="s">
        <v>371</v>
      </c>
      <c r="AE44" s="624" t="s">
        <v>373</v>
      </c>
      <c r="AF44" s="625"/>
      <c r="AG44" s="625"/>
      <c r="AH44" s="626"/>
      <c r="AI44" s="627" t="s">
        <v>371</v>
      </c>
      <c r="AJ44" s="624" t="s">
        <v>373</v>
      </c>
      <c r="AK44" s="625"/>
      <c r="AL44" s="625"/>
      <c r="AM44" s="626"/>
      <c r="AN44" s="627" t="s">
        <v>371</v>
      </c>
      <c r="AO44" s="624" t="s">
        <v>373</v>
      </c>
      <c r="AP44" s="625"/>
      <c r="AQ44" s="625"/>
      <c r="AR44" s="626"/>
      <c r="AS44" s="627" t="s">
        <v>371</v>
      </c>
      <c r="AT44" s="624" t="s">
        <v>373</v>
      </c>
      <c r="AU44" s="625"/>
      <c r="AV44" s="625"/>
      <c r="AW44" s="626"/>
      <c r="AX44" s="627" t="s">
        <v>371</v>
      </c>
      <c r="BA44" s="627" t="s">
        <v>371</v>
      </c>
    </row>
    <row r="45" spans="2:53">
      <c r="B45" s="627"/>
      <c r="C45" s="627"/>
      <c r="D45" s="627"/>
      <c r="E45" s="627" t="s">
        <v>378</v>
      </c>
      <c r="F45" s="627"/>
      <c r="G45" s="627"/>
      <c r="H45" s="644"/>
      <c r="I45" s="611" t="s">
        <v>378</v>
      </c>
      <c r="J45" s="611"/>
      <c r="K45" s="611"/>
      <c r="L45" s="613"/>
      <c r="M45" s="619"/>
      <c r="N45" s="627"/>
      <c r="O45" s="627"/>
      <c r="P45" s="624" t="s">
        <v>379</v>
      </c>
      <c r="Q45" s="625"/>
      <c r="R45" s="625"/>
      <c r="S45" s="626"/>
      <c r="T45" s="627"/>
      <c r="U45" s="624" t="s">
        <v>379</v>
      </c>
      <c r="V45" s="625"/>
      <c r="W45" s="625"/>
      <c r="X45" s="626"/>
      <c r="Y45" s="627"/>
      <c r="Z45" s="624" t="s">
        <v>379</v>
      </c>
      <c r="AA45" s="625"/>
      <c r="AB45" s="625"/>
      <c r="AC45" s="626"/>
      <c r="AD45" s="627"/>
      <c r="AE45" s="624" t="s">
        <v>379</v>
      </c>
      <c r="AF45" s="625"/>
      <c r="AG45" s="625"/>
      <c r="AH45" s="626"/>
      <c r="AI45" s="627"/>
      <c r="AJ45" s="624" t="s">
        <v>379</v>
      </c>
      <c r="AK45" s="625"/>
      <c r="AL45" s="625"/>
      <c r="AM45" s="626"/>
      <c r="AN45" s="627"/>
      <c r="AO45" s="624" t="s">
        <v>379</v>
      </c>
      <c r="AP45" s="625"/>
      <c r="AQ45" s="625"/>
      <c r="AR45" s="626"/>
      <c r="AS45" s="627"/>
      <c r="AT45" s="624" t="s">
        <v>379</v>
      </c>
      <c r="AU45" s="625"/>
      <c r="AV45" s="625"/>
      <c r="AW45" s="626"/>
      <c r="AX45" s="627"/>
      <c r="BA45" s="627"/>
    </row>
    <row r="46" spans="2:53">
      <c r="B46" s="627"/>
      <c r="C46" s="627"/>
      <c r="D46" s="627"/>
      <c r="E46" s="412" t="s">
        <v>380</v>
      </c>
      <c r="F46" s="412" t="s">
        <v>381</v>
      </c>
      <c r="G46" s="412" t="s">
        <v>382</v>
      </c>
      <c r="H46" s="645"/>
      <c r="I46" s="411" t="s">
        <v>380</v>
      </c>
      <c r="J46" s="411" t="s">
        <v>381</v>
      </c>
      <c r="K46" s="411" t="s">
        <v>382</v>
      </c>
      <c r="L46" s="614"/>
      <c r="M46" s="620"/>
      <c r="N46" s="627"/>
      <c r="O46" s="627"/>
      <c r="P46" s="412" t="s">
        <v>380</v>
      </c>
      <c r="Q46" s="412" t="s">
        <v>381</v>
      </c>
      <c r="R46" s="412" t="s">
        <v>382</v>
      </c>
      <c r="S46" s="412" t="s">
        <v>372</v>
      </c>
      <c r="T46" s="627"/>
      <c r="U46" s="412" t="s">
        <v>380</v>
      </c>
      <c r="V46" s="412" t="s">
        <v>381</v>
      </c>
      <c r="W46" s="412" t="s">
        <v>382</v>
      </c>
      <c r="X46" s="412" t="s">
        <v>372</v>
      </c>
      <c r="Y46" s="627"/>
      <c r="Z46" s="412" t="s">
        <v>380</v>
      </c>
      <c r="AA46" s="412" t="s">
        <v>381</v>
      </c>
      <c r="AB46" s="412" t="s">
        <v>382</v>
      </c>
      <c r="AC46" s="412" t="s">
        <v>372</v>
      </c>
      <c r="AD46" s="627"/>
      <c r="AE46" s="412" t="s">
        <v>380</v>
      </c>
      <c r="AF46" s="412" t="s">
        <v>381</v>
      </c>
      <c r="AG46" s="412" t="s">
        <v>382</v>
      </c>
      <c r="AH46" s="412" t="s">
        <v>372</v>
      </c>
      <c r="AI46" s="627"/>
      <c r="AJ46" s="412" t="s">
        <v>380</v>
      </c>
      <c r="AK46" s="412" t="s">
        <v>381</v>
      </c>
      <c r="AL46" s="412" t="s">
        <v>382</v>
      </c>
      <c r="AM46" s="412" t="s">
        <v>372</v>
      </c>
      <c r="AN46" s="627"/>
      <c r="AO46" s="412" t="s">
        <v>380</v>
      </c>
      <c r="AP46" s="412" t="s">
        <v>381</v>
      </c>
      <c r="AQ46" s="412" t="s">
        <v>382</v>
      </c>
      <c r="AR46" s="412" t="s">
        <v>372</v>
      </c>
      <c r="AS46" s="627"/>
      <c r="AT46" s="412" t="s">
        <v>380</v>
      </c>
      <c r="AU46" s="412" t="s">
        <v>381</v>
      </c>
      <c r="AV46" s="412" t="s">
        <v>382</v>
      </c>
      <c r="AW46" s="412" t="s">
        <v>372</v>
      </c>
      <c r="AX46" s="627"/>
      <c r="AZ46" s="401" t="s">
        <v>372</v>
      </c>
      <c r="BA46" s="627"/>
    </row>
    <row r="47" spans="2:53">
      <c r="B47" s="627" t="s">
        <v>478</v>
      </c>
      <c r="C47" s="413">
        <v>1</v>
      </c>
      <c r="D47" s="225"/>
      <c r="E47" s="420"/>
      <c r="F47" s="500"/>
      <c r="G47" s="501"/>
      <c r="H47" s="677" t="e">
        <f>AVERAGE(G47:G61)</f>
        <v>#DIV/0!</v>
      </c>
      <c r="I47" s="417" t="str">
        <f t="shared" ref="I47:I60" si="38">IFERROR(AVERAGE(P47,U47,Z47,AE47,AJ47,AO47,AT47),"-")</f>
        <v>-</v>
      </c>
      <c r="J47" s="417" t="str">
        <f t="shared" ref="J47:J60" si="39">IFERROR(AVERAGE(Q47,V47,AA47,AF47,AK47,AP47,AU47),"-")</f>
        <v>-</v>
      </c>
      <c r="K47" s="199" t="str">
        <f t="shared" ref="K47:K60" si="40">IFERROR(AVERAGE(R47,W47,AB47,AG47,AL47,AQ47,AV47),"-")</f>
        <v>-</v>
      </c>
      <c r="L47" s="608" t="str">
        <f>IFERROR(AVERAGE(K47:K61),"-")</f>
        <v>-</v>
      </c>
      <c r="M47" s="419" t="e">
        <f>RANK(K47, K$47:$K$61)</f>
        <v>#VALUE!</v>
      </c>
      <c r="N47" s="627"/>
      <c r="O47" s="627"/>
      <c r="P47" s="483"/>
      <c r="Q47" s="420"/>
      <c r="R47" s="420"/>
      <c r="S47" s="483"/>
      <c r="T47" s="636"/>
      <c r="U47" s="483"/>
      <c r="V47" s="420"/>
      <c r="W47" s="420"/>
      <c r="X47" s="483"/>
      <c r="Y47" s="636"/>
      <c r="Z47" s="483"/>
      <c r="AA47" s="420"/>
      <c r="AB47" s="420"/>
      <c r="AC47" s="483"/>
      <c r="AD47" s="636"/>
      <c r="AE47" s="483"/>
      <c r="AF47" s="420"/>
      <c r="AG47" s="420"/>
      <c r="AH47" s="483"/>
      <c r="AI47" s="636"/>
      <c r="AJ47" s="483"/>
      <c r="AK47" s="420"/>
      <c r="AL47" s="420"/>
      <c r="AM47" s="483"/>
      <c r="AN47" s="636"/>
      <c r="AO47" s="483"/>
      <c r="AP47" s="420"/>
      <c r="AQ47" s="420"/>
      <c r="AR47" s="483"/>
      <c r="AS47" s="636"/>
      <c r="AT47" s="483"/>
      <c r="AU47" s="420"/>
      <c r="AV47" s="420"/>
      <c r="AW47" s="483"/>
      <c r="AX47" s="636"/>
      <c r="AZ47" s="402" t="e">
        <f t="shared" ref="AZ47:AZ61" si="41">RANK(AY47, AY$47:AY$61)</f>
        <v>#N/A</v>
      </c>
      <c r="BA47" s="636" t="e">
        <f t="shared" ref="BA47" si="42">AVERAGE(AY47:AY61)</f>
        <v>#DIV/0!</v>
      </c>
    </row>
    <row r="48" spans="2:53">
      <c r="B48" s="635"/>
      <c r="C48" s="413">
        <v>2</v>
      </c>
      <c r="D48" s="225"/>
      <c r="E48" s="420"/>
      <c r="F48" s="500"/>
      <c r="G48" s="501"/>
      <c r="H48" s="678"/>
      <c r="I48" s="417" t="str">
        <f t="shared" si="38"/>
        <v>-</v>
      </c>
      <c r="J48" s="417" t="str">
        <f t="shared" si="39"/>
        <v>-</v>
      </c>
      <c r="K48" s="199" t="str">
        <f t="shared" si="40"/>
        <v>-</v>
      </c>
      <c r="L48" s="609"/>
      <c r="M48" s="485" t="e">
        <f>RANK(K48, K$47:$K$61)</f>
        <v>#VALUE!</v>
      </c>
      <c r="N48" s="627"/>
      <c r="O48" s="627"/>
      <c r="P48" s="483"/>
      <c r="Q48" s="420"/>
      <c r="R48" s="420"/>
      <c r="S48" s="483"/>
      <c r="T48" s="637"/>
      <c r="U48" s="483"/>
      <c r="V48" s="420"/>
      <c r="W48" s="420"/>
      <c r="X48" s="483"/>
      <c r="Y48" s="637"/>
      <c r="Z48" s="483"/>
      <c r="AA48" s="420"/>
      <c r="AB48" s="420"/>
      <c r="AC48" s="483"/>
      <c r="AD48" s="637"/>
      <c r="AE48" s="483"/>
      <c r="AF48" s="420"/>
      <c r="AG48" s="420"/>
      <c r="AH48" s="483"/>
      <c r="AI48" s="637"/>
      <c r="AJ48" s="483"/>
      <c r="AK48" s="420"/>
      <c r="AL48" s="420"/>
      <c r="AM48" s="483"/>
      <c r="AN48" s="637"/>
      <c r="AO48" s="483"/>
      <c r="AP48" s="420"/>
      <c r="AQ48" s="420"/>
      <c r="AR48" s="483"/>
      <c r="AS48" s="637"/>
      <c r="AT48" s="483"/>
      <c r="AU48" s="420"/>
      <c r="AV48" s="420"/>
      <c r="AW48" s="483"/>
      <c r="AX48" s="637"/>
      <c r="AZ48" s="402" t="e">
        <f t="shared" si="41"/>
        <v>#N/A</v>
      </c>
      <c r="BA48" s="637"/>
    </row>
    <row r="49" spans="2:53">
      <c r="B49" s="635"/>
      <c r="C49" s="413">
        <v>3</v>
      </c>
      <c r="D49" s="225"/>
      <c r="E49" s="420"/>
      <c r="F49" s="500"/>
      <c r="G49" s="501"/>
      <c r="H49" s="678"/>
      <c r="I49" s="417" t="str">
        <f t="shared" si="38"/>
        <v>-</v>
      </c>
      <c r="J49" s="417" t="str">
        <f t="shared" si="39"/>
        <v>-</v>
      </c>
      <c r="K49" s="199" t="str">
        <f t="shared" si="40"/>
        <v>-</v>
      </c>
      <c r="L49" s="609"/>
      <c r="M49" s="485" t="e">
        <f>RANK(K49, K$47:$K$61)</f>
        <v>#VALUE!</v>
      </c>
      <c r="N49" s="627"/>
      <c r="O49" s="627"/>
      <c r="P49" s="483"/>
      <c r="Q49" s="420"/>
      <c r="R49" s="420"/>
      <c r="S49" s="483"/>
      <c r="T49" s="637"/>
      <c r="U49" s="483"/>
      <c r="V49" s="420"/>
      <c r="W49" s="420"/>
      <c r="X49" s="483"/>
      <c r="Y49" s="637"/>
      <c r="Z49" s="483"/>
      <c r="AA49" s="420"/>
      <c r="AB49" s="420"/>
      <c r="AC49" s="483"/>
      <c r="AD49" s="637"/>
      <c r="AE49" s="483"/>
      <c r="AF49" s="420"/>
      <c r="AG49" s="420"/>
      <c r="AH49" s="483"/>
      <c r="AI49" s="637"/>
      <c r="AJ49" s="483"/>
      <c r="AK49" s="420"/>
      <c r="AL49" s="420"/>
      <c r="AM49" s="483"/>
      <c r="AN49" s="637"/>
      <c r="AO49" s="483"/>
      <c r="AP49" s="420"/>
      <c r="AQ49" s="420"/>
      <c r="AR49" s="483"/>
      <c r="AS49" s="637"/>
      <c r="AT49" s="483"/>
      <c r="AU49" s="420"/>
      <c r="AV49" s="420"/>
      <c r="AW49" s="483"/>
      <c r="AX49" s="637"/>
      <c r="AZ49" s="402" t="e">
        <f t="shared" si="41"/>
        <v>#N/A</v>
      </c>
      <c r="BA49" s="637"/>
    </row>
    <row r="50" spans="2:53">
      <c r="B50" s="635"/>
      <c r="C50" s="413">
        <v>4</v>
      </c>
      <c r="D50" s="225"/>
      <c r="E50" s="420"/>
      <c r="F50" s="500"/>
      <c r="G50" s="501"/>
      <c r="H50" s="678"/>
      <c r="I50" s="417" t="str">
        <f t="shared" si="38"/>
        <v>-</v>
      </c>
      <c r="J50" s="417" t="str">
        <f t="shared" si="39"/>
        <v>-</v>
      </c>
      <c r="K50" s="199" t="str">
        <f t="shared" si="40"/>
        <v>-</v>
      </c>
      <c r="L50" s="609"/>
      <c r="M50" s="485" t="e">
        <f>RANK(K50, K$47:$K$61)</f>
        <v>#VALUE!</v>
      </c>
      <c r="N50" s="627"/>
      <c r="O50" s="627"/>
      <c r="P50" s="483"/>
      <c r="Q50" s="420"/>
      <c r="R50" s="420"/>
      <c r="S50" s="483"/>
      <c r="T50" s="637"/>
      <c r="U50" s="483"/>
      <c r="V50" s="483"/>
      <c r="W50" s="483"/>
      <c r="X50" s="483"/>
      <c r="Y50" s="637"/>
      <c r="Z50" s="483"/>
      <c r="AA50" s="483"/>
      <c r="AB50" s="483"/>
      <c r="AC50" s="483"/>
      <c r="AD50" s="637"/>
      <c r="AE50" s="483"/>
      <c r="AF50" s="483"/>
      <c r="AG50" s="483"/>
      <c r="AH50" s="483"/>
      <c r="AI50" s="637"/>
      <c r="AJ50" s="483"/>
      <c r="AK50" s="483"/>
      <c r="AL50" s="483"/>
      <c r="AM50" s="483"/>
      <c r="AN50" s="637"/>
      <c r="AO50" s="483"/>
      <c r="AP50" s="483"/>
      <c r="AQ50" s="483"/>
      <c r="AR50" s="483"/>
      <c r="AS50" s="637"/>
      <c r="AT50" s="483"/>
      <c r="AU50" s="483"/>
      <c r="AV50" s="483"/>
      <c r="AW50" s="483"/>
      <c r="AX50" s="637"/>
      <c r="AZ50" s="402" t="e">
        <f t="shared" si="41"/>
        <v>#N/A</v>
      </c>
      <c r="BA50" s="637"/>
    </row>
    <row r="51" spans="2:53">
      <c r="B51" s="635"/>
      <c r="C51" s="413">
        <v>5</v>
      </c>
      <c r="D51" s="225"/>
      <c r="E51" s="420"/>
      <c r="F51" s="500"/>
      <c r="G51" s="501"/>
      <c r="H51" s="678"/>
      <c r="I51" s="417" t="str">
        <f t="shared" si="38"/>
        <v>-</v>
      </c>
      <c r="J51" s="417" t="str">
        <f t="shared" si="39"/>
        <v>-</v>
      </c>
      <c r="K51" s="199" t="str">
        <f t="shared" si="40"/>
        <v>-</v>
      </c>
      <c r="L51" s="609"/>
      <c r="M51" s="485" t="e">
        <f>RANK(K51, K$47:$K$61)</f>
        <v>#VALUE!</v>
      </c>
      <c r="N51" s="627"/>
      <c r="O51" s="627"/>
      <c r="P51" s="483"/>
      <c r="Q51" s="420"/>
      <c r="R51" s="420"/>
      <c r="S51" s="483"/>
      <c r="T51" s="637"/>
      <c r="U51" s="483"/>
      <c r="V51" s="483"/>
      <c r="W51" s="483"/>
      <c r="X51" s="483"/>
      <c r="Y51" s="637"/>
      <c r="Z51" s="483"/>
      <c r="AA51" s="483"/>
      <c r="AB51" s="483"/>
      <c r="AC51" s="483"/>
      <c r="AD51" s="637"/>
      <c r="AE51" s="483"/>
      <c r="AF51" s="483"/>
      <c r="AG51" s="483"/>
      <c r="AH51" s="483"/>
      <c r="AI51" s="637"/>
      <c r="AJ51" s="483"/>
      <c r="AK51" s="483"/>
      <c r="AL51" s="483"/>
      <c r="AM51" s="483"/>
      <c r="AN51" s="637"/>
      <c r="AO51" s="483"/>
      <c r="AP51" s="483"/>
      <c r="AQ51" s="483"/>
      <c r="AR51" s="483"/>
      <c r="AS51" s="637"/>
      <c r="AT51" s="483"/>
      <c r="AU51" s="483"/>
      <c r="AV51" s="483"/>
      <c r="AW51" s="483"/>
      <c r="AX51" s="637"/>
      <c r="AZ51" s="402" t="e">
        <f t="shared" si="41"/>
        <v>#N/A</v>
      </c>
      <c r="BA51" s="637"/>
    </row>
    <row r="52" spans="2:53">
      <c r="B52" s="635"/>
      <c r="C52" s="413">
        <v>6</v>
      </c>
      <c r="D52" s="225"/>
      <c r="E52" s="420"/>
      <c r="F52" s="500"/>
      <c r="G52" s="501"/>
      <c r="H52" s="678"/>
      <c r="I52" s="417" t="str">
        <f t="shared" si="38"/>
        <v>-</v>
      </c>
      <c r="J52" s="417" t="str">
        <f t="shared" si="39"/>
        <v>-</v>
      </c>
      <c r="K52" s="199" t="str">
        <f t="shared" si="40"/>
        <v>-</v>
      </c>
      <c r="L52" s="609"/>
      <c r="M52" s="485" t="e">
        <f>RANK(K52, K$47:$K$61)</f>
        <v>#VALUE!</v>
      </c>
      <c r="N52" s="627"/>
      <c r="O52" s="627"/>
      <c r="P52" s="483"/>
      <c r="Q52" s="420"/>
      <c r="R52" s="420"/>
      <c r="S52" s="483"/>
      <c r="T52" s="637"/>
      <c r="U52" s="483"/>
      <c r="V52" s="483"/>
      <c r="W52" s="483"/>
      <c r="X52" s="483"/>
      <c r="Y52" s="637"/>
      <c r="Z52" s="483"/>
      <c r="AA52" s="483"/>
      <c r="AB52" s="483"/>
      <c r="AC52" s="483"/>
      <c r="AD52" s="637"/>
      <c r="AE52" s="483"/>
      <c r="AF52" s="483"/>
      <c r="AG52" s="483"/>
      <c r="AH52" s="483"/>
      <c r="AI52" s="637"/>
      <c r="AJ52" s="483"/>
      <c r="AK52" s="483"/>
      <c r="AL52" s="483"/>
      <c r="AM52" s="483"/>
      <c r="AN52" s="637"/>
      <c r="AO52" s="483"/>
      <c r="AP52" s="483"/>
      <c r="AQ52" s="483"/>
      <c r="AR52" s="483"/>
      <c r="AS52" s="637"/>
      <c r="AT52" s="483"/>
      <c r="AU52" s="483"/>
      <c r="AV52" s="483"/>
      <c r="AW52" s="483"/>
      <c r="AX52" s="637"/>
      <c r="AZ52" s="402" t="e">
        <f t="shared" si="41"/>
        <v>#N/A</v>
      </c>
      <c r="BA52" s="637"/>
    </row>
    <row r="53" spans="2:53">
      <c r="B53" s="635"/>
      <c r="C53" s="413">
        <v>7</v>
      </c>
      <c r="D53" s="225"/>
      <c r="E53" s="420"/>
      <c r="F53" s="500"/>
      <c r="G53" s="501"/>
      <c r="H53" s="678"/>
      <c r="I53" s="417" t="str">
        <f t="shared" si="38"/>
        <v>-</v>
      </c>
      <c r="J53" s="417" t="str">
        <f t="shared" si="39"/>
        <v>-</v>
      </c>
      <c r="K53" s="199" t="str">
        <f t="shared" si="40"/>
        <v>-</v>
      </c>
      <c r="L53" s="609"/>
      <c r="M53" s="485" t="e">
        <f>RANK(K53, K$47:$K$61)</f>
        <v>#VALUE!</v>
      </c>
      <c r="N53" s="627"/>
      <c r="O53" s="627"/>
      <c r="P53" s="483"/>
      <c r="Q53" s="420"/>
      <c r="R53" s="420"/>
      <c r="S53" s="483"/>
      <c r="T53" s="637"/>
      <c r="U53" s="483"/>
      <c r="V53" s="483"/>
      <c r="W53" s="483"/>
      <c r="X53" s="483"/>
      <c r="Y53" s="637"/>
      <c r="Z53" s="483"/>
      <c r="AA53" s="483"/>
      <c r="AB53" s="483"/>
      <c r="AC53" s="483"/>
      <c r="AD53" s="637"/>
      <c r="AE53" s="483"/>
      <c r="AF53" s="483"/>
      <c r="AG53" s="483"/>
      <c r="AH53" s="483"/>
      <c r="AI53" s="637"/>
      <c r="AJ53" s="483"/>
      <c r="AK53" s="483"/>
      <c r="AL53" s="483"/>
      <c r="AM53" s="483"/>
      <c r="AN53" s="637"/>
      <c r="AO53" s="483"/>
      <c r="AP53" s="483"/>
      <c r="AQ53" s="483"/>
      <c r="AR53" s="483"/>
      <c r="AS53" s="637"/>
      <c r="AT53" s="483"/>
      <c r="AU53" s="483"/>
      <c r="AV53" s="483"/>
      <c r="AW53" s="483"/>
      <c r="AX53" s="637"/>
      <c r="AZ53" s="402" t="e">
        <f t="shared" si="41"/>
        <v>#N/A</v>
      </c>
      <c r="BA53" s="637"/>
    </row>
    <row r="54" spans="2:53">
      <c r="B54" s="635"/>
      <c r="C54" s="413">
        <v>8</v>
      </c>
      <c r="D54" s="225"/>
      <c r="E54" s="420"/>
      <c r="F54" s="500"/>
      <c r="G54" s="501"/>
      <c r="H54" s="678"/>
      <c r="I54" s="417" t="str">
        <f t="shared" si="38"/>
        <v>-</v>
      </c>
      <c r="J54" s="417" t="str">
        <f t="shared" si="39"/>
        <v>-</v>
      </c>
      <c r="K54" s="199" t="str">
        <f t="shared" si="40"/>
        <v>-</v>
      </c>
      <c r="L54" s="609"/>
      <c r="M54" s="485" t="e">
        <f>RANK(K54, K$47:$K$61)</f>
        <v>#VALUE!</v>
      </c>
      <c r="N54" s="627"/>
      <c r="O54" s="627"/>
      <c r="P54" s="483"/>
      <c r="Q54" s="420"/>
      <c r="R54" s="420"/>
      <c r="S54" s="483"/>
      <c r="T54" s="637"/>
      <c r="U54" s="483"/>
      <c r="V54" s="483"/>
      <c r="W54" s="483"/>
      <c r="X54" s="483"/>
      <c r="Y54" s="637"/>
      <c r="Z54" s="483"/>
      <c r="AA54" s="483"/>
      <c r="AB54" s="483"/>
      <c r="AC54" s="483"/>
      <c r="AD54" s="637"/>
      <c r="AE54" s="483"/>
      <c r="AF54" s="483"/>
      <c r="AG54" s="483"/>
      <c r="AH54" s="483"/>
      <c r="AI54" s="637"/>
      <c r="AJ54" s="483"/>
      <c r="AK54" s="483"/>
      <c r="AL54" s="483"/>
      <c r="AM54" s="483"/>
      <c r="AN54" s="637"/>
      <c r="AO54" s="483"/>
      <c r="AP54" s="483"/>
      <c r="AQ54" s="483"/>
      <c r="AR54" s="483"/>
      <c r="AS54" s="637"/>
      <c r="AT54" s="483"/>
      <c r="AU54" s="483"/>
      <c r="AV54" s="483"/>
      <c r="AW54" s="483"/>
      <c r="AX54" s="637"/>
      <c r="AZ54" s="402" t="e">
        <f t="shared" si="41"/>
        <v>#N/A</v>
      </c>
      <c r="BA54" s="637"/>
    </row>
    <row r="55" spans="2:53">
      <c r="B55" s="635"/>
      <c r="C55" s="413">
        <v>9</v>
      </c>
      <c r="D55" s="225"/>
      <c r="E55" s="420"/>
      <c r="F55" s="500"/>
      <c r="G55" s="501"/>
      <c r="H55" s="678"/>
      <c r="I55" s="417" t="str">
        <f t="shared" si="38"/>
        <v>-</v>
      </c>
      <c r="J55" s="417" t="str">
        <f t="shared" si="39"/>
        <v>-</v>
      </c>
      <c r="K55" s="199" t="str">
        <f t="shared" si="40"/>
        <v>-</v>
      </c>
      <c r="L55" s="609"/>
      <c r="M55" s="485" t="e">
        <f>RANK(K55, K$47:$K$61)</f>
        <v>#VALUE!</v>
      </c>
      <c r="N55" s="627"/>
      <c r="O55" s="627"/>
      <c r="P55" s="483"/>
      <c r="Q55" s="420"/>
      <c r="R55" s="420"/>
      <c r="S55" s="483"/>
      <c r="T55" s="637"/>
      <c r="U55" s="483"/>
      <c r="V55" s="483"/>
      <c r="W55" s="483"/>
      <c r="X55" s="483"/>
      <c r="Y55" s="637"/>
      <c r="Z55" s="483"/>
      <c r="AA55" s="483"/>
      <c r="AB55" s="483"/>
      <c r="AC55" s="483"/>
      <c r="AD55" s="637"/>
      <c r="AE55" s="483"/>
      <c r="AF55" s="483"/>
      <c r="AG55" s="483"/>
      <c r="AH55" s="483"/>
      <c r="AI55" s="637"/>
      <c r="AJ55" s="483"/>
      <c r="AK55" s="483"/>
      <c r="AL55" s="483"/>
      <c r="AM55" s="483"/>
      <c r="AN55" s="637"/>
      <c r="AO55" s="483"/>
      <c r="AP55" s="483"/>
      <c r="AQ55" s="483"/>
      <c r="AR55" s="483"/>
      <c r="AS55" s="637"/>
      <c r="AT55" s="483"/>
      <c r="AU55" s="483"/>
      <c r="AV55" s="483"/>
      <c r="AW55" s="483"/>
      <c r="AX55" s="637"/>
      <c r="AZ55" s="402" t="e">
        <f t="shared" si="41"/>
        <v>#N/A</v>
      </c>
      <c r="BA55" s="637"/>
    </row>
    <row r="56" spans="2:53">
      <c r="B56" s="635"/>
      <c r="C56" s="413">
        <v>10</v>
      </c>
      <c r="D56" s="225"/>
      <c r="E56" s="420"/>
      <c r="F56" s="500"/>
      <c r="G56" s="501"/>
      <c r="H56" s="678"/>
      <c r="I56" s="417" t="str">
        <f t="shared" si="38"/>
        <v>-</v>
      </c>
      <c r="J56" s="417" t="str">
        <f t="shared" si="39"/>
        <v>-</v>
      </c>
      <c r="K56" s="199" t="str">
        <f t="shared" si="40"/>
        <v>-</v>
      </c>
      <c r="L56" s="609"/>
      <c r="M56" s="485" t="e">
        <f>RANK(K56, K$47:$K$61)</f>
        <v>#VALUE!</v>
      </c>
      <c r="N56" s="627"/>
      <c r="O56" s="627"/>
      <c r="P56" s="483"/>
      <c r="Q56" s="420"/>
      <c r="R56" s="420"/>
      <c r="S56" s="483"/>
      <c r="T56" s="637"/>
      <c r="U56" s="483"/>
      <c r="V56" s="483"/>
      <c r="W56" s="483"/>
      <c r="X56" s="483"/>
      <c r="Y56" s="637"/>
      <c r="Z56" s="483"/>
      <c r="AA56" s="483"/>
      <c r="AB56" s="483"/>
      <c r="AC56" s="483"/>
      <c r="AD56" s="637"/>
      <c r="AE56" s="483"/>
      <c r="AF56" s="483"/>
      <c r="AG56" s="483"/>
      <c r="AH56" s="483"/>
      <c r="AI56" s="637"/>
      <c r="AJ56" s="483"/>
      <c r="AK56" s="483"/>
      <c r="AL56" s="483"/>
      <c r="AM56" s="483"/>
      <c r="AN56" s="637"/>
      <c r="AO56" s="483"/>
      <c r="AP56" s="483"/>
      <c r="AQ56" s="483"/>
      <c r="AR56" s="483"/>
      <c r="AS56" s="637"/>
      <c r="AT56" s="483"/>
      <c r="AU56" s="483"/>
      <c r="AV56" s="483"/>
      <c r="AW56" s="483"/>
      <c r="AX56" s="637"/>
      <c r="AZ56" s="402" t="e">
        <f t="shared" si="41"/>
        <v>#N/A</v>
      </c>
      <c r="BA56" s="637"/>
    </row>
    <row r="57" spans="2:53">
      <c r="B57" s="635"/>
      <c r="C57" s="413">
        <v>11</v>
      </c>
      <c r="D57" s="225"/>
      <c r="E57" s="420"/>
      <c r="F57" s="500"/>
      <c r="G57" s="501"/>
      <c r="H57" s="678"/>
      <c r="I57" s="417" t="str">
        <f t="shared" si="38"/>
        <v>-</v>
      </c>
      <c r="J57" s="417" t="str">
        <f t="shared" si="39"/>
        <v>-</v>
      </c>
      <c r="K57" s="199" t="str">
        <f t="shared" si="40"/>
        <v>-</v>
      </c>
      <c r="L57" s="609"/>
      <c r="M57" s="485" t="e">
        <f>RANK(K57, K$47:$K$61)</f>
        <v>#VALUE!</v>
      </c>
      <c r="N57" s="627"/>
      <c r="O57" s="627"/>
      <c r="P57" s="483"/>
      <c r="Q57" s="420"/>
      <c r="R57" s="420"/>
      <c r="S57" s="483"/>
      <c r="T57" s="637"/>
      <c r="U57" s="483"/>
      <c r="V57" s="483"/>
      <c r="W57" s="483"/>
      <c r="X57" s="483"/>
      <c r="Y57" s="637"/>
      <c r="Z57" s="483"/>
      <c r="AA57" s="483"/>
      <c r="AB57" s="483"/>
      <c r="AC57" s="483"/>
      <c r="AD57" s="637"/>
      <c r="AE57" s="483"/>
      <c r="AF57" s="483"/>
      <c r="AG57" s="483"/>
      <c r="AH57" s="483"/>
      <c r="AI57" s="637"/>
      <c r="AJ57" s="483"/>
      <c r="AK57" s="483"/>
      <c r="AL57" s="483"/>
      <c r="AM57" s="483"/>
      <c r="AN57" s="637"/>
      <c r="AO57" s="483"/>
      <c r="AP57" s="483"/>
      <c r="AQ57" s="483"/>
      <c r="AR57" s="483"/>
      <c r="AS57" s="637"/>
      <c r="AT57" s="483"/>
      <c r="AU57" s="483"/>
      <c r="AV57" s="483"/>
      <c r="AW57" s="483"/>
      <c r="AX57" s="637"/>
      <c r="AZ57" s="402" t="e">
        <f t="shared" si="41"/>
        <v>#N/A</v>
      </c>
      <c r="BA57" s="637"/>
    </row>
    <row r="58" spans="2:53">
      <c r="B58" s="635"/>
      <c r="C58" s="413">
        <v>12</v>
      </c>
      <c r="D58" s="225"/>
      <c r="E58" s="420"/>
      <c r="F58" s="500"/>
      <c r="G58" s="501"/>
      <c r="H58" s="678"/>
      <c r="I58" s="417" t="str">
        <f t="shared" si="38"/>
        <v>-</v>
      </c>
      <c r="J58" s="417" t="str">
        <f t="shared" si="39"/>
        <v>-</v>
      </c>
      <c r="K58" s="199" t="str">
        <f t="shared" si="40"/>
        <v>-</v>
      </c>
      <c r="L58" s="609"/>
      <c r="M58" s="485" t="e">
        <f>RANK(K58, K$47:$K$61)</f>
        <v>#VALUE!</v>
      </c>
      <c r="N58" s="627"/>
      <c r="O58" s="627"/>
      <c r="P58" s="483"/>
      <c r="Q58" s="420"/>
      <c r="R58" s="420"/>
      <c r="S58" s="483"/>
      <c r="T58" s="637"/>
      <c r="U58" s="483"/>
      <c r="V58" s="483"/>
      <c r="W58" s="483"/>
      <c r="X58" s="483"/>
      <c r="Y58" s="637"/>
      <c r="Z58" s="483"/>
      <c r="AA58" s="483"/>
      <c r="AB58" s="483"/>
      <c r="AC58" s="483"/>
      <c r="AD58" s="637"/>
      <c r="AE58" s="483"/>
      <c r="AF58" s="483"/>
      <c r="AG58" s="483"/>
      <c r="AH58" s="483"/>
      <c r="AI58" s="637"/>
      <c r="AJ58" s="483"/>
      <c r="AK58" s="483"/>
      <c r="AL58" s="483"/>
      <c r="AM58" s="483"/>
      <c r="AN58" s="637"/>
      <c r="AO58" s="483"/>
      <c r="AP58" s="483"/>
      <c r="AQ58" s="483"/>
      <c r="AR58" s="483"/>
      <c r="AS58" s="637"/>
      <c r="AT58" s="483"/>
      <c r="AU58" s="483"/>
      <c r="AV58" s="483"/>
      <c r="AW58" s="483"/>
      <c r="AX58" s="637"/>
      <c r="AZ58" s="402" t="e">
        <f t="shared" si="41"/>
        <v>#N/A</v>
      </c>
      <c r="BA58" s="637"/>
    </row>
    <row r="59" spans="2:53">
      <c r="B59" s="635"/>
      <c r="C59" s="413">
        <v>13</v>
      </c>
      <c r="D59" s="225"/>
      <c r="E59" s="420"/>
      <c r="F59" s="500"/>
      <c r="G59" s="501"/>
      <c r="H59" s="678"/>
      <c r="I59" s="417" t="str">
        <f t="shared" si="38"/>
        <v>-</v>
      </c>
      <c r="J59" s="417" t="str">
        <f t="shared" si="39"/>
        <v>-</v>
      </c>
      <c r="K59" s="199" t="str">
        <f t="shared" si="40"/>
        <v>-</v>
      </c>
      <c r="L59" s="609"/>
      <c r="M59" s="485" t="e">
        <f>RANK(K59, K$47:$K$61)</f>
        <v>#VALUE!</v>
      </c>
      <c r="N59" s="627"/>
      <c r="O59" s="627"/>
      <c r="P59" s="483"/>
      <c r="Q59" s="420"/>
      <c r="R59" s="420"/>
      <c r="S59" s="483"/>
      <c r="T59" s="637"/>
      <c r="U59" s="483"/>
      <c r="V59" s="483"/>
      <c r="W59" s="483"/>
      <c r="X59" s="483"/>
      <c r="Y59" s="637"/>
      <c r="Z59" s="483"/>
      <c r="AA59" s="483"/>
      <c r="AB59" s="483"/>
      <c r="AC59" s="483"/>
      <c r="AD59" s="637"/>
      <c r="AE59" s="483"/>
      <c r="AF59" s="483"/>
      <c r="AG59" s="483"/>
      <c r="AH59" s="483"/>
      <c r="AI59" s="637"/>
      <c r="AJ59" s="483"/>
      <c r="AK59" s="483"/>
      <c r="AL59" s="483"/>
      <c r="AM59" s="483"/>
      <c r="AN59" s="637"/>
      <c r="AO59" s="483"/>
      <c r="AP59" s="483"/>
      <c r="AQ59" s="483"/>
      <c r="AR59" s="483"/>
      <c r="AS59" s="637"/>
      <c r="AT59" s="483"/>
      <c r="AU59" s="483"/>
      <c r="AV59" s="483"/>
      <c r="AW59" s="483"/>
      <c r="AX59" s="637"/>
      <c r="AZ59" s="402" t="e">
        <f t="shared" si="41"/>
        <v>#N/A</v>
      </c>
      <c r="BA59" s="637"/>
    </row>
    <row r="60" spans="2:53">
      <c r="B60" s="635"/>
      <c r="C60" s="413">
        <v>14</v>
      </c>
      <c r="D60" s="225"/>
      <c r="E60" s="420"/>
      <c r="F60" s="500"/>
      <c r="G60" s="501"/>
      <c r="H60" s="678"/>
      <c r="I60" s="417" t="str">
        <f t="shared" si="38"/>
        <v>-</v>
      </c>
      <c r="J60" s="417" t="str">
        <f t="shared" si="39"/>
        <v>-</v>
      </c>
      <c r="K60" s="199" t="str">
        <f t="shared" si="40"/>
        <v>-</v>
      </c>
      <c r="L60" s="609"/>
      <c r="M60" s="485" t="e">
        <f>RANK(K60, K$47:$K$61)</f>
        <v>#VALUE!</v>
      </c>
      <c r="N60" s="627"/>
      <c r="O60" s="627"/>
      <c r="P60" s="483"/>
      <c r="Q60" s="420"/>
      <c r="R60" s="420"/>
      <c r="S60" s="483"/>
      <c r="T60" s="637"/>
      <c r="U60" s="483"/>
      <c r="V60" s="483"/>
      <c r="W60" s="483"/>
      <c r="X60" s="483"/>
      <c r="Y60" s="637"/>
      <c r="Z60" s="483"/>
      <c r="AA60" s="483"/>
      <c r="AB60" s="483"/>
      <c r="AC60" s="483"/>
      <c r="AD60" s="637"/>
      <c r="AE60" s="483"/>
      <c r="AF60" s="483"/>
      <c r="AG60" s="483"/>
      <c r="AH60" s="483"/>
      <c r="AI60" s="637"/>
      <c r="AJ60" s="483"/>
      <c r="AK60" s="483"/>
      <c r="AL60" s="483"/>
      <c r="AM60" s="483"/>
      <c r="AN60" s="637"/>
      <c r="AO60" s="483"/>
      <c r="AP60" s="483"/>
      <c r="AQ60" s="483"/>
      <c r="AR60" s="483"/>
      <c r="AS60" s="637"/>
      <c r="AT60" s="483"/>
      <c r="AU60" s="483"/>
      <c r="AV60" s="483"/>
      <c r="AW60" s="483"/>
      <c r="AX60" s="637"/>
      <c r="AZ60" s="402" t="e">
        <f t="shared" si="41"/>
        <v>#N/A</v>
      </c>
      <c r="BA60" s="637"/>
    </row>
    <row r="61" spans="2:53">
      <c r="B61" s="635"/>
      <c r="C61" s="413">
        <v>15</v>
      </c>
      <c r="D61" s="225"/>
      <c r="E61" s="420"/>
      <c r="F61" s="500"/>
      <c r="G61" s="501"/>
      <c r="H61" s="679"/>
      <c r="I61" s="201"/>
      <c r="J61" s="201"/>
      <c r="K61" s="201"/>
      <c r="L61" s="610"/>
      <c r="M61" s="485" t="e">
        <f>RANK(K61, K$47:$K$61)</f>
        <v>#N/A</v>
      </c>
      <c r="N61" s="627"/>
      <c r="O61" s="627"/>
      <c r="P61" s="483"/>
      <c r="Q61" s="420"/>
      <c r="R61" s="420"/>
      <c r="S61" s="483"/>
      <c r="T61" s="638"/>
      <c r="U61" s="483"/>
      <c r="V61" s="483"/>
      <c r="W61" s="483"/>
      <c r="X61" s="483"/>
      <c r="Y61" s="638"/>
      <c r="Z61" s="483"/>
      <c r="AA61" s="483"/>
      <c r="AB61" s="483"/>
      <c r="AC61" s="483"/>
      <c r="AD61" s="638"/>
      <c r="AE61" s="483"/>
      <c r="AF61" s="483"/>
      <c r="AG61" s="483"/>
      <c r="AH61" s="483"/>
      <c r="AI61" s="638"/>
      <c r="AJ61" s="483"/>
      <c r="AK61" s="483"/>
      <c r="AL61" s="483"/>
      <c r="AM61" s="483"/>
      <c r="AN61" s="638"/>
      <c r="AO61" s="483"/>
      <c r="AP61" s="483"/>
      <c r="AQ61" s="483"/>
      <c r="AR61" s="483"/>
      <c r="AS61" s="638"/>
      <c r="AT61" s="483"/>
      <c r="AU61" s="483"/>
      <c r="AV61" s="483"/>
      <c r="AW61" s="483"/>
      <c r="AX61" s="638"/>
      <c r="AZ61" s="402" t="e">
        <f t="shared" si="41"/>
        <v>#N/A</v>
      </c>
      <c r="BA61" s="638"/>
    </row>
    <row r="62" spans="2:53" ht="15.75">
      <c r="B62" s="639" t="s">
        <v>163</v>
      </c>
      <c r="C62" s="640"/>
      <c r="D62" s="640"/>
      <c r="E62" s="640"/>
      <c r="F62" s="640"/>
      <c r="G62" s="640"/>
      <c r="H62" s="641"/>
      <c r="I62" s="207"/>
      <c r="J62" s="207"/>
      <c r="K62" s="207"/>
      <c r="L62" s="207"/>
      <c r="M62" s="206"/>
      <c r="N62" s="628" t="s">
        <v>156</v>
      </c>
      <c r="O62" s="628" t="s">
        <v>105</v>
      </c>
      <c r="P62" s="634">
        <f>P42+7</f>
        <v>46189</v>
      </c>
      <c r="Q62" s="635"/>
      <c r="R62" s="635"/>
      <c r="S62" s="635"/>
      <c r="T62" s="635"/>
      <c r="U62" s="631">
        <f>P62+1</f>
        <v>46190</v>
      </c>
      <c r="V62" s="632"/>
      <c r="W62" s="632"/>
      <c r="X62" s="632"/>
      <c r="Y62" s="633"/>
      <c r="Z62" s="631">
        <f>U62+1</f>
        <v>46191</v>
      </c>
      <c r="AA62" s="632"/>
      <c r="AB62" s="632"/>
      <c r="AC62" s="632"/>
      <c r="AD62" s="633"/>
      <c r="AE62" s="631">
        <f>Z62+1</f>
        <v>46192</v>
      </c>
      <c r="AF62" s="632"/>
      <c r="AG62" s="632"/>
      <c r="AH62" s="632"/>
      <c r="AI62" s="633"/>
      <c r="AJ62" s="631">
        <f>AE62+1</f>
        <v>46193</v>
      </c>
      <c r="AK62" s="632"/>
      <c r="AL62" s="632"/>
      <c r="AM62" s="632"/>
      <c r="AN62" s="633"/>
      <c r="AO62" s="631">
        <f>AJ62+1</f>
        <v>46194</v>
      </c>
      <c r="AP62" s="632"/>
      <c r="AQ62" s="632"/>
      <c r="AR62" s="632"/>
      <c r="AS62" s="633"/>
      <c r="AT62" s="631">
        <f>AO62+1</f>
        <v>46195</v>
      </c>
      <c r="AU62" s="632"/>
      <c r="AV62" s="632"/>
      <c r="AW62" s="632"/>
      <c r="AX62" s="633"/>
    </row>
    <row r="63" spans="2:53" ht="15.75">
      <c r="B63" s="642"/>
      <c r="C63" s="642"/>
      <c r="D63" s="642"/>
      <c r="E63" s="642"/>
      <c r="F63" s="642"/>
      <c r="G63" s="642"/>
      <c r="H63" s="642"/>
      <c r="I63" s="204"/>
      <c r="J63" s="204"/>
      <c r="K63" s="204"/>
      <c r="L63" s="204"/>
      <c r="M63" s="205"/>
      <c r="N63" s="630"/>
      <c r="O63" s="630"/>
      <c r="P63" s="634" t="s">
        <v>318</v>
      </c>
      <c r="Q63" s="635"/>
      <c r="R63" s="635"/>
      <c r="S63" s="635"/>
      <c r="T63" s="635"/>
      <c r="U63" s="634" t="s">
        <v>319</v>
      </c>
      <c r="V63" s="635"/>
      <c r="W63" s="635"/>
      <c r="X63" s="635"/>
      <c r="Y63" s="635"/>
      <c r="Z63" s="634" t="s">
        <v>320</v>
      </c>
      <c r="AA63" s="635"/>
      <c r="AB63" s="635"/>
      <c r="AC63" s="635"/>
      <c r="AD63" s="635"/>
      <c r="AE63" s="634" t="s">
        <v>321</v>
      </c>
      <c r="AF63" s="635"/>
      <c r="AG63" s="635"/>
      <c r="AH63" s="635"/>
      <c r="AI63" s="635"/>
      <c r="AJ63" s="634" t="s">
        <v>322</v>
      </c>
      <c r="AK63" s="635"/>
      <c r="AL63" s="635"/>
      <c r="AM63" s="635"/>
      <c r="AN63" s="635"/>
      <c r="AO63" s="634" t="s">
        <v>323</v>
      </c>
      <c r="AP63" s="635"/>
      <c r="AQ63" s="635"/>
      <c r="AR63" s="635"/>
      <c r="AS63" s="635"/>
      <c r="AT63" s="634" t="s">
        <v>324</v>
      </c>
      <c r="AU63" s="635"/>
      <c r="AV63" s="635"/>
      <c r="AW63" s="635"/>
      <c r="AX63" s="635"/>
    </row>
    <row r="64" spans="2:53">
      <c r="B64" s="627" t="s">
        <v>374</v>
      </c>
      <c r="C64" s="627" t="s">
        <v>384</v>
      </c>
      <c r="D64" s="627"/>
      <c r="E64" s="627" t="s">
        <v>375</v>
      </c>
      <c r="F64" s="627"/>
      <c r="G64" s="627"/>
      <c r="H64" s="643" t="s">
        <v>371</v>
      </c>
      <c r="I64" s="611" t="s">
        <v>376</v>
      </c>
      <c r="J64" s="611"/>
      <c r="K64" s="611"/>
      <c r="L64" s="612" t="s">
        <v>371</v>
      </c>
      <c r="M64" s="618" t="s">
        <v>372</v>
      </c>
      <c r="N64" s="627"/>
      <c r="O64" s="627" t="s">
        <v>377</v>
      </c>
      <c r="P64" s="624" t="s">
        <v>373</v>
      </c>
      <c r="Q64" s="625"/>
      <c r="R64" s="625"/>
      <c r="S64" s="626"/>
      <c r="T64" s="627" t="s">
        <v>371</v>
      </c>
      <c r="U64" s="624" t="s">
        <v>373</v>
      </c>
      <c r="V64" s="625"/>
      <c r="W64" s="625"/>
      <c r="X64" s="626"/>
      <c r="Y64" s="627" t="s">
        <v>371</v>
      </c>
      <c r="Z64" s="624" t="s">
        <v>373</v>
      </c>
      <c r="AA64" s="625"/>
      <c r="AB64" s="625"/>
      <c r="AC64" s="626"/>
      <c r="AD64" s="627" t="s">
        <v>371</v>
      </c>
      <c r="AE64" s="624" t="s">
        <v>373</v>
      </c>
      <c r="AF64" s="625"/>
      <c r="AG64" s="625"/>
      <c r="AH64" s="626"/>
      <c r="AI64" s="627" t="s">
        <v>371</v>
      </c>
      <c r="AJ64" s="624" t="s">
        <v>373</v>
      </c>
      <c r="AK64" s="625"/>
      <c r="AL64" s="625"/>
      <c r="AM64" s="626"/>
      <c r="AN64" s="627" t="s">
        <v>371</v>
      </c>
      <c r="AO64" s="624" t="s">
        <v>373</v>
      </c>
      <c r="AP64" s="625"/>
      <c r="AQ64" s="625"/>
      <c r="AR64" s="626"/>
      <c r="AS64" s="627" t="s">
        <v>371</v>
      </c>
      <c r="AT64" s="624" t="s">
        <v>373</v>
      </c>
      <c r="AU64" s="625"/>
      <c r="AV64" s="625"/>
      <c r="AW64" s="626"/>
      <c r="AX64" s="627" t="s">
        <v>371</v>
      </c>
      <c r="BA64" s="627" t="s">
        <v>371</v>
      </c>
    </row>
    <row r="65" spans="2:53">
      <c r="B65" s="627"/>
      <c r="C65" s="627"/>
      <c r="D65" s="627"/>
      <c r="E65" s="627" t="s">
        <v>378</v>
      </c>
      <c r="F65" s="627"/>
      <c r="G65" s="627"/>
      <c r="H65" s="644"/>
      <c r="I65" s="611" t="s">
        <v>378</v>
      </c>
      <c r="J65" s="611"/>
      <c r="K65" s="611"/>
      <c r="L65" s="613"/>
      <c r="M65" s="619"/>
      <c r="N65" s="627"/>
      <c r="O65" s="627"/>
      <c r="P65" s="624" t="s">
        <v>379</v>
      </c>
      <c r="Q65" s="625"/>
      <c r="R65" s="625"/>
      <c r="S65" s="626"/>
      <c r="T65" s="627"/>
      <c r="U65" s="624" t="s">
        <v>379</v>
      </c>
      <c r="V65" s="625"/>
      <c r="W65" s="625"/>
      <c r="X65" s="626"/>
      <c r="Y65" s="627"/>
      <c r="Z65" s="624" t="s">
        <v>379</v>
      </c>
      <c r="AA65" s="625"/>
      <c r="AB65" s="625"/>
      <c r="AC65" s="626"/>
      <c r="AD65" s="627"/>
      <c r="AE65" s="624" t="s">
        <v>379</v>
      </c>
      <c r="AF65" s="625"/>
      <c r="AG65" s="625"/>
      <c r="AH65" s="626"/>
      <c r="AI65" s="627"/>
      <c r="AJ65" s="624" t="s">
        <v>379</v>
      </c>
      <c r="AK65" s="625"/>
      <c r="AL65" s="625"/>
      <c r="AM65" s="626"/>
      <c r="AN65" s="627"/>
      <c r="AO65" s="624" t="s">
        <v>379</v>
      </c>
      <c r="AP65" s="625"/>
      <c r="AQ65" s="625"/>
      <c r="AR65" s="626"/>
      <c r="AS65" s="627"/>
      <c r="AT65" s="624" t="s">
        <v>379</v>
      </c>
      <c r="AU65" s="625"/>
      <c r="AV65" s="625"/>
      <c r="AW65" s="626"/>
      <c r="AX65" s="627"/>
      <c r="BA65" s="627"/>
    </row>
    <row r="66" spans="2:53">
      <c r="B66" s="627"/>
      <c r="C66" s="627"/>
      <c r="D66" s="627"/>
      <c r="E66" s="412" t="s">
        <v>380</v>
      </c>
      <c r="F66" s="412" t="s">
        <v>381</v>
      </c>
      <c r="G66" s="412" t="s">
        <v>382</v>
      </c>
      <c r="H66" s="645"/>
      <c r="I66" s="411" t="s">
        <v>380</v>
      </c>
      <c r="J66" s="411" t="s">
        <v>381</v>
      </c>
      <c r="K66" s="411" t="s">
        <v>382</v>
      </c>
      <c r="L66" s="614"/>
      <c r="M66" s="620"/>
      <c r="N66" s="627"/>
      <c r="O66" s="627"/>
      <c r="P66" s="412" t="s">
        <v>380</v>
      </c>
      <c r="Q66" s="412" t="s">
        <v>381</v>
      </c>
      <c r="R66" s="412" t="s">
        <v>382</v>
      </c>
      <c r="S66" s="412" t="s">
        <v>372</v>
      </c>
      <c r="T66" s="627"/>
      <c r="U66" s="412" t="s">
        <v>380</v>
      </c>
      <c r="V66" s="412" t="s">
        <v>381</v>
      </c>
      <c r="W66" s="412" t="s">
        <v>382</v>
      </c>
      <c r="X66" s="412" t="s">
        <v>372</v>
      </c>
      <c r="Y66" s="627"/>
      <c r="Z66" s="412" t="s">
        <v>380</v>
      </c>
      <c r="AA66" s="412" t="s">
        <v>381</v>
      </c>
      <c r="AB66" s="412" t="s">
        <v>382</v>
      </c>
      <c r="AC66" s="412" t="s">
        <v>372</v>
      </c>
      <c r="AD66" s="627"/>
      <c r="AE66" s="412" t="s">
        <v>380</v>
      </c>
      <c r="AF66" s="412" t="s">
        <v>381</v>
      </c>
      <c r="AG66" s="412" t="s">
        <v>382</v>
      </c>
      <c r="AH66" s="412" t="s">
        <v>372</v>
      </c>
      <c r="AI66" s="627"/>
      <c r="AJ66" s="412" t="s">
        <v>380</v>
      </c>
      <c r="AK66" s="412" t="s">
        <v>381</v>
      </c>
      <c r="AL66" s="412" t="s">
        <v>382</v>
      </c>
      <c r="AM66" s="412" t="s">
        <v>372</v>
      </c>
      <c r="AN66" s="627"/>
      <c r="AO66" s="412" t="s">
        <v>380</v>
      </c>
      <c r="AP66" s="412" t="s">
        <v>381</v>
      </c>
      <c r="AQ66" s="412" t="s">
        <v>382</v>
      </c>
      <c r="AR66" s="412" t="s">
        <v>372</v>
      </c>
      <c r="AS66" s="627"/>
      <c r="AT66" s="412" t="s">
        <v>380</v>
      </c>
      <c r="AU66" s="412" t="s">
        <v>381</v>
      </c>
      <c r="AV66" s="412" t="s">
        <v>382</v>
      </c>
      <c r="AW66" s="412" t="s">
        <v>372</v>
      </c>
      <c r="AX66" s="627"/>
      <c r="AZ66" s="401" t="s">
        <v>372</v>
      </c>
      <c r="BA66" s="627"/>
    </row>
    <row r="67" spans="2:53">
      <c r="B67" s="627" t="s">
        <v>385</v>
      </c>
      <c r="C67" s="413">
        <v>1</v>
      </c>
      <c r="D67" s="225"/>
      <c r="E67" s="420"/>
      <c r="F67" s="413"/>
      <c r="G67" s="414"/>
      <c r="H67" s="677" t="e">
        <f>AVERAGE(G67:G81)</f>
        <v>#DIV/0!</v>
      </c>
      <c r="I67" s="417" t="str">
        <f t="shared" ref="I67:I80" si="43">IFERROR(AVERAGE(P67,U67,Z67,AE67,AJ67,AO67,AT67),"-")</f>
        <v>-</v>
      </c>
      <c r="J67" s="417" t="str">
        <f t="shared" ref="J67:J80" si="44">IFERROR(AVERAGE(Q67,V67,AA67,AF67,AK67,AP67,AU67),"-")</f>
        <v>-</v>
      </c>
      <c r="K67" s="199" t="str">
        <f t="shared" ref="K67:K80" si="45">IFERROR(AVERAGE(R67,W67,AB67,AG67,AL67,AQ67,AV67),"-")</f>
        <v>-</v>
      </c>
      <c r="L67" s="608" t="str">
        <f>IFERROR(AVERAGE(K67:K81),"-")</f>
        <v>-</v>
      </c>
      <c r="M67" s="419" t="e">
        <f>RANK(K67, K$67:$K$81)</f>
        <v>#VALUE!</v>
      </c>
      <c r="N67" s="627"/>
      <c r="O67" s="627"/>
      <c r="P67" s="487"/>
      <c r="Q67" s="420"/>
      <c r="R67" s="420"/>
      <c r="S67" s="487"/>
      <c r="T67" s="636"/>
      <c r="U67" s="487"/>
      <c r="V67" s="420"/>
      <c r="W67" s="420"/>
      <c r="X67" s="487"/>
      <c r="Y67" s="636"/>
      <c r="Z67" s="487"/>
      <c r="AA67" s="420"/>
      <c r="AB67" s="420"/>
      <c r="AC67" s="487"/>
      <c r="AD67" s="636"/>
      <c r="AE67" s="487"/>
      <c r="AF67" s="420"/>
      <c r="AG67" s="420"/>
      <c r="AH67" s="487"/>
      <c r="AI67" s="636"/>
      <c r="AJ67" s="487"/>
      <c r="AK67" s="420"/>
      <c r="AL67" s="420"/>
      <c r="AM67" s="487"/>
      <c r="AN67" s="636"/>
      <c r="AO67" s="487"/>
      <c r="AP67" s="420"/>
      <c r="AQ67" s="420"/>
      <c r="AR67" s="487"/>
      <c r="AS67" s="636"/>
      <c r="AT67" s="487"/>
      <c r="AU67" s="420"/>
      <c r="AV67" s="420"/>
      <c r="AW67" s="487"/>
      <c r="AX67" s="636"/>
      <c r="AZ67" s="402" t="e">
        <f t="shared" ref="AZ67:AZ81" si="46">RANK(AY67, AY$67:AY$81)</f>
        <v>#N/A</v>
      </c>
      <c r="BA67" s="636" t="e">
        <f t="shared" ref="BA67" si="47">AVERAGE(AY67:AY81)</f>
        <v>#DIV/0!</v>
      </c>
    </row>
    <row r="68" spans="2:53">
      <c r="B68" s="635"/>
      <c r="C68" s="413">
        <v>2</v>
      </c>
      <c r="D68" s="225"/>
      <c r="E68" s="420"/>
      <c r="F68" s="413"/>
      <c r="G68" s="414"/>
      <c r="H68" s="678"/>
      <c r="I68" s="417" t="str">
        <f t="shared" si="43"/>
        <v>-</v>
      </c>
      <c r="J68" s="417" t="str">
        <f t="shared" si="44"/>
        <v>-</v>
      </c>
      <c r="K68" s="199" t="str">
        <f t="shared" si="45"/>
        <v>-</v>
      </c>
      <c r="L68" s="609"/>
      <c r="M68" s="419" t="e">
        <f>RANK(K68, K$87:$K$101)</f>
        <v>#VALUE!</v>
      </c>
      <c r="N68" s="627"/>
      <c r="O68" s="627"/>
      <c r="P68" s="487"/>
      <c r="Q68" s="420"/>
      <c r="R68" s="420"/>
      <c r="S68" s="487"/>
      <c r="T68" s="637"/>
      <c r="U68" s="487"/>
      <c r="V68" s="420"/>
      <c r="W68" s="420"/>
      <c r="X68" s="487"/>
      <c r="Y68" s="637"/>
      <c r="Z68" s="487"/>
      <c r="AA68" s="420"/>
      <c r="AB68" s="420"/>
      <c r="AC68" s="487"/>
      <c r="AD68" s="637"/>
      <c r="AE68" s="487"/>
      <c r="AF68" s="420"/>
      <c r="AG68" s="420"/>
      <c r="AH68" s="487"/>
      <c r="AI68" s="637"/>
      <c r="AJ68" s="487"/>
      <c r="AK68" s="420"/>
      <c r="AL68" s="420"/>
      <c r="AM68" s="487"/>
      <c r="AN68" s="637"/>
      <c r="AO68" s="487"/>
      <c r="AP68" s="420"/>
      <c r="AQ68" s="420"/>
      <c r="AR68" s="487"/>
      <c r="AS68" s="637"/>
      <c r="AT68" s="487"/>
      <c r="AU68" s="420"/>
      <c r="AV68" s="420"/>
      <c r="AW68" s="487"/>
      <c r="AX68" s="637"/>
      <c r="AZ68" s="402" t="e">
        <f t="shared" si="46"/>
        <v>#N/A</v>
      </c>
      <c r="BA68" s="637"/>
    </row>
    <row r="69" spans="2:53">
      <c r="B69" s="635"/>
      <c r="C69" s="413">
        <v>3</v>
      </c>
      <c r="D69" s="225"/>
      <c r="E69" s="420"/>
      <c r="F69" s="413"/>
      <c r="G69" s="414"/>
      <c r="H69" s="678"/>
      <c r="I69" s="417" t="str">
        <f t="shared" si="43"/>
        <v>-</v>
      </c>
      <c r="J69" s="417" t="str">
        <f t="shared" si="44"/>
        <v>-</v>
      </c>
      <c r="K69" s="199" t="str">
        <f t="shared" si="45"/>
        <v>-</v>
      </c>
      <c r="L69" s="609"/>
      <c r="M69" s="419" t="e">
        <f>RANK(K69, K$87:$K$101)</f>
        <v>#VALUE!</v>
      </c>
      <c r="N69" s="627"/>
      <c r="O69" s="627"/>
      <c r="P69" s="487"/>
      <c r="Q69" s="420"/>
      <c r="R69" s="420"/>
      <c r="S69" s="487"/>
      <c r="T69" s="637"/>
      <c r="U69" s="487"/>
      <c r="V69" s="420"/>
      <c r="W69" s="420"/>
      <c r="X69" s="487"/>
      <c r="Y69" s="637"/>
      <c r="Z69" s="487"/>
      <c r="AA69" s="420"/>
      <c r="AB69" s="420"/>
      <c r="AC69" s="487"/>
      <c r="AD69" s="637"/>
      <c r="AE69" s="487"/>
      <c r="AF69" s="420"/>
      <c r="AG69" s="420"/>
      <c r="AH69" s="487"/>
      <c r="AI69" s="637"/>
      <c r="AJ69" s="487"/>
      <c r="AK69" s="420"/>
      <c r="AL69" s="420"/>
      <c r="AM69" s="487"/>
      <c r="AN69" s="637"/>
      <c r="AO69" s="487"/>
      <c r="AP69" s="420"/>
      <c r="AQ69" s="420"/>
      <c r="AR69" s="487"/>
      <c r="AS69" s="637"/>
      <c r="AT69" s="487"/>
      <c r="AU69" s="420"/>
      <c r="AV69" s="420"/>
      <c r="AW69" s="487"/>
      <c r="AX69" s="637"/>
      <c r="AZ69" s="402" t="e">
        <f t="shared" si="46"/>
        <v>#N/A</v>
      </c>
      <c r="BA69" s="637"/>
    </row>
    <row r="70" spans="2:53">
      <c r="B70" s="635"/>
      <c r="C70" s="413">
        <v>4</v>
      </c>
      <c r="D70" s="225"/>
      <c r="E70" s="420"/>
      <c r="F70" s="413"/>
      <c r="G70" s="414"/>
      <c r="H70" s="678"/>
      <c r="I70" s="417" t="str">
        <f t="shared" si="43"/>
        <v>-</v>
      </c>
      <c r="J70" s="417" t="str">
        <f t="shared" si="44"/>
        <v>-</v>
      </c>
      <c r="K70" s="199" t="str">
        <f t="shared" si="45"/>
        <v>-</v>
      </c>
      <c r="L70" s="609"/>
      <c r="M70" s="419" t="e">
        <f>RANK(K70, K$87:$K$101)</f>
        <v>#VALUE!</v>
      </c>
      <c r="N70" s="627"/>
      <c r="O70" s="627"/>
      <c r="P70" s="487"/>
      <c r="Q70" s="420"/>
      <c r="R70" s="420"/>
      <c r="S70" s="487"/>
      <c r="T70" s="637"/>
      <c r="U70" s="487"/>
      <c r="V70" s="420"/>
      <c r="W70" s="420"/>
      <c r="X70" s="487"/>
      <c r="Y70" s="637"/>
      <c r="Z70" s="487"/>
      <c r="AA70" s="420"/>
      <c r="AB70" s="420"/>
      <c r="AC70" s="487"/>
      <c r="AD70" s="637"/>
      <c r="AE70" s="487"/>
      <c r="AF70" s="420"/>
      <c r="AG70" s="420"/>
      <c r="AH70" s="487"/>
      <c r="AI70" s="637"/>
      <c r="AJ70" s="487"/>
      <c r="AK70" s="420"/>
      <c r="AL70" s="420"/>
      <c r="AM70" s="487"/>
      <c r="AN70" s="637"/>
      <c r="AO70" s="487"/>
      <c r="AP70" s="420"/>
      <c r="AQ70" s="420"/>
      <c r="AR70" s="487"/>
      <c r="AS70" s="637"/>
      <c r="AT70" s="487"/>
      <c r="AU70" s="420"/>
      <c r="AV70" s="420"/>
      <c r="AW70" s="487"/>
      <c r="AX70" s="637"/>
      <c r="AZ70" s="402" t="e">
        <f t="shared" si="46"/>
        <v>#N/A</v>
      </c>
      <c r="BA70" s="637"/>
    </row>
    <row r="71" spans="2:53">
      <c r="B71" s="635"/>
      <c r="C71" s="413">
        <v>5</v>
      </c>
      <c r="D71" s="225"/>
      <c r="E71" s="420"/>
      <c r="F71" s="413"/>
      <c r="G71" s="414"/>
      <c r="H71" s="678"/>
      <c r="I71" s="417" t="str">
        <f t="shared" si="43"/>
        <v>-</v>
      </c>
      <c r="J71" s="417" t="str">
        <f t="shared" si="44"/>
        <v>-</v>
      </c>
      <c r="K71" s="199" t="str">
        <f t="shared" si="45"/>
        <v>-</v>
      </c>
      <c r="L71" s="609"/>
      <c r="M71" s="419" t="e">
        <f>RANK(K71, K$87:$K$101)</f>
        <v>#VALUE!</v>
      </c>
      <c r="N71" s="627"/>
      <c r="O71" s="627"/>
      <c r="P71" s="487"/>
      <c r="Q71" s="420"/>
      <c r="R71" s="420"/>
      <c r="S71" s="487"/>
      <c r="T71" s="637"/>
      <c r="U71" s="487"/>
      <c r="V71" s="420"/>
      <c r="W71" s="420"/>
      <c r="X71" s="487"/>
      <c r="Y71" s="637"/>
      <c r="Z71" s="487"/>
      <c r="AA71" s="420"/>
      <c r="AB71" s="420"/>
      <c r="AC71" s="487"/>
      <c r="AD71" s="637"/>
      <c r="AE71" s="487"/>
      <c r="AF71" s="420"/>
      <c r="AG71" s="420"/>
      <c r="AH71" s="487"/>
      <c r="AI71" s="637"/>
      <c r="AJ71" s="487"/>
      <c r="AK71" s="420"/>
      <c r="AL71" s="420"/>
      <c r="AM71" s="487"/>
      <c r="AN71" s="637"/>
      <c r="AO71" s="487"/>
      <c r="AP71" s="420"/>
      <c r="AQ71" s="420"/>
      <c r="AR71" s="487"/>
      <c r="AS71" s="637"/>
      <c r="AT71" s="487"/>
      <c r="AU71" s="420"/>
      <c r="AV71" s="420"/>
      <c r="AW71" s="487"/>
      <c r="AX71" s="637"/>
      <c r="AZ71" s="402" t="e">
        <f t="shared" si="46"/>
        <v>#N/A</v>
      </c>
      <c r="BA71" s="637"/>
    </row>
    <row r="72" spans="2:53">
      <c r="B72" s="635"/>
      <c r="C72" s="413">
        <v>6</v>
      </c>
      <c r="D72" s="225"/>
      <c r="E72" s="420"/>
      <c r="F72" s="413"/>
      <c r="G72" s="414"/>
      <c r="H72" s="678"/>
      <c r="I72" s="417" t="str">
        <f t="shared" si="43"/>
        <v>-</v>
      </c>
      <c r="J72" s="417" t="str">
        <f t="shared" si="44"/>
        <v>-</v>
      </c>
      <c r="K72" s="199" t="str">
        <f t="shared" si="45"/>
        <v>-</v>
      </c>
      <c r="L72" s="609"/>
      <c r="M72" s="419" t="e">
        <f>RANK(K72, K$87:$K$101)</f>
        <v>#VALUE!</v>
      </c>
      <c r="N72" s="627"/>
      <c r="O72" s="627"/>
      <c r="P72" s="487"/>
      <c r="Q72" s="420"/>
      <c r="R72" s="420"/>
      <c r="S72" s="487"/>
      <c r="T72" s="637"/>
      <c r="U72" s="487"/>
      <c r="V72" s="420"/>
      <c r="W72" s="420"/>
      <c r="X72" s="487"/>
      <c r="Y72" s="637"/>
      <c r="Z72" s="487"/>
      <c r="AA72" s="420"/>
      <c r="AB72" s="420"/>
      <c r="AC72" s="487"/>
      <c r="AD72" s="637"/>
      <c r="AE72" s="487"/>
      <c r="AF72" s="420"/>
      <c r="AG72" s="420"/>
      <c r="AH72" s="487"/>
      <c r="AI72" s="637"/>
      <c r="AJ72" s="487"/>
      <c r="AK72" s="420"/>
      <c r="AL72" s="420"/>
      <c r="AM72" s="487"/>
      <c r="AN72" s="637"/>
      <c r="AO72" s="487"/>
      <c r="AP72" s="420"/>
      <c r="AQ72" s="420"/>
      <c r="AR72" s="487"/>
      <c r="AS72" s="637"/>
      <c r="AT72" s="487"/>
      <c r="AU72" s="420"/>
      <c r="AV72" s="420"/>
      <c r="AW72" s="487"/>
      <c r="AX72" s="637"/>
      <c r="AZ72" s="402" t="e">
        <f t="shared" si="46"/>
        <v>#N/A</v>
      </c>
      <c r="BA72" s="637"/>
    </row>
    <row r="73" spans="2:53">
      <c r="B73" s="635"/>
      <c r="C73" s="413">
        <v>7</v>
      </c>
      <c r="D73" s="225"/>
      <c r="E73" s="420"/>
      <c r="F73" s="413"/>
      <c r="G73" s="414"/>
      <c r="H73" s="678"/>
      <c r="I73" s="417" t="str">
        <f t="shared" si="43"/>
        <v>-</v>
      </c>
      <c r="J73" s="417" t="str">
        <f t="shared" si="44"/>
        <v>-</v>
      </c>
      <c r="K73" s="199" t="str">
        <f t="shared" si="45"/>
        <v>-</v>
      </c>
      <c r="L73" s="609"/>
      <c r="M73" s="419" t="e">
        <f>RANK(K73, K$87:$K$101)</f>
        <v>#VALUE!</v>
      </c>
      <c r="N73" s="627"/>
      <c r="O73" s="627"/>
      <c r="P73" s="487"/>
      <c r="Q73" s="420"/>
      <c r="R73" s="420"/>
      <c r="S73" s="487"/>
      <c r="T73" s="637"/>
      <c r="U73" s="487"/>
      <c r="V73" s="420"/>
      <c r="W73" s="420"/>
      <c r="X73" s="487"/>
      <c r="Y73" s="637"/>
      <c r="Z73" s="487"/>
      <c r="AA73" s="420"/>
      <c r="AB73" s="420"/>
      <c r="AC73" s="487"/>
      <c r="AD73" s="637"/>
      <c r="AE73" s="487"/>
      <c r="AF73" s="420"/>
      <c r="AG73" s="420"/>
      <c r="AH73" s="487"/>
      <c r="AI73" s="637"/>
      <c r="AJ73" s="487"/>
      <c r="AK73" s="420"/>
      <c r="AL73" s="420"/>
      <c r="AM73" s="487"/>
      <c r="AN73" s="637"/>
      <c r="AO73" s="487"/>
      <c r="AP73" s="420"/>
      <c r="AQ73" s="420"/>
      <c r="AR73" s="487"/>
      <c r="AS73" s="637"/>
      <c r="AT73" s="487"/>
      <c r="AU73" s="420"/>
      <c r="AV73" s="420"/>
      <c r="AW73" s="487"/>
      <c r="AX73" s="637"/>
      <c r="AZ73" s="402" t="e">
        <f t="shared" si="46"/>
        <v>#N/A</v>
      </c>
      <c r="BA73" s="637"/>
    </row>
    <row r="74" spans="2:53">
      <c r="B74" s="635"/>
      <c r="C74" s="413">
        <v>8</v>
      </c>
      <c r="D74" s="225"/>
      <c r="E74" s="420"/>
      <c r="F74" s="413"/>
      <c r="G74" s="414"/>
      <c r="H74" s="678"/>
      <c r="I74" s="417" t="str">
        <f t="shared" si="43"/>
        <v>-</v>
      </c>
      <c r="J74" s="417" t="str">
        <f t="shared" si="44"/>
        <v>-</v>
      </c>
      <c r="K74" s="199" t="str">
        <f t="shared" si="45"/>
        <v>-</v>
      </c>
      <c r="L74" s="609"/>
      <c r="M74" s="419" t="e">
        <f>RANK(K74, K$87:$K$101)</f>
        <v>#VALUE!</v>
      </c>
      <c r="N74" s="627"/>
      <c r="O74" s="627"/>
      <c r="P74" s="487"/>
      <c r="Q74" s="420"/>
      <c r="R74" s="420"/>
      <c r="S74" s="487"/>
      <c r="T74" s="637"/>
      <c r="U74" s="487"/>
      <c r="V74" s="420"/>
      <c r="W74" s="420"/>
      <c r="X74" s="487"/>
      <c r="Y74" s="637"/>
      <c r="Z74" s="487"/>
      <c r="AA74" s="420"/>
      <c r="AB74" s="420"/>
      <c r="AC74" s="487"/>
      <c r="AD74" s="637"/>
      <c r="AE74" s="487"/>
      <c r="AF74" s="420"/>
      <c r="AG74" s="420"/>
      <c r="AH74" s="487"/>
      <c r="AI74" s="637"/>
      <c r="AJ74" s="487"/>
      <c r="AK74" s="420"/>
      <c r="AL74" s="420"/>
      <c r="AM74" s="487"/>
      <c r="AN74" s="637"/>
      <c r="AO74" s="487"/>
      <c r="AP74" s="420"/>
      <c r="AQ74" s="420"/>
      <c r="AR74" s="487"/>
      <c r="AS74" s="637"/>
      <c r="AT74" s="487"/>
      <c r="AU74" s="420"/>
      <c r="AV74" s="420"/>
      <c r="AW74" s="487"/>
      <c r="AX74" s="637"/>
      <c r="AZ74" s="402" t="e">
        <f t="shared" si="46"/>
        <v>#N/A</v>
      </c>
      <c r="BA74" s="637"/>
    </row>
    <row r="75" spans="2:53">
      <c r="B75" s="635"/>
      <c r="C75" s="413">
        <v>9</v>
      </c>
      <c r="D75" s="225"/>
      <c r="E75" s="420"/>
      <c r="F75" s="413"/>
      <c r="G75" s="414"/>
      <c r="H75" s="678"/>
      <c r="I75" s="417" t="str">
        <f t="shared" si="43"/>
        <v>-</v>
      </c>
      <c r="J75" s="417" t="str">
        <f t="shared" si="44"/>
        <v>-</v>
      </c>
      <c r="K75" s="199" t="str">
        <f t="shared" si="45"/>
        <v>-</v>
      </c>
      <c r="L75" s="609"/>
      <c r="M75" s="419" t="e">
        <f>RANK(K75, K$87:$K$101)</f>
        <v>#VALUE!</v>
      </c>
      <c r="N75" s="627"/>
      <c r="O75" s="627"/>
      <c r="P75" s="487"/>
      <c r="Q75" s="420"/>
      <c r="R75" s="420"/>
      <c r="S75" s="487"/>
      <c r="T75" s="637"/>
      <c r="U75" s="487"/>
      <c r="V75" s="420"/>
      <c r="W75" s="420"/>
      <c r="X75" s="487"/>
      <c r="Y75" s="637"/>
      <c r="Z75" s="487"/>
      <c r="AA75" s="420"/>
      <c r="AB75" s="420"/>
      <c r="AC75" s="487"/>
      <c r="AD75" s="637"/>
      <c r="AE75" s="487"/>
      <c r="AF75" s="420"/>
      <c r="AG75" s="420"/>
      <c r="AH75" s="487"/>
      <c r="AI75" s="637"/>
      <c r="AJ75" s="487"/>
      <c r="AK75" s="420"/>
      <c r="AL75" s="420"/>
      <c r="AM75" s="487"/>
      <c r="AN75" s="637"/>
      <c r="AO75" s="487"/>
      <c r="AP75" s="420"/>
      <c r="AQ75" s="420"/>
      <c r="AR75" s="487"/>
      <c r="AS75" s="637"/>
      <c r="AT75" s="487"/>
      <c r="AU75" s="420"/>
      <c r="AV75" s="420"/>
      <c r="AW75" s="487"/>
      <c r="AX75" s="637"/>
      <c r="AZ75" s="402" t="e">
        <f t="shared" si="46"/>
        <v>#N/A</v>
      </c>
      <c r="BA75" s="637"/>
    </row>
    <row r="76" spans="2:53">
      <c r="B76" s="635"/>
      <c r="C76" s="413">
        <v>10</v>
      </c>
      <c r="D76" s="225"/>
      <c r="E76" s="420"/>
      <c r="F76" s="413"/>
      <c r="G76" s="414"/>
      <c r="H76" s="678"/>
      <c r="I76" s="417" t="str">
        <f t="shared" si="43"/>
        <v>-</v>
      </c>
      <c r="J76" s="417" t="str">
        <f t="shared" si="44"/>
        <v>-</v>
      </c>
      <c r="K76" s="199" t="str">
        <f t="shared" si="45"/>
        <v>-</v>
      </c>
      <c r="L76" s="609"/>
      <c r="M76" s="419" t="e">
        <f>RANK(K76, K$87:$K$101)</f>
        <v>#VALUE!</v>
      </c>
      <c r="N76" s="627"/>
      <c r="O76" s="627"/>
      <c r="P76" s="487"/>
      <c r="Q76" s="420"/>
      <c r="R76" s="420"/>
      <c r="S76" s="487"/>
      <c r="T76" s="637"/>
      <c r="U76" s="487"/>
      <c r="V76" s="420"/>
      <c r="W76" s="420"/>
      <c r="X76" s="487"/>
      <c r="Y76" s="637"/>
      <c r="Z76" s="487"/>
      <c r="AA76" s="420"/>
      <c r="AB76" s="420"/>
      <c r="AC76" s="487"/>
      <c r="AD76" s="637"/>
      <c r="AE76" s="487"/>
      <c r="AF76" s="420"/>
      <c r="AG76" s="420"/>
      <c r="AH76" s="487"/>
      <c r="AI76" s="637"/>
      <c r="AJ76" s="487"/>
      <c r="AK76" s="420"/>
      <c r="AL76" s="420"/>
      <c r="AM76" s="487"/>
      <c r="AN76" s="637"/>
      <c r="AO76" s="487"/>
      <c r="AP76" s="420"/>
      <c r="AQ76" s="420"/>
      <c r="AR76" s="487"/>
      <c r="AS76" s="637"/>
      <c r="AT76" s="487"/>
      <c r="AU76" s="420"/>
      <c r="AV76" s="420"/>
      <c r="AW76" s="487"/>
      <c r="AX76" s="637"/>
      <c r="AZ76" s="402" t="e">
        <f t="shared" si="46"/>
        <v>#N/A</v>
      </c>
      <c r="BA76" s="637"/>
    </row>
    <row r="77" spans="2:53">
      <c r="B77" s="635"/>
      <c r="C77" s="413">
        <v>11</v>
      </c>
      <c r="D77" s="225"/>
      <c r="E77" s="420"/>
      <c r="F77" s="413"/>
      <c r="G77" s="414"/>
      <c r="H77" s="678"/>
      <c r="I77" s="417" t="str">
        <f t="shared" si="43"/>
        <v>-</v>
      </c>
      <c r="J77" s="417" t="str">
        <f t="shared" si="44"/>
        <v>-</v>
      </c>
      <c r="K77" s="199" t="str">
        <f t="shared" si="45"/>
        <v>-</v>
      </c>
      <c r="L77" s="609"/>
      <c r="M77" s="419" t="e">
        <f>RANK(K77, K$87:$K$101)</f>
        <v>#VALUE!</v>
      </c>
      <c r="N77" s="627"/>
      <c r="O77" s="627"/>
      <c r="P77" s="487"/>
      <c r="Q77" s="420"/>
      <c r="R77" s="420"/>
      <c r="S77" s="487"/>
      <c r="T77" s="637"/>
      <c r="U77" s="487"/>
      <c r="V77" s="420"/>
      <c r="W77" s="420"/>
      <c r="X77" s="487"/>
      <c r="Y77" s="637"/>
      <c r="Z77" s="487"/>
      <c r="AA77" s="420"/>
      <c r="AB77" s="420"/>
      <c r="AC77" s="487"/>
      <c r="AD77" s="637"/>
      <c r="AE77" s="487"/>
      <c r="AF77" s="420"/>
      <c r="AG77" s="420"/>
      <c r="AH77" s="487"/>
      <c r="AI77" s="637"/>
      <c r="AJ77" s="487"/>
      <c r="AK77" s="420"/>
      <c r="AL77" s="420"/>
      <c r="AM77" s="487"/>
      <c r="AN77" s="637"/>
      <c r="AO77" s="487"/>
      <c r="AP77" s="420"/>
      <c r="AQ77" s="420"/>
      <c r="AR77" s="487"/>
      <c r="AS77" s="637"/>
      <c r="AT77" s="487"/>
      <c r="AU77" s="420"/>
      <c r="AV77" s="420"/>
      <c r="AW77" s="487"/>
      <c r="AX77" s="637"/>
      <c r="AZ77" s="402" t="e">
        <f t="shared" si="46"/>
        <v>#N/A</v>
      </c>
      <c r="BA77" s="637"/>
    </row>
    <row r="78" spans="2:53">
      <c r="B78" s="635"/>
      <c r="C78" s="413">
        <v>12</v>
      </c>
      <c r="D78" s="225"/>
      <c r="E78" s="420"/>
      <c r="F78" s="413"/>
      <c r="G78" s="414"/>
      <c r="H78" s="678"/>
      <c r="I78" s="417" t="str">
        <f t="shared" si="43"/>
        <v>-</v>
      </c>
      <c r="J78" s="417" t="str">
        <f t="shared" si="44"/>
        <v>-</v>
      </c>
      <c r="K78" s="199" t="str">
        <f t="shared" si="45"/>
        <v>-</v>
      </c>
      <c r="L78" s="609"/>
      <c r="M78" s="419" t="e">
        <f>RANK(K78, K$87:$K$101)</f>
        <v>#VALUE!</v>
      </c>
      <c r="N78" s="627"/>
      <c r="O78" s="627"/>
      <c r="P78" s="487"/>
      <c r="Q78" s="420"/>
      <c r="R78" s="420"/>
      <c r="S78" s="487"/>
      <c r="T78" s="637"/>
      <c r="U78" s="487"/>
      <c r="V78" s="420"/>
      <c r="W78" s="420"/>
      <c r="X78" s="487"/>
      <c r="Y78" s="637"/>
      <c r="Z78" s="487"/>
      <c r="AA78" s="420"/>
      <c r="AB78" s="420"/>
      <c r="AC78" s="487"/>
      <c r="AD78" s="637"/>
      <c r="AE78" s="487"/>
      <c r="AF78" s="420"/>
      <c r="AG78" s="420"/>
      <c r="AH78" s="487"/>
      <c r="AI78" s="637"/>
      <c r="AJ78" s="487"/>
      <c r="AK78" s="420"/>
      <c r="AL78" s="420"/>
      <c r="AM78" s="487"/>
      <c r="AN78" s="637"/>
      <c r="AO78" s="487"/>
      <c r="AP78" s="420"/>
      <c r="AQ78" s="420"/>
      <c r="AR78" s="487"/>
      <c r="AS78" s="637"/>
      <c r="AT78" s="487"/>
      <c r="AU78" s="420"/>
      <c r="AV78" s="420"/>
      <c r="AW78" s="487"/>
      <c r="AX78" s="637"/>
      <c r="AZ78" s="402" t="e">
        <f t="shared" si="46"/>
        <v>#N/A</v>
      </c>
      <c r="BA78" s="637"/>
    </row>
    <row r="79" spans="2:53">
      <c r="B79" s="635"/>
      <c r="C79" s="413">
        <v>13</v>
      </c>
      <c r="D79" s="225"/>
      <c r="E79" s="420"/>
      <c r="F79" s="413"/>
      <c r="G79" s="414"/>
      <c r="H79" s="678"/>
      <c r="I79" s="417" t="str">
        <f t="shared" si="43"/>
        <v>-</v>
      </c>
      <c r="J79" s="417" t="str">
        <f t="shared" si="44"/>
        <v>-</v>
      </c>
      <c r="K79" s="199" t="str">
        <f t="shared" si="45"/>
        <v>-</v>
      </c>
      <c r="L79" s="609"/>
      <c r="M79" s="419" t="e">
        <f>RANK(K79, K$87:$K$101)</f>
        <v>#VALUE!</v>
      </c>
      <c r="N79" s="627"/>
      <c r="O79" s="627"/>
      <c r="P79" s="487"/>
      <c r="Q79" s="420"/>
      <c r="R79" s="420"/>
      <c r="S79" s="487"/>
      <c r="T79" s="637"/>
      <c r="U79" s="487"/>
      <c r="V79" s="420"/>
      <c r="W79" s="420"/>
      <c r="X79" s="487"/>
      <c r="Y79" s="637"/>
      <c r="Z79" s="487"/>
      <c r="AA79" s="420"/>
      <c r="AB79" s="420"/>
      <c r="AC79" s="487"/>
      <c r="AD79" s="637"/>
      <c r="AE79" s="487"/>
      <c r="AF79" s="420"/>
      <c r="AG79" s="420"/>
      <c r="AH79" s="487"/>
      <c r="AI79" s="637"/>
      <c r="AJ79" s="487"/>
      <c r="AK79" s="420"/>
      <c r="AL79" s="420"/>
      <c r="AM79" s="487"/>
      <c r="AN79" s="637"/>
      <c r="AO79" s="487"/>
      <c r="AP79" s="420"/>
      <c r="AQ79" s="420"/>
      <c r="AR79" s="487"/>
      <c r="AS79" s="637"/>
      <c r="AT79" s="487"/>
      <c r="AU79" s="420"/>
      <c r="AV79" s="420"/>
      <c r="AW79" s="487"/>
      <c r="AX79" s="637"/>
      <c r="AZ79" s="402" t="e">
        <f t="shared" si="46"/>
        <v>#N/A</v>
      </c>
      <c r="BA79" s="637"/>
    </row>
    <row r="80" spans="2:53">
      <c r="B80" s="635"/>
      <c r="C80" s="413">
        <v>14</v>
      </c>
      <c r="D80" s="225"/>
      <c r="E80" s="420"/>
      <c r="F80" s="413"/>
      <c r="G80" s="414"/>
      <c r="H80" s="678"/>
      <c r="I80" s="417" t="str">
        <f t="shared" si="43"/>
        <v>-</v>
      </c>
      <c r="J80" s="417" t="str">
        <f t="shared" si="44"/>
        <v>-</v>
      </c>
      <c r="K80" s="199" t="str">
        <f t="shared" si="45"/>
        <v>-</v>
      </c>
      <c r="L80" s="609"/>
      <c r="M80" s="419" t="e">
        <f>RANK(K80, K$87:$K$101)</f>
        <v>#VALUE!</v>
      </c>
      <c r="N80" s="627"/>
      <c r="O80" s="627"/>
      <c r="P80" s="487"/>
      <c r="Q80" s="420"/>
      <c r="R80" s="420"/>
      <c r="S80" s="487"/>
      <c r="T80" s="637"/>
      <c r="U80" s="487"/>
      <c r="V80" s="420"/>
      <c r="W80" s="420"/>
      <c r="X80" s="487"/>
      <c r="Y80" s="637"/>
      <c r="Z80" s="487"/>
      <c r="AA80" s="420"/>
      <c r="AB80" s="420"/>
      <c r="AC80" s="487"/>
      <c r="AD80" s="637"/>
      <c r="AE80" s="487"/>
      <c r="AF80" s="420"/>
      <c r="AG80" s="420"/>
      <c r="AH80" s="487"/>
      <c r="AI80" s="637"/>
      <c r="AJ80" s="487"/>
      <c r="AK80" s="420"/>
      <c r="AL80" s="420"/>
      <c r="AM80" s="487"/>
      <c r="AN80" s="637"/>
      <c r="AO80" s="487"/>
      <c r="AP80" s="420"/>
      <c r="AQ80" s="420"/>
      <c r="AR80" s="487"/>
      <c r="AS80" s="637"/>
      <c r="AT80" s="487"/>
      <c r="AU80" s="420"/>
      <c r="AV80" s="420"/>
      <c r="AW80" s="487"/>
      <c r="AX80" s="637"/>
      <c r="AZ80" s="402" t="e">
        <f t="shared" si="46"/>
        <v>#N/A</v>
      </c>
      <c r="BA80" s="637"/>
    </row>
    <row r="81" spans="2:53">
      <c r="B81" s="635"/>
      <c r="C81" s="413">
        <v>15</v>
      </c>
      <c r="D81" s="225"/>
      <c r="E81" s="420"/>
      <c r="F81" s="413"/>
      <c r="G81" s="414"/>
      <c r="H81" s="679"/>
      <c r="I81" s="489" t="str">
        <f t="shared" ref="I81" si="48">IFERROR(AVERAGE(P81,U81,Z81,AE81,AJ81,AO81,AT81),"-")</f>
        <v>-</v>
      </c>
      <c r="J81" s="489" t="str">
        <f t="shared" ref="J81" si="49">IFERROR(AVERAGE(Q81,V81,AA81,AF81,AK81,AP81,AU81),"-")</f>
        <v>-</v>
      </c>
      <c r="K81" s="199" t="str">
        <f t="shared" ref="K81" si="50">IFERROR(AVERAGE(R81,W81,AB81,AG81,AL81,AQ81,AV81),"-")</f>
        <v>-</v>
      </c>
      <c r="L81" s="610"/>
      <c r="M81" s="417" t="e">
        <f>RANK(K81, K$87:$K$101)</f>
        <v>#VALUE!</v>
      </c>
      <c r="N81" s="627"/>
      <c r="O81" s="627"/>
      <c r="P81" s="487"/>
      <c r="Q81" s="420"/>
      <c r="R81" s="420"/>
      <c r="S81" s="487"/>
      <c r="T81" s="638"/>
      <c r="U81" s="487"/>
      <c r="V81" s="420"/>
      <c r="W81" s="420"/>
      <c r="X81" s="487"/>
      <c r="Y81" s="638"/>
      <c r="Z81" s="487"/>
      <c r="AA81" s="420"/>
      <c r="AB81" s="420"/>
      <c r="AC81" s="487"/>
      <c r="AD81" s="638"/>
      <c r="AE81" s="487"/>
      <c r="AF81" s="420"/>
      <c r="AG81" s="420"/>
      <c r="AH81" s="487"/>
      <c r="AI81" s="638"/>
      <c r="AJ81" s="487"/>
      <c r="AK81" s="420"/>
      <c r="AL81" s="420"/>
      <c r="AM81" s="487"/>
      <c r="AN81" s="638"/>
      <c r="AO81" s="487"/>
      <c r="AP81" s="420"/>
      <c r="AQ81" s="420"/>
      <c r="AR81" s="487"/>
      <c r="AS81" s="638"/>
      <c r="AT81" s="487"/>
      <c r="AU81" s="420"/>
      <c r="AV81" s="420"/>
      <c r="AW81" s="487"/>
      <c r="AX81" s="638"/>
      <c r="AZ81" s="402" t="e">
        <f t="shared" si="46"/>
        <v>#N/A</v>
      </c>
      <c r="BA81" s="638"/>
    </row>
    <row r="82" spans="2:53" ht="15.75">
      <c r="B82" s="639" t="s">
        <v>163</v>
      </c>
      <c r="C82" s="640"/>
      <c r="D82" s="640"/>
      <c r="E82" s="640"/>
      <c r="F82" s="640"/>
      <c r="G82" s="640"/>
      <c r="H82" s="641"/>
      <c r="I82" s="207"/>
      <c r="J82" s="207"/>
      <c r="K82" s="207"/>
      <c r="L82" s="207"/>
      <c r="M82" s="206"/>
      <c r="N82" s="628" t="s">
        <v>156</v>
      </c>
      <c r="O82" s="628" t="s">
        <v>105</v>
      </c>
      <c r="P82" s="634">
        <f>P62+7</f>
        <v>46196</v>
      </c>
      <c r="Q82" s="635"/>
      <c r="R82" s="635"/>
      <c r="S82" s="635"/>
      <c r="T82" s="635"/>
      <c r="U82" s="631">
        <f>P82+1</f>
        <v>46197</v>
      </c>
      <c r="V82" s="632"/>
      <c r="W82" s="632"/>
      <c r="X82" s="632"/>
      <c r="Y82" s="633"/>
      <c r="Z82" s="631">
        <f>U82+1</f>
        <v>46198</v>
      </c>
      <c r="AA82" s="632"/>
      <c r="AB82" s="632"/>
      <c r="AC82" s="632"/>
      <c r="AD82" s="633"/>
      <c r="AE82" s="631">
        <f>Z82+1</f>
        <v>46199</v>
      </c>
      <c r="AF82" s="632"/>
      <c r="AG82" s="632"/>
      <c r="AH82" s="632"/>
      <c r="AI82" s="633"/>
      <c r="AJ82" s="631">
        <f>AE82+1</f>
        <v>46200</v>
      </c>
      <c r="AK82" s="632"/>
      <c r="AL82" s="632"/>
      <c r="AM82" s="632"/>
      <c r="AN82" s="633"/>
      <c r="AO82" s="631">
        <f>AJ82+1</f>
        <v>46201</v>
      </c>
      <c r="AP82" s="632"/>
      <c r="AQ82" s="632"/>
      <c r="AR82" s="632"/>
      <c r="AS82" s="633"/>
      <c r="AT82" s="631">
        <f>AO82+1</f>
        <v>46202</v>
      </c>
      <c r="AU82" s="632"/>
      <c r="AV82" s="632"/>
      <c r="AW82" s="632"/>
      <c r="AX82" s="633"/>
    </row>
    <row r="83" spans="2:53" ht="15.75">
      <c r="B83" s="642"/>
      <c r="C83" s="642"/>
      <c r="D83" s="642"/>
      <c r="E83" s="642"/>
      <c r="F83" s="642"/>
      <c r="G83" s="642"/>
      <c r="H83" s="642"/>
      <c r="I83" s="204"/>
      <c r="J83" s="204"/>
      <c r="K83" s="204"/>
      <c r="L83" s="204"/>
      <c r="M83" s="205"/>
      <c r="N83" s="630"/>
      <c r="O83" s="630"/>
      <c r="P83" s="634" t="s">
        <v>318</v>
      </c>
      <c r="Q83" s="635"/>
      <c r="R83" s="635"/>
      <c r="S83" s="635"/>
      <c r="T83" s="635"/>
      <c r="U83" s="634" t="s">
        <v>319</v>
      </c>
      <c r="V83" s="635"/>
      <c r="W83" s="635"/>
      <c r="X83" s="635"/>
      <c r="Y83" s="635"/>
      <c r="Z83" s="634" t="s">
        <v>320</v>
      </c>
      <c r="AA83" s="635"/>
      <c r="AB83" s="635"/>
      <c r="AC83" s="635"/>
      <c r="AD83" s="635"/>
      <c r="AE83" s="634" t="s">
        <v>321</v>
      </c>
      <c r="AF83" s="635"/>
      <c r="AG83" s="635"/>
      <c r="AH83" s="635"/>
      <c r="AI83" s="635"/>
      <c r="AJ83" s="634" t="s">
        <v>322</v>
      </c>
      <c r="AK83" s="635"/>
      <c r="AL83" s="635"/>
      <c r="AM83" s="635"/>
      <c r="AN83" s="635"/>
      <c r="AO83" s="634" t="s">
        <v>323</v>
      </c>
      <c r="AP83" s="635"/>
      <c r="AQ83" s="635"/>
      <c r="AR83" s="635"/>
      <c r="AS83" s="635"/>
      <c r="AT83" s="634" t="s">
        <v>324</v>
      </c>
      <c r="AU83" s="635"/>
      <c r="AV83" s="635"/>
      <c r="AW83" s="635"/>
      <c r="AX83" s="635"/>
    </row>
    <row r="84" spans="2:53">
      <c r="B84" s="627" t="s">
        <v>399</v>
      </c>
      <c r="C84" s="627" t="s">
        <v>384</v>
      </c>
      <c r="D84" s="627"/>
      <c r="E84" s="627" t="s">
        <v>375</v>
      </c>
      <c r="F84" s="627"/>
      <c r="G84" s="627"/>
      <c r="H84" s="643" t="s">
        <v>371</v>
      </c>
      <c r="I84" s="611" t="s">
        <v>376</v>
      </c>
      <c r="J84" s="611"/>
      <c r="K84" s="611"/>
      <c r="L84" s="612" t="s">
        <v>371</v>
      </c>
      <c r="M84" s="618" t="s">
        <v>372</v>
      </c>
      <c r="N84" s="627"/>
      <c r="O84" s="627" t="s">
        <v>377</v>
      </c>
      <c r="P84" s="624" t="s">
        <v>373</v>
      </c>
      <c r="Q84" s="625"/>
      <c r="R84" s="625"/>
      <c r="S84" s="626"/>
      <c r="T84" s="627" t="s">
        <v>371</v>
      </c>
      <c r="U84" s="624" t="s">
        <v>373</v>
      </c>
      <c r="V84" s="625"/>
      <c r="W84" s="625"/>
      <c r="X84" s="626"/>
      <c r="Y84" s="627" t="s">
        <v>371</v>
      </c>
      <c r="Z84" s="624" t="s">
        <v>373</v>
      </c>
      <c r="AA84" s="625"/>
      <c r="AB84" s="625"/>
      <c r="AC84" s="626"/>
      <c r="AD84" s="627" t="s">
        <v>371</v>
      </c>
      <c r="AE84" s="624" t="s">
        <v>373</v>
      </c>
      <c r="AF84" s="625"/>
      <c r="AG84" s="625"/>
      <c r="AH84" s="626"/>
      <c r="AI84" s="627" t="s">
        <v>371</v>
      </c>
      <c r="AJ84" s="624" t="s">
        <v>373</v>
      </c>
      <c r="AK84" s="625"/>
      <c r="AL84" s="625"/>
      <c r="AM84" s="626"/>
      <c r="AN84" s="627" t="s">
        <v>371</v>
      </c>
      <c r="AO84" s="624" t="s">
        <v>373</v>
      </c>
      <c r="AP84" s="625"/>
      <c r="AQ84" s="625"/>
      <c r="AR84" s="626"/>
      <c r="AS84" s="627" t="s">
        <v>371</v>
      </c>
      <c r="AT84" s="624" t="s">
        <v>373</v>
      </c>
      <c r="AU84" s="625"/>
      <c r="AV84" s="625"/>
      <c r="AW84" s="626"/>
      <c r="AX84" s="627" t="s">
        <v>371</v>
      </c>
      <c r="BA84" s="627" t="s">
        <v>371</v>
      </c>
    </row>
    <row r="85" spans="2:53">
      <c r="B85" s="627"/>
      <c r="C85" s="627"/>
      <c r="D85" s="627"/>
      <c r="E85" s="627" t="s">
        <v>378</v>
      </c>
      <c r="F85" s="627"/>
      <c r="G85" s="627"/>
      <c r="H85" s="644"/>
      <c r="I85" s="611" t="s">
        <v>378</v>
      </c>
      <c r="J85" s="611"/>
      <c r="K85" s="611"/>
      <c r="L85" s="613"/>
      <c r="M85" s="619"/>
      <c r="N85" s="627"/>
      <c r="O85" s="627"/>
      <c r="P85" s="624" t="s">
        <v>379</v>
      </c>
      <c r="Q85" s="625"/>
      <c r="R85" s="625"/>
      <c r="S85" s="626"/>
      <c r="T85" s="627"/>
      <c r="U85" s="624" t="s">
        <v>379</v>
      </c>
      <c r="V85" s="625"/>
      <c r="W85" s="625"/>
      <c r="X85" s="626"/>
      <c r="Y85" s="627"/>
      <c r="Z85" s="624" t="s">
        <v>379</v>
      </c>
      <c r="AA85" s="625"/>
      <c r="AB85" s="625"/>
      <c r="AC85" s="626"/>
      <c r="AD85" s="627"/>
      <c r="AE85" s="624" t="s">
        <v>379</v>
      </c>
      <c r="AF85" s="625"/>
      <c r="AG85" s="625"/>
      <c r="AH85" s="626"/>
      <c r="AI85" s="627"/>
      <c r="AJ85" s="624" t="s">
        <v>379</v>
      </c>
      <c r="AK85" s="625"/>
      <c r="AL85" s="625"/>
      <c r="AM85" s="626"/>
      <c r="AN85" s="627"/>
      <c r="AO85" s="624" t="s">
        <v>379</v>
      </c>
      <c r="AP85" s="625"/>
      <c r="AQ85" s="625"/>
      <c r="AR85" s="626"/>
      <c r="AS85" s="627"/>
      <c r="AT85" s="624" t="s">
        <v>379</v>
      </c>
      <c r="AU85" s="625"/>
      <c r="AV85" s="625"/>
      <c r="AW85" s="626"/>
      <c r="AX85" s="627"/>
      <c r="BA85" s="627"/>
    </row>
    <row r="86" spans="2:53">
      <c r="B86" s="627"/>
      <c r="C86" s="627"/>
      <c r="D86" s="627"/>
      <c r="E86" s="412" t="s">
        <v>380</v>
      </c>
      <c r="F86" s="412" t="s">
        <v>381</v>
      </c>
      <c r="G86" s="412" t="s">
        <v>382</v>
      </c>
      <c r="H86" s="645"/>
      <c r="I86" s="411" t="s">
        <v>380</v>
      </c>
      <c r="J86" s="411" t="s">
        <v>381</v>
      </c>
      <c r="K86" s="411" t="s">
        <v>382</v>
      </c>
      <c r="L86" s="614"/>
      <c r="M86" s="620"/>
      <c r="N86" s="627"/>
      <c r="O86" s="627"/>
      <c r="P86" s="412" t="s">
        <v>380</v>
      </c>
      <c r="Q86" s="412" t="s">
        <v>381</v>
      </c>
      <c r="R86" s="412" t="s">
        <v>382</v>
      </c>
      <c r="S86" s="412" t="s">
        <v>372</v>
      </c>
      <c r="T86" s="627"/>
      <c r="U86" s="412" t="s">
        <v>380</v>
      </c>
      <c r="V86" s="412" t="s">
        <v>381</v>
      </c>
      <c r="W86" s="412" t="s">
        <v>382</v>
      </c>
      <c r="X86" s="412" t="s">
        <v>372</v>
      </c>
      <c r="Y86" s="627"/>
      <c r="Z86" s="412" t="s">
        <v>380</v>
      </c>
      <c r="AA86" s="412" t="s">
        <v>381</v>
      </c>
      <c r="AB86" s="412" t="s">
        <v>382</v>
      </c>
      <c r="AC86" s="412" t="s">
        <v>372</v>
      </c>
      <c r="AD86" s="627"/>
      <c r="AE86" s="412" t="s">
        <v>380</v>
      </c>
      <c r="AF86" s="412" t="s">
        <v>381</v>
      </c>
      <c r="AG86" s="412" t="s">
        <v>382</v>
      </c>
      <c r="AH86" s="412" t="s">
        <v>372</v>
      </c>
      <c r="AI86" s="627"/>
      <c r="AJ86" s="412" t="s">
        <v>380</v>
      </c>
      <c r="AK86" s="412" t="s">
        <v>381</v>
      </c>
      <c r="AL86" s="412" t="s">
        <v>382</v>
      </c>
      <c r="AM86" s="412" t="s">
        <v>372</v>
      </c>
      <c r="AN86" s="627"/>
      <c r="AO86" s="412" t="s">
        <v>380</v>
      </c>
      <c r="AP86" s="412" t="s">
        <v>381</v>
      </c>
      <c r="AQ86" s="412" t="s">
        <v>382</v>
      </c>
      <c r="AR86" s="412" t="s">
        <v>372</v>
      </c>
      <c r="AS86" s="627"/>
      <c r="AT86" s="412" t="s">
        <v>380</v>
      </c>
      <c r="AU86" s="412" t="s">
        <v>381</v>
      </c>
      <c r="AV86" s="412" t="s">
        <v>382</v>
      </c>
      <c r="AW86" s="412" t="s">
        <v>372</v>
      </c>
      <c r="AX86" s="627"/>
      <c r="AZ86" s="401" t="s">
        <v>372</v>
      </c>
      <c r="BA86" s="627"/>
    </row>
    <row r="87" spans="2:53">
      <c r="B87" s="627" t="s">
        <v>414</v>
      </c>
      <c r="C87" s="413">
        <v>1</v>
      </c>
      <c r="D87" s="225"/>
      <c r="E87" s="420"/>
      <c r="F87" s="413"/>
      <c r="G87" s="414"/>
      <c r="H87" s="677" t="e">
        <f>AVERAGE(G87:G101)</f>
        <v>#DIV/0!</v>
      </c>
      <c r="I87" s="417" t="str">
        <f t="shared" ref="I87:I100" si="51">IFERROR(AVERAGE(P87,U87,Z87,AE87,AJ87,AO87,AT87),"-")</f>
        <v>-</v>
      </c>
      <c r="J87" s="417" t="str">
        <f t="shared" ref="J87:J100" si="52">IFERROR(AVERAGE(Q87,V87,AA87,AF87,AK87,AP87,AU87),"-")</f>
        <v>-</v>
      </c>
      <c r="K87" s="199" t="str">
        <f t="shared" ref="K87:K100" si="53">IFERROR(AVERAGE(R87,W87,AB87,AG87,AL87,AQ87,AV87),"-")</f>
        <v>-</v>
      </c>
      <c r="L87" s="608" t="str">
        <f>IFERROR(AVERAGE(K87:K101),"-")</f>
        <v>-</v>
      </c>
      <c r="M87" s="419" t="e">
        <f>RANK(K87, K$87:$K$101)</f>
        <v>#VALUE!</v>
      </c>
      <c r="N87" s="627"/>
      <c r="O87" s="627"/>
      <c r="P87" s="495"/>
      <c r="Q87" s="420"/>
      <c r="R87" s="420"/>
      <c r="S87" s="495" t="e">
        <f t="shared" ref="S87:S101" si="54">RANK(R87, R$87:R$101)</f>
        <v>#N/A</v>
      </c>
      <c r="T87" s="649" t="e">
        <f t="shared" ref="T87" si="55">AVERAGE(R87:R101)</f>
        <v>#DIV/0!</v>
      </c>
      <c r="U87" s="495"/>
      <c r="V87" s="420"/>
      <c r="W87" s="420"/>
      <c r="X87" s="495"/>
      <c r="Y87" s="649"/>
      <c r="Z87" s="495"/>
      <c r="AA87" s="420"/>
      <c r="AB87" s="420"/>
      <c r="AC87" s="495"/>
      <c r="AD87" s="649"/>
      <c r="AE87" s="495"/>
      <c r="AF87" s="420"/>
      <c r="AG87" s="420"/>
      <c r="AH87" s="495"/>
      <c r="AI87" s="649"/>
      <c r="AJ87" s="495"/>
      <c r="AK87" s="420"/>
      <c r="AL87" s="420"/>
      <c r="AM87" s="495"/>
      <c r="AN87" s="649"/>
      <c r="AO87" s="495"/>
      <c r="AP87" s="420"/>
      <c r="AQ87" s="420"/>
      <c r="AR87" s="495"/>
      <c r="AS87" s="649"/>
      <c r="AT87" s="495"/>
      <c r="AU87" s="420"/>
      <c r="AV87" s="420"/>
      <c r="AW87" s="495"/>
      <c r="AX87" s="649"/>
      <c r="AZ87" s="402" t="e">
        <f t="shared" ref="AZ87:AZ101" si="56">RANK(AY87, AY$87:AY$101)</f>
        <v>#N/A</v>
      </c>
      <c r="BA87" s="649" t="e">
        <f t="shared" ref="BA87" si="57">AVERAGE(AY87:AY101)</f>
        <v>#DIV/0!</v>
      </c>
    </row>
    <row r="88" spans="2:53">
      <c r="B88" s="635"/>
      <c r="C88" s="413">
        <v>2</v>
      </c>
      <c r="D88" s="225"/>
      <c r="E88" s="420"/>
      <c r="F88" s="413"/>
      <c r="G88" s="414"/>
      <c r="H88" s="678"/>
      <c r="I88" s="417" t="str">
        <f t="shared" si="51"/>
        <v>-</v>
      </c>
      <c r="J88" s="417" t="str">
        <f t="shared" si="52"/>
        <v>-</v>
      </c>
      <c r="K88" s="199" t="str">
        <f t="shared" si="53"/>
        <v>-</v>
      </c>
      <c r="L88" s="609"/>
      <c r="M88" s="419" t="e">
        <f>RANK(K88, K$87:$K$101)</f>
        <v>#VALUE!</v>
      </c>
      <c r="N88" s="627"/>
      <c r="O88" s="627"/>
      <c r="P88" s="495"/>
      <c r="Q88" s="420"/>
      <c r="R88" s="420"/>
      <c r="S88" s="495" t="e">
        <f t="shared" si="54"/>
        <v>#N/A</v>
      </c>
      <c r="T88" s="649"/>
      <c r="U88" s="495"/>
      <c r="V88" s="420"/>
      <c r="W88" s="420"/>
      <c r="X88" s="495"/>
      <c r="Y88" s="649"/>
      <c r="Z88" s="495"/>
      <c r="AA88" s="420"/>
      <c r="AB88" s="420"/>
      <c r="AC88" s="495"/>
      <c r="AD88" s="649"/>
      <c r="AE88" s="495"/>
      <c r="AF88" s="420"/>
      <c r="AG88" s="420"/>
      <c r="AH88" s="495"/>
      <c r="AI88" s="649"/>
      <c r="AJ88" s="495"/>
      <c r="AK88" s="420"/>
      <c r="AL88" s="420"/>
      <c r="AM88" s="495"/>
      <c r="AN88" s="649"/>
      <c r="AO88" s="495"/>
      <c r="AP88" s="420"/>
      <c r="AQ88" s="420"/>
      <c r="AR88" s="495"/>
      <c r="AS88" s="649"/>
      <c r="AT88" s="495"/>
      <c r="AU88" s="420"/>
      <c r="AV88" s="420"/>
      <c r="AW88" s="495"/>
      <c r="AX88" s="649"/>
      <c r="AZ88" s="402" t="e">
        <f t="shared" si="56"/>
        <v>#N/A</v>
      </c>
      <c r="BA88" s="649"/>
    </row>
    <row r="89" spans="2:53">
      <c r="B89" s="635"/>
      <c r="C89" s="413">
        <v>3</v>
      </c>
      <c r="D89" s="225"/>
      <c r="E89" s="420"/>
      <c r="F89" s="413"/>
      <c r="G89" s="414"/>
      <c r="H89" s="678"/>
      <c r="I89" s="417" t="str">
        <f t="shared" si="51"/>
        <v>-</v>
      </c>
      <c r="J89" s="417" t="str">
        <f t="shared" si="52"/>
        <v>-</v>
      </c>
      <c r="K89" s="199" t="str">
        <f t="shared" si="53"/>
        <v>-</v>
      </c>
      <c r="L89" s="609"/>
      <c r="M89" s="419" t="e">
        <f>RANK(K89, K$87:$K$101)</f>
        <v>#VALUE!</v>
      </c>
      <c r="N89" s="627"/>
      <c r="O89" s="627"/>
      <c r="P89" s="495"/>
      <c r="Q89" s="420"/>
      <c r="R89" s="420"/>
      <c r="S89" s="495" t="e">
        <f t="shared" si="54"/>
        <v>#N/A</v>
      </c>
      <c r="T89" s="649"/>
      <c r="U89" s="495"/>
      <c r="V89" s="420"/>
      <c r="W89" s="420"/>
      <c r="X89" s="495"/>
      <c r="Y89" s="649"/>
      <c r="Z89" s="495"/>
      <c r="AA89" s="420"/>
      <c r="AB89" s="420"/>
      <c r="AC89" s="495"/>
      <c r="AD89" s="649"/>
      <c r="AE89" s="495"/>
      <c r="AF89" s="420"/>
      <c r="AG89" s="420"/>
      <c r="AH89" s="495"/>
      <c r="AI89" s="649"/>
      <c r="AJ89" s="495"/>
      <c r="AK89" s="420"/>
      <c r="AL89" s="420"/>
      <c r="AM89" s="495"/>
      <c r="AN89" s="649"/>
      <c r="AO89" s="495"/>
      <c r="AP89" s="420"/>
      <c r="AQ89" s="420"/>
      <c r="AR89" s="495"/>
      <c r="AS89" s="649"/>
      <c r="AT89" s="495"/>
      <c r="AU89" s="420"/>
      <c r="AV89" s="420"/>
      <c r="AW89" s="495"/>
      <c r="AX89" s="649"/>
      <c r="AZ89" s="402" t="e">
        <f t="shared" si="56"/>
        <v>#N/A</v>
      </c>
      <c r="BA89" s="649"/>
    </row>
    <row r="90" spans="2:53">
      <c r="B90" s="635"/>
      <c r="C90" s="413">
        <v>4</v>
      </c>
      <c r="D90" s="225"/>
      <c r="E90" s="420"/>
      <c r="F90" s="413"/>
      <c r="G90" s="414"/>
      <c r="H90" s="678"/>
      <c r="I90" s="417" t="str">
        <f t="shared" si="51"/>
        <v>-</v>
      </c>
      <c r="J90" s="417" t="str">
        <f t="shared" si="52"/>
        <v>-</v>
      </c>
      <c r="K90" s="199" t="str">
        <f t="shared" si="53"/>
        <v>-</v>
      </c>
      <c r="L90" s="609"/>
      <c r="M90" s="419" t="e">
        <f>RANK(K90, K$87:$K$101)</f>
        <v>#VALUE!</v>
      </c>
      <c r="N90" s="627"/>
      <c r="O90" s="627"/>
      <c r="P90" s="495"/>
      <c r="Q90" s="420"/>
      <c r="R90" s="420"/>
      <c r="S90" s="495" t="e">
        <f t="shared" si="54"/>
        <v>#N/A</v>
      </c>
      <c r="T90" s="649"/>
      <c r="U90" s="495"/>
      <c r="V90" s="420"/>
      <c r="W90" s="420"/>
      <c r="X90" s="495"/>
      <c r="Y90" s="649"/>
      <c r="Z90" s="495"/>
      <c r="AA90" s="420"/>
      <c r="AB90" s="420"/>
      <c r="AC90" s="495"/>
      <c r="AD90" s="649"/>
      <c r="AE90" s="495"/>
      <c r="AF90" s="420"/>
      <c r="AG90" s="420"/>
      <c r="AH90" s="495"/>
      <c r="AI90" s="649"/>
      <c r="AJ90" s="495"/>
      <c r="AK90" s="420"/>
      <c r="AL90" s="420"/>
      <c r="AM90" s="495"/>
      <c r="AN90" s="649"/>
      <c r="AO90" s="495"/>
      <c r="AP90" s="420"/>
      <c r="AQ90" s="420"/>
      <c r="AR90" s="495"/>
      <c r="AS90" s="649"/>
      <c r="AT90" s="495"/>
      <c r="AU90" s="420"/>
      <c r="AV90" s="420"/>
      <c r="AW90" s="495"/>
      <c r="AX90" s="649"/>
      <c r="AZ90" s="402" t="e">
        <f t="shared" si="56"/>
        <v>#N/A</v>
      </c>
      <c r="BA90" s="649"/>
    </row>
    <row r="91" spans="2:53">
      <c r="B91" s="635"/>
      <c r="C91" s="413">
        <v>5</v>
      </c>
      <c r="D91" s="225"/>
      <c r="E91" s="420"/>
      <c r="F91" s="413"/>
      <c r="G91" s="414"/>
      <c r="H91" s="678"/>
      <c r="I91" s="417" t="str">
        <f t="shared" si="51"/>
        <v>-</v>
      </c>
      <c r="J91" s="417" t="str">
        <f t="shared" si="52"/>
        <v>-</v>
      </c>
      <c r="K91" s="199" t="str">
        <f t="shared" si="53"/>
        <v>-</v>
      </c>
      <c r="L91" s="609"/>
      <c r="M91" s="419" t="e">
        <f>RANK(K91, K$87:$K$101)</f>
        <v>#VALUE!</v>
      </c>
      <c r="N91" s="627"/>
      <c r="O91" s="627"/>
      <c r="P91" s="495"/>
      <c r="Q91" s="420"/>
      <c r="R91" s="420"/>
      <c r="S91" s="495" t="e">
        <f t="shared" si="54"/>
        <v>#N/A</v>
      </c>
      <c r="T91" s="649"/>
      <c r="U91" s="495"/>
      <c r="V91" s="420"/>
      <c r="W91" s="420"/>
      <c r="X91" s="495"/>
      <c r="Y91" s="649"/>
      <c r="Z91" s="495"/>
      <c r="AA91" s="420"/>
      <c r="AB91" s="420"/>
      <c r="AC91" s="495"/>
      <c r="AD91" s="649"/>
      <c r="AE91" s="495"/>
      <c r="AF91" s="420"/>
      <c r="AG91" s="420"/>
      <c r="AH91" s="495"/>
      <c r="AI91" s="649"/>
      <c r="AJ91" s="495"/>
      <c r="AK91" s="420"/>
      <c r="AL91" s="420"/>
      <c r="AM91" s="495"/>
      <c r="AN91" s="649"/>
      <c r="AO91" s="495"/>
      <c r="AP91" s="420"/>
      <c r="AQ91" s="420"/>
      <c r="AR91" s="495"/>
      <c r="AS91" s="649"/>
      <c r="AT91" s="495"/>
      <c r="AU91" s="420"/>
      <c r="AV91" s="420"/>
      <c r="AW91" s="495"/>
      <c r="AX91" s="649"/>
      <c r="AZ91" s="402" t="e">
        <f t="shared" si="56"/>
        <v>#N/A</v>
      </c>
      <c r="BA91" s="649"/>
    </row>
    <row r="92" spans="2:53">
      <c r="B92" s="635"/>
      <c r="C92" s="413">
        <v>6</v>
      </c>
      <c r="D92" s="225"/>
      <c r="E92" s="420"/>
      <c r="F92" s="413"/>
      <c r="G92" s="414"/>
      <c r="H92" s="678"/>
      <c r="I92" s="417" t="str">
        <f t="shared" si="51"/>
        <v>-</v>
      </c>
      <c r="J92" s="417" t="str">
        <f t="shared" si="52"/>
        <v>-</v>
      </c>
      <c r="K92" s="199" t="str">
        <f t="shared" si="53"/>
        <v>-</v>
      </c>
      <c r="L92" s="609"/>
      <c r="M92" s="419" t="e">
        <f>RANK(K92, K$87:$K$101)</f>
        <v>#VALUE!</v>
      </c>
      <c r="N92" s="627"/>
      <c r="O92" s="627"/>
      <c r="P92" s="495"/>
      <c r="Q92" s="420"/>
      <c r="R92" s="420"/>
      <c r="S92" s="495" t="e">
        <f t="shared" si="54"/>
        <v>#N/A</v>
      </c>
      <c r="T92" s="649"/>
      <c r="U92" s="495"/>
      <c r="V92" s="420"/>
      <c r="W92" s="420"/>
      <c r="X92" s="495"/>
      <c r="Y92" s="649"/>
      <c r="Z92" s="495"/>
      <c r="AA92" s="420"/>
      <c r="AB92" s="420"/>
      <c r="AC92" s="495"/>
      <c r="AD92" s="649"/>
      <c r="AE92" s="495"/>
      <c r="AF92" s="420"/>
      <c r="AG92" s="420"/>
      <c r="AH92" s="495"/>
      <c r="AI92" s="649"/>
      <c r="AJ92" s="495"/>
      <c r="AK92" s="420"/>
      <c r="AL92" s="420"/>
      <c r="AM92" s="495"/>
      <c r="AN92" s="649"/>
      <c r="AO92" s="495"/>
      <c r="AP92" s="420"/>
      <c r="AQ92" s="420"/>
      <c r="AR92" s="495"/>
      <c r="AS92" s="649"/>
      <c r="AT92" s="495"/>
      <c r="AU92" s="420"/>
      <c r="AV92" s="420"/>
      <c r="AW92" s="495"/>
      <c r="AX92" s="649"/>
      <c r="AZ92" s="402" t="e">
        <f t="shared" si="56"/>
        <v>#N/A</v>
      </c>
      <c r="BA92" s="649"/>
    </row>
    <row r="93" spans="2:53">
      <c r="B93" s="635"/>
      <c r="C93" s="413">
        <v>7</v>
      </c>
      <c r="D93" s="225"/>
      <c r="E93" s="420"/>
      <c r="F93" s="413"/>
      <c r="G93" s="414"/>
      <c r="H93" s="678"/>
      <c r="I93" s="417" t="str">
        <f t="shared" si="51"/>
        <v>-</v>
      </c>
      <c r="J93" s="417" t="str">
        <f t="shared" si="52"/>
        <v>-</v>
      </c>
      <c r="K93" s="199" t="str">
        <f t="shared" si="53"/>
        <v>-</v>
      </c>
      <c r="L93" s="609"/>
      <c r="M93" s="419" t="e">
        <f>RANK(K93, K$87:$K$101)</f>
        <v>#VALUE!</v>
      </c>
      <c r="N93" s="627"/>
      <c r="O93" s="627"/>
      <c r="P93" s="495"/>
      <c r="Q93" s="420"/>
      <c r="R93" s="420"/>
      <c r="S93" s="495" t="e">
        <f t="shared" si="54"/>
        <v>#N/A</v>
      </c>
      <c r="T93" s="649"/>
      <c r="U93" s="495"/>
      <c r="V93" s="420"/>
      <c r="W93" s="420"/>
      <c r="X93" s="495"/>
      <c r="Y93" s="649"/>
      <c r="Z93" s="495"/>
      <c r="AA93" s="420"/>
      <c r="AB93" s="420"/>
      <c r="AC93" s="495"/>
      <c r="AD93" s="649"/>
      <c r="AE93" s="495"/>
      <c r="AF93" s="420"/>
      <c r="AG93" s="420"/>
      <c r="AH93" s="495"/>
      <c r="AI93" s="649"/>
      <c r="AJ93" s="495"/>
      <c r="AK93" s="420"/>
      <c r="AL93" s="420"/>
      <c r="AM93" s="495"/>
      <c r="AN93" s="649"/>
      <c r="AO93" s="495"/>
      <c r="AP93" s="420"/>
      <c r="AQ93" s="420"/>
      <c r="AR93" s="495"/>
      <c r="AS93" s="649"/>
      <c r="AT93" s="495"/>
      <c r="AU93" s="420"/>
      <c r="AV93" s="420"/>
      <c r="AW93" s="495"/>
      <c r="AX93" s="649"/>
      <c r="AZ93" s="402" t="e">
        <f t="shared" si="56"/>
        <v>#N/A</v>
      </c>
      <c r="BA93" s="649"/>
    </row>
    <row r="94" spans="2:53">
      <c r="B94" s="635"/>
      <c r="C94" s="413">
        <v>8</v>
      </c>
      <c r="D94" s="225"/>
      <c r="E94" s="420"/>
      <c r="F94" s="413"/>
      <c r="G94" s="414"/>
      <c r="H94" s="678"/>
      <c r="I94" s="417" t="str">
        <f t="shared" si="51"/>
        <v>-</v>
      </c>
      <c r="J94" s="417" t="str">
        <f t="shared" si="52"/>
        <v>-</v>
      </c>
      <c r="K94" s="199" t="str">
        <f t="shared" si="53"/>
        <v>-</v>
      </c>
      <c r="L94" s="609"/>
      <c r="M94" s="419" t="e">
        <f>RANK(K94, K$87:$K$101)</f>
        <v>#VALUE!</v>
      </c>
      <c r="N94" s="627"/>
      <c r="O94" s="627"/>
      <c r="P94" s="495"/>
      <c r="Q94" s="420"/>
      <c r="R94" s="420"/>
      <c r="S94" s="495" t="e">
        <f t="shared" si="54"/>
        <v>#N/A</v>
      </c>
      <c r="T94" s="649"/>
      <c r="U94" s="495"/>
      <c r="V94" s="420"/>
      <c r="W94" s="420"/>
      <c r="X94" s="495"/>
      <c r="Y94" s="649"/>
      <c r="Z94" s="495"/>
      <c r="AA94" s="420"/>
      <c r="AB94" s="420"/>
      <c r="AC94" s="495"/>
      <c r="AD94" s="649"/>
      <c r="AE94" s="495"/>
      <c r="AF94" s="420"/>
      <c r="AG94" s="420"/>
      <c r="AH94" s="495"/>
      <c r="AI94" s="649"/>
      <c r="AJ94" s="495"/>
      <c r="AK94" s="420"/>
      <c r="AL94" s="420"/>
      <c r="AM94" s="495"/>
      <c r="AN94" s="649"/>
      <c r="AO94" s="495"/>
      <c r="AP94" s="420"/>
      <c r="AQ94" s="420"/>
      <c r="AR94" s="495"/>
      <c r="AS94" s="649"/>
      <c r="AT94" s="495"/>
      <c r="AU94" s="420"/>
      <c r="AV94" s="420"/>
      <c r="AW94" s="495"/>
      <c r="AX94" s="649"/>
      <c r="AZ94" s="402" t="e">
        <f t="shared" si="56"/>
        <v>#N/A</v>
      </c>
      <c r="BA94" s="649"/>
    </row>
    <row r="95" spans="2:53">
      <c r="B95" s="635"/>
      <c r="C95" s="413">
        <v>9</v>
      </c>
      <c r="D95" s="225"/>
      <c r="E95" s="420"/>
      <c r="F95" s="413"/>
      <c r="G95" s="414"/>
      <c r="H95" s="678"/>
      <c r="I95" s="417" t="str">
        <f t="shared" si="51"/>
        <v>-</v>
      </c>
      <c r="J95" s="417" t="str">
        <f t="shared" si="52"/>
        <v>-</v>
      </c>
      <c r="K95" s="199" t="str">
        <f t="shared" si="53"/>
        <v>-</v>
      </c>
      <c r="L95" s="609"/>
      <c r="M95" s="419" t="e">
        <f>RANK(K95, K$87:$K$101)</f>
        <v>#VALUE!</v>
      </c>
      <c r="N95" s="627"/>
      <c r="O95" s="627"/>
      <c r="P95" s="495"/>
      <c r="Q95" s="420"/>
      <c r="R95" s="420"/>
      <c r="S95" s="495" t="e">
        <f t="shared" si="54"/>
        <v>#N/A</v>
      </c>
      <c r="T95" s="649"/>
      <c r="U95" s="495"/>
      <c r="V95" s="420"/>
      <c r="W95" s="420"/>
      <c r="X95" s="495"/>
      <c r="Y95" s="649"/>
      <c r="Z95" s="495"/>
      <c r="AA95" s="420"/>
      <c r="AB95" s="420"/>
      <c r="AC95" s="495"/>
      <c r="AD95" s="649"/>
      <c r="AE95" s="495"/>
      <c r="AF95" s="420"/>
      <c r="AG95" s="420"/>
      <c r="AH95" s="495"/>
      <c r="AI95" s="649"/>
      <c r="AJ95" s="495"/>
      <c r="AK95" s="420"/>
      <c r="AL95" s="420"/>
      <c r="AM95" s="495"/>
      <c r="AN95" s="649"/>
      <c r="AO95" s="495"/>
      <c r="AP95" s="420"/>
      <c r="AQ95" s="420"/>
      <c r="AR95" s="495"/>
      <c r="AS95" s="649"/>
      <c r="AT95" s="495"/>
      <c r="AU95" s="420"/>
      <c r="AV95" s="420"/>
      <c r="AW95" s="495"/>
      <c r="AX95" s="649"/>
      <c r="AZ95" s="402" t="e">
        <f t="shared" si="56"/>
        <v>#N/A</v>
      </c>
      <c r="BA95" s="649"/>
    </row>
    <row r="96" spans="2:53">
      <c r="B96" s="635"/>
      <c r="C96" s="413">
        <v>10</v>
      </c>
      <c r="D96" s="225"/>
      <c r="E96" s="420"/>
      <c r="F96" s="413"/>
      <c r="G96" s="414"/>
      <c r="H96" s="678"/>
      <c r="I96" s="417" t="str">
        <f t="shared" si="51"/>
        <v>-</v>
      </c>
      <c r="J96" s="417" t="str">
        <f t="shared" si="52"/>
        <v>-</v>
      </c>
      <c r="K96" s="199" t="str">
        <f t="shared" si="53"/>
        <v>-</v>
      </c>
      <c r="L96" s="609"/>
      <c r="M96" s="419" t="e">
        <f>RANK(K96, K$87:$K$101)</f>
        <v>#VALUE!</v>
      </c>
      <c r="N96" s="627"/>
      <c r="O96" s="627"/>
      <c r="P96" s="495"/>
      <c r="Q96" s="420"/>
      <c r="R96" s="420"/>
      <c r="S96" s="495" t="e">
        <f t="shared" si="54"/>
        <v>#N/A</v>
      </c>
      <c r="T96" s="649"/>
      <c r="U96" s="495"/>
      <c r="V96" s="420"/>
      <c r="W96" s="420"/>
      <c r="X96" s="495"/>
      <c r="Y96" s="649"/>
      <c r="Z96" s="495"/>
      <c r="AA96" s="420"/>
      <c r="AB96" s="420"/>
      <c r="AC96" s="495"/>
      <c r="AD96" s="649"/>
      <c r="AE96" s="495"/>
      <c r="AF96" s="420"/>
      <c r="AG96" s="420"/>
      <c r="AH96" s="495"/>
      <c r="AI96" s="649"/>
      <c r="AJ96" s="495"/>
      <c r="AK96" s="420"/>
      <c r="AL96" s="420"/>
      <c r="AM96" s="495"/>
      <c r="AN96" s="649"/>
      <c r="AO96" s="495"/>
      <c r="AP96" s="420"/>
      <c r="AQ96" s="420"/>
      <c r="AR96" s="495"/>
      <c r="AS96" s="649"/>
      <c r="AT96" s="495"/>
      <c r="AU96" s="420"/>
      <c r="AV96" s="420"/>
      <c r="AW96" s="495"/>
      <c r="AX96" s="649"/>
      <c r="AZ96" s="402" t="e">
        <f t="shared" si="56"/>
        <v>#N/A</v>
      </c>
      <c r="BA96" s="649"/>
    </row>
    <row r="97" spans="2:53">
      <c r="B97" s="635"/>
      <c r="C97" s="413">
        <v>11</v>
      </c>
      <c r="D97" s="225"/>
      <c r="E97" s="420"/>
      <c r="F97" s="413"/>
      <c r="G97" s="414"/>
      <c r="H97" s="678"/>
      <c r="I97" s="417" t="str">
        <f t="shared" si="51"/>
        <v>-</v>
      </c>
      <c r="J97" s="417" t="str">
        <f t="shared" si="52"/>
        <v>-</v>
      </c>
      <c r="K97" s="199" t="str">
        <f t="shared" si="53"/>
        <v>-</v>
      </c>
      <c r="L97" s="609"/>
      <c r="M97" s="419" t="e">
        <f>RANK(K97, K$87:$K$101)</f>
        <v>#VALUE!</v>
      </c>
      <c r="N97" s="627"/>
      <c r="O97" s="627"/>
      <c r="P97" s="495"/>
      <c r="Q97" s="420"/>
      <c r="R97" s="420"/>
      <c r="S97" s="495" t="e">
        <f t="shared" si="54"/>
        <v>#N/A</v>
      </c>
      <c r="T97" s="649"/>
      <c r="U97" s="495"/>
      <c r="V97" s="420"/>
      <c r="W97" s="420"/>
      <c r="X97" s="495"/>
      <c r="Y97" s="649"/>
      <c r="Z97" s="495"/>
      <c r="AA97" s="420"/>
      <c r="AB97" s="420"/>
      <c r="AC97" s="495"/>
      <c r="AD97" s="649"/>
      <c r="AE97" s="495"/>
      <c r="AF97" s="420"/>
      <c r="AG97" s="420"/>
      <c r="AH97" s="495"/>
      <c r="AI97" s="649"/>
      <c r="AJ97" s="495"/>
      <c r="AK97" s="420"/>
      <c r="AL97" s="420"/>
      <c r="AM97" s="495"/>
      <c r="AN97" s="649"/>
      <c r="AO97" s="495"/>
      <c r="AP97" s="420"/>
      <c r="AQ97" s="420"/>
      <c r="AR97" s="495"/>
      <c r="AS97" s="649"/>
      <c r="AT97" s="495"/>
      <c r="AU97" s="420"/>
      <c r="AV97" s="420"/>
      <c r="AW97" s="495"/>
      <c r="AX97" s="649"/>
      <c r="AZ97" s="402" t="e">
        <f t="shared" si="56"/>
        <v>#N/A</v>
      </c>
      <c r="BA97" s="649"/>
    </row>
    <row r="98" spans="2:53">
      <c r="B98" s="635"/>
      <c r="C98" s="413">
        <v>12</v>
      </c>
      <c r="D98" s="225"/>
      <c r="E98" s="420"/>
      <c r="F98" s="413"/>
      <c r="G98" s="414"/>
      <c r="H98" s="678"/>
      <c r="I98" s="417" t="str">
        <f t="shared" si="51"/>
        <v>-</v>
      </c>
      <c r="J98" s="417" t="str">
        <f t="shared" si="52"/>
        <v>-</v>
      </c>
      <c r="K98" s="199" t="str">
        <f t="shared" si="53"/>
        <v>-</v>
      </c>
      <c r="L98" s="609"/>
      <c r="M98" s="419" t="e">
        <f>RANK(K98, K$87:$K$101)</f>
        <v>#VALUE!</v>
      </c>
      <c r="N98" s="627"/>
      <c r="O98" s="627"/>
      <c r="P98" s="495"/>
      <c r="Q98" s="420"/>
      <c r="R98" s="420"/>
      <c r="S98" s="495" t="e">
        <f t="shared" si="54"/>
        <v>#N/A</v>
      </c>
      <c r="T98" s="649"/>
      <c r="U98" s="495"/>
      <c r="V98" s="420"/>
      <c r="W98" s="420"/>
      <c r="X98" s="495"/>
      <c r="Y98" s="649"/>
      <c r="Z98" s="495"/>
      <c r="AA98" s="420"/>
      <c r="AB98" s="420"/>
      <c r="AC98" s="495"/>
      <c r="AD98" s="649"/>
      <c r="AE98" s="495"/>
      <c r="AF98" s="420"/>
      <c r="AG98" s="420"/>
      <c r="AH98" s="495"/>
      <c r="AI98" s="649"/>
      <c r="AJ98" s="495"/>
      <c r="AK98" s="420"/>
      <c r="AL98" s="420"/>
      <c r="AM98" s="495"/>
      <c r="AN98" s="649"/>
      <c r="AO98" s="495"/>
      <c r="AP98" s="420"/>
      <c r="AQ98" s="420"/>
      <c r="AR98" s="495"/>
      <c r="AS98" s="649"/>
      <c r="AT98" s="495"/>
      <c r="AU98" s="420"/>
      <c r="AV98" s="420"/>
      <c r="AW98" s="495"/>
      <c r="AX98" s="649"/>
      <c r="AZ98" s="402" t="e">
        <f t="shared" si="56"/>
        <v>#N/A</v>
      </c>
      <c r="BA98" s="649"/>
    </row>
    <row r="99" spans="2:53">
      <c r="B99" s="635"/>
      <c r="C99" s="413">
        <v>13</v>
      </c>
      <c r="D99" s="225"/>
      <c r="E99" s="420"/>
      <c r="F99" s="413"/>
      <c r="G99" s="414"/>
      <c r="H99" s="678"/>
      <c r="I99" s="417" t="str">
        <f t="shared" si="51"/>
        <v>-</v>
      </c>
      <c r="J99" s="417" t="str">
        <f t="shared" si="52"/>
        <v>-</v>
      </c>
      <c r="K99" s="199" t="str">
        <f t="shared" si="53"/>
        <v>-</v>
      </c>
      <c r="L99" s="609"/>
      <c r="M99" s="419" t="e">
        <f>RANK(K99, K$87:$K$101)</f>
        <v>#VALUE!</v>
      </c>
      <c r="N99" s="627"/>
      <c r="O99" s="627"/>
      <c r="P99" s="495"/>
      <c r="Q99" s="420"/>
      <c r="R99" s="420"/>
      <c r="S99" s="495" t="e">
        <f t="shared" si="54"/>
        <v>#N/A</v>
      </c>
      <c r="T99" s="649"/>
      <c r="U99" s="495"/>
      <c r="V99" s="420"/>
      <c r="W99" s="420"/>
      <c r="X99" s="495"/>
      <c r="Y99" s="649"/>
      <c r="Z99" s="495"/>
      <c r="AA99" s="420"/>
      <c r="AB99" s="420"/>
      <c r="AC99" s="495"/>
      <c r="AD99" s="649"/>
      <c r="AE99" s="495"/>
      <c r="AF99" s="420"/>
      <c r="AG99" s="420"/>
      <c r="AH99" s="495"/>
      <c r="AI99" s="649"/>
      <c r="AJ99" s="495"/>
      <c r="AK99" s="420"/>
      <c r="AL99" s="420"/>
      <c r="AM99" s="495"/>
      <c r="AN99" s="649"/>
      <c r="AO99" s="495"/>
      <c r="AP99" s="420"/>
      <c r="AQ99" s="420"/>
      <c r="AR99" s="495"/>
      <c r="AS99" s="649"/>
      <c r="AT99" s="495"/>
      <c r="AU99" s="420"/>
      <c r="AV99" s="420"/>
      <c r="AW99" s="495"/>
      <c r="AX99" s="649"/>
      <c r="AZ99" s="402" t="e">
        <f t="shared" si="56"/>
        <v>#N/A</v>
      </c>
      <c r="BA99" s="649"/>
    </row>
    <row r="100" spans="2:53">
      <c r="B100" s="635"/>
      <c r="C100" s="413">
        <v>14</v>
      </c>
      <c r="D100" s="225"/>
      <c r="E100" s="420"/>
      <c r="F100" s="413"/>
      <c r="G100" s="414"/>
      <c r="H100" s="678"/>
      <c r="I100" s="417" t="str">
        <f t="shared" si="51"/>
        <v>-</v>
      </c>
      <c r="J100" s="417" t="str">
        <f t="shared" si="52"/>
        <v>-</v>
      </c>
      <c r="K100" s="199" t="str">
        <f t="shared" si="53"/>
        <v>-</v>
      </c>
      <c r="L100" s="609"/>
      <c r="M100" s="419" t="e">
        <f>RANK(K100, K$87:$K$101)</f>
        <v>#VALUE!</v>
      </c>
      <c r="N100" s="627"/>
      <c r="O100" s="627"/>
      <c r="P100" s="495"/>
      <c r="Q100" s="420"/>
      <c r="R100" s="420"/>
      <c r="S100" s="495" t="e">
        <f t="shared" si="54"/>
        <v>#N/A</v>
      </c>
      <c r="T100" s="649"/>
      <c r="U100" s="495"/>
      <c r="V100" s="420"/>
      <c r="W100" s="420"/>
      <c r="X100" s="495"/>
      <c r="Y100" s="649"/>
      <c r="Z100" s="495"/>
      <c r="AA100" s="420"/>
      <c r="AB100" s="420"/>
      <c r="AC100" s="495"/>
      <c r="AD100" s="649"/>
      <c r="AE100" s="495"/>
      <c r="AF100" s="420"/>
      <c r="AG100" s="420"/>
      <c r="AH100" s="495"/>
      <c r="AI100" s="649"/>
      <c r="AJ100" s="495"/>
      <c r="AK100" s="420"/>
      <c r="AL100" s="420"/>
      <c r="AM100" s="495"/>
      <c r="AN100" s="649"/>
      <c r="AO100" s="495"/>
      <c r="AP100" s="420"/>
      <c r="AQ100" s="420"/>
      <c r="AR100" s="495"/>
      <c r="AS100" s="649"/>
      <c r="AT100" s="495"/>
      <c r="AU100" s="420"/>
      <c r="AV100" s="420"/>
      <c r="AW100" s="495"/>
      <c r="AX100" s="649"/>
      <c r="AZ100" s="402" t="e">
        <f t="shared" si="56"/>
        <v>#N/A</v>
      </c>
      <c r="BA100" s="649"/>
    </row>
    <row r="101" spans="2:53">
      <c r="B101" s="635"/>
      <c r="C101" s="413">
        <v>15</v>
      </c>
      <c r="D101" s="225"/>
      <c r="E101" s="420"/>
      <c r="F101" s="413"/>
      <c r="G101" s="414"/>
      <c r="H101" s="679"/>
      <c r="I101" s="201"/>
      <c r="J101" s="201"/>
      <c r="K101" s="201"/>
      <c r="L101" s="610"/>
      <c r="M101" s="417" t="e">
        <f>RANK(K101, K$87:$K$101)</f>
        <v>#N/A</v>
      </c>
      <c r="N101" s="627"/>
      <c r="O101" s="627"/>
      <c r="P101" s="495"/>
      <c r="Q101" s="420"/>
      <c r="R101" s="420"/>
      <c r="S101" s="495" t="e">
        <f t="shared" si="54"/>
        <v>#N/A</v>
      </c>
      <c r="T101" s="649"/>
      <c r="U101" s="495"/>
      <c r="V101" s="420"/>
      <c r="W101" s="420"/>
      <c r="X101" s="495"/>
      <c r="Y101" s="649"/>
      <c r="Z101" s="495"/>
      <c r="AA101" s="420"/>
      <c r="AB101" s="420"/>
      <c r="AC101" s="495"/>
      <c r="AD101" s="649"/>
      <c r="AE101" s="495"/>
      <c r="AF101" s="420"/>
      <c r="AG101" s="420"/>
      <c r="AH101" s="495"/>
      <c r="AI101" s="649"/>
      <c r="AJ101" s="495"/>
      <c r="AK101" s="420"/>
      <c r="AL101" s="420"/>
      <c r="AM101" s="495"/>
      <c r="AN101" s="649"/>
      <c r="AO101" s="495"/>
      <c r="AP101" s="420"/>
      <c r="AQ101" s="420"/>
      <c r="AR101" s="495"/>
      <c r="AS101" s="649"/>
      <c r="AT101" s="495"/>
      <c r="AU101" s="420"/>
      <c r="AV101" s="420"/>
      <c r="AW101" s="495"/>
      <c r="AX101" s="649"/>
      <c r="AZ101" s="402" t="e">
        <f t="shared" si="56"/>
        <v>#N/A</v>
      </c>
      <c r="BA101" s="649"/>
    </row>
    <row r="102" spans="2:53" ht="15.75">
      <c r="B102" s="639" t="s">
        <v>163</v>
      </c>
      <c r="C102" s="640"/>
      <c r="D102" s="640"/>
      <c r="E102" s="640"/>
      <c r="F102" s="640"/>
      <c r="G102" s="640"/>
      <c r="H102" s="641"/>
      <c r="I102" s="207"/>
      <c r="J102" s="207"/>
      <c r="K102" s="207"/>
      <c r="L102" s="207"/>
      <c r="M102" s="206"/>
      <c r="N102" s="628" t="s">
        <v>156</v>
      </c>
      <c r="O102" s="628" t="s">
        <v>105</v>
      </c>
      <c r="P102" s="634">
        <f>P82+7</f>
        <v>46203</v>
      </c>
      <c r="Q102" s="635"/>
      <c r="R102" s="635"/>
      <c r="S102" s="635"/>
      <c r="T102" s="635"/>
      <c r="U102" s="631">
        <f>P102+1</f>
        <v>46204</v>
      </c>
      <c r="V102" s="632"/>
      <c r="W102" s="632"/>
      <c r="X102" s="632"/>
      <c r="Y102" s="633"/>
      <c r="Z102" s="631">
        <f>U102+1</f>
        <v>46205</v>
      </c>
      <c r="AA102" s="632"/>
      <c r="AB102" s="632"/>
      <c r="AC102" s="632"/>
      <c r="AD102" s="633"/>
      <c r="AE102" s="631">
        <f>Z102+1</f>
        <v>46206</v>
      </c>
      <c r="AF102" s="632"/>
      <c r="AG102" s="632"/>
      <c r="AH102" s="632"/>
      <c r="AI102" s="633"/>
      <c r="AJ102" s="631">
        <f>AE102+1</f>
        <v>46207</v>
      </c>
      <c r="AK102" s="632"/>
      <c r="AL102" s="632"/>
      <c r="AM102" s="632"/>
      <c r="AN102" s="633"/>
      <c r="AO102" s="631">
        <f>AJ102+1</f>
        <v>46208</v>
      </c>
      <c r="AP102" s="632"/>
      <c r="AQ102" s="632"/>
      <c r="AR102" s="632"/>
      <c r="AS102" s="633"/>
      <c r="AT102" s="631">
        <f>AO102+1</f>
        <v>46209</v>
      </c>
      <c r="AU102" s="632"/>
      <c r="AV102" s="632"/>
      <c r="AW102" s="632"/>
      <c r="AX102" s="633"/>
    </row>
    <row r="103" spans="2:53" ht="15.75">
      <c r="B103" s="642"/>
      <c r="C103" s="642"/>
      <c r="D103" s="642"/>
      <c r="E103" s="642"/>
      <c r="F103" s="642"/>
      <c r="G103" s="642"/>
      <c r="H103" s="642"/>
      <c r="I103" s="204"/>
      <c r="J103" s="204"/>
      <c r="K103" s="204"/>
      <c r="L103" s="204"/>
      <c r="M103" s="205"/>
      <c r="N103" s="630"/>
      <c r="O103" s="630"/>
      <c r="P103" s="634" t="s">
        <v>158</v>
      </c>
      <c r="Q103" s="635"/>
      <c r="R103" s="635"/>
      <c r="S103" s="635"/>
      <c r="T103" s="635"/>
      <c r="U103" s="634" t="s">
        <v>114</v>
      </c>
      <c r="V103" s="635"/>
      <c r="W103" s="635"/>
      <c r="X103" s="635"/>
      <c r="Y103" s="635"/>
      <c r="Z103" s="634" t="s">
        <v>159</v>
      </c>
      <c r="AA103" s="635"/>
      <c r="AB103" s="635"/>
      <c r="AC103" s="635"/>
      <c r="AD103" s="635"/>
      <c r="AE103" s="634" t="s">
        <v>157</v>
      </c>
      <c r="AF103" s="635"/>
      <c r="AG103" s="635"/>
      <c r="AH103" s="635"/>
      <c r="AI103" s="635"/>
      <c r="AJ103" s="634" t="s">
        <v>160</v>
      </c>
      <c r="AK103" s="635"/>
      <c r="AL103" s="635"/>
      <c r="AM103" s="635"/>
      <c r="AN103" s="635"/>
      <c r="AO103" s="634" t="s">
        <v>115</v>
      </c>
      <c r="AP103" s="635"/>
      <c r="AQ103" s="635"/>
      <c r="AR103" s="635"/>
      <c r="AS103" s="635"/>
      <c r="AT103" s="634" t="s">
        <v>162</v>
      </c>
      <c r="AU103" s="635"/>
      <c r="AV103" s="635"/>
      <c r="AW103" s="635"/>
      <c r="AX103" s="635"/>
    </row>
    <row r="104" spans="2:53">
      <c r="B104" s="627" t="s">
        <v>154</v>
      </c>
      <c r="C104" s="627" t="s">
        <v>384</v>
      </c>
      <c r="D104" s="627"/>
      <c r="E104" s="627" t="s">
        <v>375</v>
      </c>
      <c r="F104" s="627"/>
      <c r="G104" s="627"/>
      <c r="H104" s="643" t="s">
        <v>371</v>
      </c>
      <c r="I104" s="611" t="s">
        <v>376</v>
      </c>
      <c r="J104" s="611"/>
      <c r="K104" s="611"/>
      <c r="L104" s="612" t="s">
        <v>371</v>
      </c>
      <c r="M104" s="618" t="s">
        <v>372</v>
      </c>
      <c r="N104" s="627"/>
      <c r="O104" s="627" t="s">
        <v>377</v>
      </c>
      <c r="P104" s="624" t="s">
        <v>373</v>
      </c>
      <c r="Q104" s="625"/>
      <c r="R104" s="625"/>
      <c r="S104" s="626"/>
      <c r="T104" s="627" t="s">
        <v>371</v>
      </c>
      <c r="U104" s="624" t="s">
        <v>373</v>
      </c>
      <c r="V104" s="625"/>
      <c r="W104" s="625"/>
      <c r="X104" s="626"/>
      <c r="Y104" s="627" t="s">
        <v>371</v>
      </c>
      <c r="Z104" s="624" t="s">
        <v>373</v>
      </c>
      <c r="AA104" s="625"/>
      <c r="AB104" s="625"/>
      <c r="AC104" s="626"/>
      <c r="AD104" s="627" t="s">
        <v>371</v>
      </c>
      <c r="AE104" s="624" t="s">
        <v>373</v>
      </c>
      <c r="AF104" s="625"/>
      <c r="AG104" s="625"/>
      <c r="AH104" s="626"/>
      <c r="AI104" s="627" t="s">
        <v>371</v>
      </c>
      <c r="AJ104" s="624" t="s">
        <v>373</v>
      </c>
      <c r="AK104" s="625"/>
      <c r="AL104" s="625"/>
      <c r="AM104" s="626"/>
      <c r="AN104" s="627" t="s">
        <v>371</v>
      </c>
      <c r="AO104" s="624" t="s">
        <v>373</v>
      </c>
      <c r="AP104" s="625"/>
      <c r="AQ104" s="625"/>
      <c r="AR104" s="626"/>
      <c r="AS104" s="627" t="s">
        <v>371</v>
      </c>
      <c r="AT104" s="624" t="s">
        <v>373</v>
      </c>
      <c r="AU104" s="625"/>
      <c r="AV104" s="625"/>
      <c r="AW104" s="626"/>
      <c r="AX104" s="627" t="s">
        <v>371</v>
      </c>
      <c r="BA104" s="627" t="s">
        <v>371</v>
      </c>
    </row>
    <row r="105" spans="2:53">
      <c r="B105" s="627"/>
      <c r="C105" s="627"/>
      <c r="D105" s="627"/>
      <c r="E105" s="627" t="s">
        <v>378</v>
      </c>
      <c r="F105" s="627"/>
      <c r="G105" s="627"/>
      <c r="H105" s="644"/>
      <c r="I105" s="611" t="s">
        <v>378</v>
      </c>
      <c r="J105" s="611"/>
      <c r="K105" s="611"/>
      <c r="L105" s="613"/>
      <c r="M105" s="619"/>
      <c r="N105" s="627"/>
      <c r="O105" s="627"/>
      <c r="P105" s="624" t="s">
        <v>379</v>
      </c>
      <c r="Q105" s="625"/>
      <c r="R105" s="625"/>
      <c r="S105" s="626"/>
      <c r="T105" s="627"/>
      <c r="U105" s="624" t="s">
        <v>379</v>
      </c>
      <c r="V105" s="625"/>
      <c r="W105" s="625"/>
      <c r="X105" s="626"/>
      <c r="Y105" s="627"/>
      <c r="Z105" s="624" t="s">
        <v>379</v>
      </c>
      <c r="AA105" s="625"/>
      <c r="AB105" s="625"/>
      <c r="AC105" s="626"/>
      <c r="AD105" s="627"/>
      <c r="AE105" s="624" t="s">
        <v>379</v>
      </c>
      <c r="AF105" s="625"/>
      <c r="AG105" s="625"/>
      <c r="AH105" s="626"/>
      <c r="AI105" s="627"/>
      <c r="AJ105" s="624" t="s">
        <v>379</v>
      </c>
      <c r="AK105" s="625"/>
      <c r="AL105" s="625"/>
      <c r="AM105" s="626"/>
      <c r="AN105" s="627"/>
      <c r="AO105" s="624" t="s">
        <v>379</v>
      </c>
      <c r="AP105" s="625"/>
      <c r="AQ105" s="625"/>
      <c r="AR105" s="626"/>
      <c r="AS105" s="627"/>
      <c r="AT105" s="624" t="s">
        <v>379</v>
      </c>
      <c r="AU105" s="625"/>
      <c r="AV105" s="625"/>
      <c r="AW105" s="626"/>
      <c r="AX105" s="627"/>
      <c r="BA105" s="627"/>
    </row>
    <row r="106" spans="2:53">
      <c r="B106" s="627"/>
      <c r="C106" s="627"/>
      <c r="D106" s="627"/>
      <c r="E106" s="313" t="s">
        <v>380</v>
      </c>
      <c r="F106" s="313" t="s">
        <v>381</v>
      </c>
      <c r="G106" s="313" t="s">
        <v>382</v>
      </c>
      <c r="H106" s="645"/>
      <c r="I106" s="314" t="s">
        <v>380</v>
      </c>
      <c r="J106" s="314" t="s">
        <v>381</v>
      </c>
      <c r="K106" s="314" t="s">
        <v>382</v>
      </c>
      <c r="L106" s="614"/>
      <c r="M106" s="620"/>
      <c r="N106" s="627"/>
      <c r="O106" s="627"/>
      <c r="P106" s="313" t="s">
        <v>380</v>
      </c>
      <c r="Q106" s="313" t="s">
        <v>381</v>
      </c>
      <c r="R106" s="313" t="s">
        <v>382</v>
      </c>
      <c r="S106" s="313" t="s">
        <v>372</v>
      </c>
      <c r="T106" s="627"/>
      <c r="U106" s="313" t="s">
        <v>380</v>
      </c>
      <c r="V106" s="313" t="s">
        <v>381</v>
      </c>
      <c r="W106" s="313" t="s">
        <v>382</v>
      </c>
      <c r="X106" s="313" t="s">
        <v>372</v>
      </c>
      <c r="Y106" s="627"/>
      <c r="Z106" s="313" t="s">
        <v>380</v>
      </c>
      <c r="AA106" s="313" t="s">
        <v>381</v>
      </c>
      <c r="AB106" s="313" t="s">
        <v>382</v>
      </c>
      <c r="AC106" s="313" t="s">
        <v>372</v>
      </c>
      <c r="AD106" s="627"/>
      <c r="AE106" s="313" t="s">
        <v>380</v>
      </c>
      <c r="AF106" s="313" t="s">
        <v>381</v>
      </c>
      <c r="AG106" s="313" t="s">
        <v>382</v>
      </c>
      <c r="AH106" s="313" t="s">
        <v>372</v>
      </c>
      <c r="AI106" s="627"/>
      <c r="AJ106" s="313" t="s">
        <v>380</v>
      </c>
      <c r="AK106" s="313" t="s">
        <v>381</v>
      </c>
      <c r="AL106" s="313" t="s">
        <v>382</v>
      </c>
      <c r="AM106" s="313" t="s">
        <v>372</v>
      </c>
      <c r="AN106" s="627"/>
      <c r="AO106" s="313" t="s">
        <v>380</v>
      </c>
      <c r="AP106" s="313" t="s">
        <v>381</v>
      </c>
      <c r="AQ106" s="313" t="s">
        <v>382</v>
      </c>
      <c r="AR106" s="313" t="s">
        <v>372</v>
      </c>
      <c r="AS106" s="627"/>
      <c r="AT106" s="313" t="s">
        <v>380</v>
      </c>
      <c r="AU106" s="313" t="s">
        <v>381</v>
      </c>
      <c r="AV106" s="313" t="s">
        <v>382</v>
      </c>
      <c r="AW106" s="313" t="s">
        <v>372</v>
      </c>
      <c r="AX106" s="627"/>
      <c r="AZ106" s="401" t="s">
        <v>372</v>
      </c>
      <c r="BA106" s="627"/>
    </row>
    <row r="107" spans="2:53">
      <c r="B107" s="627" t="s">
        <v>385</v>
      </c>
      <c r="C107" s="312">
        <v>1</v>
      </c>
      <c r="D107" s="225"/>
      <c r="E107" s="181"/>
      <c r="F107" s="312"/>
      <c r="G107" s="315"/>
      <c r="H107" s="677" t="e">
        <f>AVERAGE(G107:G121)</f>
        <v>#DIV/0!</v>
      </c>
      <c r="I107" s="395" t="str">
        <f t="shared" ref="I107:I120" si="58">IFERROR(AVERAGE(P107,U107,Z107,AE107,AJ107,AO107,AT107),"-")</f>
        <v>-</v>
      </c>
      <c r="J107" s="395" t="str">
        <f t="shared" ref="J107:J120" si="59">IFERROR(AVERAGE(Q107,V107,AA107,AF107,AK107,AP107,AU107),"-")</f>
        <v>-</v>
      </c>
      <c r="K107" s="199" t="str">
        <f t="shared" ref="K107:K120" si="60">IFERROR(AVERAGE(R107,W107,AB107,AG107,AL107,AQ107,AV107),"-")</f>
        <v>-</v>
      </c>
      <c r="L107" s="608" t="str">
        <f>IFERROR(AVERAGE(K107:K121),"-")</f>
        <v>-</v>
      </c>
      <c r="M107" s="200" t="e">
        <f>RANK(K107, K$87:$K$101)</f>
        <v>#VALUE!</v>
      </c>
      <c r="N107" s="627"/>
      <c r="O107" s="627"/>
      <c r="P107" s="181"/>
      <c r="Q107" s="181"/>
      <c r="R107" s="315"/>
      <c r="S107" s="312" t="e">
        <f>RANK(R107, R$107:R$121)</f>
        <v>#N/A</v>
      </c>
      <c r="T107" s="649" t="e">
        <f>AVERAGE(R107:R121)</f>
        <v>#DIV/0!</v>
      </c>
      <c r="U107" s="181"/>
      <c r="V107" s="181"/>
      <c r="W107" s="326"/>
      <c r="X107" s="322" t="e">
        <f>RANK(W107, W$107:W$121)</f>
        <v>#N/A</v>
      </c>
      <c r="Y107" s="649" t="e">
        <f>AVERAGE(W107:W121)</f>
        <v>#DIV/0!</v>
      </c>
      <c r="Z107" s="181"/>
      <c r="AA107" s="181"/>
      <c r="AB107" s="326"/>
      <c r="AC107" s="322" t="e">
        <f>RANK(AB107, AB$107:AB$121)</f>
        <v>#N/A</v>
      </c>
      <c r="AD107" s="649" t="e">
        <f>AVERAGE(AB107:AB121)</f>
        <v>#DIV/0!</v>
      </c>
      <c r="AE107" s="181"/>
      <c r="AF107" s="181"/>
      <c r="AG107" s="326"/>
      <c r="AH107" s="322" t="e">
        <f>RANK(AG107, AG$107:AG$121)</f>
        <v>#N/A</v>
      </c>
      <c r="AI107" s="649" t="e">
        <f>AVERAGE(AG107:AG121)</f>
        <v>#DIV/0!</v>
      </c>
      <c r="AJ107" s="181"/>
      <c r="AK107" s="181"/>
      <c r="AL107" s="326"/>
      <c r="AM107" s="322" t="e">
        <f>RANK(AL107, AL$107:AL$121)</f>
        <v>#N/A</v>
      </c>
      <c r="AN107" s="649" t="e">
        <f>AVERAGE(AL107:AL121)</f>
        <v>#DIV/0!</v>
      </c>
      <c r="AO107" s="181"/>
      <c r="AP107" s="181"/>
      <c r="AQ107" s="326"/>
      <c r="AR107" s="322" t="e">
        <f>RANK(AQ107, AQ$107:AQ$121)</f>
        <v>#N/A</v>
      </c>
      <c r="AS107" s="649" t="e">
        <f>AVERAGE(AQ107:AQ121)</f>
        <v>#DIV/0!</v>
      </c>
      <c r="AT107" s="181"/>
      <c r="AU107" s="181"/>
      <c r="AV107" s="326"/>
      <c r="AW107" s="322" t="e">
        <f>RANK(AV107, AV$107:AV$121)</f>
        <v>#N/A</v>
      </c>
      <c r="AX107" s="649" t="e">
        <f>AVERAGE(AV107:AV121)</f>
        <v>#DIV/0!</v>
      </c>
      <c r="AZ107" s="402" t="e">
        <f>RANK(AY107, AY$107:AY$121)</f>
        <v>#N/A</v>
      </c>
      <c r="BA107" s="649" t="e">
        <f>AVERAGE(AY107:AY121)</f>
        <v>#DIV/0!</v>
      </c>
    </row>
    <row r="108" spans="2:53">
      <c r="B108" s="635"/>
      <c r="C108" s="312">
        <v>2</v>
      </c>
      <c r="D108" s="225"/>
      <c r="E108" s="181"/>
      <c r="F108" s="312"/>
      <c r="G108" s="315"/>
      <c r="H108" s="678"/>
      <c r="I108" s="395" t="str">
        <f t="shared" si="58"/>
        <v>-</v>
      </c>
      <c r="J108" s="395" t="str">
        <f t="shared" si="59"/>
        <v>-</v>
      </c>
      <c r="K108" s="199" t="str">
        <f t="shared" si="60"/>
        <v>-</v>
      </c>
      <c r="L108" s="609"/>
      <c r="M108" s="200" t="e">
        <f>RANK(K108, K$87:$K$101)</f>
        <v>#VALUE!</v>
      </c>
      <c r="N108" s="627"/>
      <c r="O108" s="627"/>
      <c r="P108" s="312"/>
      <c r="Q108" s="181"/>
      <c r="R108" s="323"/>
      <c r="S108" s="322" t="e">
        <f t="shared" ref="S108:S121" si="61">RANK(R108, R$107:R$121)</f>
        <v>#N/A</v>
      </c>
      <c r="T108" s="649"/>
      <c r="U108" s="325"/>
      <c r="V108" s="181"/>
      <c r="W108" s="326"/>
      <c r="X108" s="322" t="e">
        <f t="shared" ref="X108:X121" si="62">RANK(W108, W$107:W$121)</f>
        <v>#N/A</v>
      </c>
      <c r="Y108" s="649"/>
      <c r="Z108" s="325"/>
      <c r="AA108" s="181"/>
      <c r="AB108" s="326"/>
      <c r="AC108" s="322" t="e">
        <f t="shared" ref="AC108:AC121" si="63">RANK(AB108, AB$107:AB$121)</f>
        <v>#N/A</v>
      </c>
      <c r="AD108" s="649"/>
      <c r="AE108" s="325"/>
      <c r="AF108" s="181"/>
      <c r="AG108" s="326"/>
      <c r="AH108" s="322" t="e">
        <f t="shared" ref="AH108:AH121" si="64">RANK(AG108, AG$107:AG$121)</f>
        <v>#N/A</v>
      </c>
      <c r="AI108" s="649"/>
      <c r="AJ108" s="325"/>
      <c r="AK108" s="181"/>
      <c r="AL108" s="326"/>
      <c r="AM108" s="322" t="e">
        <f t="shared" ref="AM108:AM121" si="65">RANK(AL108, AL$107:AL$121)</f>
        <v>#N/A</v>
      </c>
      <c r="AN108" s="649"/>
      <c r="AO108" s="325"/>
      <c r="AP108" s="181"/>
      <c r="AQ108" s="326"/>
      <c r="AR108" s="322" t="e">
        <f t="shared" ref="AR108:AR121" si="66">RANK(AQ108, AQ$107:AQ$121)</f>
        <v>#N/A</v>
      </c>
      <c r="AS108" s="649"/>
      <c r="AT108" s="325"/>
      <c r="AU108" s="181"/>
      <c r="AV108" s="326"/>
      <c r="AW108" s="322" t="e">
        <f t="shared" ref="AW108:AW121" si="67">RANK(AV108, AV$107:AV$121)</f>
        <v>#N/A</v>
      </c>
      <c r="AX108" s="649"/>
      <c r="AZ108" s="402" t="e">
        <f t="shared" ref="AZ108:AZ121" si="68">RANK(AY108, AY$107:AY$121)</f>
        <v>#N/A</v>
      </c>
      <c r="BA108" s="649"/>
    </row>
    <row r="109" spans="2:53">
      <c r="B109" s="635"/>
      <c r="C109" s="312">
        <v>3</v>
      </c>
      <c r="D109" s="225"/>
      <c r="E109" s="181"/>
      <c r="F109" s="312"/>
      <c r="G109" s="315"/>
      <c r="H109" s="678"/>
      <c r="I109" s="395" t="str">
        <f t="shared" si="58"/>
        <v>-</v>
      </c>
      <c r="J109" s="395" t="str">
        <f t="shared" si="59"/>
        <v>-</v>
      </c>
      <c r="K109" s="199" t="str">
        <f t="shared" si="60"/>
        <v>-</v>
      </c>
      <c r="L109" s="609"/>
      <c r="M109" s="200" t="e">
        <f>RANK(K109, K$87:$K$101)</f>
        <v>#VALUE!</v>
      </c>
      <c r="N109" s="627"/>
      <c r="O109" s="627"/>
      <c r="P109" s="312"/>
      <c r="Q109" s="312"/>
      <c r="R109" s="312"/>
      <c r="S109" s="322" t="e">
        <f t="shared" si="61"/>
        <v>#N/A</v>
      </c>
      <c r="T109" s="649"/>
      <c r="U109" s="325"/>
      <c r="V109" s="325"/>
      <c r="W109" s="325"/>
      <c r="X109" s="322" t="e">
        <f t="shared" si="62"/>
        <v>#N/A</v>
      </c>
      <c r="Y109" s="649"/>
      <c r="Z109" s="325"/>
      <c r="AA109" s="325"/>
      <c r="AB109" s="325"/>
      <c r="AC109" s="322" t="e">
        <f t="shared" si="63"/>
        <v>#N/A</v>
      </c>
      <c r="AD109" s="649"/>
      <c r="AE109" s="325"/>
      <c r="AF109" s="325"/>
      <c r="AG109" s="325"/>
      <c r="AH109" s="322" t="e">
        <f t="shared" si="64"/>
        <v>#N/A</v>
      </c>
      <c r="AI109" s="649"/>
      <c r="AJ109" s="325"/>
      <c r="AK109" s="325"/>
      <c r="AL109" s="325"/>
      <c r="AM109" s="322" t="e">
        <f t="shared" si="65"/>
        <v>#N/A</v>
      </c>
      <c r="AN109" s="649"/>
      <c r="AO109" s="325"/>
      <c r="AP109" s="325"/>
      <c r="AQ109" s="325"/>
      <c r="AR109" s="322" t="e">
        <f t="shared" si="66"/>
        <v>#N/A</v>
      </c>
      <c r="AS109" s="649"/>
      <c r="AT109" s="325"/>
      <c r="AU109" s="325"/>
      <c r="AV109" s="325"/>
      <c r="AW109" s="322" t="e">
        <f t="shared" si="67"/>
        <v>#N/A</v>
      </c>
      <c r="AX109" s="649"/>
      <c r="AZ109" s="402" t="e">
        <f t="shared" si="68"/>
        <v>#N/A</v>
      </c>
      <c r="BA109" s="649"/>
    </row>
    <row r="110" spans="2:53">
      <c r="B110" s="635"/>
      <c r="C110" s="312">
        <v>4</v>
      </c>
      <c r="D110" s="225"/>
      <c r="E110" s="181"/>
      <c r="F110" s="312"/>
      <c r="G110" s="315"/>
      <c r="H110" s="678"/>
      <c r="I110" s="395" t="str">
        <f t="shared" si="58"/>
        <v>-</v>
      </c>
      <c r="J110" s="395" t="str">
        <f t="shared" si="59"/>
        <v>-</v>
      </c>
      <c r="K110" s="199" t="str">
        <f t="shared" si="60"/>
        <v>-</v>
      </c>
      <c r="L110" s="609"/>
      <c r="M110" s="200" t="e">
        <f>RANK(K110, K$87:$K$101)</f>
        <v>#VALUE!</v>
      </c>
      <c r="N110" s="627"/>
      <c r="O110" s="627"/>
      <c r="P110" s="312"/>
      <c r="Q110" s="312"/>
      <c r="R110" s="312"/>
      <c r="S110" s="322" t="e">
        <f t="shared" si="61"/>
        <v>#N/A</v>
      </c>
      <c r="T110" s="649"/>
      <c r="U110" s="325"/>
      <c r="V110" s="325"/>
      <c r="W110" s="325"/>
      <c r="X110" s="322" t="e">
        <f t="shared" si="62"/>
        <v>#N/A</v>
      </c>
      <c r="Y110" s="649"/>
      <c r="Z110" s="325"/>
      <c r="AA110" s="325"/>
      <c r="AB110" s="325"/>
      <c r="AC110" s="322" t="e">
        <f t="shared" si="63"/>
        <v>#N/A</v>
      </c>
      <c r="AD110" s="649"/>
      <c r="AE110" s="325"/>
      <c r="AF110" s="325"/>
      <c r="AG110" s="325"/>
      <c r="AH110" s="322" t="e">
        <f t="shared" si="64"/>
        <v>#N/A</v>
      </c>
      <c r="AI110" s="649"/>
      <c r="AJ110" s="325"/>
      <c r="AK110" s="325"/>
      <c r="AL110" s="325"/>
      <c r="AM110" s="322" t="e">
        <f t="shared" si="65"/>
        <v>#N/A</v>
      </c>
      <c r="AN110" s="649"/>
      <c r="AO110" s="325"/>
      <c r="AP110" s="325"/>
      <c r="AQ110" s="325"/>
      <c r="AR110" s="322" t="e">
        <f t="shared" si="66"/>
        <v>#N/A</v>
      </c>
      <c r="AS110" s="649"/>
      <c r="AT110" s="325"/>
      <c r="AU110" s="325"/>
      <c r="AV110" s="325"/>
      <c r="AW110" s="322" t="e">
        <f t="shared" si="67"/>
        <v>#N/A</v>
      </c>
      <c r="AX110" s="649"/>
      <c r="AZ110" s="402" t="e">
        <f t="shared" si="68"/>
        <v>#N/A</v>
      </c>
      <c r="BA110" s="649"/>
    </row>
    <row r="111" spans="2:53">
      <c r="B111" s="635"/>
      <c r="C111" s="312">
        <v>5</v>
      </c>
      <c r="D111" s="225"/>
      <c r="E111" s="181"/>
      <c r="F111" s="312"/>
      <c r="G111" s="315"/>
      <c r="H111" s="678"/>
      <c r="I111" s="395" t="str">
        <f t="shared" si="58"/>
        <v>-</v>
      </c>
      <c r="J111" s="395" t="str">
        <f t="shared" si="59"/>
        <v>-</v>
      </c>
      <c r="K111" s="199" t="str">
        <f t="shared" si="60"/>
        <v>-</v>
      </c>
      <c r="L111" s="609"/>
      <c r="M111" s="200" t="e">
        <f>RANK(K111, K$87:$K$101)</f>
        <v>#VALUE!</v>
      </c>
      <c r="N111" s="627"/>
      <c r="O111" s="627"/>
      <c r="P111" s="312"/>
      <c r="Q111" s="312"/>
      <c r="R111" s="312"/>
      <c r="S111" s="322" t="e">
        <f t="shared" si="61"/>
        <v>#N/A</v>
      </c>
      <c r="T111" s="649"/>
      <c r="U111" s="325"/>
      <c r="V111" s="325"/>
      <c r="W111" s="325"/>
      <c r="X111" s="322" t="e">
        <f t="shared" si="62"/>
        <v>#N/A</v>
      </c>
      <c r="Y111" s="649"/>
      <c r="Z111" s="325"/>
      <c r="AA111" s="325"/>
      <c r="AB111" s="325"/>
      <c r="AC111" s="322" t="e">
        <f t="shared" si="63"/>
        <v>#N/A</v>
      </c>
      <c r="AD111" s="649"/>
      <c r="AE111" s="325"/>
      <c r="AF111" s="325"/>
      <c r="AG111" s="325"/>
      <c r="AH111" s="322" t="e">
        <f t="shared" si="64"/>
        <v>#N/A</v>
      </c>
      <c r="AI111" s="649"/>
      <c r="AJ111" s="325"/>
      <c r="AK111" s="325"/>
      <c r="AL111" s="325"/>
      <c r="AM111" s="322" t="e">
        <f t="shared" si="65"/>
        <v>#N/A</v>
      </c>
      <c r="AN111" s="649"/>
      <c r="AO111" s="325"/>
      <c r="AP111" s="325"/>
      <c r="AQ111" s="325"/>
      <c r="AR111" s="322" t="e">
        <f t="shared" si="66"/>
        <v>#N/A</v>
      </c>
      <c r="AS111" s="649"/>
      <c r="AT111" s="325"/>
      <c r="AU111" s="325"/>
      <c r="AV111" s="325"/>
      <c r="AW111" s="322" t="e">
        <f t="shared" si="67"/>
        <v>#N/A</v>
      </c>
      <c r="AX111" s="649"/>
      <c r="AZ111" s="402" t="e">
        <f t="shared" si="68"/>
        <v>#N/A</v>
      </c>
      <c r="BA111" s="649"/>
    </row>
    <row r="112" spans="2:53">
      <c r="B112" s="635"/>
      <c r="C112" s="312">
        <v>6</v>
      </c>
      <c r="D112" s="225"/>
      <c r="E112" s="181"/>
      <c r="F112" s="312"/>
      <c r="G112" s="315"/>
      <c r="H112" s="678"/>
      <c r="I112" s="395" t="str">
        <f t="shared" si="58"/>
        <v>-</v>
      </c>
      <c r="J112" s="395" t="str">
        <f t="shared" si="59"/>
        <v>-</v>
      </c>
      <c r="K112" s="199" t="str">
        <f t="shared" si="60"/>
        <v>-</v>
      </c>
      <c r="L112" s="609"/>
      <c r="M112" s="200" t="e">
        <f>RANK(K112, K$87:$K$101)</f>
        <v>#VALUE!</v>
      </c>
      <c r="N112" s="627"/>
      <c r="O112" s="627"/>
      <c r="P112" s="312"/>
      <c r="Q112" s="312"/>
      <c r="R112" s="312"/>
      <c r="S112" s="322" t="e">
        <f t="shared" si="61"/>
        <v>#N/A</v>
      </c>
      <c r="T112" s="649"/>
      <c r="U112" s="325"/>
      <c r="V112" s="325"/>
      <c r="W112" s="325"/>
      <c r="X112" s="322" t="e">
        <f t="shared" si="62"/>
        <v>#N/A</v>
      </c>
      <c r="Y112" s="649"/>
      <c r="Z112" s="325"/>
      <c r="AA112" s="325"/>
      <c r="AB112" s="325"/>
      <c r="AC112" s="322" t="e">
        <f t="shared" si="63"/>
        <v>#N/A</v>
      </c>
      <c r="AD112" s="649"/>
      <c r="AE112" s="325"/>
      <c r="AF112" s="325"/>
      <c r="AG112" s="325"/>
      <c r="AH112" s="322" t="e">
        <f t="shared" si="64"/>
        <v>#N/A</v>
      </c>
      <c r="AI112" s="649"/>
      <c r="AJ112" s="325"/>
      <c r="AK112" s="325"/>
      <c r="AL112" s="325"/>
      <c r="AM112" s="322" t="e">
        <f t="shared" si="65"/>
        <v>#N/A</v>
      </c>
      <c r="AN112" s="649"/>
      <c r="AO112" s="325"/>
      <c r="AP112" s="325"/>
      <c r="AQ112" s="325"/>
      <c r="AR112" s="322" t="e">
        <f t="shared" si="66"/>
        <v>#N/A</v>
      </c>
      <c r="AS112" s="649"/>
      <c r="AT112" s="325"/>
      <c r="AU112" s="325"/>
      <c r="AV112" s="325"/>
      <c r="AW112" s="322" t="e">
        <f t="shared" si="67"/>
        <v>#N/A</v>
      </c>
      <c r="AX112" s="649"/>
      <c r="AZ112" s="402" t="e">
        <f t="shared" si="68"/>
        <v>#N/A</v>
      </c>
      <c r="BA112" s="649"/>
    </row>
    <row r="113" spans="2:53">
      <c r="B113" s="635"/>
      <c r="C113" s="312">
        <v>7</v>
      </c>
      <c r="D113" s="225"/>
      <c r="E113" s="181"/>
      <c r="F113" s="312"/>
      <c r="G113" s="315"/>
      <c r="H113" s="678"/>
      <c r="I113" s="395" t="str">
        <f t="shared" si="58"/>
        <v>-</v>
      </c>
      <c r="J113" s="395" t="str">
        <f t="shared" si="59"/>
        <v>-</v>
      </c>
      <c r="K113" s="199" t="str">
        <f t="shared" si="60"/>
        <v>-</v>
      </c>
      <c r="L113" s="609"/>
      <c r="M113" s="200" t="e">
        <f>RANK(K113, K$87:$K$101)</f>
        <v>#VALUE!</v>
      </c>
      <c r="N113" s="627"/>
      <c r="O113" s="627"/>
      <c r="P113" s="312"/>
      <c r="Q113" s="312"/>
      <c r="R113" s="312"/>
      <c r="S113" s="322" t="e">
        <f t="shared" si="61"/>
        <v>#N/A</v>
      </c>
      <c r="T113" s="649"/>
      <c r="U113" s="325"/>
      <c r="V113" s="325"/>
      <c r="W113" s="325"/>
      <c r="X113" s="322" t="e">
        <f t="shared" si="62"/>
        <v>#N/A</v>
      </c>
      <c r="Y113" s="649"/>
      <c r="Z113" s="325"/>
      <c r="AA113" s="325"/>
      <c r="AB113" s="325"/>
      <c r="AC113" s="322" t="e">
        <f t="shared" si="63"/>
        <v>#N/A</v>
      </c>
      <c r="AD113" s="649"/>
      <c r="AE113" s="325"/>
      <c r="AF113" s="325"/>
      <c r="AG113" s="325"/>
      <c r="AH113" s="322" t="e">
        <f t="shared" si="64"/>
        <v>#N/A</v>
      </c>
      <c r="AI113" s="649"/>
      <c r="AJ113" s="325"/>
      <c r="AK113" s="325"/>
      <c r="AL113" s="325"/>
      <c r="AM113" s="322" t="e">
        <f t="shared" si="65"/>
        <v>#N/A</v>
      </c>
      <c r="AN113" s="649"/>
      <c r="AO113" s="325"/>
      <c r="AP113" s="325"/>
      <c r="AQ113" s="325"/>
      <c r="AR113" s="322" t="e">
        <f t="shared" si="66"/>
        <v>#N/A</v>
      </c>
      <c r="AS113" s="649"/>
      <c r="AT113" s="325"/>
      <c r="AU113" s="325"/>
      <c r="AV113" s="325"/>
      <c r="AW113" s="322" t="e">
        <f t="shared" si="67"/>
        <v>#N/A</v>
      </c>
      <c r="AX113" s="649"/>
      <c r="AZ113" s="402" t="e">
        <f t="shared" si="68"/>
        <v>#N/A</v>
      </c>
      <c r="BA113" s="649"/>
    </row>
    <row r="114" spans="2:53">
      <c r="B114" s="635"/>
      <c r="C114" s="312">
        <v>8</v>
      </c>
      <c r="D114" s="225"/>
      <c r="E114" s="181"/>
      <c r="F114" s="312"/>
      <c r="G114" s="315"/>
      <c r="H114" s="678"/>
      <c r="I114" s="395" t="str">
        <f t="shared" si="58"/>
        <v>-</v>
      </c>
      <c r="J114" s="395" t="str">
        <f t="shared" si="59"/>
        <v>-</v>
      </c>
      <c r="K114" s="199" t="str">
        <f t="shared" si="60"/>
        <v>-</v>
      </c>
      <c r="L114" s="609"/>
      <c r="M114" s="200" t="e">
        <f>RANK(K114, K$87:$K$101)</f>
        <v>#VALUE!</v>
      </c>
      <c r="N114" s="627"/>
      <c r="O114" s="627"/>
      <c r="P114" s="312"/>
      <c r="Q114" s="312"/>
      <c r="R114" s="312"/>
      <c r="S114" s="322" t="e">
        <f t="shared" si="61"/>
        <v>#N/A</v>
      </c>
      <c r="T114" s="649"/>
      <c r="U114" s="325"/>
      <c r="V114" s="325"/>
      <c r="W114" s="325"/>
      <c r="X114" s="322" t="e">
        <f t="shared" si="62"/>
        <v>#N/A</v>
      </c>
      <c r="Y114" s="649"/>
      <c r="Z114" s="325"/>
      <c r="AA114" s="325"/>
      <c r="AB114" s="325"/>
      <c r="AC114" s="322" t="e">
        <f t="shared" si="63"/>
        <v>#N/A</v>
      </c>
      <c r="AD114" s="649"/>
      <c r="AE114" s="325"/>
      <c r="AF114" s="325"/>
      <c r="AG114" s="325"/>
      <c r="AH114" s="322" t="e">
        <f t="shared" si="64"/>
        <v>#N/A</v>
      </c>
      <c r="AI114" s="649"/>
      <c r="AJ114" s="325"/>
      <c r="AK114" s="325"/>
      <c r="AL114" s="325"/>
      <c r="AM114" s="322" t="e">
        <f t="shared" si="65"/>
        <v>#N/A</v>
      </c>
      <c r="AN114" s="649"/>
      <c r="AO114" s="325"/>
      <c r="AP114" s="325"/>
      <c r="AQ114" s="325"/>
      <c r="AR114" s="322" t="e">
        <f t="shared" si="66"/>
        <v>#N/A</v>
      </c>
      <c r="AS114" s="649"/>
      <c r="AT114" s="325"/>
      <c r="AU114" s="325"/>
      <c r="AV114" s="325"/>
      <c r="AW114" s="322" t="e">
        <f t="shared" si="67"/>
        <v>#N/A</v>
      </c>
      <c r="AX114" s="649"/>
      <c r="AZ114" s="402" t="e">
        <f t="shared" si="68"/>
        <v>#N/A</v>
      </c>
      <c r="BA114" s="649"/>
    </row>
    <row r="115" spans="2:53">
      <c r="B115" s="635"/>
      <c r="C115" s="312">
        <v>9</v>
      </c>
      <c r="D115" s="225"/>
      <c r="E115" s="181"/>
      <c r="F115" s="312"/>
      <c r="G115" s="315"/>
      <c r="H115" s="678"/>
      <c r="I115" s="395" t="str">
        <f t="shared" si="58"/>
        <v>-</v>
      </c>
      <c r="J115" s="395" t="str">
        <f t="shared" si="59"/>
        <v>-</v>
      </c>
      <c r="K115" s="199" t="str">
        <f t="shared" si="60"/>
        <v>-</v>
      </c>
      <c r="L115" s="609"/>
      <c r="M115" s="200" t="e">
        <f>RANK(K115, K$87:$K$101)</f>
        <v>#VALUE!</v>
      </c>
      <c r="N115" s="627"/>
      <c r="O115" s="627"/>
      <c r="P115" s="312"/>
      <c r="Q115" s="312"/>
      <c r="R115" s="312"/>
      <c r="S115" s="322" t="e">
        <f t="shared" si="61"/>
        <v>#N/A</v>
      </c>
      <c r="T115" s="649"/>
      <c r="U115" s="325"/>
      <c r="V115" s="325"/>
      <c r="W115" s="325"/>
      <c r="X115" s="322" t="e">
        <f t="shared" si="62"/>
        <v>#N/A</v>
      </c>
      <c r="Y115" s="649"/>
      <c r="Z115" s="325"/>
      <c r="AA115" s="325"/>
      <c r="AB115" s="325"/>
      <c r="AC115" s="322" t="e">
        <f t="shared" si="63"/>
        <v>#N/A</v>
      </c>
      <c r="AD115" s="649"/>
      <c r="AE115" s="325"/>
      <c r="AF115" s="325"/>
      <c r="AG115" s="325"/>
      <c r="AH115" s="322" t="e">
        <f t="shared" si="64"/>
        <v>#N/A</v>
      </c>
      <c r="AI115" s="649"/>
      <c r="AJ115" s="325"/>
      <c r="AK115" s="325"/>
      <c r="AL115" s="325"/>
      <c r="AM115" s="322" t="e">
        <f t="shared" si="65"/>
        <v>#N/A</v>
      </c>
      <c r="AN115" s="649"/>
      <c r="AO115" s="325"/>
      <c r="AP115" s="325"/>
      <c r="AQ115" s="325"/>
      <c r="AR115" s="322" t="e">
        <f t="shared" si="66"/>
        <v>#N/A</v>
      </c>
      <c r="AS115" s="649"/>
      <c r="AT115" s="325"/>
      <c r="AU115" s="325"/>
      <c r="AV115" s="325"/>
      <c r="AW115" s="322" t="e">
        <f t="shared" si="67"/>
        <v>#N/A</v>
      </c>
      <c r="AX115" s="649"/>
      <c r="AZ115" s="402" t="e">
        <f t="shared" si="68"/>
        <v>#N/A</v>
      </c>
      <c r="BA115" s="649"/>
    </row>
    <row r="116" spans="2:53">
      <c r="B116" s="635"/>
      <c r="C116" s="312">
        <v>10</v>
      </c>
      <c r="D116" s="225"/>
      <c r="E116" s="181"/>
      <c r="F116" s="312"/>
      <c r="G116" s="315"/>
      <c r="H116" s="678"/>
      <c r="I116" s="395" t="str">
        <f t="shared" si="58"/>
        <v>-</v>
      </c>
      <c r="J116" s="395" t="str">
        <f t="shared" si="59"/>
        <v>-</v>
      </c>
      <c r="K116" s="199" t="str">
        <f t="shared" si="60"/>
        <v>-</v>
      </c>
      <c r="L116" s="609"/>
      <c r="M116" s="200" t="e">
        <f>RANK(K116, K$87:$K$101)</f>
        <v>#VALUE!</v>
      </c>
      <c r="N116" s="627"/>
      <c r="O116" s="627"/>
      <c r="P116" s="312"/>
      <c r="Q116" s="312"/>
      <c r="R116" s="312"/>
      <c r="S116" s="322" t="e">
        <f t="shared" si="61"/>
        <v>#N/A</v>
      </c>
      <c r="T116" s="649"/>
      <c r="U116" s="325"/>
      <c r="V116" s="325"/>
      <c r="W116" s="325"/>
      <c r="X116" s="322" t="e">
        <f t="shared" si="62"/>
        <v>#N/A</v>
      </c>
      <c r="Y116" s="649"/>
      <c r="Z116" s="325"/>
      <c r="AA116" s="325"/>
      <c r="AB116" s="325"/>
      <c r="AC116" s="322" t="e">
        <f t="shared" si="63"/>
        <v>#N/A</v>
      </c>
      <c r="AD116" s="649"/>
      <c r="AE116" s="325"/>
      <c r="AF116" s="325"/>
      <c r="AG116" s="325"/>
      <c r="AH116" s="322" t="e">
        <f t="shared" si="64"/>
        <v>#N/A</v>
      </c>
      <c r="AI116" s="649"/>
      <c r="AJ116" s="325"/>
      <c r="AK116" s="325"/>
      <c r="AL116" s="325"/>
      <c r="AM116" s="322" t="e">
        <f t="shared" si="65"/>
        <v>#N/A</v>
      </c>
      <c r="AN116" s="649"/>
      <c r="AO116" s="325"/>
      <c r="AP116" s="325"/>
      <c r="AQ116" s="325"/>
      <c r="AR116" s="322" t="e">
        <f t="shared" si="66"/>
        <v>#N/A</v>
      </c>
      <c r="AS116" s="649"/>
      <c r="AT116" s="325"/>
      <c r="AU116" s="325"/>
      <c r="AV116" s="325"/>
      <c r="AW116" s="322" t="e">
        <f t="shared" si="67"/>
        <v>#N/A</v>
      </c>
      <c r="AX116" s="649"/>
      <c r="AZ116" s="402" t="e">
        <f t="shared" si="68"/>
        <v>#N/A</v>
      </c>
      <c r="BA116" s="649"/>
    </row>
    <row r="117" spans="2:53">
      <c r="B117" s="635"/>
      <c r="C117" s="312">
        <v>11</v>
      </c>
      <c r="D117" s="225"/>
      <c r="E117" s="181"/>
      <c r="F117" s="312"/>
      <c r="G117" s="315"/>
      <c r="H117" s="678"/>
      <c r="I117" s="395" t="str">
        <f t="shared" si="58"/>
        <v>-</v>
      </c>
      <c r="J117" s="395" t="str">
        <f t="shared" si="59"/>
        <v>-</v>
      </c>
      <c r="K117" s="199" t="str">
        <f t="shared" si="60"/>
        <v>-</v>
      </c>
      <c r="L117" s="609"/>
      <c r="M117" s="200" t="e">
        <f>RANK(K117, K$87:$K$101)</f>
        <v>#VALUE!</v>
      </c>
      <c r="N117" s="627"/>
      <c r="O117" s="627"/>
      <c r="P117" s="312"/>
      <c r="Q117" s="312"/>
      <c r="R117" s="312"/>
      <c r="S117" s="322" t="e">
        <f t="shared" si="61"/>
        <v>#N/A</v>
      </c>
      <c r="T117" s="649"/>
      <c r="U117" s="325"/>
      <c r="V117" s="325"/>
      <c r="W117" s="325"/>
      <c r="X117" s="322" t="e">
        <f t="shared" si="62"/>
        <v>#N/A</v>
      </c>
      <c r="Y117" s="649"/>
      <c r="Z117" s="325"/>
      <c r="AA117" s="325"/>
      <c r="AB117" s="325"/>
      <c r="AC117" s="322" t="e">
        <f t="shared" si="63"/>
        <v>#N/A</v>
      </c>
      <c r="AD117" s="649"/>
      <c r="AE117" s="325"/>
      <c r="AF117" s="325"/>
      <c r="AG117" s="325"/>
      <c r="AH117" s="322" t="e">
        <f t="shared" si="64"/>
        <v>#N/A</v>
      </c>
      <c r="AI117" s="649"/>
      <c r="AJ117" s="325"/>
      <c r="AK117" s="325"/>
      <c r="AL117" s="325"/>
      <c r="AM117" s="322" t="e">
        <f t="shared" si="65"/>
        <v>#N/A</v>
      </c>
      <c r="AN117" s="649"/>
      <c r="AO117" s="325"/>
      <c r="AP117" s="325"/>
      <c r="AQ117" s="325"/>
      <c r="AR117" s="322" t="e">
        <f t="shared" si="66"/>
        <v>#N/A</v>
      </c>
      <c r="AS117" s="649"/>
      <c r="AT117" s="325"/>
      <c r="AU117" s="325"/>
      <c r="AV117" s="325"/>
      <c r="AW117" s="322" t="e">
        <f t="shared" si="67"/>
        <v>#N/A</v>
      </c>
      <c r="AX117" s="649"/>
      <c r="AZ117" s="402" t="e">
        <f t="shared" si="68"/>
        <v>#N/A</v>
      </c>
      <c r="BA117" s="649"/>
    </row>
    <row r="118" spans="2:53">
      <c r="B118" s="635"/>
      <c r="C118" s="312">
        <v>12</v>
      </c>
      <c r="D118" s="225"/>
      <c r="E118" s="181"/>
      <c r="F118" s="312"/>
      <c r="G118" s="315"/>
      <c r="H118" s="678"/>
      <c r="I118" s="395" t="str">
        <f t="shared" si="58"/>
        <v>-</v>
      </c>
      <c r="J118" s="395" t="str">
        <f t="shared" si="59"/>
        <v>-</v>
      </c>
      <c r="K118" s="199" t="str">
        <f t="shared" si="60"/>
        <v>-</v>
      </c>
      <c r="L118" s="609"/>
      <c r="M118" s="200" t="e">
        <f>RANK(K118, K$87:$K$101)</f>
        <v>#VALUE!</v>
      </c>
      <c r="N118" s="627"/>
      <c r="O118" s="627"/>
      <c r="P118" s="312"/>
      <c r="Q118" s="312"/>
      <c r="R118" s="312"/>
      <c r="S118" s="322" t="e">
        <f t="shared" si="61"/>
        <v>#N/A</v>
      </c>
      <c r="T118" s="649"/>
      <c r="U118" s="325"/>
      <c r="V118" s="325"/>
      <c r="W118" s="325"/>
      <c r="X118" s="322" t="e">
        <f t="shared" si="62"/>
        <v>#N/A</v>
      </c>
      <c r="Y118" s="649"/>
      <c r="Z118" s="325"/>
      <c r="AA118" s="325"/>
      <c r="AB118" s="325"/>
      <c r="AC118" s="322" t="e">
        <f t="shared" si="63"/>
        <v>#N/A</v>
      </c>
      <c r="AD118" s="649"/>
      <c r="AE118" s="325"/>
      <c r="AF118" s="325"/>
      <c r="AG118" s="325"/>
      <c r="AH118" s="322" t="e">
        <f t="shared" si="64"/>
        <v>#N/A</v>
      </c>
      <c r="AI118" s="649"/>
      <c r="AJ118" s="325"/>
      <c r="AK118" s="325"/>
      <c r="AL118" s="325"/>
      <c r="AM118" s="322" t="e">
        <f t="shared" si="65"/>
        <v>#N/A</v>
      </c>
      <c r="AN118" s="649"/>
      <c r="AO118" s="325"/>
      <c r="AP118" s="325"/>
      <c r="AQ118" s="325"/>
      <c r="AR118" s="322" t="e">
        <f t="shared" si="66"/>
        <v>#N/A</v>
      </c>
      <c r="AS118" s="649"/>
      <c r="AT118" s="325"/>
      <c r="AU118" s="325"/>
      <c r="AV118" s="325"/>
      <c r="AW118" s="322" t="e">
        <f t="shared" si="67"/>
        <v>#N/A</v>
      </c>
      <c r="AX118" s="649"/>
      <c r="AZ118" s="402" t="e">
        <f t="shared" si="68"/>
        <v>#N/A</v>
      </c>
      <c r="BA118" s="649"/>
    </row>
    <row r="119" spans="2:53">
      <c r="B119" s="635"/>
      <c r="C119" s="312">
        <v>13</v>
      </c>
      <c r="D119" s="225"/>
      <c r="E119" s="181"/>
      <c r="F119" s="312"/>
      <c r="G119" s="315"/>
      <c r="H119" s="678"/>
      <c r="I119" s="395" t="str">
        <f t="shared" si="58"/>
        <v>-</v>
      </c>
      <c r="J119" s="395" t="str">
        <f t="shared" si="59"/>
        <v>-</v>
      </c>
      <c r="K119" s="199" t="str">
        <f t="shared" si="60"/>
        <v>-</v>
      </c>
      <c r="L119" s="609"/>
      <c r="M119" s="200" t="e">
        <f>RANK(K119, K$87:$K$101)</f>
        <v>#VALUE!</v>
      </c>
      <c r="N119" s="627"/>
      <c r="O119" s="627"/>
      <c r="P119" s="312"/>
      <c r="Q119" s="312"/>
      <c r="R119" s="312"/>
      <c r="S119" s="322" t="e">
        <f t="shared" si="61"/>
        <v>#N/A</v>
      </c>
      <c r="T119" s="649"/>
      <c r="U119" s="325"/>
      <c r="V119" s="325"/>
      <c r="W119" s="325"/>
      <c r="X119" s="322" t="e">
        <f t="shared" si="62"/>
        <v>#N/A</v>
      </c>
      <c r="Y119" s="649"/>
      <c r="Z119" s="325"/>
      <c r="AA119" s="325"/>
      <c r="AB119" s="325"/>
      <c r="AC119" s="322" t="e">
        <f t="shared" si="63"/>
        <v>#N/A</v>
      </c>
      <c r="AD119" s="649"/>
      <c r="AE119" s="325"/>
      <c r="AF119" s="325"/>
      <c r="AG119" s="325"/>
      <c r="AH119" s="322" t="e">
        <f t="shared" si="64"/>
        <v>#N/A</v>
      </c>
      <c r="AI119" s="649"/>
      <c r="AJ119" s="325"/>
      <c r="AK119" s="325"/>
      <c r="AL119" s="325"/>
      <c r="AM119" s="322" t="e">
        <f t="shared" si="65"/>
        <v>#N/A</v>
      </c>
      <c r="AN119" s="649"/>
      <c r="AO119" s="325"/>
      <c r="AP119" s="325"/>
      <c r="AQ119" s="325"/>
      <c r="AR119" s="322" t="e">
        <f t="shared" si="66"/>
        <v>#N/A</v>
      </c>
      <c r="AS119" s="649"/>
      <c r="AT119" s="325"/>
      <c r="AU119" s="325"/>
      <c r="AV119" s="325"/>
      <c r="AW119" s="322" t="e">
        <f t="shared" si="67"/>
        <v>#N/A</v>
      </c>
      <c r="AX119" s="649"/>
      <c r="AZ119" s="402" t="e">
        <f t="shared" si="68"/>
        <v>#N/A</v>
      </c>
      <c r="BA119" s="649"/>
    </row>
    <row r="120" spans="2:53">
      <c r="B120" s="635"/>
      <c r="C120" s="312">
        <v>14</v>
      </c>
      <c r="D120" s="225"/>
      <c r="E120" s="181"/>
      <c r="F120" s="312"/>
      <c r="G120" s="315"/>
      <c r="H120" s="678"/>
      <c r="I120" s="395" t="str">
        <f t="shared" si="58"/>
        <v>-</v>
      </c>
      <c r="J120" s="395" t="str">
        <f t="shared" si="59"/>
        <v>-</v>
      </c>
      <c r="K120" s="199" t="str">
        <f t="shared" si="60"/>
        <v>-</v>
      </c>
      <c r="L120" s="609"/>
      <c r="M120" s="200" t="e">
        <f>RANK(K120, K$87:$K$101)</f>
        <v>#VALUE!</v>
      </c>
      <c r="N120" s="627"/>
      <c r="O120" s="627"/>
      <c r="P120" s="312"/>
      <c r="Q120" s="312"/>
      <c r="R120" s="312"/>
      <c r="S120" s="322" t="e">
        <f t="shared" si="61"/>
        <v>#N/A</v>
      </c>
      <c r="T120" s="649"/>
      <c r="U120" s="325"/>
      <c r="V120" s="325"/>
      <c r="W120" s="325"/>
      <c r="X120" s="322" t="e">
        <f t="shared" si="62"/>
        <v>#N/A</v>
      </c>
      <c r="Y120" s="649"/>
      <c r="Z120" s="325"/>
      <c r="AA120" s="325"/>
      <c r="AB120" s="325"/>
      <c r="AC120" s="322" t="e">
        <f t="shared" si="63"/>
        <v>#N/A</v>
      </c>
      <c r="AD120" s="649"/>
      <c r="AE120" s="325"/>
      <c r="AF120" s="325"/>
      <c r="AG120" s="325"/>
      <c r="AH120" s="322" t="e">
        <f t="shared" si="64"/>
        <v>#N/A</v>
      </c>
      <c r="AI120" s="649"/>
      <c r="AJ120" s="325"/>
      <c r="AK120" s="325"/>
      <c r="AL120" s="325"/>
      <c r="AM120" s="322" t="e">
        <f t="shared" si="65"/>
        <v>#N/A</v>
      </c>
      <c r="AN120" s="649"/>
      <c r="AO120" s="325"/>
      <c r="AP120" s="325"/>
      <c r="AQ120" s="325"/>
      <c r="AR120" s="322" t="e">
        <f t="shared" si="66"/>
        <v>#N/A</v>
      </c>
      <c r="AS120" s="649"/>
      <c r="AT120" s="325"/>
      <c r="AU120" s="325"/>
      <c r="AV120" s="325"/>
      <c r="AW120" s="322" t="e">
        <f t="shared" si="67"/>
        <v>#N/A</v>
      </c>
      <c r="AX120" s="649"/>
      <c r="AZ120" s="402" t="e">
        <f t="shared" si="68"/>
        <v>#N/A</v>
      </c>
      <c r="BA120" s="649"/>
    </row>
    <row r="121" spans="2:53">
      <c r="B121" s="635"/>
      <c r="C121" s="312">
        <v>15</v>
      </c>
      <c r="D121" s="225"/>
      <c r="E121" s="181"/>
      <c r="F121" s="312"/>
      <c r="G121" s="315"/>
      <c r="H121" s="679"/>
      <c r="I121" s="201"/>
      <c r="J121" s="201"/>
      <c r="K121" s="201"/>
      <c r="L121" s="610"/>
      <c r="M121" s="198" t="e">
        <f>RANK(K121, K$87:$K$101)</f>
        <v>#N/A</v>
      </c>
      <c r="N121" s="627"/>
      <c r="O121" s="627"/>
      <c r="P121" s="312"/>
      <c r="Q121" s="312"/>
      <c r="R121" s="312"/>
      <c r="S121" s="322" t="e">
        <f t="shared" si="61"/>
        <v>#N/A</v>
      </c>
      <c r="T121" s="649"/>
      <c r="U121" s="325"/>
      <c r="V121" s="325"/>
      <c r="W121" s="325"/>
      <c r="X121" s="322" t="e">
        <f t="shared" si="62"/>
        <v>#N/A</v>
      </c>
      <c r="Y121" s="649"/>
      <c r="Z121" s="325"/>
      <c r="AA121" s="325"/>
      <c r="AB121" s="325"/>
      <c r="AC121" s="322" t="e">
        <f t="shared" si="63"/>
        <v>#N/A</v>
      </c>
      <c r="AD121" s="649"/>
      <c r="AE121" s="325"/>
      <c r="AF121" s="325"/>
      <c r="AG121" s="325"/>
      <c r="AH121" s="322" t="e">
        <f t="shared" si="64"/>
        <v>#N/A</v>
      </c>
      <c r="AI121" s="649"/>
      <c r="AJ121" s="325"/>
      <c r="AK121" s="325"/>
      <c r="AL121" s="325"/>
      <c r="AM121" s="322" t="e">
        <f t="shared" si="65"/>
        <v>#N/A</v>
      </c>
      <c r="AN121" s="649"/>
      <c r="AO121" s="325"/>
      <c r="AP121" s="325"/>
      <c r="AQ121" s="325"/>
      <c r="AR121" s="322" t="e">
        <f t="shared" si="66"/>
        <v>#N/A</v>
      </c>
      <c r="AS121" s="649"/>
      <c r="AT121" s="325"/>
      <c r="AU121" s="325"/>
      <c r="AV121" s="325"/>
      <c r="AW121" s="322" t="e">
        <f t="shared" si="67"/>
        <v>#N/A</v>
      </c>
      <c r="AX121" s="649"/>
      <c r="AZ121" s="402" t="e">
        <f t="shared" si="68"/>
        <v>#N/A</v>
      </c>
      <c r="BA121" s="649"/>
    </row>
    <row r="123" spans="2:53" ht="15.75">
      <c r="B123" s="666" t="s">
        <v>484</v>
      </c>
      <c r="C123" s="667"/>
      <c r="D123" s="667"/>
      <c r="E123" s="667"/>
      <c r="F123" s="667"/>
      <c r="G123" s="667"/>
      <c r="H123" s="668"/>
      <c r="I123" s="316"/>
      <c r="J123" s="316"/>
      <c r="K123" s="316"/>
      <c r="L123" s="316"/>
      <c r="M123" s="317"/>
    </row>
    <row r="124" spans="2:53" ht="15.75">
      <c r="B124" s="669"/>
      <c r="C124" s="669"/>
      <c r="D124" s="669"/>
      <c r="E124" s="669"/>
      <c r="F124" s="669"/>
      <c r="G124" s="669"/>
      <c r="H124" s="669"/>
      <c r="I124" s="318"/>
      <c r="J124" s="318"/>
      <c r="K124" s="318"/>
      <c r="L124" s="318"/>
      <c r="M124" s="319"/>
    </row>
    <row r="125" spans="2:53">
      <c r="B125" s="627" t="s">
        <v>485</v>
      </c>
      <c r="C125" s="627" t="s">
        <v>486</v>
      </c>
      <c r="D125" s="627"/>
      <c r="E125" s="627" t="s">
        <v>487</v>
      </c>
      <c r="F125" s="627"/>
      <c r="G125" s="627"/>
      <c r="H125" s="643" t="s">
        <v>488</v>
      </c>
      <c r="I125" s="670" t="s">
        <v>489</v>
      </c>
      <c r="J125" s="670"/>
      <c r="K125" s="670"/>
      <c r="L125" s="683" t="s">
        <v>488</v>
      </c>
      <c r="M125" s="686" t="s">
        <v>490</v>
      </c>
    </row>
    <row r="126" spans="2:53">
      <c r="B126" s="627"/>
      <c r="C126" s="627"/>
      <c r="D126" s="627"/>
      <c r="E126" s="627" t="s">
        <v>491</v>
      </c>
      <c r="F126" s="627"/>
      <c r="G126" s="627"/>
      <c r="H126" s="644"/>
      <c r="I126" s="670" t="s">
        <v>491</v>
      </c>
      <c r="J126" s="670"/>
      <c r="K126" s="670"/>
      <c r="L126" s="684"/>
      <c r="M126" s="687"/>
    </row>
    <row r="127" spans="2:53">
      <c r="B127" s="627"/>
      <c r="C127" s="627"/>
      <c r="D127" s="627"/>
      <c r="E127" s="313" t="s">
        <v>492</v>
      </c>
      <c r="F127" s="313" t="s">
        <v>493</v>
      </c>
      <c r="G127" s="313" t="s">
        <v>494</v>
      </c>
      <c r="H127" s="645"/>
      <c r="I127" s="320" t="s">
        <v>492</v>
      </c>
      <c r="J127" s="320" t="s">
        <v>493</v>
      </c>
      <c r="K127" s="320" t="s">
        <v>494</v>
      </c>
      <c r="L127" s="685"/>
      <c r="M127" s="688"/>
    </row>
    <row r="128" spans="2:53">
      <c r="B128" s="627" t="s">
        <v>498</v>
      </c>
      <c r="C128" s="312">
        <v>1</v>
      </c>
      <c r="D128" s="225"/>
      <c r="E128" s="181"/>
      <c r="F128" s="312"/>
      <c r="G128" s="315"/>
      <c r="H128" s="677" t="e">
        <f>AVERAGE(G128:G142)</f>
        <v>#DIV/0!</v>
      </c>
      <c r="I128" s="198" t="e">
        <f t="shared" ref="I128:J128" si="69">AVERAGEIF($D$7:$D$121,$D128,I$7:I$121)</f>
        <v>#DIV/0!</v>
      </c>
      <c r="J128" s="198" t="e">
        <f t="shared" si="69"/>
        <v>#DIV/0!</v>
      </c>
      <c r="K128" s="198" t="e">
        <f>AVERAGEIF($D$7:$D$121,$D128,K$7:K$121)</f>
        <v>#DIV/0!</v>
      </c>
      <c r="L128" s="680" t="e">
        <f>AVERAGE(K128:K142)</f>
        <v>#DIV/0!</v>
      </c>
      <c r="M128" s="198" t="e">
        <f>RANK(K128, K$128:$K$142)</f>
        <v>#DIV/0!</v>
      </c>
    </row>
    <row r="129" spans="2:39">
      <c r="B129" s="635"/>
      <c r="C129" s="312">
        <v>2</v>
      </c>
      <c r="D129" s="225"/>
      <c r="E129" s="181"/>
      <c r="F129" s="312"/>
      <c r="G129" s="315"/>
      <c r="H129" s="678"/>
      <c r="I129" s="198"/>
      <c r="J129" s="198"/>
      <c r="K129" s="198"/>
      <c r="L129" s="681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35"/>
      <c r="C130" s="312">
        <v>3</v>
      </c>
      <c r="D130" s="225"/>
      <c r="E130" s="181"/>
      <c r="F130" s="312"/>
      <c r="G130" s="315"/>
      <c r="H130" s="678"/>
      <c r="I130" s="198"/>
      <c r="J130" s="198"/>
      <c r="K130" s="198"/>
      <c r="L130" s="681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35"/>
      <c r="C131" s="312">
        <v>4</v>
      </c>
      <c r="D131" s="225"/>
      <c r="E131" s="181"/>
      <c r="F131" s="312"/>
      <c r="G131" s="315"/>
      <c r="H131" s="678"/>
      <c r="I131" s="198"/>
      <c r="J131" s="198"/>
      <c r="K131" s="198"/>
      <c r="L131" s="681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35"/>
      <c r="C132" s="312">
        <v>5</v>
      </c>
      <c r="D132" s="225"/>
      <c r="E132" s="181"/>
      <c r="F132" s="312"/>
      <c r="G132" s="315"/>
      <c r="H132" s="678"/>
      <c r="I132" s="198"/>
      <c r="J132" s="198"/>
      <c r="K132" s="198"/>
      <c r="L132" s="681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35"/>
      <c r="C133" s="312">
        <v>6</v>
      </c>
      <c r="D133" s="321"/>
      <c r="E133" s="181"/>
      <c r="F133" s="312"/>
      <c r="G133" s="315"/>
      <c r="H133" s="678"/>
      <c r="I133" s="198"/>
      <c r="J133" s="198"/>
      <c r="K133" s="198"/>
      <c r="L133" s="681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35"/>
      <c r="C134" s="312">
        <v>7</v>
      </c>
      <c r="D134" s="225"/>
      <c r="E134" s="181"/>
      <c r="F134" s="312"/>
      <c r="G134" s="315"/>
      <c r="H134" s="678"/>
      <c r="I134" s="198"/>
      <c r="J134" s="198"/>
      <c r="K134" s="198"/>
      <c r="L134" s="681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35"/>
      <c r="C135" s="312">
        <v>8</v>
      </c>
      <c r="D135" s="225"/>
      <c r="E135" s="181"/>
      <c r="F135" s="312"/>
      <c r="G135" s="315"/>
      <c r="H135" s="678"/>
      <c r="I135" s="198"/>
      <c r="J135" s="198"/>
      <c r="K135" s="198"/>
      <c r="L135" s="681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35"/>
      <c r="C136" s="312">
        <v>9</v>
      </c>
      <c r="D136" s="225"/>
      <c r="E136" s="312"/>
      <c r="F136" s="312"/>
      <c r="G136" s="312"/>
      <c r="H136" s="678"/>
      <c r="I136" s="198"/>
      <c r="J136" s="198"/>
      <c r="K136" s="198"/>
      <c r="L136" s="681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35"/>
      <c r="C137" s="312">
        <v>10</v>
      </c>
      <c r="D137" s="225"/>
      <c r="E137" s="312"/>
      <c r="F137" s="312"/>
      <c r="G137" s="312"/>
      <c r="H137" s="678"/>
      <c r="I137" s="198"/>
      <c r="J137" s="198"/>
      <c r="K137" s="198"/>
      <c r="L137" s="681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35"/>
      <c r="C138" s="312">
        <v>11</v>
      </c>
      <c r="D138" s="225"/>
      <c r="E138" s="312"/>
      <c r="F138" s="312"/>
      <c r="G138" s="312"/>
      <c r="H138" s="678"/>
      <c r="I138" s="198"/>
      <c r="J138" s="198"/>
      <c r="K138" s="198"/>
      <c r="L138" s="681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35"/>
      <c r="C139" s="312">
        <v>12</v>
      </c>
      <c r="D139" s="225"/>
      <c r="E139" s="312"/>
      <c r="F139" s="312"/>
      <c r="G139" s="312"/>
      <c r="H139" s="678"/>
      <c r="I139" s="198"/>
      <c r="J139" s="198"/>
      <c r="K139" s="198"/>
      <c r="L139" s="681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35"/>
      <c r="C140" s="312">
        <v>13</v>
      </c>
      <c r="D140" s="225"/>
      <c r="E140" s="312"/>
      <c r="F140" s="312"/>
      <c r="G140" s="312"/>
      <c r="H140" s="678"/>
      <c r="I140" s="198"/>
      <c r="J140" s="198"/>
      <c r="K140" s="198"/>
      <c r="L140" s="681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35"/>
      <c r="C141" s="312">
        <v>14</v>
      </c>
      <c r="D141" s="225"/>
      <c r="E141" s="312"/>
      <c r="F141" s="312"/>
      <c r="G141" s="312"/>
      <c r="H141" s="678"/>
      <c r="I141" s="198"/>
      <c r="J141" s="198"/>
      <c r="K141" s="198"/>
      <c r="L141" s="681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35"/>
      <c r="C142" s="312">
        <v>15</v>
      </c>
      <c r="D142" s="225"/>
      <c r="E142" s="312"/>
      <c r="F142" s="312"/>
      <c r="G142" s="312"/>
      <c r="H142" s="679"/>
      <c r="I142" s="198"/>
      <c r="J142" s="198"/>
      <c r="K142" s="198"/>
      <c r="L142" s="682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247"/>
  <sheetViews>
    <sheetView topLeftCell="A24" zoomScale="85" zoomScaleNormal="85" workbookViewId="0">
      <pane xSplit="15" topLeftCell="P1" activePane="topRight" state="frozen"/>
      <selection activeCell="AI87" sqref="AI87:AI101"/>
      <selection pane="topRight" activeCell="P56" sqref="P56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314</v>
      </c>
      <c r="C1" s="219">
        <f>AVERAGE(L7,L42,L77,L112,L147,L182)</f>
        <v>89.143177443223209</v>
      </c>
    </row>
    <row r="2" spans="1:53" ht="15.75">
      <c r="A2" s="81"/>
      <c r="B2" s="639" t="s">
        <v>163</v>
      </c>
      <c r="C2" s="639"/>
      <c r="D2" s="639"/>
      <c r="E2" s="639"/>
      <c r="F2" s="639"/>
      <c r="G2" s="639"/>
      <c r="H2" s="639"/>
      <c r="I2" s="293"/>
      <c r="J2" s="293"/>
      <c r="K2" s="293"/>
      <c r="L2" s="293"/>
      <c r="M2" s="196"/>
      <c r="N2" s="628" t="s">
        <v>156</v>
      </c>
      <c r="O2" s="628" t="s">
        <v>155</v>
      </c>
      <c r="P2" s="655">
        <v>46168</v>
      </c>
      <c r="Q2" s="656"/>
      <c r="R2" s="656"/>
      <c r="S2" s="656"/>
      <c r="T2" s="657"/>
      <c r="U2" s="634">
        <f>P2+1</f>
        <v>46169</v>
      </c>
      <c r="V2" s="635"/>
      <c r="W2" s="635"/>
      <c r="X2" s="635"/>
      <c r="Y2" s="635"/>
      <c r="Z2" s="634">
        <f>U2+1</f>
        <v>46170</v>
      </c>
      <c r="AA2" s="635"/>
      <c r="AB2" s="635"/>
      <c r="AC2" s="635"/>
      <c r="AD2" s="635"/>
      <c r="AE2" s="634">
        <f>Z2+1</f>
        <v>46171</v>
      </c>
      <c r="AF2" s="635"/>
      <c r="AG2" s="635"/>
      <c r="AH2" s="635"/>
      <c r="AI2" s="635"/>
      <c r="AJ2" s="634">
        <f>AE2+1</f>
        <v>46172</v>
      </c>
      <c r="AK2" s="635"/>
      <c r="AL2" s="635"/>
      <c r="AM2" s="635"/>
      <c r="AN2" s="635"/>
      <c r="AO2" s="634">
        <f>AJ2+1</f>
        <v>46173</v>
      </c>
      <c r="AP2" s="635"/>
      <c r="AQ2" s="635"/>
      <c r="AR2" s="635"/>
      <c r="AS2" s="635"/>
      <c r="AT2" s="631">
        <f>AO2+1</f>
        <v>46174</v>
      </c>
      <c r="AU2" s="632"/>
      <c r="AV2" s="632"/>
      <c r="AW2" s="632"/>
      <c r="AX2" s="633"/>
    </row>
    <row r="3" spans="1:53" ht="15.75">
      <c r="A3" s="81"/>
      <c r="B3" s="658"/>
      <c r="C3" s="658"/>
      <c r="D3" s="658"/>
      <c r="E3" s="658"/>
      <c r="F3" s="658"/>
      <c r="G3" s="658"/>
      <c r="H3" s="658"/>
      <c r="I3" s="294"/>
      <c r="J3" s="294"/>
      <c r="K3" s="294"/>
      <c r="L3" s="294"/>
      <c r="M3" s="197"/>
      <c r="N3" s="630"/>
      <c r="O3" s="630"/>
      <c r="P3" s="631" t="s">
        <v>158</v>
      </c>
      <c r="Q3" s="632"/>
      <c r="R3" s="632"/>
      <c r="S3" s="632"/>
      <c r="T3" s="633"/>
      <c r="U3" s="631" t="s">
        <v>114</v>
      </c>
      <c r="V3" s="632"/>
      <c r="W3" s="632"/>
      <c r="X3" s="632"/>
      <c r="Y3" s="633"/>
      <c r="Z3" s="631" t="s">
        <v>159</v>
      </c>
      <c r="AA3" s="632"/>
      <c r="AB3" s="632"/>
      <c r="AC3" s="632"/>
      <c r="AD3" s="633"/>
      <c r="AE3" s="631" t="s">
        <v>157</v>
      </c>
      <c r="AF3" s="632"/>
      <c r="AG3" s="632"/>
      <c r="AH3" s="632"/>
      <c r="AI3" s="633"/>
      <c r="AJ3" s="631" t="s">
        <v>160</v>
      </c>
      <c r="AK3" s="632"/>
      <c r="AL3" s="632"/>
      <c r="AM3" s="632"/>
      <c r="AN3" s="633"/>
      <c r="AO3" s="631" t="s">
        <v>161</v>
      </c>
      <c r="AP3" s="632"/>
      <c r="AQ3" s="632"/>
      <c r="AR3" s="632"/>
      <c r="AS3" s="633"/>
      <c r="AT3" s="631" t="s">
        <v>162</v>
      </c>
      <c r="AU3" s="632"/>
      <c r="AV3" s="632"/>
      <c r="AW3" s="632"/>
      <c r="AX3" s="633"/>
    </row>
    <row r="4" spans="1:53" ht="14.25">
      <c r="A4" s="81"/>
      <c r="B4" s="627" t="s">
        <v>154</v>
      </c>
      <c r="C4" s="627" t="s">
        <v>384</v>
      </c>
      <c r="D4" s="627"/>
      <c r="E4" s="627" t="s">
        <v>375</v>
      </c>
      <c r="F4" s="627"/>
      <c r="G4" s="627"/>
      <c r="H4" s="643" t="s">
        <v>371</v>
      </c>
      <c r="I4" s="611" t="s">
        <v>376</v>
      </c>
      <c r="J4" s="611"/>
      <c r="K4" s="611"/>
      <c r="L4" s="612" t="s">
        <v>371</v>
      </c>
      <c r="M4" s="618" t="s">
        <v>372</v>
      </c>
      <c r="N4" s="627"/>
      <c r="O4" s="627" t="s">
        <v>377</v>
      </c>
      <c r="P4" s="624" t="s">
        <v>373</v>
      </c>
      <c r="Q4" s="625"/>
      <c r="R4" s="625"/>
      <c r="S4" s="626"/>
      <c r="T4" s="627" t="s">
        <v>371</v>
      </c>
      <c r="U4" s="624" t="s">
        <v>373</v>
      </c>
      <c r="V4" s="625"/>
      <c r="W4" s="625"/>
      <c r="X4" s="626"/>
      <c r="Y4" s="627" t="s">
        <v>371</v>
      </c>
      <c r="Z4" s="624" t="s">
        <v>373</v>
      </c>
      <c r="AA4" s="625"/>
      <c r="AB4" s="625"/>
      <c r="AC4" s="626"/>
      <c r="AD4" s="627" t="s">
        <v>371</v>
      </c>
      <c r="AE4" s="624" t="s">
        <v>373</v>
      </c>
      <c r="AF4" s="625"/>
      <c r="AG4" s="625"/>
      <c r="AH4" s="626"/>
      <c r="AI4" s="627" t="s">
        <v>371</v>
      </c>
      <c r="AJ4" s="624" t="s">
        <v>373</v>
      </c>
      <c r="AK4" s="625"/>
      <c r="AL4" s="625"/>
      <c r="AM4" s="626"/>
      <c r="AN4" s="627" t="s">
        <v>371</v>
      </c>
      <c r="AO4" s="624" t="s">
        <v>373</v>
      </c>
      <c r="AP4" s="625"/>
      <c r="AQ4" s="625"/>
      <c r="AR4" s="626"/>
      <c r="AS4" s="627" t="s">
        <v>371</v>
      </c>
      <c r="AT4" s="624" t="s">
        <v>373</v>
      </c>
      <c r="AU4" s="625"/>
      <c r="AV4" s="625"/>
      <c r="AW4" s="626"/>
      <c r="AX4" s="627" t="s">
        <v>371</v>
      </c>
      <c r="BA4" s="627" t="s">
        <v>371</v>
      </c>
    </row>
    <row r="5" spans="1:53" ht="14.25">
      <c r="A5" s="81"/>
      <c r="B5" s="627"/>
      <c r="C5" s="627"/>
      <c r="D5" s="627"/>
      <c r="E5" s="627" t="s">
        <v>378</v>
      </c>
      <c r="F5" s="627"/>
      <c r="G5" s="627"/>
      <c r="H5" s="644"/>
      <c r="I5" s="611" t="s">
        <v>378</v>
      </c>
      <c r="J5" s="611"/>
      <c r="K5" s="611"/>
      <c r="L5" s="613"/>
      <c r="M5" s="619"/>
      <c r="N5" s="627"/>
      <c r="O5" s="627"/>
      <c r="P5" s="624" t="s">
        <v>379</v>
      </c>
      <c r="Q5" s="625"/>
      <c r="R5" s="625"/>
      <c r="S5" s="626"/>
      <c r="T5" s="627"/>
      <c r="U5" s="624" t="s">
        <v>379</v>
      </c>
      <c r="V5" s="625"/>
      <c r="W5" s="625"/>
      <c r="X5" s="626"/>
      <c r="Y5" s="627"/>
      <c r="Z5" s="624" t="s">
        <v>379</v>
      </c>
      <c r="AA5" s="625"/>
      <c r="AB5" s="625"/>
      <c r="AC5" s="626"/>
      <c r="AD5" s="627"/>
      <c r="AE5" s="624" t="s">
        <v>379</v>
      </c>
      <c r="AF5" s="625"/>
      <c r="AG5" s="625"/>
      <c r="AH5" s="626"/>
      <c r="AI5" s="627"/>
      <c r="AJ5" s="624" t="s">
        <v>379</v>
      </c>
      <c r="AK5" s="625"/>
      <c r="AL5" s="625"/>
      <c r="AM5" s="626"/>
      <c r="AN5" s="627"/>
      <c r="AO5" s="624" t="s">
        <v>379</v>
      </c>
      <c r="AP5" s="625"/>
      <c r="AQ5" s="625"/>
      <c r="AR5" s="626"/>
      <c r="AS5" s="627"/>
      <c r="AT5" s="624" t="s">
        <v>379</v>
      </c>
      <c r="AU5" s="625"/>
      <c r="AV5" s="625"/>
      <c r="AW5" s="626"/>
      <c r="AX5" s="627"/>
      <c r="BA5" s="627"/>
    </row>
    <row r="6" spans="1:53" ht="14.25">
      <c r="A6" s="79"/>
      <c r="B6" s="627"/>
      <c r="C6" s="627"/>
      <c r="D6" s="627"/>
      <c r="E6" s="412" t="s">
        <v>380</v>
      </c>
      <c r="F6" s="412" t="s">
        <v>381</v>
      </c>
      <c r="G6" s="412" t="s">
        <v>382</v>
      </c>
      <c r="H6" s="645"/>
      <c r="I6" s="411" t="s">
        <v>380</v>
      </c>
      <c r="J6" s="411" t="s">
        <v>381</v>
      </c>
      <c r="K6" s="411" t="s">
        <v>382</v>
      </c>
      <c r="L6" s="614"/>
      <c r="M6" s="620"/>
      <c r="N6" s="627"/>
      <c r="O6" s="627"/>
      <c r="P6" s="412" t="s">
        <v>380</v>
      </c>
      <c r="Q6" s="412" t="s">
        <v>381</v>
      </c>
      <c r="R6" s="412" t="s">
        <v>382</v>
      </c>
      <c r="S6" s="412" t="s">
        <v>372</v>
      </c>
      <c r="T6" s="627"/>
      <c r="U6" s="412" t="s">
        <v>380</v>
      </c>
      <c r="V6" s="412" t="s">
        <v>381</v>
      </c>
      <c r="W6" s="412" t="s">
        <v>382</v>
      </c>
      <c r="X6" s="412" t="s">
        <v>372</v>
      </c>
      <c r="Y6" s="627"/>
      <c r="Z6" s="412" t="s">
        <v>380</v>
      </c>
      <c r="AA6" s="412" t="s">
        <v>381</v>
      </c>
      <c r="AB6" s="412" t="s">
        <v>382</v>
      </c>
      <c r="AC6" s="412" t="s">
        <v>372</v>
      </c>
      <c r="AD6" s="627"/>
      <c r="AE6" s="412" t="s">
        <v>380</v>
      </c>
      <c r="AF6" s="412" t="s">
        <v>381</v>
      </c>
      <c r="AG6" s="412" t="s">
        <v>382</v>
      </c>
      <c r="AH6" s="412" t="s">
        <v>372</v>
      </c>
      <c r="AI6" s="627"/>
      <c r="AJ6" s="412" t="s">
        <v>380</v>
      </c>
      <c r="AK6" s="412" t="s">
        <v>381</v>
      </c>
      <c r="AL6" s="412" t="s">
        <v>382</v>
      </c>
      <c r="AM6" s="412" t="s">
        <v>372</v>
      </c>
      <c r="AN6" s="627"/>
      <c r="AO6" s="412" t="s">
        <v>380</v>
      </c>
      <c r="AP6" s="412" t="s">
        <v>381</v>
      </c>
      <c r="AQ6" s="412" t="s">
        <v>382</v>
      </c>
      <c r="AR6" s="412" t="s">
        <v>372</v>
      </c>
      <c r="AS6" s="627"/>
      <c r="AT6" s="412" t="s">
        <v>380</v>
      </c>
      <c r="AU6" s="412" t="s">
        <v>381</v>
      </c>
      <c r="AV6" s="412" t="s">
        <v>382</v>
      </c>
      <c r="AW6" s="412" t="s">
        <v>372</v>
      </c>
      <c r="AX6" s="627"/>
      <c r="AZ6" s="401" t="s">
        <v>372</v>
      </c>
      <c r="BA6" s="627"/>
    </row>
    <row r="7" spans="1:53" ht="14.25">
      <c r="A7" s="81"/>
      <c r="B7" s="627" t="s">
        <v>134</v>
      </c>
      <c r="C7" s="413">
        <v>1</v>
      </c>
      <c r="D7" s="225" t="s">
        <v>344</v>
      </c>
      <c r="E7" s="420">
        <v>6</v>
      </c>
      <c r="F7" s="500">
        <v>1500</v>
      </c>
      <c r="G7" s="501">
        <v>250</v>
      </c>
      <c r="H7" s="677">
        <f>AVERAGE(G7:G36)</f>
        <v>98.712228513481406</v>
      </c>
      <c r="I7" s="417">
        <f>IFERROR(AVERAGE(P7,U7,Z7,AE7,AJ7,AO7,AT7),"-")</f>
        <v>6</v>
      </c>
      <c r="J7" s="417">
        <f>IFERROR(AVERAGE(Q7,V7,AA7,AF7,AK7,AP7,AU7),"-")</f>
        <v>1453.3133487713797</v>
      </c>
      <c r="K7" s="199">
        <f>IFERROR(AVERAGE(R7,W7,AB7,AG7,AL7,AQ7,AV7),"-")</f>
        <v>242.21889146189662</v>
      </c>
      <c r="L7" s="608">
        <f>IFERROR(AVERAGE(K7:K36),"-")</f>
        <v>89.243376399784552</v>
      </c>
      <c r="M7" s="419">
        <f>RANK(K7, K$7:$K$36)</f>
        <v>2</v>
      </c>
      <c r="N7" s="627"/>
      <c r="O7" s="627"/>
      <c r="P7" s="500">
        <v>6</v>
      </c>
      <c r="Q7" s="420">
        <v>1439.5897435897439</v>
      </c>
      <c r="R7" s="420">
        <v>239.93162393162399</v>
      </c>
      <c r="S7" s="500">
        <f>RANK(R7, R$7:R$36)</f>
        <v>2</v>
      </c>
      <c r="T7" s="649">
        <f>AVERAGE(R7:R36)</f>
        <v>89.772411691297734</v>
      </c>
      <c r="U7" s="500">
        <v>6</v>
      </c>
      <c r="V7" s="420">
        <v>1425.5409836065576</v>
      </c>
      <c r="W7" s="420">
        <v>237.59016393442627</v>
      </c>
      <c r="X7" s="500">
        <f>RANK(W7, W$7:W$36)</f>
        <v>2</v>
      </c>
      <c r="Y7" s="649">
        <f>AVERAGE(W7:W36)</f>
        <v>89.441790272911575</v>
      </c>
      <c r="Z7" s="500">
        <v>6</v>
      </c>
      <c r="AA7" s="420">
        <v>1478.7898089171974</v>
      </c>
      <c r="AB7" s="420">
        <v>246.46496815286625</v>
      </c>
      <c r="AC7" s="500">
        <f>RANK(AB7, AB$7:AB$36)</f>
        <v>1</v>
      </c>
      <c r="AD7" s="649">
        <f>AVERAGE(AB7:AB36)</f>
        <v>89.725823990114151</v>
      </c>
      <c r="AE7" s="500">
        <v>6</v>
      </c>
      <c r="AF7" s="420">
        <v>1458.4931506849312</v>
      </c>
      <c r="AG7" s="420">
        <v>243.08219178082186</v>
      </c>
      <c r="AH7" s="500">
        <f>RANK(AG7, AG$7:AG$36)</f>
        <v>2</v>
      </c>
      <c r="AI7" s="649">
        <f>AVERAGE(AG7:AG36)</f>
        <v>88.905380831508552</v>
      </c>
      <c r="AJ7" s="500">
        <v>6</v>
      </c>
      <c r="AK7" s="420">
        <v>1443.0000000000002</v>
      </c>
      <c r="AL7" s="420">
        <v>240.50000000000003</v>
      </c>
      <c r="AM7" s="500">
        <f>RANK(AL7, AL$7:AL$36)</f>
        <v>2</v>
      </c>
      <c r="AN7" s="649">
        <f>AVERAGE(AL7:AL36)</f>
        <v>89.113911550948714</v>
      </c>
      <c r="AO7" s="500">
        <v>6</v>
      </c>
      <c r="AP7" s="420">
        <v>1469.0797546012263</v>
      </c>
      <c r="AQ7" s="420">
        <v>244.84662576687106</v>
      </c>
      <c r="AR7" s="500">
        <f>RANK(AQ7, AQ$7:AQ$36)</f>
        <v>2</v>
      </c>
      <c r="AS7" s="649">
        <f>AVERAGE(AQ7:AQ36)</f>
        <v>88.789141253318334</v>
      </c>
      <c r="AT7" s="500">
        <v>6</v>
      </c>
      <c r="AU7" s="420">
        <v>1458.7000000000005</v>
      </c>
      <c r="AV7" s="420">
        <v>243.11666666666676</v>
      </c>
      <c r="AW7" s="500">
        <f>RANK(AV7, AV$7:AV$36)</f>
        <v>2</v>
      </c>
      <c r="AX7" s="649">
        <f>AVERAGE(AV7:AV36)</f>
        <v>88.908706647836965</v>
      </c>
      <c r="AZ7" s="402" t="e">
        <f>RANK(AY7, AY$7:AY$36)</f>
        <v>#N/A</v>
      </c>
      <c r="BA7" s="649" t="e">
        <f>AVERAGE(AY7:AY36)</f>
        <v>#DIV/0!</v>
      </c>
    </row>
    <row r="8" spans="1:53" ht="15" customHeight="1">
      <c r="A8" s="81"/>
      <c r="B8" s="635"/>
      <c r="C8" s="413">
        <v>2</v>
      </c>
      <c r="D8" s="225" t="s">
        <v>624</v>
      </c>
      <c r="E8" s="420">
        <v>6</v>
      </c>
      <c r="F8" s="500">
        <v>1500</v>
      </c>
      <c r="G8" s="501">
        <v>250</v>
      </c>
      <c r="H8" s="678"/>
      <c r="I8" s="417">
        <f t="shared" ref="I8:I36" si="0">IFERROR(AVERAGE(P8,U8,Z8,AE8,AJ8,AO8,AT8),"-")</f>
        <v>6</v>
      </c>
      <c r="J8" s="417">
        <f t="shared" ref="J8:J36" si="1">IFERROR(AVERAGE(Q8,V8,AA8,AF8,AK8,AP8,AU8),"-")</f>
        <v>1464.7524102761367</v>
      </c>
      <c r="K8" s="199">
        <f t="shared" ref="K8:K36" si="2">IFERROR(AVERAGE(R8,W8,AB8,AG8,AL8,AQ8,AV8),"-")</f>
        <v>244.12540171268947</v>
      </c>
      <c r="L8" s="609"/>
      <c r="M8" s="419">
        <f>RANK(K8, K$7:$K$36)</f>
        <v>1</v>
      </c>
      <c r="N8" s="627"/>
      <c r="O8" s="627"/>
      <c r="P8" s="500">
        <v>6</v>
      </c>
      <c r="Q8" s="420">
        <v>1474.1772151898726</v>
      </c>
      <c r="R8" s="420">
        <v>245.69620253164544</v>
      </c>
      <c r="S8" s="500">
        <f t="shared" ref="S8:S36" si="3">RANK(R8, R$7:R$36)</f>
        <v>1</v>
      </c>
      <c r="T8" s="649"/>
      <c r="U8" s="500">
        <v>6</v>
      </c>
      <c r="V8" s="420">
        <v>1456.2962962962958</v>
      </c>
      <c r="W8" s="420">
        <v>242.71604938271597</v>
      </c>
      <c r="X8" s="500">
        <f t="shared" ref="X8:X36" si="4">RANK(W8, W$7:W$36)</f>
        <v>1</v>
      </c>
      <c r="Y8" s="649"/>
      <c r="Z8" s="500">
        <v>6</v>
      </c>
      <c r="AA8" s="420">
        <v>1446.1538461538471</v>
      </c>
      <c r="AB8" s="420">
        <v>241.02564102564119</v>
      </c>
      <c r="AC8" s="500">
        <f t="shared" ref="AC8:AC36" si="5">RANK(AB8, AB$7:AB$36)</f>
        <v>2</v>
      </c>
      <c r="AD8" s="649"/>
      <c r="AE8" s="500">
        <v>6</v>
      </c>
      <c r="AF8" s="420">
        <v>1461.3559322033891</v>
      </c>
      <c r="AG8" s="420">
        <v>243.55932203389818</v>
      </c>
      <c r="AH8" s="500">
        <f t="shared" ref="AH8:AH36" si="6">RANK(AG8, AG$7:AG$36)</f>
        <v>1</v>
      </c>
      <c r="AI8" s="649"/>
      <c r="AJ8" s="500">
        <v>6</v>
      </c>
      <c r="AK8" s="420">
        <v>1463.2835820895523</v>
      </c>
      <c r="AL8" s="420">
        <v>243.88059701492537</v>
      </c>
      <c r="AM8" s="500">
        <f t="shared" ref="AM8:AM36" si="7">RANK(AL8, AL$7:AL$36)</f>
        <v>1</v>
      </c>
      <c r="AN8" s="649"/>
      <c r="AO8" s="500">
        <v>6</v>
      </c>
      <c r="AP8" s="420">
        <v>1480</v>
      </c>
      <c r="AQ8" s="420">
        <v>246.66666666666666</v>
      </c>
      <c r="AR8" s="500">
        <f t="shared" ref="AR8:AR36" si="8">RANK(AQ8, AQ$7:AQ$36)</f>
        <v>1</v>
      </c>
      <c r="AS8" s="649"/>
      <c r="AT8" s="500">
        <v>6</v>
      </c>
      <c r="AU8" s="420">
        <v>1472.0000000000005</v>
      </c>
      <c r="AV8" s="420">
        <v>245.3333333333334</v>
      </c>
      <c r="AW8" s="500">
        <f t="shared" ref="AW8:AW36" si="9">RANK(AV8, AV$7:AV$36)</f>
        <v>1</v>
      </c>
      <c r="AX8" s="649"/>
      <c r="AZ8" s="402" t="e">
        <f t="shared" ref="AZ8:AZ36" si="10">RANK(AY8, AY$7:AY$36)</f>
        <v>#N/A</v>
      </c>
      <c r="BA8" s="649"/>
    </row>
    <row r="9" spans="1:53" ht="14.25">
      <c r="A9" s="81"/>
      <c r="B9" s="635"/>
      <c r="C9" s="413">
        <v>3</v>
      </c>
      <c r="D9" s="225" t="s">
        <v>609</v>
      </c>
      <c r="E9" s="420">
        <v>18</v>
      </c>
      <c r="F9" s="500">
        <v>1500</v>
      </c>
      <c r="G9" s="501">
        <v>83.333333333333329</v>
      </c>
      <c r="H9" s="678"/>
      <c r="I9" s="417">
        <f t="shared" si="0"/>
        <v>18</v>
      </c>
      <c r="J9" s="417">
        <f t="shared" si="1"/>
        <v>1251.6802542270525</v>
      </c>
      <c r="K9" s="199">
        <f t="shared" si="2"/>
        <v>69.537791901502914</v>
      </c>
      <c r="L9" s="609"/>
      <c r="M9" s="419">
        <f>RANK(K9, K$7:$K$36)</f>
        <v>18</v>
      </c>
      <c r="N9" s="627"/>
      <c r="O9" s="627"/>
      <c r="P9" s="500">
        <v>18</v>
      </c>
      <c r="Q9" s="420">
        <v>1259.5714285714298</v>
      </c>
      <c r="R9" s="420">
        <v>69.976190476190538</v>
      </c>
      <c r="S9" s="500">
        <f t="shared" si="3"/>
        <v>17</v>
      </c>
      <c r="T9" s="649"/>
      <c r="U9" s="500">
        <v>18</v>
      </c>
      <c r="V9" s="420">
        <v>1266.2222222222231</v>
      </c>
      <c r="W9" s="420">
        <v>70.345679012345727</v>
      </c>
      <c r="X9" s="500">
        <f t="shared" si="4"/>
        <v>16</v>
      </c>
      <c r="Y9" s="649"/>
      <c r="Z9" s="500">
        <v>18</v>
      </c>
      <c r="AA9" s="420">
        <v>1224.461538461539</v>
      </c>
      <c r="AB9" s="420">
        <v>68.02564102564105</v>
      </c>
      <c r="AC9" s="500">
        <f t="shared" si="5"/>
        <v>18</v>
      </c>
      <c r="AD9" s="649"/>
      <c r="AE9" s="500">
        <v>18</v>
      </c>
      <c r="AF9" s="420">
        <v>1257.0000000000005</v>
      </c>
      <c r="AG9" s="420">
        <v>69.833333333333357</v>
      </c>
      <c r="AH9" s="500">
        <f t="shared" si="6"/>
        <v>16</v>
      </c>
      <c r="AI9" s="649"/>
      <c r="AJ9" s="500">
        <v>18</v>
      </c>
      <c r="AK9" s="420">
        <v>1241.896551724139</v>
      </c>
      <c r="AL9" s="420">
        <v>68.994252873563283</v>
      </c>
      <c r="AM9" s="500">
        <f t="shared" si="7"/>
        <v>17</v>
      </c>
      <c r="AN9" s="649"/>
      <c r="AO9" s="500">
        <v>18</v>
      </c>
      <c r="AP9" s="420">
        <v>1258.2857142857131</v>
      </c>
      <c r="AQ9" s="420">
        <v>69.904761904761841</v>
      </c>
      <c r="AR9" s="500">
        <f t="shared" si="8"/>
        <v>17</v>
      </c>
      <c r="AS9" s="649"/>
      <c r="AT9" s="500">
        <v>18</v>
      </c>
      <c r="AU9" s="420">
        <v>1254.3243243243232</v>
      </c>
      <c r="AV9" s="420">
        <v>69.684684684684626</v>
      </c>
      <c r="AW9" s="500">
        <f t="shared" si="9"/>
        <v>17</v>
      </c>
      <c r="AX9" s="649"/>
      <c r="AZ9" s="402" t="e">
        <f t="shared" si="10"/>
        <v>#N/A</v>
      </c>
      <c r="BA9" s="649"/>
    </row>
    <row r="10" spans="1:53" ht="14.25">
      <c r="A10" s="81"/>
      <c r="B10" s="635"/>
      <c r="C10" s="413">
        <v>4</v>
      </c>
      <c r="D10" s="225" t="s">
        <v>573</v>
      </c>
      <c r="E10" s="420">
        <v>18</v>
      </c>
      <c r="F10" s="500">
        <v>1500</v>
      </c>
      <c r="G10" s="501">
        <v>83.333333333333329</v>
      </c>
      <c r="H10" s="678"/>
      <c r="I10" s="417">
        <f t="shared" si="0"/>
        <v>18</v>
      </c>
      <c r="J10" s="417">
        <f t="shared" si="1"/>
        <v>1304.8968181037874</v>
      </c>
      <c r="K10" s="199">
        <f t="shared" si="2"/>
        <v>72.494267672432628</v>
      </c>
      <c r="L10" s="609"/>
      <c r="M10" s="419">
        <f>RANK(K10, K$7:$K$36)</f>
        <v>16</v>
      </c>
      <c r="N10" s="627"/>
      <c r="O10" s="627"/>
      <c r="P10" s="500">
        <v>18</v>
      </c>
      <c r="Q10" s="420">
        <v>1307.4418604651162</v>
      </c>
      <c r="R10" s="420">
        <v>72.63565891472868</v>
      </c>
      <c r="S10" s="500">
        <f t="shared" si="3"/>
        <v>16</v>
      </c>
      <c r="T10" s="649"/>
      <c r="U10" s="500">
        <v>18</v>
      </c>
      <c r="V10" s="420">
        <v>1333.4999999999995</v>
      </c>
      <c r="W10" s="420">
        <v>74.083333333333314</v>
      </c>
      <c r="X10" s="500">
        <f t="shared" si="4"/>
        <v>15</v>
      </c>
      <c r="Y10" s="649"/>
      <c r="Z10" s="500">
        <v>18</v>
      </c>
      <c r="AA10" s="420">
        <v>1309.4999999999995</v>
      </c>
      <c r="AB10" s="420">
        <v>72.749999999999972</v>
      </c>
      <c r="AC10" s="500">
        <f t="shared" si="5"/>
        <v>15</v>
      </c>
      <c r="AD10" s="649"/>
      <c r="AE10" s="500">
        <v>18</v>
      </c>
      <c r="AF10" s="420">
        <v>1301.1428571428557</v>
      </c>
      <c r="AG10" s="420">
        <v>72.285714285714207</v>
      </c>
      <c r="AH10" s="500">
        <f t="shared" si="6"/>
        <v>15</v>
      </c>
      <c r="AI10" s="649"/>
      <c r="AJ10" s="500">
        <v>18</v>
      </c>
      <c r="AK10" s="420">
        <v>1295.7142857142853</v>
      </c>
      <c r="AL10" s="420">
        <v>71.984126984126959</v>
      </c>
      <c r="AM10" s="500">
        <f t="shared" si="7"/>
        <v>15</v>
      </c>
      <c r="AN10" s="649"/>
      <c r="AO10" s="500">
        <v>18</v>
      </c>
      <c r="AP10" s="420">
        <v>1304</v>
      </c>
      <c r="AQ10" s="420">
        <v>72.444444444444443</v>
      </c>
      <c r="AR10" s="500">
        <f t="shared" si="8"/>
        <v>15</v>
      </c>
      <c r="AS10" s="649"/>
      <c r="AT10" s="500">
        <v>18</v>
      </c>
      <c r="AU10" s="420">
        <v>1282.9787234042553</v>
      </c>
      <c r="AV10" s="420">
        <v>71.276595744680847</v>
      </c>
      <c r="AW10" s="500">
        <f t="shared" si="9"/>
        <v>16</v>
      </c>
      <c r="AX10" s="649"/>
      <c r="AZ10" s="402" t="e">
        <f t="shared" si="10"/>
        <v>#N/A</v>
      </c>
      <c r="BA10" s="649"/>
    </row>
    <row r="11" spans="1:53" ht="14.25">
      <c r="A11" s="81"/>
      <c r="B11" s="635"/>
      <c r="C11" s="413">
        <v>5</v>
      </c>
      <c r="D11" s="225" t="s">
        <v>346</v>
      </c>
      <c r="E11" s="420">
        <v>16</v>
      </c>
      <c r="F11" s="500">
        <v>1565</v>
      </c>
      <c r="G11" s="501">
        <v>97.8125</v>
      </c>
      <c r="H11" s="678"/>
      <c r="I11" s="417">
        <f t="shared" si="0"/>
        <v>16</v>
      </c>
      <c r="J11" s="417">
        <f t="shared" si="1"/>
        <v>1358.4068030434262</v>
      </c>
      <c r="K11" s="199">
        <f t="shared" si="2"/>
        <v>84.900425190214136</v>
      </c>
      <c r="L11" s="609"/>
      <c r="M11" s="419">
        <f>RANK(K11, K$7:$K$36)</f>
        <v>6</v>
      </c>
      <c r="N11" s="627"/>
      <c r="O11" s="627"/>
      <c r="P11" s="500">
        <v>16</v>
      </c>
      <c r="Q11" s="420">
        <v>1359.4736842105253</v>
      </c>
      <c r="R11" s="420">
        <v>84.967105263157833</v>
      </c>
      <c r="S11" s="500">
        <f t="shared" si="3"/>
        <v>7</v>
      </c>
      <c r="T11" s="649"/>
      <c r="U11" s="500">
        <v>16</v>
      </c>
      <c r="V11" s="420">
        <v>1355.8333333333321</v>
      </c>
      <c r="W11" s="420">
        <v>84.739583333333258</v>
      </c>
      <c r="X11" s="500">
        <f t="shared" si="4"/>
        <v>6</v>
      </c>
      <c r="Y11" s="649"/>
      <c r="Z11" s="500">
        <v>16</v>
      </c>
      <c r="AA11" s="420">
        <v>1367.4193548387109</v>
      </c>
      <c r="AB11" s="420">
        <v>85.46370967741943</v>
      </c>
      <c r="AC11" s="500">
        <f t="shared" si="5"/>
        <v>4</v>
      </c>
      <c r="AD11" s="649"/>
      <c r="AE11" s="500">
        <v>16</v>
      </c>
      <c r="AF11" s="420">
        <v>1384.1379310344837</v>
      </c>
      <c r="AG11" s="420">
        <v>86.508620689655231</v>
      </c>
      <c r="AH11" s="500">
        <f t="shared" si="6"/>
        <v>4</v>
      </c>
      <c r="AI11" s="649"/>
      <c r="AJ11" s="500">
        <v>16</v>
      </c>
      <c r="AK11" s="420">
        <v>1389.2307692307706</v>
      </c>
      <c r="AL11" s="420">
        <v>86.826923076923165</v>
      </c>
      <c r="AM11" s="500">
        <f t="shared" si="7"/>
        <v>4</v>
      </c>
      <c r="AN11" s="649"/>
      <c r="AO11" s="500">
        <v>16</v>
      </c>
      <c r="AP11" s="420">
        <v>1327.6923076923069</v>
      </c>
      <c r="AQ11" s="420">
        <v>82.980769230769184</v>
      </c>
      <c r="AR11" s="500">
        <f t="shared" si="8"/>
        <v>5</v>
      </c>
      <c r="AS11" s="649"/>
      <c r="AT11" s="500">
        <v>16</v>
      </c>
      <c r="AU11" s="420">
        <v>1325.060240963855</v>
      </c>
      <c r="AV11" s="420">
        <v>82.816265060240937</v>
      </c>
      <c r="AW11" s="500">
        <f t="shared" si="9"/>
        <v>5</v>
      </c>
      <c r="AX11" s="649"/>
      <c r="AZ11" s="402" t="e">
        <f t="shared" si="10"/>
        <v>#N/A</v>
      </c>
      <c r="BA11" s="649"/>
    </row>
    <row r="12" spans="1:53" ht="14.25">
      <c r="A12" s="81"/>
      <c r="B12" s="635"/>
      <c r="C12" s="413">
        <v>6</v>
      </c>
      <c r="D12" s="225" t="s">
        <v>574</v>
      </c>
      <c r="E12" s="420">
        <v>21</v>
      </c>
      <c r="F12" s="500">
        <v>1500</v>
      </c>
      <c r="G12" s="501">
        <v>71.428571428571431</v>
      </c>
      <c r="H12" s="678"/>
      <c r="I12" s="417">
        <f t="shared" si="0"/>
        <v>21</v>
      </c>
      <c r="J12" s="417">
        <f t="shared" si="1"/>
        <v>1256.1541112103459</v>
      </c>
      <c r="K12" s="199">
        <f t="shared" si="2"/>
        <v>59.816862438587904</v>
      </c>
      <c r="L12" s="609"/>
      <c r="M12" s="419">
        <f>RANK(K12, K$7:$K$36)</f>
        <v>23</v>
      </c>
      <c r="N12" s="627"/>
      <c r="O12" s="627"/>
      <c r="P12" s="500">
        <v>21</v>
      </c>
      <c r="Q12" s="420">
        <v>1237.674418604651</v>
      </c>
      <c r="R12" s="420">
        <v>58.936877076411953</v>
      </c>
      <c r="S12" s="500">
        <f t="shared" si="3"/>
        <v>23</v>
      </c>
      <c r="T12" s="649"/>
      <c r="U12" s="500">
        <v>21</v>
      </c>
      <c r="V12" s="420">
        <v>1255.6097560975604</v>
      </c>
      <c r="W12" s="420">
        <v>59.790940766550499</v>
      </c>
      <c r="X12" s="500">
        <f t="shared" si="4"/>
        <v>22</v>
      </c>
      <c r="Y12" s="649"/>
      <c r="Z12" s="500">
        <v>21</v>
      </c>
      <c r="AA12" s="420">
        <v>1275.3846153846148</v>
      </c>
      <c r="AB12" s="420">
        <v>60.732600732600702</v>
      </c>
      <c r="AC12" s="500">
        <f t="shared" si="5"/>
        <v>22</v>
      </c>
      <c r="AD12" s="649"/>
      <c r="AE12" s="500">
        <v>21</v>
      </c>
      <c r="AF12" s="420">
        <v>1244.9999999999989</v>
      </c>
      <c r="AG12" s="420">
        <v>59.285714285714235</v>
      </c>
      <c r="AH12" s="500">
        <f t="shared" si="6"/>
        <v>22</v>
      </c>
      <c r="AI12" s="649"/>
      <c r="AJ12" s="500">
        <v>21</v>
      </c>
      <c r="AK12" s="420">
        <v>1251.2195121951215</v>
      </c>
      <c r="AL12" s="420">
        <v>59.581881533101026</v>
      </c>
      <c r="AM12" s="500">
        <f t="shared" si="7"/>
        <v>22</v>
      </c>
      <c r="AN12" s="649"/>
      <c r="AO12" s="500">
        <v>21</v>
      </c>
      <c r="AP12" s="420">
        <v>1262.8571428571424</v>
      </c>
      <c r="AQ12" s="420">
        <v>60.136054421768691</v>
      </c>
      <c r="AR12" s="500">
        <f t="shared" si="8"/>
        <v>21</v>
      </c>
      <c r="AS12" s="649"/>
      <c r="AT12" s="500">
        <v>21</v>
      </c>
      <c r="AU12" s="420">
        <v>1265.3333333333333</v>
      </c>
      <c r="AV12" s="420">
        <v>60.253968253968253</v>
      </c>
      <c r="AW12" s="500">
        <f t="shared" si="9"/>
        <v>22</v>
      </c>
      <c r="AX12" s="649"/>
      <c r="AZ12" s="402" t="e">
        <f t="shared" si="10"/>
        <v>#N/A</v>
      </c>
      <c r="BA12" s="649"/>
    </row>
    <row r="13" spans="1:53" ht="14.25">
      <c r="A13" s="81"/>
      <c r="B13" s="635"/>
      <c r="C13" s="413">
        <v>7</v>
      </c>
      <c r="D13" s="225" t="s">
        <v>645</v>
      </c>
      <c r="E13" s="420">
        <v>20</v>
      </c>
      <c r="F13" s="500">
        <v>1300</v>
      </c>
      <c r="G13" s="501">
        <v>65</v>
      </c>
      <c r="H13" s="678"/>
      <c r="I13" s="417">
        <f t="shared" si="0"/>
        <v>20</v>
      </c>
      <c r="J13" s="417">
        <f t="shared" si="1"/>
        <v>1077.160419186934</v>
      </c>
      <c r="K13" s="199">
        <f t="shared" si="2"/>
        <v>53.858020959346696</v>
      </c>
      <c r="L13" s="609"/>
      <c r="M13" s="419">
        <f>RANK(K13, K$7:$K$36)</f>
        <v>24</v>
      </c>
      <c r="N13" s="627"/>
      <c r="O13" s="627"/>
      <c r="P13" s="500">
        <v>20</v>
      </c>
      <c r="Q13" s="420">
        <v>1091.6417910447776</v>
      </c>
      <c r="R13" s="420">
        <v>54.582089552238884</v>
      </c>
      <c r="S13" s="500">
        <f t="shared" si="3"/>
        <v>24</v>
      </c>
      <c r="T13" s="649"/>
      <c r="U13" s="500">
        <v>20</v>
      </c>
      <c r="V13" s="420">
        <v>1065.882352941175</v>
      </c>
      <c r="W13" s="420">
        <v>53.294117647058748</v>
      </c>
      <c r="X13" s="500">
        <f t="shared" si="4"/>
        <v>23</v>
      </c>
      <c r="Y13" s="649"/>
      <c r="Z13" s="500">
        <v>20</v>
      </c>
      <c r="AA13" s="420">
        <v>1075.1612903225816</v>
      </c>
      <c r="AB13" s="420">
        <v>53.758064516129082</v>
      </c>
      <c r="AC13" s="500">
        <f t="shared" si="5"/>
        <v>23</v>
      </c>
      <c r="AD13" s="649"/>
      <c r="AE13" s="500">
        <v>20</v>
      </c>
      <c r="AF13" s="420">
        <v>1092.0000000000005</v>
      </c>
      <c r="AG13" s="420">
        <v>54.600000000000023</v>
      </c>
      <c r="AH13" s="500">
        <f t="shared" si="6"/>
        <v>23</v>
      </c>
      <c r="AI13" s="649"/>
      <c r="AJ13" s="500">
        <v>20</v>
      </c>
      <c r="AK13" s="420">
        <v>1062.0000000000009</v>
      </c>
      <c r="AL13" s="420">
        <v>53.100000000000044</v>
      </c>
      <c r="AM13" s="500">
        <f t="shared" si="7"/>
        <v>23</v>
      </c>
      <c r="AN13" s="649"/>
      <c r="AO13" s="500">
        <v>20</v>
      </c>
      <c r="AP13" s="420">
        <v>1071.5625000000014</v>
      </c>
      <c r="AQ13" s="420">
        <v>53.578125000000071</v>
      </c>
      <c r="AR13" s="500">
        <f t="shared" si="8"/>
        <v>23</v>
      </c>
      <c r="AS13" s="649"/>
      <c r="AT13" s="500">
        <v>20</v>
      </c>
      <c r="AU13" s="420">
        <v>1081.8750000000014</v>
      </c>
      <c r="AV13" s="420">
        <v>54.093750000000071</v>
      </c>
      <c r="AW13" s="500">
        <f t="shared" si="9"/>
        <v>23</v>
      </c>
      <c r="AX13" s="649"/>
      <c r="AZ13" s="402" t="e">
        <f t="shared" si="10"/>
        <v>#N/A</v>
      </c>
      <c r="BA13" s="649"/>
    </row>
    <row r="14" spans="1:53" ht="14.25">
      <c r="A14" s="81"/>
      <c r="B14" s="635"/>
      <c r="C14" s="413">
        <v>8</v>
      </c>
      <c r="D14" s="225" t="s">
        <v>713</v>
      </c>
      <c r="E14" s="420">
        <v>16</v>
      </c>
      <c r="F14" s="500">
        <v>1500</v>
      </c>
      <c r="G14" s="501">
        <v>93.75</v>
      </c>
      <c r="H14" s="678"/>
      <c r="I14" s="417">
        <f t="shared" si="0"/>
        <v>16</v>
      </c>
      <c r="J14" s="417">
        <f t="shared" si="1"/>
        <v>1297.2898666181761</v>
      </c>
      <c r="K14" s="199">
        <f t="shared" si="2"/>
        <v>81.080616663636008</v>
      </c>
      <c r="L14" s="609"/>
      <c r="M14" s="419">
        <f>RANK(K14, K$7:$K$36)</f>
        <v>10</v>
      </c>
      <c r="N14" s="627"/>
      <c r="O14" s="627"/>
      <c r="P14" s="500">
        <v>16</v>
      </c>
      <c r="Q14" s="420">
        <v>1318.0952380952394</v>
      </c>
      <c r="R14" s="420">
        <v>82.380952380952465</v>
      </c>
      <c r="S14" s="500">
        <f t="shared" si="3"/>
        <v>10</v>
      </c>
      <c r="T14" s="649"/>
      <c r="U14" s="500">
        <v>16</v>
      </c>
      <c r="V14" s="420">
        <v>1339.4366197183085</v>
      </c>
      <c r="W14" s="420">
        <v>83.714788732394283</v>
      </c>
      <c r="X14" s="500">
        <f t="shared" si="4"/>
        <v>7</v>
      </c>
      <c r="Y14" s="649"/>
      <c r="Z14" s="500">
        <v>16</v>
      </c>
      <c r="AA14" s="420">
        <v>1277.4999999999991</v>
      </c>
      <c r="AB14" s="420">
        <v>79.843749999999943</v>
      </c>
      <c r="AC14" s="500">
        <f t="shared" si="5"/>
        <v>11</v>
      </c>
      <c r="AD14" s="649"/>
      <c r="AE14" s="500">
        <v>16</v>
      </c>
      <c r="AF14" s="420">
        <v>1289.5652173913031</v>
      </c>
      <c r="AG14" s="420">
        <v>80.597826086956445</v>
      </c>
      <c r="AH14" s="500">
        <f t="shared" si="6"/>
        <v>9</v>
      </c>
      <c r="AI14" s="649"/>
      <c r="AJ14" s="500">
        <v>16</v>
      </c>
      <c r="AK14" s="420">
        <v>1293.1578947368412</v>
      </c>
      <c r="AL14" s="420">
        <v>80.822368421052573</v>
      </c>
      <c r="AM14" s="500">
        <f t="shared" si="7"/>
        <v>7</v>
      </c>
      <c r="AN14" s="649"/>
      <c r="AO14" s="500">
        <v>16</v>
      </c>
      <c r="AP14" s="420">
        <v>1286.0240963855417</v>
      </c>
      <c r="AQ14" s="420">
        <v>80.376506024096358</v>
      </c>
      <c r="AR14" s="500">
        <f t="shared" si="8"/>
        <v>10</v>
      </c>
      <c r="AS14" s="649"/>
      <c r="AT14" s="500">
        <v>16</v>
      </c>
      <c r="AU14" s="420">
        <v>1277.2499999999995</v>
      </c>
      <c r="AV14" s="420">
        <v>79.828124999999972</v>
      </c>
      <c r="AW14" s="500">
        <f t="shared" si="9"/>
        <v>11</v>
      </c>
      <c r="AX14" s="649"/>
      <c r="AZ14" s="402" t="e">
        <f t="shared" si="10"/>
        <v>#N/A</v>
      </c>
      <c r="BA14" s="649"/>
    </row>
    <row r="15" spans="1:53" ht="14.25">
      <c r="A15" s="81"/>
      <c r="B15" s="635"/>
      <c r="C15" s="413">
        <v>9</v>
      </c>
      <c r="D15" s="225" t="s">
        <v>600</v>
      </c>
      <c r="E15" s="420">
        <v>16</v>
      </c>
      <c r="F15" s="500">
        <v>1440</v>
      </c>
      <c r="G15" s="501">
        <v>90</v>
      </c>
      <c r="H15" s="678"/>
      <c r="I15" s="417">
        <f t="shared" si="0"/>
        <v>16</v>
      </c>
      <c r="J15" s="417">
        <f t="shared" si="1"/>
        <v>1316.1766627069851</v>
      </c>
      <c r="K15" s="199">
        <f t="shared" si="2"/>
        <v>82.261041419186569</v>
      </c>
      <c r="L15" s="609"/>
      <c r="M15" s="419">
        <f>RANK(K15, K$7:$K$36)</f>
        <v>8</v>
      </c>
      <c r="N15" s="627"/>
      <c r="O15" s="627"/>
      <c r="P15" s="500">
        <v>16</v>
      </c>
      <c r="Q15" s="420">
        <v>1342.9787234042553</v>
      </c>
      <c r="R15" s="420">
        <v>83.936170212765958</v>
      </c>
      <c r="S15" s="500">
        <f t="shared" si="3"/>
        <v>8</v>
      </c>
      <c r="T15" s="649"/>
      <c r="U15" s="500">
        <v>16</v>
      </c>
      <c r="V15" s="420">
        <v>1333.6363636363635</v>
      </c>
      <c r="W15" s="420">
        <v>83.35227272727272</v>
      </c>
      <c r="X15" s="500">
        <f t="shared" si="4"/>
        <v>8</v>
      </c>
      <c r="Y15" s="649"/>
      <c r="Z15" s="500">
        <v>16</v>
      </c>
      <c r="AA15" s="420">
        <v>1328.1081081081072</v>
      </c>
      <c r="AB15" s="420">
        <v>83.006756756756701</v>
      </c>
      <c r="AC15" s="500">
        <f t="shared" si="5"/>
        <v>7</v>
      </c>
      <c r="AD15" s="649"/>
      <c r="AE15" s="500">
        <v>16</v>
      </c>
      <c r="AF15" s="420">
        <v>1311.627906976744</v>
      </c>
      <c r="AG15" s="420">
        <v>81.976744186046503</v>
      </c>
      <c r="AH15" s="500">
        <f t="shared" si="6"/>
        <v>7</v>
      </c>
      <c r="AI15" s="649"/>
      <c r="AJ15" s="500">
        <v>16</v>
      </c>
      <c r="AK15" s="420">
        <v>1289.9999999999995</v>
      </c>
      <c r="AL15" s="420">
        <v>80.624999999999972</v>
      </c>
      <c r="AM15" s="500">
        <f t="shared" si="7"/>
        <v>9</v>
      </c>
      <c r="AN15" s="649"/>
      <c r="AO15" s="500">
        <v>16</v>
      </c>
      <c r="AP15" s="420">
        <v>1307.7551020408168</v>
      </c>
      <c r="AQ15" s="420">
        <v>81.734693877551052</v>
      </c>
      <c r="AR15" s="500">
        <f t="shared" si="8"/>
        <v>7</v>
      </c>
      <c r="AS15" s="649"/>
      <c r="AT15" s="500">
        <v>16</v>
      </c>
      <c r="AU15" s="420">
        <v>1299.1304347826085</v>
      </c>
      <c r="AV15" s="420">
        <v>81.195652173913032</v>
      </c>
      <c r="AW15" s="500">
        <f t="shared" si="9"/>
        <v>6</v>
      </c>
      <c r="AX15" s="649"/>
      <c r="AZ15" s="402" t="e">
        <f t="shared" si="10"/>
        <v>#N/A</v>
      </c>
      <c r="BA15" s="649"/>
    </row>
    <row r="16" spans="1:53" ht="14.25">
      <c r="A16" s="81"/>
      <c r="B16" s="635"/>
      <c r="C16" s="413">
        <v>10</v>
      </c>
      <c r="D16" s="225" t="s">
        <v>601</v>
      </c>
      <c r="E16" s="420">
        <v>18</v>
      </c>
      <c r="F16" s="500">
        <v>1636</v>
      </c>
      <c r="G16" s="501">
        <v>90.888888888888886</v>
      </c>
      <c r="H16" s="678"/>
      <c r="I16" s="417">
        <f t="shared" si="0"/>
        <v>18</v>
      </c>
      <c r="J16" s="417">
        <f t="shared" si="1"/>
        <v>1426.6130671572478</v>
      </c>
      <c r="K16" s="199">
        <f t="shared" si="2"/>
        <v>79.256281508735967</v>
      </c>
      <c r="L16" s="609"/>
      <c r="M16" s="419">
        <f>RANK(K16, K$7:$K$36)</f>
        <v>11</v>
      </c>
      <c r="N16" s="627"/>
      <c r="O16" s="627"/>
      <c r="P16" s="500">
        <v>18</v>
      </c>
      <c r="Q16" s="420">
        <v>1393.5483870967755</v>
      </c>
      <c r="R16" s="420">
        <v>77.419354838709751</v>
      </c>
      <c r="S16" s="500">
        <f t="shared" si="3"/>
        <v>12</v>
      </c>
      <c r="T16" s="649"/>
      <c r="U16" s="500">
        <v>18</v>
      </c>
      <c r="V16" s="420">
        <v>1416.0000000000009</v>
      </c>
      <c r="W16" s="420">
        <v>78.666666666666714</v>
      </c>
      <c r="X16" s="500">
        <f t="shared" si="4"/>
        <v>13</v>
      </c>
      <c r="Y16" s="649"/>
      <c r="Z16" s="500">
        <v>18</v>
      </c>
      <c r="AA16" s="420">
        <v>1425.6521739130435</v>
      </c>
      <c r="AB16" s="420">
        <v>79.20289855072464</v>
      </c>
      <c r="AC16" s="500">
        <f t="shared" si="5"/>
        <v>12</v>
      </c>
      <c r="AD16" s="649"/>
      <c r="AE16" s="500">
        <v>18</v>
      </c>
      <c r="AF16" s="420">
        <v>1380.0000000000005</v>
      </c>
      <c r="AG16" s="420">
        <v>76.666666666666686</v>
      </c>
      <c r="AH16" s="500">
        <f t="shared" si="6"/>
        <v>13</v>
      </c>
      <c r="AI16" s="649"/>
      <c r="AJ16" s="500">
        <v>18</v>
      </c>
      <c r="AK16" s="420">
        <v>1453.0909090909099</v>
      </c>
      <c r="AL16" s="420">
        <v>80.727272727272776</v>
      </c>
      <c r="AM16" s="500">
        <f t="shared" si="7"/>
        <v>8</v>
      </c>
      <c r="AN16" s="649"/>
      <c r="AO16" s="500">
        <v>18</v>
      </c>
      <c r="AP16" s="420">
        <v>1470.0000000000014</v>
      </c>
      <c r="AQ16" s="420">
        <v>81.666666666666742</v>
      </c>
      <c r="AR16" s="500">
        <f t="shared" si="8"/>
        <v>8</v>
      </c>
      <c r="AS16" s="649"/>
      <c r="AT16" s="500">
        <v>18</v>
      </c>
      <c r="AU16" s="420">
        <v>1448.0000000000014</v>
      </c>
      <c r="AV16" s="420">
        <v>80.444444444444514</v>
      </c>
      <c r="AW16" s="500">
        <f t="shared" si="9"/>
        <v>10</v>
      </c>
      <c r="AX16" s="649"/>
      <c r="AZ16" s="402" t="e">
        <f t="shared" si="10"/>
        <v>#N/A</v>
      </c>
      <c r="BA16" s="649"/>
    </row>
    <row r="17" spans="2:53">
      <c r="B17" s="635"/>
      <c r="C17" s="413">
        <v>11</v>
      </c>
      <c r="D17" s="225" t="s">
        <v>602</v>
      </c>
      <c r="E17" s="420">
        <v>18</v>
      </c>
      <c r="F17" s="500">
        <v>1636</v>
      </c>
      <c r="G17" s="501">
        <v>90.888888888888886</v>
      </c>
      <c r="H17" s="678"/>
      <c r="I17" s="417">
        <f t="shared" si="0"/>
        <v>18</v>
      </c>
      <c r="J17" s="417">
        <f t="shared" si="1"/>
        <v>1420.950276227559</v>
      </c>
      <c r="K17" s="199">
        <f t="shared" si="2"/>
        <v>78.941682012642175</v>
      </c>
      <c r="L17" s="609"/>
      <c r="M17" s="419">
        <f>RANK(K17, K$7:$K$36)</f>
        <v>13</v>
      </c>
      <c r="N17" s="627"/>
      <c r="O17" s="627"/>
      <c r="P17" s="500">
        <v>18</v>
      </c>
      <c r="Q17" s="420">
        <v>1372.8000000000004</v>
      </c>
      <c r="R17" s="420">
        <v>76.266666666666694</v>
      </c>
      <c r="S17" s="500">
        <f t="shared" si="3"/>
        <v>15</v>
      </c>
      <c r="T17" s="649"/>
      <c r="U17" s="500">
        <v>18</v>
      </c>
      <c r="V17" s="420">
        <v>1423.0434782608695</v>
      </c>
      <c r="W17" s="420">
        <v>79.05797101449275</v>
      </c>
      <c r="X17" s="500">
        <f t="shared" si="4"/>
        <v>12</v>
      </c>
      <c r="Y17" s="649"/>
      <c r="Z17" s="500">
        <v>18</v>
      </c>
      <c r="AA17" s="420">
        <v>1444.6153846153838</v>
      </c>
      <c r="AB17" s="420">
        <v>80.25641025641022</v>
      </c>
      <c r="AC17" s="500">
        <f t="shared" si="5"/>
        <v>10</v>
      </c>
      <c r="AD17" s="649"/>
      <c r="AE17" s="500">
        <v>18</v>
      </c>
      <c r="AF17" s="420">
        <v>1393.9534883720928</v>
      </c>
      <c r="AG17" s="420">
        <v>77.441860465116264</v>
      </c>
      <c r="AH17" s="500">
        <f t="shared" si="6"/>
        <v>12</v>
      </c>
      <c r="AI17" s="649"/>
      <c r="AJ17" s="500">
        <v>18</v>
      </c>
      <c r="AK17" s="420">
        <v>1433.0232558139533</v>
      </c>
      <c r="AL17" s="420">
        <v>79.612403100775182</v>
      </c>
      <c r="AM17" s="500">
        <f t="shared" si="7"/>
        <v>11</v>
      </c>
      <c r="AN17" s="649"/>
      <c r="AO17" s="500">
        <v>18</v>
      </c>
      <c r="AP17" s="420">
        <v>1418.4000000000005</v>
      </c>
      <c r="AQ17" s="420">
        <v>78.800000000000026</v>
      </c>
      <c r="AR17" s="500">
        <f t="shared" si="8"/>
        <v>11</v>
      </c>
      <c r="AS17" s="649"/>
      <c r="AT17" s="500">
        <v>18</v>
      </c>
      <c r="AU17" s="420">
        <v>1460.8163265306125</v>
      </c>
      <c r="AV17" s="420">
        <v>81.156462585034035</v>
      </c>
      <c r="AW17" s="500">
        <f t="shared" si="9"/>
        <v>7</v>
      </c>
      <c r="AX17" s="649"/>
      <c r="AZ17" s="402" t="e">
        <f t="shared" si="10"/>
        <v>#N/A</v>
      </c>
      <c r="BA17" s="649"/>
    </row>
    <row r="18" spans="2:53">
      <c r="B18" s="635"/>
      <c r="C18" s="413">
        <v>12</v>
      </c>
      <c r="D18" s="225" t="s">
        <v>334</v>
      </c>
      <c r="E18" s="420">
        <v>17</v>
      </c>
      <c r="F18" s="500">
        <v>1500</v>
      </c>
      <c r="G18" s="501">
        <v>88.235294117647058</v>
      </c>
      <c r="H18" s="678"/>
      <c r="I18" s="417">
        <f t="shared" si="0"/>
        <v>17</v>
      </c>
      <c r="J18" s="417">
        <f t="shared" si="1"/>
        <v>1346.7186005308924</v>
      </c>
      <c r="K18" s="199">
        <f t="shared" si="2"/>
        <v>79.218741207699551</v>
      </c>
      <c r="L18" s="609"/>
      <c r="M18" s="419">
        <f>RANK(K18, K$7:$K$36)</f>
        <v>12</v>
      </c>
      <c r="N18" s="627"/>
      <c r="O18" s="627"/>
      <c r="P18" s="500">
        <v>17</v>
      </c>
      <c r="Q18" s="420">
        <v>1336</v>
      </c>
      <c r="R18" s="420">
        <v>78.588235294117652</v>
      </c>
      <c r="S18" s="500">
        <f t="shared" si="3"/>
        <v>11</v>
      </c>
      <c r="T18" s="649"/>
      <c r="U18" s="500">
        <v>17</v>
      </c>
      <c r="V18" s="420">
        <v>1375.4999999999995</v>
      </c>
      <c r="W18" s="420">
        <v>80.91176470588232</v>
      </c>
      <c r="X18" s="500">
        <f t="shared" si="4"/>
        <v>10</v>
      </c>
      <c r="Y18" s="649"/>
      <c r="Z18" s="500">
        <v>17</v>
      </c>
      <c r="AA18" s="420">
        <v>1390.9090909090892</v>
      </c>
      <c r="AB18" s="420">
        <v>81.818181818181714</v>
      </c>
      <c r="AC18" s="500">
        <f t="shared" si="5"/>
        <v>8</v>
      </c>
      <c r="AD18" s="649"/>
      <c r="AE18" s="500">
        <v>17</v>
      </c>
      <c r="AF18" s="420">
        <v>1344.3243243243232</v>
      </c>
      <c r="AG18" s="420">
        <v>79.077901430842545</v>
      </c>
      <c r="AH18" s="500">
        <f t="shared" si="6"/>
        <v>10</v>
      </c>
      <c r="AI18" s="649"/>
      <c r="AJ18" s="500">
        <v>17</v>
      </c>
      <c r="AK18" s="420">
        <v>1339.5348837209301</v>
      </c>
      <c r="AL18" s="420">
        <v>78.79616963064295</v>
      </c>
      <c r="AM18" s="500">
        <f t="shared" si="7"/>
        <v>12</v>
      </c>
      <c r="AN18" s="649"/>
      <c r="AO18" s="500">
        <v>17</v>
      </c>
      <c r="AP18" s="420">
        <v>1311.4285714285718</v>
      </c>
      <c r="AQ18" s="420">
        <v>77.142857142857167</v>
      </c>
      <c r="AR18" s="500">
        <f t="shared" si="8"/>
        <v>12</v>
      </c>
      <c r="AS18" s="649"/>
      <c r="AT18" s="500">
        <v>17</v>
      </c>
      <c r="AU18" s="420">
        <v>1329.3333333333333</v>
      </c>
      <c r="AV18" s="420">
        <v>78.196078431372541</v>
      </c>
      <c r="AW18" s="500">
        <f t="shared" si="9"/>
        <v>12</v>
      </c>
      <c r="AX18" s="649"/>
      <c r="AZ18" s="402" t="e">
        <f t="shared" si="10"/>
        <v>#N/A</v>
      </c>
      <c r="BA18" s="649"/>
    </row>
    <row r="19" spans="2:53">
      <c r="B19" s="635"/>
      <c r="C19" s="413">
        <v>13</v>
      </c>
      <c r="D19" s="225" t="s">
        <v>527</v>
      </c>
      <c r="E19" s="420">
        <v>20</v>
      </c>
      <c r="F19" s="500">
        <v>1440</v>
      </c>
      <c r="G19" s="501">
        <v>72</v>
      </c>
      <c r="H19" s="678"/>
      <c r="I19" s="417">
        <f t="shared" si="0"/>
        <v>20</v>
      </c>
      <c r="J19" s="417">
        <f t="shared" si="1"/>
        <v>1314.9140138106525</v>
      </c>
      <c r="K19" s="199">
        <f t="shared" si="2"/>
        <v>65.745700690532615</v>
      </c>
      <c r="L19" s="609"/>
      <c r="M19" s="419">
        <f>RANK(K19, K$7:$K$36)</f>
        <v>20</v>
      </c>
      <c r="N19" s="627"/>
      <c r="O19" s="627"/>
      <c r="P19" s="500">
        <v>20</v>
      </c>
      <c r="Q19" s="420">
        <v>1334.399999999999</v>
      </c>
      <c r="R19" s="420">
        <v>66.719999999999942</v>
      </c>
      <c r="S19" s="500">
        <f t="shared" si="3"/>
        <v>20</v>
      </c>
      <c r="T19" s="649"/>
      <c r="U19" s="500">
        <v>20</v>
      </c>
      <c r="V19" s="420">
        <v>1299.1666666666656</v>
      </c>
      <c r="W19" s="420">
        <v>64.958333333333286</v>
      </c>
      <c r="X19" s="500">
        <f t="shared" si="4"/>
        <v>19</v>
      </c>
      <c r="Y19" s="649"/>
      <c r="Z19" s="500">
        <v>20</v>
      </c>
      <c r="AA19" s="420">
        <v>1344.4444444444453</v>
      </c>
      <c r="AB19" s="420">
        <v>67.222222222222257</v>
      </c>
      <c r="AC19" s="500">
        <f t="shared" si="5"/>
        <v>19</v>
      </c>
      <c r="AD19" s="649"/>
      <c r="AE19" s="500">
        <v>20</v>
      </c>
      <c r="AF19" s="420">
        <v>1303.3333333333339</v>
      </c>
      <c r="AG19" s="420">
        <v>65.1666666666667</v>
      </c>
      <c r="AH19" s="500">
        <f t="shared" si="6"/>
        <v>19</v>
      </c>
      <c r="AI19" s="649"/>
      <c r="AJ19" s="500">
        <v>20</v>
      </c>
      <c r="AK19" s="420">
        <v>1311.6923076923092</v>
      </c>
      <c r="AL19" s="420">
        <v>65.584615384615461</v>
      </c>
      <c r="AM19" s="500">
        <f t="shared" si="7"/>
        <v>20</v>
      </c>
      <c r="AN19" s="649"/>
      <c r="AO19" s="500">
        <v>20</v>
      </c>
      <c r="AP19" s="420">
        <v>1309.7142857142844</v>
      </c>
      <c r="AQ19" s="420">
        <v>65.485714285714224</v>
      </c>
      <c r="AR19" s="500">
        <f t="shared" si="8"/>
        <v>20</v>
      </c>
      <c r="AS19" s="649"/>
      <c r="AT19" s="500">
        <v>20</v>
      </c>
      <c r="AU19" s="420">
        <v>1301.6470588235293</v>
      </c>
      <c r="AV19" s="420">
        <v>65.082352941176467</v>
      </c>
      <c r="AW19" s="500">
        <f t="shared" si="9"/>
        <v>19</v>
      </c>
      <c r="AX19" s="649"/>
      <c r="AZ19" s="402" t="e">
        <f t="shared" si="10"/>
        <v>#N/A</v>
      </c>
      <c r="BA19" s="649"/>
    </row>
    <row r="20" spans="2:53">
      <c r="B20" s="635"/>
      <c r="C20" s="413">
        <v>14</v>
      </c>
      <c r="D20" s="225" t="s">
        <v>347</v>
      </c>
      <c r="E20" s="420">
        <v>14</v>
      </c>
      <c r="F20" s="500">
        <v>1440</v>
      </c>
      <c r="G20" s="501">
        <v>102.85714285714286</v>
      </c>
      <c r="H20" s="678"/>
      <c r="I20" s="417">
        <f t="shared" si="0"/>
        <v>14.571428571428571</v>
      </c>
      <c r="J20" s="417">
        <f t="shared" si="1"/>
        <v>1300.0526275305542</v>
      </c>
      <c r="K20" s="199">
        <f t="shared" si="2"/>
        <v>89.350048736287206</v>
      </c>
      <c r="L20" s="609"/>
      <c r="M20" s="419">
        <f>RANK(K20, K$7:$K$36)</f>
        <v>3</v>
      </c>
      <c r="N20" s="627"/>
      <c r="O20" s="627"/>
      <c r="P20" s="500">
        <v>14</v>
      </c>
      <c r="Q20" s="420">
        <v>1327.3684210526326</v>
      </c>
      <c r="R20" s="420">
        <v>94.812030075188048</v>
      </c>
      <c r="S20" s="500">
        <f t="shared" si="3"/>
        <v>3</v>
      </c>
      <c r="T20" s="649"/>
      <c r="U20" s="500">
        <v>15</v>
      </c>
      <c r="V20" s="420">
        <v>1292.2222222222229</v>
      </c>
      <c r="W20" s="420">
        <v>86.148148148148195</v>
      </c>
      <c r="X20" s="500">
        <f t="shared" si="4"/>
        <v>4</v>
      </c>
      <c r="Y20" s="649"/>
      <c r="Z20" s="500">
        <v>14</v>
      </c>
      <c r="AA20" s="420">
        <v>1314.4186046511625</v>
      </c>
      <c r="AB20" s="420">
        <v>93.887043189368754</v>
      </c>
      <c r="AC20" s="500">
        <f t="shared" si="5"/>
        <v>3</v>
      </c>
      <c r="AD20" s="649"/>
      <c r="AE20" s="500">
        <v>15</v>
      </c>
      <c r="AF20" s="420">
        <v>1281.1764705882358</v>
      </c>
      <c r="AG20" s="420">
        <v>85.411764705882391</v>
      </c>
      <c r="AH20" s="500">
        <f t="shared" si="6"/>
        <v>5</v>
      </c>
      <c r="AI20" s="649"/>
      <c r="AJ20" s="500">
        <v>15</v>
      </c>
      <c r="AK20" s="420">
        <v>1295.5555555555561</v>
      </c>
      <c r="AL20" s="420">
        <v>86.370370370370409</v>
      </c>
      <c r="AM20" s="500">
        <f t="shared" si="7"/>
        <v>5</v>
      </c>
      <c r="AN20" s="649"/>
      <c r="AO20" s="500">
        <v>15</v>
      </c>
      <c r="AP20" s="420">
        <v>1292.0000000000011</v>
      </c>
      <c r="AQ20" s="420">
        <v>86.133333333333411</v>
      </c>
      <c r="AR20" s="500">
        <f t="shared" si="8"/>
        <v>3</v>
      </c>
      <c r="AS20" s="649"/>
      <c r="AT20" s="500">
        <v>14</v>
      </c>
      <c r="AU20" s="420">
        <v>1297.6271186440688</v>
      </c>
      <c r="AV20" s="420">
        <v>92.687651331719195</v>
      </c>
      <c r="AW20" s="500">
        <f t="shared" si="9"/>
        <v>3</v>
      </c>
      <c r="AX20" s="649"/>
      <c r="AZ20" s="402" t="e">
        <f t="shared" si="10"/>
        <v>#N/A</v>
      </c>
      <c r="BA20" s="649"/>
    </row>
    <row r="21" spans="2:53">
      <c r="B21" s="635"/>
      <c r="C21" s="413">
        <v>15</v>
      </c>
      <c r="D21" s="225" t="s">
        <v>328</v>
      </c>
      <c r="E21" s="420">
        <v>19</v>
      </c>
      <c r="F21" s="500">
        <v>1440</v>
      </c>
      <c r="G21" s="501">
        <v>75.78947368421052</v>
      </c>
      <c r="H21" s="678"/>
      <c r="I21" s="417">
        <f t="shared" si="0"/>
        <v>19</v>
      </c>
      <c r="J21" s="417">
        <f t="shared" si="1"/>
        <v>1298.7760009602248</v>
      </c>
      <c r="K21" s="199">
        <f t="shared" si="2"/>
        <v>68.35663162948552</v>
      </c>
      <c r="L21" s="609"/>
      <c r="M21" s="419">
        <f>RANK(K21, K$7:$K$36)</f>
        <v>19</v>
      </c>
      <c r="N21" s="627"/>
      <c r="O21" s="627"/>
      <c r="P21" s="500">
        <v>19</v>
      </c>
      <c r="Q21" s="420">
        <v>1320</v>
      </c>
      <c r="R21" s="420">
        <v>69.473684210526315</v>
      </c>
      <c r="S21" s="500">
        <f t="shared" si="3"/>
        <v>19</v>
      </c>
      <c r="T21" s="649"/>
      <c r="U21" s="500">
        <v>19</v>
      </c>
      <c r="V21" s="420">
        <v>1306.32911392405</v>
      </c>
      <c r="W21" s="420">
        <v>68.754163890739477</v>
      </c>
      <c r="X21" s="500">
        <f t="shared" si="4"/>
        <v>18</v>
      </c>
      <c r="Y21" s="649"/>
      <c r="Z21" s="500">
        <v>19</v>
      </c>
      <c r="AA21" s="420">
        <v>1305.0000000000016</v>
      </c>
      <c r="AB21" s="420">
        <v>68.68421052631588</v>
      </c>
      <c r="AC21" s="500">
        <f t="shared" si="5"/>
        <v>17</v>
      </c>
      <c r="AD21" s="649"/>
      <c r="AE21" s="500">
        <v>19</v>
      </c>
      <c r="AF21" s="420">
        <v>1311.6923076923092</v>
      </c>
      <c r="AG21" s="420">
        <v>69.036437246963644</v>
      </c>
      <c r="AH21" s="500">
        <f t="shared" si="6"/>
        <v>17</v>
      </c>
      <c r="AI21" s="649"/>
      <c r="AJ21" s="500">
        <v>19</v>
      </c>
      <c r="AK21" s="420">
        <v>1301.917808219177</v>
      </c>
      <c r="AL21" s="420">
        <v>68.521989906272481</v>
      </c>
      <c r="AM21" s="500">
        <f t="shared" si="7"/>
        <v>18</v>
      </c>
      <c r="AN21" s="649"/>
      <c r="AO21" s="500">
        <v>19</v>
      </c>
      <c r="AP21" s="420">
        <v>1263.5714285714282</v>
      </c>
      <c r="AQ21" s="420">
        <v>66.503759398496229</v>
      </c>
      <c r="AR21" s="500">
        <f t="shared" si="8"/>
        <v>18</v>
      </c>
      <c r="AS21" s="649"/>
      <c r="AT21" s="500">
        <v>19</v>
      </c>
      <c r="AU21" s="420">
        <v>1282.9213483146068</v>
      </c>
      <c r="AV21" s="420">
        <v>67.522176227084572</v>
      </c>
      <c r="AW21" s="500">
        <f t="shared" si="9"/>
        <v>18</v>
      </c>
      <c r="AX21" s="649"/>
      <c r="AZ21" s="402" t="e">
        <f t="shared" si="10"/>
        <v>#N/A</v>
      </c>
      <c r="BA21" s="649"/>
    </row>
    <row r="22" spans="2:53">
      <c r="B22" s="635"/>
      <c r="C22" s="413">
        <v>16</v>
      </c>
      <c r="D22" s="225" t="s">
        <v>345</v>
      </c>
      <c r="E22" s="420">
        <v>19</v>
      </c>
      <c r="F22" s="500">
        <v>1440</v>
      </c>
      <c r="G22" s="501">
        <v>75.78947368421052</v>
      </c>
      <c r="H22" s="678"/>
      <c r="I22" s="417">
        <f t="shared" si="0"/>
        <v>19</v>
      </c>
      <c r="J22" s="417">
        <f t="shared" si="1"/>
        <v>1331.467299506209</v>
      </c>
      <c r="K22" s="199">
        <f t="shared" si="2"/>
        <v>70.077226289800478</v>
      </c>
      <c r="L22" s="609"/>
      <c r="M22" s="419">
        <f>RANK(K22, K$7:$K$36)</f>
        <v>17</v>
      </c>
      <c r="N22" s="627"/>
      <c r="O22" s="627"/>
      <c r="P22" s="500">
        <v>19</v>
      </c>
      <c r="Q22" s="420">
        <v>1320.9375000000016</v>
      </c>
      <c r="R22" s="420">
        <v>69.523026315789551</v>
      </c>
      <c r="S22" s="500">
        <f t="shared" si="3"/>
        <v>18</v>
      </c>
      <c r="T22" s="649"/>
      <c r="U22" s="500">
        <v>19</v>
      </c>
      <c r="V22" s="420">
        <v>1327.8688524590175</v>
      </c>
      <c r="W22" s="420">
        <v>69.887834339948284</v>
      </c>
      <c r="X22" s="500">
        <f t="shared" si="4"/>
        <v>17</v>
      </c>
      <c r="Y22" s="649"/>
      <c r="Z22" s="500">
        <v>19</v>
      </c>
      <c r="AA22" s="420">
        <v>1348.8461538461547</v>
      </c>
      <c r="AB22" s="420">
        <v>70.991902834008144</v>
      </c>
      <c r="AC22" s="500">
        <f t="shared" si="5"/>
        <v>16</v>
      </c>
      <c r="AD22" s="649"/>
      <c r="AE22" s="500">
        <v>19</v>
      </c>
      <c r="AF22" s="420">
        <v>1307.3684210526326</v>
      </c>
      <c r="AG22" s="420">
        <v>68.808864265928037</v>
      </c>
      <c r="AH22" s="500">
        <f t="shared" si="6"/>
        <v>18</v>
      </c>
      <c r="AI22" s="649"/>
      <c r="AJ22" s="500">
        <v>19</v>
      </c>
      <c r="AK22" s="420">
        <v>1321.9354838709689</v>
      </c>
      <c r="AL22" s="420">
        <v>69.575551782682581</v>
      </c>
      <c r="AM22" s="500">
        <f t="shared" si="7"/>
        <v>16</v>
      </c>
      <c r="AN22" s="649"/>
      <c r="AO22" s="500">
        <v>19</v>
      </c>
      <c r="AP22" s="420">
        <v>1334.5454545454561</v>
      </c>
      <c r="AQ22" s="420">
        <v>70.239234449760843</v>
      </c>
      <c r="AR22" s="500">
        <f t="shared" si="8"/>
        <v>16</v>
      </c>
      <c r="AS22" s="649"/>
      <c r="AT22" s="500">
        <v>19</v>
      </c>
      <c r="AU22" s="420">
        <v>1358.7692307692323</v>
      </c>
      <c r="AV22" s="420">
        <v>71.514170040485908</v>
      </c>
      <c r="AW22" s="500">
        <f t="shared" si="9"/>
        <v>15</v>
      </c>
      <c r="AX22" s="649"/>
      <c r="AZ22" s="402" t="e">
        <f t="shared" si="10"/>
        <v>#N/A</v>
      </c>
      <c r="BA22" s="649"/>
    </row>
    <row r="23" spans="2:53">
      <c r="B23" s="635"/>
      <c r="C23" s="413">
        <v>17</v>
      </c>
      <c r="D23" s="225" t="s">
        <v>613</v>
      </c>
      <c r="E23" s="420">
        <v>18</v>
      </c>
      <c r="F23" s="500">
        <v>1500</v>
      </c>
      <c r="G23" s="501">
        <v>83.333333333333329</v>
      </c>
      <c r="H23" s="678"/>
      <c r="I23" s="417">
        <f t="shared" si="0"/>
        <v>18</v>
      </c>
      <c r="J23" s="417">
        <f t="shared" si="1"/>
        <v>1382.9043249115982</v>
      </c>
      <c r="K23" s="199">
        <f t="shared" si="2"/>
        <v>76.828018050644332</v>
      </c>
      <c r="L23" s="609"/>
      <c r="M23" s="419">
        <f>RANK(K23, K$7:$K$36)</f>
        <v>14</v>
      </c>
      <c r="N23" s="627"/>
      <c r="O23" s="627"/>
      <c r="P23" s="500">
        <v>18</v>
      </c>
      <c r="Q23" s="420">
        <v>1391.3043478260854</v>
      </c>
      <c r="R23" s="420">
        <v>77.294685990338081</v>
      </c>
      <c r="S23" s="500">
        <f t="shared" si="3"/>
        <v>13</v>
      </c>
      <c r="T23" s="649"/>
      <c r="U23" s="500">
        <v>18</v>
      </c>
      <c r="V23" s="420">
        <v>1424.0625000000016</v>
      </c>
      <c r="W23" s="420">
        <v>79.114583333333428</v>
      </c>
      <c r="X23" s="500">
        <f t="shared" si="4"/>
        <v>11</v>
      </c>
      <c r="Y23" s="649"/>
      <c r="Z23" s="500">
        <v>18</v>
      </c>
      <c r="AA23" s="420">
        <v>1361.9047619047633</v>
      </c>
      <c r="AB23" s="420">
        <v>75.661375661375743</v>
      </c>
      <c r="AC23" s="500">
        <f t="shared" si="5"/>
        <v>14</v>
      </c>
      <c r="AD23" s="649"/>
      <c r="AE23" s="500">
        <v>18</v>
      </c>
      <c r="AF23" s="420">
        <v>1369.8113207547178</v>
      </c>
      <c r="AG23" s="420">
        <v>76.100628930817663</v>
      </c>
      <c r="AH23" s="500">
        <f t="shared" si="6"/>
        <v>14</v>
      </c>
      <c r="AI23" s="649"/>
      <c r="AJ23" s="500">
        <v>18</v>
      </c>
      <c r="AK23" s="420">
        <v>1382.0689655172425</v>
      </c>
      <c r="AL23" s="420">
        <v>76.781609195402368</v>
      </c>
      <c r="AM23" s="500">
        <f t="shared" si="7"/>
        <v>14</v>
      </c>
      <c r="AN23" s="649"/>
      <c r="AO23" s="500">
        <v>18</v>
      </c>
      <c r="AP23" s="420">
        <v>1378.3783783783772</v>
      </c>
      <c r="AQ23" s="420">
        <v>76.576576576576514</v>
      </c>
      <c r="AR23" s="500">
        <f t="shared" si="8"/>
        <v>13</v>
      </c>
      <c r="AS23" s="649"/>
      <c r="AT23" s="500">
        <v>18</v>
      </c>
      <c r="AU23" s="420">
        <v>1372.7999999999988</v>
      </c>
      <c r="AV23" s="420">
        <v>76.266666666666595</v>
      </c>
      <c r="AW23" s="500">
        <f t="shared" si="9"/>
        <v>13</v>
      </c>
      <c r="AX23" s="649"/>
      <c r="AZ23" s="402" t="e">
        <f t="shared" si="10"/>
        <v>#N/A</v>
      </c>
      <c r="BA23" s="649"/>
    </row>
    <row r="24" spans="2:53">
      <c r="B24" s="635"/>
      <c r="C24" s="413">
        <v>18</v>
      </c>
      <c r="D24" s="225" t="s">
        <v>524</v>
      </c>
      <c r="E24" s="420">
        <v>17</v>
      </c>
      <c r="F24" s="500">
        <v>1440</v>
      </c>
      <c r="G24" s="501">
        <v>84.705882352941174</v>
      </c>
      <c r="H24" s="678"/>
      <c r="I24" s="417">
        <f t="shared" si="0"/>
        <v>17</v>
      </c>
      <c r="J24" s="417">
        <f t="shared" si="1"/>
        <v>1304.0182662865584</v>
      </c>
      <c r="K24" s="199">
        <f t="shared" si="2"/>
        <v>76.706956840385786</v>
      </c>
      <c r="L24" s="609"/>
      <c r="M24" s="419">
        <f>RANK(K24, K$7:$K$36)</f>
        <v>15</v>
      </c>
      <c r="N24" s="627"/>
      <c r="O24" s="627"/>
      <c r="P24" s="500">
        <v>17</v>
      </c>
      <c r="Q24" s="420">
        <v>1310.6666666666667</v>
      </c>
      <c r="R24" s="420">
        <v>77.098039215686285</v>
      </c>
      <c r="S24" s="500">
        <f t="shared" si="3"/>
        <v>14</v>
      </c>
      <c r="T24" s="649"/>
      <c r="U24" s="500">
        <v>17</v>
      </c>
      <c r="V24" s="420">
        <v>1309.090909090909</v>
      </c>
      <c r="W24" s="420">
        <v>77.005347593582883</v>
      </c>
      <c r="X24" s="500">
        <f t="shared" si="4"/>
        <v>14</v>
      </c>
      <c r="Y24" s="649"/>
      <c r="Z24" s="500">
        <v>17</v>
      </c>
      <c r="AA24" s="420">
        <v>1331.9999999999986</v>
      </c>
      <c r="AB24" s="420">
        <v>78.352941176470509</v>
      </c>
      <c r="AC24" s="500">
        <f t="shared" si="5"/>
        <v>13</v>
      </c>
      <c r="AD24" s="649"/>
      <c r="AE24" s="500">
        <v>17</v>
      </c>
      <c r="AF24" s="420">
        <v>1336.0975609756094</v>
      </c>
      <c r="AG24" s="420">
        <v>78.593974175035854</v>
      </c>
      <c r="AH24" s="500">
        <f t="shared" si="6"/>
        <v>11</v>
      </c>
      <c r="AI24" s="649"/>
      <c r="AJ24" s="500">
        <v>17</v>
      </c>
      <c r="AK24" s="420">
        <v>1315.4999999999995</v>
      </c>
      <c r="AL24" s="420">
        <v>77.38235294117645</v>
      </c>
      <c r="AM24" s="500">
        <f t="shared" si="7"/>
        <v>13</v>
      </c>
      <c r="AN24" s="649"/>
      <c r="AO24" s="500">
        <v>17</v>
      </c>
      <c r="AP24" s="420">
        <v>1267.4999999999961</v>
      </c>
      <c r="AQ24" s="420">
        <v>74.558823529411541</v>
      </c>
      <c r="AR24" s="500">
        <f t="shared" si="8"/>
        <v>14</v>
      </c>
      <c r="AS24" s="649"/>
      <c r="AT24" s="500">
        <v>17</v>
      </c>
      <c r="AU24" s="420">
        <v>1257.2727272727273</v>
      </c>
      <c r="AV24" s="420">
        <v>73.957219251336895</v>
      </c>
      <c r="AW24" s="500">
        <f t="shared" si="9"/>
        <v>14</v>
      </c>
      <c r="AX24" s="649"/>
      <c r="AZ24" s="402" t="e">
        <f t="shared" si="10"/>
        <v>#N/A</v>
      </c>
      <c r="BA24" s="649"/>
    </row>
    <row r="25" spans="2:53">
      <c r="B25" s="635"/>
      <c r="C25" s="413">
        <v>19</v>
      </c>
      <c r="D25" s="225" t="s">
        <v>528</v>
      </c>
      <c r="E25" s="420">
        <v>20</v>
      </c>
      <c r="F25" s="500">
        <v>1500</v>
      </c>
      <c r="G25" s="501">
        <v>75</v>
      </c>
      <c r="H25" s="678"/>
      <c r="I25" s="417">
        <f t="shared" si="0"/>
        <v>20</v>
      </c>
      <c r="J25" s="417">
        <f t="shared" si="1"/>
        <v>1226.5251700680269</v>
      </c>
      <c r="K25" s="199">
        <f t="shared" si="2"/>
        <v>61.326258503401341</v>
      </c>
      <c r="L25" s="609"/>
      <c r="M25" s="419">
        <f>RANK(K25, K$7:$K$36)</f>
        <v>22</v>
      </c>
      <c r="N25" s="627"/>
      <c r="O25" s="627"/>
      <c r="P25" s="500">
        <v>20</v>
      </c>
      <c r="Q25" s="420">
        <v>1239.1836734693879</v>
      </c>
      <c r="R25" s="420">
        <v>61.959183673469397</v>
      </c>
      <c r="S25" s="500">
        <f t="shared" si="3"/>
        <v>22</v>
      </c>
      <c r="T25" s="649"/>
      <c r="U25" s="500">
        <v>20</v>
      </c>
      <c r="V25" s="420">
        <v>1259.9999999999998</v>
      </c>
      <c r="W25" s="420">
        <v>62.999999999999986</v>
      </c>
      <c r="X25" s="500">
        <f t="shared" si="4"/>
        <v>21</v>
      </c>
      <c r="Y25" s="649"/>
      <c r="Z25" s="500">
        <v>20</v>
      </c>
      <c r="AA25" s="420">
        <v>1217.1428571428557</v>
      </c>
      <c r="AB25" s="420">
        <v>60.85714285714279</v>
      </c>
      <c r="AC25" s="500">
        <f t="shared" si="5"/>
        <v>21</v>
      </c>
      <c r="AD25" s="649"/>
      <c r="AE25" s="500">
        <v>20</v>
      </c>
      <c r="AF25" s="420">
        <v>1243.3333333333323</v>
      </c>
      <c r="AG25" s="420">
        <v>62.166666666666615</v>
      </c>
      <c r="AH25" s="500">
        <f t="shared" si="6"/>
        <v>21</v>
      </c>
      <c r="AI25" s="649"/>
      <c r="AJ25" s="500">
        <v>20</v>
      </c>
      <c r="AK25" s="420">
        <v>1209.9999999999995</v>
      </c>
      <c r="AL25" s="420">
        <v>60.499999999999979</v>
      </c>
      <c r="AM25" s="500">
        <f t="shared" si="7"/>
        <v>21</v>
      </c>
      <c r="AN25" s="649"/>
      <c r="AO25" s="500">
        <v>20</v>
      </c>
      <c r="AP25" s="420">
        <v>1195.2000000000003</v>
      </c>
      <c r="AQ25" s="420">
        <v>59.760000000000012</v>
      </c>
      <c r="AR25" s="500">
        <f t="shared" si="8"/>
        <v>22</v>
      </c>
      <c r="AS25" s="649"/>
      <c r="AT25" s="500">
        <v>20</v>
      </c>
      <c r="AU25" s="420">
        <v>1220.8163265306125</v>
      </c>
      <c r="AV25" s="420">
        <v>61.040816326530624</v>
      </c>
      <c r="AW25" s="500">
        <f t="shared" si="9"/>
        <v>21</v>
      </c>
      <c r="AX25" s="649"/>
      <c r="AZ25" s="402" t="e">
        <f t="shared" si="10"/>
        <v>#N/A</v>
      </c>
      <c r="BA25" s="649"/>
    </row>
    <row r="26" spans="2:53">
      <c r="B26" s="635"/>
      <c r="C26" s="413">
        <v>20</v>
      </c>
      <c r="D26" s="225" t="s">
        <v>603</v>
      </c>
      <c r="E26" s="420">
        <v>15</v>
      </c>
      <c r="F26" s="500">
        <v>1440</v>
      </c>
      <c r="G26" s="501">
        <v>96</v>
      </c>
      <c r="H26" s="678"/>
      <c r="I26" s="417">
        <f t="shared" si="0"/>
        <v>15</v>
      </c>
      <c r="J26" s="417">
        <f t="shared" si="1"/>
        <v>1339.9999999999511</v>
      </c>
      <c r="K26" s="199">
        <f t="shared" si="2"/>
        <v>89.333333333330074</v>
      </c>
      <c r="L26" s="609"/>
      <c r="M26" s="419">
        <f>RANK(K26, K$7:$K$36)</f>
        <v>4</v>
      </c>
      <c r="N26" s="627"/>
      <c r="O26" s="627"/>
      <c r="P26" s="500">
        <v>15</v>
      </c>
      <c r="Q26" s="420">
        <v>1339.9999999999511</v>
      </c>
      <c r="R26" s="420">
        <v>89.333333333330074</v>
      </c>
      <c r="S26" s="500">
        <f t="shared" si="3"/>
        <v>4</v>
      </c>
      <c r="T26" s="649"/>
      <c r="U26" s="500" t="s">
        <v>623</v>
      </c>
      <c r="V26" s="420" t="s">
        <v>623</v>
      </c>
      <c r="W26" s="420" t="s">
        <v>623</v>
      </c>
      <c r="X26" s="500" t="e">
        <f t="shared" si="4"/>
        <v>#VALUE!</v>
      </c>
      <c r="Y26" s="649"/>
      <c r="Z26" s="500" t="s">
        <v>623</v>
      </c>
      <c r="AA26" s="420" t="s">
        <v>623</v>
      </c>
      <c r="AB26" s="420" t="s">
        <v>623</v>
      </c>
      <c r="AC26" s="500" t="e">
        <f t="shared" si="5"/>
        <v>#VALUE!</v>
      </c>
      <c r="AD26" s="649"/>
      <c r="AE26" s="500" t="s">
        <v>623</v>
      </c>
      <c r="AF26" s="420" t="s">
        <v>623</v>
      </c>
      <c r="AG26" s="420" t="s">
        <v>623</v>
      </c>
      <c r="AH26" s="500" t="e">
        <f t="shared" si="6"/>
        <v>#VALUE!</v>
      </c>
      <c r="AI26" s="649"/>
      <c r="AJ26" s="500" t="s">
        <v>623</v>
      </c>
      <c r="AK26" s="420" t="s">
        <v>623</v>
      </c>
      <c r="AL26" s="420" t="s">
        <v>623</v>
      </c>
      <c r="AM26" s="500" t="e">
        <f t="shared" si="7"/>
        <v>#VALUE!</v>
      </c>
      <c r="AN26" s="649"/>
      <c r="AO26" s="500" t="s">
        <v>623</v>
      </c>
      <c r="AP26" s="420" t="s">
        <v>623</v>
      </c>
      <c r="AQ26" s="420" t="s">
        <v>623</v>
      </c>
      <c r="AR26" s="500" t="e">
        <f t="shared" si="8"/>
        <v>#VALUE!</v>
      </c>
      <c r="AS26" s="649"/>
      <c r="AT26" s="500" t="s">
        <v>623</v>
      </c>
      <c r="AU26" s="420" t="s">
        <v>623</v>
      </c>
      <c r="AV26" s="420" t="s">
        <v>623</v>
      </c>
      <c r="AW26" s="500" t="e">
        <f t="shared" si="9"/>
        <v>#VALUE!</v>
      </c>
      <c r="AX26" s="649"/>
      <c r="AZ26" s="402" t="e">
        <f t="shared" si="10"/>
        <v>#N/A</v>
      </c>
      <c r="BA26" s="649"/>
    </row>
    <row r="27" spans="2:53">
      <c r="B27" s="635"/>
      <c r="C27" s="413">
        <v>21</v>
      </c>
      <c r="D27" s="225" t="s">
        <v>604</v>
      </c>
      <c r="E27" s="420">
        <v>19</v>
      </c>
      <c r="F27" s="500">
        <v>1500</v>
      </c>
      <c r="G27" s="501">
        <v>78.94736842105263</v>
      </c>
      <c r="H27" s="678"/>
      <c r="I27" s="417">
        <f t="shared" si="0"/>
        <v>19</v>
      </c>
      <c r="J27" s="417">
        <f t="shared" si="1"/>
        <v>1232.6298479845282</v>
      </c>
      <c r="K27" s="199">
        <f t="shared" si="2"/>
        <v>64.875255157080446</v>
      </c>
      <c r="L27" s="609"/>
      <c r="M27" s="419">
        <f>RANK(K27, K$7:$K$36)</f>
        <v>21</v>
      </c>
      <c r="N27" s="627"/>
      <c r="O27" s="627"/>
      <c r="P27" s="500">
        <v>19</v>
      </c>
      <c r="Q27" s="420">
        <v>1221.7241379310353</v>
      </c>
      <c r="R27" s="420">
        <v>64.301270417422913</v>
      </c>
      <c r="S27" s="500">
        <f t="shared" si="3"/>
        <v>21</v>
      </c>
      <c r="T27" s="649"/>
      <c r="U27" s="500">
        <v>19</v>
      </c>
      <c r="V27" s="420">
        <v>1221.8181818181827</v>
      </c>
      <c r="W27" s="420">
        <v>64.306220095693831</v>
      </c>
      <c r="X27" s="500">
        <f t="shared" si="4"/>
        <v>20</v>
      </c>
      <c r="Y27" s="649"/>
      <c r="Z27" s="500">
        <v>19</v>
      </c>
      <c r="AA27" s="420">
        <v>1254.2857142857138</v>
      </c>
      <c r="AB27" s="420">
        <v>66.015037593984928</v>
      </c>
      <c r="AC27" s="500">
        <f t="shared" si="5"/>
        <v>20</v>
      </c>
      <c r="AD27" s="649"/>
      <c r="AE27" s="500">
        <v>19</v>
      </c>
      <c r="AF27" s="420">
        <v>1200.0000000000005</v>
      </c>
      <c r="AG27" s="420">
        <v>63.157894736842131</v>
      </c>
      <c r="AH27" s="500">
        <f t="shared" si="6"/>
        <v>20</v>
      </c>
      <c r="AI27" s="649"/>
      <c r="AJ27" s="500">
        <v>19</v>
      </c>
      <c r="AK27" s="420">
        <v>1249.6153846153852</v>
      </c>
      <c r="AL27" s="420">
        <v>65.769230769230802</v>
      </c>
      <c r="AM27" s="500">
        <f t="shared" si="7"/>
        <v>19</v>
      </c>
      <c r="AN27" s="649"/>
      <c r="AO27" s="500">
        <v>19</v>
      </c>
      <c r="AP27" s="420">
        <v>1252.0000000000011</v>
      </c>
      <c r="AQ27" s="420">
        <v>65.894736842105317</v>
      </c>
      <c r="AR27" s="500">
        <f t="shared" si="8"/>
        <v>19</v>
      </c>
      <c r="AS27" s="649"/>
      <c r="AT27" s="500">
        <v>19</v>
      </c>
      <c r="AU27" s="420">
        <v>1228.9655172413802</v>
      </c>
      <c r="AV27" s="420">
        <v>64.682395644283176</v>
      </c>
      <c r="AW27" s="500">
        <f t="shared" si="9"/>
        <v>20</v>
      </c>
      <c r="AX27" s="649"/>
      <c r="AZ27" s="402" t="e">
        <f t="shared" si="10"/>
        <v>#N/A</v>
      </c>
      <c r="BA27" s="649"/>
    </row>
    <row r="28" spans="2:53">
      <c r="B28" s="635"/>
      <c r="C28" s="413">
        <v>22</v>
      </c>
      <c r="D28" s="225" t="s">
        <v>715</v>
      </c>
      <c r="E28" s="420">
        <v>16</v>
      </c>
      <c r="F28" s="500">
        <v>1440</v>
      </c>
      <c r="G28" s="501">
        <v>90</v>
      </c>
      <c r="H28" s="678"/>
      <c r="I28" s="417">
        <f t="shared" si="0"/>
        <v>16.142857142857142</v>
      </c>
      <c r="J28" s="417">
        <f t="shared" si="1"/>
        <v>1391.5967567718665</v>
      </c>
      <c r="K28" s="199">
        <f t="shared" si="2"/>
        <v>86.238190155384501</v>
      </c>
      <c r="L28" s="609"/>
      <c r="M28" s="419">
        <f>RANK(K28, K$7:$K$36)</f>
        <v>5</v>
      </c>
      <c r="N28" s="627"/>
      <c r="O28" s="627"/>
      <c r="P28" s="500">
        <v>16</v>
      </c>
      <c r="Q28" s="420">
        <v>1390.6849315068512</v>
      </c>
      <c r="R28" s="420">
        <v>86.917808219178198</v>
      </c>
      <c r="S28" s="500">
        <f t="shared" si="3"/>
        <v>6</v>
      </c>
      <c r="T28" s="649"/>
      <c r="U28" s="500">
        <v>16</v>
      </c>
      <c r="V28" s="420">
        <v>1436.5714285714271</v>
      </c>
      <c r="W28" s="420">
        <v>89.785714285714192</v>
      </c>
      <c r="X28" s="500">
        <f t="shared" si="4"/>
        <v>3</v>
      </c>
      <c r="Y28" s="649"/>
      <c r="Z28" s="500">
        <v>16</v>
      </c>
      <c r="AA28" s="420">
        <v>1352.4590163934404</v>
      </c>
      <c r="AB28" s="420">
        <v>84.528688524590024</v>
      </c>
      <c r="AC28" s="500">
        <f t="shared" si="5"/>
        <v>5</v>
      </c>
      <c r="AD28" s="649"/>
      <c r="AE28" s="500">
        <v>16</v>
      </c>
      <c r="AF28" s="420">
        <v>1403.5714285714296</v>
      </c>
      <c r="AG28" s="420">
        <v>87.723214285714349</v>
      </c>
      <c r="AH28" s="500">
        <f t="shared" si="6"/>
        <v>3</v>
      </c>
      <c r="AI28" s="649"/>
      <c r="AJ28" s="500">
        <v>16</v>
      </c>
      <c r="AK28" s="420">
        <v>1423.5483870967755</v>
      </c>
      <c r="AL28" s="420">
        <v>88.97177419354847</v>
      </c>
      <c r="AM28" s="500">
        <f t="shared" si="7"/>
        <v>3</v>
      </c>
      <c r="AN28" s="649"/>
      <c r="AO28" s="500">
        <v>17</v>
      </c>
      <c r="AP28" s="420">
        <v>1402.4999999999895</v>
      </c>
      <c r="AQ28" s="420">
        <v>82.499999999999389</v>
      </c>
      <c r="AR28" s="500">
        <f t="shared" si="8"/>
        <v>6</v>
      </c>
      <c r="AS28" s="649"/>
      <c r="AT28" s="500">
        <v>16</v>
      </c>
      <c r="AU28" s="420">
        <v>1331.8421052631513</v>
      </c>
      <c r="AV28" s="420">
        <v>83.240131578946958</v>
      </c>
      <c r="AW28" s="500">
        <f t="shared" si="9"/>
        <v>4</v>
      </c>
      <c r="AX28" s="649"/>
      <c r="AZ28" s="402" t="e">
        <f t="shared" si="10"/>
        <v>#N/A</v>
      </c>
      <c r="BA28" s="649"/>
    </row>
    <row r="29" spans="2:53">
      <c r="B29" s="635"/>
      <c r="C29" s="413">
        <v>23</v>
      </c>
      <c r="D29" s="225" t="s">
        <v>734</v>
      </c>
      <c r="E29" s="420">
        <v>16</v>
      </c>
      <c r="F29" s="500">
        <v>1440</v>
      </c>
      <c r="G29" s="501">
        <v>90</v>
      </c>
      <c r="H29" s="678"/>
      <c r="I29" s="417">
        <f t="shared" si="0"/>
        <v>16</v>
      </c>
      <c r="J29" s="417">
        <f t="shared" si="1"/>
        <v>1332.4507536014175</v>
      </c>
      <c r="K29" s="199">
        <f t="shared" si="2"/>
        <v>83.278172100088597</v>
      </c>
      <c r="L29" s="609"/>
      <c r="M29" s="419">
        <f>RANK(K29, K$7:$K$36)</f>
        <v>7</v>
      </c>
      <c r="N29" s="627"/>
      <c r="O29" s="627"/>
      <c r="P29" s="500">
        <v>16</v>
      </c>
      <c r="Q29" s="420">
        <v>1325.282608695652</v>
      </c>
      <c r="R29" s="420">
        <v>82.830163043478251</v>
      </c>
      <c r="S29" s="500">
        <f t="shared" si="3"/>
        <v>9</v>
      </c>
      <c r="T29" s="649"/>
      <c r="U29" s="500">
        <v>16</v>
      </c>
      <c r="V29" s="420">
        <v>1356.9230769230765</v>
      </c>
      <c r="W29" s="420">
        <v>84.807692307692278</v>
      </c>
      <c r="X29" s="500">
        <f t="shared" si="4"/>
        <v>5</v>
      </c>
      <c r="Y29" s="649"/>
      <c r="Z29" s="500">
        <v>16</v>
      </c>
      <c r="AA29" s="420">
        <v>1343.6065573770504</v>
      </c>
      <c r="AB29" s="420">
        <v>83.975409836065651</v>
      </c>
      <c r="AC29" s="500">
        <f t="shared" si="5"/>
        <v>6</v>
      </c>
      <c r="AD29" s="649"/>
      <c r="AE29" s="500">
        <v>16</v>
      </c>
      <c r="AF29" s="420">
        <v>1329.5454545454545</v>
      </c>
      <c r="AG29" s="420">
        <v>83.096590909090907</v>
      </c>
      <c r="AH29" s="500">
        <f t="shared" si="6"/>
        <v>6</v>
      </c>
      <c r="AI29" s="649"/>
      <c r="AJ29" s="500">
        <v>16</v>
      </c>
      <c r="AK29" s="420">
        <v>1347.9069767441858</v>
      </c>
      <c r="AL29" s="420">
        <v>84.244186046511615</v>
      </c>
      <c r="AM29" s="500">
        <f t="shared" si="7"/>
        <v>6</v>
      </c>
      <c r="AN29" s="649"/>
      <c r="AO29" s="500">
        <v>16</v>
      </c>
      <c r="AP29" s="420">
        <v>1335.2542372881367</v>
      </c>
      <c r="AQ29" s="420">
        <v>83.453389830508542</v>
      </c>
      <c r="AR29" s="500">
        <f t="shared" si="8"/>
        <v>4</v>
      </c>
      <c r="AS29" s="649"/>
      <c r="AT29" s="500">
        <v>16</v>
      </c>
      <c r="AU29" s="420">
        <v>1288.6363636363683</v>
      </c>
      <c r="AV29" s="420">
        <v>80.539772727273018</v>
      </c>
      <c r="AW29" s="500">
        <f t="shared" si="9"/>
        <v>9</v>
      </c>
      <c r="AX29" s="649"/>
      <c r="AZ29" s="402" t="e">
        <f t="shared" si="10"/>
        <v>#N/A</v>
      </c>
      <c r="BA29" s="649"/>
    </row>
    <row r="30" spans="2:53">
      <c r="B30" s="635"/>
      <c r="C30" s="413">
        <v>24</v>
      </c>
      <c r="D30" s="225" t="s">
        <v>726</v>
      </c>
      <c r="E30" s="420">
        <v>16</v>
      </c>
      <c r="F30" s="500">
        <v>1440</v>
      </c>
      <c r="G30" s="501">
        <v>90</v>
      </c>
      <c r="H30" s="678"/>
      <c r="I30" s="417">
        <f t="shared" si="0"/>
        <v>15.714285714285714</v>
      </c>
      <c r="J30" s="417">
        <f t="shared" si="1"/>
        <v>1286.8270505123978</v>
      </c>
      <c r="K30" s="199">
        <f t="shared" si="2"/>
        <v>82.015217959837869</v>
      </c>
      <c r="L30" s="609"/>
      <c r="M30" s="419">
        <f>RANK(K30, K$7:$K$36)</f>
        <v>9</v>
      </c>
      <c r="N30" s="627"/>
      <c r="O30" s="627"/>
      <c r="P30" s="500">
        <v>14</v>
      </c>
      <c r="Q30" s="420">
        <v>1245.4054054054027</v>
      </c>
      <c r="R30" s="420">
        <v>88.957528957528766</v>
      </c>
      <c r="S30" s="500">
        <f t="shared" si="3"/>
        <v>5</v>
      </c>
      <c r="T30" s="649"/>
      <c r="U30" s="500">
        <v>16</v>
      </c>
      <c r="V30" s="420">
        <v>1298.0769230769238</v>
      </c>
      <c r="W30" s="420">
        <v>81.129807692307736</v>
      </c>
      <c r="X30" s="500">
        <f t="shared" si="4"/>
        <v>9</v>
      </c>
      <c r="Y30" s="649"/>
      <c r="Z30" s="500">
        <v>16</v>
      </c>
      <c r="AA30" s="420">
        <v>1298.7096774193551</v>
      </c>
      <c r="AB30" s="420">
        <v>81.169354838709694</v>
      </c>
      <c r="AC30" s="500">
        <f t="shared" si="5"/>
        <v>9</v>
      </c>
      <c r="AD30" s="649"/>
      <c r="AE30" s="500">
        <v>16</v>
      </c>
      <c r="AF30" s="420">
        <v>1290.3225806451615</v>
      </c>
      <c r="AG30" s="420">
        <v>80.645161290322591</v>
      </c>
      <c r="AH30" s="500">
        <f t="shared" si="6"/>
        <v>8</v>
      </c>
      <c r="AI30" s="649"/>
      <c r="AJ30" s="500">
        <v>16</v>
      </c>
      <c r="AK30" s="420">
        <v>1287.4766355140193</v>
      </c>
      <c r="AL30" s="420">
        <v>80.467289719626208</v>
      </c>
      <c r="AM30" s="500">
        <f t="shared" si="7"/>
        <v>10</v>
      </c>
      <c r="AN30" s="649"/>
      <c r="AO30" s="500">
        <v>16</v>
      </c>
      <c r="AP30" s="420">
        <v>1292.264150943397</v>
      </c>
      <c r="AQ30" s="420">
        <v>80.766509433962312</v>
      </c>
      <c r="AR30" s="500">
        <f t="shared" si="8"/>
        <v>9</v>
      </c>
      <c r="AS30" s="649"/>
      <c r="AT30" s="500">
        <v>16</v>
      </c>
      <c r="AU30" s="420">
        <v>1295.5339805825247</v>
      </c>
      <c r="AV30" s="420">
        <v>80.970873786407793</v>
      </c>
      <c r="AW30" s="500">
        <f t="shared" si="9"/>
        <v>8</v>
      </c>
      <c r="AX30" s="649"/>
      <c r="AZ30" s="402" t="e">
        <f t="shared" si="10"/>
        <v>#N/A</v>
      </c>
      <c r="BA30" s="649"/>
    </row>
    <row r="31" spans="2:53">
      <c r="B31" s="635"/>
      <c r="C31" s="413">
        <v>25</v>
      </c>
      <c r="D31" s="225"/>
      <c r="E31" s="420"/>
      <c r="F31" s="500"/>
      <c r="G31" s="501"/>
      <c r="H31" s="678"/>
      <c r="I31" s="417" t="str">
        <f t="shared" si="0"/>
        <v>-</v>
      </c>
      <c r="J31" s="417" t="str">
        <f t="shared" si="1"/>
        <v>-</v>
      </c>
      <c r="K31" s="199" t="str">
        <f t="shared" si="2"/>
        <v>-</v>
      </c>
      <c r="L31" s="609"/>
      <c r="M31" s="419" t="e">
        <f>RANK(K31, K$7:$K$36)</f>
        <v>#VALUE!</v>
      </c>
      <c r="N31" s="627"/>
      <c r="O31" s="627"/>
      <c r="P31" s="500"/>
      <c r="Q31" s="420"/>
      <c r="R31" s="420"/>
      <c r="S31" s="500" t="e">
        <f t="shared" si="3"/>
        <v>#N/A</v>
      </c>
      <c r="T31" s="649"/>
      <c r="U31" s="500"/>
      <c r="V31" s="420"/>
      <c r="W31" s="420"/>
      <c r="X31" s="500" t="e">
        <f t="shared" si="4"/>
        <v>#N/A</v>
      </c>
      <c r="Y31" s="649"/>
      <c r="Z31" s="500"/>
      <c r="AA31" s="420"/>
      <c r="AB31" s="420"/>
      <c r="AC31" s="500" t="e">
        <f t="shared" si="5"/>
        <v>#N/A</v>
      </c>
      <c r="AD31" s="649"/>
      <c r="AE31" s="500"/>
      <c r="AF31" s="420"/>
      <c r="AG31" s="420"/>
      <c r="AH31" s="500" t="e">
        <f t="shared" si="6"/>
        <v>#N/A</v>
      </c>
      <c r="AI31" s="649"/>
      <c r="AJ31" s="500"/>
      <c r="AK31" s="420"/>
      <c r="AL31" s="420"/>
      <c r="AM31" s="500" t="e">
        <f t="shared" si="7"/>
        <v>#N/A</v>
      </c>
      <c r="AN31" s="649"/>
      <c r="AO31" s="500"/>
      <c r="AP31" s="420"/>
      <c r="AQ31" s="420"/>
      <c r="AR31" s="500" t="e">
        <f t="shared" si="8"/>
        <v>#N/A</v>
      </c>
      <c r="AS31" s="649"/>
      <c r="AT31" s="500"/>
      <c r="AU31" s="420"/>
      <c r="AV31" s="420"/>
      <c r="AW31" s="500" t="e">
        <f t="shared" si="9"/>
        <v>#N/A</v>
      </c>
      <c r="AX31" s="649"/>
      <c r="AZ31" s="402" t="e">
        <f t="shared" si="10"/>
        <v>#N/A</v>
      </c>
      <c r="BA31" s="649"/>
    </row>
    <row r="32" spans="2:53">
      <c r="B32" s="635"/>
      <c r="C32" s="413">
        <v>26</v>
      </c>
      <c r="D32" s="225"/>
      <c r="E32" s="420"/>
      <c r="F32" s="500"/>
      <c r="G32" s="501"/>
      <c r="H32" s="678"/>
      <c r="I32" s="417" t="str">
        <f t="shared" si="0"/>
        <v>-</v>
      </c>
      <c r="J32" s="417" t="str">
        <f t="shared" si="1"/>
        <v>-</v>
      </c>
      <c r="K32" s="199" t="str">
        <f t="shared" si="2"/>
        <v>-</v>
      </c>
      <c r="L32" s="609"/>
      <c r="M32" s="419" t="e">
        <f>RANK(K32, K$7:$K$36)</f>
        <v>#VALUE!</v>
      </c>
      <c r="N32" s="627"/>
      <c r="O32" s="627"/>
      <c r="P32" s="500"/>
      <c r="Q32" s="420"/>
      <c r="R32" s="420"/>
      <c r="S32" s="500" t="e">
        <f t="shared" si="3"/>
        <v>#N/A</v>
      </c>
      <c r="T32" s="649"/>
      <c r="U32" s="500"/>
      <c r="V32" s="420"/>
      <c r="W32" s="420"/>
      <c r="X32" s="500" t="e">
        <f t="shared" si="4"/>
        <v>#N/A</v>
      </c>
      <c r="Y32" s="649"/>
      <c r="Z32" s="500"/>
      <c r="AA32" s="420"/>
      <c r="AB32" s="420"/>
      <c r="AC32" s="500" t="e">
        <f t="shared" si="5"/>
        <v>#N/A</v>
      </c>
      <c r="AD32" s="649"/>
      <c r="AE32" s="500"/>
      <c r="AF32" s="420"/>
      <c r="AG32" s="420"/>
      <c r="AH32" s="500" t="e">
        <f t="shared" si="6"/>
        <v>#N/A</v>
      </c>
      <c r="AI32" s="649"/>
      <c r="AJ32" s="500"/>
      <c r="AK32" s="420"/>
      <c r="AL32" s="420"/>
      <c r="AM32" s="500" t="e">
        <f t="shared" si="7"/>
        <v>#N/A</v>
      </c>
      <c r="AN32" s="649"/>
      <c r="AO32" s="500"/>
      <c r="AP32" s="420"/>
      <c r="AQ32" s="420"/>
      <c r="AR32" s="500" t="e">
        <f t="shared" si="8"/>
        <v>#N/A</v>
      </c>
      <c r="AS32" s="649"/>
      <c r="AT32" s="500"/>
      <c r="AU32" s="420"/>
      <c r="AV32" s="420"/>
      <c r="AW32" s="500" t="e">
        <f t="shared" si="9"/>
        <v>#N/A</v>
      </c>
      <c r="AX32" s="649"/>
      <c r="AZ32" s="402" t="e">
        <f t="shared" si="10"/>
        <v>#N/A</v>
      </c>
      <c r="BA32" s="649"/>
    </row>
    <row r="33" spans="2:53">
      <c r="B33" s="635"/>
      <c r="C33" s="413">
        <v>27</v>
      </c>
      <c r="D33" s="225"/>
      <c r="E33" s="420"/>
      <c r="F33" s="500"/>
      <c r="G33" s="501"/>
      <c r="H33" s="678"/>
      <c r="I33" s="417" t="str">
        <f t="shared" si="0"/>
        <v>-</v>
      </c>
      <c r="J33" s="417" t="str">
        <f t="shared" si="1"/>
        <v>-</v>
      </c>
      <c r="K33" s="199" t="str">
        <f t="shared" si="2"/>
        <v>-</v>
      </c>
      <c r="L33" s="609"/>
      <c r="M33" s="419" t="e">
        <f>RANK(K33, K$7:$K$36)</f>
        <v>#VALUE!</v>
      </c>
      <c r="N33" s="627"/>
      <c r="O33" s="627"/>
      <c r="P33" s="500"/>
      <c r="Q33" s="420"/>
      <c r="R33" s="420"/>
      <c r="S33" s="500" t="e">
        <f t="shared" si="3"/>
        <v>#N/A</v>
      </c>
      <c r="T33" s="649"/>
      <c r="U33" s="500"/>
      <c r="V33" s="420"/>
      <c r="W33" s="420"/>
      <c r="X33" s="500" t="e">
        <f t="shared" si="4"/>
        <v>#N/A</v>
      </c>
      <c r="Y33" s="649"/>
      <c r="Z33" s="500"/>
      <c r="AA33" s="420"/>
      <c r="AB33" s="420"/>
      <c r="AC33" s="500" t="e">
        <f t="shared" si="5"/>
        <v>#N/A</v>
      </c>
      <c r="AD33" s="649"/>
      <c r="AE33" s="500"/>
      <c r="AF33" s="420"/>
      <c r="AG33" s="420"/>
      <c r="AH33" s="500" t="e">
        <f t="shared" si="6"/>
        <v>#N/A</v>
      </c>
      <c r="AI33" s="649"/>
      <c r="AJ33" s="500"/>
      <c r="AK33" s="420"/>
      <c r="AL33" s="420"/>
      <c r="AM33" s="500" t="e">
        <f t="shared" si="7"/>
        <v>#N/A</v>
      </c>
      <c r="AN33" s="649"/>
      <c r="AO33" s="500"/>
      <c r="AP33" s="420"/>
      <c r="AQ33" s="420"/>
      <c r="AR33" s="500" t="e">
        <f t="shared" si="8"/>
        <v>#N/A</v>
      </c>
      <c r="AS33" s="649"/>
      <c r="AT33" s="500"/>
      <c r="AU33" s="420"/>
      <c r="AV33" s="420"/>
      <c r="AW33" s="500" t="e">
        <f t="shared" si="9"/>
        <v>#N/A</v>
      </c>
      <c r="AX33" s="649"/>
      <c r="AZ33" s="402" t="e">
        <f t="shared" si="10"/>
        <v>#N/A</v>
      </c>
      <c r="BA33" s="649"/>
    </row>
    <row r="34" spans="2:53">
      <c r="B34" s="635"/>
      <c r="C34" s="413">
        <v>28</v>
      </c>
      <c r="D34" s="225"/>
      <c r="E34" s="420"/>
      <c r="F34" s="500"/>
      <c r="G34" s="501"/>
      <c r="H34" s="678"/>
      <c r="I34" s="417" t="str">
        <f t="shared" si="0"/>
        <v>-</v>
      </c>
      <c r="J34" s="417" t="str">
        <f t="shared" si="1"/>
        <v>-</v>
      </c>
      <c r="K34" s="199" t="str">
        <f t="shared" si="2"/>
        <v>-</v>
      </c>
      <c r="L34" s="609"/>
      <c r="M34" s="419" t="e">
        <f>RANK(K34, K$7:$K$36)</f>
        <v>#VALUE!</v>
      </c>
      <c r="N34" s="627"/>
      <c r="O34" s="627"/>
      <c r="P34" s="500"/>
      <c r="Q34" s="420"/>
      <c r="R34" s="420"/>
      <c r="S34" s="500" t="e">
        <f t="shared" si="3"/>
        <v>#N/A</v>
      </c>
      <c r="T34" s="649"/>
      <c r="U34" s="500"/>
      <c r="V34" s="420"/>
      <c r="W34" s="420"/>
      <c r="X34" s="500" t="e">
        <f t="shared" si="4"/>
        <v>#N/A</v>
      </c>
      <c r="Y34" s="649"/>
      <c r="Z34" s="500"/>
      <c r="AA34" s="420"/>
      <c r="AB34" s="420"/>
      <c r="AC34" s="500" t="e">
        <f t="shared" si="5"/>
        <v>#N/A</v>
      </c>
      <c r="AD34" s="649"/>
      <c r="AE34" s="500"/>
      <c r="AF34" s="420"/>
      <c r="AG34" s="420"/>
      <c r="AH34" s="500" t="e">
        <f t="shared" si="6"/>
        <v>#N/A</v>
      </c>
      <c r="AI34" s="649"/>
      <c r="AJ34" s="500"/>
      <c r="AK34" s="420"/>
      <c r="AL34" s="420"/>
      <c r="AM34" s="500" t="e">
        <f t="shared" si="7"/>
        <v>#N/A</v>
      </c>
      <c r="AN34" s="649"/>
      <c r="AO34" s="500"/>
      <c r="AP34" s="420"/>
      <c r="AQ34" s="420"/>
      <c r="AR34" s="500" t="e">
        <f t="shared" si="8"/>
        <v>#N/A</v>
      </c>
      <c r="AS34" s="649"/>
      <c r="AT34" s="500"/>
      <c r="AU34" s="420"/>
      <c r="AV34" s="420"/>
      <c r="AW34" s="500" t="e">
        <f t="shared" si="9"/>
        <v>#N/A</v>
      </c>
      <c r="AX34" s="649"/>
      <c r="AZ34" s="402" t="e">
        <f t="shared" si="10"/>
        <v>#N/A</v>
      </c>
      <c r="BA34" s="649"/>
    </row>
    <row r="35" spans="2:53">
      <c r="B35" s="635"/>
      <c r="C35" s="413">
        <v>29</v>
      </c>
      <c r="D35" s="225"/>
      <c r="E35" s="420"/>
      <c r="F35" s="500"/>
      <c r="G35" s="501"/>
      <c r="H35" s="678"/>
      <c r="I35" s="417" t="str">
        <f t="shared" si="0"/>
        <v>-</v>
      </c>
      <c r="J35" s="417" t="str">
        <f t="shared" si="1"/>
        <v>-</v>
      </c>
      <c r="K35" s="199" t="str">
        <f t="shared" si="2"/>
        <v>-</v>
      </c>
      <c r="L35" s="609"/>
      <c r="M35" s="419" t="e">
        <f>RANK(K35, K$7:$K$36)</f>
        <v>#VALUE!</v>
      </c>
      <c r="N35" s="627"/>
      <c r="O35" s="627"/>
      <c r="P35" s="500"/>
      <c r="Q35" s="420"/>
      <c r="R35" s="420"/>
      <c r="S35" s="500" t="e">
        <f t="shared" si="3"/>
        <v>#N/A</v>
      </c>
      <c r="T35" s="649"/>
      <c r="U35" s="500"/>
      <c r="V35" s="420"/>
      <c r="W35" s="420"/>
      <c r="X35" s="500" t="e">
        <f t="shared" si="4"/>
        <v>#N/A</v>
      </c>
      <c r="Y35" s="649"/>
      <c r="Z35" s="500"/>
      <c r="AA35" s="420"/>
      <c r="AB35" s="420"/>
      <c r="AC35" s="500" t="e">
        <f t="shared" si="5"/>
        <v>#N/A</v>
      </c>
      <c r="AD35" s="649"/>
      <c r="AE35" s="500"/>
      <c r="AF35" s="420"/>
      <c r="AG35" s="420"/>
      <c r="AH35" s="500" t="e">
        <f t="shared" si="6"/>
        <v>#N/A</v>
      </c>
      <c r="AI35" s="649"/>
      <c r="AJ35" s="500"/>
      <c r="AK35" s="420"/>
      <c r="AL35" s="420"/>
      <c r="AM35" s="500" t="e">
        <f t="shared" si="7"/>
        <v>#N/A</v>
      </c>
      <c r="AN35" s="649"/>
      <c r="AO35" s="500"/>
      <c r="AP35" s="420"/>
      <c r="AQ35" s="420"/>
      <c r="AR35" s="500" t="e">
        <f t="shared" si="8"/>
        <v>#N/A</v>
      </c>
      <c r="AS35" s="649"/>
      <c r="AT35" s="500"/>
      <c r="AU35" s="420"/>
      <c r="AV35" s="420"/>
      <c r="AW35" s="500" t="e">
        <f t="shared" si="9"/>
        <v>#N/A</v>
      </c>
      <c r="AX35" s="649"/>
      <c r="AZ35" s="402" t="e">
        <f t="shared" si="10"/>
        <v>#N/A</v>
      </c>
      <c r="BA35" s="649"/>
    </row>
    <row r="36" spans="2:53">
      <c r="B36" s="635"/>
      <c r="C36" s="413">
        <v>30</v>
      </c>
      <c r="D36" s="225"/>
      <c r="E36" s="420"/>
      <c r="F36" s="500"/>
      <c r="G36" s="501"/>
      <c r="H36" s="679"/>
      <c r="I36" s="417" t="str">
        <f t="shared" si="0"/>
        <v>-</v>
      </c>
      <c r="J36" s="417" t="str">
        <f t="shared" si="1"/>
        <v>-</v>
      </c>
      <c r="K36" s="199" t="str">
        <f t="shared" si="2"/>
        <v>-</v>
      </c>
      <c r="L36" s="610"/>
      <c r="M36" s="419" t="e">
        <f>RANK(K36, K$7:$K$36)</f>
        <v>#VALUE!</v>
      </c>
      <c r="N36" s="627"/>
      <c r="O36" s="627"/>
      <c r="P36" s="500"/>
      <c r="Q36" s="420"/>
      <c r="R36" s="420"/>
      <c r="S36" s="500" t="e">
        <f t="shared" si="3"/>
        <v>#N/A</v>
      </c>
      <c r="T36" s="649"/>
      <c r="U36" s="500"/>
      <c r="V36" s="420"/>
      <c r="W36" s="420"/>
      <c r="X36" s="500" t="e">
        <f t="shared" si="4"/>
        <v>#N/A</v>
      </c>
      <c r="Y36" s="649"/>
      <c r="Z36" s="500"/>
      <c r="AA36" s="420"/>
      <c r="AB36" s="420"/>
      <c r="AC36" s="500" t="e">
        <f t="shared" si="5"/>
        <v>#N/A</v>
      </c>
      <c r="AD36" s="649"/>
      <c r="AE36" s="500"/>
      <c r="AF36" s="420"/>
      <c r="AG36" s="420"/>
      <c r="AH36" s="500" t="e">
        <f t="shared" si="6"/>
        <v>#N/A</v>
      </c>
      <c r="AI36" s="649"/>
      <c r="AJ36" s="500"/>
      <c r="AK36" s="420"/>
      <c r="AL36" s="420"/>
      <c r="AM36" s="500" t="e">
        <f t="shared" si="7"/>
        <v>#N/A</v>
      </c>
      <c r="AN36" s="649"/>
      <c r="AO36" s="500"/>
      <c r="AP36" s="420"/>
      <c r="AQ36" s="420"/>
      <c r="AR36" s="500" t="e">
        <f t="shared" si="8"/>
        <v>#N/A</v>
      </c>
      <c r="AS36" s="649"/>
      <c r="AT36" s="500"/>
      <c r="AU36" s="420"/>
      <c r="AV36" s="420"/>
      <c r="AW36" s="500" t="e">
        <f t="shared" si="9"/>
        <v>#N/A</v>
      </c>
      <c r="AX36" s="649"/>
      <c r="AZ36" s="402" t="e">
        <f t="shared" si="10"/>
        <v>#N/A</v>
      </c>
      <c r="BA36" s="649"/>
    </row>
    <row r="37" spans="2:53" ht="15.75">
      <c r="B37" s="653" t="s">
        <v>163</v>
      </c>
      <c r="C37" s="654"/>
      <c r="D37" s="654"/>
      <c r="E37" s="654"/>
      <c r="F37" s="654"/>
      <c r="G37" s="654"/>
      <c r="H37" s="654"/>
      <c r="I37" s="202"/>
      <c r="J37" s="202"/>
      <c r="K37" s="202"/>
      <c r="L37" s="202"/>
      <c r="M37" s="203"/>
      <c r="N37" s="628" t="s">
        <v>156</v>
      </c>
      <c r="O37" s="628" t="s">
        <v>105</v>
      </c>
      <c r="P37" s="634">
        <f>AT2+1</f>
        <v>46175</v>
      </c>
      <c r="Q37" s="635"/>
      <c r="R37" s="635"/>
      <c r="S37" s="635"/>
      <c r="T37" s="635"/>
      <c r="U37" s="634">
        <f>P37+1</f>
        <v>46176</v>
      </c>
      <c r="V37" s="635"/>
      <c r="W37" s="635"/>
      <c r="X37" s="635"/>
      <c r="Y37" s="635"/>
      <c r="Z37" s="634">
        <f>U37+1</f>
        <v>46177</v>
      </c>
      <c r="AA37" s="635"/>
      <c r="AB37" s="635"/>
      <c r="AC37" s="635"/>
      <c r="AD37" s="635"/>
      <c r="AE37" s="634">
        <f>Z37+1</f>
        <v>46178</v>
      </c>
      <c r="AF37" s="635"/>
      <c r="AG37" s="635"/>
      <c r="AH37" s="635"/>
      <c r="AI37" s="635"/>
      <c r="AJ37" s="634">
        <f>AE37+1</f>
        <v>46179</v>
      </c>
      <c r="AK37" s="635"/>
      <c r="AL37" s="635"/>
      <c r="AM37" s="635"/>
      <c r="AN37" s="635"/>
      <c r="AO37" s="634">
        <f>AJ37+1</f>
        <v>46180</v>
      </c>
      <c r="AP37" s="635"/>
      <c r="AQ37" s="635"/>
      <c r="AR37" s="635"/>
      <c r="AS37" s="635"/>
      <c r="AT37" s="634">
        <f>AO37+1</f>
        <v>46181</v>
      </c>
      <c r="AU37" s="635"/>
      <c r="AV37" s="635"/>
      <c r="AW37" s="635"/>
      <c r="AX37" s="635"/>
    </row>
    <row r="38" spans="2:53" ht="15.75">
      <c r="B38" s="642"/>
      <c r="C38" s="642"/>
      <c r="D38" s="642"/>
      <c r="E38" s="642"/>
      <c r="F38" s="642"/>
      <c r="G38" s="642"/>
      <c r="H38" s="642"/>
      <c r="I38" s="204"/>
      <c r="J38" s="204"/>
      <c r="K38" s="204"/>
      <c r="L38" s="204"/>
      <c r="M38" s="205"/>
      <c r="N38" s="630"/>
      <c r="O38" s="630"/>
      <c r="P38" s="634" t="s">
        <v>318</v>
      </c>
      <c r="Q38" s="635"/>
      <c r="R38" s="635"/>
      <c r="S38" s="635"/>
      <c r="T38" s="635"/>
      <c r="U38" s="634" t="s">
        <v>319</v>
      </c>
      <c r="V38" s="635"/>
      <c r="W38" s="635"/>
      <c r="X38" s="635"/>
      <c r="Y38" s="635"/>
      <c r="Z38" s="634" t="s">
        <v>320</v>
      </c>
      <c r="AA38" s="635"/>
      <c r="AB38" s="635"/>
      <c r="AC38" s="635"/>
      <c r="AD38" s="635"/>
      <c r="AE38" s="634" t="s">
        <v>321</v>
      </c>
      <c r="AF38" s="635"/>
      <c r="AG38" s="635"/>
      <c r="AH38" s="635"/>
      <c r="AI38" s="635"/>
      <c r="AJ38" s="634" t="s">
        <v>322</v>
      </c>
      <c r="AK38" s="635"/>
      <c r="AL38" s="635"/>
      <c r="AM38" s="635"/>
      <c r="AN38" s="635"/>
      <c r="AO38" s="634" t="s">
        <v>323</v>
      </c>
      <c r="AP38" s="635"/>
      <c r="AQ38" s="635"/>
      <c r="AR38" s="635"/>
      <c r="AS38" s="635"/>
      <c r="AT38" s="634" t="s">
        <v>324</v>
      </c>
      <c r="AU38" s="635"/>
      <c r="AV38" s="635"/>
      <c r="AW38" s="635"/>
      <c r="AX38" s="635"/>
    </row>
    <row r="39" spans="2:53">
      <c r="B39" s="627" t="s">
        <v>417</v>
      </c>
      <c r="C39" s="627" t="s">
        <v>418</v>
      </c>
      <c r="D39" s="627"/>
      <c r="E39" s="627" t="s">
        <v>419</v>
      </c>
      <c r="F39" s="627"/>
      <c r="G39" s="627"/>
      <c r="H39" s="643" t="s">
        <v>420</v>
      </c>
      <c r="I39" s="611" t="s">
        <v>421</v>
      </c>
      <c r="J39" s="611"/>
      <c r="K39" s="611"/>
      <c r="L39" s="612" t="s">
        <v>420</v>
      </c>
      <c r="M39" s="618" t="s">
        <v>422</v>
      </c>
      <c r="N39" s="627"/>
      <c r="O39" s="627" t="s">
        <v>423</v>
      </c>
      <c r="P39" s="624" t="s">
        <v>424</v>
      </c>
      <c r="Q39" s="625"/>
      <c r="R39" s="625"/>
      <c r="S39" s="626"/>
      <c r="T39" s="627" t="s">
        <v>420</v>
      </c>
      <c r="U39" s="624" t="s">
        <v>424</v>
      </c>
      <c r="V39" s="625"/>
      <c r="W39" s="625"/>
      <c r="X39" s="626"/>
      <c r="Y39" s="627" t="s">
        <v>420</v>
      </c>
      <c r="Z39" s="624" t="s">
        <v>424</v>
      </c>
      <c r="AA39" s="625"/>
      <c r="AB39" s="625"/>
      <c r="AC39" s="626"/>
      <c r="AD39" s="627" t="s">
        <v>420</v>
      </c>
      <c r="AE39" s="624" t="s">
        <v>424</v>
      </c>
      <c r="AF39" s="625"/>
      <c r="AG39" s="625"/>
      <c r="AH39" s="626"/>
      <c r="AI39" s="627" t="s">
        <v>420</v>
      </c>
      <c r="AJ39" s="624" t="s">
        <v>424</v>
      </c>
      <c r="AK39" s="625"/>
      <c r="AL39" s="625"/>
      <c r="AM39" s="626"/>
      <c r="AN39" s="627" t="s">
        <v>420</v>
      </c>
      <c r="AO39" s="624" t="s">
        <v>424</v>
      </c>
      <c r="AP39" s="625"/>
      <c r="AQ39" s="625"/>
      <c r="AR39" s="626"/>
      <c r="AS39" s="627" t="s">
        <v>420</v>
      </c>
      <c r="AT39" s="624" t="s">
        <v>424</v>
      </c>
      <c r="AU39" s="625"/>
      <c r="AV39" s="625"/>
      <c r="AW39" s="626"/>
      <c r="AX39" s="627" t="s">
        <v>420</v>
      </c>
      <c r="BA39" s="627" t="s">
        <v>371</v>
      </c>
    </row>
    <row r="40" spans="2:53">
      <c r="B40" s="627"/>
      <c r="C40" s="627"/>
      <c r="D40" s="627"/>
      <c r="E40" s="627" t="s">
        <v>425</v>
      </c>
      <c r="F40" s="627"/>
      <c r="G40" s="627"/>
      <c r="H40" s="644"/>
      <c r="I40" s="611" t="s">
        <v>425</v>
      </c>
      <c r="J40" s="611"/>
      <c r="K40" s="611"/>
      <c r="L40" s="613"/>
      <c r="M40" s="619"/>
      <c r="N40" s="627"/>
      <c r="O40" s="627"/>
      <c r="P40" s="624" t="s">
        <v>426</v>
      </c>
      <c r="Q40" s="625"/>
      <c r="R40" s="625"/>
      <c r="S40" s="626"/>
      <c r="T40" s="627"/>
      <c r="U40" s="624" t="s">
        <v>426</v>
      </c>
      <c r="V40" s="625"/>
      <c r="W40" s="625"/>
      <c r="X40" s="626"/>
      <c r="Y40" s="627"/>
      <c r="Z40" s="624" t="s">
        <v>426</v>
      </c>
      <c r="AA40" s="625"/>
      <c r="AB40" s="625"/>
      <c r="AC40" s="626"/>
      <c r="AD40" s="627"/>
      <c r="AE40" s="624" t="s">
        <v>426</v>
      </c>
      <c r="AF40" s="625"/>
      <c r="AG40" s="625"/>
      <c r="AH40" s="626"/>
      <c r="AI40" s="627"/>
      <c r="AJ40" s="624" t="s">
        <v>426</v>
      </c>
      <c r="AK40" s="625"/>
      <c r="AL40" s="625"/>
      <c r="AM40" s="626"/>
      <c r="AN40" s="627"/>
      <c r="AO40" s="624" t="s">
        <v>426</v>
      </c>
      <c r="AP40" s="625"/>
      <c r="AQ40" s="625"/>
      <c r="AR40" s="626"/>
      <c r="AS40" s="627"/>
      <c r="AT40" s="624" t="s">
        <v>426</v>
      </c>
      <c r="AU40" s="625"/>
      <c r="AV40" s="625"/>
      <c r="AW40" s="626"/>
      <c r="AX40" s="627"/>
      <c r="BA40" s="627"/>
    </row>
    <row r="41" spans="2:53">
      <c r="B41" s="627"/>
      <c r="C41" s="627"/>
      <c r="D41" s="627"/>
      <c r="E41" s="291" t="s">
        <v>427</v>
      </c>
      <c r="F41" s="291" t="s">
        <v>428</v>
      </c>
      <c r="G41" s="291" t="s">
        <v>429</v>
      </c>
      <c r="H41" s="645"/>
      <c r="I41" s="290" t="s">
        <v>427</v>
      </c>
      <c r="J41" s="290" t="s">
        <v>428</v>
      </c>
      <c r="K41" s="290" t="s">
        <v>429</v>
      </c>
      <c r="L41" s="614"/>
      <c r="M41" s="620"/>
      <c r="N41" s="627"/>
      <c r="O41" s="627"/>
      <c r="P41" s="291" t="s">
        <v>427</v>
      </c>
      <c r="Q41" s="291" t="s">
        <v>428</v>
      </c>
      <c r="R41" s="291" t="s">
        <v>429</v>
      </c>
      <c r="S41" s="291" t="s">
        <v>422</v>
      </c>
      <c r="T41" s="627"/>
      <c r="U41" s="291" t="s">
        <v>427</v>
      </c>
      <c r="V41" s="291" t="s">
        <v>428</v>
      </c>
      <c r="W41" s="291" t="s">
        <v>429</v>
      </c>
      <c r="X41" s="291" t="s">
        <v>422</v>
      </c>
      <c r="Y41" s="627"/>
      <c r="Z41" s="291" t="s">
        <v>427</v>
      </c>
      <c r="AA41" s="291" t="s">
        <v>428</v>
      </c>
      <c r="AB41" s="291" t="s">
        <v>429</v>
      </c>
      <c r="AC41" s="291" t="s">
        <v>422</v>
      </c>
      <c r="AD41" s="627"/>
      <c r="AE41" s="291" t="s">
        <v>427</v>
      </c>
      <c r="AF41" s="291" t="s">
        <v>428</v>
      </c>
      <c r="AG41" s="291" t="s">
        <v>429</v>
      </c>
      <c r="AH41" s="291" t="s">
        <v>422</v>
      </c>
      <c r="AI41" s="627"/>
      <c r="AJ41" s="291" t="s">
        <v>427</v>
      </c>
      <c r="AK41" s="291" t="s">
        <v>428</v>
      </c>
      <c r="AL41" s="291" t="s">
        <v>429</v>
      </c>
      <c r="AM41" s="291" t="s">
        <v>422</v>
      </c>
      <c r="AN41" s="627"/>
      <c r="AO41" s="291" t="s">
        <v>427</v>
      </c>
      <c r="AP41" s="291" t="s">
        <v>428</v>
      </c>
      <c r="AQ41" s="291" t="s">
        <v>429</v>
      </c>
      <c r="AR41" s="291" t="s">
        <v>422</v>
      </c>
      <c r="AS41" s="627"/>
      <c r="AT41" s="291" t="s">
        <v>427</v>
      </c>
      <c r="AU41" s="291" t="s">
        <v>428</v>
      </c>
      <c r="AV41" s="291" t="s">
        <v>429</v>
      </c>
      <c r="AW41" s="291" t="s">
        <v>422</v>
      </c>
      <c r="AX41" s="627"/>
      <c r="AZ41" s="401" t="s">
        <v>372</v>
      </c>
      <c r="BA41" s="627"/>
    </row>
    <row r="42" spans="2:53">
      <c r="B42" s="627" t="s">
        <v>430</v>
      </c>
      <c r="C42" s="292">
        <v>1</v>
      </c>
      <c r="D42" s="225" t="s">
        <v>344</v>
      </c>
      <c r="E42" s="181">
        <v>6</v>
      </c>
      <c r="F42" s="387">
        <v>1500</v>
      </c>
      <c r="G42" s="388">
        <v>250</v>
      </c>
      <c r="H42" s="677">
        <f>AVERAGE(G42:G71)</f>
        <v>98.830151492328426</v>
      </c>
      <c r="I42" s="395">
        <f>IFERROR(AVERAGE(P42,U42,Z42,AE42,AJ42,AO42,AT42),"-")</f>
        <v>6</v>
      </c>
      <c r="J42" s="395">
        <f>IFERROR(AVERAGE(Q42,V42,AA42,AF42,AK42,AP42,AU42),"-")</f>
        <v>1424.4741996885007</v>
      </c>
      <c r="K42" s="199">
        <f>IFERROR(AVERAGE(R42,W42,AB42,AG42,AL42,AQ42,AV42),"-")</f>
        <v>237.41236661475014</v>
      </c>
      <c r="L42" s="608">
        <f>IFERROR(AVERAGE(K42:K71),"-")</f>
        <v>89.04297848666188</v>
      </c>
      <c r="M42" s="200">
        <f>RANK(K42, K$42:$K$71)</f>
        <v>2</v>
      </c>
      <c r="N42" s="627"/>
      <c r="O42" s="627"/>
      <c r="P42" s="550">
        <v>6</v>
      </c>
      <c r="Q42" s="420">
        <v>1411.8852272727274</v>
      </c>
      <c r="R42" s="420">
        <v>235.31420454545457</v>
      </c>
      <c r="S42" s="550">
        <f t="shared" ref="S42:S71" si="11">RANK(R42, R$42:R$71)</f>
        <v>2</v>
      </c>
      <c r="T42" s="649">
        <f>AVERAGE(R42:R71)</f>
        <v>89.50681853421662</v>
      </c>
      <c r="U42" s="420">
        <v>6</v>
      </c>
      <c r="V42" s="420">
        <v>1445.1710982658965</v>
      </c>
      <c r="W42" s="420">
        <v>240.86184971098274</v>
      </c>
      <c r="X42" s="550">
        <f t="shared" ref="X42:X71" si="12">RANK(W42, W$42:W$71)</f>
        <v>2</v>
      </c>
      <c r="Y42" s="649">
        <f>AVERAGE(W42:W71)</f>
        <v>88.295541425674855</v>
      </c>
      <c r="Z42" s="550">
        <v>6</v>
      </c>
      <c r="AA42" s="420">
        <v>1412.3793103448281</v>
      </c>
      <c r="AB42" s="420">
        <v>235.39655172413802</v>
      </c>
      <c r="AC42" s="550">
        <f t="shared" ref="AC42:AC71" si="13">RANK(AB42, AB$42:AB$71)</f>
        <v>2</v>
      </c>
      <c r="AD42" s="649">
        <f>AVERAGE(AB42:AB71)</f>
        <v>88.918474602120796</v>
      </c>
      <c r="AE42" s="550">
        <v>6</v>
      </c>
      <c r="AF42" s="420">
        <v>1440.0595041322308</v>
      </c>
      <c r="AG42" s="420">
        <v>240.00991735537181</v>
      </c>
      <c r="AH42" s="550">
        <f t="shared" ref="AH42:AH71" si="14">RANK(AG42, AG$42:AG$71)</f>
        <v>2</v>
      </c>
      <c r="AI42" s="649">
        <f>AVERAGE(AG42:AG71)</f>
        <v>88.84128552427994</v>
      </c>
      <c r="AJ42" s="550">
        <v>6</v>
      </c>
      <c r="AK42" s="420">
        <v>1408.3119402985074</v>
      </c>
      <c r="AL42" s="420">
        <v>234.71865671641788</v>
      </c>
      <c r="AM42" s="550">
        <f t="shared" ref="AM42:AM71" si="15">RANK(AL42, AL$42:AL$71)</f>
        <v>2</v>
      </c>
      <c r="AN42" s="649">
        <f>AVERAGE(AL42:AL71)</f>
        <v>88.50726485415872</v>
      </c>
      <c r="AO42" s="550">
        <v>6</v>
      </c>
      <c r="AP42" s="420">
        <v>1418.7388235294122</v>
      </c>
      <c r="AQ42" s="420">
        <v>236.45647058823536</v>
      </c>
      <c r="AR42" s="550">
        <f t="shared" ref="AR42:AR71" si="16">RANK(AQ42, AQ$42:AQ$71)</f>
        <v>2</v>
      </c>
      <c r="AS42" s="649">
        <f>AVERAGE(AQ42:AQ71)</f>
        <v>89.389614201610129</v>
      </c>
      <c r="AT42" s="550">
        <v>6</v>
      </c>
      <c r="AU42" s="420">
        <v>1434.7734939759034</v>
      </c>
      <c r="AV42" s="420">
        <v>239.12891566265057</v>
      </c>
      <c r="AW42" s="550">
        <f t="shared" ref="AW42:AW71" si="17">RANK(AV42, AV$42:AV$71)</f>
        <v>2</v>
      </c>
      <c r="AX42" s="649">
        <f>AVERAGE(AV42:AV71)</f>
        <v>89.841850264572017</v>
      </c>
      <c r="AZ42" s="402" t="e">
        <f t="shared" ref="AZ42:AZ71" si="18">RANK(AY42, AY$42:AY$71)</f>
        <v>#N/A</v>
      </c>
      <c r="BA42" s="649" t="e">
        <f>AVERAGE(AY42:AY71)</f>
        <v>#DIV/0!</v>
      </c>
    </row>
    <row r="43" spans="2:53">
      <c r="B43" s="635"/>
      <c r="C43" s="292">
        <v>2</v>
      </c>
      <c r="D43" s="225" t="s">
        <v>624</v>
      </c>
      <c r="E43" s="181">
        <v>6</v>
      </c>
      <c r="F43" s="387">
        <v>1500</v>
      </c>
      <c r="G43" s="388">
        <v>250</v>
      </c>
      <c r="H43" s="678"/>
      <c r="I43" s="395">
        <f t="shared" ref="I43:I71" si="19">IFERROR(AVERAGE(P43,U43,Z43,AE43,AJ43,AO43,AT43),"-")</f>
        <v>6</v>
      </c>
      <c r="J43" s="395">
        <f t="shared" ref="J43:J71" si="20">IFERROR(AVERAGE(Q43,V43,AA43,AF43,AK43,AP43,AU43),"-")</f>
        <v>1451.7513158155439</v>
      </c>
      <c r="K43" s="199">
        <f t="shared" ref="K43:K71" si="21">IFERROR(AVERAGE(R43,W43,AB43,AG43,AL43,AQ43,AV43),"-")</f>
        <v>241.95855263592401</v>
      </c>
      <c r="L43" s="609"/>
      <c r="M43" s="200">
        <f>RANK(K43, K$42:$K$71)</f>
        <v>1</v>
      </c>
      <c r="N43" s="627"/>
      <c r="O43" s="627"/>
      <c r="P43" s="550">
        <v>6</v>
      </c>
      <c r="Q43" s="420">
        <v>1447.7922077922083</v>
      </c>
      <c r="R43" s="420">
        <v>241.29870129870139</v>
      </c>
      <c r="S43" s="550">
        <f t="shared" si="11"/>
        <v>1</v>
      </c>
      <c r="T43" s="649"/>
      <c r="U43" s="420">
        <v>6</v>
      </c>
      <c r="V43" s="420">
        <v>1452.8000000000004</v>
      </c>
      <c r="W43" s="420">
        <v>242.13333333333341</v>
      </c>
      <c r="X43" s="550">
        <f t="shared" si="12"/>
        <v>1</v>
      </c>
      <c r="Y43" s="649"/>
      <c r="Z43" s="550">
        <v>6</v>
      </c>
      <c r="AA43" s="420">
        <v>1434.246575342466</v>
      </c>
      <c r="AB43" s="420">
        <v>239.04109589041101</v>
      </c>
      <c r="AC43" s="550">
        <f t="shared" si="13"/>
        <v>1</v>
      </c>
      <c r="AD43" s="649"/>
      <c r="AE43" s="550">
        <v>6</v>
      </c>
      <c r="AF43" s="420">
        <v>1442.0689655172405</v>
      </c>
      <c r="AG43" s="420">
        <v>240.34482758620675</v>
      </c>
      <c r="AH43" s="550">
        <f t="shared" si="14"/>
        <v>1</v>
      </c>
      <c r="AI43" s="649"/>
      <c r="AJ43" s="550">
        <v>6</v>
      </c>
      <c r="AK43" s="420">
        <v>1470.4918032786879</v>
      </c>
      <c r="AL43" s="420">
        <v>245.08196721311467</v>
      </c>
      <c r="AM43" s="550">
        <f t="shared" si="15"/>
        <v>1</v>
      </c>
      <c r="AN43" s="649"/>
      <c r="AO43" s="550">
        <v>6</v>
      </c>
      <c r="AP43" s="420">
        <v>1457.3913043478262</v>
      </c>
      <c r="AQ43" s="420">
        <v>242.89855072463772</v>
      </c>
      <c r="AR43" s="550">
        <f t="shared" si="16"/>
        <v>1</v>
      </c>
      <c r="AS43" s="649"/>
      <c r="AT43" s="550">
        <v>6</v>
      </c>
      <c r="AU43" s="420">
        <v>1457.4683544303789</v>
      </c>
      <c r="AV43" s="420">
        <v>242.91139240506314</v>
      </c>
      <c r="AW43" s="550">
        <f t="shared" si="17"/>
        <v>1</v>
      </c>
      <c r="AX43" s="649"/>
      <c r="AZ43" s="402" t="e">
        <f t="shared" si="18"/>
        <v>#N/A</v>
      </c>
      <c r="BA43" s="649"/>
    </row>
    <row r="44" spans="2:53">
      <c r="B44" s="635"/>
      <c r="C44" s="292">
        <v>3</v>
      </c>
      <c r="D44" s="225" t="s">
        <v>609</v>
      </c>
      <c r="E44" s="181">
        <v>18</v>
      </c>
      <c r="F44" s="387">
        <v>1500</v>
      </c>
      <c r="G44" s="388">
        <v>83.333333333333329</v>
      </c>
      <c r="H44" s="678"/>
      <c r="I44" s="395">
        <f t="shared" si="19"/>
        <v>18</v>
      </c>
      <c r="J44" s="395">
        <f t="shared" si="20"/>
        <v>1267.5784016155194</v>
      </c>
      <c r="K44" s="199">
        <f t="shared" si="21"/>
        <v>70.421022311973303</v>
      </c>
      <c r="L44" s="609"/>
      <c r="M44" s="200">
        <f>RANK(K44, K$42:$K$71)</f>
        <v>17</v>
      </c>
      <c r="N44" s="627"/>
      <c r="O44" s="627"/>
      <c r="P44" s="550">
        <v>18</v>
      </c>
      <c r="Q44" s="420">
        <v>1263.4285714285725</v>
      </c>
      <c r="R44" s="420">
        <v>70.190476190476247</v>
      </c>
      <c r="S44" s="550">
        <f t="shared" si="11"/>
        <v>16</v>
      </c>
      <c r="T44" s="649"/>
      <c r="U44" s="420">
        <v>18</v>
      </c>
      <c r="V44" s="420">
        <v>1248.0000000000009</v>
      </c>
      <c r="W44" s="420">
        <v>69.333333333333385</v>
      </c>
      <c r="X44" s="550">
        <f t="shared" si="12"/>
        <v>16</v>
      </c>
      <c r="Y44" s="649"/>
      <c r="Z44" s="550">
        <v>18</v>
      </c>
      <c r="AA44" s="420">
        <v>1278.2608695652175</v>
      </c>
      <c r="AB44" s="420">
        <v>71.014492753623188</v>
      </c>
      <c r="AC44" s="550">
        <f t="shared" si="13"/>
        <v>17</v>
      </c>
      <c r="AD44" s="649"/>
      <c r="AE44" s="550">
        <v>18</v>
      </c>
      <c r="AF44" s="420">
        <v>1271.0869565217392</v>
      </c>
      <c r="AG44" s="420">
        <v>70.615942028985515</v>
      </c>
      <c r="AH44" s="550">
        <f t="shared" si="14"/>
        <v>17</v>
      </c>
      <c r="AI44" s="649"/>
      <c r="AJ44" s="550">
        <v>18</v>
      </c>
      <c r="AK44" s="420">
        <v>1283.5000000000011</v>
      </c>
      <c r="AL44" s="420">
        <v>71.305555555555614</v>
      </c>
      <c r="AM44" s="550">
        <f t="shared" si="15"/>
        <v>17</v>
      </c>
      <c r="AN44" s="649"/>
      <c r="AO44" s="550">
        <v>18</v>
      </c>
      <c r="AP44" s="420">
        <v>1259.1724137931044</v>
      </c>
      <c r="AQ44" s="420">
        <v>69.954022988505798</v>
      </c>
      <c r="AR44" s="550">
        <f t="shared" si="16"/>
        <v>17</v>
      </c>
      <c r="AS44" s="649"/>
      <c r="AT44" s="550">
        <v>18</v>
      </c>
      <c r="AU44" s="420">
        <v>1269.6000000000013</v>
      </c>
      <c r="AV44" s="420">
        <v>70.533333333333402</v>
      </c>
      <c r="AW44" s="550">
        <f t="shared" si="17"/>
        <v>17</v>
      </c>
      <c r="AX44" s="649"/>
      <c r="AZ44" s="402" t="e">
        <f t="shared" si="18"/>
        <v>#N/A</v>
      </c>
      <c r="BA44" s="649"/>
    </row>
    <row r="45" spans="2:53">
      <c r="B45" s="635"/>
      <c r="C45" s="292">
        <v>4</v>
      </c>
      <c r="D45" s="225" t="s">
        <v>573</v>
      </c>
      <c r="E45" s="181">
        <v>18</v>
      </c>
      <c r="F45" s="387">
        <v>1500</v>
      </c>
      <c r="G45" s="388">
        <v>83.333333333333329</v>
      </c>
      <c r="H45" s="678"/>
      <c r="I45" s="395">
        <f t="shared" si="19"/>
        <v>18</v>
      </c>
      <c r="J45" s="395">
        <f t="shared" si="20"/>
        <v>1300.230616229145</v>
      </c>
      <c r="K45" s="199">
        <f t="shared" si="21"/>
        <v>72.235034234952494</v>
      </c>
      <c r="L45" s="609"/>
      <c r="M45" s="200">
        <f>RANK(K45, K$42:$K$71)</f>
        <v>15</v>
      </c>
      <c r="N45" s="627"/>
      <c r="O45" s="627"/>
      <c r="P45" s="550">
        <v>18</v>
      </c>
      <c r="Q45" s="420">
        <v>1310.4545454545455</v>
      </c>
      <c r="R45" s="420">
        <v>72.803030303030312</v>
      </c>
      <c r="S45" s="550">
        <f t="shared" si="11"/>
        <v>15</v>
      </c>
      <c r="T45" s="649"/>
      <c r="U45" s="420">
        <v>18</v>
      </c>
      <c r="V45" s="420">
        <v>1298.9999999999995</v>
      </c>
      <c r="W45" s="420">
        <v>72.166666666666643</v>
      </c>
      <c r="X45" s="550">
        <f t="shared" si="12"/>
        <v>15</v>
      </c>
      <c r="Y45" s="649"/>
      <c r="Z45" s="550">
        <v>18</v>
      </c>
      <c r="AA45" s="420">
        <v>1312.4999999999995</v>
      </c>
      <c r="AB45" s="420">
        <v>72.916666666666643</v>
      </c>
      <c r="AC45" s="550">
        <f t="shared" si="13"/>
        <v>15</v>
      </c>
      <c r="AD45" s="649"/>
      <c r="AE45" s="550">
        <v>18</v>
      </c>
      <c r="AF45" s="420">
        <v>1272.6315789473674</v>
      </c>
      <c r="AG45" s="420">
        <v>70.701754385964861</v>
      </c>
      <c r="AH45" s="550">
        <f t="shared" si="14"/>
        <v>16</v>
      </c>
      <c r="AI45" s="649"/>
      <c r="AJ45" s="550">
        <v>18</v>
      </c>
      <c r="AK45" s="420">
        <v>1284.2857142857138</v>
      </c>
      <c r="AL45" s="420">
        <v>71.349206349206327</v>
      </c>
      <c r="AM45" s="550">
        <f t="shared" si="15"/>
        <v>16</v>
      </c>
      <c r="AN45" s="649"/>
      <c r="AO45" s="550">
        <v>18</v>
      </c>
      <c r="AP45" s="420">
        <v>1300.4347826086957</v>
      </c>
      <c r="AQ45" s="420">
        <v>72.246376811594203</v>
      </c>
      <c r="AR45" s="550">
        <f t="shared" si="16"/>
        <v>15</v>
      </c>
      <c r="AS45" s="649"/>
      <c r="AT45" s="550">
        <v>18</v>
      </c>
      <c r="AU45" s="420">
        <v>1322.3076923076931</v>
      </c>
      <c r="AV45" s="420">
        <v>73.46153846153851</v>
      </c>
      <c r="AW45" s="550">
        <f t="shared" si="17"/>
        <v>15</v>
      </c>
      <c r="AX45" s="649"/>
      <c r="AZ45" s="402" t="e">
        <f t="shared" si="18"/>
        <v>#N/A</v>
      </c>
      <c r="BA45" s="649"/>
    </row>
    <row r="46" spans="2:53">
      <c r="B46" s="635"/>
      <c r="C46" s="292">
        <v>5</v>
      </c>
      <c r="D46" s="225" t="s">
        <v>346</v>
      </c>
      <c r="E46" s="181">
        <v>16</v>
      </c>
      <c r="F46" s="387">
        <v>1565</v>
      </c>
      <c r="G46" s="388">
        <v>97.8125</v>
      </c>
      <c r="H46" s="678"/>
      <c r="I46" s="395">
        <f t="shared" si="19"/>
        <v>16</v>
      </c>
      <c r="J46" s="395">
        <f t="shared" si="20"/>
        <v>1386.196182647092</v>
      </c>
      <c r="K46" s="199">
        <f t="shared" si="21"/>
        <v>86.637261415443248</v>
      </c>
      <c r="L46" s="609"/>
      <c r="M46" s="200">
        <f>RANK(K46, K$42:$K$71)</f>
        <v>4</v>
      </c>
      <c r="N46" s="627"/>
      <c r="O46" s="627"/>
      <c r="P46" s="550">
        <v>16</v>
      </c>
      <c r="Q46" s="420">
        <v>1368.9473684210516</v>
      </c>
      <c r="R46" s="420">
        <v>85.559210526315724</v>
      </c>
      <c r="S46" s="550">
        <f t="shared" si="11"/>
        <v>5</v>
      </c>
      <c r="T46" s="649"/>
      <c r="U46" s="420">
        <v>16</v>
      </c>
      <c r="V46" s="420">
        <v>1341.4925373134345</v>
      </c>
      <c r="W46" s="420">
        <v>83.843283582089654</v>
      </c>
      <c r="X46" s="550">
        <f t="shared" si="12"/>
        <v>5</v>
      </c>
      <c r="Y46" s="649"/>
      <c r="Z46" s="550">
        <v>16</v>
      </c>
      <c r="AA46" s="420">
        <v>1406.4406779661028</v>
      </c>
      <c r="AB46" s="420">
        <v>87.902542372881427</v>
      </c>
      <c r="AC46" s="550">
        <f t="shared" si="13"/>
        <v>4</v>
      </c>
      <c r="AD46" s="649"/>
      <c r="AE46" s="550">
        <v>16</v>
      </c>
      <c r="AF46" s="420">
        <v>1391.3793103448286</v>
      </c>
      <c r="AG46" s="420">
        <v>86.961206896551786</v>
      </c>
      <c r="AH46" s="550">
        <f t="shared" si="14"/>
        <v>4</v>
      </c>
      <c r="AI46" s="649"/>
      <c r="AJ46" s="550">
        <v>16</v>
      </c>
      <c r="AK46" s="420">
        <v>1406.9565217391289</v>
      </c>
      <c r="AL46" s="420">
        <v>87.934782608695556</v>
      </c>
      <c r="AM46" s="550">
        <f t="shared" si="15"/>
        <v>4</v>
      </c>
      <c r="AN46" s="649"/>
      <c r="AO46" s="550">
        <v>16</v>
      </c>
      <c r="AP46" s="420">
        <v>1393.3333333333328</v>
      </c>
      <c r="AQ46" s="420">
        <v>87.0833333333333</v>
      </c>
      <c r="AR46" s="550">
        <f t="shared" si="16"/>
        <v>5</v>
      </c>
      <c r="AS46" s="649"/>
      <c r="AT46" s="550">
        <v>16</v>
      </c>
      <c r="AU46" s="420">
        <v>1394.8235294117644</v>
      </c>
      <c r="AV46" s="420">
        <v>87.176470588235276</v>
      </c>
      <c r="AW46" s="550">
        <f t="shared" si="17"/>
        <v>5</v>
      </c>
      <c r="AX46" s="649"/>
      <c r="AZ46" s="402" t="e">
        <f t="shared" si="18"/>
        <v>#N/A</v>
      </c>
      <c r="BA46" s="649"/>
    </row>
    <row r="47" spans="2:53">
      <c r="B47" s="635"/>
      <c r="C47" s="292">
        <v>6</v>
      </c>
      <c r="D47" s="225" t="s">
        <v>574</v>
      </c>
      <c r="E47" s="181">
        <v>21</v>
      </c>
      <c r="F47" s="387">
        <v>1500</v>
      </c>
      <c r="G47" s="388">
        <v>71.428571428571431</v>
      </c>
      <c r="H47" s="678"/>
      <c r="I47" s="395">
        <f t="shared" si="19"/>
        <v>21</v>
      </c>
      <c r="J47" s="395">
        <f t="shared" si="20"/>
        <v>1274.8214652744475</v>
      </c>
      <c r="K47" s="199">
        <f t="shared" si="21"/>
        <v>60.705784060687975</v>
      </c>
      <c r="L47" s="609"/>
      <c r="M47" s="200">
        <f>RANK(K47, K$42:$K$71)</f>
        <v>22</v>
      </c>
      <c r="N47" s="627"/>
      <c r="O47" s="627"/>
      <c r="P47" s="550">
        <v>21</v>
      </c>
      <c r="Q47" s="420">
        <v>1253.1818181818182</v>
      </c>
      <c r="R47" s="420">
        <v>59.675324675324681</v>
      </c>
      <c r="S47" s="550">
        <f t="shared" si="11"/>
        <v>22</v>
      </c>
      <c r="T47" s="649"/>
      <c r="U47" s="420">
        <v>21</v>
      </c>
      <c r="V47" s="420">
        <v>1258.3783783783774</v>
      </c>
      <c r="W47" s="420">
        <v>59.922779922779874</v>
      </c>
      <c r="X47" s="550">
        <f t="shared" si="12"/>
        <v>22</v>
      </c>
      <c r="Y47" s="649"/>
      <c r="Z47" s="550">
        <v>21</v>
      </c>
      <c r="AA47" s="420">
        <v>1276.6666666666656</v>
      </c>
      <c r="AB47" s="420">
        <v>60.793650793650741</v>
      </c>
      <c r="AC47" s="550">
        <f t="shared" si="13"/>
        <v>21</v>
      </c>
      <c r="AD47" s="649"/>
      <c r="AE47" s="550">
        <v>21</v>
      </c>
      <c r="AF47" s="420">
        <v>1296.3636363636347</v>
      </c>
      <c r="AG47" s="420">
        <v>61.73160173160165</v>
      </c>
      <c r="AH47" s="550">
        <f t="shared" si="14"/>
        <v>21</v>
      </c>
      <c r="AI47" s="649"/>
      <c r="AJ47" s="550">
        <v>21</v>
      </c>
      <c r="AK47" s="420">
        <v>1280.9999999999995</v>
      </c>
      <c r="AL47" s="420">
        <v>60.999999999999979</v>
      </c>
      <c r="AM47" s="550">
        <f t="shared" si="15"/>
        <v>21</v>
      </c>
      <c r="AN47" s="649"/>
      <c r="AO47" s="550">
        <v>21</v>
      </c>
      <c r="AP47" s="420">
        <v>1285.1162790697672</v>
      </c>
      <c r="AQ47" s="420">
        <v>61.196013289036536</v>
      </c>
      <c r="AR47" s="550">
        <f t="shared" si="16"/>
        <v>21</v>
      </c>
      <c r="AS47" s="649"/>
      <c r="AT47" s="550">
        <v>21</v>
      </c>
      <c r="AU47" s="420">
        <v>1273.0434782608695</v>
      </c>
      <c r="AV47" s="420">
        <v>60.621118012422357</v>
      </c>
      <c r="AW47" s="550">
        <f t="shared" si="17"/>
        <v>22</v>
      </c>
      <c r="AX47" s="649"/>
      <c r="AZ47" s="402" t="e">
        <f t="shared" si="18"/>
        <v>#N/A</v>
      </c>
      <c r="BA47" s="649"/>
    </row>
    <row r="48" spans="2:53">
      <c r="B48" s="635"/>
      <c r="C48" s="292">
        <v>7</v>
      </c>
      <c r="D48" s="225" t="s">
        <v>645</v>
      </c>
      <c r="E48" s="181">
        <v>20</v>
      </c>
      <c r="F48" s="387">
        <v>1300</v>
      </c>
      <c r="G48" s="388">
        <v>65</v>
      </c>
      <c r="H48" s="678"/>
      <c r="I48" s="395">
        <f t="shared" si="19"/>
        <v>20</v>
      </c>
      <c r="J48" s="395">
        <f t="shared" si="20"/>
        <v>1075.343649008785</v>
      </c>
      <c r="K48" s="199">
        <f t="shared" si="21"/>
        <v>53.767182450439243</v>
      </c>
      <c r="L48" s="609"/>
      <c r="M48" s="200">
        <f>RANK(K48, K$42:$K$71)</f>
        <v>23</v>
      </c>
      <c r="N48" s="627"/>
      <c r="O48" s="627"/>
      <c r="P48" s="550">
        <v>20</v>
      </c>
      <c r="Q48" s="420">
        <v>1089.5238095238105</v>
      </c>
      <c r="R48" s="420">
        <v>54.476190476190524</v>
      </c>
      <c r="S48" s="550">
        <f t="shared" si="11"/>
        <v>23</v>
      </c>
      <c r="T48" s="649"/>
      <c r="U48" s="420">
        <v>20</v>
      </c>
      <c r="V48" s="420">
        <v>1082.0338983050856</v>
      </c>
      <c r="W48" s="420">
        <v>54.101694915254278</v>
      </c>
      <c r="X48" s="550">
        <f t="shared" si="12"/>
        <v>23</v>
      </c>
      <c r="Y48" s="649"/>
      <c r="Z48" s="550">
        <v>20</v>
      </c>
      <c r="AA48" s="420">
        <v>1090.1886792452835</v>
      </c>
      <c r="AB48" s="420">
        <v>54.509433962264175</v>
      </c>
      <c r="AC48" s="550">
        <f t="shared" si="13"/>
        <v>23</v>
      </c>
      <c r="AD48" s="649"/>
      <c r="AE48" s="550">
        <v>20</v>
      </c>
      <c r="AF48" s="420">
        <v>1074.5454545454545</v>
      </c>
      <c r="AG48" s="420">
        <v>53.727272727272727</v>
      </c>
      <c r="AH48" s="550">
        <f t="shared" si="14"/>
        <v>23</v>
      </c>
      <c r="AI48" s="649"/>
      <c r="AJ48" s="550">
        <v>20</v>
      </c>
      <c r="AK48" s="420">
        <v>1050.5263157894747</v>
      </c>
      <c r="AL48" s="420">
        <v>52.526315789473735</v>
      </c>
      <c r="AM48" s="550">
        <f t="shared" si="15"/>
        <v>23</v>
      </c>
      <c r="AN48" s="649"/>
      <c r="AO48" s="550">
        <v>20</v>
      </c>
      <c r="AP48" s="420">
        <v>1083.8709677419365</v>
      </c>
      <c r="AQ48" s="420">
        <v>54.193548387096826</v>
      </c>
      <c r="AR48" s="550">
        <f t="shared" si="16"/>
        <v>23</v>
      </c>
      <c r="AS48" s="649"/>
      <c r="AT48" s="550">
        <v>20</v>
      </c>
      <c r="AU48" s="420">
        <v>1056.7164179104491</v>
      </c>
      <c r="AV48" s="420">
        <v>52.835820895522453</v>
      </c>
      <c r="AW48" s="550">
        <f t="shared" si="17"/>
        <v>23</v>
      </c>
      <c r="AX48" s="649"/>
      <c r="AZ48" s="402" t="e">
        <f t="shared" si="18"/>
        <v>#N/A</v>
      </c>
      <c r="BA48" s="649"/>
    </row>
    <row r="49" spans="2:53">
      <c r="B49" s="635"/>
      <c r="C49" s="292">
        <v>8</v>
      </c>
      <c r="D49" s="225" t="s">
        <v>713</v>
      </c>
      <c r="E49" s="181">
        <v>16</v>
      </c>
      <c r="F49" s="387">
        <v>1500</v>
      </c>
      <c r="G49" s="388">
        <v>93.75</v>
      </c>
      <c r="H49" s="678"/>
      <c r="I49" s="395">
        <f t="shared" si="19"/>
        <v>16</v>
      </c>
      <c r="J49" s="395">
        <f t="shared" si="20"/>
        <v>1330.2353295308262</v>
      </c>
      <c r="K49" s="199">
        <f t="shared" si="21"/>
        <v>83.139708095676639</v>
      </c>
      <c r="L49" s="609"/>
      <c r="M49" s="200">
        <f>RANK(K49, K$42:$K$71)</f>
        <v>7</v>
      </c>
      <c r="N49" s="627"/>
      <c r="O49" s="627"/>
      <c r="P49" s="550">
        <v>16</v>
      </c>
      <c r="Q49" s="420">
        <v>1316.0526315789464</v>
      </c>
      <c r="R49" s="420">
        <v>82.253289473684148</v>
      </c>
      <c r="S49" s="550">
        <f t="shared" si="11"/>
        <v>8</v>
      </c>
      <c r="T49" s="649"/>
      <c r="U49" s="420">
        <v>16</v>
      </c>
      <c r="V49" s="420">
        <v>1286.3636363636379</v>
      </c>
      <c r="W49" s="420">
        <v>80.397727272727366</v>
      </c>
      <c r="X49" s="550">
        <f t="shared" si="12"/>
        <v>8</v>
      </c>
      <c r="Y49" s="649"/>
      <c r="Z49" s="550">
        <v>16</v>
      </c>
      <c r="AA49" s="420">
        <v>1330.8196721311488</v>
      </c>
      <c r="AB49" s="420">
        <v>83.176229508196798</v>
      </c>
      <c r="AC49" s="550">
        <f t="shared" si="13"/>
        <v>7</v>
      </c>
      <c r="AD49" s="649"/>
      <c r="AE49" s="550">
        <v>16</v>
      </c>
      <c r="AF49" s="420">
        <v>1346.1818181818192</v>
      </c>
      <c r="AG49" s="420">
        <v>84.136363636363697</v>
      </c>
      <c r="AH49" s="550">
        <f t="shared" si="14"/>
        <v>6</v>
      </c>
      <c r="AI49" s="649"/>
      <c r="AJ49" s="550">
        <v>16</v>
      </c>
      <c r="AK49" s="420">
        <v>1347.7611940298525</v>
      </c>
      <c r="AL49" s="420">
        <v>84.235074626865782</v>
      </c>
      <c r="AM49" s="550">
        <f t="shared" si="15"/>
        <v>6</v>
      </c>
      <c r="AN49" s="649"/>
      <c r="AO49" s="550">
        <v>16</v>
      </c>
      <c r="AP49" s="420">
        <v>1337.4683544303791</v>
      </c>
      <c r="AQ49" s="420">
        <v>83.591772151898695</v>
      </c>
      <c r="AR49" s="550">
        <f t="shared" si="16"/>
        <v>7</v>
      </c>
      <c r="AS49" s="649"/>
      <c r="AT49" s="550">
        <v>16</v>
      </c>
      <c r="AU49" s="420">
        <v>1346.9999999999995</v>
      </c>
      <c r="AV49" s="420">
        <v>84.187499999999972</v>
      </c>
      <c r="AW49" s="550">
        <f t="shared" si="17"/>
        <v>7</v>
      </c>
      <c r="AX49" s="649"/>
      <c r="AZ49" s="402" t="e">
        <f t="shared" si="18"/>
        <v>#N/A</v>
      </c>
      <c r="BA49" s="649"/>
    </row>
    <row r="50" spans="2:53">
      <c r="B50" s="635"/>
      <c r="C50" s="292">
        <v>9</v>
      </c>
      <c r="D50" s="225" t="s">
        <v>600</v>
      </c>
      <c r="E50" s="181">
        <v>16</v>
      </c>
      <c r="F50" s="387">
        <v>1440</v>
      </c>
      <c r="G50" s="388">
        <v>90</v>
      </c>
      <c r="H50" s="678"/>
      <c r="I50" s="395">
        <f t="shared" si="19"/>
        <v>16</v>
      </c>
      <c r="J50" s="395">
        <f t="shared" si="20"/>
        <v>1311.2444746979259</v>
      </c>
      <c r="K50" s="199">
        <f t="shared" si="21"/>
        <v>81.952779668620366</v>
      </c>
      <c r="L50" s="609"/>
      <c r="M50" s="200">
        <f>RANK(K50, K$42:$K$71)</f>
        <v>9</v>
      </c>
      <c r="N50" s="627"/>
      <c r="O50" s="627"/>
      <c r="P50" s="550">
        <v>16</v>
      </c>
      <c r="Q50" s="420">
        <v>1338.2608695652175</v>
      </c>
      <c r="R50" s="420">
        <v>83.641304347826093</v>
      </c>
      <c r="S50" s="550">
        <f t="shared" si="11"/>
        <v>7</v>
      </c>
      <c r="T50" s="649"/>
      <c r="U50" s="420">
        <v>16</v>
      </c>
      <c r="V50" s="420">
        <v>1321.4999999999995</v>
      </c>
      <c r="W50" s="420">
        <v>82.593749999999972</v>
      </c>
      <c r="X50" s="550">
        <f t="shared" si="12"/>
        <v>7</v>
      </c>
      <c r="Y50" s="649"/>
      <c r="Z50" s="550">
        <v>16</v>
      </c>
      <c r="AA50" s="420">
        <v>1299.9999999999991</v>
      </c>
      <c r="AB50" s="420">
        <v>81.249999999999943</v>
      </c>
      <c r="AC50" s="550">
        <f t="shared" si="13"/>
        <v>10</v>
      </c>
      <c r="AD50" s="649"/>
      <c r="AE50" s="550">
        <v>16</v>
      </c>
      <c r="AF50" s="420">
        <v>1322.8571428571424</v>
      </c>
      <c r="AG50" s="420">
        <v>82.678571428571402</v>
      </c>
      <c r="AH50" s="550">
        <f t="shared" si="14"/>
        <v>8</v>
      </c>
      <c r="AI50" s="649"/>
      <c r="AJ50" s="550">
        <v>16</v>
      </c>
      <c r="AK50" s="420">
        <v>1300.8000000000004</v>
      </c>
      <c r="AL50" s="420">
        <v>81.300000000000026</v>
      </c>
      <c r="AM50" s="550">
        <f t="shared" si="15"/>
        <v>8</v>
      </c>
      <c r="AN50" s="649"/>
      <c r="AO50" s="550">
        <v>16</v>
      </c>
      <c r="AP50" s="420">
        <v>1304.7272727272737</v>
      </c>
      <c r="AQ50" s="420">
        <v>81.545454545454604</v>
      </c>
      <c r="AR50" s="550">
        <f t="shared" si="16"/>
        <v>9</v>
      </c>
      <c r="AS50" s="649"/>
      <c r="AT50" s="550">
        <v>16</v>
      </c>
      <c r="AU50" s="420">
        <v>1290.5660377358497</v>
      </c>
      <c r="AV50" s="420">
        <v>80.660377358490607</v>
      </c>
      <c r="AW50" s="550">
        <f t="shared" si="17"/>
        <v>9</v>
      </c>
      <c r="AX50" s="649"/>
      <c r="AZ50" s="402" t="e">
        <f t="shared" si="18"/>
        <v>#N/A</v>
      </c>
      <c r="BA50" s="649"/>
    </row>
    <row r="51" spans="2:53">
      <c r="B51" s="635"/>
      <c r="C51" s="292">
        <v>10</v>
      </c>
      <c r="D51" s="225" t="s">
        <v>601</v>
      </c>
      <c r="E51" s="181">
        <v>18</v>
      </c>
      <c r="F51" s="387">
        <v>1636</v>
      </c>
      <c r="G51" s="388">
        <v>90.888888888888886</v>
      </c>
      <c r="H51" s="678"/>
      <c r="I51" s="395">
        <f t="shared" si="19"/>
        <v>18</v>
      </c>
      <c r="J51" s="395">
        <f t="shared" si="20"/>
        <v>1380.7806057870384</v>
      </c>
      <c r="K51" s="199">
        <f t="shared" si="21"/>
        <v>76.710033654835456</v>
      </c>
      <c r="L51" s="609"/>
      <c r="M51" s="200">
        <f>RANK(K51, K$42:$K$71)</f>
        <v>13</v>
      </c>
      <c r="N51" s="627"/>
      <c r="O51" s="627"/>
      <c r="P51" s="550">
        <v>18</v>
      </c>
      <c r="Q51" s="420">
        <v>1420.3448275862079</v>
      </c>
      <c r="R51" s="420">
        <v>78.908045977011554</v>
      </c>
      <c r="S51" s="550">
        <f t="shared" si="11"/>
        <v>11</v>
      </c>
      <c r="T51" s="649"/>
      <c r="U51" s="420">
        <v>18</v>
      </c>
      <c r="V51" s="420">
        <v>1388.8888888888896</v>
      </c>
      <c r="W51" s="420">
        <v>77.160493827160536</v>
      </c>
      <c r="X51" s="550">
        <f t="shared" si="12"/>
        <v>12</v>
      </c>
      <c r="Y51" s="649"/>
      <c r="Z51" s="550">
        <v>18</v>
      </c>
      <c r="AA51" s="420">
        <v>1343.5294117647065</v>
      </c>
      <c r="AB51" s="420">
        <v>74.640522875817027</v>
      </c>
      <c r="AC51" s="550">
        <f t="shared" si="13"/>
        <v>13</v>
      </c>
      <c r="AD51" s="649"/>
      <c r="AE51" s="550">
        <v>18</v>
      </c>
      <c r="AF51" s="420">
        <v>1353.8181818181827</v>
      </c>
      <c r="AG51" s="420">
        <v>75.212121212121261</v>
      </c>
      <c r="AH51" s="550">
        <f t="shared" si="14"/>
        <v>13</v>
      </c>
      <c r="AI51" s="649"/>
      <c r="AJ51" s="550">
        <v>18</v>
      </c>
      <c r="AK51" s="420">
        <v>1348.0645161290336</v>
      </c>
      <c r="AL51" s="420">
        <v>74.892473118279639</v>
      </c>
      <c r="AM51" s="550">
        <f t="shared" si="15"/>
        <v>13</v>
      </c>
      <c r="AN51" s="649"/>
      <c r="AO51" s="550">
        <v>18</v>
      </c>
      <c r="AP51" s="420">
        <v>1404.3478260869551</v>
      </c>
      <c r="AQ51" s="420">
        <v>78.019323671497503</v>
      </c>
      <c r="AR51" s="550">
        <f t="shared" si="16"/>
        <v>11</v>
      </c>
      <c r="AS51" s="649"/>
      <c r="AT51" s="550">
        <v>18</v>
      </c>
      <c r="AU51" s="420">
        <v>1406.4705882352923</v>
      </c>
      <c r="AV51" s="420">
        <v>78.137254901960688</v>
      </c>
      <c r="AW51" s="550">
        <f t="shared" si="17"/>
        <v>12</v>
      </c>
      <c r="AX51" s="649"/>
      <c r="AZ51" s="402" t="e">
        <f t="shared" si="18"/>
        <v>#N/A</v>
      </c>
      <c r="BA51" s="649"/>
    </row>
    <row r="52" spans="2:53">
      <c r="B52" s="635"/>
      <c r="C52" s="292">
        <v>11</v>
      </c>
      <c r="D52" s="225" t="s">
        <v>602</v>
      </c>
      <c r="E52" s="181">
        <v>18</v>
      </c>
      <c r="F52" s="387">
        <v>1636</v>
      </c>
      <c r="G52" s="388">
        <v>90.888888888888886</v>
      </c>
      <c r="H52" s="678"/>
      <c r="I52" s="395">
        <f t="shared" si="19"/>
        <v>18</v>
      </c>
      <c r="J52" s="395">
        <f t="shared" si="20"/>
        <v>1354.7738015863322</v>
      </c>
      <c r="K52" s="199">
        <f t="shared" si="21"/>
        <v>75.265211199240682</v>
      </c>
      <c r="L52" s="609"/>
      <c r="M52" s="200">
        <f>RANK(K52, K$42:$K$71)</f>
        <v>14</v>
      </c>
      <c r="N52" s="627"/>
      <c r="O52" s="627"/>
      <c r="P52" s="550">
        <v>18</v>
      </c>
      <c r="Q52" s="420">
        <v>1396.8000000000004</v>
      </c>
      <c r="R52" s="420">
        <v>77.600000000000023</v>
      </c>
      <c r="S52" s="550">
        <f t="shared" si="11"/>
        <v>13</v>
      </c>
      <c r="T52" s="649"/>
      <c r="U52" s="420">
        <v>18</v>
      </c>
      <c r="V52" s="420">
        <v>1313.617021276596</v>
      </c>
      <c r="W52" s="420">
        <v>72.978723404255334</v>
      </c>
      <c r="X52" s="550">
        <f t="shared" si="12"/>
        <v>14</v>
      </c>
      <c r="Y52" s="649"/>
      <c r="Z52" s="550">
        <v>18</v>
      </c>
      <c r="AA52" s="420">
        <v>1333.4999999999995</v>
      </c>
      <c r="AB52" s="420">
        <v>74.083333333333314</v>
      </c>
      <c r="AC52" s="550">
        <f t="shared" si="13"/>
        <v>14</v>
      </c>
      <c r="AD52" s="649"/>
      <c r="AE52" s="550">
        <v>18</v>
      </c>
      <c r="AF52" s="420">
        <v>1344.7826086956522</v>
      </c>
      <c r="AG52" s="420">
        <v>74.710144927536234</v>
      </c>
      <c r="AH52" s="550">
        <f t="shared" si="14"/>
        <v>14</v>
      </c>
      <c r="AI52" s="649"/>
      <c r="AJ52" s="550">
        <v>18</v>
      </c>
      <c r="AK52" s="420">
        <v>1332.0000000000005</v>
      </c>
      <c r="AL52" s="420">
        <v>74.000000000000028</v>
      </c>
      <c r="AM52" s="550">
        <f t="shared" si="15"/>
        <v>14</v>
      </c>
      <c r="AN52" s="649"/>
      <c r="AO52" s="550">
        <v>18</v>
      </c>
      <c r="AP52" s="420">
        <v>1368.0000000000009</v>
      </c>
      <c r="AQ52" s="420">
        <v>76.000000000000057</v>
      </c>
      <c r="AR52" s="550">
        <f t="shared" si="16"/>
        <v>13</v>
      </c>
      <c r="AS52" s="649"/>
      <c r="AT52" s="550">
        <v>18</v>
      </c>
      <c r="AU52" s="420">
        <v>1394.7169811320762</v>
      </c>
      <c r="AV52" s="420">
        <v>77.484276729559781</v>
      </c>
      <c r="AW52" s="550">
        <f t="shared" si="17"/>
        <v>13</v>
      </c>
      <c r="AX52" s="649"/>
      <c r="AZ52" s="402" t="e">
        <f t="shared" si="18"/>
        <v>#N/A</v>
      </c>
      <c r="BA52" s="649"/>
    </row>
    <row r="53" spans="2:53">
      <c r="B53" s="635"/>
      <c r="C53" s="292">
        <v>12</v>
      </c>
      <c r="D53" s="225" t="s">
        <v>334</v>
      </c>
      <c r="E53" s="181">
        <v>17</v>
      </c>
      <c r="F53" s="387">
        <v>1500</v>
      </c>
      <c r="G53" s="388">
        <v>88.235294117647058</v>
      </c>
      <c r="H53" s="678"/>
      <c r="I53" s="395">
        <f t="shared" si="19"/>
        <v>17</v>
      </c>
      <c r="J53" s="395">
        <f t="shared" si="20"/>
        <v>1396.5923137146535</v>
      </c>
      <c r="K53" s="199">
        <f t="shared" si="21"/>
        <v>82.152489042038468</v>
      </c>
      <c r="L53" s="609"/>
      <c r="M53" s="200">
        <f>RANK(K53, K$42:$K$71)</f>
        <v>8</v>
      </c>
      <c r="N53" s="627"/>
      <c r="O53" s="627"/>
      <c r="P53" s="550">
        <v>17</v>
      </c>
      <c r="Q53" s="420">
        <v>1371.8181818181818</v>
      </c>
      <c r="R53" s="420">
        <v>80.695187165775394</v>
      </c>
      <c r="S53" s="550">
        <f t="shared" si="11"/>
        <v>10</v>
      </c>
      <c r="T53" s="649"/>
      <c r="U53" s="420">
        <v>17</v>
      </c>
      <c r="V53" s="420">
        <v>1336.2162162162151</v>
      </c>
      <c r="W53" s="420">
        <v>78.600953895071484</v>
      </c>
      <c r="X53" s="550">
        <f t="shared" si="12"/>
        <v>10</v>
      </c>
      <c r="Y53" s="649"/>
      <c r="Z53" s="550">
        <v>17</v>
      </c>
      <c r="AA53" s="420">
        <v>1406.2499999999982</v>
      </c>
      <c r="AB53" s="420">
        <v>82.720588235294016</v>
      </c>
      <c r="AC53" s="550">
        <f t="shared" si="13"/>
        <v>8</v>
      </c>
      <c r="AD53" s="649"/>
      <c r="AE53" s="550">
        <v>17</v>
      </c>
      <c r="AF53" s="420">
        <v>1423.7837837837828</v>
      </c>
      <c r="AG53" s="420">
        <v>83.751987281398996</v>
      </c>
      <c r="AH53" s="550">
        <f t="shared" si="14"/>
        <v>7</v>
      </c>
      <c r="AI53" s="649"/>
      <c r="AJ53" s="550">
        <v>17</v>
      </c>
      <c r="AK53" s="420">
        <v>1397.3333333333333</v>
      </c>
      <c r="AL53" s="420">
        <v>82.196078431372541</v>
      </c>
      <c r="AM53" s="550">
        <f t="shared" si="15"/>
        <v>7</v>
      </c>
      <c r="AN53" s="649"/>
      <c r="AO53" s="550">
        <v>17</v>
      </c>
      <c r="AP53" s="420">
        <v>1415.744680851064</v>
      </c>
      <c r="AQ53" s="420">
        <v>83.279098873592005</v>
      </c>
      <c r="AR53" s="550">
        <f t="shared" si="16"/>
        <v>8</v>
      </c>
      <c r="AS53" s="649"/>
      <c r="AT53" s="550">
        <v>17</v>
      </c>
      <c r="AU53" s="420">
        <v>1425</v>
      </c>
      <c r="AV53" s="420">
        <v>83.82352941176471</v>
      </c>
      <c r="AW53" s="550">
        <f t="shared" si="17"/>
        <v>8</v>
      </c>
      <c r="AX53" s="649"/>
      <c r="AZ53" s="402" t="e">
        <f t="shared" si="18"/>
        <v>#N/A</v>
      </c>
      <c r="BA53" s="649"/>
    </row>
    <row r="54" spans="2:53">
      <c r="B54" s="635"/>
      <c r="C54" s="292">
        <v>13</v>
      </c>
      <c r="D54" s="225" t="s">
        <v>527</v>
      </c>
      <c r="E54" s="181">
        <v>20</v>
      </c>
      <c r="F54" s="387">
        <v>1440</v>
      </c>
      <c r="G54" s="388">
        <v>72</v>
      </c>
      <c r="H54" s="678"/>
      <c r="I54" s="395">
        <f t="shared" si="19"/>
        <v>20</v>
      </c>
      <c r="J54" s="395">
        <f t="shared" si="20"/>
        <v>1337.5275434753196</v>
      </c>
      <c r="K54" s="199">
        <f t="shared" si="21"/>
        <v>66.876377173765974</v>
      </c>
      <c r="L54" s="609"/>
      <c r="M54" s="200">
        <f>RANK(K54, K$42:$K$71)</f>
        <v>19</v>
      </c>
      <c r="N54" s="627"/>
      <c r="O54" s="627"/>
      <c r="P54" s="550">
        <v>20</v>
      </c>
      <c r="Q54" s="420">
        <v>1328.5714285714273</v>
      </c>
      <c r="R54" s="420">
        <v>66.42857142857136</v>
      </c>
      <c r="S54" s="550">
        <f t="shared" si="11"/>
        <v>19</v>
      </c>
      <c r="T54" s="649"/>
      <c r="U54" s="420">
        <v>20</v>
      </c>
      <c r="V54" s="420">
        <v>1261.8750000000016</v>
      </c>
      <c r="W54" s="420">
        <v>63.093750000000078</v>
      </c>
      <c r="X54" s="550">
        <f t="shared" si="12"/>
        <v>20</v>
      </c>
      <c r="Y54" s="649"/>
      <c r="Z54" s="550">
        <v>20</v>
      </c>
      <c r="AA54" s="420">
        <v>1350.0000000000005</v>
      </c>
      <c r="AB54" s="420">
        <v>67.500000000000028</v>
      </c>
      <c r="AC54" s="550">
        <f t="shared" si="13"/>
        <v>18</v>
      </c>
      <c r="AD54" s="649"/>
      <c r="AE54" s="550">
        <v>20</v>
      </c>
      <c r="AF54" s="420">
        <v>1351.698113207548</v>
      </c>
      <c r="AG54" s="420">
        <v>67.584905660377402</v>
      </c>
      <c r="AH54" s="550">
        <f t="shared" si="14"/>
        <v>18</v>
      </c>
      <c r="AI54" s="649"/>
      <c r="AJ54" s="550">
        <v>20</v>
      </c>
      <c r="AK54" s="420">
        <v>1350.8571428571415</v>
      </c>
      <c r="AL54" s="420">
        <v>67.542857142857073</v>
      </c>
      <c r="AM54" s="550">
        <f t="shared" si="15"/>
        <v>18</v>
      </c>
      <c r="AN54" s="649"/>
      <c r="AO54" s="550">
        <v>20</v>
      </c>
      <c r="AP54" s="420">
        <v>1365.4054054054045</v>
      </c>
      <c r="AQ54" s="420">
        <v>68.270270270270231</v>
      </c>
      <c r="AR54" s="550">
        <f t="shared" si="16"/>
        <v>18</v>
      </c>
      <c r="AS54" s="649"/>
      <c r="AT54" s="550">
        <v>20</v>
      </c>
      <c r="AU54" s="420">
        <v>1354.2857142857135</v>
      </c>
      <c r="AV54" s="420">
        <v>67.71428571428568</v>
      </c>
      <c r="AW54" s="550">
        <f t="shared" si="17"/>
        <v>18</v>
      </c>
      <c r="AX54" s="649"/>
      <c r="AZ54" s="402" t="e">
        <f t="shared" si="18"/>
        <v>#N/A</v>
      </c>
      <c r="BA54" s="649"/>
    </row>
    <row r="55" spans="2:53">
      <c r="B55" s="635"/>
      <c r="C55" s="292">
        <v>14</v>
      </c>
      <c r="D55" s="225" t="s">
        <v>347</v>
      </c>
      <c r="E55" s="181">
        <v>14</v>
      </c>
      <c r="F55" s="387">
        <v>1440</v>
      </c>
      <c r="G55" s="388">
        <v>102.85714285714286</v>
      </c>
      <c r="H55" s="678"/>
      <c r="I55" s="395">
        <f t="shared" si="19"/>
        <v>14.714285714285714</v>
      </c>
      <c r="J55" s="395">
        <f t="shared" si="20"/>
        <v>1342.3087280195098</v>
      </c>
      <c r="K55" s="199">
        <f t="shared" si="21"/>
        <v>91.278530783382536</v>
      </c>
      <c r="L55" s="609"/>
      <c r="M55" s="200">
        <f>RANK(K55, K$42:$K$71)</f>
        <v>3</v>
      </c>
      <c r="N55" s="627"/>
      <c r="O55" s="627"/>
      <c r="P55" s="550">
        <v>14</v>
      </c>
      <c r="Q55" s="420">
        <v>1333.5849056603781</v>
      </c>
      <c r="R55" s="420">
        <v>95.256064690027003</v>
      </c>
      <c r="S55" s="550">
        <f t="shared" si="11"/>
        <v>3</v>
      </c>
      <c r="T55" s="649"/>
      <c r="U55" s="420">
        <v>14</v>
      </c>
      <c r="V55" s="420">
        <v>1299.6000000000004</v>
      </c>
      <c r="W55" s="420">
        <v>92.82857142857145</v>
      </c>
      <c r="X55" s="550">
        <f t="shared" si="12"/>
        <v>3</v>
      </c>
      <c r="Y55" s="649"/>
      <c r="Z55" s="550">
        <v>15</v>
      </c>
      <c r="AA55" s="420">
        <v>1339.9999999999993</v>
      </c>
      <c r="AB55" s="420">
        <v>89.333333333333286</v>
      </c>
      <c r="AC55" s="550">
        <f t="shared" si="13"/>
        <v>3</v>
      </c>
      <c r="AD55" s="649"/>
      <c r="AE55" s="550">
        <v>15</v>
      </c>
      <c r="AF55" s="420">
        <v>1367.5000000000005</v>
      </c>
      <c r="AG55" s="420">
        <v>91.1666666666667</v>
      </c>
      <c r="AH55" s="550">
        <f t="shared" si="14"/>
        <v>3</v>
      </c>
      <c r="AI55" s="649"/>
      <c r="AJ55" s="550">
        <v>15</v>
      </c>
      <c r="AK55" s="420">
        <v>1353.3333333333342</v>
      </c>
      <c r="AL55" s="420">
        <v>90.222222222222271</v>
      </c>
      <c r="AM55" s="550">
        <f t="shared" si="15"/>
        <v>3</v>
      </c>
      <c r="AN55" s="649"/>
      <c r="AO55" s="550">
        <v>15</v>
      </c>
      <c r="AP55" s="420">
        <v>1350.0000000000007</v>
      </c>
      <c r="AQ55" s="420">
        <v>90.000000000000043</v>
      </c>
      <c r="AR55" s="550">
        <f t="shared" si="16"/>
        <v>3</v>
      </c>
      <c r="AS55" s="649"/>
      <c r="AT55" s="550">
        <v>15</v>
      </c>
      <c r="AU55" s="420">
        <v>1352.1428571428544</v>
      </c>
      <c r="AV55" s="420">
        <v>90.142857142856954</v>
      </c>
      <c r="AW55" s="550">
        <f t="shared" si="17"/>
        <v>3</v>
      </c>
      <c r="AX55" s="649"/>
      <c r="AZ55" s="402" t="e">
        <f t="shared" si="18"/>
        <v>#N/A</v>
      </c>
      <c r="BA55" s="649"/>
    </row>
    <row r="56" spans="2:53">
      <c r="B56" s="635"/>
      <c r="C56" s="292">
        <v>15</v>
      </c>
      <c r="D56" s="225" t="s">
        <v>328</v>
      </c>
      <c r="E56" s="181">
        <v>19</v>
      </c>
      <c r="F56" s="387">
        <v>1440</v>
      </c>
      <c r="G56" s="388">
        <v>75.78947368421052</v>
      </c>
      <c r="H56" s="678"/>
      <c r="I56" s="395">
        <f t="shared" si="19"/>
        <v>19</v>
      </c>
      <c r="J56" s="395">
        <f t="shared" si="20"/>
        <v>1338.3224959096683</v>
      </c>
      <c r="K56" s="199">
        <f t="shared" si="21"/>
        <v>70.43802610050885</v>
      </c>
      <c r="L56" s="609"/>
      <c r="M56" s="198">
        <f>RANK(K56, K$42:$K$71)</f>
        <v>16</v>
      </c>
      <c r="N56" s="627"/>
      <c r="O56" s="627"/>
      <c r="P56" s="550">
        <v>19</v>
      </c>
      <c r="Q56" s="420">
        <v>1327.22891566265</v>
      </c>
      <c r="R56" s="420">
        <v>69.854153455928952</v>
      </c>
      <c r="S56" s="550">
        <f t="shared" si="11"/>
        <v>17</v>
      </c>
      <c r="T56" s="649"/>
      <c r="U56" s="420">
        <v>19</v>
      </c>
      <c r="V56" s="420">
        <v>1259.1891891891883</v>
      </c>
      <c r="W56" s="420">
        <v>66.273115220483589</v>
      </c>
      <c r="X56" s="550">
        <f t="shared" si="12"/>
        <v>18</v>
      </c>
      <c r="Y56" s="649"/>
      <c r="Z56" s="550">
        <v>19</v>
      </c>
      <c r="AA56" s="420">
        <v>1350.0000000000014</v>
      </c>
      <c r="AB56" s="420">
        <v>71.052631578947441</v>
      </c>
      <c r="AC56" s="550">
        <f t="shared" si="13"/>
        <v>16</v>
      </c>
      <c r="AD56" s="649"/>
      <c r="AE56" s="550">
        <v>19</v>
      </c>
      <c r="AF56" s="420">
        <v>1347.692307692309</v>
      </c>
      <c r="AG56" s="420">
        <v>70.93117408906889</v>
      </c>
      <c r="AH56" s="550">
        <f t="shared" si="14"/>
        <v>15</v>
      </c>
      <c r="AI56" s="649"/>
      <c r="AJ56" s="550">
        <v>19</v>
      </c>
      <c r="AK56" s="420">
        <v>1360.4999999999995</v>
      </c>
      <c r="AL56" s="420">
        <v>71.605263157894711</v>
      </c>
      <c r="AM56" s="550">
        <f t="shared" si="15"/>
        <v>15</v>
      </c>
      <c r="AN56" s="649"/>
      <c r="AO56" s="550">
        <v>19</v>
      </c>
      <c r="AP56" s="420">
        <v>1361.6470588235293</v>
      </c>
      <c r="AQ56" s="420">
        <v>71.6656346749226</v>
      </c>
      <c r="AR56" s="550">
        <f t="shared" si="16"/>
        <v>16</v>
      </c>
      <c r="AS56" s="649"/>
      <c r="AT56" s="550">
        <v>19</v>
      </c>
      <c r="AU56" s="420">
        <v>1362</v>
      </c>
      <c r="AV56" s="420">
        <v>71.684210526315795</v>
      </c>
      <c r="AW56" s="550">
        <f t="shared" si="17"/>
        <v>16</v>
      </c>
      <c r="AX56" s="649"/>
      <c r="AZ56" s="402" t="e">
        <f t="shared" si="18"/>
        <v>#N/A</v>
      </c>
      <c r="BA56" s="649"/>
    </row>
    <row r="57" spans="2:53">
      <c r="B57" s="635"/>
      <c r="C57" s="292">
        <v>16</v>
      </c>
      <c r="D57" s="225" t="s">
        <v>345</v>
      </c>
      <c r="E57" s="181">
        <v>19</v>
      </c>
      <c r="F57" s="387">
        <v>1440</v>
      </c>
      <c r="G57" s="388">
        <v>75.78947368421052</v>
      </c>
      <c r="H57" s="678"/>
      <c r="I57" s="395">
        <f t="shared" si="19"/>
        <v>19</v>
      </c>
      <c r="J57" s="395">
        <f t="shared" si="20"/>
        <v>1279.1650710847805</v>
      </c>
      <c r="K57" s="199">
        <f t="shared" si="21"/>
        <v>67.324477425514758</v>
      </c>
      <c r="L57" s="609"/>
      <c r="M57" s="198">
        <f>RANK(K57, K$42:$K$71)</f>
        <v>18</v>
      </c>
      <c r="N57" s="627"/>
      <c r="O57" s="627"/>
      <c r="P57" s="550">
        <v>19</v>
      </c>
      <c r="Q57" s="420">
        <v>1325.4545454545469</v>
      </c>
      <c r="R57" s="420">
        <v>69.760765550239313</v>
      </c>
      <c r="S57" s="550">
        <f t="shared" si="11"/>
        <v>18</v>
      </c>
      <c r="T57" s="649"/>
      <c r="U57" s="420">
        <v>19</v>
      </c>
      <c r="V57" s="420">
        <v>1288.4745762711875</v>
      </c>
      <c r="W57" s="420">
        <v>67.814451382694074</v>
      </c>
      <c r="X57" s="550">
        <f t="shared" si="12"/>
        <v>17</v>
      </c>
      <c r="Y57" s="649"/>
      <c r="Z57" s="550">
        <v>19</v>
      </c>
      <c r="AA57" s="420">
        <v>1272.2448979591841</v>
      </c>
      <c r="AB57" s="420">
        <v>66.960257787325475</v>
      </c>
      <c r="AC57" s="550">
        <f t="shared" si="13"/>
        <v>19</v>
      </c>
      <c r="AD57" s="649"/>
      <c r="AE57" s="550">
        <v>19</v>
      </c>
      <c r="AF57" s="420">
        <v>1276.0000000000011</v>
      </c>
      <c r="AG57" s="420">
        <v>67.157894736842167</v>
      </c>
      <c r="AH57" s="550">
        <f t="shared" si="14"/>
        <v>19</v>
      </c>
      <c r="AI57" s="649"/>
      <c r="AJ57" s="550">
        <v>19</v>
      </c>
      <c r="AK57" s="420">
        <v>1241.4084507042242</v>
      </c>
      <c r="AL57" s="420">
        <v>65.337286879169696</v>
      </c>
      <c r="AM57" s="550">
        <f t="shared" si="15"/>
        <v>19</v>
      </c>
      <c r="AN57" s="649"/>
      <c r="AO57" s="550">
        <v>19</v>
      </c>
      <c r="AP57" s="420">
        <v>1284.6575342465744</v>
      </c>
      <c r="AQ57" s="420">
        <v>67.613554434030235</v>
      </c>
      <c r="AR57" s="550">
        <f t="shared" si="16"/>
        <v>19</v>
      </c>
      <c r="AS57" s="649"/>
      <c r="AT57" s="550">
        <v>19</v>
      </c>
      <c r="AU57" s="420">
        <v>1265.9154929577453</v>
      </c>
      <c r="AV57" s="420">
        <v>66.627131208302387</v>
      </c>
      <c r="AW57" s="550">
        <f t="shared" si="17"/>
        <v>20</v>
      </c>
      <c r="AX57" s="649"/>
      <c r="AZ57" s="402" t="e">
        <f t="shared" si="18"/>
        <v>#N/A</v>
      </c>
      <c r="BA57" s="649"/>
    </row>
    <row r="58" spans="2:53">
      <c r="B58" s="635"/>
      <c r="C58" s="292">
        <v>17</v>
      </c>
      <c r="D58" s="225" t="s">
        <v>613</v>
      </c>
      <c r="E58" s="181">
        <v>18</v>
      </c>
      <c r="F58" s="387">
        <v>1500</v>
      </c>
      <c r="G58" s="388">
        <v>83.333333333333329</v>
      </c>
      <c r="H58" s="678"/>
      <c r="I58" s="395">
        <f t="shared" si="19"/>
        <v>18</v>
      </c>
      <c r="J58" s="395">
        <f t="shared" si="20"/>
        <v>1380.9570848593198</v>
      </c>
      <c r="K58" s="199">
        <f t="shared" si="21"/>
        <v>76.719838047739955</v>
      </c>
      <c r="L58" s="609"/>
      <c r="M58" s="198">
        <f>RANK(K58, K$42:$K$71)</f>
        <v>12</v>
      </c>
      <c r="N58" s="627"/>
      <c r="O58" s="627"/>
      <c r="P58" s="550">
        <v>18</v>
      </c>
      <c r="Q58" s="420">
        <v>1387.7142857142844</v>
      </c>
      <c r="R58" s="420">
        <v>77.095238095238017</v>
      </c>
      <c r="S58" s="550">
        <f t="shared" si="11"/>
        <v>14</v>
      </c>
      <c r="T58" s="649"/>
      <c r="U58" s="420">
        <v>18</v>
      </c>
      <c r="V58" s="420">
        <v>1395.6923076923092</v>
      </c>
      <c r="W58" s="420">
        <v>77.538461538461618</v>
      </c>
      <c r="X58" s="550">
        <f t="shared" si="12"/>
        <v>11</v>
      </c>
      <c r="Y58" s="649"/>
      <c r="Z58" s="550">
        <v>18</v>
      </c>
      <c r="AA58" s="420">
        <v>1377.0967741935497</v>
      </c>
      <c r="AB58" s="420">
        <v>76.505376344086088</v>
      </c>
      <c r="AC58" s="550">
        <f t="shared" si="13"/>
        <v>12</v>
      </c>
      <c r="AD58" s="649"/>
      <c r="AE58" s="550">
        <v>18</v>
      </c>
      <c r="AF58" s="420">
        <v>1383.396226415095</v>
      </c>
      <c r="AG58" s="420">
        <v>76.855345911949726</v>
      </c>
      <c r="AH58" s="550">
        <f t="shared" si="14"/>
        <v>11</v>
      </c>
      <c r="AI58" s="649"/>
      <c r="AJ58" s="550">
        <v>18</v>
      </c>
      <c r="AK58" s="420">
        <v>1370.0000000000011</v>
      </c>
      <c r="AL58" s="420">
        <v>76.111111111111171</v>
      </c>
      <c r="AM58" s="550">
        <f t="shared" si="15"/>
        <v>11</v>
      </c>
      <c r="AN58" s="649"/>
      <c r="AO58" s="550">
        <v>18</v>
      </c>
      <c r="AP58" s="420">
        <v>1362.399999999999</v>
      </c>
      <c r="AQ58" s="420">
        <v>75.688888888888826</v>
      </c>
      <c r="AR58" s="550">
        <f t="shared" si="16"/>
        <v>14</v>
      </c>
      <c r="AS58" s="649"/>
      <c r="AT58" s="550">
        <v>18</v>
      </c>
      <c r="AU58" s="420">
        <v>1390.399999999999</v>
      </c>
      <c r="AV58" s="420">
        <v>77.244444444444383</v>
      </c>
      <c r="AW58" s="550">
        <f t="shared" si="17"/>
        <v>14</v>
      </c>
      <c r="AX58" s="649"/>
      <c r="AZ58" s="402" t="e">
        <f t="shared" si="18"/>
        <v>#N/A</v>
      </c>
      <c r="BA58" s="649"/>
    </row>
    <row r="59" spans="2:53">
      <c r="B59" s="635"/>
      <c r="C59" s="292">
        <v>18</v>
      </c>
      <c r="D59" s="225" t="s">
        <v>524</v>
      </c>
      <c r="E59" s="181">
        <v>17</v>
      </c>
      <c r="F59" s="387">
        <v>1440</v>
      </c>
      <c r="G59" s="388">
        <v>84.705882352941174</v>
      </c>
      <c r="H59" s="678"/>
      <c r="I59" s="395">
        <f t="shared" si="19"/>
        <v>17</v>
      </c>
      <c r="J59" s="395">
        <f t="shared" si="20"/>
        <v>1341.1044216244798</v>
      </c>
      <c r="K59" s="199">
        <f t="shared" si="21"/>
        <v>78.888495389675299</v>
      </c>
      <c r="L59" s="609"/>
      <c r="M59" s="198">
        <f>RANK(K59, K$42:$K$71)</f>
        <v>10</v>
      </c>
      <c r="N59" s="627"/>
      <c r="O59" s="627"/>
      <c r="P59" s="550">
        <v>17</v>
      </c>
      <c r="Q59" s="420">
        <v>1339.024390243902</v>
      </c>
      <c r="R59" s="420">
        <v>78.766140602582468</v>
      </c>
      <c r="S59" s="550">
        <f t="shared" si="11"/>
        <v>12</v>
      </c>
      <c r="T59" s="649"/>
      <c r="U59" s="420">
        <v>17</v>
      </c>
      <c r="V59" s="420">
        <v>1261.538461538461</v>
      </c>
      <c r="W59" s="420">
        <v>74.208144796380054</v>
      </c>
      <c r="X59" s="550">
        <f t="shared" si="12"/>
        <v>13</v>
      </c>
      <c r="Y59" s="649"/>
      <c r="Z59" s="550">
        <v>17</v>
      </c>
      <c r="AA59" s="420">
        <v>1360.588235294116</v>
      </c>
      <c r="AB59" s="420">
        <v>80.034602076124472</v>
      </c>
      <c r="AC59" s="550">
        <f t="shared" si="13"/>
        <v>11</v>
      </c>
      <c r="AD59" s="649"/>
      <c r="AE59" s="550">
        <v>17</v>
      </c>
      <c r="AF59" s="420">
        <v>1364.2105263157885</v>
      </c>
      <c r="AG59" s="420">
        <v>80.247678018575797</v>
      </c>
      <c r="AH59" s="550">
        <f t="shared" si="14"/>
        <v>9</v>
      </c>
      <c r="AI59" s="649"/>
      <c r="AJ59" s="550">
        <v>17</v>
      </c>
      <c r="AK59" s="420">
        <v>1359.5121951219508</v>
      </c>
      <c r="AL59" s="420">
        <v>79.971305595408865</v>
      </c>
      <c r="AM59" s="550">
        <f t="shared" si="15"/>
        <v>9</v>
      </c>
      <c r="AN59" s="649"/>
      <c r="AO59" s="550">
        <v>17</v>
      </c>
      <c r="AP59" s="420">
        <v>1358.5714285714282</v>
      </c>
      <c r="AQ59" s="420">
        <v>79.915966386554601</v>
      </c>
      <c r="AR59" s="550">
        <f t="shared" si="16"/>
        <v>10</v>
      </c>
      <c r="AS59" s="649"/>
      <c r="AT59" s="550">
        <v>17</v>
      </c>
      <c r="AU59" s="420">
        <v>1344.2857142857138</v>
      </c>
      <c r="AV59" s="420">
        <v>79.075630252100808</v>
      </c>
      <c r="AW59" s="550">
        <f t="shared" si="17"/>
        <v>10</v>
      </c>
      <c r="AX59" s="649"/>
      <c r="AZ59" s="402" t="e">
        <f t="shared" si="18"/>
        <v>#N/A</v>
      </c>
      <c r="BA59" s="649"/>
    </row>
    <row r="60" spans="2:53">
      <c r="B60" s="635"/>
      <c r="C60" s="292">
        <v>19</v>
      </c>
      <c r="D60" s="225" t="s">
        <v>528</v>
      </c>
      <c r="E60" s="181">
        <v>20</v>
      </c>
      <c r="F60" s="387">
        <v>1500</v>
      </c>
      <c r="G60" s="388">
        <v>75</v>
      </c>
      <c r="H60" s="678"/>
      <c r="I60" s="395">
        <f t="shared" si="19"/>
        <v>20</v>
      </c>
      <c r="J60" s="395">
        <f t="shared" si="20"/>
        <v>1217.4277085363308</v>
      </c>
      <c r="K60" s="199">
        <f t="shared" si="21"/>
        <v>60.871385426816538</v>
      </c>
      <c r="L60" s="609"/>
      <c r="M60" s="198">
        <f>RANK(K60, K$42:$K$71)</f>
        <v>21</v>
      </c>
      <c r="N60" s="627"/>
      <c r="O60" s="627"/>
      <c r="P60" s="550">
        <v>20</v>
      </c>
      <c r="Q60" s="420">
        <v>1208.936170212766</v>
      </c>
      <c r="R60" s="420">
        <v>60.446808510638299</v>
      </c>
      <c r="S60" s="550">
        <f t="shared" si="11"/>
        <v>21</v>
      </c>
      <c r="T60" s="649"/>
      <c r="U60" s="420">
        <v>20</v>
      </c>
      <c r="V60" s="420">
        <v>1244.2105263157887</v>
      </c>
      <c r="W60" s="420">
        <v>62.210526315789437</v>
      </c>
      <c r="X60" s="550">
        <f t="shared" si="12"/>
        <v>21</v>
      </c>
      <c r="Y60" s="649"/>
      <c r="Z60" s="550">
        <v>20</v>
      </c>
      <c r="AA60" s="420">
        <v>1206.6666666666658</v>
      </c>
      <c r="AB60" s="420">
        <v>60.333333333333293</v>
      </c>
      <c r="AC60" s="550">
        <f t="shared" si="13"/>
        <v>22</v>
      </c>
      <c r="AD60" s="649"/>
      <c r="AE60" s="550">
        <v>20</v>
      </c>
      <c r="AF60" s="420">
        <v>1226.842105263157</v>
      </c>
      <c r="AG60" s="420">
        <v>61.342105263157848</v>
      </c>
      <c r="AH60" s="550">
        <f t="shared" si="14"/>
        <v>22</v>
      </c>
      <c r="AI60" s="649"/>
      <c r="AJ60" s="550">
        <v>20</v>
      </c>
      <c r="AK60" s="420">
        <v>1213.6363636363635</v>
      </c>
      <c r="AL60" s="420">
        <v>60.681818181818173</v>
      </c>
      <c r="AM60" s="550">
        <f t="shared" si="15"/>
        <v>22</v>
      </c>
      <c r="AN60" s="649"/>
      <c r="AO60" s="550">
        <v>20</v>
      </c>
      <c r="AP60" s="420">
        <v>1200.0000000000005</v>
      </c>
      <c r="AQ60" s="420">
        <v>60.000000000000021</v>
      </c>
      <c r="AR60" s="550">
        <f t="shared" si="16"/>
        <v>22</v>
      </c>
      <c r="AS60" s="649"/>
      <c r="AT60" s="550">
        <v>20</v>
      </c>
      <c r="AU60" s="420">
        <v>1221.7021276595747</v>
      </c>
      <c r="AV60" s="420">
        <v>61.085106382978736</v>
      </c>
      <c r="AW60" s="550">
        <f t="shared" si="17"/>
        <v>21</v>
      </c>
      <c r="AX60" s="649"/>
      <c r="AZ60" s="402" t="e">
        <f t="shared" si="18"/>
        <v>#N/A</v>
      </c>
      <c r="BA60" s="649"/>
    </row>
    <row r="61" spans="2:53">
      <c r="B61" s="635"/>
      <c r="C61" s="292">
        <v>20</v>
      </c>
      <c r="D61" s="225" t="s">
        <v>604</v>
      </c>
      <c r="E61" s="181">
        <v>19</v>
      </c>
      <c r="F61" s="387">
        <v>1500</v>
      </c>
      <c r="G61" s="388">
        <v>78.94736842105263</v>
      </c>
      <c r="H61" s="678"/>
      <c r="I61" s="395">
        <f t="shared" si="19"/>
        <v>19</v>
      </c>
      <c r="J61" s="395">
        <f t="shared" si="20"/>
        <v>1238.0048251427575</v>
      </c>
      <c r="K61" s="199">
        <f t="shared" si="21"/>
        <v>65.15814869172408</v>
      </c>
      <c r="L61" s="609"/>
      <c r="M61" s="198">
        <f>RANK(K61, K$42:$K$71)</f>
        <v>20</v>
      </c>
      <c r="N61" s="627"/>
      <c r="O61" s="627"/>
      <c r="P61" s="550">
        <v>19</v>
      </c>
      <c r="Q61" s="420">
        <v>1252.5000000000009</v>
      </c>
      <c r="R61" s="420">
        <v>65.921052631579002</v>
      </c>
      <c r="S61" s="550">
        <f t="shared" si="11"/>
        <v>20</v>
      </c>
      <c r="T61" s="649"/>
      <c r="U61" s="420">
        <v>19</v>
      </c>
      <c r="V61" s="420">
        <v>1239.1836734693879</v>
      </c>
      <c r="W61" s="420">
        <v>65.220193340494106</v>
      </c>
      <c r="X61" s="550">
        <f t="shared" si="12"/>
        <v>19</v>
      </c>
      <c r="Y61" s="649"/>
      <c r="Z61" s="550">
        <v>19</v>
      </c>
      <c r="AA61" s="420">
        <v>1241.538461538461</v>
      </c>
      <c r="AB61" s="420">
        <v>65.344129554655837</v>
      </c>
      <c r="AC61" s="550">
        <f t="shared" si="13"/>
        <v>20</v>
      </c>
      <c r="AD61" s="649"/>
      <c r="AE61" s="550">
        <v>19</v>
      </c>
      <c r="AF61" s="420">
        <v>1214.3478260869565</v>
      </c>
      <c r="AG61" s="420">
        <v>63.913043478260867</v>
      </c>
      <c r="AH61" s="550">
        <f t="shared" si="14"/>
        <v>20</v>
      </c>
      <c r="AI61" s="649"/>
      <c r="AJ61" s="550">
        <v>19</v>
      </c>
      <c r="AK61" s="420">
        <v>1225.7142857142867</v>
      </c>
      <c r="AL61" s="420">
        <v>64.511278195488771</v>
      </c>
      <c r="AM61" s="550">
        <f t="shared" si="15"/>
        <v>20</v>
      </c>
      <c r="AN61" s="649"/>
      <c r="AO61" s="550">
        <v>19</v>
      </c>
      <c r="AP61" s="420">
        <v>1218.3050847457639</v>
      </c>
      <c r="AQ61" s="420">
        <v>64.121320249777042</v>
      </c>
      <c r="AR61" s="550">
        <f t="shared" si="16"/>
        <v>20</v>
      </c>
      <c r="AS61" s="649"/>
      <c r="AT61" s="550">
        <v>19</v>
      </c>
      <c r="AU61" s="420">
        <v>1274.444444444445</v>
      </c>
      <c r="AV61" s="420">
        <v>67.076023391812896</v>
      </c>
      <c r="AW61" s="550">
        <f t="shared" si="17"/>
        <v>19</v>
      </c>
      <c r="AX61" s="649"/>
      <c r="AZ61" s="402" t="e">
        <f t="shared" si="18"/>
        <v>#N/A</v>
      </c>
      <c r="BA61" s="649"/>
    </row>
    <row r="62" spans="2:53">
      <c r="B62" s="635"/>
      <c r="C62" s="292">
        <v>21</v>
      </c>
      <c r="D62" s="225" t="s">
        <v>715</v>
      </c>
      <c r="E62" s="181">
        <v>16</v>
      </c>
      <c r="F62" s="387">
        <v>1440</v>
      </c>
      <c r="G62" s="388">
        <v>90</v>
      </c>
      <c r="H62" s="678"/>
      <c r="I62" s="395">
        <f t="shared" si="19"/>
        <v>16</v>
      </c>
      <c r="J62" s="395">
        <f t="shared" si="20"/>
        <v>1375.6424801514879</v>
      </c>
      <c r="K62" s="199">
        <f t="shared" si="21"/>
        <v>85.977655009467995</v>
      </c>
      <c r="L62" s="609"/>
      <c r="M62" s="198">
        <f>RANK(K62, K$42:$K$71)</f>
        <v>5</v>
      </c>
      <c r="N62" s="627"/>
      <c r="O62" s="627"/>
      <c r="P62" s="550">
        <v>16</v>
      </c>
      <c r="Q62" s="420">
        <v>1395.6521739130419</v>
      </c>
      <c r="R62" s="420">
        <v>87.228260869565119</v>
      </c>
      <c r="S62" s="550">
        <f t="shared" si="11"/>
        <v>4</v>
      </c>
      <c r="T62" s="649"/>
      <c r="U62" s="420">
        <v>16</v>
      </c>
      <c r="V62" s="420">
        <v>1362.6086956521726</v>
      </c>
      <c r="W62" s="420">
        <v>85.163043478260789</v>
      </c>
      <c r="X62" s="550">
        <f t="shared" si="12"/>
        <v>4</v>
      </c>
      <c r="Y62" s="649"/>
      <c r="Z62" s="550">
        <v>16</v>
      </c>
      <c r="AA62" s="420">
        <v>1361.0526315789484</v>
      </c>
      <c r="AB62" s="420">
        <v>85.065789473684276</v>
      </c>
      <c r="AC62" s="550">
        <f t="shared" si="13"/>
        <v>5</v>
      </c>
      <c r="AD62" s="649"/>
      <c r="AE62" s="550">
        <v>16</v>
      </c>
      <c r="AF62" s="420">
        <v>1379.0000000000014</v>
      </c>
      <c r="AG62" s="420">
        <v>86.187500000000085</v>
      </c>
      <c r="AH62" s="550">
        <f t="shared" si="14"/>
        <v>5</v>
      </c>
      <c r="AI62" s="649"/>
      <c r="AJ62" s="550">
        <v>16</v>
      </c>
      <c r="AK62" s="420">
        <v>1379.9999999999984</v>
      </c>
      <c r="AL62" s="420">
        <v>86.249999999999901</v>
      </c>
      <c r="AM62" s="550">
        <f t="shared" si="15"/>
        <v>5</v>
      </c>
      <c r="AN62" s="649"/>
      <c r="AO62" s="550">
        <v>16</v>
      </c>
      <c r="AP62" s="420">
        <v>1368.6486486486476</v>
      </c>
      <c r="AQ62" s="420">
        <v>85.540540540540476</v>
      </c>
      <c r="AR62" s="550">
        <f t="shared" si="16"/>
        <v>6</v>
      </c>
      <c r="AS62" s="649"/>
      <c r="AT62" s="550">
        <v>16</v>
      </c>
      <c r="AU62" s="420">
        <v>1382.5352112676044</v>
      </c>
      <c r="AV62" s="420">
        <v>86.408450704225274</v>
      </c>
      <c r="AW62" s="550">
        <f t="shared" si="17"/>
        <v>6</v>
      </c>
      <c r="AX62" s="649"/>
      <c r="AZ62" s="402" t="e">
        <f t="shared" si="18"/>
        <v>#N/A</v>
      </c>
      <c r="BA62" s="649"/>
    </row>
    <row r="63" spans="2:53">
      <c r="B63" s="635"/>
      <c r="C63" s="292">
        <v>22</v>
      </c>
      <c r="D63" s="225" t="s">
        <v>734</v>
      </c>
      <c r="E63" s="181">
        <v>16</v>
      </c>
      <c r="F63" s="387">
        <v>1440</v>
      </c>
      <c r="G63" s="388">
        <v>90</v>
      </c>
      <c r="H63" s="678"/>
      <c r="I63" s="395">
        <f t="shared" si="19"/>
        <v>16.857142857142858</v>
      </c>
      <c r="J63" s="395">
        <f t="shared" si="20"/>
        <v>1328.8632944032011</v>
      </c>
      <c r="K63" s="199">
        <f t="shared" si="21"/>
        <v>78.859282346923919</v>
      </c>
      <c r="L63" s="609"/>
      <c r="M63" s="198">
        <f>RANK(K63, K$42:$K$71)</f>
        <v>11</v>
      </c>
      <c r="N63" s="627"/>
      <c r="O63" s="627"/>
      <c r="P63" s="550">
        <v>17</v>
      </c>
      <c r="Q63" s="420">
        <v>1386.8354430379768</v>
      </c>
      <c r="R63" s="420">
        <v>81.57855547282216</v>
      </c>
      <c r="S63" s="550">
        <f t="shared" si="11"/>
        <v>9</v>
      </c>
      <c r="T63" s="649"/>
      <c r="U63" s="420">
        <v>17</v>
      </c>
      <c r="V63" s="420">
        <v>1350.4109589041086</v>
      </c>
      <c r="W63" s="420">
        <v>79.435938759065209</v>
      </c>
      <c r="X63" s="550">
        <f t="shared" si="12"/>
        <v>9</v>
      </c>
      <c r="Y63" s="649"/>
      <c r="Z63" s="550">
        <v>16</v>
      </c>
      <c r="AA63" s="420">
        <v>1315.3846153846162</v>
      </c>
      <c r="AB63" s="420">
        <v>82.21153846153851</v>
      </c>
      <c r="AC63" s="550">
        <f t="shared" si="13"/>
        <v>9</v>
      </c>
      <c r="AD63" s="649"/>
      <c r="AE63" s="550">
        <v>17</v>
      </c>
      <c r="AF63" s="420">
        <v>1293.8181818181827</v>
      </c>
      <c r="AG63" s="420">
        <v>76.106951871657799</v>
      </c>
      <c r="AH63" s="550">
        <f t="shared" si="14"/>
        <v>12</v>
      </c>
      <c r="AI63" s="649"/>
      <c r="AJ63" s="550">
        <v>17</v>
      </c>
      <c r="AK63" s="420">
        <v>1293.8028169014071</v>
      </c>
      <c r="AL63" s="420">
        <v>76.106048053023954</v>
      </c>
      <c r="AM63" s="550">
        <f t="shared" si="15"/>
        <v>12</v>
      </c>
      <c r="AN63" s="649"/>
      <c r="AO63" s="550">
        <v>17</v>
      </c>
      <c r="AP63" s="420">
        <v>1321.7910447761178</v>
      </c>
      <c r="AQ63" s="420">
        <v>77.752414398595164</v>
      </c>
      <c r="AR63" s="550">
        <f t="shared" si="16"/>
        <v>12</v>
      </c>
      <c r="AS63" s="649"/>
      <c r="AT63" s="550">
        <v>17</v>
      </c>
      <c r="AU63" s="420">
        <v>1339.9999999999986</v>
      </c>
      <c r="AV63" s="420">
        <v>78.823529411764625</v>
      </c>
      <c r="AW63" s="550">
        <f t="shared" si="17"/>
        <v>11</v>
      </c>
      <c r="AX63" s="649"/>
      <c r="AZ63" s="402" t="e">
        <f t="shared" si="18"/>
        <v>#N/A</v>
      </c>
      <c r="BA63" s="649"/>
    </row>
    <row r="64" spans="2:53">
      <c r="B64" s="635"/>
      <c r="C64" s="292">
        <v>23</v>
      </c>
      <c r="D64" s="225" t="s">
        <v>726</v>
      </c>
      <c r="E64" s="181">
        <v>16</v>
      </c>
      <c r="F64" s="387">
        <v>1440</v>
      </c>
      <c r="G64" s="388">
        <v>90</v>
      </c>
      <c r="H64" s="678"/>
      <c r="I64" s="395">
        <f t="shared" si="19"/>
        <v>15.428571428571429</v>
      </c>
      <c r="J64" s="395">
        <f t="shared" si="20"/>
        <v>1280.8366915887675</v>
      </c>
      <c r="K64" s="199">
        <f t="shared" si="21"/>
        <v>83.238863413121166</v>
      </c>
      <c r="L64" s="609"/>
      <c r="M64" s="198">
        <f>RANK(K64, K$42:$K$71)</f>
        <v>6</v>
      </c>
      <c r="N64" s="627"/>
      <c r="O64" s="627"/>
      <c r="P64" s="550">
        <v>16</v>
      </c>
      <c r="Q64" s="420">
        <v>1342.5</v>
      </c>
      <c r="R64" s="420">
        <v>83.90625</v>
      </c>
      <c r="S64" s="550">
        <f t="shared" si="11"/>
        <v>6</v>
      </c>
      <c r="T64" s="649"/>
      <c r="U64" s="420">
        <v>16</v>
      </c>
      <c r="V64" s="420">
        <v>1326.6666666666667</v>
      </c>
      <c r="W64" s="420">
        <v>82.916666666666671</v>
      </c>
      <c r="X64" s="550">
        <f t="shared" si="12"/>
        <v>6</v>
      </c>
      <c r="Y64" s="649"/>
      <c r="Z64" s="550">
        <v>16</v>
      </c>
      <c r="AA64" s="420">
        <v>1333.421052631578</v>
      </c>
      <c r="AB64" s="420">
        <v>83.338815789473628</v>
      </c>
      <c r="AC64" s="550">
        <f t="shared" si="13"/>
        <v>6</v>
      </c>
      <c r="AD64" s="649"/>
      <c r="AE64" s="550">
        <v>16</v>
      </c>
      <c r="AF64" s="420">
        <v>1236.3934426229521</v>
      </c>
      <c r="AG64" s="420">
        <v>77.274590163934505</v>
      </c>
      <c r="AH64" s="550">
        <f t="shared" si="14"/>
        <v>10</v>
      </c>
      <c r="AI64" s="649"/>
      <c r="AJ64" s="550">
        <v>16</v>
      </c>
      <c r="AK64" s="420">
        <v>1228.6046511627906</v>
      </c>
      <c r="AL64" s="420">
        <v>76.78779069767441</v>
      </c>
      <c r="AM64" s="550">
        <f t="shared" si="15"/>
        <v>10</v>
      </c>
      <c r="AN64" s="649"/>
      <c r="AO64" s="550">
        <v>14</v>
      </c>
      <c r="AP64" s="420">
        <v>1245.0000000000007</v>
      </c>
      <c r="AQ64" s="420">
        <v>88.928571428571473</v>
      </c>
      <c r="AR64" s="550">
        <f t="shared" si="16"/>
        <v>4</v>
      </c>
      <c r="AS64" s="649"/>
      <c r="AT64" s="550">
        <v>14</v>
      </c>
      <c r="AU64" s="420">
        <v>1253.2710280373838</v>
      </c>
      <c r="AV64" s="420">
        <v>89.519359145527417</v>
      </c>
      <c r="AW64" s="550">
        <f t="shared" si="17"/>
        <v>4</v>
      </c>
      <c r="AX64" s="649"/>
      <c r="AZ64" s="402" t="e">
        <f t="shared" si="18"/>
        <v>#N/A</v>
      </c>
      <c r="BA64" s="649"/>
    </row>
    <row r="65" spans="2:53">
      <c r="B65" s="635"/>
      <c r="C65" s="292">
        <v>24</v>
      </c>
      <c r="D65" s="225"/>
      <c r="E65" s="181"/>
      <c r="F65" s="387"/>
      <c r="G65" s="388"/>
      <c r="H65" s="678"/>
      <c r="I65" s="395" t="str">
        <f t="shared" si="19"/>
        <v>-</v>
      </c>
      <c r="J65" s="395" t="str">
        <f t="shared" si="20"/>
        <v>-</v>
      </c>
      <c r="K65" s="199" t="str">
        <f t="shared" si="21"/>
        <v>-</v>
      </c>
      <c r="L65" s="609"/>
      <c r="M65" s="198" t="e">
        <f>RANK(K65, K$42:$K$71)</f>
        <v>#VALUE!</v>
      </c>
      <c r="N65" s="627"/>
      <c r="O65" s="627"/>
      <c r="P65" s="550" t="s">
        <v>623</v>
      </c>
      <c r="Q65" s="420" t="s">
        <v>623</v>
      </c>
      <c r="R65" s="420" t="s">
        <v>623</v>
      </c>
      <c r="S65" s="550" t="e">
        <f t="shared" si="11"/>
        <v>#VALUE!</v>
      </c>
      <c r="T65" s="649"/>
      <c r="U65" s="420" t="s">
        <v>623</v>
      </c>
      <c r="V65" s="420" t="s">
        <v>623</v>
      </c>
      <c r="W65" s="420" t="s">
        <v>623</v>
      </c>
      <c r="X65" s="550" t="e">
        <f t="shared" si="12"/>
        <v>#VALUE!</v>
      </c>
      <c r="Y65" s="649"/>
      <c r="Z65" s="550" t="s">
        <v>623</v>
      </c>
      <c r="AA65" s="420" t="s">
        <v>623</v>
      </c>
      <c r="AB65" s="420" t="s">
        <v>623</v>
      </c>
      <c r="AC65" s="550" t="e">
        <f t="shared" si="13"/>
        <v>#VALUE!</v>
      </c>
      <c r="AD65" s="649"/>
      <c r="AE65" s="550" t="s">
        <v>623</v>
      </c>
      <c r="AF65" s="420" t="s">
        <v>623</v>
      </c>
      <c r="AG65" s="420" t="s">
        <v>623</v>
      </c>
      <c r="AH65" s="550" t="e">
        <f t="shared" si="14"/>
        <v>#VALUE!</v>
      </c>
      <c r="AI65" s="649"/>
      <c r="AJ65" s="550" t="s">
        <v>623</v>
      </c>
      <c r="AK65" s="420" t="s">
        <v>623</v>
      </c>
      <c r="AL65" s="420" t="s">
        <v>623</v>
      </c>
      <c r="AM65" s="550" t="e">
        <f t="shared" si="15"/>
        <v>#VALUE!</v>
      </c>
      <c r="AN65" s="649"/>
      <c r="AO65" s="550" t="s">
        <v>623</v>
      </c>
      <c r="AP65" s="420" t="s">
        <v>623</v>
      </c>
      <c r="AQ65" s="420" t="s">
        <v>623</v>
      </c>
      <c r="AR65" s="550" t="e">
        <f t="shared" si="16"/>
        <v>#VALUE!</v>
      </c>
      <c r="AS65" s="649"/>
      <c r="AT65" s="550" t="s">
        <v>623</v>
      </c>
      <c r="AU65" s="420" t="s">
        <v>623</v>
      </c>
      <c r="AV65" s="420" t="s">
        <v>623</v>
      </c>
      <c r="AW65" s="550" t="e">
        <f t="shared" si="17"/>
        <v>#VALUE!</v>
      </c>
      <c r="AX65" s="649"/>
      <c r="AZ65" s="402" t="e">
        <f t="shared" si="18"/>
        <v>#N/A</v>
      </c>
      <c r="BA65" s="649"/>
    </row>
    <row r="66" spans="2:53">
      <c r="B66" s="635"/>
      <c r="C66" s="292">
        <v>25</v>
      </c>
      <c r="D66" s="225"/>
      <c r="E66" s="181"/>
      <c r="F66" s="387"/>
      <c r="G66" s="388"/>
      <c r="H66" s="678"/>
      <c r="I66" s="395" t="str">
        <f t="shared" si="19"/>
        <v>-</v>
      </c>
      <c r="J66" s="395" t="str">
        <f t="shared" si="20"/>
        <v>-</v>
      </c>
      <c r="K66" s="199" t="str">
        <f t="shared" si="21"/>
        <v>-</v>
      </c>
      <c r="L66" s="609"/>
      <c r="M66" s="198" t="e">
        <f>RANK(K66, K$42:$K$71)</f>
        <v>#VALUE!</v>
      </c>
      <c r="N66" s="627"/>
      <c r="O66" s="627"/>
      <c r="P66" s="550" t="s">
        <v>623</v>
      </c>
      <c r="Q66" s="420" t="s">
        <v>623</v>
      </c>
      <c r="R66" s="420" t="s">
        <v>623</v>
      </c>
      <c r="S66" s="550" t="e">
        <f t="shared" si="11"/>
        <v>#VALUE!</v>
      </c>
      <c r="T66" s="649"/>
      <c r="U66" s="420" t="s">
        <v>623</v>
      </c>
      <c r="V66" s="420" t="s">
        <v>623</v>
      </c>
      <c r="W66" s="420" t="s">
        <v>623</v>
      </c>
      <c r="X66" s="550" t="e">
        <f t="shared" si="12"/>
        <v>#VALUE!</v>
      </c>
      <c r="Y66" s="649"/>
      <c r="Z66" s="550" t="s">
        <v>623</v>
      </c>
      <c r="AA66" s="420" t="s">
        <v>623</v>
      </c>
      <c r="AB66" s="420" t="s">
        <v>623</v>
      </c>
      <c r="AC66" s="550" t="e">
        <f t="shared" si="13"/>
        <v>#VALUE!</v>
      </c>
      <c r="AD66" s="649"/>
      <c r="AE66" s="550" t="s">
        <v>623</v>
      </c>
      <c r="AF66" s="420" t="s">
        <v>623</v>
      </c>
      <c r="AG66" s="420" t="s">
        <v>623</v>
      </c>
      <c r="AH66" s="550" t="e">
        <f t="shared" si="14"/>
        <v>#VALUE!</v>
      </c>
      <c r="AI66" s="649"/>
      <c r="AJ66" s="550" t="s">
        <v>623</v>
      </c>
      <c r="AK66" s="420" t="s">
        <v>623</v>
      </c>
      <c r="AL66" s="420" t="s">
        <v>623</v>
      </c>
      <c r="AM66" s="550" t="e">
        <f t="shared" si="15"/>
        <v>#VALUE!</v>
      </c>
      <c r="AN66" s="649"/>
      <c r="AO66" s="550" t="s">
        <v>623</v>
      </c>
      <c r="AP66" s="420" t="s">
        <v>623</v>
      </c>
      <c r="AQ66" s="420" t="s">
        <v>623</v>
      </c>
      <c r="AR66" s="550" t="e">
        <f t="shared" si="16"/>
        <v>#VALUE!</v>
      </c>
      <c r="AS66" s="649"/>
      <c r="AT66" s="550" t="s">
        <v>623</v>
      </c>
      <c r="AU66" s="420" t="s">
        <v>623</v>
      </c>
      <c r="AV66" s="420" t="s">
        <v>623</v>
      </c>
      <c r="AW66" s="550" t="e">
        <f t="shared" si="17"/>
        <v>#VALUE!</v>
      </c>
      <c r="AX66" s="649"/>
      <c r="AZ66" s="402" t="e">
        <f t="shared" si="18"/>
        <v>#N/A</v>
      </c>
      <c r="BA66" s="649"/>
    </row>
    <row r="67" spans="2:53">
      <c r="B67" s="635"/>
      <c r="C67" s="292">
        <v>26</v>
      </c>
      <c r="D67" s="225"/>
      <c r="E67" s="181"/>
      <c r="F67" s="387"/>
      <c r="G67" s="388"/>
      <c r="H67" s="678"/>
      <c r="I67" s="395" t="str">
        <f t="shared" si="19"/>
        <v>-</v>
      </c>
      <c r="J67" s="395" t="str">
        <f t="shared" si="20"/>
        <v>-</v>
      </c>
      <c r="K67" s="199" t="str">
        <f t="shared" si="21"/>
        <v>-</v>
      </c>
      <c r="L67" s="609"/>
      <c r="M67" s="198" t="e">
        <f>RANK(K67, K$42:$K$71)</f>
        <v>#VALUE!</v>
      </c>
      <c r="N67" s="627"/>
      <c r="O67" s="627"/>
      <c r="P67" s="550" t="s">
        <v>623</v>
      </c>
      <c r="Q67" s="420" t="s">
        <v>623</v>
      </c>
      <c r="R67" s="420" t="s">
        <v>623</v>
      </c>
      <c r="S67" s="550" t="e">
        <f t="shared" si="11"/>
        <v>#VALUE!</v>
      </c>
      <c r="T67" s="649"/>
      <c r="U67" s="420" t="s">
        <v>623</v>
      </c>
      <c r="V67" s="420" t="s">
        <v>623</v>
      </c>
      <c r="W67" s="420" t="s">
        <v>623</v>
      </c>
      <c r="X67" s="550" t="e">
        <f t="shared" si="12"/>
        <v>#VALUE!</v>
      </c>
      <c r="Y67" s="649"/>
      <c r="Z67" s="550" t="s">
        <v>623</v>
      </c>
      <c r="AA67" s="420" t="s">
        <v>623</v>
      </c>
      <c r="AB67" s="420" t="s">
        <v>623</v>
      </c>
      <c r="AC67" s="550" t="e">
        <f t="shared" si="13"/>
        <v>#VALUE!</v>
      </c>
      <c r="AD67" s="649"/>
      <c r="AE67" s="550" t="s">
        <v>623</v>
      </c>
      <c r="AF67" s="420" t="s">
        <v>623</v>
      </c>
      <c r="AG67" s="420" t="s">
        <v>623</v>
      </c>
      <c r="AH67" s="550" t="e">
        <f t="shared" si="14"/>
        <v>#VALUE!</v>
      </c>
      <c r="AI67" s="649"/>
      <c r="AJ67" s="550" t="s">
        <v>623</v>
      </c>
      <c r="AK67" s="420" t="s">
        <v>623</v>
      </c>
      <c r="AL67" s="420" t="s">
        <v>623</v>
      </c>
      <c r="AM67" s="550" t="e">
        <f t="shared" si="15"/>
        <v>#VALUE!</v>
      </c>
      <c r="AN67" s="649"/>
      <c r="AO67" s="550" t="s">
        <v>623</v>
      </c>
      <c r="AP67" s="420" t="s">
        <v>623</v>
      </c>
      <c r="AQ67" s="420" t="s">
        <v>623</v>
      </c>
      <c r="AR67" s="550" t="e">
        <f t="shared" si="16"/>
        <v>#VALUE!</v>
      </c>
      <c r="AS67" s="649"/>
      <c r="AT67" s="550" t="s">
        <v>623</v>
      </c>
      <c r="AU67" s="420" t="s">
        <v>623</v>
      </c>
      <c r="AV67" s="420" t="s">
        <v>623</v>
      </c>
      <c r="AW67" s="550" t="e">
        <f t="shared" si="17"/>
        <v>#VALUE!</v>
      </c>
      <c r="AX67" s="649"/>
      <c r="AZ67" s="402" t="e">
        <f t="shared" si="18"/>
        <v>#N/A</v>
      </c>
      <c r="BA67" s="649"/>
    </row>
    <row r="68" spans="2:53">
      <c r="B68" s="635"/>
      <c r="C68" s="292">
        <v>27</v>
      </c>
      <c r="D68" s="225"/>
      <c r="E68" s="181"/>
      <c r="F68" s="387"/>
      <c r="G68" s="388"/>
      <c r="H68" s="678"/>
      <c r="I68" s="395" t="str">
        <f t="shared" si="19"/>
        <v>-</v>
      </c>
      <c r="J68" s="395" t="str">
        <f t="shared" si="20"/>
        <v>-</v>
      </c>
      <c r="K68" s="199" t="str">
        <f t="shared" si="21"/>
        <v>-</v>
      </c>
      <c r="L68" s="609"/>
      <c r="M68" s="198" t="e">
        <f>RANK(K68, K$42:$K$71)</f>
        <v>#VALUE!</v>
      </c>
      <c r="N68" s="627"/>
      <c r="O68" s="627"/>
      <c r="P68" s="550" t="s">
        <v>623</v>
      </c>
      <c r="Q68" s="420" t="s">
        <v>623</v>
      </c>
      <c r="R68" s="420" t="s">
        <v>623</v>
      </c>
      <c r="S68" s="550" t="e">
        <f t="shared" si="11"/>
        <v>#VALUE!</v>
      </c>
      <c r="T68" s="649"/>
      <c r="U68" s="420" t="s">
        <v>623</v>
      </c>
      <c r="V68" s="420" t="s">
        <v>623</v>
      </c>
      <c r="W68" s="420" t="s">
        <v>623</v>
      </c>
      <c r="X68" s="550" t="e">
        <f t="shared" si="12"/>
        <v>#VALUE!</v>
      </c>
      <c r="Y68" s="649"/>
      <c r="Z68" s="550" t="s">
        <v>623</v>
      </c>
      <c r="AA68" s="420" t="s">
        <v>623</v>
      </c>
      <c r="AB68" s="420" t="s">
        <v>623</v>
      </c>
      <c r="AC68" s="550" t="e">
        <f t="shared" si="13"/>
        <v>#VALUE!</v>
      </c>
      <c r="AD68" s="649"/>
      <c r="AE68" s="550" t="s">
        <v>623</v>
      </c>
      <c r="AF68" s="420" t="s">
        <v>623</v>
      </c>
      <c r="AG68" s="420" t="s">
        <v>623</v>
      </c>
      <c r="AH68" s="550" t="e">
        <f t="shared" si="14"/>
        <v>#VALUE!</v>
      </c>
      <c r="AI68" s="649"/>
      <c r="AJ68" s="550" t="s">
        <v>623</v>
      </c>
      <c r="AK68" s="420" t="s">
        <v>623</v>
      </c>
      <c r="AL68" s="420" t="s">
        <v>623</v>
      </c>
      <c r="AM68" s="550" t="e">
        <f t="shared" si="15"/>
        <v>#VALUE!</v>
      </c>
      <c r="AN68" s="649"/>
      <c r="AO68" s="550" t="s">
        <v>623</v>
      </c>
      <c r="AP68" s="420" t="s">
        <v>623</v>
      </c>
      <c r="AQ68" s="420" t="s">
        <v>623</v>
      </c>
      <c r="AR68" s="550" t="e">
        <f t="shared" si="16"/>
        <v>#VALUE!</v>
      </c>
      <c r="AS68" s="649"/>
      <c r="AT68" s="550" t="s">
        <v>623</v>
      </c>
      <c r="AU68" s="420" t="s">
        <v>623</v>
      </c>
      <c r="AV68" s="420" t="s">
        <v>623</v>
      </c>
      <c r="AW68" s="550" t="e">
        <f t="shared" si="17"/>
        <v>#VALUE!</v>
      </c>
      <c r="AX68" s="649"/>
      <c r="AZ68" s="402" t="e">
        <f t="shared" si="18"/>
        <v>#N/A</v>
      </c>
      <c r="BA68" s="649"/>
    </row>
    <row r="69" spans="2:53">
      <c r="B69" s="635"/>
      <c r="C69" s="292">
        <v>28</v>
      </c>
      <c r="D69" s="225"/>
      <c r="E69" s="181"/>
      <c r="F69" s="387"/>
      <c r="G69" s="388"/>
      <c r="H69" s="678"/>
      <c r="I69" s="395" t="str">
        <f t="shared" si="19"/>
        <v>-</v>
      </c>
      <c r="J69" s="395" t="str">
        <f t="shared" si="20"/>
        <v>-</v>
      </c>
      <c r="K69" s="199" t="str">
        <f t="shared" si="21"/>
        <v>-</v>
      </c>
      <c r="L69" s="609"/>
      <c r="M69" s="198" t="e">
        <f>RANK(K69, K$42:$K$71)</f>
        <v>#VALUE!</v>
      </c>
      <c r="N69" s="627"/>
      <c r="O69" s="627"/>
      <c r="P69" s="550" t="s">
        <v>623</v>
      </c>
      <c r="Q69" s="420" t="s">
        <v>623</v>
      </c>
      <c r="R69" s="420" t="s">
        <v>623</v>
      </c>
      <c r="S69" s="550" t="e">
        <f t="shared" si="11"/>
        <v>#VALUE!</v>
      </c>
      <c r="T69" s="649"/>
      <c r="U69" s="420" t="s">
        <v>623</v>
      </c>
      <c r="V69" s="420" t="s">
        <v>623</v>
      </c>
      <c r="W69" s="420" t="s">
        <v>623</v>
      </c>
      <c r="X69" s="550" t="e">
        <f t="shared" si="12"/>
        <v>#VALUE!</v>
      </c>
      <c r="Y69" s="649"/>
      <c r="Z69" s="550" t="s">
        <v>623</v>
      </c>
      <c r="AA69" s="420" t="s">
        <v>623</v>
      </c>
      <c r="AB69" s="420" t="s">
        <v>623</v>
      </c>
      <c r="AC69" s="550" t="e">
        <f t="shared" si="13"/>
        <v>#VALUE!</v>
      </c>
      <c r="AD69" s="649"/>
      <c r="AE69" s="550" t="s">
        <v>623</v>
      </c>
      <c r="AF69" s="420" t="s">
        <v>623</v>
      </c>
      <c r="AG69" s="420" t="s">
        <v>623</v>
      </c>
      <c r="AH69" s="550" t="e">
        <f t="shared" si="14"/>
        <v>#VALUE!</v>
      </c>
      <c r="AI69" s="649"/>
      <c r="AJ69" s="550" t="s">
        <v>623</v>
      </c>
      <c r="AK69" s="420" t="s">
        <v>623</v>
      </c>
      <c r="AL69" s="420" t="s">
        <v>623</v>
      </c>
      <c r="AM69" s="550" t="e">
        <f t="shared" si="15"/>
        <v>#VALUE!</v>
      </c>
      <c r="AN69" s="649"/>
      <c r="AO69" s="550" t="s">
        <v>623</v>
      </c>
      <c r="AP69" s="420" t="s">
        <v>623</v>
      </c>
      <c r="AQ69" s="420" t="s">
        <v>623</v>
      </c>
      <c r="AR69" s="550" t="e">
        <f t="shared" si="16"/>
        <v>#VALUE!</v>
      </c>
      <c r="AS69" s="649"/>
      <c r="AT69" s="550" t="s">
        <v>623</v>
      </c>
      <c r="AU69" s="420" t="s">
        <v>623</v>
      </c>
      <c r="AV69" s="420" t="s">
        <v>623</v>
      </c>
      <c r="AW69" s="550" t="e">
        <f t="shared" si="17"/>
        <v>#VALUE!</v>
      </c>
      <c r="AX69" s="649"/>
      <c r="AZ69" s="402" t="e">
        <f t="shared" si="18"/>
        <v>#N/A</v>
      </c>
      <c r="BA69" s="649"/>
    </row>
    <row r="70" spans="2:53">
      <c r="B70" s="635"/>
      <c r="C70" s="292">
        <v>29</v>
      </c>
      <c r="D70" s="225"/>
      <c r="E70" s="181"/>
      <c r="F70" s="387"/>
      <c r="G70" s="388"/>
      <c r="H70" s="678"/>
      <c r="I70" s="395" t="str">
        <f t="shared" si="19"/>
        <v>-</v>
      </c>
      <c r="J70" s="395" t="str">
        <f t="shared" si="20"/>
        <v>-</v>
      </c>
      <c r="K70" s="199" t="str">
        <f t="shared" si="21"/>
        <v>-</v>
      </c>
      <c r="L70" s="609"/>
      <c r="M70" s="198" t="e">
        <f>RANK(K70, K$42:$K$71)</f>
        <v>#VALUE!</v>
      </c>
      <c r="N70" s="627"/>
      <c r="O70" s="627"/>
      <c r="P70" s="550" t="s">
        <v>623</v>
      </c>
      <c r="Q70" s="420" t="s">
        <v>623</v>
      </c>
      <c r="R70" s="420" t="s">
        <v>623</v>
      </c>
      <c r="S70" s="550" t="e">
        <f t="shared" si="11"/>
        <v>#VALUE!</v>
      </c>
      <c r="T70" s="649"/>
      <c r="U70" s="420" t="s">
        <v>623</v>
      </c>
      <c r="V70" s="420" t="s">
        <v>623</v>
      </c>
      <c r="W70" s="420" t="s">
        <v>623</v>
      </c>
      <c r="X70" s="550" t="e">
        <f t="shared" si="12"/>
        <v>#VALUE!</v>
      </c>
      <c r="Y70" s="649"/>
      <c r="Z70" s="550" t="s">
        <v>623</v>
      </c>
      <c r="AA70" s="420" t="s">
        <v>623</v>
      </c>
      <c r="AB70" s="420" t="s">
        <v>623</v>
      </c>
      <c r="AC70" s="550" t="e">
        <f t="shared" si="13"/>
        <v>#VALUE!</v>
      </c>
      <c r="AD70" s="649"/>
      <c r="AE70" s="550" t="s">
        <v>623</v>
      </c>
      <c r="AF70" s="420" t="s">
        <v>623</v>
      </c>
      <c r="AG70" s="420" t="s">
        <v>623</v>
      </c>
      <c r="AH70" s="550" t="e">
        <f t="shared" si="14"/>
        <v>#VALUE!</v>
      </c>
      <c r="AI70" s="649"/>
      <c r="AJ70" s="550" t="s">
        <v>623</v>
      </c>
      <c r="AK70" s="420" t="s">
        <v>623</v>
      </c>
      <c r="AL70" s="420" t="s">
        <v>623</v>
      </c>
      <c r="AM70" s="550" t="e">
        <f t="shared" si="15"/>
        <v>#VALUE!</v>
      </c>
      <c r="AN70" s="649"/>
      <c r="AO70" s="550" t="s">
        <v>623</v>
      </c>
      <c r="AP70" s="420" t="s">
        <v>623</v>
      </c>
      <c r="AQ70" s="420" t="s">
        <v>623</v>
      </c>
      <c r="AR70" s="550" t="e">
        <f t="shared" si="16"/>
        <v>#VALUE!</v>
      </c>
      <c r="AS70" s="649"/>
      <c r="AT70" s="550" t="s">
        <v>623</v>
      </c>
      <c r="AU70" s="420" t="s">
        <v>623</v>
      </c>
      <c r="AV70" s="420" t="s">
        <v>623</v>
      </c>
      <c r="AW70" s="550" t="e">
        <f t="shared" si="17"/>
        <v>#VALUE!</v>
      </c>
      <c r="AX70" s="649"/>
      <c r="AZ70" s="402" t="e">
        <f t="shared" si="18"/>
        <v>#N/A</v>
      </c>
      <c r="BA70" s="649"/>
    </row>
    <row r="71" spans="2:53">
      <c r="B71" s="635"/>
      <c r="C71" s="292">
        <v>30</v>
      </c>
      <c r="D71" s="225"/>
      <c r="E71" s="181"/>
      <c r="F71" s="387"/>
      <c r="G71" s="388"/>
      <c r="H71" s="679"/>
      <c r="I71" s="395" t="str">
        <f t="shared" si="19"/>
        <v>-</v>
      </c>
      <c r="J71" s="395" t="str">
        <f t="shared" si="20"/>
        <v>-</v>
      </c>
      <c r="K71" s="199" t="str">
        <f t="shared" si="21"/>
        <v>-</v>
      </c>
      <c r="L71" s="610"/>
      <c r="M71" s="198" t="e">
        <f>RANK(K71, K$42:$K$71)</f>
        <v>#VALUE!</v>
      </c>
      <c r="N71" s="627"/>
      <c r="O71" s="627"/>
      <c r="P71" s="550" t="s">
        <v>623</v>
      </c>
      <c r="Q71" s="420" t="s">
        <v>623</v>
      </c>
      <c r="R71" s="420" t="s">
        <v>623</v>
      </c>
      <c r="S71" s="550" t="e">
        <f t="shared" si="11"/>
        <v>#VALUE!</v>
      </c>
      <c r="T71" s="649"/>
      <c r="U71" s="420" t="s">
        <v>623</v>
      </c>
      <c r="V71" s="420" t="s">
        <v>623</v>
      </c>
      <c r="W71" s="420" t="s">
        <v>623</v>
      </c>
      <c r="X71" s="550" t="e">
        <f t="shared" si="12"/>
        <v>#VALUE!</v>
      </c>
      <c r="Y71" s="649"/>
      <c r="Z71" s="550" t="s">
        <v>623</v>
      </c>
      <c r="AA71" s="420" t="s">
        <v>623</v>
      </c>
      <c r="AB71" s="420" t="s">
        <v>623</v>
      </c>
      <c r="AC71" s="550" t="e">
        <f t="shared" si="13"/>
        <v>#VALUE!</v>
      </c>
      <c r="AD71" s="649"/>
      <c r="AE71" s="550" t="s">
        <v>623</v>
      </c>
      <c r="AF71" s="420" t="s">
        <v>623</v>
      </c>
      <c r="AG71" s="420" t="s">
        <v>623</v>
      </c>
      <c r="AH71" s="550" t="e">
        <f t="shared" si="14"/>
        <v>#VALUE!</v>
      </c>
      <c r="AI71" s="649"/>
      <c r="AJ71" s="550" t="s">
        <v>623</v>
      </c>
      <c r="AK71" s="420" t="s">
        <v>623</v>
      </c>
      <c r="AL71" s="420" t="s">
        <v>623</v>
      </c>
      <c r="AM71" s="550" t="e">
        <f t="shared" si="15"/>
        <v>#VALUE!</v>
      </c>
      <c r="AN71" s="649"/>
      <c r="AO71" s="550" t="s">
        <v>623</v>
      </c>
      <c r="AP71" s="420" t="s">
        <v>623</v>
      </c>
      <c r="AQ71" s="420" t="s">
        <v>623</v>
      </c>
      <c r="AR71" s="550" t="e">
        <f t="shared" si="16"/>
        <v>#VALUE!</v>
      </c>
      <c r="AS71" s="649"/>
      <c r="AT71" s="550" t="s">
        <v>623</v>
      </c>
      <c r="AU71" s="420" t="s">
        <v>623</v>
      </c>
      <c r="AV71" s="420" t="s">
        <v>623</v>
      </c>
      <c r="AW71" s="550" t="e">
        <f t="shared" si="17"/>
        <v>#VALUE!</v>
      </c>
      <c r="AX71" s="649"/>
      <c r="AZ71" s="402" t="e">
        <f t="shared" si="18"/>
        <v>#N/A</v>
      </c>
      <c r="BA71" s="649"/>
    </row>
    <row r="72" spans="2:53" ht="15.75">
      <c r="B72" s="653" t="s">
        <v>163</v>
      </c>
      <c r="C72" s="654"/>
      <c r="D72" s="654"/>
      <c r="E72" s="654"/>
      <c r="F72" s="654"/>
      <c r="G72" s="654"/>
      <c r="H72" s="654"/>
      <c r="I72" s="207"/>
      <c r="J72" s="202"/>
      <c r="K72" s="207"/>
      <c r="L72" s="207"/>
      <c r="M72" s="203"/>
      <c r="N72" s="628" t="s">
        <v>156</v>
      </c>
      <c r="O72" s="628" t="s">
        <v>105</v>
      </c>
      <c r="P72" s="631">
        <f>P37+7</f>
        <v>46182</v>
      </c>
      <c r="Q72" s="632"/>
      <c r="R72" s="632"/>
      <c r="S72" s="632"/>
      <c r="T72" s="633"/>
      <c r="U72" s="631">
        <f>P72+1</f>
        <v>46183</v>
      </c>
      <c r="V72" s="632"/>
      <c r="W72" s="632"/>
      <c r="X72" s="632"/>
      <c r="Y72" s="633"/>
      <c r="Z72" s="631">
        <f>U72+1</f>
        <v>46184</v>
      </c>
      <c r="AA72" s="632"/>
      <c r="AB72" s="632"/>
      <c r="AC72" s="632"/>
      <c r="AD72" s="633"/>
      <c r="AE72" s="631">
        <f>Z72+1</f>
        <v>46185</v>
      </c>
      <c r="AF72" s="632"/>
      <c r="AG72" s="632"/>
      <c r="AH72" s="632"/>
      <c r="AI72" s="633"/>
      <c r="AJ72" s="631">
        <f>AE72+1</f>
        <v>46186</v>
      </c>
      <c r="AK72" s="632"/>
      <c r="AL72" s="632"/>
      <c r="AM72" s="632"/>
      <c r="AN72" s="633"/>
      <c r="AO72" s="631">
        <f>AJ72+1</f>
        <v>46187</v>
      </c>
      <c r="AP72" s="632"/>
      <c r="AQ72" s="632"/>
      <c r="AR72" s="632"/>
      <c r="AS72" s="633"/>
      <c r="AT72" s="631">
        <f>AO72+1</f>
        <v>46188</v>
      </c>
      <c r="AU72" s="632"/>
      <c r="AV72" s="632"/>
      <c r="AW72" s="632"/>
      <c r="AX72" s="633"/>
    </row>
    <row r="73" spans="2:53" ht="15.75">
      <c r="B73" s="642"/>
      <c r="C73" s="642"/>
      <c r="D73" s="642"/>
      <c r="E73" s="642"/>
      <c r="F73" s="642"/>
      <c r="G73" s="642"/>
      <c r="H73" s="642"/>
      <c r="I73" s="204"/>
      <c r="J73" s="204"/>
      <c r="K73" s="204"/>
      <c r="L73" s="204"/>
      <c r="M73" s="205"/>
      <c r="N73" s="630"/>
      <c r="O73" s="630"/>
      <c r="P73" s="631" t="s">
        <v>318</v>
      </c>
      <c r="Q73" s="632"/>
      <c r="R73" s="632"/>
      <c r="S73" s="632"/>
      <c r="T73" s="633"/>
      <c r="U73" s="631" t="s">
        <v>319</v>
      </c>
      <c r="V73" s="632"/>
      <c r="W73" s="632"/>
      <c r="X73" s="632"/>
      <c r="Y73" s="633"/>
      <c r="Z73" s="631" t="s">
        <v>320</v>
      </c>
      <c r="AA73" s="632"/>
      <c r="AB73" s="632"/>
      <c r="AC73" s="632"/>
      <c r="AD73" s="633"/>
      <c r="AE73" s="631" t="s">
        <v>321</v>
      </c>
      <c r="AF73" s="632"/>
      <c r="AG73" s="632"/>
      <c r="AH73" s="632"/>
      <c r="AI73" s="633"/>
      <c r="AJ73" s="631" t="s">
        <v>322</v>
      </c>
      <c r="AK73" s="632"/>
      <c r="AL73" s="632"/>
      <c r="AM73" s="632"/>
      <c r="AN73" s="633"/>
      <c r="AO73" s="631" t="s">
        <v>323</v>
      </c>
      <c r="AP73" s="632"/>
      <c r="AQ73" s="632"/>
      <c r="AR73" s="632"/>
      <c r="AS73" s="633"/>
      <c r="AT73" s="631" t="s">
        <v>324</v>
      </c>
      <c r="AU73" s="632"/>
      <c r="AV73" s="632"/>
      <c r="AW73" s="632"/>
      <c r="AX73" s="633"/>
    </row>
    <row r="74" spans="2:53">
      <c r="B74" s="627" t="s">
        <v>417</v>
      </c>
      <c r="C74" s="627" t="s">
        <v>418</v>
      </c>
      <c r="D74" s="627"/>
      <c r="E74" s="627" t="s">
        <v>419</v>
      </c>
      <c r="F74" s="627"/>
      <c r="G74" s="627"/>
      <c r="H74" s="643" t="s">
        <v>420</v>
      </c>
      <c r="I74" s="611" t="s">
        <v>421</v>
      </c>
      <c r="J74" s="611"/>
      <c r="K74" s="611"/>
      <c r="L74" s="612" t="s">
        <v>420</v>
      </c>
      <c r="M74" s="618" t="s">
        <v>422</v>
      </c>
      <c r="N74" s="627"/>
      <c r="O74" s="627" t="s">
        <v>423</v>
      </c>
      <c r="P74" s="624" t="s">
        <v>424</v>
      </c>
      <c r="Q74" s="625"/>
      <c r="R74" s="625"/>
      <c r="S74" s="626"/>
      <c r="T74" s="627" t="s">
        <v>420</v>
      </c>
      <c r="U74" s="624" t="s">
        <v>424</v>
      </c>
      <c r="V74" s="625"/>
      <c r="W74" s="625"/>
      <c r="X74" s="626"/>
      <c r="Y74" s="627" t="s">
        <v>420</v>
      </c>
      <c r="Z74" s="624" t="s">
        <v>424</v>
      </c>
      <c r="AA74" s="625"/>
      <c r="AB74" s="625"/>
      <c r="AC74" s="626"/>
      <c r="AD74" s="627" t="s">
        <v>420</v>
      </c>
      <c r="AE74" s="624" t="s">
        <v>424</v>
      </c>
      <c r="AF74" s="625"/>
      <c r="AG74" s="625"/>
      <c r="AH74" s="626"/>
      <c r="AI74" s="627" t="s">
        <v>420</v>
      </c>
      <c r="AJ74" s="624" t="s">
        <v>424</v>
      </c>
      <c r="AK74" s="625"/>
      <c r="AL74" s="625"/>
      <c r="AM74" s="626"/>
      <c r="AN74" s="627" t="s">
        <v>420</v>
      </c>
      <c r="AO74" s="624" t="s">
        <v>424</v>
      </c>
      <c r="AP74" s="625"/>
      <c r="AQ74" s="625"/>
      <c r="AR74" s="626"/>
      <c r="AS74" s="627" t="s">
        <v>420</v>
      </c>
      <c r="AT74" s="624" t="s">
        <v>424</v>
      </c>
      <c r="AU74" s="625"/>
      <c r="AV74" s="625"/>
      <c r="AW74" s="626"/>
      <c r="AX74" s="627" t="s">
        <v>420</v>
      </c>
      <c r="BA74" s="627" t="s">
        <v>371</v>
      </c>
    </row>
    <row r="75" spans="2:53">
      <c r="B75" s="627"/>
      <c r="C75" s="627"/>
      <c r="D75" s="627"/>
      <c r="E75" s="627" t="s">
        <v>425</v>
      </c>
      <c r="F75" s="627"/>
      <c r="G75" s="627"/>
      <c r="H75" s="644"/>
      <c r="I75" s="611" t="s">
        <v>425</v>
      </c>
      <c r="J75" s="611"/>
      <c r="K75" s="611"/>
      <c r="L75" s="613"/>
      <c r="M75" s="619"/>
      <c r="N75" s="627"/>
      <c r="O75" s="627"/>
      <c r="P75" s="624" t="s">
        <v>426</v>
      </c>
      <c r="Q75" s="625"/>
      <c r="R75" s="625"/>
      <c r="S75" s="626"/>
      <c r="T75" s="627"/>
      <c r="U75" s="624" t="s">
        <v>426</v>
      </c>
      <c r="V75" s="625"/>
      <c r="W75" s="625"/>
      <c r="X75" s="626"/>
      <c r="Y75" s="627"/>
      <c r="Z75" s="624" t="s">
        <v>426</v>
      </c>
      <c r="AA75" s="625"/>
      <c r="AB75" s="625"/>
      <c r="AC75" s="626"/>
      <c r="AD75" s="627"/>
      <c r="AE75" s="624" t="s">
        <v>426</v>
      </c>
      <c r="AF75" s="625"/>
      <c r="AG75" s="625"/>
      <c r="AH75" s="626"/>
      <c r="AI75" s="627"/>
      <c r="AJ75" s="624" t="s">
        <v>426</v>
      </c>
      <c r="AK75" s="625"/>
      <c r="AL75" s="625"/>
      <c r="AM75" s="626"/>
      <c r="AN75" s="627"/>
      <c r="AO75" s="624" t="s">
        <v>426</v>
      </c>
      <c r="AP75" s="625"/>
      <c r="AQ75" s="625"/>
      <c r="AR75" s="626"/>
      <c r="AS75" s="627"/>
      <c r="AT75" s="624" t="s">
        <v>426</v>
      </c>
      <c r="AU75" s="625"/>
      <c r="AV75" s="625"/>
      <c r="AW75" s="626"/>
      <c r="AX75" s="627"/>
      <c r="BA75" s="627"/>
    </row>
    <row r="76" spans="2:53">
      <c r="B76" s="627"/>
      <c r="C76" s="627"/>
      <c r="D76" s="627"/>
      <c r="E76" s="291" t="s">
        <v>427</v>
      </c>
      <c r="F76" s="291" t="s">
        <v>428</v>
      </c>
      <c r="G76" s="291" t="s">
        <v>429</v>
      </c>
      <c r="H76" s="645"/>
      <c r="I76" s="290" t="s">
        <v>427</v>
      </c>
      <c r="J76" s="290" t="s">
        <v>428</v>
      </c>
      <c r="K76" s="290" t="s">
        <v>429</v>
      </c>
      <c r="L76" s="614"/>
      <c r="M76" s="620"/>
      <c r="N76" s="627"/>
      <c r="O76" s="627"/>
      <c r="P76" s="291" t="s">
        <v>427</v>
      </c>
      <c r="Q76" s="291" t="s">
        <v>428</v>
      </c>
      <c r="R76" s="291" t="s">
        <v>429</v>
      </c>
      <c r="S76" s="291" t="s">
        <v>422</v>
      </c>
      <c r="T76" s="627"/>
      <c r="U76" s="291" t="s">
        <v>427</v>
      </c>
      <c r="V76" s="291" t="s">
        <v>428</v>
      </c>
      <c r="W76" s="291" t="s">
        <v>429</v>
      </c>
      <c r="X76" s="291" t="s">
        <v>422</v>
      </c>
      <c r="Y76" s="627"/>
      <c r="Z76" s="291" t="s">
        <v>427</v>
      </c>
      <c r="AA76" s="291" t="s">
        <v>428</v>
      </c>
      <c r="AB76" s="291" t="s">
        <v>429</v>
      </c>
      <c r="AC76" s="291" t="s">
        <v>422</v>
      </c>
      <c r="AD76" s="627"/>
      <c r="AE76" s="291" t="s">
        <v>427</v>
      </c>
      <c r="AF76" s="291" t="s">
        <v>428</v>
      </c>
      <c r="AG76" s="291" t="s">
        <v>429</v>
      </c>
      <c r="AH76" s="291" t="s">
        <v>422</v>
      </c>
      <c r="AI76" s="627"/>
      <c r="AJ76" s="291" t="s">
        <v>427</v>
      </c>
      <c r="AK76" s="291" t="s">
        <v>428</v>
      </c>
      <c r="AL76" s="291" t="s">
        <v>429</v>
      </c>
      <c r="AM76" s="291" t="s">
        <v>422</v>
      </c>
      <c r="AN76" s="627"/>
      <c r="AO76" s="291" t="s">
        <v>427</v>
      </c>
      <c r="AP76" s="291" t="s">
        <v>428</v>
      </c>
      <c r="AQ76" s="291" t="s">
        <v>429</v>
      </c>
      <c r="AR76" s="291" t="s">
        <v>422</v>
      </c>
      <c r="AS76" s="627"/>
      <c r="AT76" s="291" t="s">
        <v>427</v>
      </c>
      <c r="AU76" s="291" t="s">
        <v>428</v>
      </c>
      <c r="AV76" s="291" t="s">
        <v>429</v>
      </c>
      <c r="AW76" s="291" t="s">
        <v>422</v>
      </c>
      <c r="AX76" s="627"/>
      <c r="AZ76" s="401" t="s">
        <v>372</v>
      </c>
      <c r="BA76" s="627"/>
    </row>
    <row r="77" spans="2:53">
      <c r="B77" s="627" t="s">
        <v>430</v>
      </c>
      <c r="C77" s="292">
        <v>1</v>
      </c>
      <c r="D77" s="225"/>
      <c r="E77" s="420"/>
      <c r="F77" s="413"/>
      <c r="G77" s="414"/>
      <c r="H77" s="677" t="e">
        <f>AVERAGE(G77:G106)</f>
        <v>#DIV/0!</v>
      </c>
      <c r="I77" s="395" t="str">
        <f>IFERROR(AVERAGE(P77,U77,Z77,AE77,AJ77,AO77,AT77),"-")</f>
        <v>-</v>
      </c>
      <c r="J77" s="395" t="str">
        <f>IFERROR(AVERAGE(Q77,V77,AA77,AF77,AK77,AP77,AU77),"-")</f>
        <v>-</v>
      </c>
      <c r="K77" s="199" t="str">
        <f>IFERROR(AVERAGE(R77,W77,AB77,AG77,AL77,AQ77,AV77),"-")</f>
        <v>-</v>
      </c>
      <c r="L77" s="608" t="str">
        <f>IFERROR(AVERAGE(K77:K106),"-")</f>
        <v>-</v>
      </c>
      <c r="M77" s="200" t="e">
        <f>RANK(K77, K$77:$K$106)</f>
        <v>#VALUE!</v>
      </c>
      <c r="N77" s="627"/>
      <c r="O77" s="627"/>
      <c r="P77" s="420"/>
      <c r="Q77" s="420"/>
      <c r="R77" s="420"/>
      <c r="S77" s="500"/>
      <c r="T77" s="649"/>
      <c r="U77" s="420"/>
      <c r="V77" s="420"/>
      <c r="W77" s="420"/>
      <c r="X77" s="500"/>
      <c r="Y77" s="649"/>
      <c r="Z77" s="420"/>
      <c r="AA77" s="420"/>
      <c r="AB77" s="420"/>
      <c r="AC77" s="500"/>
      <c r="AD77" s="649"/>
      <c r="AE77" s="420"/>
      <c r="AF77" s="420"/>
      <c r="AG77" s="420"/>
      <c r="AH77" s="500"/>
      <c r="AI77" s="649"/>
      <c r="AJ77" s="420"/>
      <c r="AK77" s="420"/>
      <c r="AL77" s="420"/>
      <c r="AM77" s="500"/>
      <c r="AN77" s="649"/>
      <c r="AO77" s="420"/>
      <c r="AP77" s="420"/>
      <c r="AQ77" s="420"/>
      <c r="AR77" s="500"/>
      <c r="AS77" s="649"/>
      <c r="AT77" s="420"/>
      <c r="AU77" s="420"/>
      <c r="AV77" s="420"/>
      <c r="AW77" s="500"/>
      <c r="AX77" s="649"/>
      <c r="AZ77" s="402" t="e">
        <f>RANK(AY77, AY$77:AY$106)</f>
        <v>#N/A</v>
      </c>
      <c r="BA77" s="649" t="e">
        <f>AVERAGE(AY77:AY106)</f>
        <v>#DIV/0!</v>
      </c>
    </row>
    <row r="78" spans="2:53">
      <c r="B78" s="635"/>
      <c r="C78" s="292">
        <v>2</v>
      </c>
      <c r="D78" s="225"/>
      <c r="E78" s="420"/>
      <c r="F78" s="413"/>
      <c r="G78" s="414"/>
      <c r="H78" s="678"/>
      <c r="I78" s="395" t="str">
        <f t="shared" ref="I78:I106" si="22">IFERROR(AVERAGE(P78,U78,Z78,AE78,AJ78,AO78,AT78),"-")</f>
        <v>-</v>
      </c>
      <c r="J78" s="395" t="str">
        <f t="shared" ref="J78:J106" si="23">IFERROR(AVERAGE(Q78,V78,AA78,AF78,AK78,AP78,AU78),"-")</f>
        <v>-</v>
      </c>
      <c r="K78" s="199" t="str">
        <f t="shared" ref="K78:K106" si="24">IFERROR(AVERAGE(R78,W78,AB78,AG78,AL78,AQ78,AV78),"-")</f>
        <v>-</v>
      </c>
      <c r="L78" s="609"/>
      <c r="M78" s="200" t="e">
        <f>RANK(K78, K$77:$K$106)</f>
        <v>#VALUE!</v>
      </c>
      <c r="N78" s="627"/>
      <c r="O78" s="627"/>
      <c r="P78" s="420"/>
      <c r="Q78" s="420"/>
      <c r="R78" s="420"/>
      <c r="S78" s="500"/>
      <c r="T78" s="649"/>
      <c r="U78" s="420"/>
      <c r="V78" s="420"/>
      <c r="W78" s="420"/>
      <c r="X78" s="500"/>
      <c r="Y78" s="649"/>
      <c r="Z78" s="420"/>
      <c r="AA78" s="420"/>
      <c r="AB78" s="420"/>
      <c r="AC78" s="500"/>
      <c r="AD78" s="649"/>
      <c r="AE78" s="420"/>
      <c r="AF78" s="420"/>
      <c r="AG78" s="420"/>
      <c r="AH78" s="500"/>
      <c r="AI78" s="649"/>
      <c r="AJ78" s="420"/>
      <c r="AK78" s="420"/>
      <c r="AL78" s="420"/>
      <c r="AM78" s="500"/>
      <c r="AN78" s="649"/>
      <c r="AO78" s="420"/>
      <c r="AP78" s="420"/>
      <c r="AQ78" s="420"/>
      <c r="AR78" s="500"/>
      <c r="AS78" s="649"/>
      <c r="AT78" s="420"/>
      <c r="AU78" s="420"/>
      <c r="AV78" s="420"/>
      <c r="AW78" s="500"/>
      <c r="AX78" s="649"/>
      <c r="AZ78" s="402" t="e">
        <f t="shared" ref="AZ78:AZ106" si="25">RANK(AY78, AY$77:AY$106)</f>
        <v>#N/A</v>
      </c>
      <c r="BA78" s="649"/>
    </row>
    <row r="79" spans="2:53">
      <c r="B79" s="635"/>
      <c r="C79" s="292">
        <v>3</v>
      </c>
      <c r="D79" s="225"/>
      <c r="E79" s="420"/>
      <c r="F79" s="413"/>
      <c r="G79" s="414"/>
      <c r="H79" s="678"/>
      <c r="I79" s="395" t="str">
        <f t="shared" si="22"/>
        <v>-</v>
      </c>
      <c r="J79" s="395" t="str">
        <f t="shared" si="23"/>
        <v>-</v>
      </c>
      <c r="K79" s="199" t="str">
        <f t="shared" si="24"/>
        <v>-</v>
      </c>
      <c r="L79" s="609"/>
      <c r="M79" s="200" t="e">
        <f>RANK(K79, K$77:$K$106)</f>
        <v>#VALUE!</v>
      </c>
      <c r="N79" s="627"/>
      <c r="O79" s="627"/>
      <c r="P79" s="420"/>
      <c r="Q79" s="420"/>
      <c r="R79" s="420"/>
      <c r="S79" s="500"/>
      <c r="T79" s="649"/>
      <c r="U79" s="420"/>
      <c r="V79" s="420"/>
      <c r="W79" s="420"/>
      <c r="X79" s="500"/>
      <c r="Y79" s="649"/>
      <c r="Z79" s="420"/>
      <c r="AA79" s="420"/>
      <c r="AB79" s="420"/>
      <c r="AC79" s="500"/>
      <c r="AD79" s="649"/>
      <c r="AE79" s="420"/>
      <c r="AF79" s="420"/>
      <c r="AG79" s="420"/>
      <c r="AH79" s="500"/>
      <c r="AI79" s="649"/>
      <c r="AJ79" s="420"/>
      <c r="AK79" s="420"/>
      <c r="AL79" s="420"/>
      <c r="AM79" s="500"/>
      <c r="AN79" s="649"/>
      <c r="AO79" s="420"/>
      <c r="AP79" s="420"/>
      <c r="AQ79" s="420"/>
      <c r="AR79" s="500"/>
      <c r="AS79" s="649"/>
      <c r="AT79" s="420"/>
      <c r="AU79" s="420"/>
      <c r="AV79" s="420"/>
      <c r="AW79" s="500"/>
      <c r="AX79" s="649"/>
      <c r="AZ79" s="402" t="e">
        <f t="shared" si="25"/>
        <v>#N/A</v>
      </c>
      <c r="BA79" s="649"/>
    </row>
    <row r="80" spans="2:53">
      <c r="B80" s="635"/>
      <c r="C80" s="292">
        <v>4</v>
      </c>
      <c r="D80" s="225"/>
      <c r="E80" s="420"/>
      <c r="F80" s="413"/>
      <c r="G80" s="414"/>
      <c r="H80" s="678"/>
      <c r="I80" s="395" t="str">
        <f t="shared" si="22"/>
        <v>-</v>
      </c>
      <c r="J80" s="395" t="str">
        <f t="shared" si="23"/>
        <v>-</v>
      </c>
      <c r="K80" s="199" t="str">
        <f t="shared" si="24"/>
        <v>-</v>
      </c>
      <c r="L80" s="609"/>
      <c r="M80" s="200" t="e">
        <f>RANK(K80, K$77:$K$106)</f>
        <v>#VALUE!</v>
      </c>
      <c r="N80" s="627"/>
      <c r="O80" s="627"/>
      <c r="P80" s="420"/>
      <c r="Q80" s="420"/>
      <c r="R80" s="420"/>
      <c r="S80" s="500"/>
      <c r="T80" s="649"/>
      <c r="U80" s="420"/>
      <c r="V80" s="420"/>
      <c r="W80" s="420"/>
      <c r="X80" s="500"/>
      <c r="Y80" s="649"/>
      <c r="Z80" s="420"/>
      <c r="AA80" s="420"/>
      <c r="AB80" s="420"/>
      <c r="AC80" s="500"/>
      <c r="AD80" s="649"/>
      <c r="AE80" s="420"/>
      <c r="AF80" s="420"/>
      <c r="AG80" s="420"/>
      <c r="AH80" s="500"/>
      <c r="AI80" s="649"/>
      <c r="AJ80" s="420"/>
      <c r="AK80" s="420"/>
      <c r="AL80" s="420"/>
      <c r="AM80" s="500"/>
      <c r="AN80" s="649"/>
      <c r="AO80" s="420"/>
      <c r="AP80" s="420"/>
      <c r="AQ80" s="420"/>
      <c r="AR80" s="500"/>
      <c r="AS80" s="649"/>
      <c r="AT80" s="420"/>
      <c r="AU80" s="420"/>
      <c r="AV80" s="420"/>
      <c r="AW80" s="500"/>
      <c r="AX80" s="649"/>
      <c r="AZ80" s="402" t="e">
        <f t="shared" si="25"/>
        <v>#N/A</v>
      </c>
      <c r="BA80" s="649"/>
    </row>
    <row r="81" spans="2:53">
      <c r="B81" s="635"/>
      <c r="C81" s="292">
        <v>5</v>
      </c>
      <c r="D81" s="225"/>
      <c r="E81" s="420"/>
      <c r="F81" s="413"/>
      <c r="G81" s="414"/>
      <c r="H81" s="678"/>
      <c r="I81" s="395" t="str">
        <f t="shared" si="22"/>
        <v>-</v>
      </c>
      <c r="J81" s="395" t="str">
        <f t="shared" si="23"/>
        <v>-</v>
      </c>
      <c r="K81" s="199" t="str">
        <f t="shared" si="24"/>
        <v>-</v>
      </c>
      <c r="L81" s="609"/>
      <c r="M81" s="200" t="e">
        <f>RANK(K81, K$77:$K$106)</f>
        <v>#VALUE!</v>
      </c>
      <c r="N81" s="627"/>
      <c r="O81" s="627"/>
      <c r="P81" s="420"/>
      <c r="Q81" s="420"/>
      <c r="R81" s="420"/>
      <c r="S81" s="500"/>
      <c r="T81" s="649"/>
      <c r="U81" s="420"/>
      <c r="V81" s="420"/>
      <c r="W81" s="420"/>
      <c r="X81" s="500"/>
      <c r="Y81" s="649"/>
      <c r="Z81" s="420"/>
      <c r="AA81" s="420"/>
      <c r="AB81" s="420"/>
      <c r="AC81" s="500"/>
      <c r="AD81" s="649"/>
      <c r="AE81" s="420"/>
      <c r="AF81" s="420"/>
      <c r="AG81" s="420"/>
      <c r="AH81" s="500"/>
      <c r="AI81" s="649"/>
      <c r="AJ81" s="420"/>
      <c r="AK81" s="420"/>
      <c r="AL81" s="420"/>
      <c r="AM81" s="500"/>
      <c r="AN81" s="649"/>
      <c r="AO81" s="420"/>
      <c r="AP81" s="420"/>
      <c r="AQ81" s="420"/>
      <c r="AR81" s="500"/>
      <c r="AS81" s="649"/>
      <c r="AT81" s="420"/>
      <c r="AU81" s="420"/>
      <c r="AV81" s="420"/>
      <c r="AW81" s="500"/>
      <c r="AX81" s="649"/>
      <c r="AZ81" s="402" t="e">
        <f t="shared" si="25"/>
        <v>#N/A</v>
      </c>
      <c r="BA81" s="649"/>
    </row>
    <row r="82" spans="2:53">
      <c r="B82" s="635"/>
      <c r="C82" s="292">
        <v>6</v>
      </c>
      <c r="D82" s="225"/>
      <c r="E82" s="420"/>
      <c r="F82" s="413"/>
      <c r="G82" s="414"/>
      <c r="H82" s="678"/>
      <c r="I82" s="395" t="str">
        <f t="shared" si="22"/>
        <v>-</v>
      </c>
      <c r="J82" s="395" t="str">
        <f t="shared" si="23"/>
        <v>-</v>
      </c>
      <c r="K82" s="199" t="str">
        <f t="shared" si="24"/>
        <v>-</v>
      </c>
      <c r="L82" s="609"/>
      <c r="M82" s="200" t="e">
        <f>RANK(K82, K$77:$K$106)</f>
        <v>#VALUE!</v>
      </c>
      <c r="N82" s="627"/>
      <c r="O82" s="627"/>
      <c r="P82" s="420"/>
      <c r="Q82" s="420"/>
      <c r="R82" s="420"/>
      <c r="S82" s="500"/>
      <c r="T82" s="649"/>
      <c r="U82" s="420"/>
      <c r="V82" s="420"/>
      <c r="W82" s="420"/>
      <c r="X82" s="500"/>
      <c r="Y82" s="649"/>
      <c r="Z82" s="420"/>
      <c r="AA82" s="420"/>
      <c r="AB82" s="420"/>
      <c r="AC82" s="500"/>
      <c r="AD82" s="649"/>
      <c r="AE82" s="420"/>
      <c r="AF82" s="420"/>
      <c r="AG82" s="420"/>
      <c r="AH82" s="500"/>
      <c r="AI82" s="649"/>
      <c r="AJ82" s="420"/>
      <c r="AK82" s="420"/>
      <c r="AL82" s="420"/>
      <c r="AM82" s="500"/>
      <c r="AN82" s="649"/>
      <c r="AO82" s="420"/>
      <c r="AP82" s="420"/>
      <c r="AQ82" s="420"/>
      <c r="AR82" s="500"/>
      <c r="AS82" s="649"/>
      <c r="AT82" s="420"/>
      <c r="AU82" s="420"/>
      <c r="AV82" s="420"/>
      <c r="AW82" s="500"/>
      <c r="AX82" s="649"/>
      <c r="AZ82" s="402" t="e">
        <f t="shared" si="25"/>
        <v>#N/A</v>
      </c>
      <c r="BA82" s="649"/>
    </row>
    <row r="83" spans="2:53">
      <c r="B83" s="635"/>
      <c r="C83" s="292">
        <v>7</v>
      </c>
      <c r="D83" s="225"/>
      <c r="E83" s="420"/>
      <c r="F83" s="413"/>
      <c r="G83" s="414"/>
      <c r="H83" s="678"/>
      <c r="I83" s="395" t="str">
        <f t="shared" si="22"/>
        <v>-</v>
      </c>
      <c r="J83" s="395" t="str">
        <f t="shared" si="23"/>
        <v>-</v>
      </c>
      <c r="K83" s="199" t="str">
        <f t="shared" si="24"/>
        <v>-</v>
      </c>
      <c r="L83" s="609"/>
      <c r="M83" s="200" t="e">
        <f>RANK(K83, K$77:$K$106)</f>
        <v>#VALUE!</v>
      </c>
      <c r="N83" s="627"/>
      <c r="O83" s="627"/>
      <c r="P83" s="420"/>
      <c r="Q83" s="420"/>
      <c r="R83" s="420"/>
      <c r="S83" s="500"/>
      <c r="T83" s="649"/>
      <c r="U83" s="420"/>
      <c r="V83" s="420"/>
      <c r="W83" s="420"/>
      <c r="X83" s="500"/>
      <c r="Y83" s="649"/>
      <c r="Z83" s="420"/>
      <c r="AA83" s="420"/>
      <c r="AB83" s="420"/>
      <c r="AC83" s="500"/>
      <c r="AD83" s="649"/>
      <c r="AE83" s="420"/>
      <c r="AF83" s="420"/>
      <c r="AG83" s="420"/>
      <c r="AH83" s="500"/>
      <c r="AI83" s="649"/>
      <c r="AJ83" s="420"/>
      <c r="AK83" s="420"/>
      <c r="AL83" s="420"/>
      <c r="AM83" s="500"/>
      <c r="AN83" s="649"/>
      <c r="AO83" s="420"/>
      <c r="AP83" s="420"/>
      <c r="AQ83" s="420"/>
      <c r="AR83" s="500"/>
      <c r="AS83" s="649"/>
      <c r="AT83" s="420"/>
      <c r="AU83" s="420"/>
      <c r="AV83" s="420"/>
      <c r="AW83" s="500"/>
      <c r="AX83" s="649"/>
      <c r="AZ83" s="402" t="e">
        <f t="shared" si="25"/>
        <v>#N/A</v>
      </c>
      <c r="BA83" s="649"/>
    </row>
    <row r="84" spans="2:53">
      <c r="B84" s="635"/>
      <c r="C84" s="292">
        <v>8</v>
      </c>
      <c r="D84" s="225"/>
      <c r="E84" s="420"/>
      <c r="F84" s="413"/>
      <c r="G84" s="414"/>
      <c r="H84" s="678"/>
      <c r="I84" s="395" t="str">
        <f t="shared" si="22"/>
        <v>-</v>
      </c>
      <c r="J84" s="395" t="str">
        <f t="shared" si="23"/>
        <v>-</v>
      </c>
      <c r="K84" s="199" t="str">
        <f t="shared" si="24"/>
        <v>-</v>
      </c>
      <c r="L84" s="609"/>
      <c r="M84" s="200" t="e">
        <f>RANK(K84, K$77:$K$106)</f>
        <v>#VALUE!</v>
      </c>
      <c r="N84" s="627"/>
      <c r="O84" s="627"/>
      <c r="P84" s="420"/>
      <c r="Q84" s="420"/>
      <c r="R84" s="420"/>
      <c r="S84" s="500"/>
      <c r="T84" s="649"/>
      <c r="U84" s="420"/>
      <c r="V84" s="420"/>
      <c r="W84" s="420"/>
      <c r="X84" s="500"/>
      <c r="Y84" s="649"/>
      <c r="Z84" s="420"/>
      <c r="AA84" s="420"/>
      <c r="AB84" s="420"/>
      <c r="AC84" s="500"/>
      <c r="AD84" s="649"/>
      <c r="AE84" s="420"/>
      <c r="AF84" s="420"/>
      <c r="AG84" s="420"/>
      <c r="AH84" s="500"/>
      <c r="AI84" s="649"/>
      <c r="AJ84" s="420"/>
      <c r="AK84" s="420"/>
      <c r="AL84" s="420"/>
      <c r="AM84" s="500"/>
      <c r="AN84" s="649"/>
      <c r="AO84" s="420"/>
      <c r="AP84" s="420"/>
      <c r="AQ84" s="420"/>
      <c r="AR84" s="500"/>
      <c r="AS84" s="649"/>
      <c r="AT84" s="420"/>
      <c r="AU84" s="420"/>
      <c r="AV84" s="420"/>
      <c r="AW84" s="500"/>
      <c r="AX84" s="649"/>
      <c r="AZ84" s="402" t="e">
        <f t="shared" si="25"/>
        <v>#N/A</v>
      </c>
      <c r="BA84" s="649"/>
    </row>
    <row r="85" spans="2:53">
      <c r="B85" s="635"/>
      <c r="C85" s="292">
        <v>9</v>
      </c>
      <c r="D85" s="225"/>
      <c r="E85" s="420"/>
      <c r="F85" s="413"/>
      <c r="G85" s="414"/>
      <c r="H85" s="678"/>
      <c r="I85" s="395" t="str">
        <f t="shared" si="22"/>
        <v>-</v>
      </c>
      <c r="J85" s="395" t="str">
        <f t="shared" si="23"/>
        <v>-</v>
      </c>
      <c r="K85" s="199" t="str">
        <f t="shared" si="24"/>
        <v>-</v>
      </c>
      <c r="L85" s="609"/>
      <c r="M85" s="200" t="e">
        <f>RANK(K85, K$77:$K$106)</f>
        <v>#VALUE!</v>
      </c>
      <c r="N85" s="627"/>
      <c r="O85" s="627"/>
      <c r="P85" s="420"/>
      <c r="Q85" s="420"/>
      <c r="R85" s="420"/>
      <c r="S85" s="500"/>
      <c r="T85" s="649"/>
      <c r="U85" s="420"/>
      <c r="V85" s="420"/>
      <c r="W85" s="420"/>
      <c r="X85" s="500"/>
      <c r="Y85" s="649"/>
      <c r="Z85" s="420"/>
      <c r="AA85" s="420"/>
      <c r="AB85" s="420"/>
      <c r="AC85" s="500"/>
      <c r="AD85" s="649"/>
      <c r="AE85" s="420"/>
      <c r="AF85" s="420"/>
      <c r="AG85" s="420"/>
      <c r="AH85" s="500"/>
      <c r="AI85" s="649"/>
      <c r="AJ85" s="420"/>
      <c r="AK85" s="420"/>
      <c r="AL85" s="420"/>
      <c r="AM85" s="500"/>
      <c r="AN85" s="649"/>
      <c r="AO85" s="420"/>
      <c r="AP85" s="420"/>
      <c r="AQ85" s="420"/>
      <c r="AR85" s="500"/>
      <c r="AS85" s="649"/>
      <c r="AT85" s="420"/>
      <c r="AU85" s="420"/>
      <c r="AV85" s="420"/>
      <c r="AW85" s="500"/>
      <c r="AX85" s="649"/>
      <c r="AZ85" s="402" t="e">
        <f t="shared" si="25"/>
        <v>#N/A</v>
      </c>
      <c r="BA85" s="649"/>
    </row>
    <row r="86" spans="2:53">
      <c r="B86" s="635"/>
      <c r="C86" s="292">
        <v>10</v>
      </c>
      <c r="D86" s="225"/>
      <c r="E86" s="420"/>
      <c r="F86" s="413"/>
      <c r="G86" s="414"/>
      <c r="H86" s="678"/>
      <c r="I86" s="395" t="str">
        <f t="shared" si="22"/>
        <v>-</v>
      </c>
      <c r="J86" s="395" t="str">
        <f t="shared" si="23"/>
        <v>-</v>
      </c>
      <c r="K86" s="199" t="str">
        <f t="shared" si="24"/>
        <v>-</v>
      </c>
      <c r="L86" s="609"/>
      <c r="M86" s="200" t="e">
        <f>RANK(K86, K$77:$K$106)</f>
        <v>#VALUE!</v>
      </c>
      <c r="N86" s="627"/>
      <c r="O86" s="627"/>
      <c r="P86" s="420"/>
      <c r="Q86" s="420"/>
      <c r="R86" s="420"/>
      <c r="S86" s="500"/>
      <c r="T86" s="649"/>
      <c r="U86" s="420"/>
      <c r="V86" s="420"/>
      <c r="W86" s="420"/>
      <c r="X86" s="500"/>
      <c r="Y86" s="649"/>
      <c r="Z86" s="420"/>
      <c r="AA86" s="420"/>
      <c r="AB86" s="420"/>
      <c r="AC86" s="500"/>
      <c r="AD86" s="649"/>
      <c r="AE86" s="420"/>
      <c r="AF86" s="420"/>
      <c r="AG86" s="420"/>
      <c r="AH86" s="500"/>
      <c r="AI86" s="649"/>
      <c r="AJ86" s="420"/>
      <c r="AK86" s="420"/>
      <c r="AL86" s="420"/>
      <c r="AM86" s="500"/>
      <c r="AN86" s="649"/>
      <c r="AO86" s="420"/>
      <c r="AP86" s="420"/>
      <c r="AQ86" s="420"/>
      <c r="AR86" s="500"/>
      <c r="AS86" s="649"/>
      <c r="AT86" s="420"/>
      <c r="AU86" s="420"/>
      <c r="AV86" s="420"/>
      <c r="AW86" s="500"/>
      <c r="AX86" s="649"/>
      <c r="AZ86" s="402" t="e">
        <f t="shared" si="25"/>
        <v>#N/A</v>
      </c>
      <c r="BA86" s="649"/>
    </row>
    <row r="87" spans="2:53">
      <c r="B87" s="635"/>
      <c r="C87" s="292">
        <v>11</v>
      </c>
      <c r="D87" s="225"/>
      <c r="E87" s="420"/>
      <c r="F87" s="413"/>
      <c r="G87" s="414"/>
      <c r="H87" s="678"/>
      <c r="I87" s="395" t="str">
        <f t="shared" si="22"/>
        <v>-</v>
      </c>
      <c r="J87" s="395" t="str">
        <f t="shared" si="23"/>
        <v>-</v>
      </c>
      <c r="K87" s="199" t="str">
        <f t="shared" si="24"/>
        <v>-</v>
      </c>
      <c r="L87" s="609"/>
      <c r="M87" s="200" t="e">
        <f>RANK(K87, K$77:$K$106)</f>
        <v>#VALUE!</v>
      </c>
      <c r="N87" s="627"/>
      <c r="O87" s="627"/>
      <c r="P87" s="420"/>
      <c r="Q87" s="420"/>
      <c r="R87" s="420"/>
      <c r="S87" s="500"/>
      <c r="T87" s="649"/>
      <c r="U87" s="420"/>
      <c r="V87" s="420"/>
      <c r="W87" s="420"/>
      <c r="X87" s="500"/>
      <c r="Y87" s="649"/>
      <c r="Z87" s="420"/>
      <c r="AA87" s="420"/>
      <c r="AB87" s="420"/>
      <c r="AC87" s="500"/>
      <c r="AD87" s="649"/>
      <c r="AE87" s="420"/>
      <c r="AF87" s="420"/>
      <c r="AG87" s="420"/>
      <c r="AH87" s="500"/>
      <c r="AI87" s="649"/>
      <c r="AJ87" s="420"/>
      <c r="AK87" s="420"/>
      <c r="AL87" s="420"/>
      <c r="AM87" s="500"/>
      <c r="AN87" s="649"/>
      <c r="AO87" s="420"/>
      <c r="AP87" s="420"/>
      <c r="AQ87" s="420"/>
      <c r="AR87" s="500"/>
      <c r="AS87" s="649"/>
      <c r="AT87" s="420"/>
      <c r="AU87" s="420"/>
      <c r="AV87" s="420"/>
      <c r="AW87" s="500"/>
      <c r="AX87" s="649"/>
      <c r="AZ87" s="402" t="e">
        <f t="shared" si="25"/>
        <v>#N/A</v>
      </c>
      <c r="BA87" s="649"/>
    </row>
    <row r="88" spans="2:53">
      <c r="B88" s="635"/>
      <c r="C88" s="292">
        <v>12</v>
      </c>
      <c r="D88" s="225"/>
      <c r="E88" s="420"/>
      <c r="F88" s="413"/>
      <c r="G88" s="414"/>
      <c r="H88" s="678"/>
      <c r="I88" s="395" t="str">
        <f t="shared" si="22"/>
        <v>-</v>
      </c>
      <c r="J88" s="395" t="str">
        <f t="shared" si="23"/>
        <v>-</v>
      </c>
      <c r="K88" s="199" t="str">
        <f t="shared" si="24"/>
        <v>-</v>
      </c>
      <c r="L88" s="609"/>
      <c r="M88" s="200" t="e">
        <f>RANK(K88, K$77:$K$106)</f>
        <v>#VALUE!</v>
      </c>
      <c r="N88" s="627"/>
      <c r="O88" s="627"/>
      <c r="P88" s="420"/>
      <c r="Q88" s="420"/>
      <c r="R88" s="420"/>
      <c r="S88" s="500"/>
      <c r="T88" s="649"/>
      <c r="U88" s="420"/>
      <c r="V88" s="420"/>
      <c r="W88" s="420"/>
      <c r="X88" s="500"/>
      <c r="Y88" s="649"/>
      <c r="Z88" s="420"/>
      <c r="AA88" s="420"/>
      <c r="AB88" s="420"/>
      <c r="AC88" s="500"/>
      <c r="AD88" s="649"/>
      <c r="AE88" s="420"/>
      <c r="AF88" s="420"/>
      <c r="AG88" s="420"/>
      <c r="AH88" s="500"/>
      <c r="AI88" s="649"/>
      <c r="AJ88" s="420"/>
      <c r="AK88" s="420"/>
      <c r="AL88" s="420"/>
      <c r="AM88" s="500"/>
      <c r="AN88" s="649"/>
      <c r="AO88" s="420"/>
      <c r="AP88" s="420"/>
      <c r="AQ88" s="420"/>
      <c r="AR88" s="500"/>
      <c r="AS88" s="649"/>
      <c r="AT88" s="420"/>
      <c r="AU88" s="420"/>
      <c r="AV88" s="420"/>
      <c r="AW88" s="500"/>
      <c r="AX88" s="649"/>
      <c r="AZ88" s="402" t="e">
        <f t="shared" si="25"/>
        <v>#N/A</v>
      </c>
      <c r="BA88" s="649"/>
    </row>
    <row r="89" spans="2:53">
      <c r="B89" s="635"/>
      <c r="C89" s="292">
        <v>13</v>
      </c>
      <c r="D89" s="225"/>
      <c r="E89" s="420"/>
      <c r="F89" s="413"/>
      <c r="G89" s="414"/>
      <c r="H89" s="678"/>
      <c r="I89" s="395" t="str">
        <f t="shared" si="22"/>
        <v>-</v>
      </c>
      <c r="J89" s="395" t="str">
        <f t="shared" si="23"/>
        <v>-</v>
      </c>
      <c r="K89" s="199" t="str">
        <f t="shared" si="24"/>
        <v>-</v>
      </c>
      <c r="L89" s="609"/>
      <c r="M89" s="200" t="e">
        <f>RANK(K89, K$77:$K$106)</f>
        <v>#VALUE!</v>
      </c>
      <c r="N89" s="627"/>
      <c r="O89" s="627"/>
      <c r="P89" s="420"/>
      <c r="Q89" s="420"/>
      <c r="R89" s="420"/>
      <c r="S89" s="500"/>
      <c r="T89" s="649"/>
      <c r="U89" s="420"/>
      <c r="V89" s="420"/>
      <c r="W89" s="420"/>
      <c r="X89" s="500"/>
      <c r="Y89" s="649"/>
      <c r="Z89" s="420"/>
      <c r="AA89" s="420"/>
      <c r="AB89" s="420"/>
      <c r="AC89" s="500"/>
      <c r="AD89" s="649"/>
      <c r="AE89" s="420"/>
      <c r="AF89" s="420"/>
      <c r="AG89" s="420"/>
      <c r="AH89" s="500"/>
      <c r="AI89" s="649"/>
      <c r="AJ89" s="420"/>
      <c r="AK89" s="420"/>
      <c r="AL89" s="420"/>
      <c r="AM89" s="500"/>
      <c r="AN89" s="649"/>
      <c r="AO89" s="420"/>
      <c r="AP89" s="420"/>
      <c r="AQ89" s="420"/>
      <c r="AR89" s="500"/>
      <c r="AS89" s="649"/>
      <c r="AT89" s="420"/>
      <c r="AU89" s="420"/>
      <c r="AV89" s="420"/>
      <c r="AW89" s="500"/>
      <c r="AX89" s="649"/>
      <c r="AZ89" s="402" t="e">
        <f t="shared" si="25"/>
        <v>#N/A</v>
      </c>
      <c r="BA89" s="649"/>
    </row>
    <row r="90" spans="2:53">
      <c r="B90" s="635"/>
      <c r="C90" s="292">
        <v>14</v>
      </c>
      <c r="D90" s="225"/>
      <c r="E90" s="420"/>
      <c r="F90" s="413"/>
      <c r="G90" s="414"/>
      <c r="H90" s="678"/>
      <c r="I90" s="395" t="str">
        <f t="shared" si="22"/>
        <v>-</v>
      </c>
      <c r="J90" s="395" t="str">
        <f t="shared" si="23"/>
        <v>-</v>
      </c>
      <c r="K90" s="199" t="str">
        <f t="shared" si="24"/>
        <v>-</v>
      </c>
      <c r="L90" s="609"/>
      <c r="M90" s="200" t="e">
        <f>RANK(K90, K$77:$K$106)</f>
        <v>#VALUE!</v>
      </c>
      <c r="N90" s="627"/>
      <c r="O90" s="627"/>
      <c r="P90" s="420"/>
      <c r="Q90" s="420"/>
      <c r="R90" s="420"/>
      <c r="S90" s="500"/>
      <c r="T90" s="649"/>
      <c r="U90" s="420"/>
      <c r="V90" s="420"/>
      <c r="W90" s="420"/>
      <c r="X90" s="500"/>
      <c r="Y90" s="649"/>
      <c r="Z90" s="420"/>
      <c r="AA90" s="420"/>
      <c r="AB90" s="420"/>
      <c r="AC90" s="500"/>
      <c r="AD90" s="649"/>
      <c r="AE90" s="420"/>
      <c r="AF90" s="420"/>
      <c r="AG90" s="420"/>
      <c r="AH90" s="500"/>
      <c r="AI90" s="649"/>
      <c r="AJ90" s="420"/>
      <c r="AK90" s="420"/>
      <c r="AL90" s="420"/>
      <c r="AM90" s="500"/>
      <c r="AN90" s="649"/>
      <c r="AO90" s="420"/>
      <c r="AP90" s="420"/>
      <c r="AQ90" s="420"/>
      <c r="AR90" s="500"/>
      <c r="AS90" s="649"/>
      <c r="AT90" s="420"/>
      <c r="AU90" s="420"/>
      <c r="AV90" s="420"/>
      <c r="AW90" s="500"/>
      <c r="AX90" s="649"/>
      <c r="AZ90" s="402" t="e">
        <f t="shared" si="25"/>
        <v>#N/A</v>
      </c>
      <c r="BA90" s="649"/>
    </row>
    <row r="91" spans="2:53">
      <c r="B91" s="635"/>
      <c r="C91" s="292">
        <v>15</v>
      </c>
      <c r="D91" s="225"/>
      <c r="E91" s="420"/>
      <c r="F91" s="413"/>
      <c r="G91" s="414"/>
      <c r="H91" s="678"/>
      <c r="I91" s="395" t="str">
        <f t="shared" si="22"/>
        <v>-</v>
      </c>
      <c r="J91" s="395" t="str">
        <f t="shared" si="23"/>
        <v>-</v>
      </c>
      <c r="K91" s="199" t="str">
        <f t="shared" si="24"/>
        <v>-</v>
      </c>
      <c r="L91" s="609"/>
      <c r="M91" s="200" t="e">
        <f>RANK(K91, K$77:$K$106)</f>
        <v>#VALUE!</v>
      </c>
      <c r="N91" s="627"/>
      <c r="O91" s="627"/>
      <c r="P91" s="420"/>
      <c r="Q91" s="420"/>
      <c r="R91" s="420"/>
      <c r="S91" s="500"/>
      <c r="T91" s="649"/>
      <c r="U91" s="420"/>
      <c r="V91" s="420"/>
      <c r="W91" s="420"/>
      <c r="X91" s="500"/>
      <c r="Y91" s="649"/>
      <c r="Z91" s="420"/>
      <c r="AA91" s="420"/>
      <c r="AB91" s="420"/>
      <c r="AC91" s="500"/>
      <c r="AD91" s="649"/>
      <c r="AE91" s="420"/>
      <c r="AF91" s="420"/>
      <c r="AG91" s="420"/>
      <c r="AH91" s="500"/>
      <c r="AI91" s="649"/>
      <c r="AJ91" s="420"/>
      <c r="AK91" s="420"/>
      <c r="AL91" s="420"/>
      <c r="AM91" s="500"/>
      <c r="AN91" s="649"/>
      <c r="AO91" s="420"/>
      <c r="AP91" s="420"/>
      <c r="AQ91" s="420"/>
      <c r="AR91" s="500"/>
      <c r="AS91" s="649"/>
      <c r="AT91" s="420"/>
      <c r="AU91" s="420"/>
      <c r="AV91" s="420"/>
      <c r="AW91" s="500"/>
      <c r="AX91" s="649"/>
      <c r="AZ91" s="402" t="e">
        <f t="shared" si="25"/>
        <v>#N/A</v>
      </c>
      <c r="BA91" s="649"/>
    </row>
    <row r="92" spans="2:53">
      <c r="B92" s="635"/>
      <c r="C92" s="292">
        <v>16</v>
      </c>
      <c r="D92" s="225"/>
      <c r="E92" s="420"/>
      <c r="F92" s="413"/>
      <c r="G92" s="414"/>
      <c r="H92" s="678"/>
      <c r="I92" s="395" t="str">
        <f t="shared" si="22"/>
        <v>-</v>
      </c>
      <c r="J92" s="395" t="str">
        <f t="shared" si="23"/>
        <v>-</v>
      </c>
      <c r="K92" s="199" t="str">
        <f t="shared" si="24"/>
        <v>-</v>
      </c>
      <c r="L92" s="609"/>
      <c r="M92" s="200" t="e">
        <f>RANK(K92, K$77:$K$106)</f>
        <v>#VALUE!</v>
      </c>
      <c r="N92" s="627"/>
      <c r="O92" s="627"/>
      <c r="P92" s="420"/>
      <c r="Q92" s="420"/>
      <c r="R92" s="420"/>
      <c r="S92" s="500"/>
      <c r="T92" s="649"/>
      <c r="U92" s="420"/>
      <c r="V92" s="420"/>
      <c r="W92" s="420"/>
      <c r="X92" s="500"/>
      <c r="Y92" s="649"/>
      <c r="Z92" s="420"/>
      <c r="AA92" s="420"/>
      <c r="AB92" s="420"/>
      <c r="AC92" s="500"/>
      <c r="AD92" s="649"/>
      <c r="AE92" s="420"/>
      <c r="AF92" s="420"/>
      <c r="AG92" s="420"/>
      <c r="AH92" s="500"/>
      <c r="AI92" s="649"/>
      <c r="AJ92" s="420"/>
      <c r="AK92" s="420"/>
      <c r="AL92" s="420"/>
      <c r="AM92" s="500"/>
      <c r="AN92" s="649"/>
      <c r="AO92" s="420"/>
      <c r="AP92" s="420"/>
      <c r="AQ92" s="420"/>
      <c r="AR92" s="500"/>
      <c r="AS92" s="649"/>
      <c r="AT92" s="420"/>
      <c r="AU92" s="420"/>
      <c r="AV92" s="420"/>
      <c r="AW92" s="500"/>
      <c r="AX92" s="649"/>
      <c r="AZ92" s="402" t="e">
        <f t="shared" si="25"/>
        <v>#N/A</v>
      </c>
      <c r="BA92" s="649"/>
    </row>
    <row r="93" spans="2:53">
      <c r="B93" s="635"/>
      <c r="C93" s="292">
        <v>17</v>
      </c>
      <c r="D93" s="225"/>
      <c r="E93" s="420"/>
      <c r="F93" s="413"/>
      <c r="G93" s="414"/>
      <c r="H93" s="678"/>
      <c r="I93" s="395" t="str">
        <f t="shared" si="22"/>
        <v>-</v>
      </c>
      <c r="J93" s="395" t="str">
        <f t="shared" si="23"/>
        <v>-</v>
      </c>
      <c r="K93" s="199" t="str">
        <f t="shared" si="24"/>
        <v>-</v>
      </c>
      <c r="L93" s="609"/>
      <c r="M93" s="200" t="e">
        <f>RANK(K93, K$77:$K$106)</f>
        <v>#VALUE!</v>
      </c>
      <c r="N93" s="627"/>
      <c r="O93" s="627"/>
      <c r="P93" s="420"/>
      <c r="Q93" s="420"/>
      <c r="R93" s="420"/>
      <c r="S93" s="500"/>
      <c r="T93" s="649"/>
      <c r="U93" s="420"/>
      <c r="V93" s="420"/>
      <c r="W93" s="420"/>
      <c r="X93" s="500"/>
      <c r="Y93" s="649"/>
      <c r="Z93" s="420"/>
      <c r="AA93" s="420"/>
      <c r="AB93" s="420"/>
      <c r="AC93" s="500"/>
      <c r="AD93" s="649"/>
      <c r="AE93" s="420"/>
      <c r="AF93" s="420"/>
      <c r="AG93" s="420"/>
      <c r="AH93" s="500"/>
      <c r="AI93" s="649"/>
      <c r="AJ93" s="420"/>
      <c r="AK93" s="420"/>
      <c r="AL93" s="420"/>
      <c r="AM93" s="500"/>
      <c r="AN93" s="649"/>
      <c r="AO93" s="420"/>
      <c r="AP93" s="420"/>
      <c r="AQ93" s="420"/>
      <c r="AR93" s="500"/>
      <c r="AS93" s="649"/>
      <c r="AT93" s="420"/>
      <c r="AU93" s="420"/>
      <c r="AV93" s="420"/>
      <c r="AW93" s="500"/>
      <c r="AX93" s="649"/>
      <c r="AZ93" s="402" t="e">
        <f t="shared" si="25"/>
        <v>#N/A</v>
      </c>
      <c r="BA93" s="649"/>
    </row>
    <row r="94" spans="2:53">
      <c r="B94" s="635"/>
      <c r="C94" s="292">
        <v>18</v>
      </c>
      <c r="D94" s="225"/>
      <c r="E94" s="420"/>
      <c r="F94" s="413"/>
      <c r="G94" s="414"/>
      <c r="H94" s="678"/>
      <c r="I94" s="395" t="str">
        <f t="shared" si="22"/>
        <v>-</v>
      </c>
      <c r="J94" s="395" t="str">
        <f t="shared" si="23"/>
        <v>-</v>
      </c>
      <c r="K94" s="199" t="str">
        <f t="shared" si="24"/>
        <v>-</v>
      </c>
      <c r="L94" s="609"/>
      <c r="M94" s="200" t="e">
        <f>RANK(K94, K$77:$K$106)</f>
        <v>#VALUE!</v>
      </c>
      <c r="N94" s="627"/>
      <c r="O94" s="627"/>
      <c r="P94" s="420"/>
      <c r="Q94" s="420"/>
      <c r="R94" s="420"/>
      <c r="S94" s="500"/>
      <c r="T94" s="649"/>
      <c r="U94" s="420"/>
      <c r="V94" s="420"/>
      <c r="W94" s="420"/>
      <c r="X94" s="500"/>
      <c r="Y94" s="649"/>
      <c r="Z94" s="420"/>
      <c r="AA94" s="420"/>
      <c r="AB94" s="420"/>
      <c r="AC94" s="500"/>
      <c r="AD94" s="649"/>
      <c r="AE94" s="420"/>
      <c r="AF94" s="420"/>
      <c r="AG94" s="420"/>
      <c r="AH94" s="500"/>
      <c r="AI94" s="649"/>
      <c r="AJ94" s="420"/>
      <c r="AK94" s="420"/>
      <c r="AL94" s="420"/>
      <c r="AM94" s="500"/>
      <c r="AN94" s="649"/>
      <c r="AO94" s="420"/>
      <c r="AP94" s="420"/>
      <c r="AQ94" s="420"/>
      <c r="AR94" s="500"/>
      <c r="AS94" s="649"/>
      <c r="AT94" s="420"/>
      <c r="AU94" s="420"/>
      <c r="AV94" s="420"/>
      <c r="AW94" s="500"/>
      <c r="AX94" s="649"/>
      <c r="AZ94" s="402" t="e">
        <f t="shared" si="25"/>
        <v>#N/A</v>
      </c>
      <c r="BA94" s="649"/>
    </row>
    <row r="95" spans="2:53">
      <c r="B95" s="635"/>
      <c r="C95" s="292">
        <v>19</v>
      </c>
      <c r="D95" s="225"/>
      <c r="E95" s="420"/>
      <c r="F95" s="413"/>
      <c r="G95" s="414"/>
      <c r="H95" s="678"/>
      <c r="I95" s="395" t="str">
        <f t="shared" si="22"/>
        <v>-</v>
      </c>
      <c r="J95" s="395" t="str">
        <f t="shared" si="23"/>
        <v>-</v>
      </c>
      <c r="K95" s="199" t="str">
        <f t="shared" si="24"/>
        <v>-</v>
      </c>
      <c r="L95" s="609"/>
      <c r="M95" s="200" t="e">
        <f>RANK(K95, K$77:$K$106)</f>
        <v>#VALUE!</v>
      </c>
      <c r="N95" s="627"/>
      <c r="O95" s="627"/>
      <c r="P95" s="420"/>
      <c r="Q95" s="420"/>
      <c r="R95" s="420"/>
      <c r="S95" s="500"/>
      <c r="T95" s="649"/>
      <c r="U95" s="420"/>
      <c r="V95" s="420"/>
      <c r="W95" s="420"/>
      <c r="X95" s="500"/>
      <c r="Y95" s="649"/>
      <c r="Z95" s="420"/>
      <c r="AA95" s="420"/>
      <c r="AB95" s="420"/>
      <c r="AC95" s="500"/>
      <c r="AD95" s="649"/>
      <c r="AE95" s="420"/>
      <c r="AF95" s="420"/>
      <c r="AG95" s="420"/>
      <c r="AH95" s="500"/>
      <c r="AI95" s="649"/>
      <c r="AJ95" s="420"/>
      <c r="AK95" s="420"/>
      <c r="AL95" s="420"/>
      <c r="AM95" s="500"/>
      <c r="AN95" s="649"/>
      <c r="AO95" s="420"/>
      <c r="AP95" s="420"/>
      <c r="AQ95" s="420"/>
      <c r="AR95" s="500"/>
      <c r="AS95" s="649"/>
      <c r="AT95" s="420"/>
      <c r="AU95" s="420"/>
      <c r="AV95" s="420"/>
      <c r="AW95" s="500"/>
      <c r="AX95" s="649"/>
      <c r="AZ95" s="402" t="e">
        <f t="shared" si="25"/>
        <v>#N/A</v>
      </c>
      <c r="BA95" s="649"/>
    </row>
    <row r="96" spans="2:53">
      <c r="B96" s="635"/>
      <c r="C96" s="292">
        <v>20</v>
      </c>
      <c r="D96" s="225"/>
      <c r="E96" s="420"/>
      <c r="F96" s="413"/>
      <c r="G96" s="414"/>
      <c r="H96" s="678"/>
      <c r="I96" s="395" t="str">
        <f t="shared" si="22"/>
        <v>-</v>
      </c>
      <c r="J96" s="395" t="str">
        <f t="shared" si="23"/>
        <v>-</v>
      </c>
      <c r="K96" s="199" t="str">
        <f t="shared" si="24"/>
        <v>-</v>
      </c>
      <c r="L96" s="609"/>
      <c r="M96" s="200" t="e">
        <f>RANK(K96, K$77:$K$106)</f>
        <v>#VALUE!</v>
      </c>
      <c r="N96" s="627"/>
      <c r="O96" s="627"/>
      <c r="P96" s="420"/>
      <c r="Q96" s="420"/>
      <c r="R96" s="420"/>
      <c r="S96" s="500"/>
      <c r="T96" s="649"/>
      <c r="U96" s="420"/>
      <c r="V96" s="420"/>
      <c r="W96" s="420"/>
      <c r="X96" s="500"/>
      <c r="Y96" s="649"/>
      <c r="Z96" s="420"/>
      <c r="AA96" s="420"/>
      <c r="AB96" s="420"/>
      <c r="AC96" s="500"/>
      <c r="AD96" s="649"/>
      <c r="AE96" s="420"/>
      <c r="AF96" s="420"/>
      <c r="AG96" s="420"/>
      <c r="AH96" s="500"/>
      <c r="AI96" s="649"/>
      <c r="AJ96" s="420"/>
      <c r="AK96" s="420"/>
      <c r="AL96" s="420"/>
      <c r="AM96" s="500"/>
      <c r="AN96" s="649"/>
      <c r="AO96" s="420"/>
      <c r="AP96" s="420"/>
      <c r="AQ96" s="420"/>
      <c r="AR96" s="500"/>
      <c r="AS96" s="649"/>
      <c r="AT96" s="420"/>
      <c r="AU96" s="420"/>
      <c r="AV96" s="420"/>
      <c r="AW96" s="500"/>
      <c r="AX96" s="649"/>
      <c r="AZ96" s="402" t="e">
        <f t="shared" si="25"/>
        <v>#N/A</v>
      </c>
      <c r="BA96" s="649"/>
    </row>
    <row r="97" spans="2:53">
      <c r="B97" s="635"/>
      <c r="C97" s="292">
        <v>21</v>
      </c>
      <c r="D97" s="225"/>
      <c r="E97" s="420"/>
      <c r="F97" s="413"/>
      <c r="G97" s="414"/>
      <c r="H97" s="678"/>
      <c r="I97" s="395" t="str">
        <f t="shared" si="22"/>
        <v>-</v>
      </c>
      <c r="J97" s="395" t="str">
        <f t="shared" si="23"/>
        <v>-</v>
      </c>
      <c r="K97" s="199" t="str">
        <f t="shared" si="24"/>
        <v>-</v>
      </c>
      <c r="L97" s="609"/>
      <c r="M97" s="200" t="e">
        <f>RANK(K97, K$77:$K$106)</f>
        <v>#VALUE!</v>
      </c>
      <c r="N97" s="627"/>
      <c r="O97" s="627"/>
      <c r="P97" s="420"/>
      <c r="Q97" s="420"/>
      <c r="R97" s="420"/>
      <c r="S97" s="500"/>
      <c r="T97" s="649"/>
      <c r="U97" s="420"/>
      <c r="V97" s="420"/>
      <c r="W97" s="420"/>
      <c r="X97" s="500"/>
      <c r="Y97" s="649"/>
      <c r="Z97" s="420"/>
      <c r="AA97" s="420"/>
      <c r="AB97" s="420"/>
      <c r="AC97" s="500"/>
      <c r="AD97" s="649"/>
      <c r="AE97" s="420"/>
      <c r="AF97" s="420"/>
      <c r="AG97" s="420"/>
      <c r="AH97" s="500"/>
      <c r="AI97" s="649"/>
      <c r="AJ97" s="420"/>
      <c r="AK97" s="420"/>
      <c r="AL97" s="420"/>
      <c r="AM97" s="500"/>
      <c r="AN97" s="649"/>
      <c r="AO97" s="420"/>
      <c r="AP97" s="420"/>
      <c r="AQ97" s="420"/>
      <c r="AR97" s="500"/>
      <c r="AS97" s="649"/>
      <c r="AT97" s="420"/>
      <c r="AU97" s="420"/>
      <c r="AV97" s="420"/>
      <c r="AW97" s="500"/>
      <c r="AX97" s="649"/>
      <c r="AZ97" s="402" t="e">
        <f t="shared" si="25"/>
        <v>#N/A</v>
      </c>
      <c r="BA97" s="649"/>
    </row>
    <row r="98" spans="2:53">
      <c r="B98" s="635"/>
      <c r="C98" s="292">
        <v>22</v>
      </c>
      <c r="D98" s="225"/>
      <c r="E98" s="420"/>
      <c r="F98" s="413"/>
      <c r="G98" s="414"/>
      <c r="H98" s="678"/>
      <c r="I98" s="395" t="str">
        <f t="shared" si="22"/>
        <v>-</v>
      </c>
      <c r="J98" s="395" t="str">
        <f t="shared" si="23"/>
        <v>-</v>
      </c>
      <c r="K98" s="199" t="str">
        <f t="shared" si="24"/>
        <v>-</v>
      </c>
      <c r="L98" s="609"/>
      <c r="M98" s="200" t="e">
        <f>RANK(K98, K$77:$K$106)</f>
        <v>#VALUE!</v>
      </c>
      <c r="N98" s="627"/>
      <c r="O98" s="627"/>
      <c r="P98" s="420"/>
      <c r="Q98" s="420"/>
      <c r="R98" s="420"/>
      <c r="S98" s="500"/>
      <c r="T98" s="649"/>
      <c r="U98" s="420"/>
      <c r="V98" s="420"/>
      <c r="W98" s="420"/>
      <c r="X98" s="500"/>
      <c r="Y98" s="649"/>
      <c r="Z98" s="420"/>
      <c r="AA98" s="420"/>
      <c r="AB98" s="420"/>
      <c r="AC98" s="500"/>
      <c r="AD98" s="649"/>
      <c r="AE98" s="420"/>
      <c r="AF98" s="420"/>
      <c r="AG98" s="420"/>
      <c r="AH98" s="500"/>
      <c r="AI98" s="649"/>
      <c r="AJ98" s="420"/>
      <c r="AK98" s="420"/>
      <c r="AL98" s="420"/>
      <c r="AM98" s="500"/>
      <c r="AN98" s="649"/>
      <c r="AO98" s="420"/>
      <c r="AP98" s="420"/>
      <c r="AQ98" s="420"/>
      <c r="AR98" s="500"/>
      <c r="AS98" s="649"/>
      <c r="AT98" s="420"/>
      <c r="AU98" s="420"/>
      <c r="AV98" s="420"/>
      <c r="AW98" s="500"/>
      <c r="AX98" s="649"/>
      <c r="AZ98" s="402" t="e">
        <f t="shared" si="25"/>
        <v>#N/A</v>
      </c>
      <c r="BA98" s="649"/>
    </row>
    <row r="99" spans="2:53">
      <c r="B99" s="635"/>
      <c r="C99" s="292">
        <v>23</v>
      </c>
      <c r="D99" s="225"/>
      <c r="E99" s="420"/>
      <c r="F99" s="413"/>
      <c r="G99" s="414"/>
      <c r="H99" s="678"/>
      <c r="I99" s="395" t="str">
        <f t="shared" si="22"/>
        <v>-</v>
      </c>
      <c r="J99" s="395" t="str">
        <f t="shared" si="23"/>
        <v>-</v>
      </c>
      <c r="K99" s="199" t="str">
        <f t="shared" si="24"/>
        <v>-</v>
      </c>
      <c r="L99" s="609"/>
      <c r="M99" s="200" t="e">
        <f>RANK(K99, K$77:$K$106)</f>
        <v>#VALUE!</v>
      </c>
      <c r="N99" s="627"/>
      <c r="O99" s="627"/>
      <c r="P99" s="420"/>
      <c r="Q99" s="420"/>
      <c r="R99" s="420"/>
      <c r="S99" s="500"/>
      <c r="T99" s="649"/>
      <c r="U99" s="420"/>
      <c r="V99" s="420"/>
      <c r="W99" s="420"/>
      <c r="X99" s="500"/>
      <c r="Y99" s="649"/>
      <c r="Z99" s="420"/>
      <c r="AA99" s="420"/>
      <c r="AB99" s="420"/>
      <c r="AC99" s="500"/>
      <c r="AD99" s="649"/>
      <c r="AE99" s="420"/>
      <c r="AF99" s="420"/>
      <c r="AG99" s="420"/>
      <c r="AH99" s="500"/>
      <c r="AI99" s="649"/>
      <c r="AJ99" s="420"/>
      <c r="AK99" s="420"/>
      <c r="AL99" s="420"/>
      <c r="AM99" s="500"/>
      <c r="AN99" s="649"/>
      <c r="AO99" s="420"/>
      <c r="AP99" s="420"/>
      <c r="AQ99" s="420"/>
      <c r="AR99" s="500"/>
      <c r="AS99" s="649"/>
      <c r="AT99" s="420"/>
      <c r="AU99" s="420"/>
      <c r="AV99" s="420"/>
      <c r="AW99" s="500"/>
      <c r="AX99" s="649"/>
      <c r="AZ99" s="402" t="e">
        <f t="shared" si="25"/>
        <v>#N/A</v>
      </c>
      <c r="BA99" s="649"/>
    </row>
    <row r="100" spans="2:53">
      <c r="B100" s="635"/>
      <c r="C100" s="292">
        <v>24</v>
      </c>
      <c r="D100" s="225"/>
      <c r="E100" s="420"/>
      <c r="F100" s="413"/>
      <c r="G100" s="414"/>
      <c r="H100" s="678"/>
      <c r="I100" s="395" t="str">
        <f t="shared" si="22"/>
        <v>-</v>
      </c>
      <c r="J100" s="395" t="str">
        <f t="shared" si="23"/>
        <v>-</v>
      </c>
      <c r="K100" s="199" t="str">
        <f t="shared" si="24"/>
        <v>-</v>
      </c>
      <c r="L100" s="609"/>
      <c r="M100" s="200" t="e">
        <f>RANK(K100, K$77:$K$106)</f>
        <v>#VALUE!</v>
      </c>
      <c r="N100" s="627"/>
      <c r="O100" s="627"/>
      <c r="P100" s="500"/>
      <c r="Q100" s="420"/>
      <c r="R100" s="420"/>
      <c r="S100" s="500"/>
      <c r="T100" s="649"/>
      <c r="U100" s="500"/>
      <c r="V100" s="420"/>
      <c r="W100" s="420"/>
      <c r="X100" s="500"/>
      <c r="Y100" s="649"/>
      <c r="Z100" s="500"/>
      <c r="AA100" s="420"/>
      <c r="AB100" s="420"/>
      <c r="AC100" s="500"/>
      <c r="AD100" s="649"/>
      <c r="AE100" s="500"/>
      <c r="AF100" s="420"/>
      <c r="AG100" s="420"/>
      <c r="AH100" s="500"/>
      <c r="AI100" s="649"/>
      <c r="AJ100" s="500"/>
      <c r="AK100" s="420"/>
      <c r="AL100" s="420"/>
      <c r="AM100" s="500"/>
      <c r="AN100" s="649"/>
      <c r="AO100" s="500"/>
      <c r="AP100" s="420"/>
      <c r="AQ100" s="420"/>
      <c r="AR100" s="500"/>
      <c r="AS100" s="649"/>
      <c r="AT100" s="500"/>
      <c r="AU100" s="420"/>
      <c r="AV100" s="420"/>
      <c r="AW100" s="500"/>
      <c r="AX100" s="649"/>
      <c r="AZ100" s="402" t="e">
        <f t="shared" si="25"/>
        <v>#N/A</v>
      </c>
      <c r="BA100" s="649"/>
    </row>
    <row r="101" spans="2:53">
      <c r="B101" s="635"/>
      <c r="C101" s="292">
        <v>25</v>
      </c>
      <c r="D101" s="225"/>
      <c r="E101" s="420"/>
      <c r="F101" s="413"/>
      <c r="G101" s="414"/>
      <c r="H101" s="678"/>
      <c r="I101" s="395" t="str">
        <f t="shared" si="22"/>
        <v>-</v>
      </c>
      <c r="J101" s="395" t="str">
        <f t="shared" si="23"/>
        <v>-</v>
      </c>
      <c r="K101" s="199" t="str">
        <f t="shared" si="24"/>
        <v>-</v>
      </c>
      <c r="L101" s="609"/>
      <c r="M101" s="200" t="e">
        <f>RANK(K101, K$77:$K$106)</f>
        <v>#VALUE!</v>
      </c>
      <c r="N101" s="627"/>
      <c r="O101" s="627"/>
      <c r="P101" s="500"/>
      <c r="Q101" s="420"/>
      <c r="R101" s="420"/>
      <c r="S101" s="500"/>
      <c r="T101" s="649"/>
      <c r="U101" s="500"/>
      <c r="V101" s="420"/>
      <c r="W101" s="420"/>
      <c r="X101" s="500"/>
      <c r="Y101" s="649"/>
      <c r="Z101" s="500"/>
      <c r="AA101" s="420"/>
      <c r="AB101" s="420"/>
      <c r="AC101" s="500"/>
      <c r="AD101" s="649"/>
      <c r="AE101" s="500"/>
      <c r="AF101" s="420"/>
      <c r="AG101" s="420"/>
      <c r="AH101" s="500"/>
      <c r="AI101" s="649"/>
      <c r="AJ101" s="500"/>
      <c r="AK101" s="420"/>
      <c r="AL101" s="420"/>
      <c r="AM101" s="500"/>
      <c r="AN101" s="649"/>
      <c r="AO101" s="500"/>
      <c r="AP101" s="420"/>
      <c r="AQ101" s="420"/>
      <c r="AR101" s="500"/>
      <c r="AS101" s="649"/>
      <c r="AT101" s="500"/>
      <c r="AU101" s="420"/>
      <c r="AV101" s="420"/>
      <c r="AW101" s="500"/>
      <c r="AX101" s="649"/>
      <c r="AZ101" s="402" t="e">
        <f t="shared" si="25"/>
        <v>#N/A</v>
      </c>
      <c r="BA101" s="649"/>
    </row>
    <row r="102" spans="2:53">
      <c r="B102" s="635"/>
      <c r="C102" s="292">
        <v>26</v>
      </c>
      <c r="D102" s="225"/>
      <c r="E102" s="420"/>
      <c r="F102" s="413"/>
      <c r="G102" s="414"/>
      <c r="H102" s="678"/>
      <c r="I102" s="395" t="str">
        <f t="shared" si="22"/>
        <v>-</v>
      </c>
      <c r="J102" s="395" t="str">
        <f t="shared" si="23"/>
        <v>-</v>
      </c>
      <c r="K102" s="199" t="str">
        <f t="shared" si="24"/>
        <v>-</v>
      </c>
      <c r="L102" s="609"/>
      <c r="M102" s="200" t="e">
        <f>RANK(K102, K$77:$K$106)</f>
        <v>#VALUE!</v>
      </c>
      <c r="N102" s="627"/>
      <c r="O102" s="627"/>
      <c r="P102" s="500"/>
      <c r="Q102" s="420"/>
      <c r="R102" s="420"/>
      <c r="S102" s="500"/>
      <c r="T102" s="649"/>
      <c r="U102" s="500"/>
      <c r="V102" s="420"/>
      <c r="W102" s="420"/>
      <c r="X102" s="500"/>
      <c r="Y102" s="649"/>
      <c r="Z102" s="500"/>
      <c r="AA102" s="420"/>
      <c r="AB102" s="420"/>
      <c r="AC102" s="500"/>
      <c r="AD102" s="649"/>
      <c r="AE102" s="500"/>
      <c r="AF102" s="420"/>
      <c r="AG102" s="420"/>
      <c r="AH102" s="500"/>
      <c r="AI102" s="649"/>
      <c r="AJ102" s="500"/>
      <c r="AK102" s="420"/>
      <c r="AL102" s="420"/>
      <c r="AM102" s="500"/>
      <c r="AN102" s="649"/>
      <c r="AO102" s="500"/>
      <c r="AP102" s="420"/>
      <c r="AQ102" s="420"/>
      <c r="AR102" s="500"/>
      <c r="AS102" s="649"/>
      <c r="AT102" s="500"/>
      <c r="AU102" s="420"/>
      <c r="AV102" s="420"/>
      <c r="AW102" s="500"/>
      <c r="AX102" s="649"/>
      <c r="AZ102" s="402" t="e">
        <f t="shared" si="25"/>
        <v>#N/A</v>
      </c>
      <c r="BA102" s="649"/>
    </row>
    <row r="103" spans="2:53">
      <c r="B103" s="635"/>
      <c r="C103" s="292">
        <v>27</v>
      </c>
      <c r="D103" s="225"/>
      <c r="E103" s="420"/>
      <c r="F103" s="413"/>
      <c r="G103" s="414"/>
      <c r="H103" s="678"/>
      <c r="I103" s="395" t="str">
        <f t="shared" si="22"/>
        <v>-</v>
      </c>
      <c r="J103" s="395" t="str">
        <f t="shared" si="23"/>
        <v>-</v>
      </c>
      <c r="K103" s="199" t="str">
        <f t="shared" si="24"/>
        <v>-</v>
      </c>
      <c r="L103" s="609"/>
      <c r="M103" s="200" t="e">
        <f>RANK(K103, K$77:$K$106)</f>
        <v>#VALUE!</v>
      </c>
      <c r="N103" s="627"/>
      <c r="O103" s="627"/>
      <c r="P103" s="500"/>
      <c r="Q103" s="420"/>
      <c r="R103" s="420"/>
      <c r="S103" s="500"/>
      <c r="T103" s="649"/>
      <c r="U103" s="500"/>
      <c r="V103" s="420"/>
      <c r="W103" s="420"/>
      <c r="X103" s="500"/>
      <c r="Y103" s="649"/>
      <c r="Z103" s="500"/>
      <c r="AA103" s="420"/>
      <c r="AB103" s="420"/>
      <c r="AC103" s="500"/>
      <c r="AD103" s="649"/>
      <c r="AE103" s="500"/>
      <c r="AF103" s="420"/>
      <c r="AG103" s="420"/>
      <c r="AH103" s="500"/>
      <c r="AI103" s="649"/>
      <c r="AJ103" s="500"/>
      <c r="AK103" s="420"/>
      <c r="AL103" s="420"/>
      <c r="AM103" s="500"/>
      <c r="AN103" s="649"/>
      <c r="AO103" s="500"/>
      <c r="AP103" s="420"/>
      <c r="AQ103" s="420"/>
      <c r="AR103" s="500"/>
      <c r="AS103" s="649"/>
      <c r="AT103" s="500"/>
      <c r="AU103" s="420"/>
      <c r="AV103" s="420"/>
      <c r="AW103" s="500"/>
      <c r="AX103" s="649"/>
      <c r="AZ103" s="402" t="e">
        <f t="shared" si="25"/>
        <v>#N/A</v>
      </c>
      <c r="BA103" s="649"/>
    </row>
    <row r="104" spans="2:53">
      <c r="B104" s="635"/>
      <c r="C104" s="292">
        <v>28</v>
      </c>
      <c r="D104" s="225"/>
      <c r="E104" s="420"/>
      <c r="F104" s="413"/>
      <c r="G104" s="414"/>
      <c r="H104" s="678"/>
      <c r="I104" s="395" t="str">
        <f t="shared" si="22"/>
        <v>-</v>
      </c>
      <c r="J104" s="395" t="str">
        <f t="shared" si="23"/>
        <v>-</v>
      </c>
      <c r="K104" s="199" t="str">
        <f t="shared" si="24"/>
        <v>-</v>
      </c>
      <c r="L104" s="609"/>
      <c r="M104" s="200" t="e">
        <f>RANK(K104, K$77:$K$106)</f>
        <v>#VALUE!</v>
      </c>
      <c r="N104" s="627"/>
      <c r="O104" s="627"/>
      <c r="P104" s="500"/>
      <c r="Q104" s="501"/>
      <c r="R104" s="501"/>
      <c r="S104" s="500"/>
      <c r="T104" s="649"/>
      <c r="U104" s="500"/>
      <c r="V104" s="501"/>
      <c r="W104" s="501"/>
      <c r="X104" s="500"/>
      <c r="Y104" s="649"/>
      <c r="Z104" s="500"/>
      <c r="AA104" s="501"/>
      <c r="AB104" s="501"/>
      <c r="AC104" s="500"/>
      <c r="AD104" s="649"/>
      <c r="AE104" s="500"/>
      <c r="AF104" s="501"/>
      <c r="AG104" s="501"/>
      <c r="AH104" s="500"/>
      <c r="AI104" s="649"/>
      <c r="AJ104" s="500"/>
      <c r="AK104" s="501"/>
      <c r="AL104" s="501"/>
      <c r="AM104" s="500"/>
      <c r="AN104" s="649"/>
      <c r="AO104" s="500"/>
      <c r="AP104" s="501"/>
      <c r="AQ104" s="501"/>
      <c r="AR104" s="500"/>
      <c r="AS104" s="649"/>
      <c r="AT104" s="500"/>
      <c r="AU104" s="501"/>
      <c r="AV104" s="501"/>
      <c r="AW104" s="500"/>
      <c r="AX104" s="649"/>
      <c r="AZ104" s="402" t="e">
        <f t="shared" si="25"/>
        <v>#N/A</v>
      </c>
      <c r="BA104" s="649"/>
    </row>
    <row r="105" spans="2:53">
      <c r="B105" s="635"/>
      <c r="C105" s="292">
        <v>29</v>
      </c>
      <c r="D105" s="225"/>
      <c r="E105" s="420"/>
      <c r="F105" s="413"/>
      <c r="G105" s="414"/>
      <c r="H105" s="678"/>
      <c r="I105" s="395" t="str">
        <f t="shared" si="22"/>
        <v>-</v>
      </c>
      <c r="J105" s="395" t="str">
        <f t="shared" si="23"/>
        <v>-</v>
      </c>
      <c r="K105" s="199" t="str">
        <f t="shared" si="24"/>
        <v>-</v>
      </c>
      <c r="L105" s="609"/>
      <c r="M105" s="200" t="e">
        <f>RANK(K105, K$77:$K$106)</f>
        <v>#VALUE!</v>
      </c>
      <c r="N105" s="627"/>
      <c r="O105" s="627"/>
      <c r="P105" s="500"/>
      <c r="Q105" s="500"/>
      <c r="R105" s="500"/>
      <c r="S105" s="500"/>
      <c r="T105" s="649"/>
      <c r="U105" s="500"/>
      <c r="V105" s="500"/>
      <c r="W105" s="500"/>
      <c r="X105" s="500"/>
      <c r="Y105" s="649"/>
      <c r="Z105" s="500"/>
      <c r="AA105" s="500"/>
      <c r="AB105" s="500"/>
      <c r="AC105" s="500"/>
      <c r="AD105" s="649"/>
      <c r="AE105" s="500"/>
      <c r="AF105" s="500"/>
      <c r="AG105" s="500"/>
      <c r="AH105" s="500"/>
      <c r="AI105" s="649"/>
      <c r="AJ105" s="500"/>
      <c r="AK105" s="500"/>
      <c r="AL105" s="500"/>
      <c r="AM105" s="500"/>
      <c r="AN105" s="649"/>
      <c r="AO105" s="500"/>
      <c r="AP105" s="500"/>
      <c r="AQ105" s="500"/>
      <c r="AR105" s="500"/>
      <c r="AS105" s="649"/>
      <c r="AT105" s="500"/>
      <c r="AU105" s="500"/>
      <c r="AV105" s="500"/>
      <c r="AW105" s="500"/>
      <c r="AX105" s="649"/>
      <c r="AZ105" s="402" t="e">
        <f t="shared" si="25"/>
        <v>#N/A</v>
      </c>
      <c r="BA105" s="649"/>
    </row>
    <row r="106" spans="2:53">
      <c r="B106" s="635"/>
      <c r="C106" s="292">
        <v>30</v>
      </c>
      <c r="D106" s="225"/>
      <c r="E106" s="420"/>
      <c r="F106" s="413"/>
      <c r="G106" s="414"/>
      <c r="H106" s="679"/>
      <c r="I106" s="395" t="str">
        <f t="shared" si="22"/>
        <v>-</v>
      </c>
      <c r="J106" s="395" t="str">
        <f t="shared" si="23"/>
        <v>-</v>
      </c>
      <c r="K106" s="199" t="str">
        <f t="shared" si="24"/>
        <v>-</v>
      </c>
      <c r="L106" s="610"/>
      <c r="M106" s="200" t="e">
        <f>RANK(K106, K$77:$K$106)</f>
        <v>#VALUE!</v>
      </c>
      <c r="N106" s="627"/>
      <c r="O106" s="627"/>
      <c r="P106" s="500"/>
      <c r="Q106" s="500"/>
      <c r="R106" s="500"/>
      <c r="S106" s="500"/>
      <c r="T106" s="649"/>
      <c r="U106" s="500"/>
      <c r="V106" s="500"/>
      <c r="W106" s="500"/>
      <c r="X106" s="500"/>
      <c r="Y106" s="649"/>
      <c r="Z106" s="500"/>
      <c r="AA106" s="500"/>
      <c r="AB106" s="500"/>
      <c r="AC106" s="500"/>
      <c r="AD106" s="649"/>
      <c r="AE106" s="500"/>
      <c r="AF106" s="500"/>
      <c r="AG106" s="500"/>
      <c r="AH106" s="500"/>
      <c r="AI106" s="649"/>
      <c r="AJ106" s="500"/>
      <c r="AK106" s="500"/>
      <c r="AL106" s="500"/>
      <c r="AM106" s="500"/>
      <c r="AN106" s="649"/>
      <c r="AO106" s="500"/>
      <c r="AP106" s="500"/>
      <c r="AQ106" s="500"/>
      <c r="AR106" s="500"/>
      <c r="AS106" s="649"/>
      <c r="AT106" s="500"/>
      <c r="AU106" s="500"/>
      <c r="AV106" s="500"/>
      <c r="AW106" s="500"/>
      <c r="AX106" s="649"/>
      <c r="AZ106" s="402" t="e">
        <f t="shared" si="25"/>
        <v>#N/A</v>
      </c>
      <c r="BA106" s="649"/>
    </row>
    <row r="107" spans="2:53" ht="15.75">
      <c r="B107" s="639" t="s">
        <v>163</v>
      </c>
      <c r="C107" s="640"/>
      <c r="D107" s="640"/>
      <c r="E107" s="640"/>
      <c r="F107" s="640"/>
      <c r="G107" s="640"/>
      <c r="H107" s="641"/>
      <c r="I107" s="207"/>
      <c r="J107" s="207"/>
      <c r="K107" s="207"/>
      <c r="L107" s="207"/>
      <c r="M107" s="206"/>
      <c r="N107" s="628" t="s">
        <v>156</v>
      </c>
      <c r="O107" s="628" t="s">
        <v>105</v>
      </c>
      <c r="P107" s="631">
        <f>P72+7</f>
        <v>46189</v>
      </c>
      <c r="Q107" s="632"/>
      <c r="R107" s="632"/>
      <c r="S107" s="632"/>
      <c r="T107" s="633"/>
      <c r="U107" s="631">
        <f>P107+1</f>
        <v>46190</v>
      </c>
      <c r="V107" s="632"/>
      <c r="W107" s="632"/>
      <c r="X107" s="632"/>
      <c r="Y107" s="633"/>
      <c r="Z107" s="631">
        <f>U107+1</f>
        <v>46191</v>
      </c>
      <c r="AA107" s="632"/>
      <c r="AB107" s="632"/>
      <c r="AC107" s="632"/>
      <c r="AD107" s="633"/>
      <c r="AE107" s="631">
        <f>Z107+1</f>
        <v>46192</v>
      </c>
      <c r="AF107" s="632"/>
      <c r="AG107" s="632"/>
      <c r="AH107" s="632"/>
      <c r="AI107" s="633"/>
      <c r="AJ107" s="631">
        <f>AE107+1</f>
        <v>46193</v>
      </c>
      <c r="AK107" s="632"/>
      <c r="AL107" s="632"/>
      <c r="AM107" s="632"/>
      <c r="AN107" s="633"/>
      <c r="AO107" s="631">
        <f>AJ107+1</f>
        <v>46194</v>
      </c>
      <c r="AP107" s="632"/>
      <c r="AQ107" s="632"/>
      <c r="AR107" s="632"/>
      <c r="AS107" s="633"/>
      <c r="AT107" s="631">
        <f>AO107+1</f>
        <v>46195</v>
      </c>
      <c r="AU107" s="632"/>
      <c r="AV107" s="632"/>
      <c r="AW107" s="632"/>
      <c r="AX107" s="633"/>
    </row>
    <row r="108" spans="2:53" ht="15.75">
      <c r="B108" s="642"/>
      <c r="C108" s="642"/>
      <c r="D108" s="642"/>
      <c r="E108" s="642"/>
      <c r="F108" s="642"/>
      <c r="G108" s="642"/>
      <c r="H108" s="642"/>
      <c r="I108" s="204"/>
      <c r="J108" s="204"/>
      <c r="K108" s="204"/>
      <c r="L108" s="204"/>
      <c r="M108" s="205"/>
      <c r="N108" s="630"/>
      <c r="O108" s="630"/>
      <c r="P108" s="631" t="s">
        <v>318</v>
      </c>
      <c r="Q108" s="632"/>
      <c r="R108" s="632"/>
      <c r="S108" s="632"/>
      <c r="T108" s="633"/>
      <c r="U108" s="631" t="s">
        <v>319</v>
      </c>
      <c r="V108" s="632"/>
      <c r="W108" s="632"/>
      <c r="X108" s="632"/>
      <c r="Y108" s="633"/>
      <c r="Z108" s="631" t="s">
        <v>320</v>
      </c>
      <c r="AA108" s="632"/>
      <c r="AB108" s="632"/>
      <c r="AC108" s="632"/>
      <c r="AD108" s="633"/>
      <c r="AE108" s="631" t="s">
        <v>321</v>
      </c>
      <c r="AF108" s="632"/>
      <c r="AG108" s="632"/>
      <c r="AH108" s="632"/>
      <c r="AI108" s="633"/>
      <c r="AJ108" s="631" t="s">
        <v>322</v>
      </c>
      <c r="AK108" s="632"/>
      <c r="AL108" s="632"/>
      <c r="AM108" s="632"/>
      <c r="AN108" s="633"/>
      <c r="AO108" s="631" t="s">
        <v>323</v>
      </c>
      <c r="AP108" s="632"/>
      <c r="AQ108" s="632"/>
      <c r="AR108" s="632"/>
      <c r="AS108" s="633"/>
      <c r="AT108" s="631" t="s">
        <v>324</v>
      </c>
      <c r="AU108" s="632"/>
      <c r="AV108" s="632"/>
      <c r="AW108" s="632"/>
      <c r="AX108" s="633"/>
    </row>
    <row r="109" spans="2:53">
      <c r="B109" s="627" t="s">
        <v>417</v>
      </c>
      <c r="C109" s="627" t="s">
        <v>418</v>
      </c>
      <c r="D109" s="627"/>
      <c r="E109" s="627" t="s">
        <v>419</v>
      </c>
      <c r="F109" s="627"/>
      <c r="G109" s="627"/>
      <c r="H109" s="643" t="s">
        <v>420</v>
      </c>
      <c r="I109" s="611" t="s">
        <v>421</v>
      </c>
      <c r="J109" s="611"/>
      <c r="K109" s="611"/>
      <c r="L109" s="612" t="s">
        <v>420</v>
      </c>
      <c r="M109" s="618" t="s">
        <v>422</v>
      </c>
      <c r="N109" s="627"/>
      <c r="O109" s="627" t="s">
        <v>423</v>
      </c>
      <c r="P109" s="624" t="s">
        <v>424</v>
      </c>
      <c r="Q109" s="625"/>
      <c r="R109" s="625"/>
      <c r="S109" s="626"/>
      <c r="T109" s="627" t="s">
        <v>420</v>
      </c>
      <c r="U109" s="624" t="s">
        <v>424</v>
      </c>
      <c r="V109" s="625"/>
      <c r="W109" s="625"/>
      <c r="X109" s="626"/>
      <c r="Y109" s="627" t="s">
        <v>420</v>
      </c>
      <c r="Z109" s="624" t="s">
        <v>424</v>
      </c>
      <c r="AA109" s="625"/>
      <c r="AB109" s="625"/>
      <c r="AC109" s="626"/>
      <c r="AD109" s="627" t="s">
        <v>420</v>
      </c>
      <c r="AE109" s="624" t="s">
        <v>424</v>
      </c>
      <c r="AF109" s="625"/>
      <c r="AG109" s="625"/>
      <c r="AH109" s="626"/>
      <c r="AI109" s="627" t="s">
        <v>420</v>
      </c>
      <c r="AJ109" s="624" t="s">
        <v>424</v>
      </c>
      <c r="AK109" s="625"/>
      <c r="AL109" s="625"/>
      <c r="AM109" s="626"/>
      <c r="AN109" s="627" t="s">
        <v>420</v>
      </c>
      <c r="AO109" s="624" t="s">
        <v>424</v>
      </c>
      <c r="AP109" s="625"/>
      <c r="AQ109" s="625"/>
      <c r="AR109" s="626"/>
      <c r="AS109" s="627" t="s">
        <v>420</v>
      </c>
      <c r="AT109" s="624" t="s">
        <v>424</v>
      </c>
      <c r="AU109" s="625"/>
      <c r="AV109" s="625"/>
      <c r="AW109" s="626"/>
      <c r="AX109" s="627" t="s">
        <v>420</v>
      </c>
      <c r="BA109" s="627" t="s">
        <v>371</v>
      </c>
    </row>
    <row r="110" spans="2:53">
      <c r="B110" s="627"/>
      <c r="C110" s="627"/>
      <c r="D110" s="627"/>
      <c r="E110" s="627" t="s">
        <v>425</v>
      </c>
      <c r="F110" s="627"/>
      <c r="G110" s="627"/>
      <c r="H110" s="644"/>
      <c r="I110" s="611" t="s">
        <v>425</v>
      </c>
      <c r="J110" s="611"/>
      <c r="K110" s="611"/>
      <c r="L110" s="613"/>
      <c r="M110" s="619"/>
      <c r="N110" s="627"/>
      <c r="O110" s="627"/>
      <c r="P110" s="624" t="s">
        <v>426</v>
      </c>
      <c r="Q110" s="625"/>
      <c r="R110" s="625"/>
      <c r="S110" s="626"/>
      <c r="T110" s="627"/>
      <c r="U110" s="624" t="s">
        <v>426</v>
      </c>
      <c r="V110" s="625"/>
      <c r="W110" s="625"/>
      <c r="X110" s="626"/>
      <c r="Y110" s="627"/>
      <c r="Z110" s="624" t="s">
        <v>426</v>
      </c>
      <c r="AA110" s="625"/>
      <c r="AB110" s="625"/>
      <c r="AC110" s="626"/>
      <c r="AD110" s="627"/>
      <c r="AE110" s="624" t="s">
        <v>426</v>
      </c>
      <c r="AF110" s="625"/>
      <c r="AG110" s="625"/>
      <c r="AH110" s="626"/>
      <c r="AI110" s="627"/>
      <c r="AJ110" s="624" t="s">
        <v>426</v>
      </c>
      <c r="AK110" s="625"/>
      <c r="AL110" s="625"/>
      <c r="AM110" s="626"/>
      <c r="AN110" s="627"/>
      <c r="AO110" s="624" t="s">
        <v>426</v>
      </c>
      <c r="AP110" s="625"/>
      <c r="AQ110" s="625"/>
      <c r="AR110" s="626"/>
      <c r="AS110" s="627"/>
      <c r="AT110" s="624" t="s">
        <v>426</v>
      </c>
      <c r="AU110" s="625"/>
      <c r="AV110" s="625"/>
      <c r="AW110" s="626"/>
      <c r="AX110" s="627"/>
      <c r="BA110" s="627"/>
    </row>
    <row r="111" spans="2:53">
      <c r="B111" s="627"/>
      <c r="C111" s="627"/>
      <c r="D111" s="627"/>
      <c r="E111" s="291" t="s">
        <v>427</v>
      </c>
      <c r="F111" s="291" t="s">
        <v>428</v>
      </c>
      <c r="G111" s="291" t="s">
        <v>429</v>
      </c>
      <c r="H111" s="645"/>
      <c r="I111" s="290" t="s">
        <v>427</v>
      </c>
      <c r="J111" s="290" t="s">
        <v>428</v>
      </c>
      <c r="K111" s="290" t="s">
        <v>429</v>
      </c>
      <c r="L111" s="614"/>
      <c r="M111" s="620"/>
      <c r="N111" s="627"/>
      <c r="O111" s="627"/>
      <c r="P111" s="291" t="s">
        <v>427</v>
      </c>
      <c r="Q111" s="291" t="s">
        <v>428</v>
      </c>
      <c r="R111" s="291" t="s">
        <v>429</v>
      </c>
      <c r="S111" s="291" t="s">
        <v>422</v>
      </c>
      <c r="T111" s="627"/>
      <c r="U111" s="291" t="s">
        <v>427</v>
      </c>
      <c r="V111" s="291" t="s">
        <v>428</v>
      </c>
      <c r="W111" s="291" t="s">
        <v>429</v>
      </c>
      <c r="X111" s="291" t="s">
        <v>422</v>
      </c>
      <c r="Y111" s="627"/>
      <c r="Z111" s="291" t="s">
        <v>427</v>
      </c>
      <c r="AA111" s="291" t="s">
        <v>428</v>
      </c>
      <c r="AB111" s="291" t="s">
        <v>429</v>
      </c>
      <c r="AC111" s="291" t="s">
        <v>422</v>
      </c>
      <c r="AD111" s="627"/>
      <c r="AE111" s="291" t="s">
        <v>427</v>
      </c>
      <c r="AF111" s="291" t="s">
        <v>428</v>
      </c>
      <c r="AG111" s="291" t="s">
        <v>429</v>
      </c>
      <c r="AH111" s="291" t="s">
        <v>422</v>
      </c>
      <c r="AI111" s="627"/>
      <c r="AJ111" s="291" t="s">
        <v>427</v>
      </c>
      <c r="AK111" s="291" t="s">
        <v>428</v>
      </c>
      <c r="AL111" s="291" t="s">
        <v>429</v>
      </c>
      <c r="AM111" s="291" t="s">
        <v>422</v>
      </c>
      <c r="AN111" s="627"/>
      <c r="AO111" s="291" t="s">
        <v>427</v>
      </c>
      <c r="AP111" s="291" t="s">
        <v>428</v>
      </c>
      <c r="AQ111" s="291" t="s">
        <v>429</v>
      </c>
      <c r="AR111" s="291" t="s">
        <v>422</v>
      </c>
      <c r="AS111" s="627"/>
      <c r="AT111" s="291" t="s">
        <v>427</v>
      </c>
      <c r="AU111" s="291" t="s">
        <v>428</v>
      </c>
      <c r="AV111" s="291" t="s">
        <v>429</v>
      </c>
      <c r="AW111" s="291" t="s">
        <v>422</v>
      </c>
      <c r="AX111" s="627"/>
      <c r="AZ111" s="401" t="s">
        <v>372</v>
      </c>
      <c r="BA111" s="627"/>
    </row>
    <row r="112" spans="2:53">
      <c r="B112" s="627" t="s">
        <v>430</v>
      </c>
      <c r="C112" s="292">
        <v>1</v>
      </c>
      <c r="D112" s="225"/>
      <c r="E112" s="420"/>
      <c r="F112" s="413"/>
      <c r="G112" s="414"/>
      <c r="H112" s="677" t="e">
        <f>AVERAGE(G112:G141)</f>
        <v>#DIV/0!</v>
      </c>
      <c r="I112" s="395" t="str">
        <f>IFERROR(AVERAGE(P112,U112,Z112,AE112,AJ112,AO112,AT112),"-")</f>
        <v>-</v>
      </c>
      <c r="J112" s="395" t="str">
        <f>IFERROR(AVERAGE(Q112,V112,AA112,AF112,AK112,AP112,AU112),"-")</f>
        <v>-</v>
      </c>
      <c r="K112" s="199" t="str">
        <f>IFERROR(AVERAGE(R112,W112,AB112,AG112,AL112,AQ112,AV112),"-")</f>
        <v>-</v>
      </c>
      <c r="L112" s="608" t="str">
        <f>IFERROR(AVERAGE(K112:K141),"-")</f>
        <v>-</v>
      </c>
      <c r="M112" s="200" t="e">
        <f>RANK(K112, K$112:$K$141)</f>
        <v>#VALUE!</v>
      </c>
      <c r="N112" s="627"/>
      <c r="O112" s="627"/>
      <c r="P112" s="420"/>
      <c r="Q112" s="420"/>
      <c r="R112" s="420"/>
      <c r="S112" s="500"/>
      <c r="T112" s="649"/>
      <c r="U112" s="420"/>
      <c r="V112" s="420"/>
      <c r="W112" s="420"/>
      <c r="X112" s="500"/>
      <c r="Y112" s="649"/>
      <c r="Z112" s="420"/>
      <c r="AA112" s="420"/>
      <c r="AB112" s="420"/>
      <c r="AC112" s="500"/>
      <c r="AD112" s="649"/>
      <c r="AE112" s="420"/>
      <c r="AF112" s="420"/>
      <c r="AG112" s="420"/>
      <c r="AH112" s="500"/>
      <c r="AI112" s="649"/>
      <c r="AJ112" s="420"/>
      <c r="AK112" s="420"/>
      <c r="AL112" s="420"/>
      <c r="AM112" s="500"/>
      <c r="AN112" s="649"/>
      <c r="AO112" s="420"/>
      <c r="AP112" s="420"/>
      <c r="AQ112" s="420"/>
      <c r="AR112" s="500"/>
      <c r="AS112" s="649"/>
      <c r="AT112" s="420"/>
      <c r="AU112" s="420"/>
      <c r="AV112" s="420"/>
      <c r="AW112" s="500"/>
      <c r="AX112" s="649"/>
      <c r="AZ112" s="402" t="e">
        <f>RANK(AY112, AY$112:AY$141)</f>
        <v>#N/A</v>
      </c>
      <c r="BA112" s="649" t="e">
        <f>AVERAGE(AY112:AY141)</f>
        <v>#DIV/0!</v>
      </c>
    </row>
    <row r="113" spans="2:53">
      <c r="B113" s="635"/>
      <c r="C113" s="292">
        <v>2</v>
      </c>
      <c r="D113" s="225"/>
      <c r="E113" s="420"/>
      <c r="F113" s="413"/>
      <c r="G113" s="414"/>
      <c r="H113" s="678"/>
      <c r="I113" s="395" t="str">
        <f t="shared" ref="I113:I141" si="26">IFERROR(AVERAGE(P113,U113,Z113,AE113,AJ113,AO113,AT113),"-")</f>
        <v>-</v>
      </c>
      <c r="J113" s="395" t="str">
        <f t="shared" ref="J113:J141" si="27">IFERROR(AVERAGE(Q113,V113,AA113,AF113,AK113,AP113,AU113),"-")</f>
        <v>-</v>
      </c>
      <c r="K113" s="199" t="str">
        <f t="shared" ref="K113:K141" si="28">IFERROR(AVERAGE(R113,W113,AB113,AG113,AL113,AQ113,AV113),"-")</f>
        <v>-</v>
      </c>
      <c r="L113" s="609"/>
      <c r="M113" s="200" t="e">
        <f>RANK(K113, K$112:$K$141)</f>
        <v>#VALUE!</v>
      </c>
      <c r="N113" s="627"/>
      <c r="O113" s="627"/>
      <c r="P113" s="420"/>
      <c r="Q113" s="420"/>
      <c r="R113" s="420"/>
      <c r="S113" s="500"/>
      <c r="T113" s="649"/>
      <c r="U113" s="420"/>
      <c r="V113" s="420"/>
      <c r="W113" s="420"/>
      <c r="X113" s="500"/>
      <c r="Y113" s="649"/>
      <c r="Z113" s="420"/>
      <c r="AA113" s="420"/>
      <c r="AB113" s="420"/>
      <c r="AC113" s="500"/>
      <c r="AD113" s="649"/>
      <c r="AE113" s="420"/>
      <c r="AF113" s="420"/>
      <c r="AG113" s="420"/>
      <c r="AH113" s="500"/>
      <c r="AI113" s="649"/>
      <c r="AJ113" s="420"/>
      <c r="AK113" s="420"/>
      <c r="AL113" s="420"/>
      <c r="AM113" s="500"/>
      <c r="AN113" s="649"/>
      <c r="AO113" s="420"/>
      <c r="AP113" s="420"/>
      <c r="AQ113" s="420"/>
      <c r="AR113" s="500"/>
      <c r="AS113" s="649"/>
      <c r="AT113" s="420"/>
      <c r="AU113" s="420"/>
      <c r="AV113" s="420"/>
      <c r="AW113" s="500"/>
      <c r="AX113" s="649"/>
      <c r="AZ113" s="402" t="e">
        <f t="shared" ref="AZ113:AZ141" si="29">RANK(AY113, AY$112:AY$141)</f>
        <v>#N/A</v>
      </c>
      <c r="BA113" s="649"/>
    </row>
    <row r="114" spans="2:53">
      <c r="B114" s="635"/>
      <c r="C114" s="292">
        <v>3</v>
      </c>
      <c r="D114" s="225"/>
      <c r="E114" s="420"/>
      <c r="F114" s="413"/>
      <c r="G114" s="414"/>
      <c r="H114" s="678"/>
      <c r="I114" s="395" t="str">
        <f t="shared" si="26"/>
        <v>-</v>
      </c>
      <c r="J114" s="395" t="str">
        <f t="shared" si="27"/>
        <v>-</v>
      </c>
      <c r="K114" s="199" t="str">
        <f t="shared" si="28"/>
        <v>-</v>
      </c>
      <c r="L114" s="609"/>
      <c r="M114" s="200" t="e">
        <f>RANK(K114, K$112:$K$141)</f>
        <v>#VALUE!</v>
      </c>
      <c r="N114" s="627"/>
      <c r="O114" s="627"/>
      <c r="P114" s="420"/>
      <c r="Q114" s="420"/>
      <c r="R114" s="420"/>
      <c r="S114" s="500"/>
      <c r="T114" s="649"/>
      <c r="U114" s="420"/>
      <c r="V114" s="420"/>
      <c r="W114" s="420"/>
      <c r="X114" s="500"/>
      <c r="Y114" s="649"/>
      <c r="Z114" s="420"/>
      <c r="AA114" s="420"/>
      <c r="AB114" s="420"/>
      <c r="AC114" s="500"/>
      <c r="AD114" s="649"/>
      <c r="AE114" s="420"/>
      <c r="AF114" s="420"/>
      <c r="AG114" s="420"/>
      <c r="AH114" s="500"/>
      <c r="AI114" s="649"/>
      <c r="AJ114" s="420"/>
      <c r="AK114" s="420"/>
      <c r="AL114" s="420"/>
      <c r="AM114" s="500"/>
      <c r="AN114" s="649"/>
      <c r="AO114" s="420"/>
      <c r="AP114" s="420"/>
      <c r="AQ114" s="420"/>
      <c r="AR114" s="500"/>
      <c r="AS114" s="649"/>
      <c r="AT114" s="420"/>
      <c r="AU114" s="420"/>
      <c r="AV114" s="420"/>
      <c r="AW114" s="500"/>
      <c r="AX114" s="649"/>
      <c r="AZ114" s="402" t="e">
        <f t="shared" si="29"/>
        <v>#N/A</v>
      </c>
      <c r="BA114" s="649"/>
    </row>
    <row r="115" spans="2:53">
      <c r="B115" s="635"/>
      <c r="C115" s="292">
        <v>4</v>
      </c>
      <c r="D115" s="225"/>
      <c r="E115" s="420"/>
      <c r="F115" s="413"/>
      <c r="G115" s="414"/>
      <c r="H115" s="678"/>
      <c r="I115" s="395" t="str">
        <f t="shared" si="26"/>
        <v>-</v>
      </c>
      <c r="J115" s="395" t="str">
        <f t="shared" si="27"/>
        <v>-</v>
      </c>
      <c r="K115" s="199" t="str">
        <f t="shared" si="28"/>
        <v>-</v>
      </c>
      <c r="L115" s="609"/>
      <c r="M115" s="200" t="e">
        <f>RANK(K115, K$112:$K$141)</f>
        <v>#VALUE!</v>
      </c>
      <c r="N115" s="627"/>
      <c r="O115" s="627"/>
      <c r="P115" s="420"/>
      <c r="Q115" s="420"/>
      <c r="R115" s="420"/>
      <c r="S115" s="500"/>
      <c r="T115" s="649"/>
      <c r="U115" s="420"/>
      <c r="V115" s="420"/>
      <c r="W115" s="420"/>
      <c r="X115" s="500"/>
      <c r="Y115" s="649"/>
      <c r="Z115" s="420"/>
      <c r="AA115" s="420"/>
      <c r="AB115" s="420"/>
      <c r="AC115" s="500"/>
      <c r="AD115" s="649"/>
      <c r="AE115" s="420"/>
      <c r="AF115" s="420"/>
      <c r="AG115" s="420"/>
      <c r="AH115" s="500"/>
      <c r="AI115" s="649"/>
      <c r="AJ115" s="420"/>
      <c r="AK115" s="420"/>
      <c r="AL115" s="420"/>
      <c r="AM115" s="500"/>
      <c r="AN115" s="649"/>
      <c r="AO115" s="420"/>
      <c r="AP115" s="420"/>
      <c r="AQ115" s="420"/>
      <c r="AR115" s="500"/>
      <c r="AS115" s="649"/>
      <c r="AT115" s="420"/>
      <c r="AU115" s="420"/>
      <c r="AV115" s="420"/>
      <c r="AW115" s="500"/>
      <c r="AX115" s="649"/>
      <c r="AZ115" s="402" t="e">
        <f t="shared" si="29"/>
        <v>#N/A</v>
      </c>
      <c r="BA115" s="649"/>
    </row>
    <row r="116" spans="2:53">
      <c r="B116" s="635"/>
      <c r="C116" s="292">
        <v>5</v>
      </c>
      <c r="D116" s="225"/>
      <c r="E116" s="420"/>
      <c r="F116" s="413"/>
      <c r="G116" s="414"/>
      <c r="H116" s="678"/>
      <c r="I116" s="395" t="str">
        <f t="shared" si="26"/>
        <v>-</v>
      </c>
      <c r="J116" s="395" t="str">
        <f t="shared" si="27"/>
        <v>-</v>
      </c>
      <c r="K116" s="199" t="str">
        <f t="shared" si="28"/>
        <v>-</v>
      </c>
      <c r="L116" s="609"/>
      <c r="M116" s="200" t="e">
        <f>RANK(K116, K$112:$K$141)</f>
        <v>#VALUE!</v>
      </c>
      <c r="N116" s="627"/>
      <c r="O116" s="627"/>
      <c r="P116" s="420"/>
      <c r="Q116" s="420"/>
      <c r="R116" s="420"/>
      <c r="S116" s="500"/>
      <c r="T116" s="649"/>
      <c r="U116" s="420"/>
      <c r="V116" s="420"/>
      <c r="W116" s="420"/>
      <c r="X116" s="500"/>
      <c r="Y116" s="649"/>
      <c r="Z116" s="420"/>
      <c r="AA116" s="420"/>
      <c r="AB116" s="420"/>
      <c r="AC116" s="500"/>
      <c r="AD116" s="649"/>
      <c r="AE116" s="420"/>
      <c r="AF116" s="420"/>
      <c r="AG116" s="420"/>
      <c r="AH116" s="500"/>
      <c r="AI116" s="649"/>
      <c r="AJ116" s="420"/>
      <c r="AK116" s="420"/>
      <c r="AL116" s="420"/>
      <c r="AM116" s="500"/>
      <c r="AN116" s="649"/>
      <c r="AO116" s="420"/>
      <c r="AP116" s="420"/>
      <c r="AQ116" s="420"/>
      <c r="AR116" s="500"/>
      <c r="AS116" s="649"/>
      <c r="AT116" s="420"/>
      <c r="AU116" s="420"/>
      <c r="AV116" s="420"/>
      <c r="AW116" s="500"/>
      <c r="AX116" s="649"/>
      <c r="AZ116" s="402" t="e">
        <f t="shared" si="29"/>
        <v>#N/A</v>
      </c>
      <c r="BA116" s="649"/>
    </row>
    <row r="117" spans="2:53">
      <c r="B117" s="635"/>
      <c r="C117" s="292">
        <v>6</v>
      </c>
      <c r="D117" s="225"/>
      <c r="E117" s="420"/>
      <c r="F117" s="413"/>
      <c r="G117" s="414"/>
      <c r="H117" s="678"/>
      <c r="I117" s="395" t="str">
        <f t="shared" si="26"/>
        <v>-</v>
      </c>
      <c r="J117" s="395" t="str">
        <f t="shared" si="27"/>
        <v>-</v>
      </c>
      <c r="K117" s="199" t="str">
        <f t="shared" si="28"/>
        <v>-</v>
      </c>
      <c r="L117" s="609"/>
      <c r="M117" s="200" t="e">
        <f>RANK(K117, K$112:$K$141)</f>
        <v>#VALUE!</v>
      </c>
      <c r="N117" s="627"/>
      <c r="O117" s="627"/>
      <c r="P117" s="420"/>
      <c r="Q117" s="420"/>
      <c r="R117" s="420"/>
      <c r="S117" s="500"/>
      <c r="T117" s="649"/>
      <c r="U117" s="420"/>
      <c r="V117" s="420"/>
      <c r="W117" s="420"/>
      <c r="X117" s="500"/>
      <c r="Y117" s="649"/>
      <c r="Z117" s="420"/>
      <c r="AA117" s="420"/>
      <c r="AB117" s="420"/>
      <c r="AC117" s="500"/>
      <c r="AD117" s="649"/>
      <c r="AE117" s="420"/>
      <c r="AF117" s="420"/>
      <c r="AG117" s="420"/>
      <c r="AH117" s="500"/>
      <c r="AI117" s="649"/>
      <c r="AJ117" s="420"/>
      <c r="AK117" s="420"/>
      <c r="AL117" s="420"/>
      <c r="AM117" s="500"/>
      <c r="AN117" s="649"/>
      <c r="AO117" s="420"/>
      <c r="AP117" s="420"/>
      <c r="AQ117" s="420"/>
      <c r="AR117" s="500"/>
      <c r="AS117" s="649"/>
      <c r="AT117" s="420"/>
      <c r="AU117" s="420"/>
      <c r="AV117" s="420"/>
      <c r="AW117" s="500"/>
      <c r="AX117" s="649"/>
      <c r="AZ117" s="402" t="e">
        <f t="shared" si="29"/>
        <v>#N/A</v>
      </c>
      <c r="BA117" s="649"/>
    </row>
    <row r="118" spans="2:53">
      <c r="B118" s="635"/>
      <c r="C118" s="292">
        <v>7</v>
      </c>
      <c r="D118" s="225"/>
      <c r="E118" s="420"/>
      <c r="F118" s="413"/>
      <c r="G118" s="414"/>
      <c r="H118" s="678"/>
      <c r="I118" s="395" t="str">
        <f t="shared" si="26"/>
        <v>-</v>
      </c>
      <c r="J118" s="395" t="str">
        <f t="shared" si="27"/>
        <v>-</v>
      </c>
      <c r="K118" s="199" t="str">
        <f t="shared" si="28"/>
        <v>-</v>
      </c>
      <c r="L118" s="609"/>
      <c r="M118" s="200" t="e">
        <f>RANK(K118, K$112:$K$141)</f>
        <v>#VALUE!</v>
      </c>
      <c r="N118" s="627"/>
      <c r="O118" s="627"/>
      <c r="P118" s="420"/>
      <c r="Q118" s="420"/>
      <c r="R118" s="420"/>
      <c r="S118" s="500"/>
      <c r="T118" s="649"/>
      <c r="U118" s="420"/>
      <c r="V118" s="420"/>
      <c r="W118" s="420"/>
      <c r="X118" s="500"/>
      <c r="Y118" s="649"/>
      <c r="Z118" s="420"/>
      <c r="AA118" s="420"/>
      <c r="AB118" s="420"/>
      <c r="AC118" s="500"/>
      <c r="AD118" s="649"/>
      <c r="AE118" s="420"/>
      <c r="AF118" s="420"/>
      <c r="AG118" s="420"/>
      <c r="AH118" s="500"/>
      <c r="AI118" s="649"/>
      <c r="AJ118" s="420"/>
      <c r="AK118" s="420"/>
      <c r="AL118" s="420"/>
      <c r="AM118" s="500"/>
      <c r="AN118" s="649"/>
      <c r="AO118" s="420"/>
      <c r="AP118" s="420"/>
      <c r="AQ118" s="420"/>
      <c r="AR118" s="500"/>
      <c r="AS118" s="649"/>
      <c r="AT118" s="420"/>
      <c r="AU118" s="420"/>
      <c r="AV118" s="420"/>
      <c r="AW118" s="500"/>
      <c r="AX118" s="649"/>
      <c r="AZ118" s="402" t="e">
        <f t="shared" si="29"/>
        <v>#N/A</v>
      </c>
      <c r="BA118" s="649"/>
    </row>
    <row r="119" spans="2:53">
      <c r="B119" s="635"/>
      <c r="C119" s="292">
        <v>8</v>
      </c>
      <c r="D119" s="225"/>
      <c r="E119" s="420"/>
      <c r="F119" s="413"/>
      <c r="G119" s="414"/>
      <c r="H119" s="678"/>
      <c r="I119" s="395" t="str">
        <f t="shared" si="26"/>
        <v>-</v>
      </c>
      <c r="J119" s="395" t="str">
        <f t="shared" si="27"/>
        <v>-</v>
      </c>
      <c r="K119" s="199" t="str">
        <f t="shared" si="28"/>
        <v>-</v>
      </c>
      <c r="L119" s="609"/>
      <c r="M119" s="200" t="e">
        <f>RANK(K119, K$112:$K$141)</f>
        <v>#VALUE!</v>
      </c>
      <c r="N119" s="627"/>
      <c r="O119" s="627"/>
      <c r="P119" s="420"/>
      <c r="Q119" s="420"/>
      <c r="R119" s="420"/>
      <c r="S119" s="500"/>
      <c r="T119" s="649"/>
      <c r="U119" s="420"/>
      <c r="V119" s="420"/>
      <c r="W119" s="420"/>
      <c r="X119" s="500"/>
      <c r="Y119" s="649"/>
      <c r="Z119" s="420"/>
      <c r="AA119" s="420"/>
      <c r="AB119" s="420"/>
      <c r="AC119" s="500"/>
      <c r="AD119" s="649"/>
      <c r="AE119" s="420"/>
      <c r="AF119" s="420"/>
      <c r="AG119" s="420"/>
      <c r="AH119" s="500"/>
      <c r="AI119" s="649"/>
      <c r="AJ119" s="420"/>
      <c r="AK119" s="420"/>
      <c r="AL119" s="420"/>
      <c r="AM119" s="500"/>
      <c r="AN119" s="649"/>
      <c r="AO119" s="420"/>
      <c r="AP119" s="420"/>
      <c r="AQ119" s="420"/>
      <c r="AR119" s="500"/>
      <c r="AS119" s="649"/>
      <c r="AT119" s="420"/>
      <c r="AU119" s="420"/>
      <c r="AV119" s="420"/>
      <c r="AW119" s="500"/>
      <c r="AX119" s="649"/>
      <c r="AZ119" s="402" t="e">
        <f t="shared" si="29"/>
        <v>#N/A</v>
      </c>
      <c r="BA119" s="649"/>
    </row>
    <row r="120" spans="2:53">
      <c r="B120" s="635"/>
      <c r="C120" s="292">
        <v>9</v>
      </c>
      <c r="D120" s="225"/>
      <c r="E120" s="420"/>
      <c r="F120" s="413"/>
      <c r="G120" s="414"/>
      <c r="H120" s="678"/>
      <c r="I120" s="395" t="str">
        <f t="shared" si="26"/>
        <v>-</v>
      </c>
      <c r="J120" s="395" t="str">
        <f t="shared" si="27"/>
        <v>-</v>
      </c>
      <c r="K120" s="199" t="str">
        <f t="shared" si="28"/>
        <v>-</v>
      </c>
      <c r="L120" s="609"/>
      <c r="M120" s="200" t="e">
        <f>RANK(K120, K$112:$K$141)</f>
        <v>#VALUE!</v>
      </c>
      <c r="N120" s="627"/>
      <c r="O120" s="627"/>
      <c r="P120" s="420"/>
      <c r="Q120" s="420"/>
      <c r="R120" s="420"/>
      <c r="S120" s="500"/>
      <c r="T120" s="649"/>
      <c r="U120" s="420"/>
      <c r="V120" s="420"/>
      <c r="W120" s="420"/>
      <c r="X120" s="500"/>
      <c r="Y120" s="649"/>
      <c r="Z120" s="420"/>
      <c r="AA120" s="420"/>
      <c r="AB120" s="420"/>
      <c r="AC120" s="500"/>
      <c r="AD120" s="649"/>
      <c r="AE120" s="420"/>
      <c r="AF120" s="420"/>
      <c r="AG120" s="420"/>
      <c r="AH120" s="500"/>
      <c r="AI120" s="649"/>
      <c r="AJ120" s="420"/>
      <c r="AK120" s="420"/>
      <c r="AL120" s="420"/>
      <c r="AM120" s="500"/>
      <c r="AN120" s="649"/>
      <c r="AO120" s="420"/>
      <c r="AP120" s="420"/>
      <c r="AQ120" s="420"/>
      <c r="AR120" s="500"/>
      <c r="AS120" s="649"/>
      <c r="AT120" s="420"/>
      <c r="AU120" s="420"/>
      <c r="AV120" s="420"/>
      <c r="AW120" s="500"/>
      <c r="AX120" s="649"/>
      <c r="AZ120" s="402" t="e">
        <f t="shared" si="29"/>
        <v>#N/A</v>
      </c>
      <c r="BA120" s="649"/>
    </row>
    <row r="121" spans="2:53">
      <c r="B121" s="635"/>
      <c r="C121" s="292">
        <v>10</v>
      </c>
      <c r="D121" s="225"/>
      <c r="E121" s="420"/>
      <c r="F121" s="413"/>
      <c r="G121" s="414"/>
      <c r="H121" s="678"/>
      <c r="I121" s="395" t="str">
        <f t="shared" si="26"/>
        <v>-</v>
      </c>
      <c r="J121" s="395" t="str">
        <f t="shared" si="27"/>
        <v>-</v>
      </c>
      <c r="K121" s="199" t="str">
        <f t="shared" si="28"/>
        <v>-</v>
      </c>
      <c r="L121" s="609"/>
      <c r="M121" s="200" t="e">
        <f>RANK(K121, K$112:$K$141)</f>
        <v>#VALUE!</v>
      </c>
      <c r="N121" s="627"/>
      <c r="O121" s="627"/>
      <c r="P121" s="420"/>
      <c r="Q121" s="420"/>
      <c r="R121" s="420"/>
      <c r="S121" s="500"/>
      <c r="T121" s="649"/>
      <c r="U121" s="420"/>
      <c r="V121" s="420"/>
      <c r="W121" s="420"/>
      <c r="X121" s="500"/>
      <c r="Y121" s="649"/>
      <c r="Z121" s="420"/>
      <c r="AA121" s="420"/>
      <c r="AB121" s="420"/>
      <c r="AC121" s="500"/>
      <c r="AD121" s="649"/>
      <c r="AE121" s="420"/>
      <c r="AF121" s="420"/>
      <c r="AG121" s="420"/>
      <c r="AH121" s="500"/>
      <c r="AI121" s="649"/>
      <c r="AJ121" s="420"/>
      <c r="AK121" s="420"/>
      <c r="AL121" s="420"/>
      <c r="AM121" s="500"/>
      <c r="AN121" s="649"/>
      <c r="AO121" s="420"/>
      <c r="AP121" s="420"/>
      <c r="AQ121" s="420"/>
      <c r="AR121" s="500"/>
      <c r="AS121" s="649"/>
      <c r="AT121" s="420"/>
      <c r="AU121" s="420"/>
      <c r="AV121" s="420"/>
      <c r="AW121" s="500"/>
      <c r="AX121" s="649"/>
      <c r="AZ121" s="402" t="e">
        <f t="shared" si="29"/>
        <v>#N/A</v>
      </c>
      <c r="BA121" s="649"/>
    </row>
    <row r="122" spans="2:53">
      <c r="B122" s="635"/>
      <c r="C122" s="292">
        <v>11</v>
      </c>
      <c r="D122" s="225"/>
      <c r="E122" s="420"/>
      <c r="F122" s="413"/>
      <c r="G122" s="414"/>
      <c r="H122" s="678"/>
      <c r="I122" s="395" t="str">
        <f t="shared" si="26"/>
        <v>-</v>
      </c>
      <c r="J122" s="395" t="str">
        <f t="shared" si="27"/>
        <v>-</v>
      </c>
      <c r="K122" s="199" t="str">
        <f t="shared" si="28"/>
        <v>-</v>
      </c>
      <c r="L122" s="609"/>
      <c r="M122" s="200" t="e">
        <f>RANK(K122, K$112:$K$141)</f>
        <v>#VALUE!</v>
      </c>
      <c r="N122" s="627"/>
      <c r="O122" s="627"/>
      <c r="P122" s="420"/>
      <c r="Q122" s="420"/>
      <c r="R122" s="420"/>
      <c r="S122" s="500"/>
      <c r="T122" s="649"/>
      <c r="U122" s="420"/>
      <c r="V122" s="420"/>
      <c r="W122" s="420"/>
      <c r="X122" s="500"/>
      <c r="Y122" s="649"/>
      <c r="Z122" s="420"/>
      <c r="AA122" s="420"/>
      <c r="AB122" s="420"/>
      <c r="AC122" s="500"/>
      <c r="AD122" s="649"/>
      <c r="AE122" s="420"/>
      <c r="AF122" s="420"/>
      <c r="AG122" s="420"/>
      <c r="AH122" s="500"/>
      <c r="AI122" s="649"/>
      <c r="AJ122" s="420"/>
      <c r="AK122" s="420"/>
      <c r="AL122" s="420"/>
      <c r="AM122" s="500"/>
      <c r="AN122" s="649"/>
      <c r="AO122" s="420"/>
      <c r="AP122" s="420"/>
      <c r="AQ122" s="420"/>
      <c r="AR122" s="500"/>
      <c r="AS122" s="649"/>
      <c r="AT122" s="420"/>
      <c r="AU122" s="420"/>
      <c r="AV122" s="420"/>
      <c r="AW122" s="500"/>
      <c r="AX122" s="649"/>
      <c r="AZ122" s="402" t="e">
        <f t="shared" si="29"/>
        <v>#N/A</v>
      </c>
      <c r="BA122" s="649"/>
    </row>
    <row r="123" spans="2:53">
      <c r="B123" s="635"/>
      <c r="C123" s="292">
        <v>12</v>
      </c>
      <c r="D123" s="225"/>
      <c r="E123" s="420"/>
      <c r="F123" s="413"/>
      <c r="G123" s="414"/>
      <c r="H123" s="678"/>
      <c r="I123" s="395" t="str">
        <f t="shared" si="26"/>
        <v>-</v>
      </c>
      <c r="J123" s="395" t="str">
        <f t="shared" si="27"/>
        <v>-</v>
      </c>
      <c r="K123" s="199" t="str">
        <f t="shared" si="28"/>
        <v>-</v>
      </c>
      <c r="L123" s="609"/>
      <c r="M123" s="200" t="e">
        <f>RANK(K123, K$112:$K$141)</f>
        <v>#VALUE!</v>
      </c>
      <c r="N123" s="627"/>
      <c r="O123" s="627"/>
      <c r="P123" s="420"/>
      <c r="Q123" s="420"/>
      <c r="R123" s="420"/>
      <c r="S123" s="500"/>
      <c r="T123" s="649"/>
      <c r="U123" s="420"/>
      <c r="V123" s="420"/>
      <c r="W123" s="420"/>
      <c r="X123" s="500"/>
      <c r="Y123" s="649"/>
      <c r="Z123" s="420"/>
      <c r="AA123" s="420"/>
      <c r="AB123" s="420"/>
      <c r="AC123" s="500"/>
      <c r="AD123" s="649"/>
      <c r="AE123" s="420"/>
      <c r="AF123" s="420"/>
      <c r="AG123" s="420"/>
      <c r="AH123" s="500"/>
      <c r="AI123" s="649"/>
      <c r="AJ123" s="420"/>
      <c r="AK123" s="420"/>
      <c r="AL123" s="420"/>
      <c r="AM123" s="500"/>
      <c r="AN123" s="649"/>
      <c r="AO123" s="420"/>
      <c r="AP123" s="420"/>
      <c r="AQ123" s="420"/>
      <c r="AR123" s="500"/>
      <c r="AS123" s="649"/>
      <c r="AT123" s="420"/>
      <c r="AU123" s="420"/>
      <c r="AV123" s="420"/>
      <c r="AW123" s="500"/>
      <c r="AX123" s="649"/>
      <c r="AZ123" s="402" t="e">
        <f t="shared" si="29"/>
        <v>#N/A</v>
      </c>
      <c r="BA123" s="649"/>
    </row>
    <row r="124" spans="2:53">
      <c r="B124" s="635"/>
      <c r="C124" s="292">
        <v>13</v>
      </c>
      <c r="D124" s="225"/>
      <c r="E124" s="420"/>
      <c r="F124" s="413"/>
      <c r="G124" s="414"/>
      <c r="H124" s="678"/>
      <c r="I124" s="395" t="str">
        <f t="shared" si="26"/>
        <v>-</v>
      </c>
      <c r="J124" s="395" t="str">
        <f t="shared" si="27"/>
        <v>-</v>
      </c>
      <c r="K124" s="199" t="str">
        <f t="shared" si="28"/>
        <v>-</v>
      </c>
      <c r="L124" s="609"/>
      <c r="M124" s="200" t="e">
        <f>RANK(K124, K$112:$K$141)</f>
        <v>#VALUE!</v>
      </c>
      <c r="N124" s="627"/>
      <c r="O124" s="627"/>
      <c r="P124" s="420"/>
      <c r="Q124" s="420"/>
      <c r="R124" s="420"/>
      <c r="S124" s="500"/>
      <c r="T124" s="649"/>
      <c r="U124" s="420"/>
      <c r="V124" s="420"/>
      <c r="W124" s="420"/>
      <c r="X124" s="500"/>
      <c r="Y124" s="649"/>
      <c r="Z124" s="420"/>
      <c r="AA124" s="420"/>
      <c r="AB124" s="420"/>
      <c r="AC124" s="500"/>
      <c r="AD124" s="649"/>
      <c r="AE124" s="420"/>
      <c r="AF124" s="420"/>
      <c r="AG124" s="420"/>
      <c r="AH124" s="500"/>
      <c r="AI124" s="649"/>
      <c r="AJ124" s="420"/>
      <c r="AK124" s="420"/>
      <c r="AL124" s="420"/>
      <c r="AM124" s="500"/>
      <c r="AN124" s="649"/>
      <c r="AO124" s="420"/>
      <c r="AP124" s="420"/>
      <c r="AQ124" s="420"/>
      <c r="AR124" s="500"/>
      <c r="AS124" s="649"/>
      <c r="AT124" s="420"/>
      <c r="AU124" s="420"/>
      <c r="AV124" s="420"/>
      <c r="AW124" s="500"/>
      <c r="AX124" s="649"/>
      <c r="AZ124" s="402" t="e">
        <f t="shared" si="29"/>
        <v>#N/A</v>
      </c>
      <c r="BA124" s="649"/>
    </row>
    <row r="125" spans="2:53">
      <c r="B125" s="635"/>
      <c r="C125" s="292">
        <v>14</v>
      </c>
      <c r="D125" s="225"/>
      <c r="E125" s="420"/>
      <c r="F125" s="413"/>
      <c r="G125" s="414"/>
      <c r="H125" s="678"/>
      <c r="I125" s="395" t="str">
        <f t="shared" si="26"/>
        <v>-</v>
      </c>
      <c r="J125" s="395" t="str">
        <f t="shared" si="27"/>
        <v>-</v>
      </c>
      <c r="K125" s="199" t="str">
        <f t="shared" si="28"/>
        <v>-</v>
      </c>
      <c r="L125" s="609"/>
      <c r="M125" s="200" t="e">
        <f>RANK(K125, K$112:$K$141)</f>
        <v>#VALUE!</v>
      </c>
      <c r="N125" s="627"/>
      <c r="O125" s="627"/>
      <c r="P125" s="420"/>
      <c r="Q125" s="420"/>
      <c r="R125" s="420"/>
      <c r="S125" s="500"/>
      <c r="T125" s="649"/>
      <c r="U125" s="420"/>
      <c r="V125" s="420"/>
      <c r="W125" s="420"/>
      <c r="X125" s="500"/>
      <c r="Y125" s="649"/>
      <c r="Z125" s="420"/>
      <c r="AA125" s="420"/>
      <c r="AB125" s="420"/>
      <c r="AC125" s="500"/>
      <c r="AD125" s="649"/>
      <c r="AE125" s="420"/>
      <c r="AF125" s="420"/>
      <c r="AG125" s="420"/>
      <c r="AH125" s="500"/>
      <c r="AI125" s="649"/>
      <c r="AJ125" s="420"/>
      <c r="AK125" s="420"/>
      <c r="AL125" s="420"/>
      <c r="AM125" s="500"/>
      <c r="AN125" s="649"/>
      <c r="AO125" s="420"/>
      <c r="AP125" s="420"/>
      <c r="AQ125" s="420"/>
      <c r="AR125" s="500"/>
      <c r="AS125" s="649"/>
      <c r="AT125" s="420"/>
      <c r="AU125" s="420"/>
      <c r="AV125" s="420"/>
      <c r="AW125" s="500"/>
      <c r="AX125" s="649"/>
      <c r="AZ125" s="402" t="e">
        <f t="shared" si="29"/>
        <v>#N/A</v>
      </c>
      <c r="BA125" s="649"/>
    </row>
    <row r="126" spans="2:53">
      <c r="B126" s="635"/>
      <c r="C126" s="292">
        <v>15</v>
      </c>
      <c r="D126" s="225"/>
      <c r="E126" s="420"/>
      <c r="F126" s="413"/>
      <c r="G126" s="414"/>
      <c r="H126" s="678"/>
      <c r="I126" s="395" t="str">
        <f t="shared" si="26"/>
        <v>-</v>
      </c>
      <c r="J126" s="395" t="str">
        <f t="shared" si="27"/>
        <v>-</v>
      </c>
      <c r="K126" s="199" t="str">
        <f t="shared" si="28"/>
        <v>-</v>
      </c>
      <c r="L126" s="609"/>
      <c r="M126" s="200" t="e">
        <f>RANK(K126, K$112:$K$141)</f>
        <v>#VALUE!</v>
      </c>
      <c r="N126" s="627"/>
      <c r="O126" s="627"/>
      <c r="P126" s="420"/>
      <c r="Q126" s="420"/>
      <c r="R126" s="420"/>
      <c r="S126" s="500"/>
      <c r="T126" s="649"/>
      <c r="U126" s="420"/>
      <c r="V126" s="420"/>
      <c r="W126" s="420"/>
      <c r="X126" s="500"/>
      <c r="Y126" s="649"/>
      <c r="Z126" s="420"/>
      <c r="AA126" s="420"/>
      <c r="AB126" s="420"/>
      <c r="AC126" s="500"/>
      <c r="AD126" s="649"/>
      <c r="AE126" s="420"/>
      <c r="AF126" s="420"/>
      <c r="AG126" s="420"/>
      <c r="AH126" s="500"/>
      <c r="AI126" s="649"/>
      <c r="AJ126" s="420"/>
      <c r="AK126" s="420"/>
      <c r="AL126" s="420"/>
      <c r="AM126" s="500"/>
      <c r="AN126" s="649"/>
      <c r="AO126" s="420"/>
      <c r="AP126" s="420"/>
      <c r="AQ126" s="420"/>
      <c r="AR126" s="500"/>
      <c r="AS126" s="649"/>
      <c r="AT126" s="420"/>
      <c r="AU126" s="420"/>
      <c r="AV126" s="420"/>
      <c r="AW126" s="500"/>
      <c r="AX126" s="649"/>
      <c r="AZ126" s="402" t="e">
        <f t="shared" si="29"/>
        <v>#N/A</v>
      </c>
      <c r="BA126" s="649"/>
    </row>
    <row r="127" spans="2:53">
      <c r="B127" s="635"/>
      <c r="C127" s="292">
        <v>16</v>
      </c>
      <c r="D127" s="225"/>
      <c r="E127" s="420"/>
      <c r="F127" s="413"/>
      <c r="G127" s="414"/>
      <c r="H127" s="678"/>
      <c r="I127" s="395" t="str">
        <f t="shared" si="26"/>
        <v>-</v>
      </c>
      <c r="J127" s="395" t="str">
        <f t="shared" si="27"/>
        <v>-</v>
      </c>
      <c r="K127" s="199" t="str">
        <f t="shared" si="28"/>
        <v>-</v>
      </c>
      <c r="L127" s="609"/>
      <c r="M127" s="200" t="e">
        <f>RANK(K127, K$112:$K$141)</f>
        <v>#VALUE!</v>
      </c>
      <c r="N127" s="627"/>
      <c r="O127" s="627"/>
      <c r="P127" s="420"/>
      <c r="Q127" s="420"/>
      <c r="R127" s="420"/>
      <c r="S127" s="500"/>
      <c r="T127" s="649"/>
      <c r="U127" s="420"/>
      <c r="V127" s="420"/>
      <c r="W127" s="420"/>
      <c r="X127" s="500"/>
      <c r="Y127" s="649"/>
      <c r="Z127" s="420"/>
      <c r="AA127" s="420"/>
      <c r="AB127" s="420"/>
      <c r="AC127" s="500"/>
      <c r="AD127" s="649"/>
      <c r="AE127" s="420"/>
      <c r="AF127" s="420"/>
      <c r="AG127" s="420"/>
      <c r="AH127" s="500"/>
      <c r="AI127" s="649"/>
      <c r="AJ127" s="420"/>
      <c r="AK127" s="420"/>
      <c r="AL127" s="420"/>
      <c r="AM127" s="500"/>
      <c r="AN127" s="649"/>
      <c r="AO127" s="420"/>
      <c r="AP127" s="420"/>
      <c r="AQ127" s="420"/>
      <c r="AR127" s="500"/>
      <c r="AS127" s="649"/>
      <c r="AT127" s="420"/>
      <c r="AU127" s="420"/>
      <c r="AV127" s="420"/>
      <c r="AW127" s="500"/>
      <c r="AX127" s="649"/>
      <c r="AZ127" s="402" t="e">
        <f t="shared" si="29"/>
        <v>#N/A</v>
      </c>
      <c r="BA127" s="649"/>
    </row>
    <row r="128" spans="2:53">
      <c r="B128" s="635"/>
      <c r="C128" s="292">
        <v>17</v>
      </c>
      <c r="D128" s="225"/>
      <c r="E128" s="420"/>
      <c r="F128" s="413"/>
      <c r="G128" s="414"/>
      <c r="H128" s="678"/>
      <c r="I128" s="395" t="str">
        <f t="shared" si="26"/>
        <v>-</v>
      </c>
      <c r="J128" s="395" t="str">
        <f t="shared" si="27"/>
        <v>-</v>
      </c>
      <c r="K128" s="199" t="str">
        <f t="shared" si="28"/>
        <v>-</v>
      </c>
      <c r="L128" s="609"/>
      <c r="M128" s="200" t="e">
        <f>RANK(K128, K$112:$K$141)</f>
        <v>#VALUE!</v>
      </c>
      <c r="N128" s="627"/>
      <c r="O128" s="627"/>
      <c r="P128" s="420"/>
      <c r="Q128" s="420"/>
      <c r="R128" s="420"/>
      <c r="S128" s="500"/>
      <c r="T128" s="649"/>
      <c r="U128" s="420"/>
      <c r="V128" s="420"/>
      <c r="W128" s="420"/>
      <c r="X128" s="500"/>
      <c r="Y128" s="649"/>
      <c r="Z128" s="420"/>
      <c r="AA128" s="420"/>
      <c r="AB128" s="420"/>
      <c r="AC128" s="500"/>
      <c r="AD128" s="649"/>
      <c r="AE128" s="420"/>
      <c r="AF128" s="420"/>
      <c r="AG128" s="420"/>
      <c r="AH128" s="500"/>
      <c r="AI128" s="649"/>
      <c r="AJ128" s="420"/>
      <c r="AK128" s="420"/>
      <c r="AL128" s="420"/>
      <c r="AM128" s="500"/>
      <c r="AN128" s="649"/>
      <c r="AO128" s="420"/>
      <c r="AP128" s="420"/>
      <c r="AQ128" s="420"/>
      <c r="AR128" s="500"/>
      <c r="AS128" s="649"/>
      <c r="AT128" s="420"/>
      <c r="AU128" s="420"/>
      <c r="AV128" s="420"/>
      <c r="AW128" s="500"/>
      <c r="AX128" s="649"/>
      <c r="AZ128" s="402" t="e">
        <f t="shared" si="29"/>
        <v>#N/A</v>
      </c>
      <c r="BA128" s="649"/>
    </row>
    <row r="129" spans="2:53">
      <c r="B129" s="635"/>
      <c r="C129" s="292">
        <v>18</v>
      </c>
      <c r="D129" s="225"/>
      <c r="E129" s="420"/>
      <c r="F129" s="413"/>
      <c r="G129" s="414"/>
      <c r="H129" s="678"/>
      <c r="I129" s="395" t="str">
        <f t="shared" si="26"/>
        <v>-</v>
      </c>
      <c r="J129" s="395" t="str">
        <f t="shared" si="27"/>
        <v>-</v>
      </c>
      <c r="K129" s="199" t="str">
        <f t="shared" si="28"/>
        <v>-</v>
      </c>
      <c r="L129" s="609"/>
      <c r="M129" s="200" t="e">
        <f>RANK(K129, K$112:$K$141)</f>
        <v>#VALUE!</v>
      </c>
      <c r="N129" s="627"/>
      <c r="O129" s="627"/>
      <c r="P129" s="420"/>
      <c r="Q129" s="420"/>
      <c r="R129" s="420"/>
      <c r="S129" s="500"/>
      <c r="T129" s="649"/>
      <c r="U129" s="420"/>
      <c r="V129" s="420"/>
      <c r="W129" s="420"/>
      <c r="X129" s="500"/>
      <c r="Y129" s="649"/>
      <c r="Z129" s="420"/>
      <c r="AA129" s="420"/>
      <c r="AB129" s="420"/>
      <c r="AC129" s="500"/>
      <c r="AD129" s="649"/>
      <c r="AE129" s="420"/>
      <c r="AF129" s="420"/>
      <c r="AG129" s="420"/>
      <c r="AH129" s="500"/>
      <c r="AI129" s="649"/>
      <c r="AJ129" s="420"/>
      <c r="AK129" s="420"/>
      <c r="AL129" s="420"/>
      <c r="AM129" s="500"/>
      <c r="AN129" s="649"/>
      <c r="AO129" s="420"/>
      <c r="AP129" s="420"/>
      <c r="AQ129" s="420"/>
      <c r="AR129" s="500"/>
      <c r="AS129" s="649"/>
      <c r="AT129" s="420"/>
      <c r="AU129" s="420"/>
      <c r="AV129" s="420"/>
      <c r="AW129" s="500"/>
      <c r="AX129" s="649"/>
      <c r="AZ129" s="402" t="e">
        <f t="shared" si="29"/>
        <v>#N/A</v>
      </c>
      <c r="BA129" s="649"/>
    </row>
    <row r="130" spans="2:53">
      <c r="B130" s="635"/>
      <c r="C130" s="292">
        <v>19</v>
      </c>
      <c r="D130" s="225"/>
      <c r="E130" s="420"/>
      <c r="F130" s="413"/>
      <c r="G130" s="414"/>
      <c r="H130" s="678"/>
      <c r="I130" s="395" t="str">
        <f t="shared" si="26"/>
        <v>-</v>
      </c>
      <c r="J130" s="395" t="str">
        <f t="shared" si="27"/>
        <v>-</v>
      </c>
      <c r="K130" s="199" t="str">
        <f t="shared" si="28"/>
        <v>-</v>
      </c>
      <c r="L130" s="609"/>
      <c r="M130" s="200" t="e">
        <f>RANK(K130, K$112:$K$141)</f>
        <v>#VALUE!</v>
      </c>
      <c r="N130" s="627"/>
      <c r="O130" s="627"/>
      <c r="P130" s="420"/>
      <c r="Q130" s="420"/>
      <c r="R130" s="420"/>
      <c r="S130" s="500"/>
      <c r="T130" s="649"/>
      <c r="U130" s="420"/>
      <c r="V130" s="420"/>
      <c r="W130" s="420"/>
      <c r="X130" s="500"/>
      <c r="Y130" s="649"/>
      <c r="Z130" s="420"/>
      <c r="AA130" s="420"/>
      <c r="AB130" s="420"/>
      <c r="AC130" s="500"/>
      <c r="AD130" s="649"/>
      <c r="AE130" s="420"/>
      <c r="AF130" s="420"/>
      <c r="AG130" s="420"/>
      <c r="AH130" s="500"/>
      <c r="AI130" s="649"/>
      <c r="AJ130" s="420"/>
      <c r="AK130" s="420"/>
      <c r="AL130" s="420"/>
      <c r="AM130" s="500"/>
      <c r="AN130" s="649"/>
      <c r="AO130" s="420"/>
      <c r="AP130" s="420"/>
      <c r="AQ130" s="420"/>
      <c r="AR130" s="500"/>
      <c r="AS130" s="649"/>
      <c r="AT130" s="420"/>
      <c r="AU130" s="420"/>
      <c r="AV130" s="420"/>
      <c r="AW130" s="500"/>
      <c r="AX130" s="649"/>
      <c r="AZ130" s="402" t="e">
        <f t="shared" si="29"/>
        <v>#N/A</v>
      </c>
      <c r="BA130" s="649"/>
    </row>
    <row r="131" spans="2:53">
      <c r="B131" s="635"/>
      <c r="C131" s="292">
        <v>20</v>
      </c>
      <c r="D131" s="225"/>
      <c r="E131" s="420"/>
      <c r="F131" s="413"/>
      <c r="G131" s="414"/>
      <c r="H131" s="678"/>
      <c r="I131" s="395" t="str">
        <f t="shared" si="26"/>
        <v>-</v>
      </c>
      <c r="J131" s="395" t="str">
        <f t="shared" si="27"/>
        <v>-</v>
      </c>
      <c r="K131" s="199" t="str">
        <f t="shared" si="28"/>
        <v>-</v>
      </c>
      <c r="L131" s="609"/>
      <c r="M131" s="200" t="e">
        <f>RANK(K131, K$112:$K$141)</f>
        <v>#VALUE!</v>
      </c>
      <c r="N131" s="627"/>
      <c r="O131" s="627"/>
      <c r="P131" s="420"/>
      <c r="Q131" s="420"/>
      <c r="R131" s="420"/>
      <c r="S131" s="500"/>
      <c r="T131" s="649"/>
      <c r="U131" s="420"/>
      <c r="V131" s="420"/>
      <c r="W131" s="420"/>
      <c r="X131" s="500"/>
      <c r="Y131" s="649"/>
      <c r="Z131" s="420"/>
      <c r="AA131" s="420"/>
      <c r="AB131" s="420"/>
      <c r="AC131" s="500"/>
      <c r="AD131" s="649"/>
      <c r="AE131" s="420"/>
      <c r="AF131" s="420"/>
      <c r="AG131" s="420"/>
      <c r="AH131" s="500"/>
      <c r="AI131" s="649"/>
      <c r="AJ131" s="420"/>
      <c r="AK131" s="420"/>
      <c r="AL131" s="420"/>
      <c r="AM131" s="500"/>
      <c r="AN131" s="649"/>
      <c r="AO131" s="420"/>
      <c r="AP131" s="420"/>
      <c r="AQ131" s="420"/>
      <c r="AR131" s="500"/>
      <c r="AS131" s="649"/>
      <c r="AT131" s="420"/>
      <c r="AU131" s="420"/>
      <c r="AV131" s="420"/>
      <c r="AW131" s="500"/>
      <c r="AX131" s="649"/>
      <c r="AZ131" s="402" t="e">
        <f t="shared" si="29"/>
        <v>#N/A</v>
      </c>
      <c r="BA131" s="649"/>
    </row>
    <row r="132" spans="2:53">
      <c r="B132" s="635"/>
      <c r="C132" s="292">
        <v>21</v>
      </c>
      <c r="D132" s="225"/>
      <c r="E132" s="420"/>
      <c r="F132" s="413"/>
      <c r="G132" s="414"/>
      <c r="H132" s="678"/>
      <c r="I132" s="395" t="str">
        <f t="shared" si="26"/>
        <v>-</v>
      </c>
      <c r="J132" s="395" t="str">
        <f t="shared" si="27"/>
        <v>-</v>
      </c>
      <c r="K132" s="199" t="str">
        <f t="shared" si="28"/>
        <v>-</v>
      </c>
      <c r="L132" s="609"/>
      <c r="M132" s="200" t="e">
        <f>RANK(K132, K$112:$K$141)</f>
        <v>#VALUE!</v>
      </c>
      <c r="N132" s="627"/>
      <c r="O132" s="627"/>
      <c r="P132" s="420"/>
      <c r="Q132" s="420"/>
      <c r="R132" s="420"/>
      <c r="S132" s="500"/>
      <c r="T132" s="649"/>
      <c r="U132" s="420"/>
      <c r="V132" s="420"/>
      <c r="W132" s="420"/>
      <c r="X132" s="500"/>
      <c r="Y132" s="649"/>
      <c r="Z132" s="420"/>
      <c r="AA132" s="420"/>
      <c r="AB132" s="420"/>
      <c r="AC132" s="500"/>
      <c r="AD132" s="649"/>
      <c r="AE132" s="420"/>
      <c r="AF132" s="420"/>
      <c r="AG132" s="420"/>
      <c r="AH132" s="500"/>
      <c r="AI132" s="649"/>
      <c r="AJ132" s="420"/>
      <c r="AK132" s="420"/>
      <c r="AL132" s="420"/>
      <c r="AM132" s="500"/>
      <c r="AN132" s="649"/>
      <c r="AO132" s="420"/>
      <c r="AP132" s="420"/>
      <c r="AQ132" s="420"/>
      <c r="AR132" s="500"/>
      <c r="AS132" s="649"/>
      <c r="AT132" s="420"/>
      <c r="AU132" s="420"/>
      <c r="AV132" s="420"/>
      <c r="AW132" s="500"/>
      <c r="AX132" s="649"/>
      <c r="AZ132" s="402" t="e">
        <f t="shared" si="29"/>
        <v>#N/A</v>
      </c>
      <c r="BA132" s="649"/>
    </row>
    <row r="133" spans="2:53">
      <c r="B133" s="635"/>
      <c r="C133" s="292">
        <v>22</v>
      </c>
      <c r="D133" s="225"/>
      <c r="E133" s="420"/>
      <c r="F133" s="413"/>
      <c r="G133" s="414"/>
      <c r="H133" s="678"/>
      <c r="I133" s="395" t="str">
        <f t="shared" si="26"/>
        <v>-</v>
      </c>
      <c r="J133" s="395" t="str">
        <f t="shared" si="27"/>
        <v>-</v>
      </c>
      <c r="K133" s="199" t="str">
        <f t="shared" si="28"/>
        <v>-</v>
      </c>
      <c r="L133" s="609"/>
      <c r="M133" s="200" t="e">
        <f>RANK(K133, K$112:$K$141)</f>
        <v>#VALUE!</v>
      </c>
      <c r="N133" s="627"/>
      <c r="O133" s="627"/>
      <c r="P133" s="420"/>
      <c r="Q133" s="420"/>
      <c r="R133" s="420"/>
      <c r="S133" s="500"/>
      <c r="T133" s="649"/>
      <c r="U133" s="420"/>
      <c r="V133" s="420"/>
      <c r="W133" s="420"/>
      <c r="X133" s="500"/>
      <c r="Y133" s="649"/>
      <c r="Z133" s="420"/>
      <c r="AA133" s="420"/>
      <c r="AB133" s="420"/>
      <c r="AC133" s="500"/>
      <c r="AD133" s="649"/>
      <c r="AE133" s="420"/>
      <c r="AF133" s="420"/>
      <c r="AG133" s="420"/>
      <c r="AH133" s="500"/>
      <c r="AI133" s="649"/>
      <c r="AJ133" s="420"/>
      <c r="AK133" s="420"/>
      <c r="AL133" s="420"/>
      <c r="AM133" s="500"/>
      <c r="AN133" s="649"/>
      <c r="AO133" s="420"/>
      <c r="AP133" s="420"/>
      <c r="AQ133" s="420"/>
      <c r="AR133" s="500"/>
      <c r="AS133" s="649"/>
      <c r="AT133" s="420"/>
      <c r="AU133" s="420"/>
      <c r="AV133" s="420"/>
      <c r="AW133" s="500"/>
      <c r="AX133" s="649"/>
      <c r="AZ133" s="402" t="e">
        <f t="shared" si="29"/>
        <v>#N/A</v>
      </c>
      <c r="BA133" s="649"/>
    </row>
    <row r="134" spans="2:53">
      <c r="B134" s="635"/>
      <c r="C134" s="292">
        <v>23</v>
      </c>
      <c r="D134" s="225"/>
      <c r="E134" s="420"/>
      <c r="F134" s="413"/>
      <c r="G134" s="414"/>
      <c r="H134" s="678"/>
      <c r="I134" s="395" t="str">
        <f t="shared" si="26"/>
        <v>-</v>
      </c>
      <c r="J134" s="395" t="str">
        <f t="shared" si="27"/>
        <v>-</v>
      </c>
      <c r="K134" s="199" t="str">
        <f t="shared" si="28"/>
        <v>-</v>
      </c>
      <c r="L134" s="609"/>
      <c r="M134" s="200" t="e">
        <f>RANK(K134, K$112:$K$141)</f>
        <v>#VALUE!</v>
      </c>
      <c r="N134" s="627"/>
      <c r="O134" s="627"/>
      <c r="P134" s="420"/>
      <c r="Q134" s="420"/>
      <c r="R134" s="420"/>
      <c r="S134" s="500"/>
      <c r="T134" s="649"/>
      <c r="U134" s="420"/>
      <c r="V134" s="420"/>
      <c r="W134" s="420"/>
      <c r="X134" s="500"/>
      <c r="Y134" s="649"/>
      <c r="Z134" s="420"/>
      <c r="AA134" s="420"/>
      <c r="AB134" s="420"/>
      <c r="AC134" s="500"/>
      <c r="AD134" s="649"/>
      <c r="AE134" s="420"/>
      <c r="AF134" s="420"/>
      <c r="AG134" s="420"/>
      <c r="AH134" s="500"/>
      <c r="AI134" s="649"/>
      <c r="AJ134" s="420"/>
      <c r="AK134" s="420"/>
      <c r="AL134" s="420"/>
      <c r="AM134" s="500"/>
      <c r="AN134" s="649"/>
      <c r="AO134" s="420"/>
      <c r="AP134" s="420"/>
      <c r="AQ134" s="420"/>
      <c r="AR134" s="500"/>
      <c r="AS134" s="649"/>
      <c r="AT134" s="420"/>
      <c r="AU134" s="420"/>
      <c r="AV134" s="420"/>
      <c r="AW134" s="500"/>
      <c r="AX134" s="649"/>
      <c r="AZ134" s="402" t="e">
        <f t="shared" si="29"/>
        <v>#N/A</v>
      </c>
      <c r="BA134" s="649"/>
    </row>
    <row r="135" spans="2:53">
      <c r="B135" s="635"/>
      <c r="C135" s="292">
        <v>24</v>
      </c>
      <c r="D135" s="225"/>
      <c r="E135" s="420"/>
      <c r="F135" s="413"/>
      <c r="G135" s="414"/>
      <c r="H135" s="678"/>
      <c r="I135" s="395" t="str">
        <f t="shared" si="26"/>
        <v>-</v>
      </c>
      <c r="J135" s="395" t="str">
        <f t="shared" si="27"/>
        <v>-</v>
      </c>
      <c r="K135" s="199" t="str">
        <f t="shared" si="28"/>
        <v>-</v>
      </c>
      <c r="L135" s="609"/>
      <c r="M135" s="200" t="e">
        <f>RANK(K135, K$112:$K$141)</f>
        <v>#VALUE!</v>
      </c>
      <c r="N135" s="627"/>
      <c r="O135" s="627"/>
      <c r="P135" s="500"/>
      <c r="Q135" s="420"/>
      <c r="R135" s="420"/>
      <c r="S135" s="500"/>
      <c r="T135" s="649"/>
      <c r="U135" s="500"/>
      <c r="V135" s="420"/>
      <c r="W135" s="420"/>
      <c r="X135" s="500"/>
      <c r="Y135" s="649"/>
      <c r="Z135" s="500"/>
      <c r="AA135" s="420"/>
      <c r="AB135" s="420"/>
      <c r="AC135" s="500"/>
      <c r="AD135" s="649"/>
      <c r="AE135" s="500"/>
      <c r="AF135" s="420"/>
      <c r="AG135" s="420"/>
      <c r="AH135" s="500"/>
      <c r="AI135" s="649"/>
      <c r="AJ135" s="500"/>
      <c r="AK135" s="420"/>
      <c r="AL135" s="420"/>
      <c r="AM135" s="500"/>
      <c r="AN135" s="649"/>
      <c r="AO135" s="500"/>
      <c r="AP135" s="420"/>
      <c r="AQ135" s="420"/>
      <c r="AR135" s="500"/>
      <c r="AS135" s="649"/>
      <c r="AT135" s="500"/>
      <c r="AU135" s="420"/>
      <c r="AV135" s="420"/>
      <c r="AW135" s="500"/>
      <c r="AX135" s="649"/>
      <c r="AZ135" s="402" t="e">
        <f t="shared" si="29"/>
        <v>#N/A</v>
      </c>
      <c r="BA135" s="649"/>
    </row>
    <row r="136" spans="2:53">
      <c r="B136" s="635"/>
      <c r="C136" s="292">
        <v>25</v>
      </c>
      <c r="D136" s="225"/>
      <c r="E136" s="420"/>
      <c r="F136" s="413"/>
      <c r="G136" s="414"/>
      <c r="H136" s="678"/>
      <c r="I136" s="395" t="str">
        <f t="shared" si="26"/>
        <v>-</v>
      </c>
      <c r="J136" s="395" t="str">
        <f t="shared" si="27"/>
        <v>-</v>
      </c>
      <c r="K136" s="199" t="str">
        <f t="shared" si="28"/>
        <v>-</v>
      </c>
      <c r="L136" s="609"/>
      <c r="M136" s="200" t="e">
        <f>RANK(K136, K$112:$K$141)</f>
        <v>#VALUE!</v>
      </c>
      <c r="N136" s="627"/>
      <c r="O136" s="627"/>
      <c r="P136" s="500"/>
      <c r="Q136" s="420"/>
      <c r="R136" s="420"/>
      <c r="S136" s="500"/>
      <c r="T136" s="649"/>
      <c r="U136" s="500"/>
      <c r="V136" s="420"/>
      <c r="W136" s="420"/>
      <c r="X136" s="500"/>
      <c r="Y136" s="649"/>
      <c r="Z136" s="500"/>
      <c r="AA136" s="420"/>
      <c r="AB136" s="420"/>
      <c r="AC136" s="500"/>
      <c r="AD136" s="649"/>
      <c r="AE136" s="500"/>
      <c r="AF136" s="420"/>
      <c r="AG136" s="420"/>
      <c r="AH136" s="500"/>
      <c r="AI136" s="649"/>
      <c r="AJ136" s="500"/>
      <c r="AK136" s="420"/>
      <c r="AL136" s="420"/>
      <c r="AM136" s="500"/>
      <c r="AN136" s="649"/>
      <c r="AO136" s="500"/>
      <c r="AP136" s="420"/>
      <c r="AQ136" s="420"/>
      <c r="AR136" s="500"/>
      <c r="AS136" s="649"/>
      <c r="AT136" s="500"/>
      <c r="AU136" s="420"/>
      <c r="AV136" s="420"/>
      <c r="AW136" s="500"/>
      <c r="AX136" s="649"/>
      <c r="AZ136" s="402" t="e">
        <f t="shared" si="29"/>
        <v>#N/A</v>
      </c>
      <c r="BA136" s="649"/>
    </row>
    <row r="137" spans="2:53">
      <c r="B137" s="635"/>
      <c r="C137" s="292">
        <v>26</v>
      </c>
      <c r="D137" s="225"/>
      <c r="E137" s="420"/>
      <c r="F137" s="413"/>
      <c r="G137" s="414"/>
      <c r="H137" s="678"/>
      <c r="I137" s="395" t="str">
        <f t="shared" si="26"/>
        <v>-</v>
      </c>
      <c r="J137" s="395" t="str">
        <f t="shared" si="27"/>
        <v>-</v>
      </c>
      <c r="K137" s="199" t="str">
        <f t="shared" si="28"/>
        <v>-</v>
      </c>
      <c r="L137" s="609"/>
      <c r="M137" s="200" t="e">
        <f>RANK(K137, K$112:$K$141)</f>
        <v>#VALUE!</v>
      </c>
      <c r="N137" s="627"/>
      <c r="O137" s="627"/>
      <c r="P137" s="500"/>
      <c r="Q137" s="420"/>
      <c r="R137" s="420"/>
      <c r="S137" s="500"/>
      <c r="T137" s="649"/>
      <c r="U137" s="500"/>
      <c r="V137" s="420"/>
      <c r="W137" s="420"/>
      <c r="X137" s="500"/>
      <c r="Y137" s="649"/>
      <c r="Z137" s="500"/>
      <c r="AA137" s="420"/>
      <c r="AB137" s="420"/>
      <c r="AC137" s="500"/>
      <c r="AD137" s="649"/>
      <c r="AE137" s="500"/>
      <c r="AF137" s="420"/>
      <c r="AG137" s="420"/>
      <c r="AH137" s="500"/>
      <c r="AI137" s="649"/>
      <c r="AJ137" s="500"/>
      <c r="AK137" s="420"/>
      <c r="AL137" s="420"/>
      <c r="AM137" s="500"/>
      <c r="AN137" s="649"/>
      <c r="AO137" s="500"/>
      <c r="AP137" s="420"/>
      <c r="AQ137" s="420"/>
      <c r="AR137" s="500"/>
      <c r="AS137" s="649"/>
      <c r="AT137" s="500"/>
      <c r="AU137" s="420"/>
      <c r="AV137" s="420"/>
      <c r="AW137" s="500"/>
      <c r="AX137" s="649"/>
      <c r="AZ137" s="402" t="e">
        <f t="shared" si="29"/>
        <v>#N/A</v>
      </c>
      <c r="BA137" s="649"/>
    </row>
    <row r="138" spans="2:53">
      <c r="B138" s="635"/>
      <c r="C138" s="292">
        <v>27</v>
      </c>
      <c r="D138" s="225"/>
      <c r="E138" s="420"/>
      <c r="F138" s="413"/>
      <c r="G138" s="414"/>
      <c r="H138" s="678"/>
      <c r="I138" s="395" t="str">
        <f t="shared" si="26"/>
        <v>-</v>
      </c>
      <c r="J138" s="395" t="str">
        <f t="shared" si="27"/>
        <v>-</v>
      </c>
      <c r="K138" s="199" t="str">
        <f t="shared" si="28"/>
        <v>-</v>
      </c>
      <c r="L138" s="609"/>
      <c r="M138" s="200" t="e">
        <f>RANK(K138, K$112:$K$141)</f>
        <v>#VALUE!</v>
      </c>
      <c r="N138" s="627"/>
      <c r="O138" s="627"/>
      <c r="P138" s="500"/>
      <c r="Q138" s="420"/>
      <c r="R138" s="420"/>
      <c r="S138" s="500"/>
      <c r="T138" s="649"/>
      <c r="U138" s="500"/>
      <c r="V138" s="420"/>
      <c r="W138" s="420"/>
      <c r="X138" s="500"/>
      <c r="Y138" s="649"/>
      <c r="Z138" s="500"/>
      <c r="AA138" s="420"/>
      <c r="AB138" s="420"/>
      <c r="AC138" s="500"/>
      <c r="AD138" s="649"/>
      <c r="AE138" s="500"/>
      <c r="AF138" s="420"/>
      <c r="AG138" s="420"/>
      <c r="AH138" s="500"/>
      <c r="AI138" s="649"/>
      <c r="AJ138" s="500"/>
      <c r="AK138" s="420"/>
      <c r="AL138" s="420"/>
      <c r="AM138" s="500"/>
      <c r="AN138" s="649"/>
      <c r="AO138" s="500"/>
      <c r="AP138" s="420"/>
      <c r="AQ138" s="420"/>
      <c r="AR138" s="500"/>
      <c r="AS138" s="649"/>
      <c r="AT138" s="500"/>
      <c r="AU138" s="420"/>
      <c r="AV138" s="420"/>
      <c r="AW138" s="500"/>
      <c r="AX138" s="649"/>
      <c r="AZ138" s="402" t="e">
        <f t="shared" si="29"/>
        <v>#N/A</v>
      </c>
      <c r="BA138" s="649"/>
    </row>
    <row r="139" spans="2:53">
      <c r="B139" s="635"/>
      <c r="C139" s="292">
        <v>28</v>
      </c>
      <c r="D139" s="225"/>
      <c r="E139" s="420"/>
      <c r="F139" s="413"/>
      <c r="G139" s="414"/>
      <c r="H139" s="678"/>
      <c r="I139" s="395" t="str">
        <f t="shared" si="26"/>
        <v>-</v>
      </c>
      <c r="J139" s="395" t="str">
        <f t="shared" si="27"/>
        <v>-</v>
      </c>
      <c r="K139" s="199" t="str">
        <f t="shared" si="28"/>
        <v>-</v>
      </c>
      <c r="L139" s="609"/>
      <c r="M139" s="200" t="e">
        <f>RANK(K139, K$112:$K$141)</f>
        <v>#VALUE!</v>
      </c>
      <c r="N139" s="627"/>
      <c r="O139" s="627"/>
      <c r="P139" s="500"/>
      <c r="Q139" s="501"/>
      <c r="R139" s="501"/>
      <c r="S139" s="500"/>
      <c r="T139" s="649"/>
      <c r="U139" s="500"/>
      <c r="V139" s="501"/>
      <c r="W139" s="501"/>
      <c r="X139" s="500"/>
      <c r="Y139" s="649"/>
      <c r="Z139" s="500"/>
      <c r="AA139" s="501"/>
      <c r="AB139" s="501"/>
      <c r="AC139" s="500"/>
      <c r="AD139" s="649"/>
      <c r="AE139" s="500"/>
      <c r="AF139" s="501"/>
      <c r="AG139" s="501"/>
      <c r="AH139" s="500"/>
      <c r="AI139" s="649"/>
      <c r="AJ139" s="500"/>
      <c r="AK139" s="501"/>
      <c r="AL139" s="501"/>
      <c r="AM139" s="500"/>
      <c r="AN139" s="649"/>
      <c r="AO139" s="500"/>
      <c r="AP139" s="501"/>
      <c r="AQ139" s="501"/>
      <c r="AR139" s="500"/>
      <c r="AS139" s="649"/>
      <c r="AT139" s="500"/>
      <c r="AU139" s="501"/>
      <c r="AV139" s="501"/>
      <c r="AW139" s="500"/>
      <c r="AX139" s="649"/>
      <c r="AZ139" s="402" t="e">
        <f t="shared" si="29"/>
        <v>#N/A</v>
      </c>
      <c r="BA139" s="649"/>
    </row>
    <row r="140" spans="2:53">
      <c r="B140" s="635"/>
      <c r="C140" s="292">
        <v>29</v>
      </c>
      <c r="D140" s="225"/>
      <c r="E140" s="420"/>
      <c r="F140" s="413"/>
      <c r="G140" s="414"/>
      <c r="H140" s="678"/>
      <c r="I140" s="395" t="str">
        <f t="shared" si="26"/>
        <v>-</v>
      </c>
      <c r="J140" s="395" t="str">
        <f t="shared" si="27"/>
        <v>-</v>
      </c>
      <c r="K140" s="199" t="str">
        <f t="shared" si="28"/>
        <v>-</v>
      </c>
      <c r="L140" s="609"/>
      <c r="M140" s="200" t="e">
        <f>RANK(K140, K$112:$K$141)</f>
        <v>#VALUE!</v>
      </c>
      <c r="N140" s="627"/>
      <c r="O140" s="627"/>
      <c r="P140" s="500"/>
      <c r="Q140" s="500"/>
      <c r="R140" s="500"/>
      <c r="S140" s="500"/>
      <c r="T140" s="649"/>
      <c r="U140" s="500"/>
      <c r="V140" s="500"/>
      <c r="W140" s="500"/>
      <c r="X140" s="500"/>
      <c r="Y140" s="649"/>
      <c r="Z140" s="500"/>
      <c r="AA140" s="500"/>
      <c r="AB140" s="500"/>
      <c r="AC140" s="500"/>
      <c r="AD140" s="649"/>
      <c r="AE140" s="500"/>
      <c r="AF140" s="500"/>
      <c r="AG140" s="500"/>
      <c r="AH140" s="500"/>
      <c r="AI140" s="649"/>
      <c r="AJ140" s="500"/>
      <c r="AK140" s="500"/>
      <c r="AL140" s="500"/>
      <c r="AM140" s="500"/>
      <c r="AN140" s="649"/>
      <c r="AO140" s="500"/>
      <c r="AP140" s="500"/>
      <c r="AQ140" s="500"/>
      <c r="AR140" s="500"/>
      <c r="AS140" s="649"/>
      <c r="AT140" s="500"/>
      <c r="AU140" s="500"/>
      <c r="AV140" s="500"/>
      <c r="AW140" s="500"/>
      <c r="AX140" s="649"/>
      <c r="AZ140" s="402" t="e">
        <f t="shared" si="29"/>
        <v>#N/A</v>
      </c>
      <c r="BA140" s="649"/>
    </row>
    <row r="141" spans="2:53">
      <c r="B141" s="635"/>
      <c r="C141" s="292">
        <v>30</v>
      </c>
      <c r="D141" s="225"/>
      <c r="E141" s="420"/>
      <c r="F141" s="413"/>
      <c r="G141" s="414"/>
      <c r="H141" s="679"/>
      <c r="I141" s="395" t="str">
        <f t="shared" si="26"/>
        <v>-</v>
      </c>
      <c r="J141" s="395" t="str">
        <f t="shared" si="27"/>
        <v>-</v>
      </c>
      <c r="K141" s="199" t="str">
        <f t="shared" si="28"/>
        <v>-</v>
      </c>
      <c r="L141" s="610"/>
      <c r="M141" s="200" t="e">
        <f>RANK(K141, K$112:$K$141)</f>
        <v>#VALUE!</v>
      </c>
      <c r="N141" s="627"/>
      <c r="O141" s="627"/>
      <c r="P141" s="500"/>
      <c r="Q141" s="500"/>
      <c r="R141" s="500"/>
      <c r="S141" s="500"/>
      <c r="T141" s="649"/>
      <c r="U141" s="500"/>
      <c r="V141" s="500"/>
      <c r="W141" s="500"/>
      <c r="X141" s="500"/>
      <c r="Y141" s="649"/>
      <c r="Z141" s="500"/>
      <c r="AA141" s="500"/>
      <c r="AB141" s="500"/>
      <c r="AC141" s="500"/>
      <c r="AD141" s="649"/>
      <c r="AE141" s="500"/>
      <c r="AF141" s="500"/>
      <c r="AG141" s="500"/>
      <c r="AH141" s="500"/>
      <c r="AI141" s="649"/>
      <c r="AJ141" s="500"/>
      <c r="AK141" s="500"/>
      <c r="AL141" s="500"/>
      <c r="AM141" s="500"/>
      <c r="AN141" s="649"/>
      <c r="AO141" s="500"/>
      <c r="AP141" s="500"/>
      <c r="AQ141" s="500"/>
      <c r="AR141" s="500"/>
      <c r="AS141" s="649"/>
      <c r="AT141" s="500"/>
      <c r="AU141" s="500"/>
      <c r="AV141" s="500"/>
      <c r="AW141" s="500"/>
      <c r="AX141" s="649"/>
      <c r="AZ141" s="402" t="e">
        <f t="shared" si="29"/>
        <v>#N/A</v>
      </c>
      <c r="BA141" s="649"/>
    </row>
    <row r="142" spans="2:53" ht="15.75">
      <c r="B142" s="639" t="s">
        <v>163</v>
      </c>
      <c r="C142" s="640"/>
      <c r="D142" s="640"/>
      <c r="E142" s="640"/>
      <c r="F142" s="640"/>
      <c r="G142" s="640"/>
      <c r="H142" s="641"/>
      <c r="I142" s="207"/>
      <c r="J142" s="207"/>
      <c r="K142" s="207"/>
      <c r="L142" s="207"/>
      <c r="M142" s="206"/>
      <c r="N142" s="628" t="s">
        <v>156</v>
      </c>
      <c r="O142" s="628" t="s">
        <v>105</v>
      </c>
      <c r="P142" s="634">
        <f>P107+7</f>
        <v>46196</v>
      </c>
      <c r="Q142" s="635"/>
      <c r="R142" s="635"/>
      <c r="S142" s="635"/>
      <c r="T142" s="635"/>
      <c r="U142" s="631">
        <f>P142+1</f>
        <v>46197</v>
      </c>
      <c r="V142" s="632"/>
      <c r="W142" s="632"/>
      <c r="X142" s="632"/>
      <c r="Y142" s="633"/>
      <c r="Z142" s="631">
        <f>U142+1</f>
        <v>46198</v>
      </c>
      <c r="AA142" s="632"/>
      <c r="AB142" s="632"/>
      <c r="AC142" s="632"/>
      <c r="AD142" s="633"/>
      <c r="AE142" s="631">
        <f>Z142+1</f>
        <v>46199</v>
      </c>
      <c r="AF142" s="632"/>
      <c r="AG142" s="632"/>
      <c r="AH142" s="632"/>
      <c r="AI142" s="633"/>
      <c r="AJ142" s="631">
        <f>AE142+1</f>
        <v>46200</v>
      </c>
      <c r="AK142" s="632"/>
      <c r="AL142" s="632"/>
      <c r="AM142" s="632"/>
      <c r="AN142" s="633"/>
      <c r="AO142" s="631">
        <f>AJ142+1</f>
        <v>46201</v>
      </c>
      <c r="AP142" s="632"/>
      <c r="AQ142" s="632"/>
      <c r="AR142" s="632"/>
      <c r="AS142" s="633"/>
      <c r="AT142" s="631">
        <f>AO142+1</f>
        <v>46202</v>
      </c>
      <c r="AU142" s="632"/>
      <c r="AV142" s="632"/>
      <c r="AW142" s="632"/>
      <c r="AX142" s="633"/>
    </row>
    <row r="143" spans="2:53" ht="15.75">
      <c r="B143" s="642"/>
      <c r="C143" s="642"/>
      <c r="D143" s="642"/>
      <c r="E143" s="642"/>
      <c r="F143" s="642"/>
      <c r="G143" s="642"/>
      <c r="H143" s="642"/>
      <c r="I143" s="204"/>
      <c r="J143" s="204"/>
      <c r="K143" s="204"/>
      <c r="L143" s="204"/>
      <c r="M143" s="205"/>
      <c r="N143" s="630"/>
      <c r="O143" s="630"/>
      <c r="P143" s="634" t="s">
        <v>318</v>
      </c>
      <c r="Q143" s="635"/>
      <c r="R143" s="635"/>
      <c r="S143" s="635"/>
      <c r="T143" s="635"/>
      <c r="U143" s="634" t="s">
        <v>319</v>
      </c>
      <c r="V143" s="635"/>
      <c r="W143" s="635"/>
      <c r="X143" s="635"/>
      <c r="Y143" s="635"/>
      <c r="Z143" s="634" t="s">
        <v>320</v>
      </c>
      <c r="AA143" s="635"/>
      <c r="AB143" s="635"/>
      <c r="AC143" s="635"/>
      <c r="AD143" s="635"/>
      <c r="AE143" s="634" t="s">
        <v>321</v>
      </c>
      <c r="AF143" s="635"/>
      <c r="AG143" s="635"/>
      <c r="AH143" s="635"/>
      <c r="AI143" s="635"/>
      <c r="AJ143" s="634" t="s">
        <v>322</v>
      </c>
      <c r="AK143" s="635"/>
      <c r="AL143" s="635"/>
      <c r="AM143" s="635"/>
      <c r="AN143" s="635"/>
      <c r="AO143" s="634" t="s">
        <v>323</v>
      </c>
      <c r="AP143" s="635"/>
      <c r="AQ143" s="635"/>
      <c r="AR143" s="635"/>
      <c r="AS143" s="635"/>
      <c r="AT143" s="634" t="s">
        <v>324</v>
      </c>
      <c r="AU143" s="635"/>
      <c r="AV143" s="635"/>
      <c r="AW143" s="635"/>
      <c r="AX143" s="635"/>
    </row>
    <row r="144" spans="2:53">
      <c r="B144" s="627" t="s">
        <v>417</v>
      </c>
      <c r="C144" s="627" t="s">
        <v>418</v>
      </c>
      <c r="D144" s="627"/>
      <c r="E144" s="627" t="s">
        <v>419</v>
      </c>
      <c r="F144" s="627"/>
      <c r="G144" s="627"/>
      <c r="H144" s="643" t="s">
        <v>420</v>
      </c>
      <c r="I144" s="611" t="s">
        <v>421</v>
      </c>
      <c r="J144" s="611"/>
      <c r="K144" s="611"/>
      <c r="L144" s="612" t="s">
        <v>420</v>
      </c>
      <c r="M144" s="618" t="s">
        <v>422</v>
      </c>
      <c r="N144" s="627"/>
      <c r="O144" s="627" t="s">
        <v>423</v>
      </c>
      <c r="P144" s="624" t="s">
        <v>424</v>
      </c>
      <c r="Q144" s="625"/>
      <c r="R144" s="625"/>
      <c r="S144" s="626"/>
      <c r="T144" s="627" t="s">
        <v>420</v>
      </c>
      <c r="U144" s="624" t="s">
        <v>424</v>
      </c>
      <c r="V144" s="625"/>
      <c r="W144" s="625"/>
      <c r="X144" s="626"/>
      <c r="Y144" s="627" t="s">
        <v>420</v>
      </c>
      <c r="Z144" s="624" t="s">
        <v>424</v>
      </c>
      <c r="AA144" s="625"/>
      <c r="AB144" s="625"/>
      <c r="AC144" s="626"/>
      <c r="AD144" s="627" t="s">
        <v>420</v>
      </c>
      <c r="AE144" s="624" t="s">
        <v>424</v>
      </c>
      <c r="AF144" s="625"/>
      <c r="AG144" s="625"/>
      <c r="AH144" s="626"/>
      <c r="AI144" s="627" t="s">
        <v>420</v>
      </c>
      <c r="AJ144" s="624" t="s">
        <v>424</v>
      </c>
      <c r="AK144" s="625"/>
      <c r="AL144" s="625"/>
      <c r="AM144" s="626"/>
      <c r="AN144" s="627" t="s">
        <v>420</v>
      </c>
      <c r="AO144" s="624" t="s">
        <v>424</v>
      </c>
      <c r="AP144" s="625"/>
      <c r="AQ144" s="625"/>
      <c r="AR144" s="626"/>
      <c r="AS144" s="627" t="s">
        <v>420</v>
      </c>
      <c r="AT144" s="624" t="s">
        <v>424</v>
      </c>
      <c r="AU144" s="625"/>
      <c r="AV144" s="625"/>
      <c r="AW144" s="626"/>
      <c r="AX144" s="627" t="s">
        <v>420</v>
      </c>
      <c r="BA144" s="627" t="s">
        <v>371</v>
      </c>
    </row>
    <row r="145" spans="2:53">
      <c r="B145" s="627"/>
      <c r="C145" s="627"/>
      <c r="D145" s="627"/>
      <c r="E145" s="627" t="s">
        <v>425</v>
      </c>
      <c r="F145" s="627"/>
      <c r="G145" s="627"/>
      <c r="H145" s="644"/>
      <c r="I145" s="611" t="s">
        <v>425</v>
      </c>
      <c r="J145" s="611"/>
      <c r="K145" s="611"/>
      <c r="L145" s="613"/>
      <c r="M145" s="619"/>
      <c r="N145" s="627"/>
      <c r="O145" s="627"/>
      <c r="P145" s="624" t="s">
        <v>426</v>
      </c>
      <c r="Q145" s="625"/>
      <c r="R145" s="625"/>
      <c r="S145" s="626"/>
      <c r="T145" s="627"/>
      <c r="U145" s="624" t="s">
        <v>426</v>
      </c>
      <c r="V145" s="625"/>
      <c r="W145" s="625"/>
      <c r="X145" s="626"/>
      <c r="Y145" s="627"/>
      <c r="Z145" s="624" t="s">
        <v>426</v>
      </c>
      <c r="AA145" s="625"/>
      <c r="AB145" s="625"/>
      <c r="AC145" s="626"/>
      <c r="AD145" s="627"/>
      <c r="AE145" s="624" t="s">
        <v>426</v>
      </c>
      <c r="AF145" s="625"/>
      <c r="AG145" s="625"/>
      <c r="AH145" s="626"/>
      <c r="AI145" s="627"/>
      <c r="AJ145" s="624" t="s">
        <v>426</v>
      </c>
      <c r="AK145" s="625"/>
      <c r="AL145" s="625"/>
      <c r="AM145" s="626"/>
      <c r="AN145" s="627"/>
      <c r="AO145" s="624" t="s">
        <v>426</v>
      </c>
      <c r="AP145" s="625"/>
      <c r="AQ145" s="625"/>
      <c r="AR145" s="626"/>
      <c r="AS145" s="627"/>
      <c r="AT145" s="624" t="s">
        <v>426</v>
      </c>
      <c r="AU145" s="625"/>
      <c r="AV145" s="625"/>
      <c r="AW145" s="626"/>
      <c r="AX145" s="627"/>
      <c r="BA145" s="627"/>
    </row>
    <row r="146" spans="2:53">
      <c r="B146" s="627"/>
      <c r="C146" s="627"/>
      <c r="D146" s="627"/>
      <c r="E146" s="288" t="s">
        <v>427</v>
      </c>
      <c r="F146" s="288" t="s">
        <v>428</v>
      </c>
      <c r="G146" s="288" t="s">
        <v>429</v>
      </c>
      <c r="H146" s="645"/>
      <c r="I146" s="289" t="s">
        <v>427</v>
      </c>
      <c r="J146" s="289" t="s">
        <v>428</v>
      </c>
      <c r="K146" s="289" t="s">
        <v>429</v>
      </c>
      <c r="L146" s="614"/>
      <c r="M146" s="620"/>
      <c r="N146" s="627"/>
      <c r="O146" s="627"/>
      <c r="P146" s="288" t="s">
        <v>427</v>
      </c>
      <c r="Q146" s="288" t="s">
        <v>428</v>
      </c>
      <c r="R146" s="288" t="s">
        <v>429</v>
      </c>
      <c r="S146" s="288" t="s">
        <v>422</v>
      </c>
      <c r="T146" s="627"/>
      <c r="U146" s="288" t="s">
        <v>427</v>
      </c>
      <c r="V146" s="288" t="s">
        <v>428</v>
      </c>
      <c r="W146" s="288" t="s">
        <v>429</v>
      </c>
      <c r="X146" s="288" t="s">
        <v>422</v>
      </c>
      <c r="Y146" s="627"/>
      <c r="Z146" s="288" t="s">
        <v>427</v>
      </c>
      <c r="AA146" s="288" t="s">
        <v>428</v>
      </c>
      <c r="AB146" s="288" t="s">
        <v>429</v>
      </c>
      <c r="AC146" s="288" t="s">
        <v>422</v>
      </c>
      <c r="AD146" s="627"/>
      <c r="AE146" s="288" t="s">
        <v>427</v>
      </c>
      <c r="AF146" s="288" t="s">
        <v>428</v>
      </c>
      <c r="AG146" s="288" t="s">
        <v>429</v>
      </c>
      <c r="AH146" s="288" t="s">
        <v>422</v>
      </c>
      <c r="AI146" s="627"/>
      <c r="AJ146" s="288" t="s">
        <v>427</v>
      </c>
      <c r="AK146" s="288" t="s">
        <v>428</v>
      </c>
      <c r="AL146" s="288" t="s">
        <v>429</v>
      </c>
      <c r="AM146" s="288" t="s">
        <v>422</v>
      </c>
      <c r="AN146" s="627"/>
      <c r="AO146" s="288" t="s">
        <v>427</v>
      </c>
      <c r="AP146" s="288" t="s">
        <v>428</v>
      </c>
      <c r="AQ146" s="288" t="s">
        <v>429</v>
      </c>
      <c r="AR146" s="288" t="s">
        <v>422</v>
      </c>
      <c r="AS146" s="627"/>
      <c r="AT146" s="288" t="s">
        <v>427</v>
      </c>
      <c r="AU146" s="288" t="s">
        <v>428</v>
      </c>
      <c r="AV146" s="288" t="s">
        <v>429</v>
      </c>
      <c r="AW146" s="288" t="s">
        <v>422</v>
      </c>
      <c r="AX146" s="627"/>
      <c r="AZ146" s="401" t="s">
        <v>372</v>
      </c>
      <c r="BA146" s="627"/>
    </row>
    <row r="147" spans="2:53">
      <c r="B147" s="627" t="s">
        <v>430</v>
      </c>
      <c r="C147" s="287">
        <v>1</v>
      </c>
      <c r="D147" s="225" t="s">
        <v>344</v>
      </c>
      <c r="E147" s="420">
        <v>6</v>
      </c>
      <c r="F147" s="413">
        <v>1500</v>
      </c>
      <c r="G147" s="414">
        <v>250</v>
      </c>
      <c r="H147" s="677">
        <f>AVERAGE(G147:G176)</f>
        <v>250</v>
      </c>
      <c r="I147" s="395" t="str">
        <f>IFERROR(AVERAGE(P147,U147,Z147,AE147,AJ147,AO147,AT147),"-")</f>
        <v>-</v>
      </c>
      <c r="J147" s="395" t="str">
        <f>IFERROR(AVERAGE(Q147,V147,AA147,AF147,AK147,AP147,AU147),"-")</f>
        <v>-</v>
      </c>
      <c r="K147" s="199" t="str">
        <f>IFERROR(AVERAGE(R147,W147,AB147,AG147,AL147,AQ147,AV147),"-")</f>
        <v>-</v>
      </c>
      <c r="L147" s="608" t="str">
        <f>IFERROR(AVERAGE(K147:K176),"-")</f>
        <v>-</v>
      </c>
      <c r="M147" s="200" t="e">
        <f>RANK(K147, K$147:$K$176)</f>
        <v>#VALUE!</v>
      </c>
      <c r="N147" s="627"/>
      <c r="O147" s="627"/>
      <c r="P147" s="495"/>
      <c r="Q147" s="420"/>
      <c r="R147" s="420"/>
      <c r="S147" s="495"/>
      <c r="T147" s="649"/>
      <c r="U147" s="495"/>
      <c r="V147" s="420"/>
      <c r="W147" s="420"/>
      <c r="X147" s="495"/>
      <c r="Y147" s="649"/>
      <c r="Z147" s="495"/>
      <c r="AA147" s="420"/>
      <c r="AB147" s="420"/>
      <c r="AC147" s="495"/>
      <c r="AD147" s="649"/>
      <c r="AE147" s="495"/>
      <c r="AF147" s="420"/>
      <c r="AG147" s="420"/>
      <c r="AH147" s="495"/>
      <c r="AI147" s="649"/>
      <c r="AJ147" s="495"/>
      <c r="AK147" s="420"/>
      <c r="AL147" s="420"/>
      <c r="AM147" s="495"/>
      <c r="AN147" s="649"/>
      <c r="AO147" s="495"/>
      <c r="AP147" s="420"/>
      <c r="AQ147" s="420"/>
      <c r="AR147" s="495"/>
      <c r="AS147" s="649"/>
      <c r="AT147" s="495"/>
      <c r="AU147" s="420"/>
      <c r="AV147" s="420"/>
      <c r="AW147" s="495"/>
      <c r="AX147" s="649"/>
      <c r="AZ147" s="402" t="e">
        <f>RANK(AY147, AY$147:AY$176)</f>
        <v>#N/A</v>
      </c>
      <c r="BA147" s="649" t="e">
        <f>AVERAGE(AY147:AY176)</f>
        <v>#DIV/0!</v>
      </c>
    </row>
    <row r="148" spans="2:53">
      <c r="B148" s="635"/>
      <c r="C148" s="287">
        <v>2</v>
      </c>
      <c r="D148" s="225"/>
      <c r="E148" s="420"/>
      <c r="F148" s="413"/>
      <c r="G148" s="414"/>
      <c r="H148" s="678"/>
      <c r="I148" s="395" t="str">
        <f t="shared" ref="I148:I176" si="30">IFERROR(AVERAGE(P148,U148,Z148,AE148,AJ148,AO148,AT148),"-")</f>
        <v>-</v>
      </c>
      <c r="J148" s="395" t="str">
        <f t="shared" ref="J148:J176" si="31">IFERROR(AVERAGE(Q148,V148,AA148,AF148,AK148,AP148,AU148),"-")</f>
        <v>-</v>
      </c>
      <c r="K148" s="199" t="str">
        <f t="shared" ref="K148:K176" si="32">IFERROR(AVERAGE(R148,W148,AB148,AG148,AL148,AQ148,AV148),"-")</f>
        <v>-</v>
      </c>
      <c r="L148" s="609"/>
      <c r="M148" s="200" t="e">
        <f>RANK(K148, K$147:$K$176)</f>
        <v>#VALUE!</v>
      </c>
      <c r="N148" s="627"/>
      <c r="O148" s="627"/>
      <c r="P148" s="495"/>
      <c r="Q148" s="420"/>
      <c r="R148" s="420"/>
      <c r="S148" s="495"/>
      <c r="T148" s="649"/>
      <c r="U148" s="495"/>
      <c r="V148" s="420"/>
      <c r="W148" s="420"/>
      <c r="X148" s="495"/>
      <c r="Y148" s="649"/>
      <c r="Z148" s="495"/>
      <c r="AA148" s="420"/>
      <c r="AB148" s="420"/>
      <c r="AC148" s="495"/>
      <c r="AD148" s="649"/>
      <c r="AE148" s="495"/>
      <c r="AF148" s="420"/>
      <c r="AG148" s="420"/>
      <c r="AH148" s="495"/>
      <c r="AI148" s="649"/>
      <c r="AJ148" s="495"/>
      <c r="AK148" s="420"/>
      <c r="AL148" s="420"/>
      <c r="AM148" s="495"/>
      <c r="AN148" s="649"/>
      <c r="AO148" s="495"/>
      <c r="AP148" s="420"/>
      <c r="AQ148" s="420"/>
      <c r="AR148" s="495"/>
      <c r="AS148" s="649"/>
      <c r="AT148" s="495"/>
      <c r="AU148" s="420"/>
      <c r="AV148" s="420"/>
      <c r="AW148" s="495"/>
      <c r="AX148" s="649"/>
      <c r="AZ148" s="402" t="e">
        <f t="shared" ref="AZ148:AZ176" si="33">RANK(AY148, AY$147:AY$176)</f>
        <v>#N/A</v>
      </c>
      <c r="BA148" s="649"/>
    </row>
    <row r="149" spans="2:53">
      <c r="B149" s="635"/>
      <c r="C149" s="287">
        <v>3</v>
      </c>
      <c r="D149" s="225"/>
      <c r="E149" s="420"/>
      <c r="F149" s="413"/>
      <c r="G149" s="414"/>
      <c r="H149" s="678"/>
      <c r="I149" s="395" t="str">
        <f t="shared" si="30"/>
        <v>-</v>
      </c>
      <c r="J149" s="395" t="str">
        <f t="shared" si="31"/>
        <v>-</v>
      </c>
      <c r="K149" s="199" t="str">
        <f t="shared" si="32"/>
        <v>-</v>
      </c>
      <c r="L149" s="609"/>
      <c r="M149" s="200" t="e">
        <f>RANK(K149, K$147:$K$176)</f>
        <v>#VALUE!</v>
      </c>
      <c r="N149" s="627"/>
      <c r="O149" s="627"/>
      <c r="P149" s="495"/>
      <c r="Q149" s="420"/>
      <c r="R149" s="420"/>
      <c r="S149" s="495"/>
      <c r="T149" s="649"/>
      <c r="U149" s="495"/>
      <c r="V149" s="420"/>
      <c r="W149" s="420"/>
      <c r="X149" s="495"/>
      <c r="Y149" s="649"/>
      <c r="Z149" s="495"/>
      <c r="AA149" s="420"/>
      <c r="AB149" s="420"/>
      <c r="AC149" s="495"/>
      <c r="AD149" s="649"/>
      <c r="AE149" s="495"/>
      <c r="AF149" s="420"/>
      <c r="AG149" s="420"/>
      <c r="AH149" s="495"/>
      <c r="AI149" s="649"/>
      <c r="AJ149" s="495"/>
      <c r="AK149" s="420"/>
      <c r="AL149" s="420"/>
      <c r="AM149" s="495"/>
      <c r="AN149" s="649"/>
      <c r="AO149" s="495"/>
      <c r="AP149" s="420"/>
      <c r="AQ149" s="420"/>
      <c r="AR149" s="495"/>
      <c r="AS149" s="649"/>
      <c r="AT149" s="495"/>
      <c r="AU149" s="420"/>
      <c r="AV149" s="420"/>
      <c r="AW149" s="495"/>
      <c r="AX149" s="649"/>
      <c r="AZ149" s="402" t="e">
        <f t="shared" si="33"/>
        <v>#N/A</v>
      </c>
      <c r="BA149" s="649"/>
    </row>
    <row r="150" spans="2:53">
      <c r="B150" s="635"/>
      <c r="C150" s="287">
        <v>4</v>
      </c>
      <c r="D150" s="225"/>
      <c r="E150" s="420"/>
      <c r="F150" s="413"/>
      <c r="G150" s="414"/>
      <c r="H150" s="678"/>
      <c r="I150" s="395" t="str">
        <f t="shared" si="30"/>
        <v>-</v>
      </c>
      <c r="J150" s="395" t="str">
        <f t="shared" si="31"/>
        <v>-</v>
      </c>
      <c r="K150" s="199" t="str">
        <f t="shared" si="32"/>
        <v>-</v>
      </c>
      <c r="L150" s="609"/>
      <c r="M150" s="200" t="e">
        <f>RANK(K150, K$147:$K$176)</f>
        <v>#VALUE!</v>
      </c>
      <c r="N150" s="627"/>
      <c r="O150" s="627"/>
      <c r="P150" s="495"/>
      <c r="Q150" s="420"/>
      <c r="R150" s="420"/>
      <c r="S150" s="495"/>
      <c r="T150" s="649"/>
      <c r="U150" s="495"/>
      <c r="V150" s="420"/>
      <c r="W150" s="420"/>
      <c r="X150" s="495"/>
      <c r="Y150" s="649"/>
      <c r="Z150" s="495"/>
      <c r="AA150" s="420"/>
      <c r="AB150" s="420"/>
      <c r="AC150" s="495"/>
      <c r="AD150" s="649"/>
      <c r="AE150" s="495"/>
      <c r="AF150" s="420"/>
      <c r="AG150" s="420"/>
      <c r="AH150" s="495"/>
      <c r="AI150" s="649"/>
      <c r="AJ150" s="495"/>
      <c r="AK150" s="420"/>
      <c r="AL150" s="420"/>
      <c r="AM150" s="495"/>
      <c r="AN150" s="649"/>
      <c r="AO150" s="495"/>
      <c r="AP150" s="420"/>
      <c r="AQ150" s="420"/>
      <c r="AR150" s="495"/>
      <c r="AS150" s="649"/>
      <c r="AT150" s="495"/>
      <c r="AU150" s="420"/>
      <c r="AV150" s="420"/>
      <c r="AW150" s="495"/>
      <c r="AX150" s="649"/>
      <c r="AZ150" s="402" t="e">
        <f t="shared" si="33"/>
        <v>#N/A</v>
      </c>
      <c r="BA150" s="649"/>
    </row>
    <row r="151" spans="2:53">
      <c r="B151" s="635"/>
      <c r="C151" s="287">
        <v>5</v>
      </c>
      <c r="D151" s="225"/>
      <c r="E151" s="420"/>
      <c r="F151" s="413"/>
      <c r="G151" s="414"/>
      <c r="H151" s="678"/>
      <c r="I151" s="395" t="str">
        <f t="shared" si="30"/>
        <v>-</v>
      </c>
      <c r="J151" s="395" t="str">
        <f t="shared" si="31"/>
        <v>-</v>
      </c>
      <c r="K151" s="199" t="str">
        <f t="shared" si="32"/>
        <v>-</v>
      </c>
      <c r="L151" s="609"/>
      <c r="M151" s="200" t="e">
        <f>RANK(K151, K$147:$K$176)</f>
        <v>#VALUE!</v>
      </c>
      <c r="N151" s="627"/>
      <c r="O151" s="627"/>
      <c r="P151" s="495"/>
      <c r="Q151" s="420"/>
      <c r="R151" s="420"/>
      <c r="S151" s="495"/>
      <c r="T151" s="649"/>
      <c r="U151" s="495"/>
      <c r="V151" s="420"/>
      <c r="W151" s="420"/>
      <c r="X151" s="495"/>
      <c r="Y151" s="649"/>
      <c r="Z151" s="495"/>
      <c r="AA151" s="420"/>
      <c r="AB151" s="420"/>
      <c r="AC151" s="495"/>
      <c r="AD151" s="649"/>
      <c r="AE151" s="495"/>
      <c r="AF151" s="420"/>
      <c r="AG151" s="420"/>
      <c r="AH151" s="495"/>
      <c r="AI151" s="649"/>
      <c r="AJ151" s="495"/>
      <c r="AK151" s="420"/>
      <c r="AL151" s="420"/>
      <c r="AM151" s="495"/>
      <c r="AN151" s="649"/>
      <c r="AO151" s="495"/>
      <c r="AP151" s="420"/>
      <c r="AQ151" s="420"/>
      <c r="AR151" s="495"/>
      <c r="AS151" s="649"/>
      <c r="AT151" s="495"/>
      <c r="AU151" s="420"/>
      <c r="AV151" s="420"/>
      <c r="AW151" s="495"/>
      <c r="AX151" s="649"/>
      <c r="AZ151" s="402" t="e">
        <f t="shared" si="33"/>
        <v>#N/A</v>
      </c>
      <c r="BA151" s="649"/>
    </row>
    <row r="152" spans="2:53">
      <c r="B152" s="635"/>
      <c r="C152" s="287">
        <v>6</v>
      </c>
      <c r="D152" s="225"/>
      <c r="E152" s="420"/>
      <c r="F152" s="413"/>
      <c r="G152" s="414"/>
      <c r="H152" s="678"/>
      <c r="I152" s="395" t="str">
        <f t="shared" si="30"/>
        <v>-</v>
      </c>
      <c r="J152" s="395" t="str">
        <f t="shared" si="31"/>
        <v>-</v>
      </c>
      <c r="K152" s="199" t="str">
        <f t="shared" si="32"/>
        <v>-</v>
      </c>
      <c r="L152" s="609"/>
      <c r="M152" s="200" t="e">
        <f>RANK(K152, K$147:$K$176)</f>
        <v>#VALUE!</v>
      </c>
      <c r="N152" s="627"/>
      <c r="O152" s="627"/>
      <c r="P152" s="495"/>
      <c r="Q152" s="420"/>
      <c r="R152" s="420"/>
      <c r="S152" s="495"/>
      <c r="T152" s="649"/>
      <c r="U152" s="495"/>
      <c r="V152" s="420"/>
      <c r="W152" s="420"/>
      <c r="X152" s="495"/>
      <c r="Y152" s="649"/>
      <c r="Z152" s="495"/>
      <c r="AA152" s="420"/>
      <c r="AB152" s="420"/>
      <c r="AC152" s="495"/>
      <c r="AD152" s="649"/>
      <c r="AE152" s="495"/>
      <c r="AF152" s="420"/>
      <c r="AG152" s="420"/>
      <c r="AH152" s="495"/>
      <c r="AI152" s="649"/>
      <c r="AJ152" s="495"/>
      <c r="AK152" s="420"/>
      <c r="AL152" s="420"/>
      <c r="AM152" s="495"/>
      <c r="AN152" s="649"/>
      <c r="AO152" s="495"/>
      <c r="AP152" s="420"/>
      <c r="AQ152" s="420"/>
      <c r="AR152" s="495"/>
      <c r="AS152" s="649"/>
      <c r="AT152" s="495"/>
      <c r="AU152" s="420"/>
      <c r="AV152" s="420"/>
      <c r="AW152" s="495"/>
      <c r="AX152" s="649"/>
      <c r="AZ152" s="402" t="e">
        <f t="shared" si="33"/>
        <v>#N/A</v>
      </c>
      <c r="BA152" s="649"/>
    </row>
    <row r="153" spans="2:53">
      <c r="B153" s="635"/>
      <c r="C153" s="287">
        <v>7</v>
      </c>
      <c r="D153" s="225"/>
      <c r="E153" s="420"/>
      <c r="F153" s="413"/>
      <c r="G153" s="414"/>
      <c r="H153" s="678"/>
      <c r="I153" s="395" t="str">
        <f t="shared" si="30"/>
        <v>-</v>
      </c>
      <c r="J153" s="395" t="str">
        <f t="shared" si="31"/>
        <v>-</v>
      </c>
      <c r="K153" s="199" t="str">
        <f t="shared" si="32"/>
        <v>-</v>
      </c>
      <c r="L153" s="609"/>
      <c r="M153" s="200" t="e">
        <f>RANK(K153, K$147:$K$176)</f>
        <v>#VALUE!</v>
      </c>
      <c r="N153" s="627"/>
      <c r="O153" s="627"/>
      <c r="P153" s="495"/>
      <c r="Q153" s="420"/>
      <c r="R153" s="420"/>
      <c r="S153" s="495"/>
      <c r="T153" s="649"/>
      <c r="U153" s="495"/>
      <c r="V153" s="420"/>
      <c r="W153" s="420"/>
      <c r="X153" s="495"/>
      <c r="Y153" s="649"/>
      <c r="Z153" s="495"/>
      <c r="AA153" s="420"/>
      <c r="AB153" s="420"/>
      <c r="AC153" s="495"/>
      <c r="AD153" s="649"/>
      <c r="AE153" s="495"/>
      <c r="AF153" s="420"/>
      <c r="AG153" s="420"/>
      <c r="AH153" s="495"/>
      <c r="AI153" s="649"/>
      <c r="AJ153" s="495"/>
      <c r="AK153" s="420"/>
      <c r="AL153" s="420"/>
      <c r="AM153" s="495"/>
      <c r="AN153" s="649"/>
      <c r="AO153" s="495"/>
      <c r="AP153" s="420"/>
      <c r="AQ153" s="420"/>
      <c r="AR153" s="495"/>
      <c r="AS153" s="649"/>
      <c r="AT153" s="495"/>
      <c r="AU153" s="420"/>
      <c r="AV153" s="420"/>
      <c r="AW153" s="495"/>
      <c r="AX153" s="649"/>
      <c r="AZ153" s="402" t="e">
        <f t="shared" si="33"/>
        <v>#N/A</v>
      </c>
      <c r="BA153" s="649"/>
    </row>
    <row r="154" spans="2:53">
      <c r="B154" s="635"/>
      <c r="C154" s="287">
        <v>8</v>
      </c>
      <c r="D154" s="225"/>
      <c r="E154" s="420"/>
      <c r="F154" s="413"/>
      <c r="G154" s="414"/>
      <c r="H154" s="678"/>
      <c r="I154" s="395" t="str">
        <f t="shared" si="30"/>
        <v>-</v>
      </c>
      <c r="J154" s="395" t="str">
        <f t="shared" si="31"/>
        <v>-</v>
      </c>
      <c r="K154" s="199" t="str">
        <f t="shared" si="32"/>
        <v>-</v>
      </c>
      <c r="L154" s="609"/>
      <c r="M154" s="200" t="e">
        <f>RANK(K154, K$147:$K$176)</f>
        <v>#VALUE!</v>
      </c>
      <c r="N154" s="627"/>
      <c r="O154" s="627"/>
      <c r="P154" s="495"/>
      <c r="Q154" s="420"/>
      <c r="R154" s="420"/>
      <c r="S154" s="495"/>
      <c r="T154" s="649"/>
      <c r="U154" s="495"/>
      <c r="V154" s="420"/>
      <c r="W154" s="420"/>
      <c r="X154" s="495"/>
      <c r="Y154" s="649"/>
      <c r="Z154" s="495"/>
      <c r="AA154" s="420"/>
      <c r="AB154" s="420"/>
      <c r="AC154" s="495"/>
      <c r="AD154" s="649"/>
      <c r="AE154" s="495"/>
      <c r="AF154" s="420"/>
      <c r="AG154" s="420"/>
      <c r="AH154" s="495"/>
      <c r="AI154" s="649"/>
      <c r="AJ154" s="495"/>
      <c r="AK154" s="420"/>
      <c r="AL154" s="420"/>
      <c r="AM154" s="495"/>
      <c r="AN154" s="649"/>
      <c r="AO154" s="495"/>
      <c r="AP154" s="420"/>
      <c r="AQ154" s="420"/>
      <c r="AR154" s="495"/>
      <c r="AS154" s="649"/>
      <c r="AT154" s="495"/>
      <c r="AU154" s="420"/>
      <c r="AV154" s="420"/>
      <c r="AW154" s="495"/>
      <c r="AX154" s="649"/>
      <c r="AZ154" s="402" t="e">
        <f t="shared" si="33"/>
        <v>#N/A</v>
      </c>
      <c r="BA154" s="649"/>
    </row>
    <row r="155" spans="2:53">
      <c r="B155" s="635"/>
      <c r="C155" s="287">
        <v>9</v>
      </c>
      <c r="D155" s="225"/>
      <c r="E155" s="420"/>
      <c r="F155" s="413"/>
      <c r="G155" s="414"/>
      <c r="H155" s="678"/>
      <c r="I155" s="395" t="str">
        <f t="shared" si="30"/>
        <v>-</v>
      </c>
      <c r="J155" s="395" t="str">
        <f t="shared" si="31"/>
        <v>-</v>
      </c>
      <c r="K155" s="199" t="str">
        <f t="shared" si="32"/>
        <v>-</v>
      </c>
      <c r="L155" s="609"/>
      <c r="M155" s="200" t="e">
        <f>RANK(K155, K$147:$K$176)</f>
        <v>#VALUE!</v>
      </c>
      <c r="N155" s="627"/>
      <c r="O155" s="627"/>
      <c r="P155" s="495"/>
      <c r="Q155" s="420"/>
      <c r="R155" s="420"/>
      <c r="S155" s="495"/>
      <c r="T155" s="649"/>
      <c r="U155" s="495"/>
      <c r="V155" s="420"/>
      <c r="W155" s="420"/>
      <c r="X155" s="495"/>
      <c r="Y155" s="649"/>
      <c r="Z155" s="495"/>
      <c r="AA155" s="420"/>
      <c r="AB155" s="420"/>
      <c r="AC155" s="495"/>
      <c r="AD155" s="649"/>
      <c r="AE155" s="495"/>
      <c r="AF155" s="420"/>
      <c r="AG155" s="420"/>
      <c r="AH155" s="495"/>
      <c r="AI155" s="649"/>
      <c r="AJ155" s="495"/>
      <c r="AK155" s="420"/>
      <c r="AL155" s="420"/>
      <c r="AM155" s="495"/>
      <c r="AN155" s="649"/>
      <c r="AO155" s="495"/>
      <c r="AP155" s="420"/>
      <c r="AQ155" s="420"/>
      <c r="AR155" s="495"/>
      <c r="AS155" s="649"/>
      <c r="AT155" s="495"/>
      <c r="AU155" s="420"/>
      <c r="AV155" s="420"/>
      <c r="AW155" s="495"/>
      <c r="AX155" s="649"/>
      <c r="AZ155" s="402" t="e">
        <f t="shared" si="33"/>
        <v>#N/A</v>
      </c>
      <c r="BA155" s="649"/>
    </row>
    <row r="156" spans="2:53">
      <c r="B156" s="635"/>
      <c r="C156" s="287">
        <v>10</v>
      </c>
      <c r="D156" s="225"/>
      <c r="E156" s="420"/>
      <c r="F156" s="413"/>
      <c r="G156" s="414"/>
      <c r="H156" s="678"/>
      <c r="I156" s="395" t="str">
        <f t="shared" si="30"/>
        <v>-</v>
      </c>
      <c r="J156" s="395" t="str">
        <f t="shared" si="31"/>
        <v>-</v>
      </c>
      <c r="K156" s="199" t="str">
        <f t="shared" si="32"/>
        <v>-</v>
      </c>
      <c r="L156" s="609"/>
      <c r="M156" s="200" t="e">
        <f>RANK(K156, K$147:$K$176)</f>
        <v>#VALUE!</v>
      </c>
      <c r="N156" s="627"/>
      <c r="O156" s="627"/>
      <c r="P156" s="495"/>
      <c r="Q156" s="420"/>
      <c r="R156" s="420"/>
      <c r="S156" s="495"/>
      <c r="T156" s="649"/>
      <c r="U156" s="495"/>
      <c r="V156" s="420"/>
      <c r="W156" s="420"/>
      <c r="X156" s="495"/>
      <c r="Y156" s="649"/>
      <c r="Z156" s="495"/>
      <c r="AA156" s="420"/>
      <c r="AB156" s="420"/>
      <c r="AC156" s="495"/>
      <c r="AD156" s="649"/>
      <c r="AE156" s="495"/>
      <c r="AF156" s="420"/>
      <c r="AG156" s="420"/>
      <c r="AH156" s="495"/>
      <c r="AI156" s="649"/>
      <c r="AJ156" s="495"/>
      <c r="AK156" s="420"/>
      <c r="AL156" s="420"/>
      <c r="AM156" s="495"/>
      <c r="AN156" s="649"/>
      <c r="AO156" s="495"/>
      <c r="AP156" s="420"/>
      <c r="AQ156" s="420"/>
      <c r="AR156" s="495"/>
      <c r="AS156" s="649"/>
      <c r="AT156" s="495"/>
      <c r="AU156" s="420"/>
      <c r="AV156" s="420"/>
      <c r="AW156" s="495"/>
      <c r="AX156" s="649"/>
      <c r="AZ156" s="402" t="e">
        <f t="shared" si="33"/>
        <v>#N/A</v>
      </c>
      <c r="BA156" s="649"/>
    </row>
    <row r="157" spans="2:53">
      <c r="B157" s="635"/>
      <c r="C157" s="287">
        <v>11</v>
      </c>
      <c r="D157" s="225"/>
      <c r="E157" s="420"/>
      <c r="F157" s="413"/>
      <c r="G157" s="414"/>
      <c r="H157" s="678"/>
      <c r="I157" s="395" t="str">
        <f t="shared" si="30"/>
        <v>-</v>
      </c>
      <c r="J157" s="395" t="str">
        <f t="shared" si="31"/>
        <v>-</v>
      </c>
      <c r="K157" s="199" t="str">
        <f t="shared" si="32"/>
        <v>-</v>
      </c>
      <c r="L157" s="609"/>
      <c r="M157" s="200" t="e">
        <f>RANK(K157, K$147:$K$176)</f>
        <v>#VALUE!</v>
      </c>
      <c r="N157" s="627"/>
      <c r="O157" s="627"/>
      <c r="P157" s="495"/>
      <c r="Q157" s="420"/>
      <c r="R157" s="420"/>
      <c r="S157" s="495"/>
      <c r="T157" s="649"/>
      <c r="U157" s="495"/>
      <c r="V157" s="420"/>
      <c r="W157" s="420"/>
      <c r="X157" s="495"/>
      <c r="Y157" s="649"/>
      <c r="Z157" s="495"/>
      <c r="AA157" s="420"/>
      <c r="AB157" s="420"/>
      <c r="AC157" s="495"/>
      <c r="AD157" s="649"/>
      <c r="AE157" s="495"/>
      <c r="AF157" s="420"/>
      <c r="AG157" s="420"/>
      <c r="AH157" s="495"/>
      <c r="AI157" s="649"/>
      <c r="AJ157" s="495"/>
      <c r="AK157" s="420"/>
      <c r="AL157" s="420"/>
      <c r="AM157" s="495"/>
      <c r="AN157" s="649"/>
      <c r="AO157" s="495"/>
      <c r="AP157" s="420"/>
      <c r="AQ157" s="420"/>
      <c r="AR157" s="495"/>
      <c r="AS157" s="649"/>
      <c r="AT157" s="495"/>
      <c r="AU157" s="420"/>
      <c r="AV157" s="420"/>
      <c r="AW157" s="495"/>
      <c r="AX157" s="649"/>
      <c r="AZ157" s="402" t="e">
        <f t="shared" si="33"/>
        <v>#N/A</v>
      </c>
      <c r="BA157" s="649"/>
    </row>
    <row r="158" spans="2:53">
      <c r="B158" s="635"/>
      <c r="C158" s="287">
        <v>12</v>
      </c>
      <c r="D158" s="225"/>
      <c r="E158" s="420"/>
      <c r="F158" s="413"/>
      <c r="G158" s="414"/>
      <c r="H158" s="678"/>
      <c r="I158" s="395" t="str">
        <f t="shared" si="30"/>
        <v>-</v>
      </c>
      <c r="J158" s="395" t="str">
        <f t="shared" si="31"/>
        <v>-</v>
      </c>
      <c r="K158" s="199" t="str">
        <f t="shared" si="32"/>
        <v>-</v>
      </c>
      <c r="L158" s="609"/>
      <c r="M158" s="200" t="e">
        <f>RANK(K158, K$147:$K$176)</f>
        <v>#VALUE!</v>
      </c>
      <c r="N158" s="627"/>
      <c r="O158" s="627"/>
      <c r="P158" s="495"/>
      <c r="Q158" s="420"/>
      <c r="R158" s="420"/>
      <c r="S158" s="495"/>
      <c r="T158" s="649"/>
      <c r="U158" s="495"/>
      <c r="V158" s="420"/>
      <c r="W158" s="420"/>
      <c r="X158" s="495"/>
      <c r="Y158" s="649"/>
      <c r="Z158" s="495"/>
      <c r="AA158" s="420"/>
      <c r="AB158" s="420"/>
      <c r="AC158" s="495"/>
      <c r="AD158" s="649"/>
      <c r="AE158" s="495"/>
      <c r="AF158" s="420"/>
      <c r="AG158" s="420"/>
      <c r="AH158" s="495"/>
      <c r="AI158" s="649"/>
      <c r="AJ158" s="495"/>
      <c r="AK158" s="420"/>
      <c r="AL158" s="420"/>
      <c r="AM158" s="495"/>
      <c r="AN158" s="649"/>
      <c r="AO158" s="495"/>
      <c r="AP158" s="420"/>
      <c r="AQ158" s="420"/>
      <c r="AR158" s="495"/>
      <c r="AS158" s="649"/>
      <c r="AT158" s="495"/>
      <c r="AU158" s="420"/>
      <c r="AV158" s="420"/>
      <c r="AW158" s="495"/>
      <c r="AX158" s="649"/>
      <c r="AZ158" s="402" t="e">
        <f t="shared" si="33"/>
        <v>#N/A</v>
      </c>
      <c r="BA158" s="649"/>
    </row>
    <row r="159" spans="2:53">
      <c r="B159" s="635"/>
      <c r="C159" s="287">
        <v>13</v>
      </c>
      <c r="D159" s="225"/>
      <c r="E159" s="420"/>
      <c r="F159" s="413"/>
      <c r="G159" s="414"/>
      <c r="H159" s="678"/>
      <c r="I159" s="395" t="str">
        <f t="shared" si="30"/>
        <v>-</v>
      </c>
      <c r="J159" s="395" t="str">
        <f t="shared" si="31"/>
        <v>-</v>
      </c>
      <c r="K159" s="199" t="str">
        <f t="shared" si="32"/>
        <v>-</v>
      </c>
      <c r="L159" s="609"/>
      <c r="M159" s="200" t="e">
        <f>RANK(K159, K$147:$K$176)</f>
        <v>#VALUE!</v>
      </c>
      <c r="N159" s="627"/>
      <c r="O159" s="627"/>
      <c r="P159" s="495"/>
      <c r="Q159" s="420"/>
      <c r="R159" s="420"/>
      <c r="S159" s="495"/>
      <c r="T159" s="649"/>
      <c r="U159" s="495"/>
      <c r="V159" s="420"/>
      <c r="W159" s="420"/>
      <c r="X159" s="495"/>
      <c r="Y159" s="649"/>
      <c r="Z159" s="495"/>
      <c r="AA159" s="420"/>
      <c r="AB159" s="420"/>
      <c r="AC159" s="495"/>
      <c r="AD159" s="649"/>
      <c r="AE159" s="495"/>
      <c r="AF159" s="420"/>
      <c r="AG159" s="420"/>
      <c r="AH159" s="495"/>
      <c r="AI159" s="649"/>
      <c r="AJ159" s="495"/>
      <c r="AK159" s="420"/>
      <c r="AL159" s="420"/>
      <c r="AM159" s="495"/>
      <c r="AN159" s="649"/>
      <c r="AO159" s="495"/>
      <c r="AP159" s="420"/>
      <c r="AQ159" s="420"/>
      <c r="AR159" s="495"/>
      <c r="AS159" s="649"/>
      <c r="AT159" s="495"/>
      <c r="AU159" s="420"/>
      <c r="AV159" s="420"/>
      <c r="AW159" s="495"/>
      <c r="AX159" s="649"/>
      <c r="AZ159" s="402" t="e">
        <f t="shared" si="33"/>
        <v>#N/A</v>
      </c>
      <c r="BA159" s="649"/>
    </row>
    <row r="160" spans="2:53">
      <c r="B160" s="635"/>
      <c r="C160" s="287">
        <v>14</v>
      </c>
      <c r="D160" s="225"/>
      <c r="E160" s="420"/>
      <c r="F160" s="413"/>
      <c r="G160" s="414"/>
      <c r="H160" s="678"/>
      <c r="I160" s="395" t="str">
        <f t="shared" si="30"/>
        <v>-</v>
      </c>
      <c r="J160" s="395" t="str">
        <f t="shared" si="31"/>
        <v>-</v>
      </c>
      <c r="K160" s="199" t="str">
        <f t="shared" si="32"/>
        <v>-</v>
      </c>
      <c r="L160" s="609"/>
      <c r="M160" s="200" t="e">
        <f>RANK(K160, K$147:$K$176)</f>
        <v>#VALUE!</v>
      </c>
      <c r="N160" s="627"/>
      <c r="O160" s="627"/>
      <c r="P160" s="495"/>
      <c r="Q160" s="420"/>
      <c r="R160" s="420"/>
      <c r="S160" s="495"/>
      <c r="T160" s="649"/>
      <c r="U160" s="495"/>
      <c r="V160" s="420"/>
      <c r="W160" s="420"/>
      <c r="X160" s="495"/>
      <c r="Y160" s="649"/>
      <c r="Z160" s="495"/>
      <c r="AA160" s="420"/>
      <c r="AB160" s="420"/>
      <c r="AC160" s="495"/>
      <c r="AD160" s="649"/>
      <c r="AE160" s="495"/>
      <c r="AF160" s="420"/>
      <c r="AG160" s="420"/>
      <c r="AH160" s="495"/>
      <c r="AI160" s="649"/>
      <c r="AJ160" s="495"/>
      <c r="AK160" s="420"/>
      <c r="AL160" s="420"/>
      <c r="AM160" s="495"/>
      <c r="AN160" s="649"/>
      <c r="AO160" s="495"/>
      <c r="AP160" s="420"/>
      <c r="AQ160" s="420"/>
      <c r="AR160" s="495"/>
      <c r="AS160" s="649"/>
      <c r="AT160" s="495"/>
      <c r="AU160" s="420"/>
      <c r="AV160" s="420"/>
      <c r="AW160" s="495"/>
      <c r="AX160" s="649"/>
      <c r="AZ160" s="402" t="e">
        <f t="shared" si="33"/>
        <v>#N/A</v>
      </c>
      <c r="BA160" s="649"/>
    </row>
    <row r="161" spans="2:53">
      <c r="B161" s="635"/>
      <c r="C161" s="287">
        <v>15</v>
      </c>
      <c r="D161" s="225"/>
      <c r="E161" s="420"/>
      <c r="F161" s="413"/>
      <c r="G161" s="414"/>
      <c r="H161" s="678"/>
      <c r="I161" s="395" t="str">
        <f t="shared" si="30"/>
        <v>-</v>
      </c>
      <c r="J161" s="395" t="str">
        <f t="shared" si="31"/>
        <v>-</v>
      </c>
      <c r="K161" s="199" t="str">
        <f t="shared" si="32"/>
        <v>-</v>
      </c>
      <c r="L161" s="609"/>
      <c r="M161" s="198" t="e">
        <f>RANK(K161, K$147:$K$176)</f>
        <v>#VALUE!</v>
      </c>
      <c r="N161" s="627"/>
      <c r="O161" s="627"/>
      <c r="P161" s="495"/>
      <c r="Q161" s="420"/>
      <c r="R161" s="420"/>
      <c r="S161" s="495"/>
      <c r="T161" s="649"/>
      <c r="U161" s="495"/>
      <c r="V161" s="420"/>
      <c r="W161" s="420"/>
      <c r="X161" s="495"/>
      <c r="Y161" s="649"/>
      <c r="Z161" s="495"/>
      <c r="AA161" s="420"/>
      <c r="AB161" s="420"/>
      <c r="AC161" s="495"/>
      <c r="AD161" s="649"/>
      <c r="AE161" s="495"/>
      <c r="AF161" s="420"/>
      <c r="AG161" s="420"/>
      <c r="AH161" s="495"/>
      <c r="AI161" s="649"/>
      <c r="AJ161" s="495"/>
      <c r="AK161" s="420"/>
      <c r="AL161" s="420"/>
      <c r="AM161" s="495"/>
      <c r="AN161" s="649"/>
      <c r="AO161" s="495"/>
      <c r="AP161" s="420"/>
      <c r="AQ161" s="420"/>
      <c r="AR161" s="495"/>
      <c r="AS161" s="649"/>
      <c r="AT161" s="495"/>
      <c r="AU161" s="420"/>
      <c r="AV161" s="420"/>
      <c r="AW161" s="495"/>
      <c r="AX161" s="649"/>
      <c r="AZ161" s="402" t="e">
        <f t="shared" si="33"/>
        <v>#N/A</v>
      </c>
      <c r="BA161" s="649"/>
    </row>
    <row r="162" spans="2:53">
      <c r="B162" s="635"/>
      <c r="C162" s="287">
        <v>16</v>
      </c>
      <c r="D162" s="225"/>
      <c r="E162" s="420"/>
      <c r="F162" s="413"/>
      <c r="G162" s="414"/>
      <c r="H162" s="678"/>
      <c r="I162" s="395" t="str">
        <f t="shared" si="30"/>
        <v>-</v>
      </c>
      <c r="J162" s="395" t="str">
        <f t="shared" si="31"/>
        <v>-</v>
      </c>
      <c r="K162" s="199" t="str">
        <f t="shared" si="32"/>
        <v>-</v>
      </c>
      <c r="L162" s="609"/>
      <c r="M162" s="198" t="e">
        <f>RANK(K162, K$147:$K$176)</f>
        <v>#VALUE!</v>
      </c>
      <c r="N162" s="627"/>
      <c r="O162" s="627"/>
      <c r="P162" s="495"/>
      <c r="Q162" s="420"/>
      <c r="R162" s="420"/>
      <c r="S162" s="495"/>
      <c r="T162" s="649"/>
      <c r="U162" s="495"/>
      <c r="V162" s="420"/>
      <c r="W162" s="420"/>
      <c r="X162" s="495"/>
      <c r="Y162" s="649"/>
      <c r="Z162" s="495"/>
      <c r="AA162" s="420"/>
      <c r="AB162" s="420"/>
      <c r="AC162" s="495"/>
      <c r="AD162" s="649"/>
      <c r="AE162" s="495"/>
      <c r="AF162" s="420"/>
      <c r="AG162" s="420"/>
      <c r="AH162" s="495"/>
      <c r="AI162" s="649"/>
      <c r="AJ162" s="495"/>
      <c r="AK162" s="420"/>
      <c r="AL162" s="420"/>
      <c r="AM162" s="495"/>
      <c r="AN162" s="649"/>
      <c r="AO162" s="495"/>
      <c r="AP162" s="420"/>
      <c r="AQ162" s="420"/>
      <c r="AR162" s="495"/>
      <c r="AS162" s="649"/>
      <c r="AT162" s="495"/>
      <c r="AU162" s="420"/>
      <c r="AV162" s="420"/>
      <c r="AW162" s="495"/>
      <c r="AX162" s="649"/>
      <c r="AZ162" s="402" t="e">
        <f t="shared" si="33"/>
        <v>#N/A</v>
      </c>
      <c r="BA162" s="649"/>
    </row>
    <row r="163" spans="2:53">
      <c r="B163" s="635"/>
      <c r="C163" s="287">
        <v>17</v>
      </c>
      <c r="D163" s="225"/>
      <c r="E163" s="420"/>
      <c r="F163" s="413"/>
      <c r="G163" s="414"/>
      <c r="H163" s="678"/>
      <c r="I163" s="395" t="str">
        <f t="shared" si="30"/>
        <v>-</v>
      </c>
      <c r="J163" s="395" t="str">
        <f t="shared" si="31"/>
        <v>-</v>
      </c>
      <c r="K163" s="199" t="str">
        <f t="shared" si="32"/>
        <v>-</v>
      </c>
      <c r="L163" s="609"/>
      <c r="M163" s="198" t="e">
        <f>RANK(K163, K$147:$K$176)</f>
        <v>#VALUE!</v>
      </c>
      <c r="N163" s="627"/>
      <c r="O163" s="627"/>
      <c r="P163" s="495"/>
      <c r="Q163" s="420"/>
      <c r="R163" s="420"/>
      <c r="S163" s="495"/>
      <c r="T163" s="649"/>
      <c r="U163" s="495"/>
      <c r="V163" s="420"/>
      <c r="W163" s="420"/>
      <c r="X163" s="495"/>
      <c r="Y163" s="649"/>
      <c r="Z163" s="495"/>
      <c r="AA163" s="420"/>
      <c r="AB163" s="420"/>
      <c r="AC163" s="495"/>
      <c r="AD163" s="649"/>
      <c r="AE163" s="495"/>
      <c r="AF163" s="420"/>
      <c r="AG163" s="420"/>
      <c r="AH163" s="495"/>
      <c r="AI163" s="649"/>
      <c r="AJ163" s="495"/>
      <c r="AK163" s="420"/>
      <c r="AL163" s="420"/>
      <c r="AM163" s="495"/>
      <c r="AN163" s="649"/>
      <c r="AO163" s="495"/>
      <c r="AP163" s="420"/>
      <c r="AQ163" s="420"/>
      <c r="AR163" s="495"/>
      <c r="AS163" s="649"/>
      <c r="AT163" s="495"/>
      <c r="AU163" s="420"/>
      <c r="AV163" s="420"/>
      <c r="AW163" s="495"/>
      <c r="AX163" s="649"/>
      <c r="AZ163" s="402" t="e">
        <f t="shared" si="33"/>
        <v>#N/A</v>
      </c>
      <c r="BA163" s="649"/>
    </row>
    <row r="164" spans="2:53">
      <c r="B164" s="635"/>
      <c r="C164" s="287">
        <v>18</v>
      </c>
      <c r="D164" s="225"/>
      <c r="E164" s="420"/>
      <c r="F164" s="413"/>
      <c r="G164" s="414"/>
      <c r="H164" s="678"/>
      <c r="I164" s="395" t="str">
        <f t="shared" si="30"/>
        <v>-</v>
      </c>
      <c r="J164" s="395" t="str">
        <f t="shared" si="31"/>
        <v>-</v>
      </c>
      <c r="K164" s="199" t="str">
        <f t="shared" si="32"/>
        <v>-</v>
      </c>
      <c r="L164" s="609"/>
      <c r="M164" s="198" t="e">
        <f>RANK(K164, K$147:$K$176)</f>
        <v>#VALUE!</v>
      </c>
      <c r="N164" s="627"/>
      <c r="O164" s="627"/>
      <c r="P164" s="495"/>
      <c r="Q164" s="420"/>
      <c r="R164" s="420"/>
      <c r="S164" s="495"/>
      <c r="T164" s="649"/>
      <c r="U164" s="495"/>
      <c r="V164" s="420"/>
      <c r="W164" s="420"/>
      <c r="X164" s="495"/>
      <c r="Y164" s="649"/>
      <c r="Z164" s="495"/>
      <c r="AA164" s="420"/>
      <c r="AB164" s="420"/>
      <c r="AC164" s="495"/>
      <c r="AD164" s="649"/>
      <c r="AE164" s="495"/>
      <c r="AF164" s="420"/>
      <c r="AG164" s="420"/>
      <c r="AH164" s="495"/>
      <c r="AI164" s="649"/>
      <c r="AJ164" s="495"/>
      <c r="AK164" s="420"/>
      <c r="AL164" s="420"/>
      <c r="AM164" s="495"/>
      <c r="AN164" s="649"/>
      <c r="AO164" s="495"/>
      <c r="AP164" s="420"/>
      <c r="AQ164" s="420"/>
      <c r="AR164" s="495"/>
      <c r="AS164" s="649"/>
      <c r="AT164" s="495"/>
      <c r="AU164" s="420"/>
      <c r="AV164" s="420"/>
      <c r="AW164" s="495"/>
      <c r="AX164" s="649"/>
      <c r="AZ164" s="402" t="e">
        <f t="shared" si="33"/>
        <v>#N/A</v>
      </c>
      <c r="BA164" s="649"/>
    </row>
    <row r="165" spans="2:53">
      <c r="B165" s="635"/>
      <c r="C165" s="287">
        <v>19</v>
      </c>
      <c r="D165" s="225"/>
      <c r="E165" s="420"/>
      <c r="F165" s="413"/>
      <c r="G165" s="414"/>
      <c r="H165" s="678"/>
      <c r="I165" s="395" t="str">
        <f t="shared" si="30"/>
        <v>-</v>
      </c>
      <c r="J165" s="395" t="str">
        <f t="shared" si="31"/>
        <v>-</v>
      </c>
      <c r="K165" s="199" t="str">
        <f t="shared" si="32"/>
        <v>-</v>
      </c>
      <c r="L165" s="609"/>
      <c r="M165" s="198" t="e">
        <f>RANK(K165, K$147:$K$176)</f>
        <v>#VALUE!</v>
      </c>
      <c r="N165" s="627"/>
      <c r="O165" s="627"/>
      <c r="P165" s="495"/>
      <c r="Q165" s="420"/>
      <c r="R165" s="420"/>
      <c r="S165" s="495"/>
      <c r="T165" s="649"/>
      <c r="U165" s="495"/>
      <c r="V165" s="420"/>
      <c r="W165" s="420"/>
      <c r="X165" s="495"/>
      <c r="Y165" s="649"/>
      <c r="Z165" s="495"/>
      <c r="AA165" s="420"/>
      <c r="AB165" s="420"/>
      <c r="AC165" s="495"/>
      <c r="AD165" s="649"/>
      <c r="AE165" s="495"/>
      <c r="AF165" s="420"/>
      <c r="AG165" s="420"/>
      <c r="AH165" s="495"/>
      <c r="AI165" s="649"/>
      <c r="AJ165" s="495"/>
      <c r="AK165" s="420"/>
      <c r="AL165" s="420"/>
      <c r="AM165" s="495"/>
      <c r="AN165" s="649"/>
      <c r="AO165" s="495"/>
      <c r="AP165" s="420"/>
      <c r="AQ165" s="420"/>
      <c r="AR165" s="495"/>
      <c r="AS165" s="649"/>
      <c r="AT165" s="495"/>
      <c r="AU165" s="420"/>
      <c r="AV165" s="420"/>
      <c r="AW165" s="495"/>
      <c r="AX165" s="649"/>
      <c r="AZ165" s="402" t="e">
        <f t="shared" si="33"/>
        <v>#N/A</v>
      </c>
      <c r="BA165" s="649"/>
    </row>
    <row r="166" spans="2:53">
      <c r="B166" s="635"/>
      <c r="C166" s="287">
        <v>20</v>
      </c>
      <c r="D166" s="225"/>
      <c r="E166" s="420"/>
      <c r="F166" s="413"/>
      <c r="G166" s="414"/>
      <c r="H166" s="678"/>
      <c r="I166" s="395" t="str">
        <f t="shared" si="30"/>
        <v>-</v>
      </c>
      <c r="J166" s="395" t="str">
        <f t="shared" si="31"/>
        <v>-</v>
      </c>
      <c r="K166" s="199" t="str">
        <f t="shared" si="32"/>
        <v>-</v>
      </c>
      <c r="L166" s="609"/>
      <c r="M166" s="198" t="e">
        <f>RANK(K166, K$147:$K$176)</f>
        <v>#VALUE!</v>
      </c>
      <c r="N166" s="627"/>
      <c r="O166" s="627"/>
      <c r="P166" s="495"/>
      <c r="Q166" s="420"/>
      <c r="R166" s="420"/>
      <c r="S166" s="495"/>
      <c r="T166" s="649"/>
      <c r="U166" s="495"/>
      <c r="V166" s="420"/>
      <c r="W166" s="420"/>
      <c r="X166" s="495"/>
      <c r="Y166" s="649"/>
      <c r="Z166" s="495"/>
      <c r="AA166" s="420"/>
      <c r="AB166" s="420"/>
      <c r="AC166" s="495"/>
      <c r="AD166" s="649"/>
      <c r="AE166" s="495"/>
      <c r="AF166" s="420"/>
      <c r="AG166" s="420"/>
      <c r="AH166" s="495"/>
      <c r="AI166" s="649"/>
      <c r="AJ166" s="495"/>
      <c r="AK166" s="420"/>
      <c r="AL166" s="420"/>
      <c r="AM166" s="495"/>
      <c r="AN166" s="649"/>
      <c r="AO166" s="495"/>
      <c r="AP166" s="420"/>
      <c r="AQ166" s="420"/>
      <c r="AR166" s="495"/>
      <c r="AS166" s="649"/>
      <c r="AT166" s="495"/>
      <c r="AU166" s="420"/>
      <c r="AV166" s="420"/>
      <c r="AW166" s="495"/>
      <c r="AX166" s="649"/>
      <c r="AZ166" s="402" t="e">
        <f t="shared" si="33"/>
        <v>#N/A</v>
      </c>
      <c r="BA166" s="649"/>
    </row>
    <row r="167" spans="2:53">
      <c r="B167" s="635"/>
      <c r="C167" s="287">
        <v>21</v>
      </c>
      <c r="D167" s="225"/>
      <c r="E167" s="420"/>
      <c r="F167" s="413"/>
      <c r="G167" s="414"/>
      <c r="H167" s="678"/>
      <c r="I167" s="395" t="str">
        <f t="shared" si="30"/>
        <v>-</v>
      </c>
      <c r="J167" s="395" t="str">
        <f t="shared" si="31"/>
        <v>-</v>
      </c>
      <c r="K167" s="199" t="str">
        <f t="shared" si="32"/>
        <v>-</v>
      </c>
      <c r="L167" s="609"/>
      <c r="M167" s="198" t="e">
        <f>RANK(K167, K$147:$K$176)</f>
        <v>#VALUE!</v>
      </c>
      <c r="N167" s="627"/>
      <c r="O167" s="627"/>
      <c r="P167" s="495"/>
      <c r="Q167" s="420"/>
      <c r="R167" s="420"/>
      <c r="S167" s="495"/>
      <c r="T167" s="649"/>
      <c r="U167" s="495"/>
      <c r="V167" s="420"/>
      <c r="W167" s="420"/>
      <c r="X167" s="495"/>
      <c r="Y167" s="649"/>
      <c r="Z167" s="495"/>
      <c r="AA167" s="420"/>
      <c r="AB167" s="420"/>
      <c r="AC167" s="495"/>
      <c r="AD167" s="649"/>
      <c r="AE167" s="495"/>
      <c r="AF167" s="420"/>
      <c r="AG167" s="420"/>
      <c r="AH167" s="495"/>
      <c r="AI167" s="649"/>
      <c r="AJ167" s="495"/>
      <c r="AK167" s="420"/>
      <c r="AL167" s="420"/>
      <c r="AM167" s="495"/>
      <c r="AN167" s="649"/>
      <c r="AO167" s="495"/>
      <c r="AP167" s="420"/>
      <c r="AQ167" s="420"/>
      <c r="AR167" s="495"/>
      <c r="AS167" s="649"/>
      <c r="AT167" s="495"/>
      <c r="AU167" s="420"/>
      <c r="AV167" s="420"/>
      <c r="AW167" s="495"/>
      <c r="AX167" s="649"/>
      <c r="AZ167" s="402" t="e">
        <f t="shared" si="33"/>
        <v>#N/A</v>
      </c>
      <c r="BA167" s="649"/>
    </row>
    <row r="168" spans="2:53">
      <c r="B168" s="635"/>
      <c r="C168" s="287">
        <v>22</v>
      </c>
      <c r="D168" s="225"/>
      <c r="E168" s="420"/>
      <c r="F168" s="413"/>
      <c r="G168" s="414"/>
      <c r="H168" s="678"/>
      <c r="I168" s="395" t="str">
        <f t="shared" si="30"/>
        <v>-</v>
      </c>
      <c r="J168" s="395" t="str">
        <f t="shared" si="31"/>
        <v>-</v>
      </c>
      <c r="K168" s="199" t="str">
        <f t="shared" si="32"/>
        <v>-</v>
      </c>
      <c r="L168" s="609"/>
      <c r="M168" s="198" t="e">
        <f>RANK(K168, K$147:$K$176)</f>
        <v>#VALUE!</v>
      </c>
      <c r="N168" s="627"/>
      <c r="O168" s="627"/>
      <c r="P168" s="495"/>
      <c r="Q168" s="420"/>
      <c r="R168" s="420"/>
      <c r="S168" s="495"/>
      <c r="T168" s="649"/>
      <c r="U168" s="495"/>
      <c r="V168" s="420"/>
      <c r="W168" s="420"/>
      <c r="X168" s="495"/>
      <c r="Y168" s="649"/>
      <c r="Z168" s="495"/>
      <c r="AA168" s="420"/>
      <c r="AB168" s="420"/>
      <c r="AC168" s="495"/>
      <c r="AD168" s="649"/>
      <c r="AE168" s="495"/>
      <c r="AF168" s="420"/>
      <c r="AG168" s="420"/>
      <c r="AH168" s="495"/>
      <c r="AI168" s="649"/>
      <c r="AJ168" s="495"/>
      <c r="AK168" s="420"/>
      <c r="AL168" s="420"/>
      <c r="AM168" s="495"/>
      <c r="AN168" s="649"/>
      <c r="AO168" s="495"/>
      <c r="AP168" s="420"/>
      <c r="AQ168" s="420"/>
      <c r="AR168" s="495"/>
      <c r="AS168" s="649"/>
      <c r="AT168" s="495"/>
      <c r="AU168" s="420"/>
      <c r="AV168" s="420"/>
      <c r="AW168" s="495"/>
      <c r="AX168" s="649"/>
      <c r="AZ168" s="402" t="e">
        <f t="shared" si="33"/>
        <v>#N/A</v>
      </c>
      <c r="BA168" s="649"/>
    </row>
    <row r="169" spans="2:53">
      <c r="B169" s="635"/>
      <c r="C169" s="287">
        <v>23</v>
      </c>
      <c r="D169" s="225"/>
      <c r="E169" s="420"/>
      <c r="F169" s="413"/>
      <c r="G169" s="414"/>
      <c r="H169" s="678"/>
      <c r="I169" s="395" t="str">
        <f t="shared" si="30"/>
        <v>-</v>
      </c>
      <c r="J169" s="395" t="str">
        <f t="shared" si="31"/>
        <v>-</v>
      </c>
      <c r="K169" s="199" t="str">
        <f t="shared" si="32"/>
        <v>-</v>
      </c>
      <c r="L169" s="609"/>
      <c r="M169" s="198" t="e">
        <f>RANK(K169, K$147:$K$176)</f>
        <v>#VALUE!</v>
      </c>
      <c r="N169" s="627"/>
      <c r="O169" s="627"/>
      <c r="P169" s="495"/>
      <c r="Q169" s="420"/>
      <c r="R169" s="420"/>
      <c r="S169" s="495"/>
      <c r="T169" s="649"/>
      <c r="U169" s="495"/>
      <c r="V169" s="420"/>
      <c r="W169" s="420"/>
      <c r="X169" s="495"/>
      <c r="Y169" s="649"/>
      <c r="Z169" s="495"/>
      <c r="AA169" s="420"/>
      <c r="AB169" s="420"/>
      <c r="AC169" s="495"/>
      <c r="AD169" s="649"/>
      <c r="AE169" s="495"/>
      <c r="AF169" s="420"/>
      <c r="AG169" s="420"/>
      <c r="AH169" s="495"/>
      <c r="AI169" s="649"/>
      <c r="AJ169" s="495"/>
      <c r="AK169" s="420"/>
      <c r="AL169" s="420"/>
      <c r="AM169" s="495"/>
      <c r="AN169" s="649"/>
      <c r="AO169" s="495"/>
      <c r="AP169" s="420"/>
      <c r="AQ169" s="420"/>
      <c r="AR169" s="495"/>
      <c r="AS169" s="649"/>
      <c r="AT169" s="495"/>
      <c r="AU169" s="420"/>
      <c r="AV169" s="420"/>
      <c r="AW169" s="495"/>
      <c r="AX169" s="649"/>
      <c r="AZ169" s="402" t="e">
        <f t="shared" si="33"/>
        <v>#N/A</v>
      </c>
      <c r="BA169" s="649"/>
    </row>
    <row r="170" spans="2:53">
      <c r="B170" s="635"/>
      <c r="C170" s="287">
        <v>24</v>
      </c>
      <c r="D170" s="225"/>
      <c r="E170" s="420"/>
      <c r="F170" s="413"/>
      <c r="G170" s="414"/>
      <c r="H170" s="678"/>
      <c r="I170" s="395" t="str">
        <f t="shared" si="30"/>
        <v>-</v>
      </c>
      <c r="J170" s="395" t="str">
        <f t="shared" si="31"/>
        <v>-</v>
      </c>
      <c r="K170" s="199" t="str">
        <f t="shared" si="32"/>
        <v>-</v>
      </c>
      <c r="L170" s="609"/>
      <c r="M170" s="198" t="e">
        <f>RANK(K170, K$147:$K$176)</f>
        <v>#VALUE!</v>
      </c>
      <c r="N170" s="627"/>
      <c r="O170" s="627"/>
      <c r="P170" s="495"/>
      <c r="Q170" s="420"/>
      <c r="R170" s="420"/>
      <c r="S170" s="495"/>
      <c r="T170" s="649"/>
      <c r="U170" s="495"/>
      <c r="V170" s="420"/>
      <c r="W170" s="420"/>
      <c r="X170" s="495"/>
      <c r="Y170" s="649"/>
      <c r="Z170" s="495"/>
      <c r="AA170" s="420"/>
      <c r="AB170" s="420"/>
      <c r="AC170" s="495"/>
      <c r="AD170" s="649"/>
      <c r="AE170" s="495"/>
      <c r="AF170" s="420"/>
      <c r="AG170" s="420"/>
      <c r="AH170" s="495"/>
      <c r="AI170" s="649"/>
      <c r="AJ170" s="495"/>
      <c r="AK170" s="420"/>
      <c r="AL170" s="420"/>
      <c r="AM170" s="495"/>
      <c r="AN170" s="649"/>
      <c r="AO170" s="495"/>
      <c r="AP170" s="420"/>
      <c r="AQ170" s="420"/>
      <c r="AR170" s="495"/>
      <c r="AS170" s="649"/>
      <c r="AT170" s="495"/>
      <c r="AU170" s="420"/>
      <c r="AV170" s="420"/>
      <c r="AW170" s="495"/>
      <c r="AX170" s="649"/>
      <c r="AZ170" s="402" t="e">
        <f t="shared" si="33"/>
        <v>#N/A</v>
      </c>
      <c r="BA170" s="649"/>
    </row>
    <row r="171" spans="2:53">
      <c r="B171" s="635"/>
      <c r="C171" s="287">
        <v>25</v>
      </c>
      <c r="D171" s="225"/>
      <c r="E171" s="420"/>
      <c r="F171" s="413"/>
      <c r="G171" s="414"/>
      <c r="H171" s="678"/>
      <c r="I171" s="395" t="str">
        <f t="shared" si="30"/>
        <v>-</v>
      </c>
      <c r="J171" s="395" t="str">
        <f t="shared" si="31"/>
        <v>-</v>
      </c>
      <c r="K171" s="199" t="str">
        <f t="shared" si="32"/>
        <v>-</v>
      </c>
      <c r="L171" s="609"/>
      <c r="M171" s="198" t="e">
        <f>RANK(K171, K$147:$K$176)</f>
        <v>#VALUE!</v>
      </c>
      <c r="N171" s="627"/>
      <c r="O171" s="627"/>
      <c r="P171" s="495"/>
      <c r="Q171" s="420"/>
      <c r="R171" s="420"/>
      <c r="S171" s="495"/>
      <c r="T171" s="649"/>
      <c r="U171" s="495"/>
      <c r="V171" s="420"/>
      <c r="W171" s="420"/>
      <c r="X171" s="495"/>
      <c r="Y171" s="649"/>
      <c r="Z171" s="495"/>
      <c r="AA171" s="420"/>
      <c r="AB171" s="420"/>
      <c r="AC171" s="495"/>
      <c r="AD171" s="649"/>
      <c r="AE171" s="495"/>
      <c r="AF171" s="420"/>
      <c r="AG171" s="420"/>
      <c r="AH171" s="495"/>
      <c r="AI171" s="649"/>
      <c r="AJ171" s="495"/>
      <c r="AK171" s="420"/>
      <c r="AL171" s="420"/>
      <c r="AM171" s="495"/>
      <c r="AN171" s="649"/>
      <c r="AO171" s="495"/>
      <c r="AP171" s="420"/>
      <c r="AQ171" s="420"/>
      <c r="AR171" s="495"/>
      <c r="AS171" s="649"/>
      <c r="AT171" s="495"/>
      <c r="AU171" s="420"/>
      <c r="AV171" s="420"/>
      <c r="AW171" s="495"/>
      <c r="AX171" s="649"/>
      <c r="AZ171" s="402" t="e">
        <f t="shared" si="33"/>
        <v>#N/A</v>
      </c>
      <c r="BA171" s="649"/>
    </row>
    <row r="172" spans="2:53">
      <c r="B172" s="635"/>
      <c r="C172" s="287">
        <v>26</v>
      </c>
      <c r="D172" s="225"/>
      <c r="E172" s="420"/>
      <c r="F172" s="413"/>
      <c r="G172" s="414"/>
      <c r="H172" s="678"/>
      <c r="I172" s="395" t="str">
        <f t="shared" si="30"/>
        <v>-</v>
      </c>
      <c r="J172" s="395" t="str">
        <f t="shared" si="31"/>
        <v>-</v>
      </c>
      <c r="K172" s="199" t="str">
        <f t="shared" si="32"/>
        <v>-</v>
      </c>
      <c r="L172" s="609"/>
      <c r="M172" s="198" t="e">
        <f>RANK(K172, K$147:$K$176)</f>
        <v>#VALUE!</v>
      </c>
      <c r="N172" s="627"/>
      <c r="O172" s="627"/>
      <c r="P172" s="495"/>
      <c r="Q172" s="420"/>
      <c r="R172" s="420"/>
      <c r="S172" s="495"/>
      <c r="T172" s="649"/>
      <c r="U172" s="495"/>
      <c r="V172" s="420"/>
      <c r="W172" s="420"/>
      <c r="X172" s="495"/>
      <c r="Y172" s="649"/>
      <c r="Z172" s="495"/>
      <c r="AA172" s="420"/>
      <c r="AB172" s="420"/>
      <c r="AC172" s="495"/>
      <c r="AD172" s="649"/>
      <c r="AE172" s="495"/>
      <c r="AF172" s="420"/>
      <c r="AG172" s="420"/>
      <c r="AH172" s="495"/>
      <c r="AI172" s="649"/>
      <c r="AJ172" s="495"/>
      <c r="AK172" s="420"/>
      <c r="AL172" s="420"/>
      <c r="AM172" s="495"/>
      <c r="AN172" s="649"/>
      <c r="AO172" s="495"/>
      <c r="AP172" s="420"/>
      <c r="AQ172" s="420"/>
      <c r="AR172" s="495"/>
      <c r="AS172" s="649"/>
      <c r="AT172" s="495"/>
      <c r="AU172" s="420"/>
      <c r="AV172" s="420"/>
      <c r="AW172" s="495"/>
      <c r="AX172" s="649"/>
      <c r="AZ172" s="402" t="e">
        <f t="shared" si="33"/>
        <v>#N/A</v>
      </c>
      <c r="BA172" s="649"/>
    </row>
    <row r="173" spans="2:53">
      <c r="B173" s="635"/>
      <c r="C173" s="287">
        <v>27</v>
      </c>
      <c r="D173" s="225"/>
      <c r="E173" s="420"/>
      <c r="F173" s="413"/>
      <c r="G173" s="414"/>
      <c r="H173" s="678"/>
      <c r="I173" s="395" t="str">
        <f t="shared" si="30"/>
        <v>-</v>
      </c>
      <c r="J173" s="395" t="str">
        <f t="shared" si="31"/>
        <v>-</v>
      </c>
      <c r="K173" s="199" t="str">
        <f t="shared" si="32"/>
        <v>-</v>
      </c>
      <c r="L173" s="609"/>
      <c r="M173" s="198" t="e">
        <f>RANK(K173, K$147:$K$176)</f>
        <v>#VALUE!</v>
      </c>
      <c r="N173" s="627"/>
      <c r="O173" s="627"/>
      <c r="P173" s="495"/>
      <c r="Q173" s="420"/>
      <c r="R173" s="420"/>
      <c r="S173" s="495"/>
      <c r="T173" s="649"/>
      <c r="U173" s="495"/>
      <c r="V173" s="420"/>
      <c r="W173" s="420"/>
      <c r="X173" s="495"/>
      <c r="Y173" s="649"/>
      <c r="Z173" s="495"/>
      <c r="AA173" s="420"/>
      <c r="AB173" s="420"/>
      <c r="AC173" s="495"/>
      <c r="AD173" s="649"/>
      <c r="AE173" s="495"/>
      <c r="AF173" s="420"/>
      <c r="AG173" s="420"/>
      <c r="AH173" s="495"/>
      <c r="AI173" s="649"/>
      <c r="AJ173" s="495"/>
      <c r="AK173" s="420"/>
      <c r="AL173" s="420"/>
      <c r="AM173" s="495"/>
      <c r="AN173" s="649"/>
      <c r="AO173" s="495"/>
      <c r="AP173" s="420"/>
      <c r="AQ173" s="420"/>
      <c r="AR173" s="495"/>
      <c r="AS173" s="649"/>
      <c r="AT173" s="495"/>
      <c r="AU173" s="420"/>
      <c r="AV173" s="420"/>
      <c r="AW173" s="495"/>
      <c r="AX173" s="649"/>
      <c r="AZ173" s="402" t="e">
        <f t="shared" si="33"/>
        <v>#N/A</v>
      </c>
      <c r="BA173" s="649"/>
    </row>
    <row r="174" spans="2:53">
      <c r="B174" s="635"/>
      <c r="C174" s="287">
        <v>28</v>
      </c>
      <c r="D174" s="225"/>
      <c r="E174" s="420"/>
      <c r="F174" s="413"/>
      <c r="G174" s="414"/>
      <c r="H174" s="678"/>
      <c r="I174" s="395" t="str">
        <f t="shared" si="30"/>
        <v>-</v>
      </c>
      <c r="J174" s="395" t="str">
        <f t="shared" si="31"/>
        <v>-</v>
      </c>
      <c r="K174" s="199" t="str">
        <f t="shared" si="32"/>
        <v>-</v>
      </c>
      <c r="L174" s="609"/>
      <c r="M174" s="198" t="e">
        <f>RANK(K174, K$147:$K$176)</f>
        <v>#VALUE!</v>
      </c>
      <c r="N174" s="627"/>
      <c r="O174" s="627"/>
      <c r="P174" s="495"/>
      <c r="Q174" s="420"/>
      <c r="R174" s="420"/>
      <c r="S174" s="495"/>
      <c r="T174" s="649"/>
      <c r="U174" s="495"/>
      <c r="V174" s="420"/>
      <c r="W174" s="420"/>
      <c r="X174" s="495"/>
      <c r="Y174" s="649"/>
      <c r="Z174" s="495"/>
      <c r="AA174" s="420"/>
      <c r="AB174" s="420"/>
      <c r="AC174" s="495"/>
      <c r="AD174" s="649"/>
      <c r="AE174" s="495"/>
      <c r="AF174" s="420"/>
      <c r="AG174" s="420"/>
      <c r="AH174" s="495"/>
      <c r="AI174" s="649"/>
      <c r="AJ174" s="495"/>
      <c r="AK174" s="420"/>
      <c r="AL174" s="420"/>
      <c r="AM174" s="495"/>
      <c r="AN174" s="649"/>
      <c r="AO174" s="495"/>
      <c r="AP174" s="420"/>
      <c r="AQ174" s="420"/>
      <c r="AR174" s="495"/>
      <c r="AS174" s="649"/>
      <c r="AT174" s="495"/>
      <c r="AU174" s="420"/>
      <c r="AV174" s="420"/>
      <c r="AW174" s="495"/>
      <c r="AX174" s="649"/>
      <c r="AZ174" s="402" t="e">
        <f t="shared" si="33"/>
        <v>#N/A</v>
      </c>
      <c r="BA174" s="649"/>
    </row>
    <row r="175" spans="2:53">
      <c r="B175" s="635"/>
      <c r="C175" s="287">
        <v>29</v>
      </c>
      <c r="D175" s="225"/>
      <c r="E175" s="420"/>
      <c r="F175" s="413"/>
      <c r="G175" s="414"/>
      <c r="H175" s="678"/>
      <c r="I175" s="395" t="str">
        <f t="shared" si="30"/>
        <v>-</v>
      </c>
      <c r="J175" s="395" t="str">
        <f t="shared" si="31"/>
        <v>-</v>
      </c>
      <c r="K175" s="199" t="str">
        <f t="shared" si="32"/>
        <v>-</v>
      </c>
      <c r="L175" s="609"/>
      <c r="M175" s="198" t="e">
        <f>RANK(K175, K$147:$K$176)</f>
        <v>#VALUE!</v>
      </c>
      <c r="N175" s="627"/>
      <c r="O175" s="627"/>
      <c r="P175" s="495"/>
      <c r="Q175" s="420"/>
      <c r="R175" s="420"/>
      <c r="S175" s="495"/>
      <c r="T175" s="649"/>
      <c r="U175" s="495"/>
      <c r="V175" s="420"/>
      <c r="W175" s="420"/>
      <c r="X175" s="495"/>
      <c r="Y175" s="649"/>
      <c r="Z175" s="495"/>
      <c r="AA175" s="420"/>
      <c r="AB175" s="420"/>
      <c r="AC175" s="495"/>
      <c r="AD175" s="649"/>
      <c r="AE175" s="495"/>
      <c r="AF175" s="420"/>
      <c r="AG175" s="420"/>
      <c r="AH175" s="495"/>
      <c r="AI175" s="649"/>
      <c r="AJ175" s="495"/>
      <c r="AK175" s="420"/>
      <c r="AL175" s="420"/>
      <c r="AM175" s="495"/>
      <c r="AN175" s="649"/>
      <c r="AO175" s="495"/>
      <c r="AP175" s="420"/>
      <c r="AQ175" s="420"/>
      <c r="AR175" s="495"/>
      <c r="AS175" s="649"/>
      <c r="AT175" s="495"/>
      <c r="AU175" s="420"/>
      <c r="AV175" s="420"/>
      <c r="AW175" s="495"/>
      <c r="AX175" s="649"/>
      <c r="AZ175" s="402" t="e">
        <f t="shared" si="33"/>
        <v>#N/A</v>
      </c>
      <c r="BA175" s="649"/>
    </row>
    <row r="176" spans="2:53">
      <c r="B176" s="635"/>
      <c r="C176" s="287">
        <v>30</v>
      </c>
      <c r="D176" s="225"/>
      <c r="E176" s="420"/>
      <c r="F176" s="413"/>
      <c r="G176" s="414"/>
      <c r="H176" s="679"/>
      <c r="I176" s="395" t="str">
        <f t="shared" si="30"/>
        <v>-</v>
      </c>
      <c r="J176" s="395" t="str">
        <f t="shared" si="31"/>
        <v>-</v>
      </c>
      <c r="K176" s="199" t="str">
        <f t="shared" si="32"/>
        <v>-</v>
      </c>
      <c r="L176" s="610"/>
      <c r="M176" s="198" t="e">
        <f>RANK(K176, K$147:$K$176)</f>
        <v>#VALUE!</v>
      </c>
      <c r="N176" s="627"/>
      <c r="O176" s="627"/>
      <c r="P176" s="495"/>
      <c r="Q176" s="420"/>
      <c r="R176" s="420"/>
      <c r="S176" s="495"/>
      <c r="T176" s="649"/>
      <c r="U176" s="495"/>
      <c r="V176" s="420"/>
      <c r="W176" s="420"/>
      <c r="X176" s="495"/>
      <c r="Y176" s="649"/>
      <c r="Z176" s="495"/>
      <c r="AA176" s="420"/>
      <c r="AB176" s="420"/>
      <c r="AC176" s="495"/>
      <c r="AD176" s="649"/>
      <c r="AE176" s="495"/>
      <c r="AF176" s="420"/>
      <c r="AG176" s="420"/>
      <c r="AH176" s="495"/>
      <c r="AI176" s="649"/>
      <c r="AJ176" s="495"/>
      <c r="AK176" s="420"/>
      <c r="AL176" s="420"/>
      <c r="AM176" s="495"/>
      <c r="AN176" s="649"/>
      <c r="AO176" s="495"/>
      <c r="AP176" s="420"/>
      <c r="AQ176" s="420"/>
      <c r="AR176" s="495"/>
      <c r="AS176" s="649"/>
      <c r="AT176" s="495"/>
      <c r="AU176" s="420"/>
      <c r="AV176" s="420"/>
      <c r="AW176" s="495"/>
      <c r="AX176" s="649"/>
      <c r="AZ176" s="402" t="e">
        <f t="shared" si="33"/>
        <v>#N/A</v>
      </c>
      <c r="BA176" s="649"/>
    </row>
    <row r="177" spans="2:53" ht="15.75">
      <c r="B177" s="639" t="s">
        <v>163</v>
      </c>
      <c r="C177" s="640"/>
      <c r="D177" s="640"/>
      <c r="E177" s="640"/>
      <c r="F177" s="640"/>
      <c r="G177" s="640"/>
      <c r="H177" s="641"/>
      <c r="I177" s="207"/>
      <c r="J177" s="207"/>
      <c r="K177" s="207"/>
      <c r="L177" s="207"/>
      <c r="M177" s="206"/>
      <c r="N177" s="628" t="s">
        <v>156</v>
      </c>
      <c r="O177" s="628" t="s">
        <v>105</v>
      </c>
      <c r="P177" s="634">
        <f>P142+7</f>
        <v>46203</v>
      </c>
      <c r="Q177" s="635"/>
      <c r="R177" s="635"/>
      <c r="S177" s="635"/>
      <c r="T177" s="635"/>
      <c r="U177" s="631">
        <f>P177+1</f>
        <v>46204</v>
      </c>
      <c r="V177" s="632"/>
      <c r="W177" s="632"/>
      <c r="X177" s="632"/>
      <c r="Y177" s="633"/>
      <c r="Z177" s="631">
        <f>U177+1</f>
        <v>46205</v>
      </c>
      <c r="AA177" s="632"/>
      <c r="AB177" s="632"/>
      <c r="AC177" s="632"/>
      <c r="AD177" s="633"/>
      <c r="AE177" s="631">
        <f>Z177+1</f>
        <v>46206</v>
      </c>
      <c r="AF177" s="632"/>
      <c r="AG177" s="632"/>
      <c r="AH177" s="632"/>
      <c r="AI177" s="633"/>
      <c r="AJ177" s="631">
        <f>AE177+1</f>
        <v>46207</v>
      </c>
      <c r="AK177" s="632"/>
      <c r="AL177" s="632"/>
      <c r="AM177" s="632"/>
      <c r="AN177" s="633"/>
      <c r="AO177" s="631">
        <f>AJ177+1</f>
        <v>46208</v>
      </c>
      <c r="AP177" s="632"/>
      <c r="AQ177" s="632"/>
      <c r="AR177" s="632"/>
      <c r="AS177" s="633"/>
      <c r="AT177" s="631">
        <f>AO177+1</f>
        <v>46209</v>
      </c>
      <c r="AU177" s="632"/>
      <c r="AV177" s="632"/>
      <c r="AW177" s="632"/>
      <c r="AX177" s="633"/>
    </row>
    <row r="178" spans="2:53" ht="15.75">
      <c r="B178" s="642"/>
      <c r="C178" s="642"/>
      <c r="D178" s="642"/>
      <c r="E178" s="642"/>
      <c r="F178" s="642"/>
      <c r="G178" s="642"/>
      <c r="H178" s="642"/>
      <c r="I178" s="204"/>
      <c r="J178" s="204"/>
      <c r="K178" s="204"/>
      <c r="L178" s="204"/>
      <c r="M178" s="205"/>
      <c r="N178" s="630"/>
      <c r="O178" s="630"/>
      <c r="P178" s="634" t="s">
        <v>158</v>
      </c>
      <c r="Q178" s="635"/>
      <c r="R178" s="635"/>
      <c r="S178" s="635"/>
      <c r="T178" s="635"/>
      <c r="U178" s="634" t="s">
        <v>114</v>
      </c>
      <c r="V178" s="635"/>
      <c r="W178" s="635"/>
      <c r="X178" s="635"/>
      <c r="Y178" s="635"/>
      <c r="Z178" s="634" t="s">
        <v>159</v>
      </c>
      <c r="AA178" s="635"/>
      <c r="AB178" s="635"/>
      <c r="AC178" s="635"/>
      <c r="AD178" s="635"/>
      <c r="AE178" s="634" t="s">
        <v>157</v>
      </c>
      <c r="AF178" s="635"/>
      <c r="AG178" s="635"/>
      <c r="AH178" s="635"/>
      <c r="AI178" s="635"/>
      <c r="AJ178" s="634" t="s">
        <v>160</v>
      </c>
      <c r="AK178" s="635"/>
      <c r="AL178" s="635"/>
      <c r="AM178" s="635"/>
      <c r="AN178" s="635"/>
      <c r="AO178" s="634" t="s">
        <v>115</v>
      </c>
      <c r="AP178" s="635"/>
      <c r="AQ178" s="635"/>
      <c r="AR178" s="635"/>
      <c r="AS178" s="635"/>
      <c r="AT178" s="634" t="s">
        <v>162</v>
      </c>
      <c r="AU178" s="635"/>
      <c r="AV178" s="635"/>
      <c r="AW178" s="635"/>
      <c r="AX178" s="635"/>
    </row>
    <row r="179" spans="2:53">
      <c r="B179" s="627" t="s">
        <v>154</v>
      </c>
      <c r="C179" s="627" t="s">
        <v>384</v>
      </c>
      <c r="D179" s="627"/>
      <c r="E179" s="627" t="s">
        <v>375</v>
      </c>
      <c r="F179" s="627"/>
      <c r="G179" s="627"/>
      <c r="H179" s="643" t="s">
        <v>371</v>
      </c>
      <c r="I179" s="611" t="s">
        <v>376</v>
      </c>
      <c r="J179" s="611"/>
      <c r="K179" s="611"/>
      <c r="L179" s="612" t="s">
        <v>371</v>
      </c>
      <c r="M179" s="618" t="s">
        <v>372</v>
      </c>
      <c r="N179" s="627"/>
      <c r="O179" s="627" t="s">
        <v>377</v>
      </c>
      <c r="P179" s="624" t="s">
        <v>373</v>
      </c>
      <c r="Q179" s="625"/>
      <c r="R179" s="625"/>
      <c r="S179" s="626"/>
      <c r="T179" s="627" t="s">
        <v>371</v>
      </c>
      <c r="U179" s="624" t="s">
        <v>373</v>
      </c>
      <c r="V179" s="625"/>
      <c r="W179" s="625"/>
      <c r="X179" s="626"/>
      <c r="Y179" s="627" t="s">
        <v>371</v>
      </c>
      <c r="Z179" s="624" t="s">
        <v>373</v>
      </c>
      <c r="AA179" s="625"/>
      <c r="AB179" s="625"/>
      <c r="AC179" s="626"/>
      <c r="AD179" s="627" t="s">
        <v>371</v>
      </c>
      <c r="AE179" s="624" t="s">
        <v>373</v>
      </c>
      <c r="AF179" s="625"/>
      <c r="AG179" s="625"/>
      <c r="AH179" s="626"/>
      <c r="AI179" s="627" t="s">
        <v>371</v>
      </c>
      <c r="AJ179" s="624" t="s">
        <v>373</v>
      </c>
      <c r="AK179" s="625"/>
      <c r="AL179" s="625"/>
      <c r="AM179" s="626"/>
      <c r="AN179" s="627" t="s">
        <v>371</v>
      </c>
      <c r="AO179" s="624" t="s">
        <v>373</v>
      </c>
      <c r="AP179" s="625"/>
      <c r="AQ179" s="625"/>
      <c r="AR179" s="626"/>
      <c r="AS179" s="627" t="s">
        <v>371</v>
      </c>
      <c r="AT179" s="624" t="s">
        <v>373</v>
      </c>
      <c r="AU179" s="625"/>
      <c r="AV179" s="625"/>
      <c r="AW179" s="626"/>
      <c r="AX179" s="627" t="s">
        <v>371</v>
      </c>
      <c r="BA179" s="627" t="s">
        <v>371</v>
      </c>
    </row>
    <row r="180" spans="2:53">
      <c r="B180" s="627"/>
      <c r="C180" s="627"/>
      <c r="D180" s="627"/>
      <c r="E180" s="627" t="s">
        <v>378</v>
      </c>
      <c r="F180" s="627"/>
      <c r="G180" s="627"/>
      <c r="H180" s="644"/>
      <c r="I180" s="611" t="s">
        <v>378</v>
      </c>
      <c r="J180" s="611"/>
      <c r="K180" s="611"/>
      <c r="L180" s="613"/>
      <c r="M180" s="619"/>
      <c r="N180" s="627"/>
      <c r="O180" s="627"/>
      <c r="P180" s="624" t="s">
        <v>379</v>
      </c>
      <c r="Q180" s="625"/>
      <c r="R180" s="625"/>
      <c r="S180" s="626"/>
      <c r="T180" s="627"/>
      <c r="U180" s="624" t="s">
        <v>379</v>
      </c>
      <c r="V180" s="625"/>
      <c r="W180" s="625"/>
      <c r="X180" s="626"/>
      <c r="Y180" s="627"/>
      <c r="Z180" s="624" t="s">
        <v>379</v>
      </c>
      <c r="AA180" s="625"/>
      <c r="AB180" s="625"/>
      <c r="AC180" s="626"/>
      <c r="AD180" s="627"/>
      <c r="AE180" s="624" t="s">
        <v>379</v>
      </c>
      <c r="AF180" s="625"/>
      <c r="AG180" s="625"/>
      <c r="AH180" s="626"/>
      <c r="AI180" s="627"/>
      <c r="AJ180" s="624" t="s">
        <v>379</v>
      </c>
      <c r="AK180" s="625"/>
      <c r="AL180" s="625"/>
      <c r="AM180" s="626"/>
      <c r="AN180" s="627"/>
      <c r="AO180" s="624" t="s">
        <v>379</v>
      </c>
      <c r="AP180" s="625"/>
      <c r="AQ180" s="625"/>
      <c r="AR180" s="626"/>
      <c r="AS180" s="627"/>
      <c r="AT180" s="624" t="s">
        <v>379</v>
      </c>
      <c r="AU180" s="625"/>
      <c r="AV180" s="625"/>
      <c r="AW180" s="626"/>
      <c r="AX180" s="627"/>
      <c r="BA180" s="627"/>
    </row>
    <row r="181" spans="2:53">
      <c r="B181" s="627"/>
      <c r="C181" s="627"/>
      <c r="D181" s="627"/>
      <c r="E181" s="313" t="s">
        <v>380</v>
      </c>
      <c r="F181" s="313" t="s">
        <v>381</v>
      </c>
      <c r="G181" s="313" t="s">
        <v>382</v>
      </c>
      <c r="H181" s="645"/>
      <c r="I181" s="314" t="s">
        <v>380</v>
      </c>
      <c r="J181" s="314" t="s">
        <v>381</v>
      </c>
      <c r="K181" s="314" t="s">
        <v>382</v>
      </c>
      <c r="L181" s="614"/>
      <c r="M181" s="620"/>
      <c r="N181" s="627"/>
      <c r="O181" s="627"/>
      <c r="P181" s="313" t="s">
        <v>380</v>
      </c>
      <c r="Q181" s="313" t="s">
        <v>381</v>
      </c>
      <c r="R181" s="313" t="s">
        <v>382</v>
      </c>
      <c r="S181" s="313" t="s">
        <v>372</v>
      </c>
      <c r="T181" s="627"/>
      <c r="U181" s="313" t="s">
        <v>380</v>
      </c>
      <c r="V181" s="313" t="s">
        <v>381</v>
      </c>
      <c r="W181" s="313" t="s">
        <v>382</v>
      </c>
      <c r="X181" s="313" t="s">
        <v>372</v>
      </c>
      <c r="Y181" s="627"/>
      <c r="Z181" s="313" t="s">
        <v>380</v>
      </c>
      <c r="AA181" s="313" t="s">
        <v>381</v>
      </c>
      <c r="AB181" s="313" t="s">
        <v>382</v>
      </c>
      <c r="AC181" s="313" t="s">
        <v>372</v>
      </c>
      <c r="AD181" s="627"/>
      <c r="AE181" s="313" t="s">
        <v>380</v>
      </c>
      <c r="AF181" s="313" t="s">
        <v>381</v>
      </c>
      <c r="AG181" s="313" t="s">
        <v>382</v>
      </c>
      <c r="AH181" s="313" t="s">
        <v>372</v>
      </c>
      <c r="AI181" s="627"/>
      <c r="AJ181" s="313" t="s">
        <v>380</v>
      </c>
      <c r="AK181" s="313" t="s">
        <v>381</v>
      </c>
      <c r="AL181" s="313" t="s">
        <v>382</v>
      </c>
      <c r="AM181" s="313" t="s">
        <v>372</v>
      </c>
      <c r="AN181" s="627"/>
      <c r="AO181" s="313" t="s">
        <v>380</v>
      </c>
      <c r="AP181" s="313" t="s">
        <v>381</v>
      </c>
      <c r="AQ181" s="313" t="s">
        <v>382</v>
      </c>
      <c r="AR181" s="313" t="s">
        <v>372</v>
      </c>
      <c r="AS181" s="627"/>
      <c r="AT181" s="313" t="s">
        <v>380</v>
      </c>
      <c r="AU181" s="313" t="s">
        <v>381</v>
      </c>
      <c r="AV181" s="313" t="s">
        <v>382</v>
      </c>
      <c r="AW181" s="313" t="s">
        <v>372</v>
      </c>
      <c r="AX181" s="627"/>
      <c r="AZ181" s="401" t="s">
        <v>372</v>
      </c>
      <c r="BA181" s="627"/>
    </row>
    <row r="182" spans="2:53">
      <c r="B182" s="627" t="s">
        <v>134</v>
      </c>
      <c r="C182" s="312">
        <v>1</v>
      </c>
      <c r="D182" s="225"/>
      <c r="E182" s="181"/>
      <c r="F182" s="393"/>
      <c r="G182" s="394"/>
      <c r="H182" s="677" t="e">
        <f>AVERAGE(G182:G211)</f>
        <v>#DIV/0!</v>
      </c>
      <c r="I182" s="395" t="str">
        <f>IFERROR(AVERAGE(P182,U182,Z182,AE182,AJ182,AO182,AT182),"-")</f>
        <v>-</v>
      </c>
      <c r="J182" s="395" t="str">
        <f>IFERROR(AVERAGE(Q182,V182,AA182,AF182,AK182,AP182,AU182),"-")</f>
        <v>-</v>
      </c>
      <c r="K182" s="199" t="str">
        <f>IFERROR(AVERAGE(R182,W182,AB182,AG182,AL182,AQ182,AV182),"-")</f>
        <v>-</v>
      </c>
      <c r="L182" s="608" t="str">
        <f>IFERROR(AVERAGE(K182:K211),"-")</f>
        <v>-</v>
      </c>
      <c r="M182" s="200" t="e">
        <f>RANK(K182, K$147:$K$176)</f>
        <v>#VALUE!</v>
      </c>
      <c r="N182" s="627"/>
      <c r="O182" s="627"/>
      <c r="P182" s="181"/>
      <c r="Q182" s="181"/>
      <c r="R182" s="181"/>
      <c r="S182" s="312" t="e">
        <f>RANK(R182, R$182:R$211)</f>
        <v>#N/A</v>
      </c>
      <c r="T182" s="649" t="e">
        <f>AVERAGE(R182:R211)</f>
        <v>#DIV/0!</v>
      </c>
      <c r="U182" s="181"/>
      <c r="V182" s="181"/>
      <c r="W182" s="181"/>
      <c r="X182" s="371" t="e">
        <f>RANK(W182, W$182:W$211)</f>
        <v>#N/A</v>
      </c>
      <c r="Y182" s="649" t="e">
        <f>AVERAGE(W182:W211)</f>
        <v>#DIV/0!</v>
      </c>
      <c r="Z182" s="181"/>
      <c r="AA182" s="181"/>
      <c r="AB182" s="181"/>
      <c r="AC182" s="371" t="e">
        <f>RANK(AB182, AB$182:AB$211)</f>
        <v>#N/A</v>
      </c>
      <c r="AD182" s="649" t="e">
        <f>AVERAGE(AB182:AB211)</f>
        <v>#DIV/0!</v>
      </c>
      <c r="AE182" s="181"/>
      <c r="AF182" s="181"/>
      <c r="AG182" s="181"/>
      <c r="AH182" s="371" t="e">
        <f>RANK(AG182, AG$182:AG$211)</f>
        <v>#N/A</v>
      </c>
      <c r="AI182" s="649" t="e">
        <f>AVERAGE(AG182:AG211)</f>
        <v>#DIV/0!</v>
      </c>
      <c r="AJ182" s="181"/>
      <c r="AK182" s="181"/>
      <c r="AL182" s="181"/>
      <c r="AM182" s="371" t="e">
        <f>RANK(AL182, AL$182:AL$211)</f>
        <v>#N/A</v>
      </c>
      <c r="AN182" s="649" t="e">
        <f>AVERAGE(AL182:AL211)</f>
        <v>#DIV/0!</v>
      </c>
      <c r="AO182" s="181"/>
      <c r="AP182" s="181"/>
      <c r="AQ182" s="181"/>
      <c r="AR182" s="371" t="e">
        <f>RANK(AQ182, AQ$182:AQ$211)</f>
        <v>#N/A</v>
      </c>
      <c r="AS182" s="649" t="e">
        <f>AVERAGE(AQ182:AQ211)</f>
        <v>#DIV/0!</v>
      </c>
      <c r="AT182" s="181"/>
      <c r="AU182" s="181"/>
      <c r="AV182" s="181"/>
      <c r="AW182" s="371" t="e">
        <f>RANK(AV182, AV$182:AV$211)</f>
        <v>#N/A</v>
      </c>
      <c r="AX182" s="649" t="e">
        <f>AVERAGE(AV182:AV211)</f>
        <v>#DIV/0!</v>
      </c>
      <c r="AZ182" s="402" t="e">
        <f>RANK(AY182, AY$182:AY$211)</f>
        <v>#N/A</v>
      </c>
      <c r="BA182" s="649" t="e">
        <f>AVERAGE(AY182:AY211)</f>
        <v>#DIV/0!</v>
      </c>
    </row>
    <row r="183" spans="2:53">
      <c r="B183" s="635"/>
      <c r="C183" s="312">
        <v>2</v>
      </c>
      <c r="D183" s="225"/>
      <c r="E183" s="181"/>
      <c r="F183" s="393"/>
      <c r="G183" s="394"/>
      <c r="H183" s="678"/>
      <c r="I183" s="395" t="str">
        <f t="shared" ref="I183:I211" si="34">IFERROR(AVERAGE(P183,U183,Z183,AE183,AJ183,AO183,AT183),"-")</f>
        <v>-</v>
      </c>
      <c r="J183" s="395" t="str">
        <f t="shared" ref="J183:J211" si="35">IFERROR(AVERAGE(Q183,V183,AA183,AF183,AK183,AP183,AU183),"-")</f>
        <v>-</v>
      </c>
      <c r="K183" s="199" t="str">
        <f t="shared" ref="K183:K211" si="36">IFERROR(AVERAGE(R183,W183,AB183,AG183,AL183,AQ183,AV183),"-")</f>
        <v>-</v>
      </c>
      <c r="L183" s="609"/>
      <c r="M183" s="200" t="e">
        <f>RANK(K183, K$147:$K$176)</f>
        <v>#VALUE!</v>
      </c>
      <c r="N183" s="627"/>
      <c r="O183" s="627"/>
      <c r="P183" s="181"/>
      <c r="Q183" s="181"/>
      <c r="R183" s="181"/>
      <c r="S183" s="371" t="e">
        <f t="shared" ref="S183:S211" si="37">RANK(R183, R$182:R$211)</f>
        <v>#N/A</v>
      </c>
      <c r="T183" s="649"/>
      <c r="U183" s="181"/>
      <c r="V183" s="181"/>
      <c r="W183" s="181"/>
      <c r="X183" s="371" t="e">
        <f t="shared" ref="X183:X211" si="38">RANK(W183, W$182:W$211)</f>
        <v>#N/A</v>
      </c>
      <c r="Y183" s="649"/>
      <c r="Z183" s="181"/>
      <c r="AA183" s="181"/>
      <c r="AB183" s="181"/>
      <c r="AC183" s="371" t="e">
        <f t="shared" ref="AC183:AC211" si="39">RANK(AB183, AB$182:AB$211)</f>
        <v>#N/A</v>
      </c>
      <c r="AD183" s="649"/>
      <c r="AE183" s="181"/>
      <c r="AF183" s="181"/>
      <c r="AG183" s="181"/>
      <c r="AH183" s="371" t="e">
        <f t="shared" ref="AH183:AH211" si="40">RANK(AG183, AG$182:AG$211)</f>
        <v>#N/A</v>
      </c>
      <c r="AI183" s="649"/>
      <c r="AJ183" s="181"/>
      <c r="AK183" s="181"/>
      <c r="AL183" s="181"/>
      <c r="AM183" s="371" t="e">
        <f t="shared" ref="AM183:AM211" si="41">RANK(AL183, AL$182:AL$211)</f>
        <v>#N/A</v>
      </c>
      <c r="AN183" s="649"/>
      <c r="AO183" s="181"/>
      <c r="AP183" s="181"/>
      <c r="AQ183" s="181"/>
      <c r="AR183" s="371" t="e">
        <f t="shared" ref="AR183:AR211" si="42">RANK(AQ183, AQ$182:AQ$211)</f>
        <v>#N/A</v>
      </c>
      <c r="AS183" s="649"/>
      <c r="AT183" s="181"/>
      <c r="AU183" s="181"/>
      <c r="AV183" s="181"/>
      <c r="AW183" s="371" t="e">
        <f t="shared" ref="AW183:AW211" si="43">RANK(AV183, AV$182:AV$211)</f>
        <v>#N/A</v>
      </c>
      <c r="AX183" s="649"/>
      <c r="AZ183" s="402" t="e">
        <f t="shared" ref="AZ183:AZ211" si="44">RANK(AY183, AY$182:AY$211)</f>
        <v>#N/A</v>
      </c>
      <c r="BA183" s="649"/>
    </row>
    <row r="184" spans="2:53">
      <c r="B184" s="635"/>
      <c r="C184" s="312">
        <v>3</v>
      </c>
      <c r="D184" s="225"/>
      <c r="E184" s="181"/>
      <c r="F184" s="393"/>
      <c r="G184" s="394"/>
      <c r="H184" s="678"/>
      <c r="I184" s="395" t="str">
        <f t="shared" si="34"/>
        <v>-</v>
      </c>
      <c r="J184" s="395" t="str">
        <f t="shared" si="35"/>
        <v>-</v>
      </c>
      <c r="K184" s="199" t="str">
        <f t="shared" si="36"/>
        <v>-</v>
      </c>
      <c r="L184" s="609"/>
      <c r="M184" s="200" t="e">
        <f>RANK(K184, K$147:$K$176)</f>
        <v>#VALUE!</v>
      </c>
      <c r="N184" s="627"/>
      <c r="O184" s="627"/>
      <c r="P184" s="181"/>
      <c r="Q184" s="181"/>
      <c r="R184" s="181"/>
      <c r="S184" s="371" t="e">
        <f t="shared" si="37"/>
        <v>#N/A</v>
      </c>
      <c r="T184" s="649"/>
      <c r="U184" s="181"/>
      <c r="V184" s="181"/>
      <c r="W184" s="181"/>
      <c r="X184" s="371" t="e">
        <f t="shared" si="38"/>
        <v>#N/A</v>
      </c>
      <c r="Y184" s="649"/>
      <c r="Z184" s="181"/>
      <c r="AA184" s="181"/>
      <c r="AB184" s="181"/>
      <c r="AC184" s="371" t="e">
        <f t="shared" si="39"/>
        <v>#N/A</v>
      </c>
      <c r="AD184" s="649"/>
      <c r="AE184" s="181"/>
      <c r="AF184" s="181"/>
      <c r="AG184" s="181"/>
      <c r="AH184" s="371" t="e">
        <f t="shared" si="40"/>
        <v>#N/A</v>
      </c>
      <c r="AI184" s="649"/>
      <c r="AJ184" s="181"/>
      <c r="AK184" s="181"/>
      <c r="AL184" s="181"/>
      <c r="AM184" s="371" t="e">
        <f t="shared" si="41"/>
        <v>#N/A</v>
      </c>
      <c r="AN184" s="649"/>
      <c r="AO184" s="181"/>
      <c r="AP184" s="181"/>
      <c r="AQ184" s="181"/>
      <c r="AR184" s="371" t="e">
        <f t="shared" si="42"/>
        <v>#N/A</v>
      </c>
      <c r="AS184" s="649"/>
      <c r="AT184" s="181"/>
      <c r="AU184" s="181"/>
      <c r="AV184" s="181"/>
      <c r="AW184" s="371" t="e">
        <f t="shared" si="43"/>
        <v>#N/A</v>
      </c>
      <c r="AX184" s="649"/>
      <c r="AZ184" s="402" t="e">
        <f t="shared" si="44"/>
        <v>#N/A</v>
      </c>
      <c r="BA184" s="649"/>
    </row>
    <row r="185" spans="2:53">
      <c r="B185" s="635"/>
      <c r="C185" s="312">
        <v>4</v>
      </c>
      <c r="D185" s="225"/>
      <c r="E185" s="181"/>
      <c r="F185" s="393"/>
      <c r="G185" s="394"/>
      <c r="H185" s="678"/>
      <c r="I185" s="395" t="str">
        <f t="shared" si="34"/>
        <v>-</v>
      </c>
      <c r="J185" s="395" t="str">
        <f t="shared" si="35"/>
        <v>-</v>
      </c>
      <c r="K185" s="199" t="str">
        <f t="shared" si="36"/>
        <v>-</v>
      </c>
      <c r="L185" s="609"/>
      <c r="M185" s="200" t="e">
        <f>RANK(K185, K$147:$K$176)</f>
        <v>#VALUE!</v>
      </c>
      <c r="N185" s="627"/>
      <c r="O185" s="627"/>
      <c r="P185" s="181"/>
      <c r="Q185" s="181"/>
      <c r="R185" s="181"/>
      <c r="S185" s="371" t="e">
        <f t="shared" si="37"/>
        <v>#N/A</v>
      </c>
      <c r="T185" s="649"/>
      <c r="U185" s="181"/>
      <c r="V185" s="181"/>
      <c r="W185" s="181"/>
      <c r="X185" s="371" t="e">
        <f t="shared" si="38"/>
        <v>#N/A</v>
      </c>
      <c r="Y185" s="649"/>
      <c r="Z185" s="181"/>
      <c r="AA185" s="181"/>
      <c r="AB185" s="181"/>
      <c r="AC185" s="371" t="e">
        <f t="shared" si="39"/>
        <v>#N/A</v>
      </c>
      <c r="AD185" s="649"/>
      <c r="AE185" s="181"/>
      <c r="AF185" s="181"/>
      <c r="AG185" s="181"/>
      <c r="AH185" s="371" t="e">
        <f t="shared" si="40"/>
        <v>#N/A</v>
      </c>
      <c r="AI185" s="649"/>
      <c r="AJ185" s="181"/>
      <c r="AK185" s="181"/>
      <c r="AL185" s="181"/>
      <c r="AM185" s="371" t="e">
        <f t="shared" si="41"/>
        <v>#N/A</v>
      </c>
      <c r="AN185" s="649"/>
      <c r="AO185" s="181"/>
      <c r="AP185" s="181"/>
      <c r="AQ185" s="181"/>
      <c r="AR185" s="371" t="e">
        <f t="shared" si="42"/>
        <v>#N/A</v>
      </c>
      <c r="AS185" s="649"/>
      <c r="AT185" s="181"/>
      <c r="AU185" s="181"/>
      <c r="AV185" s="181"/>
      <c r="AW185" s="371" t="e">
        <f t="shared" si="43"/>
        <v>#N/A</v>
      </c>
      <c r="AX185" s="649"/>
      <c r="AZ185" s="402" t="e">
        <f t="shared" si="44"/>
        <v>#N/A</v>
      </c>
      <c r="BA185" s="649"/>
    </row>
    <row r="186" spans="2:53">
      <c r="B186" s="635"/>
      <c r="C186" s="312">
        <v>5</v>
      </c>
      <c r="D186" s="225"/>
      <c r="E186" s="181"/>
      <c r="F186" s="393"/>
      <c r="G186" s="394"/>
      <c r="H186" s="678"/>
      <c r="I186" s="395" t="str">
        <f t="shared" si="34"/>
        <v>-</v>
      </c>
      <c r="J186" s="395" t="str">
        <f t="shared" si="35"/>
        <v>-</v>
      </c>
      <c r="K186" s="199" t="str">
        <f t="shared" si="36"/>
        <v>-</v>
      </c>
      <c r="L186" s="609"/>
      <c r="M186" s="200" t="e">
        <f>RANK(K186, K$147:$K$176)</f>
        <v>#VALUE!</v>
      </c>
      <c r="N186" s="627"/>
      <c r="O186" s="627"/>
      <c r="P186" s="181"/>
      <c r="Q186" s="181"/>
      <c r="R186" s="181"/>
      <c r="S186" s="371" t="e">
        <f t="shared" si="37"/>
        <v>#N/A</v>
      </c>
      <c r="T186" s="649"/>
      <c r="U186" s="181"/>
      <c r="V186" s="181"/>
      <c r="W186" s="181"/>
      <c r="X186" s="371" t="e">
        <f t="shared" si="38"/>
        <v>#N/A</v>
      </c>
      <c r="Y186" s="649"/>
      <c r="Z186" s="181"/>
      <c r="AA186" s="181"/>
      <c r="AB186" s="181"/>
      <c r="AC186" s="371" t="e">
        <f t="shared" si="39"/>
        <v>#N/A</v>
      </c>
      <c r="AD186" s="649"/>
      <c r="AE186" s="181"/>
      <c r="AF186" s="181"/>
      <c r="AG186" s="181"/>
      <c r="AH186" s="371" t="e">
        <f t="shared" si="40"/>
        <v>#N/A</v>
      </c>
      <c r="AI186" s="649"/>
      <c r="AJ186" s="181"/>
      <c r="AK186" s="181"/>
      <c r="AL186" s="181"/>
      <c r="AM186" s="371" t="e">
        <f t="shared" si="41"/>
        <v>#N/A</v>
      </c>
      <c r="AN186" s="649"/>
      <c r="AO186" s="181"/>
      <c r="AP186" s="181"/>
      <c r="AQ186" s="181"/>
      <c r="AR186" s="371" t="e">
        <f t="shared" si="42"/>
        <v>#N/A</v>
      </c>
      <c r="AS186" s="649"/>
      <c r="AT186" s="181"/>
      <c r="AU186" s="181"/>
      <c r="AV186" s="181"/>
      <c r="AW186" s="371" t="e">
        <f t="shared" si="43"/>
        <v>#N/A</v>
      </c>
      <c r="AX186" s="649"/>
      <c r="AZ186" s="402" t="e">
        <f t="shared" si="44"/>
        <v>#N/A</v>
      </c>
      <c r="BA186" s="649"/>
    </row>
    <row r="187" spans="2:53">
      <c r="B187" s="635"/>
      <c r="C187" s="312">
        <v>6</v>
      </c>
      <c r="D187" s="225"/>
      <c r="E187" s="181"/>
      <c r="F187" s="393"/>
      <c r="G187" s="394"/>
      <c r="H187" s="678"/>
      <c r="I187" s="395" t="str">
        <f t="shared" si="34"/>
        <v>-</v>
      </c>
      <c r="J187" s="395" t="str">
        <f t="shared" si="35"/>
        <v>-</v>
      </c>
      <c r="K187" s="199" t="str">
        <f t="shared" si="36"/>
        <v>-</v>
      </c>
      <c r="L187" s="609"/>
      <c r="M187" s="200" t="e">
        <f>RANK(K187, K$147:$K$176)</f>
        <v>#VALUE!</v>
      </c>
      <c r="N187" s="627"/>
      <c r="O187" s="627"/>
      <c r="P187" s="181"/>
      <c r="Q187" s="181"/>
      <c r="R187" s="181"/>
      <c r="S187" s="371" t="e">
        <f t="shared" si="37"/>
        <v>#N/A</v>
      </c>
      <c r="T187" s="649"/>
      <c r="U187" s="181"/>
      <c r="V187" s="181"/>
      <c r="W187" s="181"/>
      <c r="X187" s="371" t="e">
        <f t="shared" si="38"/>
        <v>#N/A</v>
      </c>
      <c r="Y187" s="649"/>
      <c r="Z187" s="181"/>
      <c r="AA187" s="181"/>
      <c r="AB187" s="181"/>
      <c r="AC187" s="371" t="e">
        <f t="shared" si="39"/>
        <v>#N/A</v>
      </c>
      <c r="AD187" s="649"/>
      <c r="AE187" s="181"/>
      <c r="AF187" s="181"/>
      <c r="AG187" s="181"/>
      <c r="AH187" s="371" t="e">
        <f t="shared" si="40"/>
        <v>#N/A</v>
      </c>
      <c r="AI187" s="649"/>
      <c r="AJ187" s="181"/>
      <c r="AK187" s="181"/>
      <c r="AL187" s="181"/>
      <c r="AM187" s="371" t="e">
        <f t="shared" si="41"/>
        <v>#N/A</v>
      </c>
      <c r="AN187" s="649"/>
      <c r="AO187" s="181"/>
      <c r="AP187" s="181"/>
      <c r="AQ187" s="181"/>
      <c r="AR187" s="371" t="e">
        <f t="shared" si="42"/>
        <v>#N/A</v>
      </c>
      <c r="AS187" s="649"/>
      <c r="AT187" s="181"/>
      <c r="AU187" s="181"/>
      <c r="AV187" s="181"/>
      <c r="AW187" s="371" t="e">
        <f t="shared" si="43"/>
        <v>#N/A</v>
      </c>
      <c r="AX187" s="649"/>
      <c r="AZ187" s="402" t="e">
        <f t="shared" si="44"/>
        <v>#N/A</v>
      </c>
      <c r="BA187" s="649"/>
    </row>
    <row r="188" spans="2:53">
      <c r="B188" s="635"/>
      <c r="C188" s="312">
        <v>7</v>
      </c>
      <c r="D188" s="225"/>
      <c r="E188" s="181"/>
      <c r="F188" s="393"/>
      <c r="G188" s="394"/>
      <c r="H188" s="678"/>
      <c r="I188" s="395" t="str">
        <f t="shared" si="34"/>
        <v>-</v>
      </c>
      <c r="J188" s="395" t="str">
        <f t="shared" si="35"/>
        <v>-</v>
      </c>
      <c r="K188" s="199" t="str">
        <f t="shared" si="36"/>
        <v>-</v>
      </c>
      <c r="L188" s="609"/>
      <c r="M188" s="200" t="e">
        <f>RANK(K188, K$147:$K$176)</f>
        <v>#VALUE!</v>
      </c>
      <c r="N188" s="627"/>
      <c r="O188" s="627"/>
      <c r="P188" s="181"/>
      <c r="Q188" s="181"/>
      <c r="R188" s="181"/>
      <c r="S188" s="371" t="e">
        <f t="shared" si="37"/>
        <v>#N/A</v>
      </c>
      <c r="T188" s="649"/>
      <c r="U188" s="181"/>
      <c r="V188" s="181"/>
      <c r="W188" s="181"/>
      <c r="X188" s="371" t="e">
        <f t="shared" si="38"/>
        <v>#N/A</v>
      </c>
      <c r="Y188" s="649"/>
      <c r="Z188" s="181"/>
      <c r="AA188" s="181"/>
      <c r="AB188" s="181"/>
      <c r="AC188" s="371" t="e">
        <f t="shared" si="39"/>
        <v>#N/A</v>
      </c>
      <c r="AD188" s="649"/>
      <c r="AE188" s="181"/>
      <c r="AF188" s="181"/>
      <c r="AG188" s="181"/>
      <c r="AH188" s="371" t="e">
        <f t="shared" si="40"/>
        <v>#N/A</v>
      </c>
      <c r="AI188" s="649"/>
      <c r="AJ188" s="181"/>
      <c r="AK188" s="181"/>
      <c r="AL188" s="181"/>
      <c r="AM188" s="371" t="e">
        <f t="shared" si="41"/>
        <v>#N/A</v>
      </c>
      <c r="AN188" s="649"/>
      <c r="AO188" s="181"/>
      <c r="AP188" s="181"/>
      <c r="AQ188" s="181"/>
      <c r="AR188" s="371" t="e">
        <f t="shared" si="42"/>
        <v>#N/A</v>
      </c>
      <c r="AS188" s="649"/>
      <c r="AT188" s="181"/>
      <c r="AU188" s="181"/>
      <c r="AV188" s="181"/>
      <c r="AW188" s="371" t="e">
        <f t="shared" si="43"/>
        <v>#N/A</v>
      </c>
      <c r="AX188" s="649"/>
      <c r="AZ188" s="402" t="e">
        <f t="shared" si="44"/>
        <v>#N/A</v>
      </c>
      <c r="BA188" s="649"/>
    </row>
    <row r="189" spans="2:53">
      <c r="B189" s="635"/>
      <c r="C189" s="312">
        <v>8</v>
      </c>
      <c r="D189" s="225"/>
      <c r="E189" s="181"/>
      <c r="F189" s="393"/>
      <c r="G189" s="394"/>
      <c r="H189" s="678"/>
      <c r="I189" s="395" t="str">
        <f t="shared" si="34"/>
        <v>-</v>
      </c>
      <c r="J189" s="395" t="str">
        <f t="shared" si="35"/>
        <v>-</v>
      </c>
      <c r="K189" s="199" t="str">
        <f t="shared" si="36"/>
        <v>-</v>
      </c>
      <c r="L189" s="609"/>
      <c r="M189" s="200" t="e">
        <f>RANK(K189, K$147:$K$176)</f>
        <v>#VALUE!</v>
      </c>
      <c r="N189" s="627"/>
      <c r="O189" s="627"/>
      <c r="P189" s="181"/>
      <c r="Q189" s="181"/>
      <c r="R189" s="181"/>
      <c r="S189" s="371" t="e">
        <f t="shared" si="37"/>
        <v>#N/A</v>
      </c>
      <c r="T189" s="649"/>
      <c r="U189" s="181"/>
      <c r="V189" s="181"/>
      <c r="W189" s="181"/>
      <c r="X189" s="371" t="e">
        <f t="shared" si="38"/>
        <v>#N/A</v>
      </c>
      <c r="Y189" s="649"/>
      <c r="Z189" s="181"/>
      <c r="AA189" s="181"/>
      <c r="AB189" s="181"/>
      <c r="AC189" s="371" t="e">
        <f t="shared" si="39"/>
        <v>#N/A</v>
      </c>
      <c r="AD189" s="649"/>
      <c r="AE189" s="181"/>
      <c r="AF189" s="181"/>
      <c r="AG189" s="181"/>
      <c r="AH189" s="371" t="e">
        <f t="shared" si="40"/>
        <v>#N/A</v>
      </c>
      <c r="AI189" s="649"/>
      <c r="AJ189" s="181"/>
      <c r="AK189" s="181"/>
      <c r="AL189" s="181"/>
      <c r="AM189" s="371" t="e">
        <f t="shared" si="41"/>
        <v>#N/A</v>
      </c>
      <c r="AN189" s="649"/>
      <c r="AO189" s="181"/>
      <c r="AP189" s="181"/>
      <c r="AQ189" s="181"/>
      <c r="AR189" s="371" t="e">
        <f t="shared" si="42"/>
        <v>#N/A</v>
      </c>
      <c r="AS189" s="649"/>
      <c r="AT189" s="181"/>
      <c r="AU189" s="181"/>
      <c r="AV189" s="181"/>
      <c r="AW189" s="371" t="e">
        <f t="shared" si="43"/>
        <v>#N/A</v>
      </c>
      <c r="AX189" s="649"/>
      <c r="AZ189" s="402" t="e">
        <f t="shared" si="44"/>
        <v>#N/A</v>
      </c>
      <c r="BA189" s="649"/>
    </row>
    <row r="190" spans="2:53">
      <c r="B190" s="635"/>
      <c r="C190" s="312">
        <v>9</v>
      </c>
      <c r="D190" s="225"/>
      <c r="E190" s="181"/>
      <c r="F190" s="393"/>
      <c r="G190" s="394"/>
      <c r="H190" s="678"/>
      <c r="I190" s="395" t="str">
        <f t="shared" si="34"/>
        <v>-</v>
      </c>
      <c r="J190" s="395" t="str">
        <f t="shared" si="35"/>
        <v>-</v>
      </c>
      <c r="K190" s="199" t="str">
        <f t="shared" si="36"/>
        <v>-</v>
      </c>
      <c r="L190" s="609"/>
      <c r="M190" s="200" t="e">
        <f>RANK(K190, K$147:$K$176)</f>
        <v>#VALUE!</v>
      </c>
      <c r="N190" s="627"/>
      <c r="O190" s="627"/>
      <c r="P190" s="181"/>
      <c r="Q190" s="181"/>
      <c r="R190" s="181"/>
      <c r="S190" s="371" t="e">
        <f t="shared" si="37"/>
        <v>#N/A</v>
      </c>
      <c r="T190" s="649"/>
      <c r="U190" s="181"/>
      <c r="V190" s="181"/>
      <c r="W190" s="181"/>
      <c r="X190" s="371" t="e">
        <f t="shared" si="38"/>
        <v>#N/A</v>
      </c>
      <c r="Y190" s="649"/>
      <c r="Z190" s="181"/>
      <c r="AA190" s="181"/>
      <c r="AB190" s="181"/>
      <c r="AC190" s="371" t="e">
        <f t="shared" si="39"/>
        <v>#N/A</v>
      </c>
      <c r="AD190" s="649"/>
      <c r="AE190" s="181"/>
      <c r="AF190" s="181"/>
      <c r="AG190" s="181"/>
      <c r="AH190" s="371" t="e">
        <f t="shared" si="40"/>
        <v>#N/A</v>
      </c>
      <c r="AI190" s="649"/>
      <c r="AJ190" s="181"/>
      <c r="AK190" s="181"/>
      <c r="AL190" s="181"/>
      <c r="AM190" s="371" t="e">
        <f t="shared" si="41"/>
        <v>#N/A</v>
      </c>
      <c r="AN190" s="649"/>
      <c r="AO190" s="181"/>
      <c r="AP190" s="181"/>
      <c r="AQ190" s="181"/>
      <c r="AR190" s="371" t="e">
        <f t="shared" si="42"/>
        <v>#N/A</v>
      </c>
      <c r="AS190" s="649"/>
      <c r="AT190" s="181"/>
      <c r="AU190" s="181"/>
      <c r="AV190" s="181"/>
      <c r="AW190" s="371" t="e">
        <f t="shared" si="43"/>
        <v>#N/A</v>
      </c>
      <c r="AX190" s="649"/>
      <c r="AZ190" s="402" t="e">
        <f t="shared" si="44"/>
        <v>#N/A</v>
      </c>
      <c r="BA190" s="649"/>
    </row>
    <row r="191" spans="2:53">
      <c r="B191" s="635"/>
      <c r="C191" s="312">
        <v>10</v>
      </c>
      <c r="D191" s="225"/>
      <c r="E191" s="181"/>
      <c r="F191" s="393"/>
      <c r="G191" s="394"/>
      <c r="H191" s="678"/>
      <c r="I191" s="395" t="str">
        <f t="shared" si="34"/>
        <v>-</v>
      </c>
      <c r="J191" s="395" t="str">
        <f t="shared" si="35"/>
        <v>-</v>
      </c>
      <c r="K191" s="199" t="str">
        <f t="shared" si="36"/>
        <v>-</v>
      </c>
      <c r="L191" s="609"/>
      <c r="M191" s="200" t="e">
        <f>RANK(K191, K$147:$K$176)</f>
        <v>#VALUE!</v>
      </c>
      <c r="N191" s="627"/>
      <c r="O191" s="627"/>
      <c r="P191" s="181"/>
      <c r="Q191" s="181"/>
      <c r="R191" s="181"/>
      <c r="S191" s="371" t="e">
        <f t="shared" si="37"/>
        <v>#N/A</v>
      </c>
      <c r="T191" s="649"/>
      <c r="U191" s="181"/>
      <c r="V191" s="181"/>
      <c r="W191" s="181"/>
      <c r="X191" s="371" t="e">
        <f t="shared" si="38"/>
        <v>#N/A</v>
      </c>
      <c r="Y191" s="649"/>
      <c r="Z191" s="181"/>
      <c r="AA191" s="181"/>
      <c r="AB191" s="181"/>
      <c r="AC191" s="371" t="e">
        <f t="shared" si="39"/>
        <v>#N/A</v>
      </c>
      <c r="AD191" s="649"/>
      <c r="AE191" s="181"/>
      <c r="AF191" s="181"/>
      <c r="AG191" s="181"/>
      <c r="AH191" s="371" t="e">
        <f t="shared" si="40"/>
        <v>#N/A</v>
      </c>
      <c r="AI191" s="649"/>
      <c r="AJ191" s="181"/>
      <c r="AK191" s="181"/>
      <c r="AL191" s="181"/>
      <c r="AM191" s="371" t="e">
        <f t="shared" si="41"/>
        <v>#N/A</v>
      </c>
      <c r="AN191" s="649"/>
      <c r="AO191" s="181"/>
      <c r="AP191" s="181"/>
      <c r="AQ191" s="181"/>
      <c r="AR191" s="371" t="e">
        <f t="shared" si="42"/>
        <v>#N/A</v>
      </c>
      <c r="AS191" s="649"/>
      <c r="AT191" s="181"/>
      <c r="AU191" s="181"/>
      <c r="AV191" s="181"/>
      <c r="AW191" s="371" t="e">
        <f t="shared" si="43"/>
        <v>#N/A</v>
      </c>
      <c r="AX191" s="649"/>
      <c r="AZ191" s="402" t="e">
        <f t="shared" si="44"/>
        <v>#N/A</v>
      </c>
      <c r="BA191" s="649"/>
    </row>
    <row r="192" spans="2:53">
      <c r="B192" s="635"/>
      <c r="C192" s="312">
        <v>11</v>
      </c>
      <c r="D192" s="225"/>
      <c r="E192" s="181"/>
      <c r="F192" s="393"/>
      <c r="G192" s="394"/>
      <c r="H192" s="678"/>
      <c r="I192" s="395" t="str">
        <f t="shared" si="34"/>
        <v>-</v>
      </c>
      <c r="J192" s="395" t="str">
        <f t="shared" si="35"/>
        <v>-</v>
      </c>
      <c r="K192" s="199" t="str">
        <f t="shared" si="36"/>
        <v>-</v>
      </c>
      <c r="L192" s="609"/>
      <c r="M192" s="200" t="e">
        <f>RANK(K192, K$147:$K$176)</f>
        <v>#VALUE!</v>
      </c>
      <c r="N192" s="627"/>
      <c r="O192" s="627"/>
      <c r="P192" s="181"/>
      <c r="Q192" s="181"/>
      <c r="R192" s="181"/>
      <c r="S192" s="371" t="e">
        <f t="shared" si="37"/>
        <v>#N/A</v>
      </c>
      <c r="T192" s="649"/>
      <c r="U192" s="181"/>
      <c r="V192" s="181"/>
      <c r="W192" s="181"/>
      <c r="X192" s="371" t="e">
        <f t="shared" si="38"/>
        <v>#N/A</v>
      </c>
      <c r="Y192" s="649"/>
      <c r="Z192" s="181"/>
      <c r="AA192" s="181"/>
      <c r="AB192" s="181"/>
      <c r="AC192" s="371" t="e">
        <f t="shared" si="39"/>
        <v>#N/A</v>
      </c>
      <c r="AD192" s="649"/>
      <c r="AE192" s="181"/>
      <c r="AF192" s="181"/>
      <c r="AG192" s="181"/>
      <c r="AH192" s="371" t="e">
        <f t="shared" si="40"/>
        <v>#N/A</v>
      </c>
      <c r="AI192" s="649"/>
      <c r="AJ192" s="181"/>
      <c r="AK192" s="181"/>
      <c r="AL192" s="181"/>
      <c r="AM192" s="371" t="e">
        <f t="shared" si="41"/>
        <v>#N/A</v>
      </c>
      <c r="AN192" s="649"/>
      <c r="AO192" s="181"/>
      <c r="AP192" s="181"/>
      <c r="AQ192" s="181"/>
      <c r="AR192" s="371" t="e">
        <f t="shared" si="42"/>
        <v>#N/A</v>
      </c>
      <c r="AS192" s="649"/>
      <c r="AT192" s="181"/>
      <c r="AU192" s="181"/>
      <c r="AV192" s="181"/>
      <c r="AW192" s="371" t="e">
        <f t="shared" si="43"/>
        <v>#N/A</v>
      </c>
      <c r="AX192" s="649"/>
      <c r="AZ192" s="402" t="e">
        <f t="shared" si="44"/>
        <v>#N/A</v>
      </c>
      <c r="BA192" s="649"/>
    </row>
    <row r="193" spans="2:53">
      <c r="B193" s="635"/>
      <c r="C193" s="312">
        <v>12</v>
      </c>
      <c r="D193" s="225"/>
      <c r="E193" s="181"/>
      <c r="F193" s="393"/>
      <c r="G193" s="394"/>
      <c r="H193" s="678"/>
      <c r="I193" s="395" t="str">
        <f t="shared" si="34"/>
        <v>-</v>
      </c>
      <c r="J193" s="395" t="str">
        <f t="shared" si="35"/>
        <v>-</v>
      </c>
      <c r="K193" s="199" t="str">
        <f t="shared" si="36"/>
        <v>-</v>
      </c>
      <c r="L193" s="609"/>
      <c r="M193" s="200" t="e">
        <f>RANK(K193, K$147:$K$176)</f>
        <v>#VALUE!</v>
      </c>
      <c r="N193" s="627"/>
      <c r="O193" s="627"/>
      <c r="P193" s="181"/>
      <c r="Q193" s="181"/>
      <c r="R193" s="181"/>
      <c r="S193" s="371" t="e">
        <f t="shared" si="37"/>
        <v>#N/A</v>
      </c>
      <c r="T193" s="649"/>
      <c r="U193" s="181"/>
      <c r="V193" s="181"/>
      <c r="W193" s="181"/>
      <c r="X193" s="371" t="e">
        <f t="shared" si="38"/>
        <v>#N/A</v>
      </c>
      <c r="Y193" s="649"/>
      <c r="Z193" s="181"/>
      <c r="AA193" s="181"/>
      <c r="AB193" s="181"/>
      <c r="AC193" s="371" t="e">
        <f t="shared" si="39"/>
        <v>#N/A</v>
      </c>
      <c r="AD193" s="649"/>
      <c r="AE193" s="181"/>
      <c r="AF193" s="181"/>
      <c r="AG193" s="181"/>
      <c r="AH193" s="371" t="e">
        <f t="shared" si="40"/>
        <v>#N/A</v>
      </c>
      <c r="AI193" s="649"/>
      <c r="AJ193" s="181"/>
      <c r="AK193" s="181"/>
      <c r="AL193" s="181"/>
      <c r="AM193" s="371" t="e">
        <f t="shared" si="41"/>
        <v>#N/A</v>
      </c>
      <c r="AN193" s="649"/>
      <c r="AO193" s="181"/>
      <c r="AP193" s="181"/>
      <c r="AQ193" s="181"/>
      <c r="AR193" s="371" t="e">
        <f t="shared" si="42"/>
        <v>#N/A</v>
      </c>
      <c r="AS193" s="649"/>
      <c r="AT193" s="181"/>
      <c r="AU193" s="181"/>
      <c r="AV193" s="181"/>
      <c r="AW193" s="371" t="e">
        <f t="shared" si="43"/>
        <v>#N/A</v>
      </c>
      <c r="AX193" s="649"/>
      <c r="AZ193" s="402" t="e">
        <f t="shared" si="44"/>
        <v>#N/A</v>
      </c>
      <c r="BA193" s="649"/>
    </row>
    <row r="194" spans="2:53">
      <c r="B194" s="635"/>
      <c r="C194" s="312">
        <v>13</v>
      </c>
      <c r="D194" s="225"/>
      <c r="E194" s="181"/>
      <c r="F194" s="393"/>
      <c r="G194" s="394"/>
      <c r="H194" s="678"/>
      <c r="I194" s="395" t="str">
        <f t="shared" si="34"/>
        <v>-</v>
      </c>
      <c r="J194" s="395" t="str">
        <f t="shared" si="35"/>
        <v>-</v>
      </c>
      <c r="K194" s="199" t="str">
        <f t="shared" si="36"/>
        <v>-</v>
      </c>
      <c r="L194" s="609"/>
      <c r="M194" s="200" t="e">
        <f>RANK(K194, K$147:$K$176)</f>
        <v>#VALUE!</v>
      </c>
      <c r="N194" s="627"/>
      <c r="O194" s="627"/>
      <c r="P194" s="181"/>
      <c r="Q194" s="181"/>
      <c r="R194" s="181"/>
      <c r="S194" s="371" t="e">
        <f t="shared" si="37"/>
        <v>#N/A</v>
      </c>
      <c r="T194" s="649"/>
      <c r="U194" s="181"/>
      <c r="V194" s="181"/>
      <c r="W194" s="181"/>
      <c r="X194" s="371" t="e">
        <f t="shared" si="38"/>
        <v>#N/A</v>
      </c>
      <c r="Y194" s="649"/>
      <c r="Z194" s="181"/>
      <c r="AA194" s="181"/>
      <c r="AB194" s="181"/>
      <c r="AC194" s="371" t="e">
        <f t="shared" si="39"/>
        <v>#N/A</v>
      </c>
      <c r="AD194" s="649"/>
      <c r="AE194" s="181"/>
      <c r="AF194" s="181"/>
      <c r="AG194" s="181"/>
      <c r="AH194" s="371" t="e">
        <f t="shared" si="40"/>
        <v>#N/A</v>
      </c>
      <c r="AI194" s="649"/>
      <c r="AJ194" s="181"/>
      <c r="AK194" s="181"/>
      <c r="AL194" s="181"/>
      <c r="AM194" s="371" t="e">
        <f t="shared" si="41"/>
        <v>#N/A</v>
      </c>
      <c r="AN194" s="649"/>
      <c r="AO194" s="181"/>
      <c r="AP194" s="181"/>
      <c r="AQ194" s="181"/>
      <c r="AR194" s="371" t="e">
        <f t="shared" si="42"/>
        <v>#N/A</v>
      </c>
      <c r="AS194" s="649"/>
      <c r="AT194" s="181"/>
      <c r="AU194" s="181"/>
      <c r="AV194" s="181"/>
      <c r="AW194" s="371" t="e">
        <f t="shared" si="43"/>
        <v>#N/A</v>
      </c>
      <c r="AX194" s="649"/>
      <c r="AZ194" s="402" t="e">
        <f t="shared" si="44"/>
        <v>#N/A</v>
      </c>
      <c r="BA194" s="649"/>
    </row>
    <row r="195" spans="2:53">
      <c r="B195" s="635"/>
      <c r="C195" s="312">
        <v>14</v>
      </c>
      <c r="D195" s="225"/>
      <c r="E195" s="181"/>
      <c r="F195" s="393"/>
      <c r="G195" s="394"/>
      <c r="H195" s="678"/>
      <c r="I195" s="395" t="str">
        <f t="shared" si="34"/>
        <v>-</v>
      </c>
      <c r="J195" s="395" t="str">
        <f t="shared" si="35"/>
        <v>-</v>
      </c>
      <c r="K195" s="199" t="str">
        <f t="shared" si="36"/>
        <v>-</v>
      </c>
      <c r="L195" s="609"/>
      <c r="M195" s="200" t="e">
        <f>RANK(K195, K$147:$K$176)</f>
        <v>#VALUE!</v>
      </c>
      <c r="N195" s="627"/>
      <c r="O195" s="627"/>
      <c r="P195" s="181"/>
      <c r="Q195" s="181"/>
      <c r="R195" s="181"/>
      <c r="S195" s="371" t="e">
        <f t="shared" si="37"/>
        <v>#N/A</v>
      </c>
      <c r="T195" s="649"/>
      <c r="U195" s="181"/>
      <c r="V195" s="181"/>
      <c r="W195" s="181"/>
      <c r="X195" s="371" t="e">
        <f t="shared" si="38"/>
        <v>#N/A</v>
      </c>
      <c r="Y195" s="649"/>
      <c r="Z195" s="181"/>
      <c r="AA195" s="181"/>
      <c r="AB195" s="181"/>
      <c r="AC195" s="371" t="e">
        <f t="shared" si="39"/>
        <v>#N/A</v>
      </c>
      <c r="AD195" s="649"/>
      <c r="AE195" s="181"/>
      <c r="AF195" s="181"/>
      <c r="AG195" s="181"/>
      <c r="AH195" s="371" t="e">
        <f t="shared" si="40"/>
        <v>#N/A</v>
      </c>
      <c r="AI195" s="649"/>
      <c r="AJ195" s="181"/>
      <c r="AK195" s="181"/>
      <c r="AL195" s="181"/>
      <c r="AM195" s="371" t="e">
        <f t="shared" si="41"/>
        <v>#N/A</v>
      </c>
      <c r="AN195" s="649"/>
      <c r="AO195" s="181"/>
      <c r="AP195" s="181"/>
      <c r="AQ195" s="181"/>
      <c r="AR195" s="371" t="e">
        <f t="shared" si="42"/>
        <v>#N/A</v>
      </c>
      <c r="AS195" s="649"/>
      <c r="AT195" s="181"/>
      <c r="AU195" s="181"/>
      <c r="AV195" s="181"/>
      <c r="AW195" s="371" t="e">
        <f t="shared" si="43"/>
        <v>#N/A</v>
      </c>
      <c r="AX195" s="649"/>
      <c r="AZ195" s="402" t="e">
        <f t="shared" si="44"/>
        <v>#N/A</v>
      </c>
      <c r="BA195" s="649"/>
    </row>
    <row r="196" spans="2:53">
      <c r="B196" s="635"/>
      <c r="C196" s="312">
        <v>15</v>
      </c>
      <c r="D196" s="225"/>
      <c r="E196" s="181"/>
      <c r="F196" s="393"/>
      <c r="G196" s="394"/>
      <c r="H196" s="678"/>
      <c r="I196" s="395" t="str">
        <f t="shared" si="34"/>
        <v>-</v>
      </c>
      <c r="J196" s="395" t="str">
        <f t="shared" si="35"/>
        <v>-</v>
      </c>
      <c r="K196" s="199" t="str">
        <f t="shared" si="36"/>
        <v>-</v>
      </c>
      <c r="L196" s="609"/>
      <c r="M196" s="198" t="e">
        <f>RANK(K196, K$147:$K$176)</f>
        <v>#VALUE!</v>
      </c>
      <c r="N196" s="627"/>
      <c r="O196" s="627"/>
      <c r="P196" s="181"/>
      <c r="Q196" s="181"/>
      <c r="R196" s="181"/>
      <c r="S196" s="371" t="e">
        <f t="shared" si="37"/>
        <v>#N/A</v>
      </c>
      <c r="T196" s="649"/>
      <c r="U196" s="181"/>
      <c r="V196" s="181"/>
      <c r="W196" s="181"/>
      <c r="X196" s="371" t="e">
        <f t="shared" si="38"/>
        <v>#N/A</v>
      </c>
      <c r="Y196" s="649"/>
      <c r="Z196" s="181"/>
      <c r="AA196" s="181"/>
      <c r="AB196" s="181"/>
      <c r="AC196" s="371" t="e">
        <f t="shared" si="39"/>
        <v>#N/A</v>
      </c>
      <c r="AD196" s="649"/>
      <c r="AE196" s="181"/>
      <c r="AF196" s="181"/>
      <c r="AG196" s="181"/>
      <c r="AH196" s="371" t="e">
        <f t="shared" si="40"/>
        <v>#N/A</v>
      </c>
      <c r="AI196" s="649"/>
      <c r="AJ196" s="181"/>
      <c r="AK196" s="181"/>
      <c r="AL196" s="181"/>
      <c r="AM196" s="371" t="e">
        <f t="shared" si="41"/>
        <v>#N/A</v>
      </c>
      <c r="AN196" s="649"/>
      <c r="AO196" s="181"/>
      <c r="AP196" s="181"/>
      <c r="AQ196" s="181"/>
      <c r="AR196" s="371" t="e">
        <f t="shared" si="42"/>
        <v>#N/A</v>
      </c>
      <c r="AS196" s="649"/>
      <c r="AT196" s="181"/>
      <c r="AU196" s="181"/>
      <c r="AV196" s="181"/>
      <c r="AW196" s="371" t="e">
        <f t="shared" si="43"/>
        <v>#N/A</v>
      </c>
      <c r="AX196" s="649"/>
      <c r="AZ196" s="402" t="e">
        <f t="shared" si="44"/>
        <v>#N/A</v>
      </c>
      <c r="BA196" s="649"/>
    </row>
    <row r="197" spans="2:53">
      <c r="B197" s="635"/>
      <c r="C197" s="312">
        <v>16</v>
      </c>
      <c r="D197" s="225"/>
      <c r="E197" s="181"/>
      <c r="F197" s="393"/>
      <c r="G197" s="394"/>
      <c r="H197" s="678"/>
      <c r="I197" s="395" t="str">
        <f t="shared" si="34"/>
        <v>-</v>
      </c>
      <c r="J197" s="395" t="str">
        <f t="shared" si="35"/>
        <v>-</v>
      </c>
      <c r="K197" s="199" t="str">
        <f t="shared" si="36"/>
        <v>-</v>
      </c>
      <c r="L197" s="609"/>
      <c r="M197" s="198" t="e">
        <f>RANK(K197, K$147:$K$176)</f>
        <v>#VALUE!</v>
      </c>
      <c r="N197" s="627"/>
      <c r="O197" s="627"/>
      <c r="P197" s="181"/>
      <c r="Q197" s="181"/>
      <c r="R197" s="181"/>
      <c r="S197" s="371" t="e">
        <f t="shared" si="37"/>
        <v>#N/A</v>
      </c>
      <c r="T197" s="649"/>
      <c r="U197" s="181"/>
      <c r="V197" s="181"/>
      <c r="W197" s="181"/>
      <c r="X197" s="371" t="e">
        <f t="shared" si="38"/>
        <v>#N/A</v>
      </c>
      <c r="Y197" s="649"/>
      <c r="Z197" s="181"/>
      <c r="AA197" s="181"/>
      <c r="AB197" s="181"/>
      <c r="AC197" s="371" t="e">
        <f t="shared" si="39"/>
        <v>#N/A</v>
      </c>
      <c r="AD197" s="649"/>
      <c r="AE197" s="181"/>
      <c r="AF197" s="181"/>
      <c r="AG197" s="181"/>
      <c r="AH197" s="371" t="e">
        <f t="shared" si="40"/>
        <v>#N/A</v>
      </c>
      <c r="AI197" s="649"/>
      <c r="AJ197" s="181"/>
      <c r="AK197" s="181"/>
      <c r="AL197" s="181"/>
      <c r="AM197" s="371" t="e">
        <f t="shared" si="41"/>
        <v>#N/A</v>
      </c>
      <c r="AN197" s="649"/>
      <c r="AO197" s="181"/>
      <c r="AP197" s="181"/>
      <c r="AQ197" s="181"/>
      <c r="AR197" s="371" t="e">
        <f t="shared" si="42"/>
        <v>#N/A</v>
      </c>
      <c r="AS197" s="649"/>
      <c r="AT197" s="181"/>
      <c r="AU197" s="181"/>
      <c r="AV197" s="181"/>
      <c r="AW197" s="371" t="e">
        <f t="shared" si="43"/>
        <v>#N/A</v>
      </c>
      <c r="AX197" s="649"/>
      <c r="AZ197" s="402" t="e">
        <f t="shared" si="44"/>
        <v>#N/A</v>
      </c>
      <c r="BA197" s="649"/>
    </row>
    <row r="198" spans="2:53">
      <c r="B198" s="635"/>
      <c r="C198" s="312">
        <v>17</v>
      </c>
      <c r="D198" s="225"/>
      <c r="E198" s="181"/>
      <c r="F198" s="393"/>
      <c r="G198" s="394"/>
      <c r="H198" s="678"/>
      <c r="I198" s="395" t="str">
        <f t="shared" si="34"/>
        <v>-</v>
      </c>
      <c r="J198" s="395" t="str">
        <f t="shared" si="35"/>
        <v>-</v>
      </c>
      <c r="K198" s="199" t="str">
        <f t="shared" si="36"/>
        <v>-</v>
      </c>
      <c r="L198" s="609"/>
      <c r="M198" s="198" t="e">
        <f>RANK(K198, K$147:$K$176)</f>
        <v>#VALUE!</v>
      </c>
      <c r="N198" s="627"/>
      <c r="O198" s="627"/>
      <c r="P198" s="181"/>
      <c r="Q198" s="181"/>
      <c r="R198" s="181"/>
      <c r="S198" s="371" t="e">
        <f t="shared" si="37"/>
        <v>#N/A</v>
      </c>
      <c r="T198" s="649"/>
      <c r="U198" s="181"/>
      <c r="V198" s="181"/>
      <c r="W198" s="181"/>
      <c r="X198" s="371" t="e">
        <f t="shared" si="38"/>
        <v>#N/A</v>
      </c>
      <c r="Y198" s="649"/>
      <c r="Z198" s="181"/>
      <c r="AA198" s="181"/>
      <c r="AB198" s="181"/>
      <c r="AC198" s="371" t="e">
        <f t="shared" si="39"/>
        <v>#N/A</v>
      </c>
      <c r="AD198" s="649"/>
      <c r="AE198" s="181"/>
      <c r="AF198" s="181"/>
      <c r="AG198" s="181"/>
      <c r="AH198" s="371" t="e">
        <f t="shared" si="40"/>
        <v>#N/A</v>
      </c>
      <c r="AI198" s="649"/>
      <c r="AJ198" s="181"/>
      <c r="AK198" s="181"/>
      <c r="AL198" s="181"/>
      <c r="AM198" s="371" t="e">
        <f t="shared" si="41"/>
        <v>#N/A</v>
      </c>
      <c r="AN198" s="649"/>
      <c r="AO198" s="181"/>
      <c r="AP198" s="181"/>
      <c r="AQ198" s="181"/>
      <c r="AR198" s="371" t="e">
        <f t="shared" si="42"/>
        <v>#N/A</v>
      </c>
      <c r="AS198" s="649"/>
      <c r="AT198" s="181"/>
      <c r="AU198" s="181"/>
      <c r="AV198" s="181"/>
      <c r="AW198" s="371" t="e">
        <f t="shared" si="43"/>
        <v>#N/A</v>
      </c>
      <c r="AX198" s="649"/>
      <c r="AZ198" s="402" t="e">
        <f t="shared" si="44"/>
        <v>#N/A</v>
      </c>
      <c r="BA198" s="649"/>
    </row>
    <row r="199" spans="2:53">
      <c r="B199" s="635"/>
      <c r="C199" s="312">
        <v>18</v>
      </c>
      <c r="D199" s="225"/>
      <c r="E199" s="181"/>
      <c r="F199" s="393"/>
      <c r="G199" s="394"/>
      <c r="H199" s="678"/>
      <c r="I199" s="395" t="str">
        <f t="shared" si="34"/>
        <v>-</v>
      </c>
      <c r="J199" s="395" t="str">
        <f t="shared" si="35"/>
        <v>-</v>
      </c>
      <c r="K199" s="199" t="str">
        <f t="shared" si="36"/>
        <v>-</v>
      </c>
      <c r="L199" s="609"/>
      <c r="M199" s="198" t="e">
        <f>RANK(K199, K$147:$K$176)</f>
        <v>#VALUE!</v>
      </c>
      <c r="N199" s="627"/>
      <c r="O199" s="627"/>
      <c r="P199" s="181"/>
      <c r="Q199" s="181"/>
      <c r="R199" s="181"/>
      <c r="S199" s="371" t="e">
        <f t="shared" si="37"/>
        <v>#N/A</v>
      </c>
      <c r="T199" s="649"/>
      <c r="U199" s="181"/>
      <c r="V199" s="181"/>
      <c r="W199" s="181"/>
      <c r="X199" s="371" t="e">
        <f t="shared" si="38"/>
        <v>#N/A</v>
      </c>
      <c r="Y199" s="649"/>
      <c r="Z199" s="181"/>
      <c r="AA199" s="181"/>
      <c r="AB199" s="181"/>
      <c r="AC199" s="371" t="e">
        <f t="shared" si="39"/>
        <v>#N/A</v>
      </c>
      <c r="AD199" s="649"/>
      <c r="AE199" s="181"/>
      <c r="AF199" s="181"/>
      <c r="AG199" s="181"/>
      <c r="AH199" s="371" t="e">
        <f t="shared" si="40"/>
        <v>#N/A</v>
      </c>
      <c r="AI199" s="649"/>
      <c r="AJ199" s="181"/>
      <c r="AK199" s="181"/>
      <c r="AL199" s="181"/>
      <c r="AM199" s="371" t="e">
        <f t="shared" si="41"/>
        <v>#N/A</v>
      </c>
      <c r="AN199" s="649"/>
      <c r="AO199" s="181"/>
      <c r="AP199" s="181"/>
      <c r="AQ199" s="181"/>
      <c r="AR199" s="371" t="e">
        <f t="shared" si="42"/>
        <v>#N/A</v>
      </c>
      <c r="AS199" s="649"/>
      <c r="AT199" s="181"/>
      <c r="AU199" s="181"/>
      <c r="AV199" s="181"/>
      <c r="AW199" s="371" t="e">
        <f t="shared" si="43"/>
        <v>#N/A</v>
      </c>
      <c r="AX199" s="649"/>
      <c r="AZ199" s="402" t="e">
        <f t="shared" si="44"/>
        <v>#N/A</v>
      </c>
      <c r="BA199" s="649"/>
    </row>
    <row r="200" spans="2:53">
      <c r="B200" s="635"/>
      <c r="C200" s="312">
        <v>19</v>
      </c>
      <c r="D200" s="225"/>
      <c r="E200" s="181"/>
      <c r="F200" s="393"/>
      <c r="G200" s="394"/>
      <c r="H200" s="678"/>
      <c r="I200" s="395" t="str">
        <f t="shared" si="34"/>
        <v>-</v>
      </c>
      <c r="J200" s="395" t="str">
        <f t="shared" si="35"/>
        <v>-</v>
      </c>
      <c r="K200" s="199" t="str">
        <f t="shared" si="36"/>
        <v>-</v>
      </c>
      <c r="L200" s="609"/>
      <c r="M200" s="198" t="e">
        <f>RANK(K200, K$147:$K$176)</f>
        <v>#VALUE!</v>
      </c>
      <c r="N200" s="627"/>
      <c r="O200" s="627"/>
      <c r="P200" s="181"/>
      <c r="Q200" s="181"/>
      <c r="R200" s="181"/>
      <c r="S200" s="371" t="e">
        <f t="shared" si="37"/>
        <v>#N/A</v>
      </c>
      <c r="T200" s="649"/>
      <c r="U200" s="181"/>
      <c r="V200" s="181"/>
      <c r="W200" s="181"/>
      <c r="X200" s="371" t="e">
        <f t="shared" si="38"/>
        <v>#N/A</v>
      </c>
      <c r="Y200" s="649"/>
      <c r="Z200" s="181"/>
      <c r="AA200" s="181"/>
      <c r="AB200" s="181"/>
      <c r="AC200" s="371" t="e">
        <f t="shared" si="39"/>
        <v>#N/A</v>
      </c>
      <c r="AD200" s="649"/>
      <c r="AE200" s="181"/>
      <c r="AF200" s="181"/>
      <c r="AG200" s="181"/>
      <c r="AH200" s="371" t="e">
        <f t="shared" si="40"/>
        <v>#N/A</v>
      </c>
      <c r="AI200" s="649"/>
      <c r="AJ200" s="181"/>
      <c r="AK200" s="181"/>
      <c r="AL200" s="181"/>
      <c r="AM200" s="371" t="e">
        <f t="shared" si="41"/>
        <v>#N/A</v>
      </c>
      <c r="AN200" s="649"/>
      <c r="AO200" s="181"/>
      <c r="AP200" s="181"/>
      <c r="AQ200" s="181"/>
      <c r="AR200" s="371" t="e">
        <f t="shared" si="42"/>
        <v>#N/A</v>
      </c>
      <c r="AS200" s="649"/>
      <c r="AT200" s="181"/>
      <c r="AU200" s="181"/>
      <c r="AV200" s="181"/>
      <c r="AW200" s="371" t="e">
        <f t="shared" si="43"/>
        <v>#N/A</v>
      </c>
      <c r="AX200" s="649"/>
      <c r="AZ200" s="402" t="e">
        <f t="shared" si="44"/>
        <v>#N/A</v>
      </c>
      <c r="BA200" s="649"/>
    </row>
    <row r="201" spans="2:53">
      <c r="B201" s="635"/>
      <c r="C201" s="312">
        <v>20</v>
      </c>
      <c r="D201" s="225"/>
      <c r="E201" s="181"/>
      <c r="F201" s="393"/>
      <c r="G201" s="394"/>
      <c r="H201" s="678"/>
      <c r="I201" s="395" t="str">
        <f t="shared" si="34"/>
        <v>-</v>
      </c>
      <c r="J201" s="395" t="str">
        <f t="shared" si="35"/>
        <v>-</v>
      </c>
      <c r="K201" s="199" t="str">
        <f t="shared" si="36"/>
        <v>-</v>
      </c>
      <c r="L201" s="609"/>
      <c r="M201" s="198" t="e">
        <f>RANK(K201, K$147:$K$176)</f>
        <v>#VALUE!</v>
      </c>
      <c r="N201" s="627"/>
      <c r="O201" s="627"/>
      <c r="P201" s="181"/>
      <c r="Q201" s="181"/>
      <c r="R201" s="181"/>
      <c r="S201" s="371" t="e">
        <f t="shared" si="37"/>
        <v>#N/A</v>
      </c>
      <c r="T201" s="649"/>
      <c r="U201" s="181"/>
      <c r="V201" s="181"/>
      <c r="W201" s="181"/>
      <c r="X201" s="371" t="e">
        <f t="shared" si="38"/>
        <v>#N/A</v>
      </c>
      <c r="Y201" s="649"/>
      <c r="Z201" s="181"/>
      <c r="AA201" s="181"/>
      <c r="AB201" s="181"/>
      <c r="AC201" s="371" t="e">
        <f t="shared" si="39"/>
        <v>#N/A</v>
      </c>
      <c r="AD201" s="649"/>
      <c r="AE201" s="181"/>
      <c r="AF201" s="181"/>
      <c r="AG201" s="181"/>
      <c r="AH201" s="371" t="e">
        <f t="shared" si="40"/>
        <v>#N/A</v>
      </c>
      <c r="AI201" s="649"/>
      <c r="AJ201" s="181"/>
      <c r="AK201" s="181"/>
      <c r="AL201" s="181"/>
      <c r="AM201" s="371" t="e">
        <f t="shared" si="41"/>
        <v>#N/A</v>
      </c>
      <c r="AN201" s="649"/>
      <c r="AO201" s="181"/>
      <c r="AP201" s="181"/>
      <c r="AQ201" s="181"/>
      <c r="AR201" s="371" t="e">
        <f t="shared" si="42"/>
        <v>#N/A</v>
      </c>
      <c r="AS201" s="649"/>
      <c r="AT201" s="181"/>
      <c r="AU201" s="181"/>
      <c r="AV201" s="181"/>
      <c r="AW201" s="371" t="e">
        <f t="shared" si="43"/>
        <v>#N/A</v>
      </c>
      <c r="AX201" s="649"/>
      <c r="AZ201" s="402" t="e">
        <f t="shared" si="44"/>
        <v>#N/A</v>
      </c>
      <c r="BA201" s="649"/>
    </row>
    <row r="202" spans="2:53">
      <c r="B202" s="635"/>
      <c r="C202" s="312">
        <v>21</v>
      </c>
      <c r="D202" s="225"/>
      <c r="E202" s="181"/>
      <c r="F202" s="393"/>
      <c r="G202" s="394"/>
      <c r="H202" s="678"/>
      <c r="I202" s="395" t="str">
        <f t="shared" si="34"/>
        <v>-</v>
      </c>
      <c r="J202" s="395" t="str">
        <f t="shared" si="35"/>
        <v>-</v>
      </c>
      <c r="K202" s="199" t="str">
        <f t="shared" si="36"/>
        <v>-</v>
      </c>
      <c r="L202" s="609"/>
      <c r="M202" s="198" t="e">
        <f>RANK(K202, K$147:$K$176)</f>
        <v>#VALUE!</v>
      </c>
      <c r="N202" s="627"/>
      <c r="O202" s="627"/>
      <c r="P202" s="181"/>
      <c r="Q202" s="181"/>
      <c r="R202" s="181"/>
      <c r="S202" s="371" t="e">
        <f t="shared" si="37"/>
        <v>#N/A</v>
      </c>
      <c r="T202" s="649"/>
      <c r="U202" s="181"/>
      <c r="V202" s="181"/>
      <c r="W202" s="181"/>
      <c r="X202" s="371" t="e">
        <f t="shared" si="38"/>
        <v>#N/A</v>
      </c>
      <c r="Y202" s="649"/>
      <c r="Z202" s="181"/>
      <c r="AA202" s="181"/>
      <c r="AB202" s="181"/>
      <c r="AC202" s="371" t="e">
        <f t="shared" si="39"/>
        <v>#N/A</v>
      </c>
      <c r="AD202" s="649"/>
      <c r="AE202" s="181"/>
      <c r="AF202" s="181"/>
      <c r="AG202" s="181"/>
      <c r="AH202" s="371" t="e">
        <f t="shared" si="40"/>
        <v>#N/A</v>
      </c>
      <c r="AI202" s="649"/>
      <c r="AJ202" s="181"/>
      <c r="AK202" s="181"/>
      <c r="AL202" s="181"/>
      <c r="AM202" s="371" t="e">
        <f t="shared" si="41"/>
        <v>#N/A</v>
      </c>
      <c r="AN202" s="649"/>
      <c r="AO202" s="181"/>
      <c r="AP202" s="181"/>
      <c r="AQ202" s="181"/>
      <c r="AR202" s="371" t="e">
        <f t="shared" si="42"/>
        <v>#N/A</v>
      </c>
      <c r="AS202" s="649"/>
      <c r="AT202" s="181"/>
      <c r="AU202" s="181"/>
      <c r="AV202" s="181"/>
      <c r="AW202" s="371" t="e">
        <f t="shared" si="43"/>
        <v>#N/A</v>
      </c>
      <c r="AX202" s="649"/>
      <c r="AZ202" s="402" t="e">
        <f t="shared" si="44"/>
        <v>#N/A</v>
      </c>
      <c r="BA202" s="649"/>
    </row>
    <row r="203" spans="2:53">
      <c r="B203" s="635"/>
      <c r="C203" s="312">
        <v>22</v>
      </c>
      <c r="D203" s="225"/>
      <c r="E203" s="181"/>
      <c r="F203" s="393"/>
      <c r="G203" s="394"/>
      <c r="H203" s="678"/>
      <c r="I203" s="395" t="str">
        <f t="shared" si="34"/>
        <v>-</v>
      </c>
      <c r="J203" s="395" t="str">
        <f t="shared" si="35"/>
        <v>-</v>
      </c>
      <c r="K203" s="199" t="str">
        <f t="shared" si="36"/>
        <v>-</v>
      </c>
      <c r="L203" s="609"/>
      <c r="M203" s="198" t="e">
        <f>RANK(K203, K$147:$K$176)</f>
        <v>#VALUE!</v>
      </c>
      <c r="N203" s="627"/>
      <c r="O203" s="627"/>
      <c r="P203" s="181"/>
      <c r="Q203" s="181"/>
      <c r="R203" s="181"/>
      <c r="S203" s="371" t="e">
        <f t="shared" si="37"/>
        <v>#N/A</v>
      </c>
      <c r="T203" s="649"/>
      <c r="U203" s="181"/>
      <c r="V203" s="181"/>
      <c r="W203" s="181"/>
      <c r="X203" s="371" t="e">
        <f t="shared" si="38"/>
        <v>#N/A</v>
      </c>
      <c r="Y203" s="649"/>
      <c r="Z203" s="181"/>
      <c r="AA203" s="181"/>
      <c r="AB203" s="181"/>
      <c r="AC203" s="371" t="e">
        <f t="shared" si="39"/>
        <v>#N/A</v>
      </c>
      <c r="AD203" s="649"/>
      <c r="AE203" s="181"/>
      <c r="AF203" s="181"/>
      <c r="AG203" s="181"/>
      <c r="AH203" s="371" t="e">
        <f t="shared" si="40"/>
        <v>#N/A</v>
      </c>
      <c r="AI203" s="649"/>
      <c r="AJ203" s="181"/>
      <c r="AK203" s="181"/>
      <c r="AL203" s="181"/>
      <c r="AM203" s="371" t="e">
        <f t="shared" si="41"/>
        <v>#N/A</v>
      </c>
      <c r="AN203" s="649"/>
      <c r="AO203" s="181"/>
      <c r="AP203" s="181"/>
      <c r="AQ203" s="181"/>
      <c r="AR203" s="371" t="e">
        <f t="shared" si="42"/>
        <v>#N/A</v>
      </c>
      <c r="AS203" s="649"/>
      <c r="AT203" s="181"/>
      <c r="AU203" s="181"/>
      <c r="AV203" s="181"/>
      <c r="AW203" s="371" t="e">
        <f t="shared" si="43"/>
        <v>#N/A</v>
      </c>
      <c r="AX203" s="649"/>
      <c r="AZ203" s="402" t="e">
        <f t="shared" si="44"/>
        <v>#N/A</v>
      </c>
      <c r="BA203" s="649"/>
    </row>
    <row r="204" spans="2:53">
      <c r="B204" s="635"/>
      <c r="C204" s="312">
        <v>23</v>
      </c>
      <c r="D204" s="225"/>
      <c r="E204" s="181"/>
      <c r="F204" s="393"/>
      <c r="G204" s="394"/>
      <c r="H204" s="678"/>
      <c r="I204" s="395" t="str">
        <f t="shared" si="34"/>
        <v>-</v>
      </c>
      <c r="J204" s="395" t="str">
        <f t="shared" si="35"/>
        <v>-</v>
      </c>
      <c r="K204" s="199" t="str">
        <f t="shared" si="36"/>
        <v>-</v>
      </c>
      <c r="L204" s="609"/>
      <c r="M204" s="198" t="e">
        <f>RANK(K204, K$147:$K$176)</f>
        <v>#VALUE!</v>
      </c>
      <c r="N204" s="627"/>
      <c r="O204" s="627"/>
      <c r="P204" s="181"/>
      <c r="Q204" s="181"/>
      <c r="R204" s="181"/>
      <c r="S204" s="371" t="e">
        <f t="shared" si="37"/>
        <v>#N/A</v>
      </c>
      <c r="T204" s="649"/>
      <c r="U204" s="181"/>
      <c r="V204" s="181"/>
      <c r="W204" s="181"/>
      <c r="X204" s="371" t="e">
        <f t="shared" si="38"/>
        <v>#N/A</v>
      </c>
      <c r="Y204" s="649"/>
      <c r="Z204" s="181"/>
      <c r="AA204" s="181"/>
      <c r="AB204" s="181"/>
      <c r="AC204" s="371" t="e">
        <f t="shared" si="39"/>
        <v>#N/A</v>
      </c>
      <c r="AD204" s="649"/>
      <c r="AE204" s="181"/>
      <c r="AF204" s="181"/>
      <c r="AG204" s="181"/>
      <c r="AH204" s="371" t="e">
        <f t="shared" si="40"/>
        <v>#N/A</v>
      </c>
      <c r="AI204" s="649"/>
      <c r="AJ204" s="181"/>
      <c r="AK204" s="181"/>
      <c r="AL204" s="181"/>
      <c r="AM204" s="371" t="e">
        <f t="shared" si="41"/>
        <v>#N/A</v>
      </c>
      <c r="AN204" s="649"/>
      <c r="AO204" s="181"/>
      <c r="AP204" s="181"/>
      <c r="AQ204" s="181"/>
      <c r="AR204" s="371" t="e">
        <f t="shared" si="42"/>
        <v>#N/A</v>
      </c>
      <c r="AS204" s="649"/>
      <c r="AT204" s="181"/>
      <c r="AU204" s="181"/>
      <c r="AV204" s="181"/>
      <c r="AW204" s="371" t="e">
        <f t="shared" si="43"/>
        <v>#N/A</v>
      </c>
      <c r="AX204" s="649"/>
      <c r="AZ204" s="402" t="e">
        <f t="shared" si="44"/>
        <v>#N/A</v>
      </c>
      <c r="BA204" s="649"/>
    </row>
    <row r="205" spans="2:53">
      <c r="B205" s="635"/>
      <c r="C205" s="312">
        <v>24</v>
      </c>
      <c r="D205" s="225"/>
      <c r="E205" s="181"/>
      <c r="F205" s="393"/>
      <c r="G205" s="394"/>
      <c r="H205" s="678"/>
      <c r="I205" s="395" t="str">
        <f t="shared" si="34"/>
        <v>-</v>
      </c>
      <c r="J205" s="395" t="str">
        <f t="shared" si="35"/>
        <v>-</v>
      </c>
      <c r="K205" s="199" t="str">
        <f t="shared" si="36"/>
        <v>-</v>
      </c>
      <c r="L205" s="609"/>
      <c r="M205" s="198" t="e">
        <f>RANK(K205, K$147:$K$176)</f>
        <v>#VALUE!</v>
      </c>
      <c r="N205" s="627"/>
      <c r="O205" s="627"/>
      <c r="P205" s="312"/>
      <c r="Q205" s="315"/>
      <c r="R205" s="315"/>
      <c r="S205" s="371" t="e">
        <f t="shared" si="37"/>
        <v>#N/A</v>
      </c>
      <c r="T205" s="649"/>
      <c r="U205" s="325"/>
      <c r="V205" s="326"/>
      <c r="W205" s="326"/>
      <c r="X205" s="371" t="e">
        <f t="shared" si="38"/>
        <v>#N/A</v>
      </c>
      <c r="Y205" s="649"/>
      <c r="Z205" s="374"/>
      <c r="AA205" s="375"/>
      <c r="AB205" s="375"/>
      <c r="AC205" s="371" t="e">
        <f t="shared" si="39"/>
        <v>#N/A</v>
      </c>
      <c r="AD205" s="649"/>
      <c r="AE205" s="374"/>
      <c r="AF205" s="375"/>
      <c r="AG205" s="375"/>
      <c r="AH205" s="371" t="e">
        <f t="shared" si="40"/>
        <v>#N/A</v>
      </c>
      <c r="AI205" s="649"/>
      <c r="AJ205" s="374"/>
      <c r="AK205" s="375"/>
      <c r="AL205" s="375"/>
      <c r="AM205" s="371" t="e">
        <f t="shared" si="41"/>
        <v>#N/A</v>
      </c>
      <c r="AN205" s="649"/>
      <c r="AO205" s="374"/>
      <c r="AP205" s="375"/>
      <c r="AQ205" s="375"/>
      <c r="AR205" s="371" t="e">
        <f t="shared" si="42"/>
        <v>#N/A</v>
      </c>
      <c r="AS205" s="649"/>
      <c r="AT205" s="325"/>
      <c r="AU205" s="326"/>
      <c r="AV205" s="326"/>
      <c r="AW205" s="371" t="e">
        <f t="shared" si="43"/>
        <v>#N/A</v>
      </c>
      <c r="AX205" s="649"/>
      <c r="AZ205" s="402" t="e">
        <f t="shared" si="44"/>
        <v>#N/A</v>
      </c>
      <c r="BA205" s="649"/>
    </row>
    <row r="206" spans="2:53">
      <c r="B206" s="635"/>
      <c r="C206" s="312">
        <v>25</v>
      </c>
      <c r="D206" s="225"/>
      <c r="E206" s="181"/>
      <c r="F206" s="393"/>
      <c r="G206" s="394"/>
      <c r="H206" s="678"/>
      <c r="I206" s="395" t="str">
        <f t="shared" si="34"/>
        <v>-</v>
      </c>
      <c r="J206" s="395" t="str">
        <f t="shared" si="35"/>
        <v>-</v>
      </c>
      <c r="K206" s="199" t="str">
        <f t="shared" si="36"/>
        <v>-</v>
      </c>
      <c r="L206" s="609"/>
      <c r="M206" s="198" t="e">
        <f>RANK(K206, K$147:$K$176)</f>
        <v>#VALUE!</v>
      </c>
      <c r="N206" s="627"/>
      <c r="O206" s="627"/>
      <c r="P206" s="312"/>
      <c r="Q206" s="315"/>
      <c r="R206" s="315"/>
      <c r="S206" s="371" t="e">
        <f t="shared" si="37"/>
        <v>#N/A</v>
      </c>
      <c r="T206" s="649"/>
      <c r="U206" s="325"/>
      <c r="V206" s="326"/>
      <c r="W206" s="326"/>
      <c r="X206" s="371" t="e">
        <f t="shared" si="38"/>
        <v>#N/A</v>
      </c>
      <c r="Y206" s="649"/>
      <c r="Z206" s="374"/>
      <c r="AA206" s="375"/>
      <c r="AB206" s="375"/>
      <c r="AC206" s="371" t="e">
        <f t="shared" si="39"/>
        <v>#N/A</v>
      </c>
      <c r="AD206" s="649"/>
      <c r="AE206" s="374"/>
      <c r="AF206" s="375"/>
      <c r="AG206" s="375"/>
      <c r="AH206" s="371" t="e">
        <f t="shared" si="40"/>
        <v>#N/A</v>
      </c>
      <c r="AI206" s="649"/>
      <c r="AJ206" s="374"/>
      <c r="AK206" s="375"/>
      <c r="AL206" s="375"/>
      <c r="AM206" s="371" t="e">
        <f t="shared" si="41"/>
        <v>#N/A</v>
      </c>
      <c r="AN206" s="649"/>
      <c r="AO206" s="374"/>
      <c r="AP206" s="375"/>
      <c r="AQ206" s="375"/>
      <c r="AR206" s="371" t="e">
        <f t="shared" si="42"/>
        <v>#N/A</v>
      </c>
      <c r="AS206" s="649"/>
      <c r="AT206" s="325"/>
      <c r="AU206" s="326"/>
      <c r="AV206" s="326"/>
      <c r="AW206" s="371" t="e">
        <f t="shared" si="43"/>
        <v>#N/A</v>
      </c>
      <c r="AX206" s="649"/>
      <c r="AZ206" s="402" t="e">
        <f t="shared" si="44"/>
        <v>#N/A</v>
      </c>
      <c r="BA206" s="649"/>
    </row>
    <row r="207" spans="2:53">
      <c r="B207" s="635"/>
      <c r="C207" s="312">
        <v>26</v>
      </c>
      <c r="D207" s="225"/>
      <c r="E207" s="181"/>
      <c r="F207" s="393"/>
      <c r="G207" s="394"/>
      <c r="H207" s="678"/>
      <c r="I207" s="395" t="str">
        <f t="shared" si="34"/>
        <v>-</v>
      </c>
      <c r="J207" s="395" t="str">
        <f t="shared" si="35"/>
        <v>-</v>
      </c>
      <c r="K207" s="199" t="str">
        <f t="shared" si="36"/>
        <v>-</v>
      </c>
      <c r="L207" s="609"/>
      <c r="M207" s="198" t="e">
        <f>RANK(K207, K$147:$K$176)</f>
        <v>#VALUE!</v>
      </c>
      <c r="N207" s="627"/>
      <c r="O207" s="627"/>
      <c r="P207" s="312"/>
      <c r="Q207" s="315"/>
      <c r="R207" s="315"/>
      <c r="S207" s="371" t="e">
        <f t="shared" si="37"/>
        <v>#N/A</v>
      </c>
      <c r="T207" s="649"/>
      <c r="U207" s="325"/>
      <c r="V207" s="326"/>
      <c r="W207" s="326"/>
      <c r="X207" s="371" t="e">
        <f t="shared" si="38"/>
        <v>#N/A</v>
      </c>
      <c r="Y207" s="649"/>
      <c r="Z207" s="374"/>
      <c r="AA207" s="375"/>
      <c r="AB207" s="375"/>
      <c r="AC207" s="371" t="e">
        <f t="shared" si="39"/>
        <v>#N/A</v>
      </c>
      <c r="AD207" s="649"/>
      <c r="AE207" s="374"/>
      <c r="AF207" s="375"/>
      <c r="AG207" s="375"/>
      <c r="AH207" s="371" t="e">
        <f t="shared" si="40"/>
        <v>#N/A</v>
      </c>
      <c r="AI207" s="649"/>
      <c r="AJ207" s="374"/>
      <c r="AK207" s="375"/>
      <c r="AL207" s="375"/>
      <c r="AM207" s="371" t="e">
        <f t="shared" si="41"/>
        <v>#N/A</v>
      </c>
      <c r="AN207" s="649"/>
      <c r="AO207" s="374"/>
      <c r="AP207" s="375"/>
      <c r="AQ207" s="375"/>
      <c r="AR207" s="371" t="e">
        <f t="shared" si="42"/>
        <v>#N/A</v>
      </c>
      <c r="AS207" s="649"/>
      <c r="AT207" s="325"/>
      <c r="AU207" s="326"/>
      <c r="AV207" s="326"/>
      <c r="AW207" s="371" t="e">
        <f t="shared" si="43"/>
        <v>#N/A</v>
      </c>
      <c r="AX207" s="649"/>
      <c r="AZ207" s="402" t="e">
        <f t="shared" si="44"/>
        <v>#N/A</v>
      </c>
      <c r="BA207" s="649"/>
    </row>
    <row r="208" spans="2:53">
      <c r="B208" s="635"/>
      <c r="C208" s="312">
        <v>27</v>
      </c>
      <c r="D208" s="225"/>
      <c r="E208" s="181"/>
      <c r="F208" s="393"/>
      <c r="G208" s="394"/>
      <c r="H208" s="678"/>
      <c r="I208" s="395" t="str">
        <f t="shared" si="34"/>
        <v>-</v>
      </c>
      <c r="J208" s="395" t="str">
        <f t="shared" si="35"/>
        <v>-</v>
      </c>
      <c r="K208" s="199" t="str">
        <f t="shared" si="36"/>
        <v>-</v>
      </c>
      <c r="L208" s="609"/>
      <c r="M208" s="198" t="e">
        <f>RANK(K208, K$147:$K$176)</f>
        <v>#VALUE!</v>
      </c>
      <c r="N208" s="627"/>
      <c r="O208" s="627"/>
      <c r="P208" s="312"/>
      <c r="Q208" s="315"/>
      <c r="R208" s="315"/>
      <c r="S208" s="371" t="e">
        <f t="shared" si="37"/>
        <v>#N/A</v>
      </c>
      <c r="T208" s="649"/>
      <c r="U208" s="325"/>
      <c r="V208" s="326"/>
      <c r="W208" s="326"/>
      <c r="X208" s="371" t="e">
        <f t="shared" si="38"/>
        <v>#N/A</v>
      </c>
      <c r="Y208" s="649"/>
      <c r="Z208" s="374"/>
      <c r="AA208" s="375"/>
      <c r="AB208" s="375"/>
      <c r="AC208" s="371" t="e">
        <f t="shared" si="39"/>
        <v>#N/A</v>
      </c>
      <c r="AD208" s="649"/>
      <c r="AE208" s="374"/>
      <c r="AF208" s="375"/>
      <c r="AG208" s="375"/>
      <c r="AH208" s="371" t="e">
        <f t="shared" si="40"/>
        <v>#N/A</v>
      </c>
      <c r="AI208" s="649"/>
      <c r="AJ208" s="374"/>
      <c r="AK208" s="375"/>
      <c r="AL208" s="375"/>
      <c r="AM208" s="371" t="e">
        <f t="shared" si="41"/>
        <v>#N/A</v>
      </c>
      <c r="AN208" s="649"/>
      <c r="AO208" s="374"/>
      <c r="AP208" s="375"/>
      <c r="AQ208" s="375"/>
      <c r="AR208" s="371" t="e">
        <f t="shared" si="42"/>
        <v>#N/A</v>
      </c>
      <c r="AS208" s="649"/>
      <c r="AT208" s="325"/>
      <c r="AU208" s="326"/>
      <c r="AV208" s="326"/>
      <c r="AW208" s="371" t="e">
        <f t="shared" si="43"/>
        <v>#N/A</v>
      </c>
      <c r="AX208" s="649"/>
      <c r="AZ208" s="402" t="e">
        <f t="shared" si="44"/>
        <v>#N/A</v>
      </c>
      <c r="BA208" s="649"/>
    </row>
    <row r="209" spans="2:53">
      <c r="B209" s="635"/>
      <c r="C209" s="312">
        <v>28</v>
      </c>
      <c r="D209" s="225"/>
      <c r="E209" s="181"/>
      <c r="F209" s="393"/>
      <c r="G209" s="394"/>
      <c r="H209" s="678"/>
      <c r="I209" s="395" t="str">
        <f t="shared" si="34"/>
        <v>-</v>
      </c>
      <c r="J209" s="395" t="str">
        <f t="shared" si="35"/>
        <v>-</v>
      </c>
      <c r="K209" s="199" t="str">
        <f t="shared" si="36"/>
        <v>-</v>
      </c>
      <c r="L209" s="609"/>
      <c r="M209" s="198" t="e">
        <f>RANK(K209, K$147:$K$176)</f>
        <v>#VALUE!</v>
      </c>
      <c r="N209" s="627"/>
      <c r="O209" s="627"/>
      <c r="P209" s="312"/>
      <c r="Q209" s="315"/>
      <c r="R209" s="315"/>
      <c r="S209" s="371" t="e">
        <f t="shared" si="37"/>
        <v>#N/A</v>
      </c>
      <c r="T209" s="649"/>
      <c r="U209" s="312"/>
      <c r="V209" s="315"/>
      <c r="W209" s="315"/>
      <c r="X209" s="371" t="e">
        <f t="shared" si="38"/>
        <v>#N/A</v>
      </c>
      <c r="Y209" s="649"/>
      <c r="Z209" s="374"/>
      <c r="AA209" s="375"/>
      <c r="AB209" s="375"/>
      <c r="AC209" s="371" t="e">
        <f t="shared" si="39"/>
        <v>#N/A</v>
      </c>
      <c r="AD209" s="649"/>
      <c r="AE209" s="374"/>
      <c r="AF209" s="375"/>
      <c r="AG209" s="375"/>
      <c r="AH209" s="371" t="e">
        <f t="shared" si="40"/>
        <v>#N/A</v>
      </c>
      <c r="AI209" s="649"/>
      <c r="AJ209" s="374"/>
      <c r="AK209" s="375"/>
      <c r="AL209" s="375"/>
      <c r="AM209" s="371" t="e">
        <f t="shared" si="41"/>
        <v>#N/A</v>
      </c>
      <c r="AN209" s="649"/>
      <c r="AO209" s="374"/>
      <c r="AP209" s="375"/>
      <c r="AQ209" s="375"/>
      <c r="AR209" s="371" t="e">
        <f t="shared" si="42"/>
        <v>#N/A</v>
      </c>
      <c r="AS209" s="649"/>
      <c r="AT209" s="312"/>
      <c r="AU209" s="315"/>
      <c r="AV209" s="315"/>
      <c r="AW209" s="371" t="e">
        <f t="shared" si="43"/>
        <v>#N/A</v>
      </c>
      <c r="AX209" s="649"/>
      <c r="AZ209" s="402" t="e">
        <f t="shared" si="44"/>
        <v>#N/A</v>
      </c>
      <c r="BA209" s="649"/>
    </row>
    <row r="210" spans="2:53">
      <c r="B210" s="635"/>
      <c r="C210" s="312">
        <v>29</v>
      </c>
      <c r="D210" s="225"/>
      <c r="E210" s="181"/>
      <c r="F210" s="393"/>
      <c r="G210" s="394"/>
      <c r="H210" s="678"/>
      <c r="I210" s="395" t="str">
        <f t="shared" si="34"/>
        <v>-</v>
      </c>
      <c r="J210" s="395" t="str">
        <f t="shared" si="35"/>
        <v>-</v>
      </c>
      <c r="K210" s="199" t="str">
        <f t="shared" si="36"/>
        <v>-</v>
      </c>
      <c r="L210" s="609"/>
      <c r="M210" s="198" t="e">
        <f>RANK(K210, K$147:$K$176)</f>
        <v>#VALUE!</v>
      </c>
      <c r="N210" s="627"/>
      <c r="O210" s="627"/>
      <c r="P210" s="312"/>
      <c r="Q210" s="312"/>
      <c r="R210" s="312"/>
      <c r="S210" s="371" t="e">
        <f t="shared" si="37"/>
        <v>#N/A</v>
      </c>
      <c r="T210" s="649"/>
      <c r="U210" s="312"/>
      <c r="V210" s="312"/>
      <c r="W210" s="312"/>
      <c r="X210" s="371" t="e">
        <f t="shared" si="38"/>
        <v>#N/A</v>
      </c>
      <c r="Y210" s="649"/>
      <c r="Z210" s="374"/>
      <c r="AA210" s="374"/>
      <c r="AB210" s="374"/>
      <c r="AC210" s="371" t="e">
        <f t="shared" si="39"/>
        <v>#N/A</v>
      </c>
      <c r="AD210" s="649"/>
      <c r="AE210" s="374"/>
      <c r="AF210" s="374"/>
      <c r="AG210" s="374"/>
      <c r="AH210" s="371" t="e">
        <f t="shared" si="40"/>
        <v>#N/A</v>
      </c>
      <c r="AI210" s="649"/>
      <c r="AJ210" s="374"/>
      <c r="AK210" s="374"/>
      <c r="AL210" s="374"/>
      <c r="AM210" s="371" t="e">
        <f t="shared" si="41"/>
        <v>#N/A</v>
      </c>
      <c r="AN210" s="649"/>
      <c r="AO210" s="374"/>
      <c r="AP210" s="374"/>
      <c r="AQ210" s="374"/>
      <c r="AR210" s="371" t="e">
        <f t="shared" si="42"/>
        <v>#N/A</v>
      </c>
      <c r="AS210" s="649"/>
      <c r="AT210" s="312"/>
      <c r="AU210" s="312"/>
      <c r="AV210" s="312"/>
      <c r="AW210" s="371" t="e">
        <f t="shared" si="43"/>
        <v>#N/A</v>
      </c>
      <c r="AX210" s="649"/>
      <c r="AZ210" s="402" t="e">
        <f t="shared" si="44"/>
        <v>#N/A</v>
      </c>
      <c r="BA210" s="649"/>
    </row>
    <row r="211" spans="2:53">
      <c r="B211" s="635"/>
      <c r="C211" s="312">
        <v>30</v>
      </c>
      <c r="D211" s="225"/>
      <c r="E211" s="181"/>
      <c r="F211" s="393"/>
      <c r="G211" s="394"/>
      <c r="H211" s="679"/>
      <c r="I211" s="395" t="str">
        <f t="shared" si="34"/>
        <v>-</v>
      </c>
      <c r="J211" s="395" t="str">
        <f t="shared" si="35"/>
        <v>-</v>
      </c>
      <c r="K211" s="199" t="str">
        <f t="shared" si="36"/>
        <v>-</v>
      </c>
      <c r="L211" s="610"/>
      <c r="M211" s="198" t="e">
        <f>RANK(K211, K$147:$K$176)</f>
        <v>#VALUE!</v>
      </c>
      <c r="N211" s="627"/>
      <c r="O211" s="627"/>
      <c r="P211" s="312"/>
      <c r="Q211" s="312"/>
      <c r="R211" s="312"/>
      <c r="S211" s="371" t="e">
        <f t="shared" si="37"/>
        <v>#N/A</v>
      </c>
      <c r="T211" s="649"/>
      <c r="U211" s="312"/>
      <c r="V211" s="312"/>
      <c r="W211" s="312"/>
      <c r="X211" s="371" t="e">
        <f t="shared" si="38"/>
        <v>#N/A</v>
      </c>
      <c r="Y211" s="649"/>
      <c r="Z211" s="374"/>
      <c r="AA211" s="374"/>
      <c r="AB211" s="374"/>
      <c r="AC211" s="371" t="e">
        <f t="shared" si="39"/>
        <v>#N/A</v>
      </c>
      <c r="AD211" s="649"/>
      <c r="AE211" s="374"/>
      <c r="AF211" s="374"/>
      <c r="AG211" s="374"/>
      <c r="AH211" s="371" t="e">
        <f t="shared" si="40"/>
        <v>#N/A</v>
      </c>
      <c r="AI211" s="649"/>
      <c r="AJ211" s="374"/>
      <c r="AK211" s="374"/>
      <c r="AL211" s="374"/>
      <c r="AM211" s="371" t="e">
        <f t="shared" si="41"/>
        <v>#N/A</v>
      </c>
      <c r="AN211" s="649"/>
      <c r="AO211" s="374"/>
      <c r="AP211" s="374"/>
      <c r="AQ211" s="374"/>
      <c r="AR211" s="371" t="e">
        <f t="shared" si="42"/>
        <v>#N/A</v>
      </c>
      <c r="AS211" s="649"/>
      <c r="AT211" s="312"/>
      <c r="AU211" s="312"/>
      <c r="AV211" s="312"/>
      <c r="AW211" s="371" t="e">
        <f t="shared" si="43"/>
        <v>#N/A</v>
      </c>
      <c r="AX211" s="649"/>
      <c r="AZ211" s="402" t="e">
        <f t="shared" si="44"/>
        <v>#N/A</v>
      </c>
      <c r="BA211" s="649"/>
    </row>
    <row r="213" spans="2:53" ht="15.75">
      <c r="B213" s="666" t="s">
        <v>484</v>
      </c>
      <c r="C213" s="667"/>
      <c r="D213" s="667"/>
      <c r="E213" s="667"/>
      <c r="F213" s="667"/>
      <c r="G213" s="667"/>
      <c r="H213" s="668"/>
      <c r="I213" s="316"/>
      <c r="J213" s="316"/>
      <c r="K213" s="316"/>
      <c r="L213" s="316"/>
      <c r="M213" s="317"/>
    </row>
    <row r="214" spans="2:53" ht="15.75">
      <c r="B214" s="669"/>
      <c r="C214" s="669"/>
      <c r="D214" s="669"/>
      <c r="E214" s="669"/>
      <c r="F214" s="669"/>
      <c r="G214" s="669"/>
      <c r="H214" s="669"/>
      <c r="I214" s="318"/>
      <c r="J214" s="318"/>
      <c r="K214" s="318"/>
      <c r="L214" s="318"/>
      <c r="M214" s="319"/>
    </row>
    <row r="215" spans="2:53">
      <c r="B215" s="627" t="s">
        <v>485</v>
      </c>
      <c r="C215" s="627" t="s">
        <v>486</v>
      </c>
      <c r="D215" s="627"/>
      <c r="E215" s="627" t="s">
        <v>487</v>
      </c>
      <c r="F215" s="627"/>
      <c r="G215" s="627"/>
      <c r="H215" s="627" t="s">
        <v>488</v>
      </c>
      <c r="I215" s="670" t="s">
        <v>489</v>
      </c>
      <c r="J215" s="670"/>
      <c r="K215" s="670"/>
      <c r="L215" s="670" t="s">
        <v>488</v>
      </c>
      <c r="M215" s="670" t="s">
        <v>490</v>
      </c>
    </row>
    <row r="216" spans="2:53">
      <c r="B216" s="627"/>
      <c r="C216" s="627"/>
      <c r="D216" s="627"/>
      <c r="E216" s="627" t="s">
        <v>491</v>
      </c>
      <c r="F216" s="627"/>
      <c r="G216" s="627"/>
      <c r="H216" s="627"/>
      <c r="I216" s="670" t="s">
        <v>491</v>
      </c>
      <c r="J216" s="670"/>
      <c r="K216" s="670"/>
      <c r="L216" s="670"/>
      <c r="M216" s="670"/>
    </row>
    <row r="217" spans="2:53">
      <c r="B217" s="627"/>
      <c r="C217" s="627"/>
      <c r="D217" s="627"/>
      <c r="E217" s="313" t="s">
        <v>492</v>
      </c>
      <c r="F217" s="313" t="s">
        <v>493</v>
      </c>
      <c r="G217" s="313" t="s">
        <v>494</v>
      </c>
      <c r="H217" s="627"/>
      <c r="I217" s="320" t="s">
        <v>492</v>
      </c>
      <c r="J217" s="320" t="s">
        <v>493</v>
      </c>
      <c r="K217" s="320" t="s">
        <v>494</v>
      </c>
      <c r="L217" s="670"/>
      <c r="M217" s="670"/>
    </row>
    <row r="218" spans="2:53">
      <c r="B218" s="627" t="s">
        <v>499</v>
      </c>
      <c r="C218" s="312">
        <v>1</v>
      </c>
      <c r="D218" s="312"/>
      <c r="E218" s="181"/>
      <c r="F218" s="312"/>
      <c r="G218" s="315"/>
      <c r="H218" s="649" t="e">
        <f>AVERAGE(G218:G247)</f>
        <v>#DIV/0!</v>
      </c>
      <c r="I218" s="198" t="e">
        <f t="shared" ref="I218:J241" si="45">AVERAGEIF($D$7:$D$211,$D218,I$7:I$211)</f>
        <v>#DIV/0!</v>
      </c>
      <c r="J218" s="198" t="e">
        <f t="shared" si="45"/>
        <v>#DIV/0!</v>
      </c>
      <c r="K218" s="198" t="e">
        <f t="shared" ref="K218:K241" si="46">AVERAGEIF($D$7:$D$211,$D218,K$7:K$211)</f>
        <v>#DIV/0!</v>
      </c>
      <c r="L218" s="673" t="e">
        <f>AVERAGE(K218:K247)</f>
        <v>#DIV/0!</v>
      </c>
      <c r="M218" s="198" t="e">
        <f>RANK(K218, K$218:$K$247)</f>
        <v>#DIV/0!</v>
      </c>
    </row>
    <row r="219" spans="2:53">
      <c r="B219" s="635"/>
      <c r="C219" s="312">
        <v>2</v>
      </c>
      <c r="D219" s="312"/>
      <c r="E219" s="181"/>
      <c r="F219" s="312"/>
      <c r="G219" s="315"/>
      <c r="H219" s="649"/>
      <c r="I219" s="198" t="e">
        <f t="shared" si="45"/>
        <v>#DIV/0!</v>
      </c>
      <c r="J219" s="198" t="e">
        <f t="shared" si="45"/>
        <v>#DIV/0!</v>
      </c>
      <c r="K219" s="198" t="e">
        <f t="shared" si="46"/>
        <v>#DIV/0!</v>
      </c>
      <c r="L219" s="673"/>
      <c r="M219" s="198" t="e">
        <f>RANK(K219, K$218:$K$247)</f>
        <v>#DIV/0!</v>
      </c>
    </row>
    <row r="220" spans="2:53">
      <c r="B220" s="635"/>
      <c r="C220" s="312">
        <v>3</v>
      </c>
      <c r="D220" s="312"/>
      <c r="E220" s="181"/>
      <c r="F220" s="312"/>
      <c r="G220" s="315"/>
      <c r="H220" s="649"/>
      <c r="I220" s="198" t="e">
        <f t="shared" si="45"/>
        <v>#DIV/0!</v>
      </c>
      <c r="J220" s="198" t="e">
        <f t="shared" si="45"/>
        <v>#DIV/0!</v>
      </c>
      <c r="K220" s="198" t="e">
        <f t="shared" si="46"/>
        <v>#DIV/0!</v>
      </c>
      <c r="L220" s="673"/>
      <c r="M220" s="198" t="e">
        <f>RANK(K220, K$218:$K$247)</f>
        <v>#DIV/0!</v>
      </c>
    </row>
    <row r="221" spans="2:53">
      <c r="B221" s="635"/>
      <c r="C221" s="312">
        <v>4</v>
      </c>
      <c r="D221" s="312"/>
      <c r="E221" s="181"/>
      <c r="F221" s="312"/>
      <c r="G221" s="315"/>
      <c r="H221" s="649"/>
      <c r="I221" s="198" t="e">
        <f t="shared" si="45"/>
        <v>#DIV/0!</v>
      </c>
      <c r="J221" s="198" t="e">
        <f t="shared" si="45"/>
        <v>#DIV/0!</v>
      </c>
      <c r="K221" s="198" t="e">
        <f t="shared" si="46"/>
        <v>#DIV/0!</v>
      </c>
      <c r="L221" s="673"/>
      <c r="M221" s="198" t="e">
        <f>RANK(K221, K$218:$K$247)</f>
        <v>#DIV/0!</v>
      </c>
    </row>
    <row r="222" spans="2:53">
      <c r="B222" s="635"/>
      <c r="C222" s="312">
        <v>5</v>
      </c>
      <c r="D222" s="312"/>
      <c r="E222" s="181"/>
      <c r="F222" s="312"/>
      <c r="G222" s="315"/>
      <c r="H222" s="649"/>
      <c r="I222" s="198" t="e">
        <f t="shared" si="45"/>
        <v>#DIV/0!</v>
      </c>
      <c r="J222" s="198" t="e">
        <f t="shared" si="45"/>
        <v>#DIV/0!</v>
      </c>
      <c r="K222" s="198" t="e">
        <f t="shared" si="46"/>
        <v>#DIV/0!</v>
      </c>
      <c r="L222" s="673"/>
      <c r="M222" s="198" t="e">
        <f>RANK(K222, K$218:$K$247)</f>
        <v>#DIV/0!</v>
      </c>
    </row>
    <row r="223" spans="2:53">
      <c r="B223" s="635"/>
      <c r="C223" s="312">
        <v>6</v>
      </c>
      <c r="D223" s="312"/>
      <c r="E223" s="181"/>
      <c r="F223" s="312"/>
      <c r="G223" s="315"/>
      <c r="H223" s="649"/>
      <c r="I223" s="198" t="e">
        <f t="shared" si="45"/>
        <v>#DIV/0!</v>
      </c>
      <c r="J223" s="198" t="e">
        <f t="shared" si="45"/>
        <v>#DIV/0!</v>
      </c>
      <c r="K223" s="198" t="e">
        <f t="shared" si="46"/>
        <v>#DIV/0!</v>
      </c>
      <c r="L223" s="673"/>
      <c r="M223" s="198" t="e">
        <f>RANK(K223, K$218:$K$247)</f>
        <v>#DIV/0!</v>
      </c>
    </row>
    <row r="224" spans="2:53">
      <c r="B224" s="635"/>
      <c r="C224" s="312">
        <v>7</v>
      </c>
      <c r="D224" s="312"/>
      <c r="E224" s="181"/>
      <c r="F224" s="312"/>
      <c r="G224" s="315"/>
      <c r="H224" s="649"/>
      <c r="I224" s="198" t="e">
        <f t="shared" si="45"/>
        <v>#DIV/0!</v>
      </c>
      <c r="J224" s="198" t="e">
        <f t="shared" si="45"/>
        <v>#DIV/0!</v>
      </c>
      <c r="K224" s="198" t="e">
        <f t="shared" si="46"/>
        <v>#DIV/0!</v>
      </c>
      <c r="L224" s="673"/>
      <c r="M224" s="198" t="e">
        <f>RANK(K224, K$218:$K$247)</f>
        <v>#DIV/0!</v>
      </c>
    </row>
    <row r="225" spans="2:39">
      <c r="B225" s="635"/>
      <c r="C225" s="312">
        <v>8</v>
      </c>
      <c r="D225" s="312"/>
      <c r="E225" s="181"/>
      <c r="F225" s="312"/>
      <c r="G225" s="315"/>
      <c r="H225" s="649"/>
      <c r="I225" s="198" t="e">
        <f t="shared" si="45"/>
        <v>#DIV/0!</v>
      </c>
      <c r="J225" s="198" t="e">
        <f t="shared" si="45"/>
        <v>#DIV/0!</v>
      </c>
      <c r="K225" s="198" t="e">
        <f t="shared" si="46"/>
        <v>#DIV/0!</v>
      </c>
      <c r="L225" s="673"/>
      <c r="M225" s="198" t="e">
        <f>RANK(K225, K$218:$K$247)</f>
        <v>#DIV/0!</v>
      </c>
      <c r="N225" s="107"/>
      <c r="O225" s="107"/>
      <c r="P225" s="107"/>
      <c r="Q225" s="107"/>
      <c r="R225" s="107"/>
      <c r="S225" s="107"/>
      <c r="T225" s="107"/>
      <c r="X225" s="107"/>
      <c r="AC225" s="107"/>
      <c r="AH225" s="107"/>
      <c r="AM225" s="107"/>
    </row>
    <row r="226" spans="2:39">
      <c r="B226" s="635"/>
      <c r="C226" s="312">
        <v>9</v>
      </c>
      <c r="D226" s="312"/>
      <c r="E226" s="181"/>
      <c r="F226" s="312"/>
      <c r="G226" s="315"/>
      <c r="H226" s="649"/>
      <c r="I226" s="198" t="e">
        <f t="shared" si="45"/>
        <v>#DIV/0!</v>
      </c>
      <c r="J226" s="198" t="e">
        <f t="shared" si="45"/>
        <v>#DIV/0!</v>
      </c>
      <c r="K226" s="198" t="e">
        <f t="shared" si="46"/>
        <v>#DIV/0!</v>
      </c>
      <c r="L226" s="673"/>
      <c r="M226" s="198" t="e">
        <f>RANK(K226, K$218:$K$247)</f>
        <v>#DIV/0!</v>
      </c>
      <c r="N226" s="107"/>
      <c r="O226" s="107"/>
      <c r="P226" s="107"/>
      <c r="Q226" s="107"/>
      <c r="R226" s="107"/>
      <c r="S226" s="107"/>
      <c r="T226" s="107"/>
      <c r="X226" s="107"/>
      <c r="AC226" s="107"/>
      <c r="AH226" s="107"/>
      <c r="AM226" s="107"/>
    </row>
    <row r="227" spans="2:39">
      <c r="B227" s="635"/>
      <c r="C227" s="312">
        <v>10</v>
      </c>
      <c r="D227" s="312"/>
      <c r="E227" s="181"/>
      <c r="F227" s="312"/>
      <c r="G227" s="315"/>
      <c r="H227" s="649"/>
      <c r="I227" s="198" t="e">
        <f t="shared" si="45"/>
        <v>#DIV/0!</v>
      </c>
      <c r="J227" s="198" t="e">
        <f t="shared" si="45"/>
        <v>#DIV/0!</v>
      </c>
      <c r="K227" s="198" t="e">
        <f t="shared" si="46"/>
        <v>#DIV/0!</v>
      </c>
      <c r="L227" s="673"/>
      <c r="M227" s="198" t="e">
        <f>RANK(K227, K$218:$K$247)</f>
        <v>#DIV/0!</v>
      </c>
      <c r="N227" s="107"/>
      <c r="O227" s="107"/>
      <c r="P227" s="107"/>
      <c r="Q227" s="107"/>
      <c r="R227" s="107"/>
      <c r="S227" s="107"/>
      <c r="T227" s="107"/>
      <c r="X227" s="107"/>
      <c r="AC227" s="107"/>
      <c r="AH227" s="107"/>
      <c r="AM227" s="107"/>
    </row>
    <row r="228" spans="2:39">
      <c r="B228" s="635"/>
      <c r="C228" s="312">
        <v>11</v>
      </c>
      <c r="D228" s="312"/>
      <c r="E228" s="181"/>
      <c r="F228" s="312"/>
      <c r="G228" s="315"/>
      <c r="H228" s="649"/>
      <c r="I228" s="198" t="e">
        <f t="shared" si="45"/>
        <v>#DIV/0!</v>
      </c>
      <c r="J228" s="198" t="e">
        <f t="shared" si="45"/>
        <v>#DIV/0!</v>
      </c>
      <c r="K228" s="198" t="e">
        <f t="shared" si="46"/>
        <v>#DIV/0!</v>
      </c>
      <c r="L228" s="673"/>
      <c r="M228" s="198" t="e">
        <f>RANK(K228, K$218:$K$247)</f>
        <v>#DIV/0!</v>
      </c>
      <c r="N228" s="107"/>
      <c r="O228" s="107"/>
      <c r="P228" s="107"/>
      <c r="Q228" s="107"/>
      <c r="R228" s="107"/>
      <c r="S228" s="107"/>
      <c r="T228" s="107"/>
      <c r="X228" s="107"/>
      <c r="AC228" s="107"/>
      <c r="AH228" s="107"/>
      <c r="AM228" s="107"/>
    </row>
    <row r="229" spans="2:39">
      <c r="B229" s="635"/>
      <c r="C229" s="312">
        <v>12</v>
      </c>
      <c r="D229" s="312"/>
      <c r="E229" s="181"/>
      <c r="F229" s="312"/>
      <c r="G229" s="315"/>
      <c r="H229" s="649"/>
      <c r="I229" s="198" t="e">
        <f t="shared" si="45"/>
        <v>#DIV/0!</v>
      </c>
      <c r="J229" s="198" t="e">
        <f t="shared" si="45"/>
        <v>#DIV/0!</v>
      </c>
      <c r="K229" s="198" t="e">
        <f t="shared" si="46"/>
        <v>#DIV/0!</v>
      </c>
      <c r="L229" s="673"/>
      <c r="M229" s="198" t="e">
        <f>RANK(K229, K$218:$K$247)</f>
        <v>#DIV/0!</v>
      </c>
      <c r="N229" s="107"/>
      <c r="O229" s="107"/>
      <c r="P229" s="107"/>
      <c r="Q229" s="107"/>
      <c r="R229" s="107"/>
      <c r="S229" s="107"/>
      <c r="T229" s="107"/>
      <c r="X229" s="107"/>
      <c r="AC229" s="107"/>
      <c r="AH229" s="107"/>
      <c r="AM229" s="107"/>
    </row>
    <row r="230" spans="2:39">
      <c r="B230" s="635"/>
      <c r="C230" s="312">
        <v>13</v>
      </c>
      <c r="D230" s="312"/>
      <c r="E230" s="181"/>
      <c r="F230" s="312"/>
      <c r="G230" s="315"/>
      <c r="H230" s="649"/>
      <c r="I230" s="198" t="e">
        <f t="shared" si="45"/>
        <v>#DIV/0!</v>
      </c>
      <c r="J230" s="198" t="e">
        <f t="shared" si="45"/>
        <v>#DIV/0!</v>
      </c>
      <c r="K230" s="198" t="e">
        <f t="shared" si="46"/>
        <v>#DIV/0!</v>
      </c>
      <c r="L230" s="673"/>
      <c r="M230" s="198" t="e">
        <f>RANK(K230, K$218:$K$247)</f>
        <v>#DIV/0!</v>
      </c>
      <c r="N230" s="107"/>
      <c r="O230" s="107"/>
      <c r="P230" s="107"/>
      <c r="Q230" s="107"/>
      <c r="R230" s="107"/>
      <c r="S230" s="107"/>
      <c r="T230" s="107"/>
      <c r="X230" s="107"/>
      <c r="AC230" s="107"/>
      <c r="AH230" s="107"/>
      <c r="AM230" s="107"/>
    </row>
    <row r="231" spans="2:39">
      <c r="B231" s="635"/>
      <c r="C231" s="312">
        <v>14</v>
      </c>
      <c r="D231" s="312"/>
      <c r="E231" s="181"/>
      <c r="F231" s="312"/>
      <c r="G231" s="315"/>
      <c r="H231" s="649"/>
      <c r="I231" s="198" t="e">
        <f t="shared" si="45"/>
        <v>#DIV/0!</v>
      </c>
      <c r="J231" s="198" t="e">
        <f t="shared" si="45"/>
        <v>#DIV/0!</v>
      </c>
      <c r="K231" s="198" t="e">
        <f t="shared" si="46"/>
        <v>#DIV/0!</v>
      </c>
      <c r="L231" s="673"/>
      <c r="M231" s="198" t="e">
        <f>RANK(K231, K$218:$K$247)</f>
        <v>#DIV/0!</v>
      </c>
      <c r="N231" s="107"/>
      <c r="O231" s="107"/>
      <c r="P231" s="107"/>
      <c r="Q231" s="107"/>
      <c r="R231" s="107"/>
      <c r="S231" s="107"/>
      <c r="T231" s="107"/>
      <c r="X231" s="107"/>
      <c r="AC231" s="107"/>
      <c r="AH231" s="107"/>
      <c r="AM231" s="107"/>
    </row>
    <row r="232" spans="2:39">
      <c r="B232" s="635"/>
      <c r="C232" s="312">
        <v>15</v>
      </c>
      <c r="D232" s="312"/>
      <c r="E232" s="181"/>
      <c r="F232" s="312"/>
      <c r="G232" s="315"/>
      <c r="H232" s="649"/>
      <c r="I232" s="198" t="e">
        <f t="shared" si="45"/>
        <v>#DIV/0!</v>
      </c>
      <c r="J232" s="198" t="e">
        <f t="shared" si="45"/>
        <v>#DIV/0!</v>
      </c>
      <c r="K232" s="198" t="e">
        <f t="shared" si="46"/>
        <v>#DIV/0!</v>
      </c>
      <c r="L232" s="673"/>
      <c r="M232" s="198" t="e">
        <f>RANK(K232, K$218:$K$247)</f>
        <v>#DIV/0!</v>
      </c>
      <c r="N232" s="107"/>
      <c r="O232" s="107"/>
      <c r="P232" s="107"/>
      <c r="Q232" s="107"/>
      <c r="R232" s="107"/>
      <c r="S232" s="107"/>
      <c r="T232" s="107"/>
      <c r="X232" s="107"/>
      <c r="AC232" s="107"/>
      <c r="AH232" s="107"/>
      <c r="AM232" s="107"/>
    </row>
    <row r="233" spans="2:39">
      <c r="B233" s="635"/>
      <c r="C233" s="312">
        <v>16</v>
      </c>
      <c r="D233" s="312"/>
      <c r="E233" s="181"/>
      <c r="F233" s="312"/>
      <c r="G233" s="315"/>
      <c r="H233" s="649"/>
      <c r="I233" s="198" t="e">
        <f t="shared" si="45"/>
        <v>#DIV/0!</v>
      </c>
      <c r="J233" s="198" t="e">
        <f t="shared" si="45"/>
        <v>#DIV/0!</v>
      </c>
      <c r="K233" s="198" t="e">
        <f t="shared" si="46"/>
        <v>#DIV/0!</v>
      </c>
      <c r="L233" s="673"/>
      <c r="M233" s="198" t="e">
        <f>RANK(K233, K$218:$K$247)</f>
        <v>#DIV/0!</v>
      </c>
      <c r="N233" s="107"/>
      <c r="O233" s="107"/>
      <c r="P233" s="107"/>
      <c r="Q233" s="107"/>
      <c r="R233" s="107"/>
      <c r="S233" s="107"/>
      <c r="T233" s="107"/>
      <c r="X233" s="107"/>
      <c r="AC233" s="107"/>
      <c r="AH233" s="107"/>
      <c r="AM233" s="107"/>
    </row>
    <row r="234" spans="2:39">
      <c r="B234" s="635"/>
      <c r="C234" s="312">
        <v>17</v>
      </c>
      <c r="D234" s="312"/>
      <c r="E234" s="181"/>
      <c r="F234" s="312"/>
      <c r="G234" s="315"/>
      <c r="H234" s="649"/>
      <c r="I234" s="198" t="e">
        <f t="shared" si="45"/>
        <v>#DIV/0!</v>
      </c>
      <c r="J234" s="198" t="e">
        <f t="shared" si="45"/>
        <v>#DIV/0!</v>
      </c>
      <c r="K234" s="198" t="e">
        <f t="shared" si="46"/>
        <v>#DIV/0!</v>
      </c>
      <c r="L234" s="673"/>
      <c r="M234" s="198" t="e">
        <f>RANK(K234, K$218:$K$247)</f>
        <v>#DIV/0!</v>
      </c>
      <c r="N234" s="107"/>
      <c r="O234" s="107"/>
      <c r="P234" s="107"/>
      <c r="Q234" s="107"/>
      <c r="R234" s="107"/>
      <c r="S234" s="107"/>
      <c r="T234" s="107"/>
      <c r="X234" s="107"/>
      <c r="AC234" s="107"/>
      <c r="AH234" s="107"/>
      <c r="AM234" s="107"/>
    </row>
    <row r="235" spans="2:39">
      <c r="B235" s="635"/>
      <c r="C235" s="312">
        <v>18</v>
      </c>
      <c r="D235" s="312"/>
      <c r="E235" s="181"/>
      <c r="F235" s="312"/>
      <c r="G235" s="315"/>
      <c r="H235" s="649"/>
      <c r="I235" s="198" t="e">
        <f t="shared" si="45"/>
        <v>#DIV/0!</v>
      </c>
      <c r="J235" s="198" t="e">
        <f t="shared" si="45"/>
        <v>#DIV/0!</v>
      </c>
      <c r="K235" s="198" t="e">
        <f t="shared" si="46"/>
        <v>#DIV/0!</v>
      </c>
      <c r="L235" s="673"/>
      <c r="M235" s="198" t="e">
        <f>RANK(K235, K$218:$K$247)</f>
        <v>#DIV/0!</v>
      </c>
      <c r="N235" s="107"/>
      <c r="O235" s="107"/>
      <c r="P235" s="107"/>
      <c r="Q235" s="107"/>
      <c r="R235" s="107"/>
      <c r="S235" s="107"/>
      <c r="T235" s="107"/>
      <c r="X235" s="107"/>
      <c r="AC235" s="107"/>
      <c r="AH235" s="107"/>
      <c r="AM235" s="107"/>
    </row>
    <row r="236" spans="2:39">
      <c r="B236" s="635"/>
      <c r="C236" s="312">
        <v>19</v>
      </c>
      <c r="D236" s="312"/>
      <c r="E236" s="181"/>
      <c r="F236" s="312"/>
      <c r="G236" s="315"/>
      <c r="H236" s="649"/>
      <c r="I236" s="198" t="e">
        <f t="shared" si="45"/>
        <v>#DIV/0!</v>
      </c>
      <c r="J236" s="198" t="e">
        <f t="shared" si="45"/>
        <v>#DIV/0!</v>
      </c>
      <c r="K236" s="198" t="e">
        <f t="shared" si="46"/>
        <v>#DIV/0!</v>
      </c>
      <c r="L236" s="673"/>
      <c r="M236" s="198" t="e">
        <f>RANK(K236, K$218:$K$247)</f>
        <v>#DIV/0!</v>
      </c>
      <c r="N236" s="107"/>
      <c r="O236" s="107"/>
      <c r="P236" s="107"/>
      <c r="Q236" s="107"/>
      <c r="R236" s="107"/>
      <c r="S236" s="107"/>
      <c r="T236" s="107"/>
      <c r="X236" s="107"/>
      <c r="AC236" s="107"/>
      <c r="AH236" s="107"/>
      <c r="AM236" s="107"/>
    </row>
    <row r="237" spans="2:39">
      <c r="B237" s="635"/>
      <c r="C237" s="312">
        <v>20</v>
      </c>
      <c r="D237" s="312"/>
      <c r="E237" s="181"/>
      <c r="F237" s="312"/>
      <c r="G237" s="315"/>
      <c r="H237" s="649"/>
      <c r="I237" s="198" t="e">
        <f t="shared" si="45"/>
        <v>#DIV/0!</v>
      </c>
      <c r="J237" s="198" t="e">
        <f t="shared" si="45"/>
        <v>#DIV/0!</v>
      </c>
      <c r="K237" s="198" t="e">
        <f t="shared" si="46"/>
        <v>#DIV/0!</v>
      </c>
      <c r="L237" s="673"/>
      <c r="M237" s="198" t="e">
        <f>RANK(K237, K$218:$K$247)</f>
        <v>#DIV/0!</v>
      </c>
      <c r="N237" s="107"/>
      <c r="O237" s="107"/>
      <c r="P237" s="107"/>
      <c r="Q237" s="107"/>
      <c r="R237" s="107"/>
      <c r="S237" s="107"/>
      <c r="T237" s="107"/>
      <c r="X237" s="107"/>
      <c r="AC237" s="107"/>
      <c r="AH237" s="107"/>
      <c r="AM237" s="107"/>
    </row>
    <row r="238" spans="2:39">
      <c r="B238" s="635"/>
      <c r="C238" s="312">
        <v>21</v>
      </c>
      <c r="D238" s="312"/>
      <c r="E238" s="181"/>
      <c r="F238" s="312"/>
      <c r="G238" s="315"/>
      <c r="H238" s="649"/>
      <c r="I238" s="198" t="e">
        <f t="shared" si="45"/>
        <v>#DIV/0!</v>
      </c>
      <c r="J238" s="198" t="e">
        <f t="shared" si="45"/>
        <v>#DIV/0!</v>
      </c>
      <c r="K238" s="198" t="e">
        <f t="shared" si="46"/>
        <v>#DIV/0!</v>
      </c>
      <c r="L238" s="673"/>
      <c r="M238" s="198" t="e">
        <f>RANK(K238, K$218:$K$247)</f>
        <v>#DIV/0!</v>
      </c>
      <c r="N238" s="107"/>
      <c r="O238" s="107"/>
      <c r="P238" s="107"/>
      <c r="Q238" s="107"/>
      <c r="R238" s="107"/>
      <c r="S238" s="107"/>
      <c r="T238" s="107"/>
      <c r="X238" s="107"/>
      <c r="AC238" s="107"/>
      <c r="AH238" s="107"/>
      <c r="AM238" s="107"/>
    </row>
    <row r="239" spans="2:39">
      <c r="B239" s="635"/>
      <c r="C239" s="312">
        <v>22</v>
      </c>
      <c r="D239" s="312"/>
      <c r="E239" s="181"/>
      <c r="F239" s="312"/>
      <c r="G239" s="315"/>
      <c r="H239" s="649"/>
      <c r="I239" s="198" t="e">
        <f t="shared" si="45"/>
        <v>#DIV/0!</v>
      </c>
      <c r="J239" s="198" t="e">
        <f t="shared" si="45"/>
        <v>#DIV/0!</v>
      </c>
      <c r="K239" s="198" t="e">
        <f t="shared" si="46"/>
        <v>#DIV/0!</v>
      </c>
      <c r="L239" s="673"/>
      <c r="M239" s="198" t="e">
        <f>RANK(K239, K$218:$K$247)</f>
        <v>#DIV/0!</v>
      </c>
      <c r="N239" s="107"/>
      <c r="O239" s="107"/>
      <c r="P239" s="107"/>
      <c r="Q239" s="107"/>
      <c r="R239" s="107"/>
      <c r="S239" s="107"/>
      <c r="T239" s="107"/>
      <c r="X239" s="107"/>
      <c r="AC239" s="107"/>
      <c r="AH239" s="107"/>
      <c r="AM239" s="107"/>
    </row>
    <row r="240" spans="2:39">
      <c r="B240" s="635"/>
      <c r="C240" s="312">
        <v>23</v>
      </c>
      <c r="D240" s="312"/>
      <c r="E240" s="181"/>
      <c r="F240" s="312"/>
      <c r="G240" s="315"/>
      <c r="H240" s="649"/>
      <c r="I240" s="198" t="e">
        <f t="shared" si="45"/>
        <v>#DIV/0!</v>
      </c>
      <c r="J240" s="198" t="e">
        <f t="shared" si="45"/>
        <v>#DIV/0!</v>
      </c>
      <c r="K240" s="198" t="e">
        <f t="shared" si="46"/>
        <v>#DIV/0!</v>
      </c>
      <c r="L240" s="673"/>
      <c r="M240" s="198" t="e">
        <f>RANK(K240, K$218:$K$247)</f>
        <v>#DIV/0!</v>
      </c>
      <c r="N240" s="107"/>
      <c r="O240" s="107"/>
      <c r="P240" s="107"/>
      <c r="Q240" s="107"/>
      <c r="R240" s="107"/>
      <c r="S240" s="107"/>
      <c r="T240" s="107"/>
      <c r="X240" s="107"/>
      <c r="AC240" s="107"/>
      <c r="AH240" s="107"/>
      <c r="AM240" s="107"/>
    </row>
    <row r="241" spans="2:39">
      <c r="B241" s="635"/>
      <c r="C241" s="312">
        <v>24</v>
      </c>
      <c r="D241" s="312"/>
      <c r="E241" s="181"/>
      <c r="F241" s="312"/>
      <c r="G241" s="315"/>
      <c r="H241" s="649"/>
      <c r="I241" s="198" t="e">
        <f t="shared" si="45"/>
        <v>#DIV/0!</v>
      </c>
      <c r="J241" s="198" t="e">
        <f t="shared" si="45"/>
        <v>#DIV/0!</v>
      </c>
      <c r="K241" s="198" t="e">
        <f t="shared" si="46"/>
        <v>#DIV/0!</v>
      </c>
      <c r="L241" s="673"/>
      <c r="M241" s="198" t="e">
        <f>RANK(K241, K$218:$K$247)</f>
        <v>#DIV/0!</v>
      </c>
      <c r="N241" s="107"/>
      <c r="O241" s="107"/>
      <c r="P241" s="107"/>
      <c r="Q241" s="107"/>
      <c r="R241" s="107"/>
      <c r="S241" s="107"/>
      <c r="T241" s="107"/>
      <c r="X241" s="107"/>
      <c r="AC241" s="107"/>
      <c r="AH241" s="107"/>
      <c r="AM241" s="107"/>
    </row>
    <row r="242" spans="2:39">
      <c r="B242" s="635"/>
      <c r="C242" s="312">
        <v>25</v>
      </c>
      <c r="D242" s="312"/>
      <c r="E242" s="181"/>
      <c r="F242" s="312"/>
      <c r="G242" s="315"/>
      <c r="H242" s="649"/>
      <c r="I242" s="198"/>
      <c r="J242" s="198"/>
      <c r="K242" s="198"/>
      <c r="L242" s="673"/>
      <c r="M242" s="198" t="e">
        <f>RANK(K242, K$218:$K$247)</f>
        <v>#DIV/0!</v>
      </c>
      <c r="N242" s="107"/>
      <c r="O242" s="107"/>
      <c r="P242" s="107"/>
      <c r="Q242" s="107"/>
      <c r="R242" s="107"/>
      <c r="S242" s="107"/>
      <c r="T242" s="107"/>
      <c r="X242" s="107"/>
      <c r="AC242" s="107"/>
      <c r="AH242" s="107"/>
      <c r="AM242" s="107"/>
    </row>
    <row r="243" spans="2:39">
      <c r="B243" s="635"/>
      <c r="C243" s="312">
        <v>26</v>
      </c>
      <c r="D243" s="312"/>
      <c r="E243" s="181"/>
      <c r="F243" s="312"/>
      <c r="G243" s="315"/>
      <c r="H243" s="649"/>
      <c r="I243" s="198"/>
      <c r="J243" s="198"/>
      <c r="K243" s="198"/>
      <c r="L243" s="673"/>
      <c r="M243" s="198" t="e">
        <f>RANK(K243, K$218:$K$247)</f>
        <v>#DIV/0!</v>
      </c>
      <c r="N243" s="107"/>
      <c r="O243" s="107"/>
      <c r="P243" s="107"/>
      <c r="Q243" s="107"/>
      <c r="R243" s="107"/>
      <c r="S243" s="107"/>
      <c r="T243" s="107"/>
      <c r="X243" s="107"/>
      <c r="AC243" s="107"/>
      <c r="AH243" s="107"/>
      <c r="AM243" s="107"/>
    </row>
    <row r="244" spans="2:39">
      <c r="B244" s="635"/>
      <c r="C244" s="312">
        <v>27</v>
      </c>
      <c r="D244" s="312"/>
      <c r="E244" s="181"/>
      <c r="F244" s="312"/>
      <c r="G244" s="315"/>
      <c r="H244" s="649"/>
      <c r="I244" s="198"/>
      <c r="J244" s="198"/>
      <c r="K244" s="198"/>
      <c r="L244" s="673"/>
      <c r="M244" s="198" t="e">
        <f>RANK(K244, K$218:$K$247)</f>
        <v>#DIV/0!</v>
      </c>
      <c r="N244" s="107"/>
      <c r="O244" s="107"/>
      <c r="P244" s="107"/>
      <c r="Q244" s="107"/>
      <c r="R244" s="107"/>
      <c r="S244" s="107"/>
      <c r="T244" s="107"/>
      <c r="X244" s="107"/>
      <c r="AC244" s="107"/>
      <c r="AH244" s="107"/>
      <c r="AM244" s="107"/>
    </row>
    <row r="245" spans="2:39">
      <c r="B245" s="635"/>
      <c r="C245" s="312">
        <v>28</v>
      </c>
      <c r="D245" s="312"/>
      <c r="E245" s="181"/>
      <c r="F245" s="312"/>
      <c r="G245" s="315"/>
      <c r="H245" s="649"/>
      <c r="I245" s="198"/>
      <c r="J245" s="198"/>
      <c r="K245" s="198"/>
      <c r="L245" s="673"/>
      <c r="M245" s="198" t="e">
        <f>RANK(K245, K$218:$K$247)</f>
        <v>#DIV/0!</v>
      </c>
      <c r="N245" s="107"/>
      <c r="O245" s="107"/>
      <c r="P245" s="107"/>
      <c r="Q245" s="107"/>
      <c r="R245" s="107"/>
      <c r="S245" s="107"/>
      <c r="T245" s="107"/>
      <c r="X245" s="107"/>
      <c r="AC245" s="107"/>
      <c r="AH245" s="107"/>
      <c r="AM245" s="107"/>
    </row>
    <row r="246" spans="2:39">
      <c r="B246" s="635"/>
      <c r="C246" s="312">
        <v>29</v>
      </c>
      <c r="D246" s="312"/>
      <c r="E246" s="181"/>
      <c r="F246" s="312"/>
      <c r="G246" s="315"/>
      <c r="H246" s="649"/>
      <c r="I246" s="198"/>
      <c r="J246" s="198"/>
      <c r="K246" s="198"/>
      <c r="L246" s="673"/>
      <c r="M246" s="198" t="e">
        <f>RANK(K246, K$218:$K$247)</f>
        <v>#DIV/0!</v>
      </c>
      <c r="N246" s="107"/>
      <c r="O246" s="107"/>
      <c r="P246" s="107"/>
      <c r="Q246" s="107"/>
      <c r="R246" s="107"/>
      <c r="S246" s="107"/>
      <c r="T246" s="107"/>
      <c r="X246" s="107"/>
      <c r="AC246" s="107"/>
      <c r="AH246" s="107"/>
      <c r="AM246" s="107"/>
    </row>
    <row r="247" spans="2:39">
      <c r="B247" s="635"/>
      <c r="C247" s="312">
        <v>30</v>
      </c>
      <c r="D247" s="312"/>
      <c r="E247" s="181"/>
      <c r="F247" s="312"/>
      <c r="G247" s="315"/>
      <c r="H247" s="649"/>
      <c r="I247" s="198"/>
      <c r="J247" s="198"/>
      <c r="K247" s="198"/>
      <c r="L247" s="673"/>
      <c r="M247" s="198" t="e">
        <f>RANK(K247, K$218:$K$247)</f>
        <v>#DIV/0!</v>
      </c>
      <c r="N247" s="107"/>
      <c r="O247" s="107"/>
      <c r="P247" s="107"/>
      <c r="Q247" s="107"/>
      <c r="R247" s="107"/>
      <c r="S247" s="107"/>
      <c r="T247" s="107"/>
      <c r="X247" s="107"/>
      <c r="AC247" s="107"/>
      <c r="AH247" s="107"/>
      <c r="AM247" s="107"/>
    </row>
  </sheetData>
  <mergeCells count="379"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Normal="100" workbookViewId="0">
      <pane xSplit="15" topLeftCell="P1" activePane="topRight" state="frozen"/>
      <selection activeCell="T27" sqref="S27:T41"/>
      <selection pane="topRight" activeCell="T27" sqref="S27:T4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314</v>
      </c>
      <c r="C1" s="219">
        <f>AVERAGE(L7,L27,L47,L67,L87,L107)</f>
        <v>72.231893995914191</v>
      </c>
    </row>
    <row r="2" spans="1:53" ht="15.75">
      <c r="A2" s="81"/>
      <c r="B2" s="639" t="s">
        <v>163</v>
      </c>
      <c r="C2" s="639"/>
      <c r="D2" s="639"/>
      <c r="E2" s="639"/>
      <c r="F2" s="639"/>
      <c r="G2" s="639"/>
      <c r="H2" s="639"/>
      <c r="I2" s="293"/>
      <c r="J2" s="293"/>
      <c r="K2" s="293"/>
      <c r="L2" s="293"/>
      <c r="M2" s="196"/>
      <c r="N2" s="628" t="s">
        <v>156</v>
      </c>
      <c r="O2" s="628" t="s">
        <v>155</v>
      </c>
      <c r="P2" s="655">
        <v>46140</v>
      </c>
      <c r="Q2" s="656"/>
      <c r="R2" s="656"/>
      <c r="S2" s="656"/>
      <c r="T2" s="657"/>
      <c r="U2" s="634">
        <f>P2+1</f>
        <v>46141</v>
      </c>
      <c r="V2" s="635"/>
      <c r="W2" s="635"/>
      <c r="X2" s="635"/>
      <c r="Y2" s="635"/>
      <c r="Z2" s="634">
        <f>U2+1</f>
        <v>46142</v>
      </c>
      <c r="AA2" s="635"/>
      <c r="AB2" s="635"/>
      <c r="AC2" s="635"/>
      <c r="AD2" s="635"/>
      <c r="AE2" s="634">
        <f>Z2+1</f>
        <v>46143</v>
      </c>
      <c r="AF2" s="635"/>
      <c r="AG2" s="635"/>
      <c r="AH2" s="635"/>
      <c r="AI2" s="635"/>
      <c r="AJ2" s="634">
        <f>AE2+1</f>
        <v>46144</v>
      </c>
      <c r="AK2" s="635"/>
      <c r="AL2" s="635"/>
      <c r="AM2" s="635"/>
      <c r="AN2" s="635"/>
      <c r="AO2" s="634">
        <f>AJ2+1</f>
        <v>46145</v>
      </c>
      <c r="AP2" s="635"/>
      <c r="AQ2" s="635"/>
      <c r="AR2" s="635"/>
      <c r="AS2" s="635"/>
      <c r="AT2" s="631">
        <f>AO2+1</f>
        <v>46146</v>
      </c>
      <c r="AU2" s="632"/>
      <c r="AV2" s="632"/>
      <c r="AW2" s="632"/>
      <c r="AX2" s="633"/>
    </row>
    <row r="3" spans="1:53" ht="15.75">
      <c r="A3" s="81"/>
      <c r="B3" s="658"/>
      <c r="C3" s="658"/>
      <c r="D3" s="658"/>
      <c r="E3" s="658"/>
      <c r="F3" s="658"/>
      <c r="G3" s="658"/>
      <c r="H3" s="658"/>
      <c r="I3" s="294"/>
      <c r="J3" s="294"/>
      <c r="K3" s="294"/>
      <c r="L3" s="294"/>
      <c r="M3" s="197"/>
      <c r="N3" s="630"/>
      <c r="O3" s="630"/>
      <c r="P3" s="631" t="s">
        <v>158</v>
      </c>
      <c r="Q3" s="632"/>
      <c r="R3" s="632"/>
      <c r="S3" s="632"/>
      <c r="T3" s="633"/>
      <c r="U3" s="631" t="s">
        <v>114</v>
      </c>
      <c r="V3" s="632"/>
      <c r="W3" s="632"/>
      <c r="X3" s="632"/>
      <c r="Y3" s="633"/>
      <c r="Z3" s="631" t="s">
        <v>159</v>
      </c>
      <c r="AA3" s="632"/>
      <c r="AB3" s="632"/>
      <c r="AC3" s="632"/>
      <c r="AD3" s="633"/>
      <c r="AE3" s="631" t="s">
        <v>157</v>
      </c>
      <c r="AF3" s="632"/>
      <c r="AG3" s="632"/>
      <c r="AH3" s="632"/>
      <c r="AI3" s="633"/>
      <c r="AJ3" s="631" t="s">
        <v>160</v>
      </c>
      <c r="AK3" s="632"/>
      <c r="AL3" s="632"/>
      <c r="AM3" s="632"/>
      <c r="AN3" s="633"/>
      <c r="AO3" s="631" t="s">
        <v>161</v>
      </c>
      <c r="AP3" s="632"/>
      <c r="AQ3" s="632"/>
      <c r="AR3" s="632"/>
      <c r="AS3" s="633"/>
      <c r="AT3" s="631" t="s">
        <v>162</v>
      </c>
      <c r="AU3" s="632"/>
      <c r="AV3" s="632"/>
      <c r="AW3" s="632"/>
      <c r="AX3" s="633"/>
    </row>
    <row r="4" spans="1:53" ht="14.25">
      <c r="A4" s="81"/>
      <c r="B4" s="627" t="s">
        <v>154</v>
      </c>
      <c r="C4" s="627" t="s">
        <v>384</v>
      </c>
      <c r="D4" s="627"/>
      <c r="E4" s="627" t="s">
        <v>375</v>
      </c>
      <c r="F4" s="627"/>
      <c r="G4" s="627"/>
      <c r="H4" s="643" t="s">
        <v>371</v>
      </c>
      <c r="I4" s="611" t="s">
        <v>376</v>
      </c>
      <c r="J4" s="611"/>
      <c r="K4" s="611"/>
      <c r="L4" s="612" t="s">
        <v>371</v>
      </c>
      <c r="M4" s="618" t="s">
        <v>372</v>
      </c>
      <c r="N4" s="627"/>
      <c r="O4" s="627" t="s">
        <v>377</v>
      </c>
      <c r="P4" s="624" t="s">
        <v>373</v>
      </c>
      <c r="Q4" s="625"/>
      <c r="R4" s="625"/>
      <c r="S4" s="626"/>
      <c r="T4" s="627" t="s">
        <v>371</v>
      </c>
      <c r="U4" s="624" t="s">
        <v>373</v>
      </c>
      <c r="V4" s="625"/>
      <c r="W4" s="625"/>
      <c r="X4" s="626"/>
      <c r="Y4" s="627" t="s">
        <v>371</v>
      </c>
      <c r="Z4" s="624" t="s">
        <v>373</v>
      </c>
      <c r="AA4" s="625"/>
      <c r="AB4" s="625"/>
      <c r="AC4" s="626"/>
      <c r="AD4" s="627" t="s">
        <v>371</v>
      </c>
      <c r="AE4" s="624" t="s">
        <v>373</v>
      </c>
      <c r="AF4" s="625"/>
      <c r="AG4" s="625"/>
      <c r="AH4" s="626"/>
      <c r="AI4" s="627" t="s">
        <v>371</v>
      </c>
      <c r="AJ4" s="624" t="s">
        <v>373</v>
      </c>
      <c r="AK4" s="625"/>
      <c r="AL4" s="625"/>
      <c r="AM4" s="626"/>
      <c r="AN4" s="627" t="s">
        <v>371</v>
      </c>
      <c r="AO4" s="624" t="s">
        <v>373</v>
      </c>
      <c r="AP4" s="625"/>
      <c r="AQ4" s="625"/>
      <c r="AR4" s="626"/>
      <c r="AS4" s="627" t="s">
        <v>371</v>
      </c>
      <c r="AT4" s="624" t="s">
        <v>373</v>
      </c>
      <c r="AU4" s="625"/>
      <c r="AV4" s="625"/>
      <c r="AW4" s="626"/>
      <c r="AX4" s="627" t="s">
        <v>371</v>
      </c>
      <c r="BA4" s="627" t="s">
        <v>371</v>
      </c>
    </row>
    <row r="5" spans="1:53" ht="14.25">
      <c r="A5" s="81"/>
      <c r="B5" s="627"/>
      <c r="C5" s="627"/>
      <c r="D5" s="627"/>
      <c r="E5" s="627" t="s">
        <v>378</v>
      </c>
      <c r="F5" s="627"/>
      <c r="G5" s="627"/>
      <c r="H5" s="644"/>
      <c r="I5" s="611" t="s">
        <v>378</v>
      </c>
      <c r="J5" s="611"/>
      <c r="K5" s="611"/>
      <c r="L5" s="613"/>
      <c r="M5" s="619"/>
      <c r="N5" s="627"/>
      <c r="O5" s="627"/>
      <c r="P5" s="624" t="s">
        <v>379</v>
      </c>
      <c r="Q5" s="625"/>
      <c r="R5" s="625"/>
      <c r="S5" s="626"/>
      <c r="T5" s="627"/>
      <c r="U5" s="624" t="s">
        <v>379</v>
      </c>
      <c r="V5" s="625"/>
      <c r="W5" s="625"/>
      <c r="X5" s="626"/>
      <c r="Y5" s="627"/>
      <c r="Z5" s="624" t="s">
        <v>379</v>
      </c>
      <c r="AA5" s="625"/>
      <c r="AB5" s="625"/>
      <c r="AC5" s="626"/>
      <c r="AD5" s="627"/>
      <c r="AE5" s="624" t="s">
        <v>379</v>
      </c>
      <c r="AF5" s="625"/>
      <c r="AG5" s="625"/>
      <c r="AH5" s="626"/>
      <c r="AI5" s="627"/>
      <c r="AJ5" s="624" t="s">
        <v>379</v>
      </c>
      <c r="AK5" s="625"/>
      <c r="AL5" s="625"/>
      <c r="AM5" s="626"/>
      <c r="AN5" s="627"/>
      <c r="AO5" s="624" t="s">
        <v>379</v>
      </c>
      <c r="AP5" s="625"/>
      <c r="AQ5" s="625"/>
      <c r="AR5" s="626"/>
      <c r="AS5" s="627"/>
      <c r="AT5" s="624" t="s">
        <v>379</v>
      </c>
      <c r="AU5" s="625"/>
      <c r="AV5" s="625"/>
      <c r="AW5" s="626"/>
      <c r="AX5" s="627"/>
      <c r="BA5" s="627"/>
    </row>
    <row r="6" spans="1:53" ht="14.25">
      <c r="A6" s="79"/>
      <c r="B6" s="627"/>
      <c r="C6" s="627"/>
      <c r="D6" s="627"/>
      <c r="E6" s="412" t="s">
        <v>380</v>
      </c>
      <c r="F6" s="412" t="s">
        <v>381</v>
      </c>
      <c r="G6" s="412" t="s">
        <v>382</v>
      </c>
      <c r="H6" s="645"/>
      <c r="I6" s="411" t="s">
        <v>380</v>
      </c>
      <c r="J6" s="411" t="s">
        <v>381</v>
      </c>
      <c r="K6" s="411" t="s">
        <v>382</v>
      </c>
      <c r="L6" s="614"/>
      <c r="M6" s="620"/>
      <c r="N6" s="627"/>
      <c r="O6" s="627"/>
      <c r="P6" s="412" t="s">
        <v>380</v>
      </c>
      <c r="Q6" s="412" t="s">
        <v>381</v>
      </c>
      <c r="R6" s="412" t="s">
        <v>382</v>
      </c>
      <c r="S6" s="412" t="s">
        <v>372</v>
      </c>
      <c r="T6" s="627"/>
      <c r="U6" s="412" t="s">
        <v>380</v>
      </c>
      <c r="V6" s="412" t="s">
        <v>381</v>
      </c>
      <c r="W6" s="412" t="s">
        <v>382</v>
      </c>
      <c r="X6" s="412" t="s">
        <v>372</v>
      </c>
      <c r="Y6" s="627"/>
      <c r="Z6" s="412" t="s">
        <v>380</v>
      </c>
      <c r="AA6" s="412" t="s">
        <v>381</v>
      </c>
      <c r="AB6" s="412" t="s">
        <v>382</v>
      </c>
      <c r="AC6" s="412" t="s">
        <v>372</v>
      </c>
      <c r="AD6" s="627"/>
      <c r="AE6" s="412" t="s">
        <v>380</v>
      </c>
      <c r="AF6" s="412" t="s">
        <v>381</v>
      </c>
      <c r="AG6" s="412" t="s">
        <v>382</v>
      </c>
      <c r="AH6" s="412" t="s">
        <v>372</v>
      </c>
      <c r="AI6" s="627"/>
      <c r="AJ6" s="412" t="s">
        <v>380</v>
      </c>
      <c r="AK6" s="412" t="s">
        <v>381</v>
      </c>
      <c r="AL6" s="412" t="s">
        <v>382</v>
      </c>
      <c r="AM6" s="412" t="s">
        <v>372</v>
      </c>
      <c r="AN6" s="627"/>
      <c r="AO6" s="412" t="s">
        <v>380</v>
      </c>
      <c r="AP6" s="412" t="s">
        <v>381</v>
      </c>
      <c r="AQ6" s="412" t="s">
        <v>382</v>
      </c>
      <c r="AR6" s="412" t="s">
        <v>372</v>
      </c>
      <c r="AS6" s="627"/>
      <c r="AT6" s="412" t="s">
        <v>380</v>
      </c>
      <c r="AU6" s="412" t="s">
        <v>381</v>
      </c>
      <c r="AV6" s="412" t="s">
        <v>382</v>
      </c>
      <c r="AW6" s="412" t="s">
        <v>372</v>
      </c>
      <c r="AX6" s="627"/>
      <c r="AZ6" s="401" t="s">
        <v>372</v>
      </c>
      <c r="BA6" s="627"/>
    </row>
    <row r="7" spans="1:53" ht="14.25">
      <c r="A7" s="81"/>
      <c r="B7" s="627" t="s">
        <v>132</v>
      </c>
      <c r="C7" s="413">
        <v>1</v>
      </c>
      <c r="D7" s="225" t="s">
        <v>716</v>
      </c>
      <c r="E7" s="420">
        <v>17</v>
      </c>
      <c r="F7" s="500">
        <v>1440</v>
      </c>
      <c r="G7" s="501">
        <v>84.705882352941174</v>
      </c>
      <c r="H7" s="677">
        <f>AVERAGE(G7:G21)</f>
        <v>79.694863100435867</v>
      </c>
      <c r="I7" s="417">
        <f t="shared" ref="I7:I20" si="0">IFERROR(AVERAGE(P7,U7,Z7,AE7,AJ7,AO7,AT7),"-")</f>
        <v>17</v>
      </c>
      <c r="J7" s="417">
        <f t="shared" ref="J7:J20" si="1">IFERROR(AVERAGE(Q7,V7,AA7,AF7,AK7,AP7,AU7),"-")</f>
        <v>1286.0602903118672</v>
      </c>
      <c r="K7" s="199">
        <f t="shared" ref="K7:K20" si="2">IFERROR(AVERAGE(R7,W7,AB7,AG7,AL7,AQ7,AV7),"-")</f>
        <v>75.650605312462773</v>
      </c>
      <c r="L7" s="608">
        <f>IFERROR(AVERAGE(K7:K21),"-")</f>
        <v>72.468349889814732</v>
      </c>
      <c r="M7" s="419">
        <f>RANK(K7, K$7:$K$21)</f>
        <v>4</v>
      </c>
      <c r="N7" s="627"/>
      <c r="O7" s="627"/>
      <c r="P7" s="500">
        <v>17</v>
      </c>
      <c r="Q7" s="420">
        <v>1276.8539325842696</v>
      </c>
      <c r="R7" s="420">
        <v>75.109054857898215</v>
      </c>
      <c r="S7" s="500">
        <f t="shared" ref="S7:S21" si="3">RANK(R7, R$7:R$21)</f>
        <v>5</v>
      </c>
      <c r="T7" s="649">
        <f t="shared" ref="T7" si="4">AVERAGE(R7:R21)</f>
        <v>72.119457095091747</v>
      </c>
      <c r="U7" s="500">
        <v>17</v>
      </c>
      <c r="V7" s="420">
        <v>1296.4948453608251</v>
      </c>
      <c r="W7" s="420">
        <v>76.264402668283836</v>
      </c>
      <c r="X7" s="500">
        <f t="shared" ref="X7:X21" si="5">RANK(W7, W$7:W$21)</f>
        <v>4</v>
      </c>
      <c r="Y7" s="649">
        <f t="shared" ref="Y7" si="6">AVERAGE(W7:W21)</f>
        <v>72.722977097532521</v>
      </c>
      <c r="Z7" s="500">
        <v>17</v>
      </c>
      <c r="AA7" s="420">
        <v>1308.409090909091</v>
      </c>
      <c r="AB7" s="420">
        <v>76.965240641711233</v>
      </c>
      <c r="AC7" s="500">
        <f t="shared" ref="AC7:AC21" si="7">RANK(AB7, AB$7:AB$21)</f>
        <v>4</v>
      </c>
      <c r="AD7" s="649">
        <f t="shared" ref="AD7" si="8">AVERAGE(AB7:AB21)</f>
        <v>72.765739960917713</v>
      </c>
      <c r="AE7" s="500">
        <v>17</v>
      </c>
      <c r="AF7" s="420">
        <v>1286.6666666666665</v>
      </c>
      <c r="AG7" s="420">
        <v>75.686274509803908</v>
      </c>
      <c r="AH7" s="500">
        <f t="shared" ref="AH7:AH21" si="9">RANK(AG7, AG$7:AG$21)</f>
        <v>4</v>
      </c>
      <c r="AI7" s="649">
        <f t="shared" ref="AI7" si="10">AVERAGE(AG7:AG21)</f>
        <v>71.47560682967611</v>
      </c>
      <c r="AJ7" s="500">
        <v>17</v>
      </c>
      <c r="AK7" s="420">
        <v>1280.6250000000005</v>
      </c>
      <c r="AL7" s="420">
        <v>75.330882352941202</v>
      </c>
      <c r="AM7" s="500">
        <f t="shared" ref="AM7:AM21" si="11">RANK(AL7, AL$7:AL$21)</f>
        <v>4</v>
      </c>
      <c r="AN7" s="649">
        <f t="shared" ref="AN7" si="12">AVERAGE(AL7:AL21)</f>
        <v>72.794758091582509</v>
      </c>
      <c r="AO7" s="500">
        <v>17</v>
      </c>
      <c r="AP7" s="420">
        <v>1277.9439252336456</v>
      </c>
      <c r="AQ7" s="420">
        <v>75.173172072567382</v>
      </c>
      <c r="AR7" s="500">
        <f t="shared" ref="AR7:AR21" si="13">RANK(AQ7, AQ$7:AQ$21)</f>
        <v>4</v>
      </c>
      <c r="AS7" s="649">
        <f t="shared" ref="AS7" si="14">AVERAGE(AQ7:AQ21)</f>
        <v>72.522824362763899</v>
      </c>
      <c r="AT7" s="500">
        <v>17</v>
      </c>
      <c r="AU7" s="420">
        <v>1275.428571428572</v>
      </c>
      <c r="AV7" s="420">
        <v>75.025210084033645</v>
      </c>
      <c r="AW7" s="500">
        <f t="shared" ref="AW7:AW21" si="15">RANK(AV7, AV$7:AV$21)</f>
        <v>5</v>
      </c>
      <c r="AX7" s="649">
        <f t="shared" ref="AX7" si="16">AVERAGE(AV7:AV21)</f>
        <v>72.877085791138697</v>
      </c>
      <c r="AZ7" s="402" t="e">
        <f t="shared" ref="AZ7:AZ21" si="17">RANK(AY7, AY$7:AY$21)</f>
        <v>#N/A</v>
      </c>
      <c r="BA7" s="649" t="e">
        <f t="shared" ref="BA7" si="18">AVERAGE(AY7:AY21)</f>
        <v>#DIV/0!</v>
      </c>
    </row>
    <row r="8" spans="1:53" ht="15" customHeight="1">
      <c r="A8" s="81"/>
      <c r="B8" s="635"/>
      <c r="C8" s="413">
        <v>2</v>
      </c>
      <c r="D8" s="225" t="s">
        <v>348</v>
      </c>
      <c r="E8" s="420">
        <v>18</v>
      </c>
      <c r="F8" s="500">
        <v>1440</v>
      </c>
      <c r="G8" s="501">
        <v>80</v>
      </c>
      <c r="H8" s="678"/>
      <c r="I8" s="417">
        <f t="shared" si="0"/>
        <v>18</v>
      </c>
      <c r="J8" s="417">
        <f t="shared" si="1"/>
        <v>1354.3394453516883</v>
      </c>
      <c r="K8" s="199">
        <f t="shared" si="2"/>
        <v>75.241080297316003</v>
      </c>
      <c r="L8" s="609"/>
      <c r="M8" s="419">
        <f>RANK(K8, K$7:$K$21)</f>
        <v>5</v>
      </c>
      <c r="N8" s="627"/>
      <c r="O8" s="627"/>
      <c r="P8" s="500">
        <v>18</v>
      </c>
      <c r="Q8" s="420">
        <v>1362.9411764705887</v>
      </c>
      <c r="R8" s="420">
        <v>75.718954248366046</v>
      </c>
      <c r="S8" s="500">
        <f t="shared" si="3"/>
        <v>4</v>
      </c>
      <c r="T8" s="649"/>
      <c r="U8" s="500">
        <v>18</v>
      </c>
      <c r="V8" s="420">
        <v>1352.2580645161293</v>
      </c>
      <c r="W8" s="420">
        <v>75.125448028673844</v>
      </c>
      <c r="X8" s="500">
        <f t="shared" si="5"/>
        <v>6</v>
      </c>
      <c r="Y8" s="649"/>
      <c r="Z8" s="500">
        <v>18</v>
      </c>
      <c r="AA8" s="420">
        <v>1358.3720930232557</v>
      </c>
      <c r="AB8" s="420">
        <v>75.465116279069761</v>
      </c>
      <c r="AC8" s="500">
        <f t="shared" si="7"/>
        <v>5</v>
      </c>
      <c r="AD8" s="649"/>
      <c r="AE8" s="500">
        <v>18</v>
      </c>
      <c r="AF8" s="420">
        <v>1356.0000000000002</v>
      </c>
      <c r="AG8" s="420">
        <v>75.333333333333343</v>
      </c>
      <c r="AH8" s="500">
        <f t="shared" si="9"/>
        <v>5</v>
      </c>
      <c r="AI8" s="649"/>
      <c r="AJ8" s="500">
        <v>18</v>
      </c>
      <c r="AK8" s="420">
        <v>1341.098901098901</v>
      </c>
      <c r="AL8" s="420">
        <v>74.505494505494497</v>
      </c>
      <c r="AM8" s="500">
        <f t="shared" si="11"/>
        <v>6</v>
      </c>
      <c r="AN8" s="649"/>
      <c r="AO8" s="500">
        <v>18</v>
      </c>
      <c r="AP8" s="420">
        <v>1344.7058823529417</v>
      </c>
      <c r="AQ8" s="420">
        <v>74.705882352941202</v>
      </c>
      <c r="AR8" s="500">
        <f t="shared" si="13"/>
        <v>5</v>
      </c>
      <c r="AS8" s="649"/>
      <c r="AT8" s="500">
        <v>18</v>
      </c>
      <c r="AU8" s="420">
        <v>1365.0000000000005</v>
      </c>
      <c r="AV8" s="420">
        <v>75.833333333333357</v>
      </c>
      <c r="AW8" s="500">
        <f t="shared" si="15"/>
        <v>4</v>
      </c>
      <c r="AX8" s="649"/>
      <c r="AZ8" s="402" t="e">
        <f t="shared" si="17"/>
        <v>#N/A</v>
      </c>
      <c r="BA8" s="649"/>
    </row>
    <row r="9" spans="1:53" ht="14.25">
      <c r="A9" s="81"/>
      <c r="B9" s="635"/>
      <c r="C9" s="413">
        <v>3</v>
      </c>
      <c r="D9" s="225" t="s">
        <v>349</v>
      </c>
      <c r="E9" s="420">
        <v>18</v>
      </c>
      <c r="F9" s="500">
        <v>1440</v>
      </c>
      <c r="G9" s="501">
        <v>80</v>
      </c>
      <c r="H9" s="678"/>
      <c r="I9" s="417">
        <f t="shared" si="0"/>
        <v>18</v>
      </c>
      <c r="J9" s="417">
        <f t="shared" si="1"/>
        <v>1287.8107357228605</v>
      </c>
      <c r="K9" s="199">
        <f t="shared" si="2"/>
        <v>71.545040873492255</v>
      </c>
      <c r="L9" s="609"/>
      <c r="M9" s="419">
        <f>RANK(K9, K$7:$K$21)</f>
        <v>8</v>
      </c>
      <c r="N9" s="627"/>
      <c r="O9" s="627"/>
      <c r="P9" s="500">
        <v>18</v>
      </c>
      <c r="Q9" s="420">
        <v>1283.5294117647065</v>
      </c>
      <c r="R9" s="420">
        <v>71.307189542483698</v>
      </c>
      <c r="S9" s="500">
        <f t="shared" si="3"/>
        <v>7</v>
      </c>
      <c r="T9" s="649"/>
      <c r="U9" s="500">
        <v>18</v>
      </c>
      <c r="V9" s="420">
        <v>1306.5306122448983</v>
      </c>
      <c r="W9" s="420">
        <v>72.585034013605465</v>
      </c>
      <c r="X9" s="500">
        <f t="shared" si="5"/>
        <v>7</v>
      </c>
      <c r="Y9" s="649"/>
      <c r="Z9" s="500">
        <v>18</v>
      </c>
      <c r="AA9" s="420">
        <v>1263.5294117647065</v>
      </c>
      <c r="AB9" s="420">
        <v>70.196078431372584</v>
      </c>
      <c r="AC9" s="500">
        <f t="shared" si="7"/>
        <v>10</v>
      </c>
      <c r="AD9" s="649"/>
      <c r="AE9" s="500">
        <v>18</v>
      </c>
      <c r="AF9" s="420">
        <v>1304.2857142857138</v>
      </c>
      <c r="AG9" s="420">
        <v>72.460317460317427</v>
      </c>
      <c r="AH9" s="500">
        <f t="shared" si="9"/>
        <v>6</v>
      </c>
      <c r="AI9" s="649"/>
      <c r="AJ9" s="500">
        <v>18</v>
      </c>
      <c r="AK9" s="420">
        <v>1290</v>
      </c>
      <c r="AL9" s="420">
        <v>71.666666666666671</v>
      </c>
      <c r="AM9" s="500">
        <f t="shared" si="11"/>
        <v>8</v>
      </c>
      <c r="AN9" s="649"/>
      <c r="AO9" s="500">
        <v>18</v>
      </c>
      <c r="AP9" s="420">
        <v>1281.5999999999985</v>
      </c>
      <c r="AQ9" s="420">
        <v>71.199999999999918</v>
      </c>
      <c r="AR9" s="500">
        <f t="shared" si="13"/>
        <v>8</v>
      </c>
      <c r="AS9" s="649"/>
      <c r="AT9" s="500">
        <v>18</v>
      </c>
      <c r="AU9" s="420">
        <v>1285.2000000000003</v>
      </c>
      <c r="AV9" s="420">
        <v>71.40000000000002</v>
      </c>
      <c r="AW9" s="500">
        <f t="shared" si="15"/>
        <v>7</v>
      </c>
      <c r="AX9" s="649"/>
      <c r="AZ9" s="402" t="e">
        <f t="shared" si="17"/>
        <v>#N/A</v>
      </c>
      <c r="BA9" s="649"/>
    </row>
    <row r="10" spans="1:53" ht="14.25">
      <c r="A10" s="81"/>
      <c r="B10" s="635"/>
      <c r="C10" s="413">
        <v>4</v>
      </c>
      <c r="D10" s="225" t="s">
        <v>350</v>
      </c>
      <c r="E10" s="420">
        <v>17</v>
      </c>
      <c r="F10" s="500">
        <v>1440</v>
      </c>
      <c r="G10" s="501">
        <v>84.705882352941174</v>
      </c>
      <c r="H10" s="678"/>
      <c r="I10" s="417">
        <f t="shared" si="0"/>
        <v>17</v>
      </c>
      <c r="J10" s="417">
        <f t="shared" si="1"/>
        <v>1354.3255360458709</v>
      </c>
      <c r="K10" s="199">
        <f t="shared" si="2"/>
        <v>79.666208002698298</v>
      </c>
      <c r="L10" s="609"/>
      <c r="M10" s="419">
        <f>RANK(K10, K$7:$K$21)</f>
        <v>3</v>
      </c>
      <c r="N10" s="627"/>
      <c r="O10" s="627"/>
      <c r="P10" s="500">
        <v>17</v>
      </c>
      <c r="Q10" s="420">
        <v>1341.2903225806454</v>
      </c>
      <c r="R10" s="420">
        <v>78.899430740037957</v>
      </c>
      <c r="S10" s="500">
        <f t="shared" si="3"/>
        <v>3</v>
      </c>
      <c r="T10" s="649"/>
      <c r="U10" s="500">
        <v>17</v>
      </c>
      <c r="V10" s="420">
        <v>1361.590909090909</v>
      </c>
      <c r="W10" s="420">
        <v>80.093582887700535</v>
      </c>
      <c r="X10" s="500">
        <f t="shared" si="5"/>
        <v>3</v>
      </c>
      <c r="Y10" s="649"/>
      <c r="Z10" s="500">
        <v>17</v>
      </c>
      <c r="AA10" s="420">
        <v>1366.399999999999</v>
      </c>
      <c r="AB10" s="420">
        <v>80.376470588235236</v>
      </c>
      <c r="AC10" s="500">
        <f t="shared" si="7"/>
        <v>2</v>
      </c>
      <c r="AD10" s="649"/>
      <c r="AE10" s="500">
        <v>17</v>
      </c>
      <c r="AF10" s="420">
        <v>1335.2112676056327</v>
      </c>
      <c r="AG10" s="420">
        <v>78.541839270919567</v>
      </c>
      <c r="AH10" s="500">
        <f t="shared" si="9"/>
        <v>3</v>
      </c>
      <c r="AI10" s="649"/>
      <c r="AJ10" s="500">
        <v>17</v>
      </c>
      <c r="AK10" s="420">
        <v>1361.1627906976742</v>
      </c>
      <c r="AL10" s="420">
        <v>80.068399452804357</v>
      </c>
      <c r="AM10" s="500">
        <f t="shared" si="11"/>
        <v>2</v>
      </c>
      <c r="AN10" s="649"/>
      <c r="AO10" s="500">
        <v>17</v>
      </c>
      <c r="AP10" s="420">
        <v>1346.1386138613868</v>
      </c>
      <c r="AQ10" s="420">
        <v>79.184624344787466</v>
      </c>
      <c r="AR10" s="500">
        <f t="shared" si="13"/>
        <v>2</v>
      </c>
      <c r="AS10" s="649"/>
      <c r="AT10" s="500">
        <v>17</v>
      </c>
      <c r="AU10" s="420">
        <v>1368.4848484848487</v>
      </c>
      <c r="AV10" s="420">
        <v>80.499108734402867</v>
      </c>
      <c r="AW10" s="500">
        <f t="shared" si="15"/>
        <v>2</v>
      </c>
      <c r="AX10" s="649"/>
      <c r="AZ10" s="402" t="e">
        <f t="shared" si="17"/>
        <v>#N/A</v>
      </c>
      <c r="BA10" s="649"/>
    </row>
    <row r="11" spans="1:53" ht="14.25">
      <c r="A11" s="81"/>
      <c r="B11" s="635"/>
      <c r="C11" s="413">
        <v>5</v>
      </c>
      <c r="D11" s="225" t="s">
        <v>351</v>
      </c>
      <c r="E11" s="420">
        <v>17</v>
      </c>
      <c r="F11" s="500">
        <v>1440</v>
      </c>
      <c r="G11" s="501">
        <v>84.705882352941174</v>
      </c>
      <c r="H11" s="678"/>
      <c r="I11" s="417">
        <f t="shared" si="0"/>
        <v>17</v>
      </c>
      <c r="J11" s="417">
        <f t="shared" si="1"/>
        <v>1244.4138655462168</v>
      </c>
      <c r="K11" s="199">
        <f t="shared" si="2"/>
        <v>73.200815620365688</v>
      </c>
      <c r="L11" s="609"/>
      <c r="M11" s="419">
        <f>RANK(K11, K$7:$K$21)</f>
        <v>6</v>
      </c>
      <c r="N11" s="627"/>
      <c r="O11" s="627"/>
      <c r="P11" s="500">
        <v>17</v>
      </c>
      <c r="Q11" s="420">
        <v>1261.7142857142844</v>
      </c>
      <c r="R11" s="420">
        <v>74.218487394957904</v>
      </c>
      <c r="S11" s="500">
        <f t="shared" si="3"/>
        <v>6</v>
      </c>
      <c r="T11" s="649"/>
      <c r="U11" s="500">
        <v>17</v>
      </c>
      <c r="V11" s="420">
        <v>1292.5714285714271</v>
      </c>
      <c r="W11" s="420">
        <v>76.033613445378066</v>
      </c>
      <c r="X11" s="500">
        <f t="shared" si="5"/>
        <v>5</v>
      </c>
      <c r="Y11" s="649"/>
      <c r="Z11" s="500">
        <v>17</v>
      </c>
      <c r="AA11" s="420">
        <v>1265.2941176470572</v>
      </c>
      <c r="AB11" s="420">
        <v>74.429065743944534</v>
      </c>
      <c r="AC11" s="500">
        <f t="shared" si="7"/>
        <v>6</v>
      </c>
      <c r="AD11" s="649"/>
      <c r="AE11" s="500">
        <v>17</v>
      </c>
      <c r="AF11" s="420">
        <v>1105.7142857142833</v>
      </c>
      <c r="AG11" s="420">
        <v>65.042016806722543</v>
      </c>
      <c r="AH11" s="500">
        <f t="shared" si="9"/>
        <v>11</v>
      </c>
      <c r="AI11" s="649"/>
      <c r="AJ11" s="500">
        <v>17</v>
      </c>
      <c r="AK11" s="420">
        <v>1271.2499999999982</v>
      </c>
      <c r="AL11" s="420">
        <v>74.77941176470577</v>
      </c>
      <c r="AM11" s="500">
        <f t="shared" si="11"/>
        <v>5</v>
      </c>
      <c r="AN11" s="649"/>
      <c r="AO11" s="500">
        <v>17</v>
      </c>
      <c r="AP11" s="420">
        <v>1242.3529411764689</v>
      </c>
      <c r="AQ11" s="420">
        <v>73.079584775086403</v>
      </c>
      <c r="AR11" s="500">
        <f t="shared" si="13"/>
        <v>6</v>
      </c>
      <c r="AS11" s="649"/>
      <c r="AT11" s="500">
        <v>17</v>
      </c>
      <c r="AU11" s="420">
        <v>1271.9999999999986</v>
      </c>
      <c r="AV11" s="420">
        <v>74.823529411764625</v>
      </c>
      <c r="AW11" s="500">
        <f t="shared" si="15"/>
        <v>6</v>
      </c>
      <c r="AX11" s="649"/>
      <c r="AZ11" s="402" t="e">
        <f t="shared" si="17"/>
        <v>#N/A</v>
      </c>
      <c r="BA11" s="649"/>
    </row>
    <row r="12" spans="1:53" ht="14.25">
      <c r="A12" s="81"/>
      <c r="B12" s="635"/>
      <c r="C12" s="413">
        <v>6</v>
      </c>
      <c r="D12" s="225" t="s">
        <v>352</v>
      </c>
      <c r="E12" s="420">
        <v>21</v>
      </c>
      <c r="F12" s="500">
        <v>1385</v>
      </c>
      <c r="G12" s="501">
        <v>65.952380952380949</v>
      </c>
      <c r="H12" s="678"/>
      <c r="I12" s="417">
        <f t="shared" si="0"/>
        <v>21</v>
      </c>
      <c r="J12" s="417">
        <f t="shared" si="1"/>
        <v>1290.272822855208</v>
      </c>
      <c r="K12" s="199">
        <f t="shared" si="2"/>
        <v>61.441562993105151</v>
      </c>
      <c r="L12" s="609"/>
      <c r="M12" s="419">
        <f>RANK(K12, K$7:$K$21)</f>
        <v>12</v>
      </c>
      <c r="N12" s="627"/>
      <c r="O12" s="627"/>
      <c r="P12" s="500">
        <v>21</v>
      </c>
      <c r="Q12" s="420">
        <v>1238.1355932203383</v>
      </c>
      <c r="R12" s="420">
        <v>58.958837772397061</v>
      </c>
      <c r="S12" s="500">
        <f t="shared" si="3"/>
        <v>13</v>
      </c>
      <c r="T12" s="649"/>
      <c r="U12" s="500">
        <v>21</v>
      </c>
      <c r="V12" s="420">
        <v>1287.0796460177003</v>
      </c>
      <c r="W12" s="420">
        <v>61.289506953223821</v>
      </c>
      <c r="X12" s="500">
        <f t="shared" si="5"/>
        <v>13</v>
      </c>
      <c r="Y12" s="649"/>
      <c r="Z12" s="500">
        <v>21</v>
      </c>
      <c r="AA12" s="420">
        <v>1298.0198019801985</v>
      </c>
      <c r="AB12" s="420">
        <v>61.81046676096183</v>
      </c>
      <c r="AC12" s="500">
        <f t="shared" si="7"/>
        <v>12</v>
      </c>
      <c r="AD12" s="649"/>
      <c r="AE12" s="500">
        <v>21</v>
      </c>
      <c r="AF12" s="420">
        <v>1272.6315789473686</v>
      </c>
      <c r="AG12" s="420">
        <v>60.601503759398504</v>
      </c>
      <c r="AH12" s="500">
        <f t="shared" si="9"/>
        <v>12</v>
      </c>
      <c r="AI12" s="649"/>
      <c r="AJ12" s="500">
        <v>21</v>
      </c>
      <c r="AK12" s="420">
        <v>1314.8936170212769</v>
      </c>
      <c r="AL12" s="420">
        <v>62.613981762917945</v>
      </c>
      <c r="AM12" s="500">
        <f t="shared" si="11"/>
        <v>12</v>
      </c>
      <c r="AN12" s="649"/>
      <c r="AO12" s="500">
        <v>21</v>
      </c>
      <c r="AP12" s="420">
        <v>1320.9756097560971</v>
      </c>
      <c r="AQ12" s="420">
        <v>62.903600464576051</v>
      </c>
      <c r="AR12" s="500">
        <f t="shared" si="13"/>
        <v>12</v>
      </c>
      <c r="AS12" s="649"/>
      <c r="AT12" s="500">
        <v>21</v>
      </c>
      <c r="AU12" s="420">
        <v>1300.1739130434776</v>
      </c>
      <c r="AV12" s="420">
        <v>61.913043478260839</v>
      </c>
      <c r="AW12" s="500">
        <f t="shared" si="15"/>
        <v>12</v>
      </c>
      <c r="AX12" s="649"/>
      <c r="AZ12" s="402" t="e">
        <f t="shared" si="17"/>
        <v>#N/A</v>
      </c>
      <c r="BA12" s="649"/>
    </row>
    <row r="13" spans="1:53" ht="14.25">
      <c r="A13" s="81"/>
      <c r="B13" s="635"/>
      <c r="C13" s="413">
        <v>7</v>
      </c>
      <c r="D13" s="225" t="s">
        <v>353</v>
      </c>
      <c r="E13" s="420">
        <v>19</v>
      </c>
      <c r="F13" s="500">
        <v>1440</v>
      </c>
      <c r="G13" s="501">
        <v>75.78947368421052</v>
      </c>
      <c r="H13" s="678"/>
      <c r="I13" s="417">
        <f t="shared" si="0"/>
        <v>19</v>
      </c>
      <c r="J13" s="417">
        <f t="shared" si="1"/>
        <v>1341.5227808033162</v>
      </c>
      <c r="K13" s="199">
        <f t="shared" si="2"/>
        <v>70.606462147542956</v>
      </c>
      <c r="L13" s="609"/>
      <c r="M13" s="419">
        <f>RANK(K13, K$7:$K$21)</f>
        <v>10</v>
      </c>
      <c r="N13" s="627"/>
      <c r="O13" s="627"/>
      <c r="P13" s="500">
        <v>19</v>
      </c>
      <c r="Q13" s="420">
        <v>1301.5384615384608</v>
      </c>
      <c r="R13" s="420">
        <v>68.502024291497932</v>
      </c>
      <c r="S13" s="500">
        <f t="shared" si="3"/>
        <v>10</v>
      </c>
      <c r="T13" s="649"/>
      <c r="U13" s="500">
        <v>19</v>
      </c>
      <c r="V13" s="420">
        <v>1338</v>
      </c>
      <c r="W13" s="420">
        <v>70.421052631578945</v>
      </c>
      <c r="X13" s="500">
        <f t="shared" si="5"/>
        <v>10</v>
      </c>
      <c r="Y13" s="649"/>
      <c r="Z13" s="500">
        <v>19</v>
      </c>
      <c r="AA13" s="420">
        <v>1363.8461538461531</v>
      </c>
      <c r="AB13" s="420">
        <v>71.781376518218579</v>
      </c>
      <c r="AC13" s="500">
        <f t="shared" si="7"/>
        <v>8</v>
      </c>
      <c r="AD13" s="649"/>
      <c r="AE13" s="500">
        <v>19</v>
      </c>
      <c r="AF13" s="420">
        <v>1341.4925373134311</v>
      </c>
      <c r="AG13" s="420">
        <v>70.604870384917419</v>
      </c>
      <c r="AH13" s="500">
        <f t="shared" si="9"/>
        <v>9</v>
      </c>
      <c r="AI13" s="649"/>
      <c r="AJ13" s="500">
        <v>19</v>
      </c>
      <c r="AK13" s="420">
        <v>1338.3333333333323</v>
      </c>
      <c r="AL13" s="420">
        <v>70.438596491228012</v>
      </c>
      <c r="AM13" s="500">
        <f t="shared" si="11"/>
        <v>10</v>
      </c>
      <c r="AN13" s="649"/>
      <c r="AO13" s="500">
        <v>19</v>
      </c>
      <c r="AP13" s="420">
        <v>1352.4489795918371</v>
      </c>
      <c r="AQ13" s="420">
        <v>71.181525241675629</v>
      </c>
      <c r="AR13" s="500">
        <f t="shared" si="13"/>
        <v>9</v>
      </c>
      <c r="AS13" s="649"/>
      <c r="AT13" s="500">
        <v>19</v>
      </c>
      <c r="AU13" s="420">
        <v>1354.9999999999995</v>
      </c>
      <c r="AV13" s="420">
        <v>71.315789473684191</v>
      </c>
      <c r="AW13" s="500">
        <f t="shared" si="15"/>
        <v>8</v>
      </c>
      <c r="AX13" s="649"/>
      <c r="AZ13" s="402" t="e">
        <f t="shared" si="17"/>
        <v>#N/A</v>
      </c>
      <c r="BA13" s="649"/>
    </row>
    <row r="14" spans="1:53" ht="14.25">
      <c r="A14" s="81"/>
      <c r="B14" s="635"/>
      <c r="C14" s="413">
        <v>8</v>
      </c>
      <c r="D14" s="225" t="s">
        <v>503</v>
      </c>
      <c r="E14" s="420">
        <v>18</v>
      </c>
      <c r="F14" s="500">
        <v>1385</v>
      </c>
      <c r="G14" s="501">
        <v>76.944444444444443</v>
      </c>
      <c r="H14" s="678"/>
      <c r="I14" s="417">
        <f t="shared" si="0"/>
        <v>18</v>
      </c>
      <c r="J14" s="417">
        <f t="shared" si="1"/>
        <v>1277.2508611430053</v>
      </c>
      <c r="K14" s="199">
        <f t="shared" si="2"/>
        <v>70.958381174611404</v>
      </c>
      <c r="L14" s="609"/>
      <c r="M14" s="419">
        <f>RANK(K14, K$7:$K$21)</f>
        <v>9</v>
      </c>
      <c r="N14" s="627"/>
      <c r="O14" s="627"/>
      <c r="P14" s="500">
        <v>18</v>
      </c>
      <c r="Q14" s="420">
        <v>1274.5714285714273</v>
      </c>
      <c r="R14" s="420">
        <v>70.809523809523739</v>
      </c>
      <c r="S14" s="500">
        <f t="shared" si="3"/>
        <v>8</v>
      </c>
      <c r="T14" s="649"/>
      <c r="U14" s="500">
        <v>18</v>
      </c>
      <c r="V14" s="420">
        <v>1289.1428571428557</v>
      </c>
      <c r="W14" s="420">
        <v>71.619047619047535</v>
      </c>
      <c r="X14" s="500">
        <f t="shared" si="5"/>
        <v>9</v>
      </c>
      <c r="Y14" s="649"/>
      <c r="Z14" s="500">
        <v>18</v>
      </c>
      <c r="AA14" s="420">
        <v>1270.0000000000014</v>
      </c>
      <c r="AB14" s="420">
        <v>70.555555555555628</v>
      </c>
      <c r="AC14" s="500">
        <f t="shared" si="7"/>
        <v>9</v>
      </c>
      <c r="AD14" s="649"/>
      <c r="AE14" s="500">
        <v>18</v>
      </c>
      <c r="AF14" s="420">
        <v>1278.6206896551735</v>
      </c>
      <c r="AG14" s="420">
        <v>71.034482758620754</v>
      </c>
      <c r="AH14" s="500">
        <f t="shared" si="9"/>
        <v>8</v>
      </c>
      <c r="AI14" s="649"/>
      <c r="AJ14" s="500">
        <v>18</v>
      </c>
      <c r="AK14" s="420">
        <v>1273.3333333333346</v>
      </c>
      <c r="AL14" s="420">
        <v>70.740740740740819</v>
      </c>
      <c r="AM14" s="500">
        <f t="shared" si="11"/>
        <v>9</v>
      </c>
      <c r="AN14" s="649"/>
      <c r="AO14" s="500">
        <v>18</v>
      </c>
      <c r="AP14" s="420">
        <v>1273.421052631578</v>
      </c>
      <c r="AQ14" s="420">
        <v>70.745614035087669</v>
      </c>
      <c r="AR14" s="500">
        <f t="shared" si="13"/>
        <v>10</v>
      </c>
      <c r="AS14" s="649"/>
      <c r="AT14" s="500">
        <v>18</v>
      </c>
      <c r="AU14" s="420">
        <v>1281.6666666666656</v>
      </c>
      <c r="AV14" s="420">
        <v>71.203703703703638</v>
      </c>
      <c r="AW14" s="500">
        <f t="shared" si="15"/>
        <v>9</v>
      </c>
      <c r="AX14" s="649"/>
      <c r="AZ14" s="402" t="e">
        <f t="shared" si="17"/>
        <v>#N/A</v>
      </c>
      <c r="BA14" s="649"/>
    </row>
    <row r="15" spans="1:53" ht="14.25">
      <c r="A15" s="81"/>
      <c r="B15" s="635"/>
      <c r="C15" s="413">
        <v>9</v>
      </c>
      <c r="D15" s="225" t="s">
        <v>505</v>
      </c>
      <c r="E15" s="420">
        <v>18</v>
      </c>
      <c r="F15" s="500">
        <v>1385</v>
      </c>
      <c r="G15" s="501">
        <v>76.944444444444443</v>
      </c>
      <c r="H15" s="678"/>
      <c r="I15" s="417">
        <f t="shared" si="0"/>
        <v>18</v>
      </c>
      <c r="J15" s="417">
        <f t="shared" si="1"/>
        <v>1219.2263428653057</v>
      </c>
      <c r="K15" s="199">
        <f t="shared" si="2"/>
        <v>67.734796825850296</v>
      </c>
      <c r="L15" s="609"/>
      <c r="M15" s="419">
        <f>RANK(K15, K$7:$K$21)</f>
        <v>11</v>
      </c>
      <c r="N15" s="627"/>
      <c r="O15" s="627"/>
      <c r="P15" s="500">
        <v>18</v>
      </c>
      <c r="Q15" s="420">
        <v>1220.4545454545455</v>
      </c>
      <c r="R15" s="420">
        <v>67.803030303030312</v>
      </c>
      <c r="S15" s="500">
        <f t="shared" si="3"/>
        <v>11</v>
      </c>
      <c r="T15" s="649"/>
      <c r="U15" s="500">
        <v>18</v>
      </c>
      <c r="V15" s="420">
        <v>1205.7142857142853</v>
      </c>
      <c r="W15" s="420">
        <v>66.984126984126959</v>
      </c>
      <c r="X15" s="500">
        <f t="shared" si="5"/>
        <v>11</v>
      </c>
      <c r="Y15" s="649"/>
      <c r="Z15" s="500">
        <v>18</v>
      </c>
      <c r="AA15" s="420">
        <v>1219.4999999999995</v>
      </c>
      <c r="AB15" s="420">
        <v>67.749999999999972</v>
      </c>
      <c r="AC15" s="500">
        <f t="shared" si="7"/>
        <v>11</v>
      </c>
      <c r="AD15" s="649"/>
      <c r="AE15" s="500">
        <v>18</v>
      </c>
      <c r="AF15" s="420">
        <v>1221.1764705882338</v>
      </c>
      <c r="AG15" s="420">
        <v>67.843137254901876</v>
      </c>
      <c r="AH15" s="500">
        <f t="shared" si="9"/>
        <v>10</v>
      </c>
      <c r="AI15" s="649"/>
      <c r="AJ15" s="500">
        <v>18</v>
      </c>
      <c r="AK15" s="420">
        <v>1221.9512195121947</v>
      </c>
      <c r="AL15" s="420">
        <v>67.886178861788594</v>
      </c>
      <c r="AM15" s="500">
        <f t="shared" si="11"/>
        <v>11</v>
      </c>
      <c r="AN15" s="649"/>
      <c r="AO15" s="500">
        <v>18</v>
      </c>
      <c r="AP15" s="420">
        <v>1220.4545454545455</v>
      </c>
      <c r="AQ15" s="420">
        <v>67.803030303030312</v>
      </c>
      <c r="AR15" s="500">
        <f t="shared" si="13"/>
        <v>11</v>
      </c>
      <c r="AS15" s="649"/>
      <c r="AT15" s="500">
        <v>18</v>
      </c>
      <c r="AU15" s="420">
        <v>1225.3333333333333</v>
      </c>
      <c r="AV15" s="420">
        <v>68.074074074074076</v>
      </c>
      <c r="AW15" s="500">
        <f t="shared" si="15"/>
        <v>11</v>
      </c>
      <c r="AX15" s="649"/>
      <c r="AZ15" s="402" t="e">
        <f t="shared" si="17"/>
        <v>#N/A</v>
      </c>
      <c r="BA15" s="649"/>
    </row>
    <row r="16" spans="1:53" ht="14.25">
      <c r="A16" s="81"/>
      <c r="B16" s="635"/>
      <c r="C16" s="413">
        <v>10</v>
      </c>
      <c r="D16" s="225" t="s">
        <v>525</v>
      </c>
      <c r="E16" s="420">
        <v>16</v>
      </c>
      <c r="F16" s="500">
        <v>1440</v>
      </c>
      <c r="G16" s="501">
        <v>90</v>
      </c>
      <c r="H16" s="678"/>
      <c r="I16" s="417">
        <f t="shared" si="0"/>
        <v>16.142857142857142</v>
      </c>
      <c r="J16" s="417">
        <f t="shared" si="1"/>
        <v>1357.9725801348516</v>
      </c>
      <c r="K16" s="199">
        <f t="shared" si="2"/>
        <v>84.154106278744038</v>
      </c>
      <c r="L16" s="609"/>
      <c r="M16" s="419">
        <f>RANK(K16, K$7:$K$21)</f>
        <v>1</v>
      </c>
      <c r="N16" s="627"/>
      <c r="O16" s="627"/>
      <c r="P16" s="500">
        <v>16</v>
      </c>
      <c r="Q16" s="420">
        <v>1358.6064516129036</v>
      </c>
      <c r="R16" s="420">
        <v>84.912903225806474</v>
      </c>
      <c r="S16" s="500">
        <f t="shared" si="3"/>
        <v>1</v>
      </c>
      <c r="T16" s="649"/>
      <c r="U16" s="500">
        <v>17</v>
      </c>
      <c r="V16" s="420">
        <v>1369.3186813186815</v>
      </c>
      <c r="W16" s="420">
        <v>80.548157724628325</v>
      </c>
      <c r="X16" s="500">
        <f t="shared" si="5"/>
        <v>2</v>
      </c>
      <c r="Y16" s="649"/>
      <c r="Z16" s="500">
        <v>16</v>
      </c>
      <c r="AA16" s="420">
        <v>1357.9245283018877</v>
      </c>
      <c r="AB16" s="420">
        <v>84.87028301886798</v>
      </c>
      <c r="AC16" s="500">
        <f t="shared" si="7"/>
        <v>1</v>
      </c>
      <c r="AD16" s="649"/>
      <c r="AE16" s="500">
        <v>16</v>
      </c>
      <c r="AF16" s="420">
        <v>1349.3750000000005</v>
      </c>
      <c r="AG16" s="420">
        <v>84.335937500000028</v>
      </c>
      <c r="AH16" s="500">
        <f t="shared" si="9"/>
        <v>1</v>
      </c>
      <c r="AI16" s="649"/>
      <c r="AJ16" s="500">
        <v>16</v>
      </c>
      <c r="AK16" s="420">
        <v>1366.6019417475734</v>
      </c>
      <c r="AL16" s="420">
        <v>85.412621359223337</v>
      </c>
      <c r="AM16" s="500">
        <f t="shared" si="11"/>
        <v>1</v>
      </c>
      <c r="AN16" s="649"/>
      <c r="AO16" s="500">
        <v>16</v>
      </c>
      <c r="AP16" s="420">
        <v>1355.4330708661414</v>
      </c>
      <c r="AQ16" s="420">
        <v>84.714566929133838</v>
      </c>
      <c r="AR16" s="500">
        <f t="shared" si="13"/>
        <v>1</v>
      </c>
      <c r="AS16" s="649"/>
      <c r="AT16" s="500">
        <v>16</v>
      </c>
      <c r="AU16" s="420">
        <v>1348.5483870967737</v>
      </c>
      <c r="AV16" s="420">
        <v>84.284274193548356</v>
      </c>
      <c r="AW16" s="500">
        <f t="shared" si="15"/>
        <v>1</v>
      </c>
      <c r="AX16" s="649"/>
      <c r="AZ16" s="402" t="e">
        <f t="shared" si="17"/>
        <v>#N/A</v>
      </c>
      <c r="BA16" s="649"/>
    </row>
    <row r="17" spans="2:53">
      <c r="B17" s="635"/>
      <c r="C17" s="413">
        <v>11</v>
      </c>
      <c r="D17" s="225" t="s">
        <v>588</v>
      </c>
      <c r="E17" s="420">
        <v>19</v>
      </c>
      <c r="F17" s="500">
        <v>1440</v>
      </c>
      <c r="G17" s="501">
        <v>75.78947368421052</v>
      </c>
      <c r="H17" s="678"/>
      <c r="I17" s="417">
        <f t="shared" si="0"/>
        <v>19</v>
      </c>
      <c r="J17" s="417">
        <f t="shared" si="1"/>
        <v>1359.925773952978</v>
      </c>
      <c r="K17" s="199">
        <f t="shared" si="2"/>
        <v>71.575040734367263</v>
      </c>
      <c r="L17" s="609"/>
      <c r="M17" s="419">
        <f>RANK(K17, K$7:$K$21)</f>
        <v>7</v>
      </c>
      <c r="N17" s="627"/>
      <c r="O17" s="627"/>
      <c r="P17" s="500">
        <v>19</v>
      </c>
      <c r="Q17" s="420">
        <v>1340.2235294117652</v>
      </c>
      <c r="R17" s="420">
        <v>70.538080495356056</v>
      </c>
      <c r="S17" s="500">
        <f t="shared" si="3"/>
        <v>9</v>
      </c>
      <c r="T17" s="649"/>
      <c r="U17" s="500">
        <v>19</v>
      </c>
      <c r="V17" s="420">
        <v>1369.8447204968945</v>
      </c>
      <c r="W17" s="420">
        <v>72.097090552468131</v>
      </c>
      <c r="X17" s="500">
        <f t="shared" si="5"/>
        <v>8</v>
      </c>
      <c r="Y17" s="649"/>
      <c r="Z17" s="500">
        <v>19</v>
      </c>
      <c r="AA17" s="420">
        <v>1364.2040816326537</v>
      </c>
      <c r="AB17" s="420">
        <v>71.800214822771252</v>
      </c>
      <c r="AC17" s="500">
        <f t="shared" si="7"/>
        <v>7</v>
      </c>
      <c r="AD17" s="649"/>
      <c r="AE17" s="500">
        <v>19</v>
      </c>
      <c r="AF17" s="420">
        <v>1360.8</v>
      </c>
      <c r="AG17" s="420">
        <v>71.621052631578948</v>
      </c>
      <c r="AH17" s="500">
        <f t="shared" si="9"/>
        <v>7</v>
      </c>
      <c r="AI17" s="649"/>
      <c r="AJ17" s="500">
        <v>19</v>
      </c>
      <c r="AK17" s="420">
        <v>1370.3712574850304</v>
      </c>
      <c r="AL17" s="420">
        <v>72.12480302552791</v>
      </c>
      <c r="AM17" s="500">
        <f t="shared" si="11"/>
        <v>7</v>
      </c>
      <c r="AN17" s="649"/>
      <c r="AO17" s="500">
        <v>19</v>
      </c>
      <c r="AP17" s="420">
        <v>1362.9411764705881</v>
      </c>
      <c r="AQ17" s="420">
        <v>71.733746130030951</v>
      </c>
      <c r="AR17" s="500">
        <f t="shared" si="13"/>
        <v>7</v>
      </c>
      <c r="AS17" s="649"/>
      <c r="AT17" s="500">
        <v>19</v>
      </c>
      <c r="AU17" s="420">
        <v>1351.0956521739133</v>
      </c>
      <c r="AV17" s="420">
        <v>71.110297482837538</v>
      </c>
      <c r="AW17" s="500">
        <f t="shared" si="15"/>
        <v>10</v>
      </c>
      <c r="AX17" s="649"/>
      <c r="AZ17" s="402" t="e">
        <f t="shared" si="17"/>
        <v>#N/A</v>
      </c>
      <c r="BA17" s="649"/>
    </row>
    <row r="18" spans="2:53">
      <c r="B18" s="635"/>
      <c r="C18" s="413">
        <v>12</v>
      </c>
      <c r="D18" s="225" t="s">
        <v>620</v>
      </c>
      <c r="E18" s="420">
        <v>19</v>
      </c>
      <c r="F18" s="500">
        <v>1440</v>
      </c>
      <c r="G18" s="501">
        <v>75.78947368421052</v>
      </c>
      <c r="H18" s="678"/>
      <c r="I18" s="417">
        <f t="shared" si="0"/>
        <v>18.142857142857142</v>
      </c>
      <c r="J18" s="417">
        <f t="shared" si="1"/>
        <v>1096.2184052662303</v>
      </c>
      <c r="K18" s="199">
        <f t="shared" si="2"/>
        <v>60.453654093737946</v>
      </c>
      <c r="L18" s="609"/>
      <c r="M18" s="419">
        <f>RANK(K18, K$7:$K$21)</f>
        <v>13</v>
      </c>
      <c r="N18" s="627"/>
      <c r="O18" s="627"/>
      <c r="P18" s="500">
        <v>18</v>
      </c>
      <c r="Q18" s="420">
        <v>1089.2307692307663</v>
      </c>
      <c r="R18" s="420">
        <v>60.512820512820355</v>
      </c>
      <c r="S18" s="500">
        <f t="shared" si="3"/>
        <v>12</v>
      </c>
      <c r="T18" s="649"/>
      <c r="U18" s="500">
        <v>18</v>
      </c>
      <c r="V18" s="420">
        <v>1111.1111111111086</v>
      </c>
      <c r="W18" s="420">
        <v>61.728395061728257</v>
      </c>
      <c r="X18" s="500">
        <f t="shared" si="5"/>
        <v>12</v>
      </c>
      <c r="Y18" s="649"/>
      <c r="Z18" s="500">
        <v>18</v>
      </c>
      <c r="AA18" s="420">
        <v>1079.9999999999975</v>
      </c>
      <c r="AB18" s="420">
        <v>59.999999999999858</v>
      </c>
      <c r="AC18" s="500">
        <f t="shared" si="7"/>
        <v>13</v>
      </c>
      <c r="AD18" s="649"/>
      <c r="AE18" s="500">
        <v>19</v>
      </c>
      <c r="AF18" s="420">
        <v>1071.0000000000036</v>
      </c>
      <c r="AG18" s="420">
        <v>56.368421052631767</v>
      </c>
      <c r="AH18" s="500">
        <f t="shared" si="9"/>
        <v>13</v>
      </c>
      <c r="AI18" s="649"/>
      <c r="AJ18" s="500">
        <v>18</v>
      </c>
      <c r="AK18" s="420">
        <v>1106.0869565217429</v>
      </c>
      <c r="AL18" s="420">
        <v>61.44927536231905</v>
      </c>
      <c r="AM18" s="500">
        <f t="shared" si="11"/>
        <v>13</v>
      </c>
      <c r="AN18" s="649"/>
      <c r="AO18" s="500">
        <v>18</v>
      </c>
      <c r="AP18" s="420">
        <v>1102.4999999999966</v>
      </c>
      <c r="AQ18" s="420">
        <v>61.249999999999808</v>
      </c>
      <c r="AR18" s="500">
        <f t="shared" si="13"/>
        <v>13</v>
      </c>
      <c r="AS18" s="649"/>
      <c r="AT18" s="500">
        <v>18</v>
      </c>
      <c r="AU18" s="420">
        <v>1113.599999999997</v>
      </c>
      <c r="AV18" s="420">
        <v>61.866666666666497</v>
      </c>
      <c r="AW18" s="500">
        <f t="shared" si="15"/>
        <v>13</v>
      </c>
      <c r="AX18" s="649"/>
      <c r="AZ18" s="402" t="e">
        <f t="shared" si="17"/>
        <v>#N/A</v>
      </c>
      <c r="BA18" s="649"/>
    </row>
    <row r="19" spans="2:53">
      <c r="B19" s="635"/>
      <c r="C19" s="413">
        <v>13</v>
      </c>
      <c r="D19" s="225" t="s">
        <v>627</v>
      </c>
      <c r="E19" s="420">
        <v>17</v>
      </c>
      <c r="F19" s="500">
        <v>1440</v>
      </c>
      <c r="G19" s="501">
        <v>84.705882352941174</v>
      </c>
      <c r="H19" s="678"/>
      <c r="I19" s="417">
        <f t="shared" si="0"/>
        <v>17</v>
      </c>
      <c r="J19" s="417">
        <f t="shared" si="1"/>
        <v>1357.6335016260589</v>
      </c>
      <c r="K19" s="199">
        <f t="shared" si="2"/>
        <v>79.860794213297595</v>
      </c>
      <c r="L19" s="609"/>
      <c r="M19" s="419">
        <f>RANK(K19, K$7:$K$21)</f>
        <v>2</v>
      </c>
      <c r="N19" s="627"/>
      <c r="O19" s="627"/>
      <c r="P19" s="500">
        <v>17</v>
      </c>
      <c r="Q19" s="420">
        <v>1364.4642857142856</v>
      </c>
      <c r="R19" s="420">
        <v>80.262605042016801</v>
      </c>
      <c r="S19" s="500">
        <f t="shared" si="3"/>
        <v>2</v>
      </c>
      <c r="T19" s="649"/>
      <c r="U19" s="500">
        <v>17</v>
      </c>
      <c r="V19" s="420">
        <v>1370.3571428571429</v>
      </c>
      <c r="W19" s="420">
        <v>80.609243697478988</v>
      </c>
      <c r="X19" s="500">
        <f t="shared" si="5"/>
        <v>1</v>
      </c>
      <c r="Y19" s="649"/>
      <c r="Z19" s="500">
        <v>17</v>
      </c>
      <c r="AA19" s="420">
        <v>1359.23076923077</v>
      </c>
      <c r="AB19" s="420">
        <v>79.954751131221769</v>
      </c>
      <c r="AC19" s="500">
        <f t="shared" si="7"/>
        <v>3</v>
      </c>
      <c r="AD19" s="649"/>
      <c r="AE19" s="500">
        <v>17</v>
      </c>
      <c r="AF19" s="420">
        <v>1355.0649350649355</v>
      </c>
      <c r="AG19" s="420">
        <v>79.70970206264326</v>
      </c>
      <c r="AH19" s="500">
        <f t="shared" si="9"/>
        <v>2</v>
      </c>
      <c r="AI19" s="649"/>
      <c r="AJ19" s="500">
        <v>17</v>
      </c>
      <c r="AK19" s="420">
        <v>1348.3516483516482</v>
      </c>
      <c r="AL19" s="420">
        <v>79.314802844214597</v>
      </c>
      <c r="AM19" s="500">
        <f t="shared" si="11"/>
        <v>3</v>
      </c>
      <c r="AN19" s="649"/>
      <c r="AO19" s="500">
        <v>17</v>
      </c>
      <c r="AP19" s="420">
        <v>1345.0632911392411</v>
      </c>
      <c r="AQ19" s="420">
        <v>79.121370067014183</v>
      </c>
      <c r="AR19" s="500">
        <f t="shared" si="13"/>
        <v>3</v>
      </c>
      <c r="AS19" s="649"/>
      <c r="AT19" s="500">
        <v>17</v>
      </c>
      <c r="AU19" s="420">
        <v>1360.9024390243897</v>
      </c>
      <c r="AV19" s="420">
        <v>80.05308464849351</v>
      </c>
      <c r="AW19" s="500">
        <f t="shared" si="15"/>
        <v>3</v>
      </c>
      <c r="AX19" s="649"/>
      <c r="AZ19" s="402" t="e">
        <f t="shared" si="17"/>
        <v>#N/A</v>
      </c>
      <c r="BA19" s="649"/>
    </row>
    <row r="20" spans="2:53">
      <c r="B20" s="635"/>
      <c r="C20" s="413">
        <v>14</v>
      </c>
      <c r="D20" s="225"/>
      <c r="E20" s="420"/>
      <c r="F20" s="500"/>
      <c r="G20" s="501"/>
      <c r="H20" s="678"/>
      <c r="I20" s="417" t="str">
        <f t="shared" si="0"/>
        <v>-</v>
      </c>
      <c r="J20" s="417" t="str">
        <f t="shared" si="1"/>
        <v>-</v>
      </c>
      <c r="K20" s="199" t="str">
        <f t="shared" si="2"/>
        <v>-</v>
      </c>
      <c r="L20" s="609"/>
      <c r="M20" s="419" t="e">
        <f>RANK(K20, K$7:$K$21)</f>
        <v>#VALUE!</v>
      </c>
      <c r="N20" s="627"/>
      <c r="O20" s="627"/>
      <c r="P20" s="500"/>
      <c r="Q20" s="420"/>
      <c r="R20" s="420"/>
      <c r="S20" s="500" t="e">
        <f t="shared" si="3"/>
        <v>#N/A</v>
      </c>
      <c r="T20" s="649"/>
      <c r="U20" s="500"/>
      <c r="V20" s="420"/>
      <c r="W20" s="420"/>
      <c r="X20" s="500" t="e">
        <f t="shared" si="5"/>
        <v>#N/A</v>
      </c>
      <c r="Y20" s="649"/>
      <c r="Z20" s="500"/>
      <c r="AA20" s="420"/>
      <c r="AB20" s="420"/>
      <c r="AC20" s="500" t="e">
        <f t="shared" si="7"/>
        <v>#N/A</v>
      </c>
      <c r="AD20" s="649"/>
      <c r="AE20" s="500"/>
      <c r="AF20" s="420"/>
      <c r="AG20" s="420"/>
      <c r="AH20" s="500" t="e">
        <f t="shared" si="9"/>
        <v>#N/A</v>
      </c>
      <c r="AI20" s="649"/>
      <c r="AJ20" s="500"/>
      <c r="AK20" s="420"/>
      <c r="AL20" s="420"/>
      <c r="AM20" s="500" t="e">
        <f t="shared" si="11"/>
        <v>#N/A</v>
      </c>
      <c r="AN20" s="649"/>
      <c r="AO20" s="500"/>
      <c r="AP20" s="420"/>
      <c r="AQ20" s="420"/>
      <c r="AR20" s="500" t="e">
        <f t="shared" si="13"/>
        <v>#N/A</v>
      </c>
      <c r="AS20" s="649"/>
      <c r="AT20" s="500"/>
      <c r="AU20" s="420"/>
      <c r="AV20" s="420"/>
      <c r="AW20" s="500" t="e">
        <f t="shared" si="15"/>
        <v>#N/A</v>
      </c>
      <c r="AX20" s="649"/>
      <c r="AZ20" s="402" t="e">
        <f t="shared" si="17"/>
        <v>#N/A</v>
      </c>
      <c r="BA20" s="649"/>
    </row>
    <row r="21" spans="2:53">
      <c r="B21" s="635"/>
      <c r="C21" s="413">
        <v>15</v>
      </c>
      <c r="D21" s="225"/>
      <c r="E21" s="420"/>
      <c r="F21" s="500"/>
      <c r="G21" s="501"/>
      <c r="H21" s="679"/>
      <c r="I21" s="201"/>
      <c r="J21" s="201"/>
      <c r="K21" s="201"/>
      <c r="L21" s="610"/>
      <c r="M21" s="422" t="e">
        <f>RANK(K21, K$7:$K$21)</f>
        <v>#N/A</v>
      </c>
      <c r="N21" s="627"/>
      <c r="O21" s="627"/>
      <c r="P21" s="500"/>
      <c r="Q21" s="420"/>
      <c r="R21" s="420"/>
      <c r="S21" s="500" t="e">
        <f t="shared" si="3"/>
        <v>#N/A</v>
      </c>
      <c r="T21" s="649"/>
      <c r="U21" s="500"/>
      <c r="V21" s="420"/>
      <c r="W21" s="420"/>
      <c r="X21" s="500" t="e">
        <f t="shared" si="5"/>
        <v>#N/A</v>
      </c>
      <c r="Y21" s="649"/>
      <c r="Z21" s="500"/>
      <c r="AA21" s="420"/>
      <c r="AB21" s="420"/>
      <c r="AC21" s="500" t="e">
        <f t="shared" si="7"/>
        <v>#N/A</v>
      </c>
      <c r="AD21" s="649"/>
      <c r="AE21" s="500"/>
      <c r="AF21" s="420"/>
      <c r="AG21" s="420"/>
      <c r="AH21" s="500" t="e">
        <f t="shared" si="9"/>
        <v>#N/A</v>
      </c>
      <c r="AI21" s="649"/>
      <c r="AJ21" s="500"/>
      <c r="AK21" s="420"/>
      <c r="AL21" s="420"/>
      <c r="AM21" s="500" t="e">
        <f t="shared" si="11"/>
        <v>#N/A</v>
      </c>
      <c r="AN21" s="649"/>
      <c r="AO21" s="500"/>
      <c r="AP21" s="420"/>
      <c r="AQ21" s="420"/>
      <c r="AR21" s="500" t="e">
        <f t="shared" si="13"/>
        <v>#N/A</v>
      </c>
      <c r="AS21" s="649"/>
      <c r="AT21" s="500"/>
      <c r="AU21" s="420"/>
      <c r="AV21" s="420"/>
      <c r="AW21" s="500" t="e">
        <f t="shared" si="15"/>
        <v>#N/A</v>
      </c>
      <c r="AX21" s="649"/>
      <c r="AZ21" s="402" t="e">
        <f t="shared" si="17"/>
        <v>#N/A</v>
      </c>
      <c r="BA21" s="649"/>
    </row>
    <row r="22" spans="2:53" ht="15.75">
      <c r="B22" s="653" t="s">
        <v>163</v>
      </c>
      <c r="C22" s="654"/>
      <c r="D22" s="654"/>
      <c r="E22" s="654"/>
      <c r="F22" s="654"/>
      <c r="G22" s="654"/>
      <c r="H22" s="654"/>
      <c r="I22" s="202"/>
      <c r="J22" s="202"/>
      <c r="K22" s="202"/>
      <c r="L22" s="202"/>
      <c r="M22" s="203"/>
      <c r="N22" s="628" t="s">
        <v>156</v>
      </c>
      <c r="O22" s="628" t="s">
        <v>105</v>
      </c>
      <c r="P22" s="634">
        <f>P2+7</f>
        <v>46147</v>
      </c>
      <c r="Q22" s="635"/>
      <c r="R22" s="635"/>
      <c r="S22" s="635"/>
      <c r="T22" s="635"/>
      <c r="U22" s="631">
        <f>P22+1</f>
        <v>46148</v>
      </c>
      <c r="V22" s="632"/>
      <c r="W22" s="632"/>
      <c r="X22" s="632"/>
      <c r="Y22" s="633"/>
      <c r="Z22" s="631">
        <f>U22+1</f>
        <v>46149</v>
      </c>
      <c r="AA22" s="632"/>
      <c r="AB22" s="632"/>
      <c r="AC22" s="632"/>
      <c r="AD22" s="633"/>
      <c r="AE22" s="631">
        <f>Z22+1</f>
        <v>46150</v>
      </c>
      <c r="AF22" s="632"/>
      <c r="AG22" s="632"/>
      <c r="AH22" s="632"/>
      <c r="AI22" s="633"/>
      <c r="AJ22" s="631">
        <f>AE22+1</f>
        <v>46151</v>
      </c>
      <c r="AK22" s="632"/>
      <c r="AL22" s="632"/>
      <c r="AM22" s="632"/>
      <c r="AN22" s="633"/>
      <c r="AO22" s="631">
        <f>AJ22+1</f>
        <v>46152</v>
      </c>
      <c r="AP22" s="632"/>
      <c r="AQ22" s="632"/>
      <c r="AR22" s="632"/>
      <c r="AS22" s="633"/>
      <c r="AT22" s="631">
        <f>AO22+1</f>
        <v>46153</v>
      </c>
      <c r="AU22" s="632"/>
      <c r="AV22" s="632"/>
      <c r="AW22" s="632"/>
      <c r="AX22" s="633"/>
    </row>
    <row r="23" spans="2:53" ht="15.75">
      <c r="B23" s="642"/>
      <c r="C23" s="642"/>
      <c r="D23" s="642"/>
      <c r="E23" s="642"/>
      <c r="F23" s="642"/>
      <c r="G23" s="642"/>
      <c r="H23" s="642"/>
      <c r="I23" s="204"/>
      <c r="J23" s="204"/>
      <c r="K23" s="204"/>
      <c r="L23" s="204"/>
      <c r="M23" s="205"/>
      <c r="N23" s="630"/>
      <c r="O23" s="630"/>
      <c r="P23" s="634" t="s">
        <v>318</v>
      </c>
      <c r="Q23" s="635"/>
      <c r="R23" s="635"/>
      <c r="S23" s="635"/>
      <c r="T23" s="635"/>
      <c r="U23" s="634" t="s">
        <v>319</v>
      </c>
      <c r="V23" s="635"/>
      <c r="W23" s="635"/>
      <c r="X23" s="635"/>
      <c r="Y23" s="635"/>
      <c r="Z23" s="634" t="s">
        <v>320</v>
      </c>
      <c r="AA23" s="635"/>
      <c r="AB23" s="635"/>
      <c r="AC23" s="635"/>
      <c r="AD23" s="635"/>
      <c r="AE23" s="634" t="s">
        <v>321</v>
      </c>
      <c r="AF23" s="635"/>
      <c r="AG23" s="635"/>
      <c r="AH23" s="635"/>
      <c r="AI23" s="635"/>
      <c r="AJ23" s="634" t="s">
        <v>322</v>
      </c>
      <c r="AK23" s="635"/>
      <c r="AL23" s="635"/>
      <c r="AM23" s="635"/>
      <c r="AN23" s="635"/>
      <c r="AO23" s="634" t="s">
        <v>323</v>
      </c>
      <c r="AP23" s="635"/>
      <c r="AQ23" s="635"/>
      <c r="AR23" s="635"/>
      <c r="AS23" s="635"/>
      <c r="AT23" s="634" t="s">
        <v>324</v>
      </c>
      <c r="AU23" s="635"/>
      <c r="AV23" s="635"/>
      <c r="AW23" s="635"/>
      <c r="AX23" s="635"/>
    </row>
    <row r="24" spans="2:53">
      <c r="B24" s="627" t="s">
        <v>154</v>
      </c>
      <c r="C24" s="627" t="s">
        <v>384</v>
      </c>
      <c r="D24" s="627"/>
      <c r="E24" s="627" t="s">
        <v>375</v>
      </c>
      <c r="F24" s="627"/>
      <c r="G24" s="627"/>
      <c r="H24" s="643" t="s">
        <v>371</v>
      </c>
      <c r="I24" s="611" t="s">
        <v>376</v>
      </c>
      <c r="J24" s="611"/>
      <c r="K24" s="611"/>
      <c r="L24" s="612" t="s">
        <v>371</v>
      </c>
      <c r="M24" s="618" t="s">
        <v>372</v>
      </c>
      <c r="N24" s="627"/>
      <c r="O24" s="627" t="s">
        <v>377</v>
      </c>
      <c r="P24" s="624" t="s">
        <v>373</v>
      </c>
      <c r="Q24" s="625"/>
      <c r="R24" s="625"/>
      <c r="S24" s="626"/>
      <c r="T24" s="627" t="s">
        <v>371</v>
      </c>
      <c r="U24" s="624" t="s">
        <v>373</v>
      </c>
      <c r="V24" s="625"/>
      <c r="W24" s="625"/>
      <c r="X24" s="626"/>
      <c r="Y24" s="627" t="s">
        <v>371</v>
      </c>
      <c r="Z24" s="624" t="s">
        <v>373</v>
      </c>
      <c r="AA24" s="625"/>
      <c r="AB24" s="625"/>
      <c r="AC24" s="626"/>
      <c r="AD24" s="627" t="s">
        <v>371</v>
      </c>
      <c r="AE24" s="624" t="s">
        <v>373</v>
      </c>
      <c r="AF24" s="625"/>
      <c r="AG24" s="625"/>
      <c r="AH24" s="626"/>
      <c r="AI24" s="627" t="s">
        <v>371</v>
      </c>
      <c r="AJ24" s="624" t="s">
        <v>373</v>
      </c>
      <c r="AK24" s="625"/>
      <c r="AL24" s="625"/>
      <c r="AM24" s="626"/>
      <c r="AN24" s="627" t="s">
        <v>371</v>
      </c>
      <c r="AO24" s="624" t="s">
        <v>373</v>
      </c>
      <c r="AP24" s="625"/>
      <c r="AQ24" s="625"/>
      <c r="AR24" s="626"/>
      <c r="AS24" s="627" t="s">
        <v>371</v>
      </c>
      <c r="AT24" s="624" t="s">
        <v>373</v>
      </c>
      <c r="AU24" s="625"/>
      <c r="AV24" s="625"/>
      <c r="AW24" s="626"/>
      <c r="AX24" s="627" t="s">
        <v>371</v>
      </c>
      <c r="BA24" s="627" t="s">
        <v>371</v>
      </c>
    </row>
    <row r="25" spans="2:53">
      <c r="B25" s="627"/>
      <c r="C25" s="627"/>
      <c r="D25" s="627"/>
      <c r="E25" s="627" t="s">
        <v>378</v>
      </c>
      <c r="F25" s="627"/>
      <c r="G25" s="627"/>
      <c r="H25" s="644"/>
      <c r="I25" s="611" t="s">
        <v>378</v>
      </c>
      <c r="J25" s="611"/>
      <c r="K25" s="611"/>
      <c r="L25" s="613"/>
      <c r="M25" s="619"/>
      <c r="N25" s="627"/>
      <c r="O25" s="627"/>
      <c r="P25" s="624" t="s">
        <v>379</v>
      </c>
      <c r="Q25" s="625"/>
      <c r="R25" s="625"/>
      <c r="S25" s="626"/>
      <c r="T25" s="627"/>
      <c r="U25" s="624" t="s">
        <v>379</v>
      </c>
      <c r="V25" s="625"/>
      <c r="W25" s="625"/>
      <c r="X25" s="626"/>
      <c r="Y25" s="627"/>
      <c r="Z25" s="624" t="s">
        <v>379</v>
      </c>
      <c r="AA25" s="625"/>
      <c r="AB25" s="625"/>
      <c r="AC25" s="626"/>
      <c r="AD25" s="627"/>
      <c r="AE25" s="624" t="s">
        <v>379</v>
      </c>
      <c r="AF25" s="625"/>
      <c r="AG25" s="625"/>
      <c r="AH25" s="626"/>
      <c r="AI25" s="627"/>
      <c r="AJ25" s="624" t="s">
        <v>379</v>
      </c>
      <c r="AK25" s="625"/>
      <c r="AL25" s="625"/>
      <c r="AM25" s="626"/>
      <c r="AN25" s="627"/>
      <c r="AO25" s="624" t="s">
        <v>379</v>
      </c>
      <c r="AP25" s="625"/>
      <c r="AQ25" s="625"/>
      <c r="AR25" s="626"/>
      <c r="AS25" s="627"/>
      <c r="AT25" s="624" t="s">
        <v>379</v>
      </c>
      <c r="AU25" s="625"/>
      <c r="AV25" s="625"/>
      <c r="AW25" s="626"/>
      <c r="AX25" s="627"/>
      <c r="BA25" s="627"/>
    </row>
    <row r="26" spans="2:53">
      <c r="B26" s="627"/>
      <c r="C26" s="627"/>
      <c r="D26" s="627"/>
      <c r="E26" s="412" t="s">
        <v>380</v>
      </c>
      <c r="F26" s="412" t="s">
        <v>381</v>
      </c>
      <c r="G26" s="412" t="s">
        <v>382</v>
      </c>
      <c r="H26" s="645"/>
      <c r="I26" s="411" t="s">
        <v>380</v>
      </c>
      <c r="J26" s="411" t="s">
        <v>381</v>
      </c>
      <c r="K26" s="411" t="s">
        <v>382</v>
      </c>
      <c r="L26" s="614"/>
      <c r="M26" s="620"/>
      <c r="N26" s="627"/>
      <c r="O26" s="627"/>
      <c r="P26" s="412" t="s">
        <v>380</v>
      </c>
      <c r="Q26" s="412" t="s">
        <v>381</v>
      </c>
      <c r="R26" s="412" t="s">
        <v>382</v>
      </c>
      <c r="S26" s="412" t="s">
        <v>372</v>
      </c>
      <c r="T26" s="627"/>
      <c r="U26" s="412" t="s">
        <v>380</v>
      </c>
      <c r="V26" s="412" t="s">
        <v>381</v>
      </c>
      <c r="W26" s="412" t="s">
        <v>382</v>
      </c>
      <c r="X26" s="412" t="s">
        <v>372</v>
      </c>
      <c r="Y26" s="627"/>
      <c r="Z26" s="412" t="s">
        <v>380</v>
      </c>
      <c r="AA26" s="412" t="s">
        <v>381</v>
      </c>
      <c r="AB26" s="412" t="s">
        <v>382</v>
      </c>
      <c r="AC26" s="412" t="s">
        <v>372</v>
      </c>
      <c r="AD26" s="627"/>
      <c r="AE26" s="412" t="s">
        <v>380</v>
      </c>
      <c r="AF26" s="412" t="s">
        <v>381</v>
      </c>
      <c r="AG26" s="412" t="s">
        <v>382</v>
      </c>
      <c r="AH26" s="412" t="s">
        <v>372</v>
      </c>
      <c r="AI26" s="627"/>
      <c r="AJ26" s="412" t="s">
        <v>380</v>
      </c>
      <c r="AK26" s="412" t="s">
        <v>381</v>
      </c>
      <c r="AL26" s="412" t="s">
        <v>382</v>
      </c>
      <c r="AM26" s="412" t="s">
        <v>372</v>
      </c>
      <c r="AN26" s="627"/>
      <c r="AO26" s="412" t="s">
        <v>380</v>
      </c>
      <c r="AP26" s="412" t="s">
        <v>381</v>
      </c>
      <c r="AQ26" s="412" t="s">
        <v>382</v>
      </c>
      <c r="AR26" s="412" t="s">
        <v>372</v>
      </c>
      <c r="AS26" s="627"/>
      <c r="AT26" s="412" t="s">
        <v>380</v>
      </c>
      <c r="AU26" s="412" t="s">
        <v>381</v>
      </c>
      <c r="AV26" s="412" t="s">
        <v>382</v>
      </c>
      <c r="AW26" s="412" t="s">
        <v>372</v>
      </c>
      <c r="AX26" s="627"/>
      <c r="AZ26" s="401" t="s">
        <v>372</v>
      </c>
      <c r="BA26" s="627"/>
    </row>
    <row r="27" spans="2:53">
      <c r="B27" s="627" t="s">
        <v>132</v>
      </c>
      <c r="C27" s="413">
        <v>1</v>
      </c>
      <c r="D27" s="225" t="s">
        <v>716</v>
      </c>
      <c r="E27" s="420">
        <v>17</v>
      </c>
      <c r="F27" s="413">
        <v>1440</v>
      </c>
      <c r="G27" s="414">
        <v>84.705882352941174</v>
      </c>
      <c r="H27" s="677">
        <f>AVERAGE(G27:G41)</f>
        <v>79.694863100435867</v>
      </c>
      <c r="I27" s="417">
        <f t="shared" ref="I27:I40" si="19">IFERROR(AVERAGE(P27,U27,Z27,AE27,AJ27,AO27,AT27),"-")</f>
        <v>17</v>
      </c>
      <c r="J27" s="417">
        <f t="shared" ref="J27:J40" si="20">IFERROR(AVERAGE(Q27,V27,AA27,AF27,AK27,AP27,AU27),"-")</f>
        <v>1280.228336174825</v>
      </c>
      <c r="K27" s="199">
        <f t="shared" ref="K27:K40" si="21">IFERROR(AVERAGE(R27,W27,AB27,AG27,AL27,AQ27,AV27),"-")</f>
        <v>75.307549186754414</v>
      </c>
      <c r="L27" s="608">
        <f>IFERROR(AVERAGE(K27:K41),"-")</f>
        <v>71.995438102013637</v>
      </c>
      <c r="M27" s="419">
        <f>RANK(K27, K$24:$K$41)</f>
        <v>4</v>
      </c>
      <c r="N27" s="627"/>
      <c r="O27" s="627"/>
      <c r="P27" s="550">
        <v>17</v>
      </c>
      <c r="Q27" s="420">
        <v>1280.7920792079212</v>
      </c>
      <c r="R27" s="420">
        <v>75.340710541642423</v>
      </c>
      <c r="S27" s="550">
        <f t="shared" ref="S27:S41" si="22">RANK(R27, R$27:R$41)</f>
        <v>4</v>
      </c>
      <c r="T27" s="636">
        <f t="shared" ref="T27" si="23">AVERAGE(R27:R41)</f>
        <v>72.047407516695998</v>
      </c>
      <c r="U27" s="550">
        <v>17</v>
      </c>
      <c r="V27" s="420">
        <v>1280.8695652173915</v>
      </c>
      <c r="W27" s="420">
        <v>75.345268542199506</v>
      </c>
      <c r="X27" s="550">
        <f t="shared" ref="X27:X41" si="24">RANK(W27, W$27:W$41)</f>
        <v>4</v>
      </c>
      <c r="Y27" s="636">
        <f t="shared" ref="Y27" si="25">AVERAGE(W27:W41)</f>
        <v>71.861646612382074</v>
      </c>
      <c r="Z27" s="550">
        <v>17</v>
      </c>
      <c r="AA27" s="420">
        <v>1303.3734939759031</v>
      </c>
      <c r="AB27" s="420">
        <v>76.669029057406064</v>
      </c>
      <c r="AC27" s="550">
        <f t="shared" ref="AC27:AC41" si="26">RANK(AB27, AB$27:AB$41)</f>
        <v>4</v>
      </c>
      <c r="AD27" s="636">
        <f t="shared" ref="AD27" si="27">AVERAGE(AB27:AB41)</f>
        <v>72.276469540918328</v>
      </c>
      <c r="AE27" s="550">
        <v>17</v>
      </c>
      <c r="AF27" s="420">
        <v>1260.7792207792199</v>
      </c>
      <c r="AG27" s="420">
        <v>74.163483575248236</v>
      </c>
      <c r="AH27" s="550">
        <f t="shared" ref="AH27:AH41" si="28">RANK(AG27, AG$27:AG$41)</f>
        <v>5</v>
      </c>
      <c r="AI27" s="636">
        <f t="shared" ref="AI27" si="29">AVERAGE(AG27:AG41)</f>
        <v>71.024881944957443</v>
      </c>
      <c r="AJ27" s="550">
        <v>17</v>
      </c>
      <c r="AK27" s="420">
        <v>1283.7362637362637</v>
      </c>
      <c r="AL27" s="420">
        <v>75.513897866839045</v>
      </c>
      <c r="AM27" s="550">
        <f t="shared" ref="AM27:AM41" si="30">RANK(AL27, AL$27:AL$41)</f>
        <v>5</v>
      </c>
      <c r="AN27" s="636">
        <f t="shared" ref="AN27" si="31">AVERAGE(AL27:AL41)</f>
        <v>72.200317411053462</v>
      </c>
      <c r="AO27" s="550">
        <v>17</v>
      </c>
      <c r="AP27" s="420">
        <v>1281.8691588785055</v>
      </c>
      <c r="AQ27" s="420">
        <v>75.40406816932385</v>
      </c>
      <c r="AR27" s="550">
        <f t="shared" ref="AR27:AR41" si="32">RANK(AQ27, AQ$27:AQ$41)</f>
        <v>5</v>
      </c>
      <c r="AS27" s="636">
        <f t="shared" ref="AS27" si="33">AVERAGE(AQ27:AQ41)</f>
        <v>72.360706568910217</v>
      </c>
      <c r="AT27" s="550">
        <v>17</v>
      </c>
      <c r="AU27" s="420">
        <v>1270.1785714285704</v>
      </c>
      <c r="AV27" s="420">
        <v>74.716386554621792</v>
      </c>
      <c r="AW27" s="550">
        <f t="shared" ref="AW27:AW41" si="34">RANK(AV27, AV$27:AV$41)</f>
        <v>6</v>
      </c>
      <c r="AX27" s="636">
        <f t="shared" ref="AX27" si="35">AVERAGE(AV27:AV41)</f>
        <v>72.196637119178064</v>
      </c>
      <c r="AZ27" s="402" t="e">
        <f t="shared" ref="AZ27:AZ41" si="36">RANK(AY27, AY$27:AY$41)</f>
        <v>#N/A</v>
      </c>
      <c r="BA27" s="636" t="e">
        <f t="shared" ref="BA27" si="37">AVERAGE(AY27:AY41)</f>
        <v>#DIV/0!</v>
      </c>
    </row>
    <row r="28" spans="2:53">
      <c r="B28" s="635"/>
      <c r="C28" s="413">
        <v>2</v>
      </c>
      <c r="D28" s="225" t="s">
        <v>348</v>
      </c>
      <c r="E28" s="420">
        <v>18</v>
      </c>
      <c r="F28" s="413">
        <v>1440</v>
      </c>
      <c r="G28" s="414">
        <v>80</v>
      </c>
      <c r="H28" s="678"/>
      <c r="I28" s="417">
        <f t="shared" si="19"/>
        <v>18</v>
      </c>
      <c r="J28" s="417">
        <f t="shared" si="20"/>
        <v>1338.9675078921766</v>
      </c>
      <c r="K28" s="199">
        <f t="shared" si="21"/>
        <v>74.387083771787587</v>
      </c>
      <c r="L28" s="609"/>
      <c r="M28" s="423">
        <f>RANK(K28, K$24:$K$41)</f>
        <v>5</v>
      </c>
      <c r="N28" s="627"/>
      <c r="O28" s="627"/>
      <c r="P28" s="550">
        <v>18</v>
      </c>
      <c r="Q28" s="420">
        <v>1341.2281690140849</v>
      </c>
      <c r="R28" s="420">
        <v>74.512676056338051</v>
      </c>
      <c r="S28" s="550">
        <f t="shared" si="22"/>
        <v>6</v>
      </c>
      <c r="T28" s="637"/>
      <c r="U28" s="550">
        <v>18</v>
      </c>
      <c r="V28" s="420">
        <v>1342.3764705882352</v>
      </c>
      <c r="W28" s="420">
        <v>74.576470588235281</v>
      </c>
      <c r="X28" s="550">
        <f t="shared" si="24"/>
        <v>6</v>
      </c>
      <c r="Y28" s="637"/>
      <c r="Z28" s="550">
        <v>18</v>
      </c>
      <c r="AA28" s="420">
        <v>1326.7636363636364</v>
      </c>
      <c r="AB28" s="420">
        <v>73.709090909090904</v>
      </c>
      <c r="AC28" s="550">
        <f t="shared" si="26"/>
        <v>6</v>
      </c>
      <c r="AD28" s="637"/>
      <c r="AE28" s="550">
        <v>18</v>
      </c>
      <c r="AF28" s="420">
        <v>1343.3333333333335</v>
      </c>
      <c r="AG28" s="420">
        <v>74.629629629629633</v>
      </c>
      <c r="AH28" s="550">
        <f t="shared" si="28"/>
        <v>4</v>
      </c>
      <c r="AI28" s="637"/>
      <c r="AJ28" s="550">
        <v>18</v>
      </c>
      <c r="AK28" s="420">
        <v>1333.1250000000005</v>
      </c>
      <c r="AL28" s="420">
        <v>74.062500000000028</v>
      </c>
      <c r="AM28" s="550">
        <f t="shared" si="30"/>
        <v>6</v>
      </c>
      <c r="AN28" s="637"/>
      <c r="AO28" s="550">
        <v>18</v>
      </c>
      <c r="AP28" s="420">
        <v>1335.135135135135</v>
      </c>
      <c r="AQ28" s="420">
        <v>74.174174174174169</v>
      </c>
      <c r="AR28" s="550">
        <f t="shared" si="32"/>
        <v>6</v>
      </c>
      <c r="AS28" s="637"/>
      <c r="AT28" s="550">
        <v>18</v>
      </c>
      <c r="AU28" s="420">
        <v>1350.8108108108108</v>
      </c>
      <c r="AV28" s="420">
        <v>75.045045045045043</v>
      </c>
      <c r="AW28" s="550">
        <f t="shared" si="34"/>
        <v>5</v>
      </c>
      <c r="AX28" s="637"/>
      <c r="AZ28" s="402" t="e">
        <f t="shared" si="36"/>
        <v>#N/A</v>
      </c>
      <c r="BA28" s="637"/>
    </row>
    <row r="29" spans="2:53">
      <c r="B29" s="635"/>
      <c r="C29" s="413">
        <v>3</v>
      </c>
      <c r="D29" s="225" t="s">
        <v>349</v>
      </c>
      <c r="E29" s="420">
        <v>18</v>
      </c>
      <c r="F29" s="413">
        <v>1440</v>
      </c>
      <c r="G29" s="414">
        <v>80</v>
      </c>
      <c r="H29" s="678"/>
      <c r="I29" s="417">
        <f t="shared" si="19"/>
        <v>18</v>
      </c>
      <c r="J29" s="417">
        <f t="shared" si="20"/>
        <v>1288.7493585441916</v>
      </c>
      <c r="K29" s="199">
        <f t="shared" si="21"/>
        <v>71.597186585788421</v>
      </c>
      <c r="L29" s="609"/>
      <c r="M29" s="423">
        <f>RANK(K29, K$24:$K$41)</f>
        <v>7</v>
      </c>
      <c r="N29" s="627"/>
      <c r="O29" s="627"/>
      <c r="P29" s="550">
        <v>18</v>
      </c>
      <c r="Q29" s="420">
        <v>1257.5000000000005</v>
      </c>
      <c r="R29" s="420">
        <v>69.861111111111143</v>
      </c>
      <c r="S29" s="550">
        <f t="shared" si="22"/>
        <v>9</v>
      </c>
      <c r="T29" s="637"/>
      <c r="U29" s="550">
        <v>18</v>
      </c>
      <c r="V29" s="420">
        <v>1257.4468085106384</v>
      </c>
      <c r="W29" s="420">
        <v>69.858156028368796</v>
      </c>
      <c r="X29" s="550">
        <f t="shared" si="24"/>
        <v>9</v>
      </c>
      <c r="Y29" s="637"/>
      <c r="Z29" s="550">
        <v>18</v>
      </c>
      <c r="AA29" s="420">
        <v>1311.8181818181818</v>
      </c>
      <c r="AB29" s="420">
        <v>72.878787878787875</v>
      </c>
      <c r="AC29" s="550">
        <f t="shared" si="26"/>
        <v>7</v>
      </c>
      <c r="AD29" s="637"/>
      <c r="AE29" s="550">
        <v>18</v>
      </c>
      <c r="AF29" s="420">
        <v>1264.285714285714</v>
      </c>
      <c r="AG29" s="420">
        <v>70.238095238095227</v>
      </c>
      <c r="AH29" s="550">
        <f t="shared" si="28"/>
        <v>8</v>
      </c>
      <c r="AI29" s="637"/>
      <c r="AJ29" s="550">
        <v>18</v>
      </c>
      <c r="AK29" s="420">
        <v>1315.909090909091</v>
      </c>
      <c r="AL29" s="420">
        <v>73.106060606060609</v>
      </c>
      <c r="AM29" s="550">
        <f t="shared" si="30"/>
        <v>7</v>
      </c>
      <c r="AN29" s="637"/>
      <c r="AO29" s="550">
        <v>18</v>
      </c>
      <c r="AP29" s="420">
        <v>1320.0000000000005</v>
      </c>
      <c r="AQ29" s="420">
        <v>73.333333333333357</v>
      </c>
      <c r="AR29" s="550">
        <f t="shared" si="32"/>
        <v>7</v>
      </c>
      <c r="AS29" s="637"/>
      <c r="AT29" s="550">
        <v>18</v>
      </c>
      <c r="AU29" s="420">
        <v>1294.2857142857147</v>
      </c>
      <c r="AV29" s="420">
        <v>71.904761904761926</v>
      </c>
      <c r="AW29" s="550">
        <f t="shared" si="34"/>
        <v>7</v>
      </c>
      <c r="AX29" s="637"/>
      <c r="AZ29" s="402" t="e">
        <f t="shared" si="36"/>
        <v>#N/A</v>
      </c>
      <c r="BA29" s="637"/>
    </row>
    <row r="30" spans="2:53">
      <c r="B30" s="635"/>
      <c r="C30" s="413">
        <v>4</v>
      </c>
      <c r="D30" s="225" t="s">
        <v>350</v>
      </c>
      <c r="E30" s="420">
        <v>17</v>
      </c>
      <c r="F30" s="413">
        <v>1440</v>
      </c>
      <c r="G30" s="414">
        <v>84.705882352941174</v>
      </c>
      <c r="H30" s="678"/>
      <c r="I30" s="417">
        <f t="shared" si="19"/>
        <v>17</v>
      </c>
      <c r="J30" s="417">
        <f t="shared" si="20"/>
        <v>1346.8101406647036</v>
      </c>
      <c r="K30" s="199">
        <f t="shared" si="21"/>
        <v>79.224125921453151</v>
      </c>
      <c r="L30" s="609"/>
      <c r="M30" s="423">
        <f>RANK(K30, K$24:$K$41)</f>
        <v>3</v>
      </c>
      <c r="N30" s="627"/>
      <c r="O30" s="627"/>
      <c r="P30" s="550">
        <v>17</v>
      </c>
      <c r="Q30" s="420">
        <v>1344.2696629213483</v>
      </c>
      <c r="R30" s="420">
        <v>79.07468605419696</v>
      </c>
      <c r="S30" s="550">
        <f t="shared" si="22"/>
        <v>2</v>
      </c>
      <c r="T30" s="637"/>
      <c r="U30" s="550">
        <v>17</v>
      </c>
      <c r="V30" s="420">
        <v>1346.0240963855417</v>
      </c>
      <c r="W30" s="420">
        <v>79.177888022678928</v>
      </c>
      <c r="X30" s="550">
        <f t="shared" si="24"/>
        <v>3</v>
      </c>
      <c r="Y30" s="637"/>
      <c r="Z30" s="550">
        <v>17</v>
      </c>
      <c r="AA30" s="420">
        <v>1321.4999999999995</v>
      </c>
      <c r="AB30" s="420">
        <v>77.73529411764703</v>
      </c>
      <c r="AC30" s="550">
        <f t="shared" si="26"/>
        <v>3</v>
      </c>
      <c r="AD30" s="637"/>
      <c r="AE30" s="550">
        <v>17</v>
      </c>
      <c r="AF30" s="420">
        <v>1362.9850746268676</v>
      </c>
      <c r="AG30" s="420">
        <v>80.175592625109857</v>
      </c>
      <c r="AH30" s="550">
        <f t="shared" si="28"/>
        <v>2</v>
      </c>
      <c r="AI30" s="637"/>
      <c r="AJ30" s="550">
        <v>17</v>
      </c>
      <c r="AK30" s="420">
        <v>1347.3417721518981</v>
      </c>
      <c r="AL30" s="420">
        <v>79.25539836187636</v>
      </c>
      <c r="AM30" s="550">
        <f t="shared" si="30"/>
        <v>3</v>
      </c>
      <c r="AN30" s="637"/>
      <c r="AO30" s="550">
        <v>17</v>
      </c>
      <c r="AP30" s="420">
        <v>1359.4117647058829</v>
      </c>
      <c r="AQ30" s="420">
        <v>79.965397923875457</v>
      </c>
      <c r="AR30" s="550">
        <f t="shared" si="32"/>
        <v>2</v>
      </c>
      <c r="AS30" s="637"/>
      <c r="AT30" s="550">
        <v>17</v>
      </c>
      <c r="AU30" s="420">
        <v>1346.1386138613868</v>
      </c>
      <c r="AV30" s="420">
        <v>79.184624344787466</v>
      </c>
      <c r="AW30" s="550">
        <f t="shared" si="34"/>
        <v>2</v>
      </c>
      <c r="AX30" s="637"/>
      <c r="AZ30" s="402" t="e">
        <f t="shared" si="36"/>
        <v>#N/A</v>
      </c>
      <c r="BA30" s="637"/>
    </row>
    <row r="31" spans="2:53">
      <c r="B31" s="635"/>
      <c r="C31" s="413">
        <v>5</v>
      </c>
      <c r="D31" s="225" t="s">
        <v>351</v>
      </c>
      <c r="E31" s="420">
        <v>17</v>
      </c>
      <c r="F31" s="413">
        <v>1440</v>
      </c>
      <c r="G31" s="414">
        <v>84.705882352941174</v>
      </c>
      <c r="H31" s="678"/>
      <c r="I31" s="417">
        <f t="shared" si="19"/>
        <v>17</v>
      </c>
      <c r="J31" s="417">
        <f t="shared" si="20"/>
        <v>1261.0703343237888</v>
      </c>
      <c r="K31" s="199">
        <f t="shared" si="21"/>
        <v>74.180607901399327</v>
      </c>
      <c r="L31" s="609"/>
      <c r="M31" s="423">
        <f>RANK(K31, K$24:$K$41)</f>
        <v>6</v>
      </c>
      <c r="N31" s="627"/>
      <c r="O31" s="627"/>
      <c r="P31" s="550">
        <v>17</v>
      </c>
      <c r="Q31" s="420">
        <v>1268.5714285714273</v>
      </c>
      <c r="R31" s="420">
        <v>74.621848739495718</v>
      </c>
      <c r="S31" s="550">
        <f t="shared" si="22"/>
        <v>5</v>
      </c>
      <c r="T31" s="637"/>
      <c r="U31" s="550">
        <v>17</v>
      </c>
      <c r="V31" s="420">
        <v>1269.3749999999982</v>
      </c>
      <c r="W31" s="420">
        <v>74.669117647058712</v>
      </c>
      <c r="X31" s="550">
        <f t="shared" si="24"/>
        <v>5</v>
      </c>
      <c r="Y31" s="637"/>
      <c r="Z31" s="550">
        <v>17</v>
      </c>
      <c r="AA31" s="420">
        <v>1296.774193548385</v>
      </c>
      <c r="AB31" s="420">
        <v>76.280834914610878</v>
      </c>
      <c r="AC31" s="550">
        <f t="shared" si="26"/>
        <v>5</v>
      </c>
      <c r="AD31" s="637"/>
      <c r="AE31" s="550">
        <v>17</v>
      </c>
      <c r="AF31" s="420">
        <v>1120.7142857142833</v>
      </c>
      <c r="AG31" s="420">
        <v>65.924369747899021</v>
      </c>
      <c r="AH31" s="550">
        <f t="shared" si="28"/>
        <v>11</v>
      </c>
      <c r="AI31" s="637"/>
      <c r="AJ31" s="550">
        <v>17</v>
      </c>
      <c r="AK31" s="420">
        <v>1283.9999999999977</v>
      </c>
      <c r="AL31" s="420">
        <v>75.529411764705742</v>
      </c>
      <c r="AM31" s="550">
        <f t="shared" si="30"/>
        <v>4</v>
      </c>
      <c r="AN31" s="637"/>
      <c r="AO31" s="550">
        <v>17</v>
      </c>
      <c r="AP31" s="420">
        <v>1295.6249999999982</v>
      </c>
      <c r="AQ31" s="420">
        <v>76.213235294117538</v>
      </c>
      <c r="AR31" s="550">
        <f t="shared" si="32"/>
        <v>4</v>
      </c>
      <c r="AS31" s="637"/>
      <c r="AT31" s="550">
        <v>17</v>
      </c>
      <c r="AU31" s="420">
        <v>1292.4324324324314</v>
      </c>
      <c r="AV31" s="420">
        <v>76.025437201907721</v>
      </c>
      <c r="AW31" s="550">
        <f t="shared" si="34"/>
        <v>4</v>
      </c>
      <c r="AX31" s="637"/>
      <c r="AZ31" s="402" t="e">
        <f t="shared" si="36"/>
        <v>#N/A</v>
      </c>
      <c r="BA31" s="637"/>
    </row>
    <row r="32" spans="2:53">
      <c r="B32" s="635"/>
      <c r="C32" s="413">
        <v>6</v>
      </c>
      <c r="D32" s="225" t="s">
        <v>352</v>
      </c>
      <c r="E32" s="420">
        <v>21</v>
      </c>
      <c r="F32" s="413">
        <v>1385</v>
      </c>
      <c r="G32" s="414">
        <v>65.952380952380949</v>
      </c>
      <c r="H32" s="678"/>
      <c r="I32" s="417">
        <f t="shared" si="19"/>
        <v>21</v>
      </c>
      <c r="J32" s="417">
        <f t="shared" si="20"/>
        <v>1249.9451267201891</v>
      </c>
      <c r="K32" s="199">
        <f t="shared" si="21"/>
        <v>59.521196510485197</v>
      </c>
      <c r="L32" s="609"/>
      <c r="M32" s="423">
        <f>RANK(K32, K$24:$K$41)</f>
        <v>13</v>
      </c>
      <c r="N32" s="627"/>
      <c r="O32" s="627"/>
      <c r="P32" s="550">
        <v>21</v>
      </c>
      <c r="Q32" s="420">
        <v>1291.8750000000005</v>
      </c>
      <c r="R32" s="420">
        <v>61.517857142857167</v>
      </c>
      <c r="S32" s="550">
        <f t="shared" si="22"/>
        <v>13</v>
      </c>
      <c r="T32" s="637"/>
      <c r="U32" s="550">
        <v>21</v>
      </c>
      <c r="V32" s="420">
        <v>1250.9268292682923</v>
      </c>
      <c r="W32" s="420">
        <v>59.567944250871065</v>
      </c>
      <c r="X32" s="550">
        <f t="shared" si="24"/>
        <v>13</v>
      </c>
      <c r="Y32" s="637"/>
      <c r="Z32" s="550">
        <v>21</v>
      </c>
      <c r="AA32" s="420">
        <v>1219.120879120879</v>
      </c>
      <c r="AB32" s="420">
        <v>58.053375196232331</v>
      </c>
      <c r="AC32" s="550">
        <f t="shared" si="26"/>
        <v>13</v>
      </c>
      <c r="AD32" s="637"/>
      <c r="AE32" s="550">
        <v>21</v>
      </c>
      <c r="AF32" s="420">
        <v>1242.2222222222217</v>
      </c>
      <c r="AG32" s="420">
        <v>59.15343915343913</v>
      </c>
      <c r="AH32" s="550">
        <f t="shared" si="28"/>
        <v>13</v>
      </c>
      <c r="AI32" s="637"/>
      <c r="AJ32" s="550">
        <v>21</v>
      </c>
      <c r="AK32" s="420">
        <v>1230.9677419354841</v>
      </c>
      <c r="AL32" s="420">
        <v>58.617511520737338</v>
      </c>
      <c r="AM32" s="550">
        <f t="shared" si="30"/>
        <v>13</v>
      </c>
      <c r="AN32" s="637"/>
      <c r="AO32" s="550">
        <v>21</v>
      </c>
      <c r="AP32" s="420">
        <v>1265.689655172413</v>
      </c>
      <c r="AQ32" s="420">
        <v>60.270935960591096</v>
      </c>
      <c r="AR32" s="550">
        <f t="shared" si="32"/>
        <v>13</v>
      </c>
      <c r="AS32" s="637"/>
      <c r="AT32" s="550">
        <v>21</v>
      </c>
      <c r="AU32" s="420">
        <v>1248.8135593220334</v>
      </c>
      <c r="AV32" s="420">
        <v>59.467312348668258</v>
      </c>
      <c r="AW32" s="550">
        <f t="shared" si="34"/>
        <v>13</v>
      </c>
      <c r="AX32" s="637"/>
      <c r="AZ32" s="402" t="e">
        <f t="shared" si="36"/>
        <v>#N/A</v>
      </c>
      <c r="BA32" s="637"/>
    </row>
    <row r="33" spans="2:53">
      <c r="B33" s="635"/>
      <c r="C33" s="413">
        <v>7</v>
      </c>
      <c r="D33" s="225" t="s">
        <v>353</v>
      </c>
      <c r="E33" s="420">
        <v>19</v>
      </c>
      <c r="F33" s="413">
        <v>1440</v>
      </c>
      <c r="G33" s="414">
        <v>75.78947368421052</v>
      </c>
      <c r="H33" s="678"/>
      <c r="I33" s="417">
        <f t="shared" si="19"/>
        <v>19</v>
      </c>
      <c r="J33" s="417">
        <f t="shared" si="20"/>
        <v>1289.6506750607207</v>
      </c>
      <c r="K33" s="199">
        <f t="shared" si="21"/>
        <v>67.876351318985286</v>
      </c>
      <c r="L33" s="609"/>
      <c r="M33" s="423">
        <f>RANK(K33, K$24:$K$41)</f>
        <v>11</v>
      </c>
      <c r="N33" s="627"/>
      <c r="O33" s="627"/>
      <c r="P33" s="550">
        <v>19</v>
      </c>
      <c r="Q33" s="420">
        <v>1326.7346938775513</v>
      </c>
      <c r="R33" s="420">
        <v>69.828141783029011</v>
      </c>
      <c r="S33" s="550">
        <f t="shared" si="22"/>
        <v>10</v>
      </c>
      <c r="T33" s="637"/>
      <c r="U33" s="550">
        <v>19</v>
      </c>
      <c r="V33" s="420">
        <v>1283.1325301204815</v>
      </c>
      <c r="W33" s="420">
        <v>67.533291058972708</v>
      </c>
      <c r="X33" s="550">
        <f t="shared" si="24"/>
        <v>11</v>
      </c>
      <c r="Y33" s="637"/>
      <c r="Z33" s="550">
        <v>19</v>
      </c>
      <c r="AA33" s="420">
        <v>1278.6885245901651</v>
      </c>
      <c r="AB33" s="420">
        <v>67.29939603106132</v>
      </c>
      <c r="AC33" s="550">
        <f t="shared" si="26"/>
        <v>11</v>
      </c>
      <c r="AD33" s="637"/>
      <c r="AE33" s="550">
        <v>19</v>
      </c>
      <c r="AF33" s="420">
        <v>1267.6190476190488</v>
      </c>
      <c r="AG33" s="420">
        <v>66.716791979949946</v>
      </c>
      <c r="AH33" s="550">
        <f t="shared" si="28"/>
        <v>10</v>
      </c>
      <c r="AI33" s="637"/>
      <c r="AJ33" s="550">
        <v>19</v>
      </c>
      <c r="AK33" s="420">
        <v>1279.4366197183085</v>
      </c>
      <c r="AL33" s="420">
        <v>67.338769458858337</v>
      </c>
      <c r="AM33" s="550">
        <f t="shared" si="30"/>
        <v>11</v>
      </c>
      <c r="AN33" s="637"/>
      <c r="AO33" s="550">
        <v>19</v>
      </c>
      <c r="AP33" s="420">
        <v>1288.9887640449438</v>
      </c>
      <c r="AQ33" s="420">
        <v>67.841513897102303</v>
      </c>
      <c r="AR33" s="550">
        <f t="shared" si="32"/>
        <v>11</v>
      </c>
      <c r="AS33" s="637"/>
      <c r="AT33" s="550">
        <v>19</v>
      </c>
      <c r="AU33" s="420">
        <v>1302.9545454545455</v>
      </c>
      <c r="AV33" s="420">
        <v>68.576555023923447</v>
      </c>
      <c r="AW33" s="550">
        <f t="shared" si="34"/>
        <v>11</v>
      </c>
      <c r="AX33" s="637"/>
      <c r="AZ33" s="402" t="e">
        <f t="shared" si="36"/>
        <v>#N/A</v>
      </c>
      <c r="BA33" s="637"/>
    </row>
    <row r="34" spans="2:53">
      <c r="B34" s="635"/>
      <c r="C34" s="413">
        <v>8</v>
      </c>
      <c r="D34" s="225" t="s">
        <v>503</v>
      </c>
      <c r="E34" s="420">
        <v>18</v>
      </c>
      <c r="F34" s="413">
        <v>1385</v>
      </c>
      <c r="G34" s="414">
        <v>76.944444444444443</v>
      </c>
      <c r="H34" s="678"/>
      <c r="I34" s="417">
        <f t="shared" si="19"/>
        <v>18</v>
      </c>
      <c r="J34" s="417">
        <f t="shared" si="20"/>
        <v>1275.8258999499762</v>
      </c>
      <c r="K34" s="199">
        <f t="shared" si="21"/>
        <v>70.879216663887576</v>
      </c>
      <c r="L34" s="609"/>
      <c r="M34" s="423">
        <f>RANK(K34, K$24:$K$41)</f>
        <v>9</v>
      </c>
      <c r="N34" s="627"/>
      <c r="O34" s="627"/>
      <c r="P34" s="550">
        <v>18</v>
      </c>
      <c r="Q34" s="420">
        <v>1277.1428571428557</v>
      </c>
      <c r="R34" s="420">
        <v>70.952380952380878</v>
      </c>
      <c r="S34" s="550">
        <f t="shared" si="22"/>
        <v>8</v>
      </c>
      <c r="T34" s="637"/>
      <c r="U34" s="550">
        <v>18</v>
      </c>
      <c r="V34" s="420">
        <v>1278.1818181818196</v>
      </c>
      <c r="W34" s="420">
        <v>71.010101010101096</v>
      </c>
      <c r="X34" s="550">
        <f t="shared" si="24"/>
        <v>8</v>
      </c>
      <c r="Y34" s="637"/>
      <c r="Z34" s="550">
        <v>18</v>
      </c>
      <c r="AA34" s="420">
        <v>1293.0000000000014</v>
      </c>
      <c r="AB34" s="420">
        <v>71.833333333333414</v>
      </c>
      <c r="AC34" s="550">
        <f t="shared" si="26"/>
        <v>8</v>
      </c>
      <c r="AD34" s="637"/>
      <c r="AE34" s="550">
        <v>18</v>
      </c>
      <c r="AF34" s="420">
        <v>1276.9811320754725</v>
      </c>
      <c r="AG34" s="420">
        <v>70.943396226415132</v>
      </c>
      <c r="AH34" s="550">
        <f t="shared" si="28"/>
        <v>7</v>
      </c>
      <c r="AI34" s="637"/>
      <c r="AJ34" s="550">
        <v>18</v>
      </c>
      <c r="AK34" s="420">
        <v>1266.7741935483882</v>
      </c>
      <c r="AL34" s="420">
        <v>70.376344086021561</v>
      </c>
      <c r="AM34" s="550">
        <f t="shared" si="30"/>
        <v>9</v>
      </c>
      <c r="AN34" s="637"/>
      <c r="AO34" s="550">
        <v>18</v>
      </c>
      <c r="AP34" s="420">
        <v>1270.9090909090901</v>
      </c>
      <c r="AQ34" s="420">
        <v>70.606060606060566</v>
      </c>
      <c r="AR34" s="550">
        <f t="shared" si="32"/>
        <v>9</v>
      </c>
      <c r="AS34" s="637"/>
      <c r="AT34" s="550">
        <v>18</v>
      </c>
      <c r="AU34" s="420">
        <v>1267.7922077922069</v>
      </c>
      <c r="AV34" s="420">
        <v>70.432900432900382</v>
      </c>
      <c r="AW34" s="550">
        <f t="shared" si="34"/>
        <v>9</v>
      </c>
      <c r="AX34" s="637"/>
      <c r="AZ34" s="402" t="e">
        <f t="shared" si="36"/>
        <v>#N/A</v>
      </c>
      <c r="BA34" s="637"/>
    </row>
    <row r="35" spans="2:53">
      <c r="B35" s="635"/>
      <c r="C35" s="413">
        <v>9</v>
      </c>
      <c r="D35" s="225" t="s">
        <v>505</v>
      </c>
      <c r="E35" s="420">
        <v>18</v>
      </c>
      <c r="F35" s="413">
        <v>1385</v>
      </c>
      <c r="G35" s="414">
        <v>76.944444444444443</v>
      </c>
      <c r="H35" s="678"/>
      <c r="I35" s="417">
        <f t="shared" si="19"/>
        <v>18</v>
      </c>
      <c r="J35" s="417">
        <f t="shared" si="20"/>
        <v>1233.0362195330995</v>
      </c>
      <c r="K35" s="199">
        <f t="shared" si="21"/>
        <v>68.502012196283289</v>
      </c>
      <c r="L35" s="609"/>
      <c r="M35" s="423">
        <f>RANK(K35, K$24:$K$41)</f>
        <v>10</v>
      </c>
      <c r="N35" s="627"/>
      <c r="O35" s="627"/>
      <c r="P35" s="550">
        <v>18</v>
      </c>
      <c r="Q35" s="420">
        <v>1240.9756097560971</v>
      </c>
      <c r="R35" s="420">
        <v>68.94308943089429</v>
      </c>
      <c r="S35" s="550">
        <f t="shared" si="22"/>
        <v>11</v>
      </c>
      <c r="T35" s="637"/>
      <c r="U35" s="550">
        <v>18</v>
      </c>
      <c r="V35" s="420">
        <v>1227.5675675675668</v>
      </c>
      <c r="W35" s="420">
        <v>68.198198198198156</v>
      </c>
      <c r="X35" s="550">
        <f t="shared" si="24"/>
        <v>10</v>
      </c>
      <c r="Y35" s="637"/>
      <c r="Z35" s="550">
        <v>18</v>
      </c>
      <c r="AA35" s="420">
        <v>1214.9999999999995</v>
      </c>
      <c r="AB35" s="420">
        <v>67.499999999999972</v>
      </c>
      <c r="AC35" s="550">
        <f t="shared" si="26"/>
        <v>10</v>
      </c>
      <c r="AD35" s="637"/>
      <c r="AE35" s="550">
        <v>18</v>
      </c>
      <c r="AF35" s="420">
        <v>1229.9999999999984</v>
      </c>
      <c r="AG35" s="420">
        <v>68.333333333333243</v>
      </c>
      <c r="AH35" s="550">
        <f t="shared" si="28"/>
        <v>9</v>
      </c>
      <c r="AI35" s="637"/>
      <c r="AJ35" s="550">
        <v>18</v>
      </c>
      <c r="AK35" s="420">
        <v>1238.9999999999995</v>
      </c>
      <c r="AL35" s="420">
        <v>68.833333333333314</v>
      </c>
      <c r="AM35" s="550">
        <f t="shared" si="30"/>
        <v>10</v>
      </c>
      <c r="AN35" s="637"/>
      <c r="AO35" s="550">
        <v>18</v>
      </c>
      <c r="AP35" s="420">
        <v>1243.2558139534881</v>
      </c>
      <c r="AQ35" s="420">
        <v>69.069767441860449</v>
      </c>
      <c r="AR35" s="550">
        <f t="shared" si="32"/>
        <v>10</v>
      </c>
      <c r="AS35" s="637"/>
      <c r="AT35" s="550">
        <v>18</v>
      </c>
      <c r="AU35" s="420">
        <v>1235.4545454545455</v>
      </c>
      <c r="AV35" s="420">
        <v>68.63636363636364</v>
      </c>
      <c r="AW35" s="550">
        <f t="shared" si="34"/>
        <v>10</v>
      </c>
      <c r="AX35" s="637"/>
      <c r="AZ35" s="402" t="e">
        <f t="shared" si="36"/>
        <v>#N/A</v>
      </c>
      <c r="BA35" s="637"/>
    </row>
    <row r="36" spans="2:53">
      <c r="B36" s="635"/>
      <c r="C36" s="413">
        <v>10</v>
      </c>
      <c r="D36" s="225" t="s">
        <v>525</v>
      </c>
      <c r="E36" s="420">
        <v>16</v>
      </c>
      <c r="F36" s="413">
        <v>1440</v>
      </c>
      <c r="G36" s="414">
        <v>90</v>
      </c>
      <c r="H36" s="678"/>
      <c r="I36" s="417">
        <f t="shared" si="19"/>
        <v>16.142857142857142</v>
      </c>
      <c r="J36" s="417">
        <f t="shared" si="20"/>
        <v>1331.0474413095692</v>
      </c>
      <c r="K36" s="199">
        <f t="shared" si="21"/>
        <v>82.497187770923702</v>
      </c>
      <c r="L36" s="609"/>
      <c r="M36" s="423">
        <f>RANK(K36, K$24:$K$41)</f>
        <v>1</v>
      </c>
      <c r="N36" s="627"/>
      <c r="O36" s="627"/>
      <c r="P36" s="550">
        <v>17</v>
      </c>
      <c r="Q36" s="420">
        <v>1319.9999999999998</v>
      </c>
      <c r="R36" s="420">
        <v>77.647058823529392</v>
      </c>
      <c r="S36" s="550">
        <f t="shared" si="22"/>
        <v>3</v>
      </c>
      <c r="T36" s="637"/>
      <c r="U36" s="550">
        <v>16</v>
      </c>
      <c r="V36" s="420">
        <v>1327.7586206896544</v>
      </c>
      <c r="W36" s="420">
        <v>82.984913793103402</v>
      </c>
      <c r="X36" s="550">
        <f t="shared" si="24"/>
        <v>1</v>
      </c>
      <c r="Y36" s="637"/>
      <c r="Z36" s="550">
        <v>16</v>
      </c>
      <c r="AA36" s="420">
        <v>1359.6330275229368</v>
      </c>
      <c r="AB36" s="420">
        <v>84.97706422018355</v>
      </c>
      <c r="AC36" s="550">
        <f t="shared" si="26"/>
        <v>1</v>
      </c>
      <c r="AD36" s="637"/>
      <c r="AE36" s="550">
        <v>16</v>
      </c>
      <c r="AF36" s="420">
        <v>1324.675324675324</v>
      </c>
      <c r="AG36" s="420">
        <v>82.792207792207748</v>
      </c>
      <c r="AH36" s="550">
        <f t="shared" si="28"/>
        <v>1</v>
      </c>
      <c r="AI36" s="637"/>
      <c r="AJ36" s="550">
        <v>16</v>
      </c>
      <c r="AK36" s="420">
        <v>1324.8000000000004</v>
      </c>
      <c r="AL36" s="420">
        <v>82.800000000000026</v>
      </c>
      <c r="AM36" s="550">
        <f t="shared" si="30"/>
        <v>1</v>
      </c>
      <c r="AN36" s="637"/>
      <c r="AO36" s="550">
        <v>16</v>
      </c>
      <c r="AP36" s="420">
        <v>1320</v>
      </c>
      <c r="AQ36" s="420">
        <v>82.5</v>
      </c>
      <c r="AR36" s="550">
        <f t="shared" si="32"/>
        <v>1</v>
      </c>
      <c r="AS36" s="637"/>
      <c r="AT36" s="550">
        <v>16</v>
      </c>
      <c r="AU36" s="420">
        <v>1340.4651162790694</v>
      </c>
      <c r="AV36" s="420">
        <v>83.77906976744184</v>
      </c>
      <c r="AW36" s="550">
        <f t="shared" si="34"/>
        <v>1</v>
      </c>
      <c r="AX36" s="637"/>
      <c r="AZ36" s="402" t="e">
        <f t="shared" si="36"/>
        <v>#N/A</v>
      </c>
      <c r="BA36" s="637"/>
    </row>
    <row r="37" spans="2:53">
      <c r="B37" s="635"/>
      <c r="C37" s="413">
        <v>11</v>
      </c>
      <c r="D37" s="225" t="s">
        <v>588</v>
      </c>
      <c r="E37" s="420">
        <v>19</v>
      </c>
      <c r="F37" s="413">
        <v>1440</v>
      </c>
      <c r="G37" s="414">
        <v>75.78947368421052</v>
      </c>
      <c r="H37" s="678"/>
      <c r="I37" s="417">
        <f t="shared" si="19"/>
        <v>19</v>
      </c>
      <c r="J37" s="417">
        <f t="shared" si="20"/>
        <v>1353.5385748152219</v>
      </c>
      <c r="K37" s="199">
        <f t="shared" si="21"/>
        <v>71.238872358695872</v>
      </c>
      <c r="L37" s="609"/>
      <c r="M37" s="423">
        <f>RANK(K37, K$24:$K$41)</f>
        <v>8</v>
      </c>
      <c r="N37" s="627"/>
      <c r="O37" s="627"/>
      <c r="P37" s="550">
        <v>19</v>
      </c>
      <c r="Q37" s="420">
        <v>1350.9944751381215</v>
      </c>
      <c r="R37" s="420">
        <v>71.104972375690608</v>
      </c>
      <c r="S37" s="550">
        <f t="shared" si="22"/>
        <v>7</v>
      </c>
      <c r="T37" s="637"/>
      <c r="U37" s="550">
        <v>19</v>
      </c>
      <c r="V37" s="420">
        <v>1352.8881987577638</v>
      </c>
      <c r="W37" s="420">
        <v>71.204642039882302</v>
      </c>
      <c r="X37" s="550">
        <f t="shared" si="24"/>
        <v>7</v>
      </c>
      <c r="Y37" s="637"/>
      <c r="Z37" s="550">
        <v>19</v>
      </c>
      <c r="AA37" s="420">
        <v>1336.4292134831462</v>
      </c>
      <c r="AB37" s="420">
        <v>70.338379657007692</v>
      </c>
      <c r="AC37" s="550">
        <f t="shared" si="26"/>
        <v>9</v>
      </c>
      <c r="AD37" s="637"/>
      <c r="AE37" s="550">
        <v>19</v>
      </c>
      <c r="AF37" s="420">
        <v>1361.0292993630574</v>
      </c>
      <c r="AG37" s="420">
        <v>71.633121019108287</v>
      </c>
      <c r="AH37" s="550">
        <f t="shared" si="28"/>
        <v>6</v>
      </c>
      <c r="AI37" s="637"/>
      <c r="AJ37" s="550">
        <v>19</v>
      </c>
      <c r="AK37" s="420">
        <v>1350.9913043478257</v>
      </c>
      <c r="AL37" s="420">
        <v>71.104805491990831</v>
      </c>
      <c r="AM37" s="550">
        <f t="shared" si="30"/>
        <v>8</v>
      </c>
      <c r="AN37" s="637"/>
      <c r="AO37" s="550">
        <v>19</v>
      </c>
      <c r="AP37" s="420">
        <v>1357.9300699300702</v>
      </c>
      <c r="AQ37" s="420">
        <v>71.470003680530013</v>
      </c>
      <c r="AR37" s="550">
        <f t="shared" si="32"/>
        <v>8</v>
      </c>
      <c r="AS37" s="637"/>
      <c r="AT37" s="550">
        <v>19</v>
      </c>
      <c r="AU37" s="420">
        <v>1364.5074626865674</v>
      </c>
      <c r="AV37" s="420">
        <v>71.816182246661441</v>
      </c>
      <c r="AW37" s="550">
        <f t="shared" si="34"/>
        <v>8</v>
      </c>
      <c r="AX37" s="637"/>
      <c r="AZ37" s="402" t="e">
        <f t="shared" si="36"/>
        <v>#N/A</v>
      </c>
      <c r="BA37" s="637"/>
    </row>
    <row r="38" spans="2:53">
      <c r="B38" s="635"/>
      <c r="C38" s="413">
        <v>12</v>
      </c>
      <c r="D38" s="225" t="s">
        <v>620</v>
      </c>
      <c r="E38" s="420">
        <v>19</v>
      </c>
      <c r="F38" s="413">
        <v>1440</v>
      </c>
      <c r="G38" s="414">
        <v>75.78947368421052</v>
      </c>
      <c r="H38" s="678"/>
      <c r="I38" s="417">
        <f t="shared" si="19"/>
        <v>18</v>
      </c>
      <c r="J38" s="417">
        <f t="shared" si="20"/>
        <v>1100.1761530030069</v>
      </c>
      <c r="K38" s="199">
        <f t="shared" si="21"/>
        <v>61.120897389055941</v>
      </c>
      <c r="L38" s="609"/>
      <c r="M38" s="423">
        <f>RANK(K38, K$24:$K$41)</f>
        <v>12</v>
      </c>
      <c r="N38" s="627"/>
      <c r="O38" s="627"/>
      <c r="P38" s="550">
        <v>18</v>
      </c>
      <c r="Q38" s="420">
        <v>1118.3999999999969</v>
      </c>
      <c r="R38" s="420">
        <v>62.133333333333162</v>
      </c>
      <c r="S38" s="550">
        <f t="shared" si="22"/>
        <v>12</v>
      </c>
      <c r="T38" s="637"/>
      <c r="U38" s="550">
        <v>18</v>
      </c>
      <c r="V38" s="420">
        <v>1094.9999999999966</v>
      </c>
      <c r="W38" s="420">
        <v>60.833333333333144</v>
      </c>
      <c r="X38" s="550">
        <f t="shared" si="24"/>
        <v>12</v>
      </c>
      <c r="Y38" s="637"/>
      <c r="Z38" s="550">
        <v>18</v>
      </c>
      <c r="AA38" s="420">
        <v>1102.4999999999966</v>
      </c>
      <c r="AB38" s="420">
        <v>61.249999999999808</v>
      </c>
      <c r="AC38" s="550">
        <f t="shared" si="26"/>
        <v>12</v>
      </c>
      <c r="AD38" s="637"/>
      <c r="AE38" s="550">
        <v>18</v>
      </c>
      <c r="AF38" s="420">
        <v>1087.0588235294156</v>
      </c>
      <c r="AG38" s="420">
        <v>60.39215686274531</v>
      </c>
      <c r="AH38" s="550">
        <f t="shared" si="28"/>
        <v>12</v>
      </c>
      <c r="AI38" s="637"/>
      <c r="AJ38" s="550">
        <v>18</v>
      </c>
      <c r="AK38" s="420">
        <v>1116.0000000000039</v>
      </c>
      <c r="AL38" s="420">
        <v>62.000000000000213</v>
      </c>
      <c r="AM38" s="550">
        <f t="shared" si="30"/>
        <v>12</v>
      </c>
      <c r="AN38" s="637"/>
      <c r="AO38" s="550">
        <v>18</v>
      </c>
      <c r="AP38" s="420">
        <v>1093.0434782608736</v>
      </c>
      <c r="AQ38" s="420">
        <v>60.724637681159642</v>
      </c>
      <c r="AR38" s="550">
        <f t="shared" si="32"/>
        <v>12</v>
      </c>
      <c r="AS38" s="637"/>
      <c r="AT38" s="550">
        <v>18</v>
      </c>
      <c r="AU38" s="420">
        <v>1089.2307692307663</v>
      </c>
      <c r="AV38" s="420">
        <v>60.512820512820355</v>
      </c>
      <c r="AW38" s="550">
        <f t="shared" si="34"/>
        <v>12</v>
      </c>
      <c r="AX38" s="637"/>
      <c r="AZ38" s="402" t="e">
        <f t="shared" si="36"/>
        <v>#N/A</v>
      </c>
      <c r="BA38" s="637"/>
    </row>
    <row r="39" spans="2:53">
      <c r="B39" s="635"/>
      <c r="C39" s="413">
        <v>13</v>
      </c>
      <c r="D39" s="225" t="s">
        <v>627</v>
      </c>
      <c r="E39" s="420">
        <v>17</v>
      </c>
      <c r="F39" s="413">
        <v>1440</v>
      </c>
      <c r="G39" s="414">
        <v>84.705882352941174</v>
      </c>
      <c r="H39" s="678"/>
      <c r="I39" s="417">
        <f t="shared" si="19"/>
        <v>17</v>
      </c>
      <c r="J39" s="417">
        <f t="shared" si="20"/>
        <v>1353.3429317615207</v>
      </c>
      <c r="K39" s="199">
        <f t="shared" si="21"/>
        <v>79.608407750677685</v>
      </c>
      <c r="L39" s="609"/>
      <c r="M39" s="423">
        <f>RANK(K39, K$24:$K$41)</f>
        <v>2</v>
      </c>
      <c r="N39" s="627"/>
      <c r="O39" s="627"/>
      <c r="P39" s="550">
        <v>17</v>
      </c>
      <c r="Q39" s="420">
        <v>1378.333333333333</v>
      </c>
      <c r="R39" s="420">
        <v>81.078431372549005</v>
      </c>
      <c r="S39" s="550">
        <f t="shared" si="22"/>
        <v>1</v>
      </c>
      <c r="T39" s="637"/>
      <c r="U39" s="550">
        <v>17</v>
      </c>
      <c r="V39" s="420">
        <v>1347.1153846153841</v>
      </c>
      <c r="W39" s="420">
        <v>79.24208144796377</v>
      </c>
      <c r="X39" s="550">
        <f t="shared" si="24"/>
        <v>2</v>
      </c>
      <c r="Y39" s="637"/>
      <c r="Z39" s="550">
        <v>17</v>
      </c>
      <c r="AA39" s="420">
        <v>1378.1818181818176</v>
      </c>
      <c r="AB39" s="420">
        <v>81.069518716577505</v>
      </c>
      <c r="AC39" s="550">
        <f t="shared" si="26"/>
        <v>2</v>
      </c>
      <c r="AD39" s="637"/>
      <c r="AE39" s="550">
        <v>17</v>
      </c>
      <c r="AF39" s="420">
        <v>1329.8734177215197</v>
      </c>
      <c r="AG39" s="420">
        <v>78.227848101265863</v>
      </c>
      <c r="AH39" s="550">
        <f t="shared" si="28"/>
        <v>3</v>
      </c>
      <c r="AI39" s="637"/>
      <c r="AJ39" s="550">
        <v>17</v>
      </c>
      <c r="AK39" s="420">
        <v>1361.1235955056179</v>
      </c>
      <c r="AL39" s="420">
        <v>80.066093853271639</v>
      </c>
      <c r="AM39" s="550">
        <f t="shared" si="30"/>
        <v>2</v>
      </c>
      <c r="AN39" s="637"/>
      <c r="AO39" s="550">
        <v>17</v>
      </c>
      <c r="AP39" s="420">
        <v>1344.9729729729734</v>
      </c>
      <c r="AQ39" s="420">
        <v>79.116057233704311</v>
      </c>
      <c r="AR39" s="550">
        <f t="shared" si="32"/>
        <v>3</v>
      </c>
      <c r="AS39" s="637"/>
      <c r="AT39" s="550">
        <v>17</v>
      </c>
      <c r="AU39" s="420">
        <v>1333.7999999999995</v>
      </c>
      <c r="AV39" s="420">
        <v>78.458823529411731</v>
      </c>
      <c r="AW39" s="550">
        <f t="shared" si="34"/>
        <v>3</v>
      </c>
      <c r="AX39" s="637"/>
      <c r="AZ39" s="402" t="e">
        <f t="shared" si="36"/>
        <v>#N/A</v>
      </c>
      <c r="BA39" s="637"/>
    </row>
    <row r="40" spans="2:53">
      <c r="B40" s="635"/>
      <c r="C40" s="413">
        <v>14</v>
      </c>
      <c r="D40" s="225"/>
      <c r="E40" s="420"/>
      <c r="F40" s="413"/>
      <c r="G40" s="414"/>
      <c r="H40" s="678"/>
      <c r="I40" s="417" t="str">
        <f t="shared" si="19"/>
        <v>-</v>
      </c>
      <c r="J40" s="417" t="str">
        <f t="shared" si="20"/>
        <v>-</v>
      </c>
      <c r="K40" s="199" t="str">
        <f t="shared" si="21"/>
        <v>-</v>
      </c>
      <c r="L40" s="609"/>
      <c r="M40" s="423" t="e">
        <f>RANK(K40, K$24:$K$41)</f>
        <v>#VALUE!</v>
      </c>
      <c r="N40" s="627"/>
      <c r="O40" s="627"/>
      <c r="P40" s="550" t="s">
        <v>623</v>
      </c>
      <c r="Q40" s="420" t="s">
        <v>623</v>
      </c>
      <c r="R40" s="420" t="s">
        <v>623</v>
      </c>
      <c r="S40" s="550" t="e">
        <f t="shared" si="22"/>
        <v>#VALUE!</v>
      </c>
      <c r="T40" s="637"/>
      <c r="U40" s="550" t="s">
        <v>623</v>
      </c>
      <c r="V40" s="420" t="s">
        <v>623</v>
      </c>
      <c r="W40" s="420" t="s">
        <v>623</v>
      </c>
      <c r="X40" s="550" t="e">
        <f t="shared" si="24"/>
        <v>#VALUE!</v>
      </c>
      <c r="Y40" s="637"/>
      <c r="Z40" s="550" t="s">
        <v>623</v>
      </c>
      <c r="AA40" s="420" t="s">
        <v>623</v>
      </c>
      <c r="AB40" s="420" t="s">
        <v>623</v>
      </c>
      <c r="AC40" s="550" t="e">
        <f t="shared" si="26"/>
        <v>#VALUE!</v>
      </c>
      <c r="AD40" s="637"/>
      <c r="AE40" s="550" t="s">
        <v>623</v>
      </c>
      <c r="AF40" s="420" t="s">
        <v>623</v>
      </c>
      <c r="AG40" s="420" t="s">
        <v>623</v>
      </c>
      <c r="AH40" s="550" t="e">
        <f t="shared" si="28"/>
        <v>#VALUE!</v>
      </c>
      <c r="AI40" s="637"/>
      <c r="AJ40" s="550" t="s">
        <v>623</v>
      </c>
      <c r="AK40" s="420" t="s">
        <v>623</v>
      </c>
      <c r="AL40" s="420" t="s">
        <v>623</v>
      </c>
      <c r="AM40" s="550" t="e">
        <f t="shared" si="30"/>
        <v>#VALUE!</v>
      </c>
      <c r="AN40" s="637"/>
      <c r="AO40" s="550" t="s">
        <v>623</v>
      </c>
      <c r="AP40" s="420" t="s">
        <v>623</v>
      </c>
      <c r="AQ40" s="420" t="s">
        <v>623</v>
      </c>
      <c r="AR40" s="550" t="e">
        <f t="shared" si="32"/>
        <v>#VALUE!</v>
      </c>
      <c r="AS40" s="637"/>
      <c r="AT40" s="550" t="s">
        <v>623</v>
      </c>
      <c r="AU40" s="420" t="s">
        <v>623</v>
      </c>
      <c r="AV40" s="420" t="s">
        <v>623</v>
      </c>
      <c r="AW40" s="550" t="e">
        <f t="shared" si="34"/>
        <v>#VALUE!</v>
      </c>
      <c r="AX40" s="637"/>
      <c r="AZ40" s="402" t="e">
        <f t="shared" si="36"/>
        <v>#N/A</v>
      </c>
      <c r="BA40" s="637"/>
    </row>
    <row r="41" spans="2:53">
      <c r="B41" s="635"/>
      <c r="C41" s="413">
        <v>15</v>
      </c>
      <c r="D41" s="225"/>
      <c r="E41" s="420"/>
      <c r="F41" s="413"/>
      <c r="G41" s="414"/>
      <c r="H41" s="679"/>
      <c r="I41" s="201"/>
      <c r="J41" s="201"/>
      <c r="K41" s="201"/>
      <c r="L41" s="610"/>
      <c r="M41" s="422" t="e">
        <f>RANK(K41, K$24:$K$41)</f>
        <v>#N/A</v>
      </c>
      <c r="N41" s="627"/>
      <c r="O41" s="627"/>
      <c r="P41" s="550" t="s">
        <v>623</v>
      </c>
      <c r="Q41" s="420" t="s">
        <v>623</v>
      </c>
      <c r="R41" s="420" t="s">
        <v>623</v>
      </c>
      <c r="S41" s="550" t="e">
        <f t="shared" si="22"/>
        <v>#VALUE!</v>
      </c>
      <c r="T41" s="638"/>
      <c r="U41" s="550" t="s">
        <v>623</v>
      </c>
      <c r="V41" s="420" t="s">
        <v>623</v>
      </c>
      <c r="W41" s="420" t="s">
        <v>623</v>
      </c>
      <c r="X41" s="550" t="e">
        <f t="shared" si="24"/>
        <v>#VALUE!</v>
      </c>
      <c r="Y41" s="638"/>
      <c r="Z41" s="550" t="s">
        <v>623</v>
      </c>
      <c r="AA41" s="420" t="s">
        <v>623</v>
      </c>
      <c r="AB41" s="420" t="s">
        <v>623</v>
      </c>
      <c r="AC41" s="550" t="e">
        <f t="shared" si="26"/>
        <v>#VALUE!</v>
      </c>
      <c r="AD41" s="638"/>
      <c r="AE41" s="550" t="s">
        <v>623</v>
      </c>
      <c r="AF41" s="420" t="s">
        <v>623</v>
      </c>
      <c r="AG41" s="420" t="s">
        <v>623</v>
      </c>
      <c r="AH41" s="550" t="e">
        <f t="shared" si="28"/>
        <v>#VALUE!</v>
      </c>
      <c r="AI41" s="638"/>
      <c r="AJ41" s="550" t="s">
        <v>623</v>
      </c>
      <c r="AK41" s="420" t="s">
        <v>623</v>
      </c>
      <c r="AL41" s="420" t="s">
        <v>623</v>
      </c>
      <c r="AM41" s="550" t="e">
        <f t="shared" si="30"/>
        <v>#VALUE!</v>
      </c>
      <c r="AN41" s="638"/>
      <c r="AO41" s="550" t="s">
        <v>623</v>
      </c>
      <c r="AP41" s="420" t="s">
        <v>623</v>
      </c>
      <c r="AQ41" s="420" t="s">
        <v>623</v>
      </c>
      <c r="AR41" s="550" t="e">
        <f t="shared" si="32"/>
        <v>#VALUE!</v>
      </c>
      <c r="AS41" s="638"/>
      <c r="AT41" s="550" t="s">
        <v>623</v>
      </c>
      <c r="AU41" s="420" t="s">
        <v>623</v>
      </c>
      <c r="AV41" s="420" t="s">
        <v>623</v>
      </c>
      <c r="AW41" s="550" t="e">
        <f t="shared" si="34"/>
        <v>#VALUE!</v>
      </c>
      <c r="AX41" s="638"/>
      <c r="AZ41" s="402" t="e">
        <f t="shared" si="36"/>
        <v>#N/A</v>
      </c>
      <c r="BA41" s="638"/>
    </row>
    <row r="42" spans="2:53" ht="15.75">
      <c r="B42" s="653" t="s">
        <v>163</v>
      </c>
      <c r="C42" s="654"/>
      <c r="D42" s="654"/>
      <c r="E42" s="654"/>
      <c r="F42" s="654"/>
      <c r="G42" s="654"/>
      <c r="H42" s="654"/>
      <c r="I42" s="207"/>
      <c r="J42" s="202"/>
      <c r="K42" s="207"/>
      <c r="L42" s="207"/>
      <c r="M42" s="203"/>
      <c r="N42" s="628" t="s">
        <v>156</v>
      </c>
      <c r="O42" s="628" t="s">
        <v>105</v>
      </c>
      <c r="P42" s="634">
        <f>P22+7</f>
        <v>46154</v>
      </c>
      <c r="Q42" s="635"/>
      <c r="R42" s="635"/>
      <c r="S42" s="635"/>
      <c r="T42" s="635"/>
      <c r="U42" s="631">
        <f>P42+1</f>
        <v>46155</v>
      </c>
      <c r="V42" s="632"/>
      <c r="W42" s="632"/>
      <c r="X42" s="632"/>
      <c r="Y42" s="633"/>
      <c r="Z42" s="631">
        <f>U42+1</f>
        <v>46156</v>
      </c>
      <c r="AA42" s="632"/>
      <c r="AB42" s="632"/>
      <c r="AC42" s="632"/>
      <c r="AD42" s="633"/>
      <c r="AE42" s="631">
        <f>Z42+1</f>
        <v>46157</v>
      </c>
      <c r="AF42" s="632"/>
      <c r="AG42" s="632"/>
      <c r="AH42" s="632"/>
      <c r="AI42" s="633"/>
      <c r="AJ42" s="631">
        <f>AE42+1</f>
        <v>46158</v>
      </c>
      <c r="AK42" s="632"/>
      <c r="AL42" s="632"/>
      <c r="AM42" s="632"/>
      <c r="AN42" s="633"/>
      <c r="AO42" s="631">
        <f>AJ42+1</f>
        <v>46159</v>
      </c>
      <c r="AP42" s="632"/>
      <c r="AQ42" s="632"/>
      <c r="AR42" s="632"/>
      <c r="AS42" s="633"/>
      <c r="AT42" s="631">
        <f>AO42+1</f>
        <v>46160</v>
      </c>
      <c r="AU42" s="632"/>
      <c r="AV42" s="632"/>
      <c r="AW42" s="632"/>
      <c r="AX42" s="633"/>
    </row>
    <row r="43" spans="2:53" ht="15.75">
      <c r="B43" s="642"/>
      <c r="C43" s="642"/>
      <c r="D43" s="642"/>
      <c r="E43" s="642"/>
      <c r="F43" s="642"/>
      <c r="G43" s="642"/>
      <c r="H43" s="642"/>
      <c r="I43" s="204"/>
      <c r="J43" s="204"/>
      <c r="K43" s="204"/>
      <c r="L43" s="204"/>
      <c r="M43" s="205"/>
      <c r="N43" s="630"/>
      <c r="O43" s="630"/>
      <c r="P43" s="634" t="s">
        <v>318</v>
      </c>
      <c r="Q43" s="635"/>
      <c r="R43" s="635"/>
      <c r="S43" s="635"/>
      <c r="T43" s="635"/>
      <c r="U43" s="634" t="s">
        <v>319</v>
      </c>
      <c r="V43" s="635"/>
      <c r="W43" s="635"/>
      <c r="X43" s="635"/>
      <c r="Y43" s="635"/>
      <c r="Z43" s="634" t="s">
        <v>320</v>
      </c>
      <c r="AA43" s="635"/>
      <c r="AB43" s="635"/>
      <c r="AC43" s="635"/>
      <c r="AD43" s="635"/>
      <c r="AE43" s="634" t="s">
        <v>321</v>
      </c>
      <c r="AF43" s="635"/>
      <c r="AG43" s="635"/>
      <c r="AH43" s="635"/>
      <c r="AI43" s="635"/>
      <c r="AJ43" s="634" t="s">
        <v>322</v>
      </c>
      <c r="AK43" s="635"/>
      <c r="AL43" s="635"/>
      <c r="AM43" s="635"/>
      <c r="AN43" s="635"/>
      <c r="AO43" s="634" t="s">
        <v>323</v>
      </c>
      <c r="AP43" s="635"/>
      <c r="AQ43" s="635"/>
      <c r="AR43" s="635"/>
      <c r="AS43" s="635"/>
      <c r="AT43" s="634" t="s">
        <v>324</v>
      </c>
      <c r="AU43" s="635"/>
      <c r="AV43" s="635"/>
      <c r="AW43" s="635"/>
      <c r="AX43" s="635"/>
    </row>
    <row r="44" spans="2:53">
      <c r="B44" s="627" t="s">
        <v>465</v>
      </c>
      <c r="C44" s="627" t="s">
        <v>384</v>
      </c>
      <c r="D44" s="627"/>
      <c r="E44" s="627" t="s">
        <v>375</v>
      </c>
      <c r="F44" s="627"/>
      <c r="G44" s="627"/>
      <c r="H44" s="643" t="s">
        <v>371</v>
      </c>
      <c r="I44" s="611" t="s">
        <v>376</v>
      </c>
      <c r="J44" s="611"/>
      <c r="K44" s="611"/>
      <c r="L44" s="612" t="s">
        <v>371</v>
      </c>
      <c r="M44" s="618" t="s">
        <v>372</v>
      </c>
      <c r="N44" s="627"/>
      <c r="O44" s="627" t="s">
        <v>377</v>
      </c>
      <c r="P44" s="624" t="s">
        <v>373</v>
      </c>
      <c r="Q44" s="625"/>
      <c r="R44" s="625"/>
      <c r="S44" s="626"/>
      <c r="T44" s="627" t="s">
        <v>371</v>
      </c>
      <c r="U44" s="624" t="s">
        <v>373</v>
      </c>
      <c r="V44" s="625"/>
      <c r="W44" s="625"/>
      <c r="X44" s="626"/>
      <c r="Y44" s="627" t="s">
        <v>371</v>
      </c>
      <c r="Z44" s="624" t="s">
        <v>373</v>
      </c>
      <c r="AA44" s="625"/>
      <c r="AB44" s="625"/>
      <c r="AC44" s="626"/>
      <c r="AD44" s="627" t="s">
        <v>371</v>
      </c>
      <c r="AE44" s="624" t="s">
        <v>373</v>
      </c>
      <c r="AF44" s="625"/>
      <c r="AG44" s="625"/>
      <c r="AH44" s="626"/>
      <c r="AI44" s="627" t="s">
        <v>371</v>
      </c>
      <c r="AJ44" s="624" t="s">
        <v>373</v>
      </c>
      <c r="AK44" s="625"/>
      <c r="AL44" s="625"/>
      <c r="AM44" s="626"/>
      <c r="AN44" s="627" t="s">
        <v>371</v>
      </c>
      <c r="AO44" s="624" t="s">
        <v>373</v>
      </c>
      <c r="AP44" s="625"/>
      <c r="AQ44" s="625"/>
      <c r="AR44" s="626"/>
      <c r="AS44" s="627" t="s">
        <v>371</v>
      </c>
      <c r="AT44" s="624" t="s">
        <v>373</v>
      </c>
      <c r="AU44" s="625"/>
      <c r="AV44" s="625"/>
      <c r="AW44" s="626"/>
      <c r="AX44" s="627" t="s">
        <v>371</v>
      </c>
      <c r="BA44" s="627" t="s">
        <v>371</v>
      </c>
    </row>
    <row r="45" spans="2:53">
      <c r="B45" s="627"/>
      <c r="C45" s="627"/>
      <c r="D45" s="627"/>
      <c r="E45" s="627" t="s">
        <v>378</v>
      </c>
      <c r="F45" s="627"/>
      <c r="G45" s="627"/>
      <c r="H45" s="644"/>
      <c r="I45" s="611" t="s">
        <v>378</v>
      </c>
      <c r="J45" s="611"/>
      <c r="K45" s="611"/>
      <c r="L45" s="613"/>
      <c r="M45" s="619"/>
      <c r="N45" s="627"/>
      <c r="O45" s="627"/>
      <c r="P45" s="624" t="s">
        <v>379</v>
      </c>
      <c r="Q45" s="625"/>
      <c r="R45" s="625"/>
      <c r="S45" s="626"/>
      <c r="T45" s="627"/>
      <c r="U45" s="624" t="s">
        <v>379</v>
      </c>
      <c r="V45" s="625"/>
      <c r="W45" s="625"/>
      <c r="X45" s="626"/>
      <c r="Y45" s="627"/>
      <c r="Z45" s="624" t="s">
        <v>379</v>
      </c>
      <c r="AA45" s="625"/>
      <c r="AB45" s="625"/>
      <c r="AC45" s="626"/>
      <c r="AD45" s="627"/>
      <c r="AE45" s="624" t="s">
        <v>379</v>
      </c>
      <c r="AF45" s="625"/>
      <c r="AG45" s="625"/>
      <c r="AH45" s="626"/>
      <c r="AI45" s="627"/>
      <c r="AJ45" s="624" t="s">
        <v>379</v>
      </c>
      <c r="AK45" s="625"/>
      <c r="AL45" s="625"/>
      <c r="AM45" s="626"/>
      <c r="AN45" s="627"/>
      <c r="AO45" s="624" t="s">
        <v>379</v>
      </c>
      <c r="AP45" s="625"/>
      <c r="AQ45" s="625"/>
      <c r="AR45" s="626"/>
      <c r="AS45" s="627"/>
      <c r="AT45" s="624" t="s">
        <v>379</v>
      </c>
      <c r="AU45" s="625"/>
      <c r="AV45" s="625"/>
      <c r="AW45" s="626"/>
      <c r="AX45" s="627"/>
      <c r="BA45" s="627"/>
    </row>
    <row r="46" spans="2:53">
      <c r="B46" s="627"/>
      <c r="C46" s="627"/>
      <c r="D46" s="627"/>
      <c r="E46" s="412" t="s">
        <v>380</v>
      </c>
      <c r="F46" s="412" t="s">
        <v>381</v>
      </c>
      <c r="G46" s="412" t="s">
        <v>382</v>
      </c>
      <c r="H46" s="645"/>
      <c r="I46" s="411" t="s">
        <v>380</v>
      </c>
      <c r="J46" s="411" t="s">
        <v>381</v>
      </c>
      <c r="K46" s="411" t="s">
        <v>382</v>
      </c>
      <c r="L46" s="614"/>
      <c r="M46" s="620"/>
      <c r="N46" s="627"/>
      <c r="O46" s="627"/>
      <c r="P46" s="412" t="s">
        <v>380</v>
      </c>
      <c r="Q46" s="412" t="s">
        <v>381</v>
      </c>
      <c r="R46" s="412" t="s">
        <v>382</v>
      </c>
      <c r="S46" s="412" t="s">
        <v>372</v>
      </c>
      <c r="T46" s="627"/>
      <c r="U46" s="412" t="s">
        <v>380</v>
      </c>
      <c r="V46" s="412" t="s">
        <v>381</v>
      </c>
      <c r="W46" s="412" t="s">
        <v>382</v>
      </c>
      <c r="X46" s="412" t="s">
        <v>372</v>
      </c>
      <c r="Y46" s="627"/>
      <c r="Z46" s="412" t="s">
        <v>380</v>
      </c>
      <c r="AA46" s="412" t="s">
        <v>381</v>
      </c>
      <c r="AB46" s="412" t="s">
        <v>382</v>
      </c>
      <c r="AC46" s="412" t="s">
        <v>372</v>
      </c>
      <c r="AD46" s="627"/>
      <c r="AE46" s="412" t="s">
        <v>380</v>
      </c>
      <c r="AF46" s="412" t="s">
        <v>381</v>
      </c>
      <c r="AG46" s="412" t="s">
        <v>382</v>
      </c>
      <c r="AH46" s="412" t="s">
        <v>372</v>
      </c>
      <c r="AI46" s="627"/>
      <c r="AJ46" s="412" t="s">
        <v>380</v>
      </c>
      <c r="AK46" s="412" t="s">
        <v>381</v>
      </c>
      <c r="AL46" s="412" t="s">
        <v>382</v>
      </c>
      <c r="AM46" s="412" t="s">
        <v>372</v>
      </c>
      <c r="AN46" s="627"/>
      <c r="AO46" s="412" t="s">
        <v>380</v>
      </c>
      <c r="AP46" s="412" t="s">
        <v>381</v>
      </c>
      <c r="AQ46" s="412" t="s">
        <v>382</v>
      </c>
      <c r="AR46" s="412" t="s">
        <v>372</v>
      </c>
      <c r="AS46" s="627"/>
      <c r="AT46" s="412" t="s">
        <v>380</v>
      </c>
      <c r="AU46" s="412" t="s">
        <v>381</v>
      </c>
      <c r="AV46" s="412" t="s">
        <v>382</v>
      </c>
      <c r="AW46" s="412" t="s">
        <v>372</v>
      </c>
      <c r="AX46" s="627"/>
      <c r="AZ46" s="401" t="s">
        <v>586</v>
      </c>
      <c r="BA46" s="627"/>
    </row>
    <row r="47" spans="2:53">
      <c r="B47" s="627" t="s">
        <v>479</v>
      </c>
      <c r="C47" s="413">
        <v>1</v>
      </c>
      <c r="D47" s="225"/>
      <c r="E47" s="420"/>
      <c r="F47" s="500"/>
      <c r="G47" s="501"/>
      <c r="H47" s="677" t="e">
        <f>AVERAGE(G47:G61)</f>
        <v>#DIV/0!</v>
      </c>
      <c r="I47" s="417" t="str">
        <f t="shared" ref="I47:I60" si="38">IFERROR(AVERAGE(P47,U47,Z47,AE47,AJ47,AO47,AT47),"-")</f>
        <v>-</v>
      </c>
      <c r="J47" s="417" t="str">
        <f t="shared" ref="J47:J60" si="39">IFERROR(AVERAGE(Q47,V47,AA47,AF47,AK47,AP47,AU47),"-")</f>
        <v>-</v>
      </c>
      <c r="K47" s="199" t="str">
        <f t="shared" ref="K47:K60" si="40">IFERROR(AVERAGE(R47,W47,AB47,AG47,AL47,AQ47,AV47),"-")</f>
        <v>-</v>
      </c>
      <c r="L47" s="608" t="str">
        <f>IFERROR(AVERAGE(K47:K61),"-")</f>
        <v>-</v>
      </c>
      <c r="M47" s="419" t="e">
        <f>RANK(K47, K$47:$K$61)</f>
        <v>#VALUE!</v>
      </c>
      <c r="N47" s="627"/>
      <c r="O47" s="627"/>
      <c r="P47" s="483"/>
      <c r="Q47" s="420"/>
      <c r="R47" s="420"/>
      <c r="S47" s="483"/>
      <c r="T47" s="636"/>
      <c r="U47" s="483"/>
      <c r="V47" s="420"/>
      <c r="W47" s="420"/>
      <c r="X47" s="483"/>
      <c r="Y47" s="636"/>
      <c r="Z47" s="483"/>
      <c r="AA47" s="420"/>
      <c r="AB47" s="420"/>
      <c r="AC47" s="483"/>
      <c r="AD47" s="636"/>
      <c r="AE47" s="483"/>
      <c r="AF47" s="420"/>
      <c r="AG47" s="420"/>
      <c r="AH47" s="483"/>
      <c r="AI47" s="636"/>
      <c r="AJ47" s="483"/>
      <c r="AK47" s="420"/>
      <c r="AL47" s="420"/>
      <c r="AM47" s="483"/>
      <c r="AN47" s="636"/>
      <c r="AO47" s="483"/>
      <c r="AP47" s="420"/>
      <c r="AQ47" s="420"/>
      <c r="AR47" s="483"/>
      <c r="AS47" s="636"/>
      <c r="AT47" s="483"/>
      <c r="AU47" s="420"/>
      <c r="AV47" s="420"/>
      <c r="AW47" s="483"/>
      <c r="AX47" s="636"/>
      <c r="AZ47" s="402" t="e">
        <f t="shared" ref="AZ47:AZ61" si="41">RANK(AY47, AY$47:AY$61)</f>
        <v>#N/A</v>
      </c>
      <c r="BA47" s="636" t="e">
        <f t="shared" ref="BA47" si="42">AVERAGE(AY47:AY61)</f>
        <v>#DIV/0!</v>
      </c>
    </row>
    <row r="48" spans="2:53">
      <c r="B48" s="635"/>
      <c r="C48" s="413">
        <v>2</v>
      </c>
      <c r="D48" s="225"/>
      <c r="E48" s="420"/>
      <c r="F48" s="500"/>
      <c r="G48" s="501"/>
      <c r="H48" s="678"/>
      <c r="I48" s="417" t="str">
        <f t="shared" si="38"/>
        <v>-</v>
      </c>
      <c r="J48" s="417" t="str">
        <f t="shared" si="39"/>
        <v>-</v>
      </c>
      <c r="K48" s="199" t="str">
        <f t="shared" si="40"/>
        <v>-</v>
      </c>
      <c r="L48" s="609"/>
      <c r="M48" s="485" t="e">
        <f>RANK(K48, K$47:$K$61)</f>
        <v>#VALUE!</v>
      </c>
      <c r="N48" s="627"/>
      <c r="O48" s="627"/>
      <c r="P48" s="483"/>
      <c r="Q48" s="420"/>
      <c r="R48" s="420"/>
      <c r="S48" s="483"/>
      <c r="T48" s="637"/>
      <c r="U48" s="483"/>
      <c r="V48" s="420"/>
      <c r="W48" s="420"/>
      <c r="X48" s="483"/>
      <c r="Y48" s="637"/>
      <c r="Z48" s="483"/>
      <c r="AA48" s="420"/>
      <c r="AB48" s="420"/>
      <c r="AC48" s="483"/>
      <c r="AD48" s="637"/>
      <c r="AE48" s="483"/>
      <c r="AF48" s="420"/>
      <c r="AG48" s="420"/>
      <c r="AH48" s="483"/>
      <c r="AI48" s="637"/>
      <c r="AJ48" s="483"/>
      <c r="AK48" s="420"/>
      <c r="AL48" s="420"/>
      <c r="AM48" s="483"/>
      <c r="AN48" s="637"/>
      <c r="AO48" s="483"/>
      <c r="AP48" s="420"/>
      <c r="AQ48" s="420"/>
      <c r="AR48" s="483"/>
      <c r="AS48" s="637"/>
      <c r="AT48" s="483"/>
      <c r="AU48" s="420"/>
      <c r="AV48" s="420"/>
      <c r="AW48" s="483"/>
      <c r="AX48" s="637"/>
      <c r="AZ48" s="402" t="e">
        <f t="shared" si="41"/>
        <v>#N/A</v>
      </c>
      <c r="BA48" s="637"/>
    </row>
    <row r="49" spans="2:53">
      <c r="B49" s="635"/>
      <c r="C49" s="413">
        <v>3</v>
      </c>
      <c r="D49" s="225"/>
      <c r="E49" s="420"/>
      <c r="F49" s="500"/>
      <c r="G49" s="501"/>
      <c r="H49" s="678"/>
      <c r="I49" s="417" t="str">
        <f t="shared" si="38"/>
        <v>-</v>
      </c>
      <c r="J49" s="417" t="str">
        <f t="shared" si="39"/>
        <v>-</v>
      </c>
      <c r="K49" s="199" t="str">
        <f t="shared" si="40"/>
        <v>-</v>
      </c>
      <c r="L49" s="609"/>
      <c r="M49" s="485" t="e">
        <f>RANK(K49, K$47:$K$61)</f>
        <v>#VALUE!</v>
      </c>
      <c r="N49" s="627"/>
      <c r="O49" s="627"/>
      <c r="P49" s="483"/>
      <c r="Q49" s="420"/>
      <c r="R49" s="420"/>
      <c r="S49" s="483"/>
      <c r="T49" s="637"/>
      <c r="U49" s="483"/>
      <c r="V49" s="420"/>
      <c r="W49" s="420"/>
      <c r="X49" s="483"/>
      <c r="Y49" s="637"/>
      <c r="Z49" s="483"/>
      <c r="AA49" s="420"/>
      <c r="AB49" s="420"/>
      <c r="AC49" s="483"/>
      <c r="AD49" s="637"/>
      <c r="AE49" s="483"/>
      <c r="AF49" s="420"/>
      <c r="AG49" s="420"/>
      <c r="AH49" s="483"/>
      <c r="AI49" s="637"/>
      <c r="AJ49" s="483"/>
      <c r="AK49" s="420"/>
      <c r="AL49" s="420"/>
      <c r="AM49" s="483"/>
      <c r="AN49" s="637"/>
      <c r="AO49" s="483"/>
      <c r="AP49" s="420"/>
      <c r="AQ49" s="420"/>
      <c r="AR49" s="483"/>
      <c r="AS49" s="637"/>
      <c r="AT49" s="483"/>
      <c r="AU49" s="420"/>
      <c r="AV49" s="420"/>
      <c r="AW49" s="483"/>
      <c r="AX49" s="637"/>
      <c r="AZ49" s="402" t="e">
        <f t="shared" si="41"/>
        <v>#N/A</v>
      </c>
      <c r="BA49" s="637"/>
    </row>
    <row r="50" spans="2:53">
      <c r="B50" s="635"/>
      <c r="C50" s="413">
        <v>4</v>
      </c>
      <c r="D50" s="225"/>
      <c r="E50" s="420"/>
      <c r="F50" s="500"/>
      <c r="G50" s="501"/>
      <c r="H50" s="678"/>
      <c r="I50" s="417" t="str">
        <f t="shared" si="38"/>
        <v>-</v>
      </c>
      <c r="J50" s="417" t="str">
        <f t="shared" si="39"/>
        <v>-</v>
      </c>
      <c r="K50" s="199" t="str">
        <f t="shared" si="40"/>
        <v>-</v>
      </c>
      <c r="L50" s="609"/>
      <c r="M50" s="485" t="e">
        <f>RANK(K50, K$47:$K$61)</f>
        <v>#VALUE!</v>
      </c>
      <c r="N50" s="627"/>
      <c r="O50" s="627"/>
      <c r="P50" s="483"/>
      <c r="Q50" s="420"/>
      <c r="R50" s="420"/>
      <c r="S50" s="483"/>
      <c r="T50" s="637"/>
      <c r="U50" s="483"/>
      <c r="V50" s="420"/>
      <c r="W50" s="420"/>
      <c r="X50" s="483"/>
      <c r="Y50" s="637"/>
      <c r="Z50" s="483"/>
      <c r="AA50" s="420"/>
      <c r="AB50" s="420"/>
      <c r="AC50" s="483"/>
      <c r="AD50" s="637"/>
      <c r="AE50" s="483"/>
      <c r="AF50" s="420"/>
      <c r="AG50" s="420"/>
      <c r="AH50" s="483"/>
      <c r="AI50" s="637"/>
      <c r="AJ50" s="483"/>
      <c r="AK50" s="420"/>
      <c r="AL50" s="420"/>
      <c r="AM50" s="483"/>
      <c r="AN50" s="637"/>
      <c r="AO50" s="483"/>
      <c r="AP50" s="420"/>
      <c r="AQ50" s="420"/>
      <c r="AR50" s="483"/>
      <c r="AS50" s="637"/>
      <c r="AT50" s="483"/>
      <c r="AU50" s="420"/>
      <c r="AV50" s="420"/>
      <c r="AW50" s="483"/>
      <c r="AX50" s="637"/>
      <c r="AZ50" s="402" t="e">
        <f t="shared" si="41"/>
        <v>#N/A</v>
      </c>
      <c r="BA50" s="637"/>
    </row>
    <row r="51" spans="2:53">
      <c r="B51" s="635"/>
      <c r="C51" s="413">
        <v>5</v>
      </c>
      <c r="D51" s="225"/>
      <c r="E51" s="420"/>
      <c r="F51" s="500"/>
      <c r="G51" s="501"/>
      <c r="H51" s="678"/>
      <c r="I51" s="417" t="str">
        <f t="shared" si="38"/>
        <v>-</v>
      </c>
      <c r="J51" s="417" t="str">
        <f t="shared" si="39"/>
        <v>-</v>
      </c>
      <c r="K51" s="199" t="str">
        <f t="shared" si="40"/>
        <v>-</v>
      </c>
      <c r="L51" s="609"/>
      <c r="M51" s="485" t="e">
        <f>RANK(K51, K$47:$K$61)</f>
        <v>#VALUE!</v>
      </c>
      <c r="N51" s="627"/>
      <c r="O51" s="627"/>
      <c r="P51" s="483"/>
      <c r="Q51" s="420"/>
      <c r="R51" s="420"/>
      <c r="S51" s="483"/>
      <c r="T51" s="637"/>
      <c r="U51" s="483"/>
      <c r="V51" s="420"/>
      <c r="W51" s="420"/>
      <c r="X51" s="483"/>
      <c r="Y51" s="637"/>
      <c r="Z51" s="483"/>
      <c r="AA51" s="420"/>
      <c r="AB51" s="420"/>
      <c r="AC51" s="483"/>
      <c r="AD51" s="637"/>
      <c r="AE51" s="483"/>
      <c r="AF51" s="420"/>
      <c r="AG51" s="420"/>
      <c r="AH51" s="483"/>
      <c r="AI51" s="637"/>
      <c r="AJ51" s="483"/>
      <c r="AK51" s="420"/>
      <c r="AL51" s="420"/>
      <c r="AM51" s="483"/>
      <c r="AN51" s="637"/>
      <c r="AO51" s="483"/>
      <c r="AP51" s="420"/>
      <c r="AQ51" s="420"/>
      <c r="AR51" s="483"/>
      <c r="AS51" s="637"/>
      <c r="AT51" s="483"/>
      <c r="AU51" s="420"/>
      <c r="AV51" s="420"/>
      <c r="AW51" s="483"/>
      <c r="AX51" s="637"/>
      <c r="AZ51" s="402" t="e">
        <f t="shared" si="41"/>
        <v>#N/A</v>
      </c>
      <c r="BA51" s="637"/>
    </row>
    <row r="52" spans="2:53">
      <c r="B52" s="635"/>
      <c r="C52" s="413">
        <v>6</v>
      </c>
      <c r="D52" s="225"/>
      <c r="E52" s="420"/>
      <c r="F52" s="500"/>
      <c r="G52" s="501"/>
      <c r="H52" s="678"/>
      <c r="I52" s="417" t="str">
        <f t="shared" si="38"/>
        <v>-</v>
      </c>
      <c r="J52" s="417" t="str">
        <f t="shared" si="39"/>
        <v>-</v>
      </c>
      <c r="K52" s="199" t="str">
        <f t="shared" si="40"/>
        <v>-</v>
      </c>
      <c r="L52" s="609"/>
      <c r="M52" s="485" t="e">
        <f>RANK(K52, K$47:$K$61)</f>
        <v>#VALUE!</v>
      </c>
      <c r="N52" s="627"/>
      <c r="O52" s="627"/>
      <c r="P52" s="483"/>
      <c r="Q52" s="420"/>
      <c r="R52" s="420"/>
      <c r="S52" s="483"/>
      <c r="T52" s="637"/>
      <c r="U52" s="483"/>
      <c r="V52" s="420"/>
      <c r="W52" s="420"/>
      <c r="X52" s="483"/>
      <c r="Y52" s="637"/>
      <c r="Z52" s="483"/>
      <c r="AA52" s="420"/>
      <c r="AB52" s="420"/>
      <c r="AC52" s="483"/>
      <c r="AD52" s="637"/>
      <c r="AE52" s="483"/>
      <c r="AF52" s="420"/>
      <c r="AG52" s="420"/>
      <c r="AH52" s="483"/>
      <c r="AI52" s="637"/>
      <c r="AJ52" s="483"/>
      <c r="AK52" s="420"/>
      <c r="AL52" s="420"/>
      <c r="AM52" s="483"/>
      <c r="AN52" s="637"/>
      <c r="AO52" s="483"/>
      <c r="AP52" s="420"/>
      <c r="AQ52" s="420"/>
      <c r="AR52" s="483"/>
      <c r="AS52" s="637"/>
      <c r="AT52" s="483"/>
      <c r="AU52" s="420"/>
      <c r="AV52" s="420"/>
      <c r="AW52" s="483"/>
      <c r="AX52" s="637"/>
      <c r="AZ52" s="402" t="e">
        <f t="shared" si="41"/>
        <v>#N/A</v>
      </c>
      <c r="BA52" s="637"/>
    </row>
    <row r="53" spans="2:53">
      <c r="B53" s="635"/>
      <c r="C53" s="413">
        <v>7</v>
      </c>
      <c r="D53" s="225"/>
      <c r="E53" s="420"/>
      <c r="F53" s="500"/>
      <c r="G53" s="501"/>
      <c r="H53" s="678"/>
      <c r="I53" s="417" t="str">
        <f t="shared" si="38"/>
        <v>-</v>
      </c>
      <c r="J53" s="417" t="str">
        <f t="shared" si="39"/>
        <v>-</v>
      </c>
      <c r="K53" s="199" t="str">
        <f t="shared" si="40"/>
        <v>-</v>
      </c>
      <c r="L53" s="609"/>
      <c r="M53" s="485" t="e">
        <f>RANK(K53, K$47:$K$61)</f>
        <v>#VALUE!</v>
      </c>
      <c r="N53" s="627"/>
      <c r="O53" s="627"/>
      <c r="P53" s="483"/>
      <c r="Q53" s="420"/>
      <c r="R53" s="420"/>
      <c r="S53" s="483"/>
      <c r="T53" s="637"/>
      <c r="U53" s="483"/>
      <c r="V53" s="420"/>
      <c r="W53" s="420"/>
      <c r="X53" s="483"/>
      <c r="Y53" s="637"/>
      <c r="Z53" s="483"/>
      <c r="AA53" s="420"/>
      <c r="AB53" s="420"/>
      <c r="AC53" s="483"/>
      <c r="AD53" s="637"/>
      <c r="AE53" s="483"/>
      <c r="AF53" s="420"/>
      <c r="AG53" s="420"/>
      <c r="AH53" s="483"/>
      <c r="AI53" s="637"/>
      <c r="AJ53" s="483"/>
      <c r="AK53" s="420"/>
      <c r="AL53" s="420"/>
      <c r="AM53" s="483"/>
      <c r="AN53" s="637"/>
      <c r="AO53" s="483"/>
      <c r="AP53" s="420"/>
      <c r="AQ53" s="420"/>
      <c r="AR53" s="483"/>
      <c r="AS53" s="637"/>
      <c r="AT53" s="483"/>
      <c r="AU53" s="420"/>
      <c r="AV53" s="420"/>
      <c r="AW53" s="483"/>
      <c r="AX53" s="637"/>
      <c r="AZ53" s="402" t="e">
        <f t="shared" si="41"/>
        <v>#N/A</v>
      </c>
      <c r="BA53" s="637"/>
    </row>
    <row r="54" spans="2:53">
      <c r="B54" s="635"/>
      <c r="C54" s="413">
        <v>8</v>
      </c>
      <c r="D54" s="225"/>
      <c r="E54" s="420"/>
      <c r="F54" s="500"/>
      <c r="G54" s="501"/>
      <c r="H54" s="678"/>
      <c r="I54" s="417" t="str">
        <f t="shared" si="38"/>
        <v>-</v>
      </c>
      <c r="J54" s="417" t="str">
        <f t="shared" si="39"/>
        <v>-</v>
      </c>
      <c r="K54" s="199" t="str">
        <f t="shared" si="40"/>
        <v>-</v>
      </c>
      <c r="L54" s="609"/>
      <c r="M54" s="485" t="e">
        <f>RANK(K54, K$47:$K$61)</f>
        <v>#VALUE!</v>
      </c>
      <c r="N54" s="627"/>
      <c r="O54" s="627"/>
      <c r="P54" s="483"/>
      <c r="Q54" s="420"/>
      <c r="R54" s="420"/>
      <c r="S54" s="483"/>
      <c r="T54" s="637"/>
      <c r="U54" s="483"/>
      <c r="V54" s="420"/>
      <c r="W54" s="420"/>
      <c r="X54" s="483"/>
      <c r="Y54" s="637"/>
      <c r="Z54" s="483"/>
      <c r="AA54" s="420"/>
      <c r="AB54" s="420"/>
      <c r="AC54" s="483"/>
      <c r="AD54" s="637"/>
      <c r="AE54" s="483"/>
      <c r="AF54" s="420"/>
      <c r="AG54" s="420"/>
      <c r="AH54" s="483"/>
      <c r="AI54" s="637"/>
      <c r="AJ54" s="483"/>
      <c r="AK54" s="420"/>
      <c r="AL54" s="420"/>
      <c r="AM54" s="483"/>
      <c r="AN54" s="637"/>
      <c r="AO54" s="483"/>
      <c r="AP54" s="420"/>
      <c r="AQ54" s="420"/>
      <c r="AR54" s="483"/>
      <c r="AS54" s="637"/>
      <c r="AT54" s="483"/>
      <c r="AU54" s="420"/>
      <c r="AV54" s="420"/>
      <c r="AW54" s="483"/>
      <c r="AX54" s="637"/>
      <c r="AZ54" s="402" t="e">
        <f t="shared" si="41"/>
        <v>#N/A</v>
      </c>
      <c r="BA54" s="637"/>
    </row>
    <row r="55" spans="2:53">
      <c r="B55" s="635"/>
      <c r="C55" s="413">
        <v>9</v>
      </c>
      <c r="D55" s="225"/>
      <c r="E55" s="420"/>
      <c r="F55" s="500"/>
      <c r="G55" s="501"/>
      <c r="H55" s="678"/>
      <c r="I55" s="417" t="str">
        <f t="shared" si="38"/>
        <v>-</v>
      </c>
      <c r="J55" s="417" t="str">
        <f t="shared" si="39"/>
        <v>-</v>
      </c>
      <c r="K55" s="199" t="str">
        <f t="shared" si="40"/>
        <v>-</v>
      </c>
      <c r="L55" s="609"/>
      <c r="M55" s="485" t="e">
        <f>RANK(K55, K$47:$K$61)</f>
        <v>#VALUE!</v>
      </c>
      <c r="N55" s="627"/>
      <c r="O55" s="627"/>
      <c r="P55" s="483"/>
      <c r="Q55" s="420"/>
      <c r="R55" s="420"/>
      <c r="S55" s="483"/>
      <c r="T55" s="637"/>
      <c r="U55" s="483"/>
      <c r="V55" s="420"/>
      <c r="W55" s="420"/>
      <c r="X55" s="483"/>
      <c r="Y55" s="637"/>
      <c r="Z55" s="483"/>
      <c r="AA55" s="420"/>
      <c r="AB55" s="420"/>
      <c r="AC55" s="483"/>
      <c r="AD55" s="637"/>
      <c r="AE55" s="483"/>
      <c r="AF55" s="420"/>
      <c r="AG55" s="420"/>
      <c r="AH55" s="483"/>
      <c r="AI55" s="637"/>
      <c r="AJ55" s="483"/>
      <c r="AK55" s="420"/>
      <c r="AL55" s="420"/>
      <c r="AM55" s="483"/>
      <c r="AN55" s="637"/>
      <c r="AO55" s="483"/>
      <c r="AP55" s="420"/>
      <c r="AQ55" s="420"/>
      <c r="AR55" s="483"/>
      <c r="AS55" s="637"/>
      <c r="AT55" s="483"/>
      <c r="AU55" s="420"/>
      <c r="AV55" s="420"/>
      <c r="AW55" s="483"/>
      <c r="AX55" s="637"/>
      <c r="AZ55" s="402" t="e">
        <f t="shared" si="41"/>
        <v>#N/A</v>
      </c>
      <c r="BA55" s="637"/>
    </row>
    <row r="56" spans="2:53">
      <c r="B56" s="635"/>
      <c r="C56" s="413">
        <v>10</v>
      </c>
      <c r="D56" s="225"/>
      <c r="E56" s="420"/>
      <c r="F56" s="500"/>
      <c r="G56" s="501"/>
      <c r="H56" s="678"/>
      <c r="I56" s="417" t="str">
        <f t="shared" si="38"/>
        <v>-</v>
      </c>
      <c r="J56" s="417" t="str">
        <f t="shared" si="39"/>
        <v>-</v>
      </c>
      <c r="K56" s="199" t="str">
        <f t="shared" si="40"/>
        <v>-</v>
      </c>
      <c r="L56" s="609"/>
      <c r="M56" s="485" t="e">
        <f>RANK(K56, K$47:$K$61)</f>
        <v>#VALUE!</v>
      </c>
      <c r="N56" s="627"/>
      <c r="O56" s="627"/>
      <c r="P56" s="483"/>
      <c r="Q56" s="420"/>
      <c r="R56" s="420"/>
      <c r="S56" s="483"/>
      <c r="T56" s="637"/>
      <c r="U56" s="483"/>
      <c r="V56" s="420"/>
      <c r="W56" s="420"/>
      <c r="X56" s="483"/>
      <c r="Y56" s="637"/>
      <c r="Z56" s="483"/>
      <c r="AA56" s="420"/>
      <c r="AB56" s="420"/>
      <c r="AC56" s="483"/>
      <c r="AD56" s="637"/>
      <c r="AE56" s="483"/>
      <c r="AF56" s="420"/>
      <c r="AG56" s="420"/>
      <c r="AH56" s="483"/>
      <c r="AI56" s="637"/>
      <c r="AJ56" s="483"/>
      <c r="AK56" s="420"/>
      <c r="AL56" s="420"/>
      <c r="AM56" s="483"/>
      <c r="AN56" s="637"/>
      <c r="AO56" s="483"/>
      <c r="AP56" s="420"/>
      <c r="AQ56" s="420"/>
      <c r="AR56" s="483"/>
      <c r="AS56" s="637"/>
      <c r="AT56" s="483"/>
      <c r="AU56" s="420"/>
      <c r="AV56" s="420"/>
      <c r="AW56" s="483"/>
      <c r="AX56" s="637"/>
      <c r="AZ56" s="402" t="e">
        <f t="shared" si="41"/>
        <v>#N/A</v>
      </c>
      <c r="BA56" s="637"/>
    </row>
    <row r="57" spans="2:53">
      <c r="B57" s="635"/>
      <c r="C57" s="413">
        <v>11</v>
      </c>
      <c r="D57" s="225"/>
      <c r="E57" s="420"/>
      <c r="F57" s="500"/>
      <c r="G57" s="501"/>
      <c r="H57" s="678"/>
      <c r="I57" s="417" t="str">
        <f t="shared" si="38"/>
        <v>-</v>
      </c>
      <c r="J57" s="417" t="str">
        <f t="shared" si="39"/>
        <v>-</v>
      </c>
      <c r="K57" s="199" t="str">
        <f t="shared" si="40"/>
        <v>-</v>
      </c>
      <c r="L57" s="609"/>
      <c r="M57" s="485" t="e">
        <f>RANK(K57, K$47:$K$61)</f>
        <v>#VALUE!</v>
      </c>
      <c r="N57" s="627"/>
      <c r="O57" s="627"/>
      <c r="P57" s="483"/>
      <c r="Q57" s="420"/>
      <c r="R57" s="420"/>
      <c r="S57" s="483"/>
      <c r="T57" s="637"/>
      <c r="U57" s="483"/>
      <c r="V57" s="420"/>
      <c r="W57" s="420"/>
      <c r="X57" s="483"/>
      <c r="Y57" s="637"/>
      <c r="Z57" s="483"/>
      <c r="AA57" s="420"/>
      <c r="AB57" s="420"/>
      <c r="AC57" s="483"/>
      <c r="AD57" s="637"/>
      <c r="AE57" s="483"/>
      <c r="AF57" s="420"/>
      <c r="AG57" s="420"/>
      <c r="AH57" s="483"/>
      <c r="AI57" s="637"/>
      <c r="AJ57" s="483"/>
      <c r="AK57" s="420"/>
      <c r="AL57" s="420"/>
      <c r="AM57" s="483"/>
      <c r="AN57" s="637"/>
      <c r="AO57" s="483"/>
      <c r="AP57" s="420"/>
      <c r="AQ57" s="420"/>
      <c r="AR57" s="483"/>
      <c r="AS57" s="637"/>
      <c r="AT57" s="483"/>
      <c r="AU57" s="420"/>
      <c r="AV57" s="420"/>
      <c r="AW57" s="483"/>
      <c r="AX57" s="637"/>
      <c r="AZ57" s="402" t="e">
        <f t="shared" si="41"/>
        <v>#N/A</v>
      </c>
      <c r="BA57" s="637"/>
    </row>
    <row r="58" spans="2:53">
      <c r="B58" s="635"/>
      <c r="C58" s="413">
        <v>12</v>
      </c>
      <c r="D58" s="225"/>
      <c r="E58" s="420"/>
      <c r="F58" s="500"/>
      <c r="G58" s="501"/>
      <c r="H58" s="678"/>
      <c r="I58" s="417" t="str">
        <f t="shared" si="38"/>
        <v>-</v>
      </c>
      <c r="J58" s="417" t="str">
        <f t="shared" si="39"/>
        <v>-</v>
      </c>
      <c r="K58" s="199" t="str">
        <f t="shared" si="40"/>
        <v>-</v>
      </c>
      <c r="L58" s="609"/>
      <c r="M58" s="485" t="e">
        <f>RANK(K58, K$47:$K$61)</f>
        <v>#VALUE!</v>
      </c>
      <c r="N58" s="627"/>
      <c r="O58" s="627"/>
      <c r="P58" s="483"/>
      <c r="Q58" s="420"/>
      <c r="R58" s="420"/>
      <c r="S58" s="483"/>
      <c r="T58" s="637"/>
      <c r="U58" s="483"/>
      <c r="V58" s="420"/>
      <c r="W58" s="420"/>
      <c r="X58" s="483"/>
      <c r="Y58" s="637"/>
      <c r="Z58" s="483"/>
      <c r="AA58" s="420"/>
      <c r="AB58" s="420"/>
      <c r="AC58" s="483"/>
      <c r="AD58" s="637"/>
      <c r="AE58" s="483"/>
      <c r="AF58" s="420"/>
      <c r="AG58" s="420"/>
      <c r="AH58" s="483"/>
      <c r="AI58" s="637"/>
      <c r="AJ58" s="483"/>
      <c r="AK58" s="420"/>
      <c r="AL58" s="420"/>
      <c r="AM58" s="483"/>
      <c r="AN58" s="637"/>
      <c r="AO58" s="483"/>
      <c r="AP58" s="420"/>
      <c r="AQ58" s="420"/>
      <c r="AR58" s="483"/>
      <c r="AS58" s="637"/>
      <c r="AT58" s="483"/>
      <c r="AU58" s="420"/>
      <c r="AV58" s="420"/>
      <c r="AW58" s="483"/>
      <c r="AX58" s="637"/>
      <c r="AZ58" s="402" t="e">
        <f t="shared" si="41"/>
        <v>#N/A</v>
      </c>
      <c r="BA58" s="637"/>
    </row>
    <row r="59" spans="2:53">
      <c r="B59" s="635"/>
      <c r="C59" s="413">
        <v>13</v>
      </c>
      <c r="D59" s="225"/>
      <c r="E59" s="420"/>
      <c r="F59" s="500"/>
      <c r="G59" s="501"/>
      <c r="H59" s="678"/>
      <c r="I59" s="417" t="str">
        <f t="shared" si="38"/>
        <v>-</v>
      </c>
      <c r="J59" s="417" t="str">
        <f t="shared" si="39"/>
        <v>-</v>
      </c>
      <c r="K59" s="199" t="str">
        <f t="shared" si="40"/>
        <v>-</v>
      </c>
      <c r="L59" s="609"/>
      <c r="M59" s="485" t="e">
        <f>RANK(K59, K$47:$K$61)</f>
        <v>#VALUE!</v>
      </c>
      <c r="N59" s="627"/>
      <c r="O59" s="627"/>
      <c r="P59" s="483"/>
      <c r="Q59" s="420"/>
      <c r="R59" s="420"/>
      <c r="S59" s="483"/>
      <c r="T59" s="637"/>
      <c r="U59" s="483"/>
      <c r="V59" s="420"/>
      <c r="W59" s="420"/>
      <c r="X59" s="483"/>
      <c r="Y59" s="637"/>
      <c r="Z59" s="483"/>
      <c r="AA59" s="420"/>
      <c r="AB59" s="420"/>
      <c r="AC59" s="483"/>
      <c r="AD59" s="637"/>
      <c r="AE59" s="483"/>
      <c r="AF59" s="420"/>
      <c r="AG59" s="420"/>
      <c r="AH59" s="483"/>
      <c r="AI59" s="637"/>
      <c r="AJ59" s="483"/>
      <c r="AK59" s="420"/>
      <c r="AL59" s="420"/>
      <c r="AM59" s="483"/>
      <c r="AN59" s="637"/>
      <c r="AO59" s="483"/>
      <c r="AP59" s="420"/>
      <c r="AQ59" s="420"/>
      <c r="AR59" s="483"/>
      <c r="AS59" s="637"/>
      <c r="AT59" s="483"/>
      <c r="AU59" s="420"/>
      <c r="AV59" s="420"/>
      <c r="AW59" s="483"/>
      <c r="AX59" s="637"/>
      <c r="AZ59" s="402" t="e">
        <f t="shared" si="41"/>
        <v>#N/A</v>
      </c>
      <c r="BA59" s="637"/>
    </row>
    <row r="60" spans="2:53">
      <c r="B60" s="635"/>
      <c r="C60" s="413">
        <v>14</v>
      </c>
      <c r="D60" s="225"/>
      <c r="E60" s="420"/>
      <c r="F60" s="500"/>
      <c r="G60" s="501"/>
      <c r="H60" s="678"/>
      <c r="I60" s="417" t="str">
        <f t="shared" si="38"/>
        <v>-</v>
      </c>
      <c r="J60" s="417" t="str">
        <f t="shared" si="39"/>
        <v>-</v>
      </c>
      <c r="K60" s="199" t="str">
        <f t="shared" si="40"/>
        <v>-</v>
      </c>
      <c r="L60" s="609"/>
      <c r="M60" s="485" t="e">
        <f>RANK(K60, K$47:$K$61)</f>
        <v>#VALUE!</v>
      </c>
      <c r="N60" s="627"/>
      <c r="O60" s="627"/>
      <c r="P60" s="483"/>
      <c r="Q60" s="420"/>
      <c r="R60" s="420"/>
      <c r="S60" s="483"/>
      <c r="T60" s="637"/>
      <c r="U60" s="483"/>
      <c r="V60" s="420"/>
      <c r="W60" s="420"/>
      <c r="X60" s="483"/>
      <c r="Y60" s="637"/>
      <c r="Z60" s="483"/>
      <c r="AA60" s="420"/>
      <c r="AB60" s="420"/>
      <c r="AC60" s="483"/>
      <c r="AD60" s="637"/>
      <c r="AE60" s="483"/>
      <c r="AF60" s="420"/>
      <c r="AG60" s="420"/>
      <c r="AH60" s="483"/>
      <c r="AI60" s="637"/>
      <c r="AJ60" s="483"/>
      <c r="AK60" s="420"/>
      <c r="AL60" s="420"/>
      <c r="AM60" s="483"/>
      <c r="AN60" s="637"/>
      <c r="AO60" s="483"/>
      <c r="AP60" s="420"/>
      <c r="AQ60" s="420"/>
      <c r="AR60" s="483"/>
      <c r="AS60" s="637"/>
      <c r="AT60" s="483"/>
      <c r="AU60" s="420"/>
      <c r="AV60" s="420"/>
      <c r="AW60" s="483"/>
      <c r="AX60" s="637"/>
      <c r="AZ60" s="402" t="e">
        <f t="shared" si="41"/>
        <v>#N/A</v>
      </c>
      <c r="BA60" s="637"/>
    </row>
    <row r="61" spans="2:53">
      <c r="B61" s="635"/>
      <c r="C61" s="413">
        <v>15</v>
      </c>
      <c r="D61" s="225"/>
      <c r="E61" s="420"/>
      <c r="F61" s="500"/>
      <c r="G61" s="501"/>
      <c r="H61" s="679"/>
      <c r="I61" s="492" t="str">
        <f t="shared" ref="I61" si="43">IFERROR(AVERAGE(P61,U61,Z61,AE61,AJ61,AO61,AT61),"-")</f>
        <v>-</v>
      </c>
      <c r="J61" s="492" t="str">
        <f t="shared" ref="J61" si="44">IFERROR(AVERAGE(Q61,V61,AA61,AF61,AK61,AP61,AU61),"-")</f>
        <v>-</v>
      </c>
      <c r="K61" s="199" t="str">
        <f t="shared" ref="K61" si="45">IFERROR(AVERAGE(R61,W61,AB61,AG61,AL61,AQ61,AV61),"-")</f>
        <v>-</v>
      </c>
      <c r="L61" s="610"/>
      <c r="M61" s="485" t="e">
        <f>RANK(K61, K$47:$K$61)</f>
        <v>#VALUE!</v>
      </c>
      <c r="N61" s="627"/>
      <c r="O61" s="627"/>
      <c r="P61" s="483"/>
      <c r="Q61" s="420"/>
      <c r="R61" s="420"/>
      <c r="S61" s="483"/>
      <c r="T61" s="638"/>
      <c r="U61" s="483"/>
      <c r="V61" s="420"/>
      <c r="W61" s="420"/>
      <c r="X61" s="483"/>
      <c r="Y61" s="638"/>
      <c r="Z61" s="483"/>
      <c r="AA61" s="420"/>
      <c r="AB61" s="420"/>
      <c r="AC61" s="483"/>
      <c r="AD61" s="638"/>
      <c r="AE61" s="483"/>
      <c r="AF61" s="420"/>
      <c r="AG61" s="420"/>
      <c r="AH61" s="483"/>
      <c r="AI61" s="638"/>
      <c r="AJ61" s="483"/>
      <c r="AK61" s="420"/>
      <c r="AL61" s="420"/>
      <c r="AM61" s="483"/>
      <c r="AN61" s="638"/>
      <c r="AO61" s="483"/>
      <c r="AP61" s="420"/>
      <c r="AQ61" s="420"/>
      <c r="AR61" s="483"/>
      <c r="AS61" s="638"/>
      <c r="AT61" s="483"/>
      <c r="AU61" s="420"/>
      <c r="AV61" s="420"/>
      <c r="AW61" s="483"/>
      <c r="AX61" s="638"/>
      <c r="AZ61" s="402" t="e">
        <f t="shared" si="41"/>
        <v>#N/A</v>
      </c>
      <c r="BA61" s="638"/>
    </row>
    <row r="62" spans="2:53" ht="15.75">
      <c r="B62" s="639" t="s">
        <v>163</v>
      </c>
      <c r="C62" s="640"/>
      <c r="D62" s="640"/>
      <c r="E62" s="640"/>
      <c r="F62" s="640"/>
      <c r="G62" s="640"/>
      <c r="H62" s="641"/>
      <c r="I62" s="207"/>
      <c r="J62" s="207"/>
      <c r="K62" s="207"/>
      <c r="L62" s="207"/>
      <c r="M62" s="206"/>
      <c r="N62" s="628" t="s">
        <v>156</v>
      </c>
      <c r="O62" s="628" t="s">
        <v>105</v>
      </c>
      <c r="P62" s="634">
        <f>P42+7</f>
        <v>46161</v>
      </c>
      <c r="Q62" s="635"/>
      <c r="R62" s="635"/>
      <c r="S62" s="635"/>
      <c r="T62" s="635"/>
      <c r="U62" s="631">
        <f>P62+1</f>
        <v>46162</v>
      </c>
      <c r="V62" s="632"/>
      <c r="W62" s="632"/>
      <c r="X62" s="632"/>
      <c r="Y62" s="633"/>
      <c r="Z62" s="631">
        <f>U62+1</f>
        <v>46163</v>
      </c>
      <c r="AA62" s="632"/>
      <c r="AB62" s="632"/>
      <c r="AC62" s="632"/>
      <c r="AD62" s="633"/>
      <c r="AE62" s="631">
        <f>Z62+1</f>
        <v>46164</v>
      </c>
      <c r="AF62" s="632"/>
      <c r="AG62" s="632"/>
      <c r="AH62" s="632"/>
      <c r="AI62" s="633"/>
      <c r="AJ62" s="631">
        <f>AE62+1</f>
        <v>46165</v>
      </c>
      <c r="AK62" s="632"/>
      <c r="AL62" s="632"/>
      <c r="AM62" s="632"/>
      <c r="AN62" s="633"/>
      <c r="AO62" s="631">
        <f>AJ62+1</f>
        <v>46166</v>
      </c>
      <c r="AP62" s="632"/>
      <c r="AQ62" s="632"/>
      <c r="AR62" s="632"/>
      <c r="AS62" s="633"/>
      <c r="AT62" s="631">
        <f>AO62+1</f>
        <v>46167</v>
      </c>
      <c r="AU62" s="632"/>
      <c r="AV62" s="632"/>
      <c r="AW62" s="632"/>
      <c r="AX62" s="633"/>
    </row>
    <row r="63" spans="2:53" ht="15.75">
      <c r="B63" s="642"/>
      <c r="C63" s="642"/>
      <c r="D63" s="642"/>
      <c r="E63" s="642"/>
      <c r="F63" s="642"/>
      <c r="G63" s="642"/>
      <c r="H63" s="642"/>
      <c r="I63" s="204"/>
      <c r="J63" s="204"/>
      <c r="K63" s="204"/>
      <c r="L63" s="204"/>
      <c r="M63" s="205"/>
      <c r="N63" s="630"/>
      <c r="O63" s="630"/>
      <c r="P63" s="634" t="s">
        <v>318</v>
      </c>
      <c r="Q63" s="635"/>
      <c r="R63" s="635"/>
      <c r="S63" s="635"/>
      <c r="T63" s="635"/>
      <c r="U63" s="634" t="s">
        <v>319</v>
      </c>
      <c r="V63" s="635"/>
      <c r="W63" s="635"/>
      <c r="X63" s="635"/>
      <c r="Y63" s="635"/>
      <c r="Z63" s="634" t="s">
        <v>320</v>
      </c>
      <c r="AA63" s="635"/>
      <c r="AB63" s="635"/>
      <c r="AC63" s="635"/>
      <c r="AD63" s="635"/>
      <c r="AE63" s="634" t="s">
        <v>321</v>
      </c>
      <c r="AF63" s="635"/>
      <c r="AG63" s="635"/>
      <c r="AH63" s="635"/>
      <c r="AI63" s="635"/>
      <c r="AJ63" s="634" t="s">
        <v>322</v>
      </c>
      <c r="AK63" s="635"/>
      <c r="AL63" s="635"/>
      <c r="AM63" s="635"/>
      <c r="AN63" s="635"/>
      <c r="AO63" s="634" t="s">
        <v>323</v>
      </c>
      <c r="AP63" s="635"/>
      <c r="AQ63" s="635"/>
      <c r="AR63" s="635"/>
      <c r="AS63" s="635"/>
      <c r="AT63" s="634" t="s">
        <v>324</v>
      </c>
      <c r="AU63" s="635"/>
      <c r="AV63" s="635"/>
      <c r="AW63" s="635"/>
      <c r="AX63" s="635"/>
    </row>
    <row r="64" spans="2:53">
      <c r="B64" s="627" t="s">
        <v>374</v>
      </c>
      <c r="C64" s="627" t="s">
        <v>384</v>
      </c>
      <c r="D64" s="627"/>
      <c r="E64" s="627" t="s">
        <v>375</v>
      </c>
      <c r="F64" s="627"/>
      <c r="G64" s="627"/>
      <c r="H64" s="643" t="s">
        <v>371</v>
      </c>
      <c r="I64" s="611" t="s">
        <v>376</v>
      </c>
      <c r="J64" s="611"/>
      <c r="K64" s="611"/>
      <c r="L64" s="612" t="s">
        <v>371</v>
      </c>
      <c r="M64" s="618" t="s">
        <v>372</v>
      </c>
      <c r="N64" s="627"/>
      <c r="O64" s="627" t="s">
        <v>377</v>
      </c>
      <c r="P64" s="624" t="s">
        <v>373</v>
      </c>
      <c r="Q64" s="625"/>
      <c r="R64" s="625"/>
      <c r="S64" s="626"/>
      <c r="T64" s="627" t="s">
        <v>371</v>
      </c>
      <c r="U64" s="624" t="s">
        <v>373</v>
      </c>
      <c r="V64" s="625"/>
      <c r="W64" s="625"/>
      <c r="X64" s="626"/>
      <c r="Y64" s="627" t="s">
        <v>371</v>
      </c>
      <c r="Z64" s="624" t="s">
        <v>373</v>
      </c>
      <c r="AA64" s="625"/>
      <c r="AB64" s="625"/>
      <c r="AC64" s="626"/>
      <c r="AD64" s="627" t="s">
        <v>371</v>
      </c>
      <c r="AE64" s="624" t="s">
        <v>373</v>
      </c>
      <c r="AF64" s="625"/>
      <c r="AG64" s="625"/>
      <c r="AH64" s="626"/>
      <c r="AI64" s="627" t="s">
        <v>371</v>
      </c>
      <c r="AJ64" s="624" t="s">
        <v>373</v>
      </c>
      <c r="AK64" s="625"/>
      <c r="AL64" s="625"/>
      <c r="AM64" s="626"/>
      <c r="AN64" s="627" t="s">
        <v>371</v>
      </c>
      <c r="AO64" s="624" t="s">
        <v>373</v>
      </c>
      <c r="AP64" s="625"/>
      <c r="AQ64" s="625"/>
      <c r="AR64" s="626"/>
      <c r="AS64" s="627" t="s">
        <v>371</v>
      </c>
      <c r="AT64" s="624" t="s">
        <v>373</v>
      </c>
      <c r="AU64" s="625"/>
      <c r="AV64" s="625"/>
      <c r="AW64" s="626"/>
      <c r="AX64" s="627" t="s">
        <v>371</v>
      </c>
      <c r="BA64" s="627" t="s">
        <v>371</v>
      </c>
    </row>
    <row r="65" spans="2:53">
      <c r="B65" s="627"/>
      <c r="C65" s="627"/>
      <c r="D65" s="627"/>
      <c r="E65" s="627" t="s">
        <v>378</v>
      </c>
      <c r="F65" s="627"/>
      <c r="G65" s="627"/>
      <c r="H65" s="644"/>
      <c r="I65" s="611" t="s">
        <v>378</v>
      </c>
      <c r="J65" s="611"/>
      <c r="K65" s="611"/>
      <c r="L65" s="613"/>
      <c r="M65" s="619"/>
      <c r="N65" s="627"/>
      <c r="O65" s="627"/>
      <c r="P65" s="624" t="s">
        <v>379</v>
      </c>
      <c r="Q65" s="625"/>
      <c r="R65" s="625"/>
      <c r="S65" s="626"/>
      <c r="T65" s="627"/>
      <c r="U65" s="624" t="s">
        <v>379</v>
      </c>
      <c r="V65" s="625"/>
      <c r="W65" s="625"/>
      <c r="X65" s="626"/>
      <c r="Y65" s="627"/>
      <c r="Z65" s="624" t="s">
        <v>379</v>
      </c>
      <c r="AA65" s="625"/>
      <c r="AB65" s="625"/>
      <c r="AC65" s="626"/>
      <c r="AD65" s="627"/>
      <c r="AE65" s="624" t="s">
        <v>379</v>
      </c>
      <c r="AF65" s="625"/>
      <c r="AG65" s="625"/>
      <c r="AH65" s="626"/>
      <c r="AI65" s="627"/>
      <c r="AJ65" s="624" t="s">
        <v>379</v>
      </c>
      <c r="AK65" s="625"/>
      <c r="AL65" s="625"/>
      <c r="AM65" s="626"/>
      <c r="AN65" s="627"/>
      <c r="AO65" s="624" t="s">
        <v>379</v>
      </c>
      <c r="AP65" s="625"/>
      <c r="AQ65" s="625"/>
      <c r="AR65" s="626"/>
      <c r="AS65" s="627"/>
      <c r="AT65" s="624" t="s">
        <v>379</v>
      </c>
      <c r="AU65" s="625"/>
      <c r="AV65" s="625"/>
      <c r="AW65" s="626"/>
      <c r="AX65" s="627"/>
      <c r="BA65" s="627"/>
    </row>
    <row r="66" spans="2:53">
      <c r="B66" s="627"/>
      <c r="C66" s="627"/>
      <c r="D66" s="627"/>
      <c r="E66" s="412" t="s">
        <v>380</v>
      </c>
      <c r="F66" s="412" t="s">
        <v>381</v>
      </c>
      <c r="G66" s="412" t="s">
        <v>382</v>
      </c>
      <c r="H66" s="645"/>
      <c r="I66" s="411" t="s">
        <v>380</v>
      </c>
      <c r="J66" s="411" t="s">
        <v>381</v>
      </c>
      <c r="K66" s="411" t="s">
        <v>382</v>
      </c>
      <c r="L66" s="614"/>
      <c r="M66" s="620"/>
      <c r="N66" s="627"/>
      <c r="O66" s="627"/>
      <c r="P66" s="412" t="s">
        <v>380</v>
      </c>
      <c r="Q66" s="412" t="s">
        <v>381</v>
      </c>
      <c r="R66" s="412" t="s">
        <v>382</v>
      </c>
      <c r="S66" s="412" t="s">
        <v>372</v>
      </c>
      <c r="T66" s="627"/>
      <c r="U66" s="412" t="s">
        <v>380</v>
      </c>
      <c r="V66" s="412" t="s">
        <v>381</v>
      </c>
      <c r="W66" s="412" t="s">
        <v>382</v>
      </c>
      <c r="X66" s="412" t="s">
        <v>372</v>
      </c>
      <c r="Y66" s="627"/>
      <c r="Z66" s="412" t="s">
        <v>380</v>
      </c>
      <c r="AA66" s="412" t="s">
        <v>381</v>
      </c>
      <c r="AB66" s="412" t="s">
        <v>382</v>
      </c>
      <c r="AC66" s="412" t="s">
        <v>372</v>
      </c>
      <c r="AD66" s="627"/>
      <c r="AE66" s="412" t="s">
        <v>380</v>
      </c>
      <c r="AF66" s="412" t="s">
        <v>381</v>
      </c>
      <c r="AG66" s="412" t="s">
        <v>382</v>
      </c>
      <c r="AH66" s="412" t="s">
        <v>372</v>
      </c>
      <c r="AI66" s="627"/>
      <c r="AJ66" s="412" t="s">
        <v>380</v>
      </c>
      <c r="AK66" s="412" t="s">
        <v>381</v>
      </c>
      <c r="AL66" s="412" t="s">
        <v>382</v>
      </c>
      <c r="AM66" s="412" t="s">
        <v>372</v>
      </c>
      <c r="AN66" s="627"/>
      <c r="AO66" s="412" t="s">
        <v>380</v>
      </c>
      <c r="AP66" s="412" t="s">
        <v>381</v>
      </c>
      <c r="AQ66" s="412" t="s">
        <v>382</v>
      </c>
      <c r="AR66" s="412" t="s">
        <v>372</v>
      </c>
      <c r="AS66" s="627"/>
      <c r="AT66" s="412" t="s">
        <v>380</v>
      </c>
      <c r="AU66" s="412" t="s">
        <v>381</v>
      </c>
      <c r="AV66" s="412" t="s">
        <v>382</v>
      </c>
      <c r="AW66" s="412" t="s">
        <v>372</v>
      </c>
      <c r="AX66" s="627"/>
      <c r="AZ66" s="401" t="s">
        <v>372</v>
      </c>
      <c r="BA66" s="627"/>
    </row>
    <row r="67" spans="2:53">
      <c r="B67" s="627" t="s">
        <v>397</v>
      </c>
      <c r="C67" s="413">
        <v>1</v>
      </c>
      <c r="D67" s="225"/>
      <c r="E67" s="420"/>
      <c r="F67" s="500"/>
      <c r="G67" s="501"/>
      <c r="H67" s="677" t="e">
        <f>AVERAGE(G67:G81)</f>
        <v>#DIV/0!</v>
      </c>
      <c r="I67" s="417" t="str">
        <f t="shared" ref="I67:I79" si="46">IFERROR(AVERAGE(P67,U67,Z67,AE67,AJ67,AO67,AT67),"-")</f>
        <v>-</v>
      </c>
      <c r="J67" s="417" t="str">
        <f t="shared" ref="J67:J79" si="47">IFERROR(AVERAGE(Q67,V67,AA67,AF67,AK67,AP67,AU67),"-")</f>
        <v>-</v>
      </c>
      <c r="K67" s="199" t="str">
        <f t="shared" ref="K67:K79" si="48">IFERROR(AVERAGE(R67,W67,AB67,AG67,AL67,AQ67,AV67),"-")</f>
        <v>-</v>
      </c>
      <c r="L67" s="608" t="str">
        <f>IFERROR(AVERAGE(K67:K81),"-")</f>
        <v>-</v>
      </c>
      <c r="M67" s="419" t="e">
        <f>RANK(K67, K$67:$K$81)</f>
        <v>#VALUE!</v>
      </c>
      <c r="N67" s="627"/>
      <c r="O67" s="627"/>
      <c r="P67" s="487"/>
      <c r="Q67" s="420"/>
      <c r="R67" s="420"/>
      <c r="S67" s="487"/>
      <c r="T67" s="636"/>
      <c r="U67" s="487"/>
      <c r="V67" s="420"/>
      <c r="W67" s="420"/>
      <c r="X67" s="487"/>
      <c r="Y67" s="636"/>
      <c r="Z67" s="487"/>
      <c r="AA67" s="420"/>
      <c r="AB67" s="420"/>
      <c r="AC67" s="487"/>
      <c r="AD67" s="636"/>
      <c r="AE67" s="487"/>
      <c r="AF67" s="420"/>
      <c r="AG67" s="420"/>
      <c r="AH67" s="487"/>
      <c r="AI67" s="636"/>
      <c r="AJ67" s="487"/>
      <c r="AK67" s="420"/>
      <c r="AL67" s="420"/>
      <c r="AM67" s="487"/>
      <c r="AN67" s="636"/>
      <c r="AO67" s="487"/>
      <c r="AP67" s="420"/>
      <c r="AQ67" s="420"/>
      <c r="AR67" s="487"/>
      <c r="AS67" s="636"/>
      <c r="AT67" s="487"/>
      <c r="AU67" s="420"/>
      <c r="AV67" s="420"/>
      <c r="AW67" s="487"/>
      <c r="AX67" s="636"/>
      <c r="AZ67" s="402" t="e">
        <f t="shared" ref="AZ67:AZ81" si="49">RANK(AY67, AY$67:AY$81)</f>
        <v>#N/A</v>
      </c>
      <c r="BA67" s="636" t="e">
        <f t="shared" ref="BA67" si="50">AVERAGE(AY67:AY81)</f>
        <v>#DIV/0!</v>
      </c>
    </row>
    <row r="68" spans="2:53">
      <c r="B68" s="635"/>
      <c r="C68" s="413">
        <v>2</v>
      </c>
      <c r="D68" s="225"/>
      <c r="E68" s="420"/>
      <c r="F68" s="500"/>
      <c r="G68" s="501"/>
      <c r="H68" s="678"/>
      <c r="I68" s="417" t="str">
        <f t="shared" si="46"/>
        <v>-</v>
      </c>
      <c r="J68" s="417" t="str">
        <f t="shared" si="47"/>
        <v>-</v>
      </c>
      <c r="K68" s="199" t="str">
        <f t="shared" si="48"/>
        <v>-</v>
      </c>
      <c r="L68" s="609"/>
      <c r="M68" s="493" t="e">
        <f>RANK(K68, K$67:$K$81)</f>
        <v>#VALUE!</v>
      </c>
      <c r="N68" s="627"/>
      <c r="O68" s="627"/>
      <c r="P68" s="487"/>
      <c r="Q68" s="420"/>
      <c r="R68" s="420"/>
      <c r="S68" s="487"/>
      <c r="T68" s="637"/>
      <c r="U68" s="487"/>
      <c r="V68" s="420"/>
      <c r="W68" s="420"/>
      <c r="X68" s="487"/>
      <c r="Y68" s="637"/>
      <c r="Z68" s="487"/>
      <c r="AA68" s="420"/>
      <c r="AB68" s="420"/>
      <c r="AC68" s="487"/>
      <c r="AD68" s="637"/>
      <c r="AE68" s="487"/>
      <c r="AF68" s="420"/>
      <c r="AG68" s="420"/>
      <c r="AH68" s="487"/>
      <c r="AI68" s="637"/>
      <c r="AJ68" s="487"/>
      <c r="AK68" s="420"/>
      <c r="AL68" s="420"/>
      <c r="AM68" s="487"/>
      <c r="AN68" s="637"/>
      <c r="AO68" s="487"/>
      <c r="AP68" s="420"/>
      <c r="AQ68" s="420"/>
      <c r="AR68" s="487"/>
      <c r="AS68" s="637"/>
      <c r="AT68" s="487"/>
      <c r="AU68" s="420"/>
      <c r="AV68" s="420"/>
      <c r="AW68" s="487"/>
      <c r="AX68" s="637"/>
      <c r="AZ68" s="402" t="e">
        <f t="shared" si="49"/>
        <v>#N/A</v>
      </c>
      <c r="BA68" s="637"/>
    </row>
    <row r="69" spans="2:53">
      <c r="B69" s="635"/>
      <c r="C69" s="413">
        <v>3</v>
      </c>
      <c r="D69" s="225"/>
      <c r="E69" s="420"/>
      <c r="F69" s="500"/>
      <c r="G69" s="501"/>
      <c r="H69" s="678"/>
      <c r="I69" s="417" t="str">
        <f t="shared" si="46"/>
        <v>-</v>
      </c>
      <c r="J69" s="417" t="str">
        <f t="shared" si="47"/>
        <v>-</v>
      </c>
      <c r="K69" s="199" t="str">
        <f t="shared" si="48"/>
        <v>-</v>
      </c>
      <c r="L69" s="609"/>
      <c r="M69" s="493" t="e">
        <f>RANK(K69, K$67:$K$81)</f>
        <v>#VALUE!</v>
      </c>
      <c r="N69" s="627"/>
      <c r="O69" s="627"/>
      <c r="P69" s="487"/>
      <c r="Q69" s="420"/>
      <c r="R69" s="420"/>
      <c r="S69" s="487"/>
      <c r="T69" s="637"/>
      <c r="U69" s="487"/>
      <c r="V69" s="420"/>
      <c r="W69" s="420"/>
      <c r="X69" s="487"/>
      <c r="Y69" s="637"/>
      <c r="Z69" s="487"/>
      <c r="AA69" s="420"/>
      <c r="AB69" s="420"/>
      <c r="AC69" s="487"/>
      <c r="AD69" s="637"/>
      <c r="AE69" s="487"/>
      <c r="AF69" s="420"/>
      <c r="AG69" s="420"/>
      <c r="AH69" s="487"/>
      <c r="AI69" s="637"/>
      <c r="AJ69" s="487"/>
      <c r="AK69" s="420"/>
      <c r="AL69" s="420"/>
      <c r="AM69" s="487"/>
      <c r="AN69" s="637"/>
      <c r="AO69" s="487"/>
      <c r="AP69" s="420"/>
      <c r="AQ69" s="420"/>
      <c r="AR69" s="487"/>
      <c r="AS69" s="637"/>
      <c r="AT69" s="487"/>
      <c r="AU69" s="420"/>
      <c r="AV69" s="420"/>
      <c r="AW69" s="487"/>
      <c r="AX69" s="637"/>
      <c r="AZ69" s="402" t="e">
        <f t="shared" si="49"/>
        <v>#N/A</v>
      </c>
      <c r="BA69" s="637"/>
    </row>
    <row r="70" spans="2:53">
      <c r="B70" s="635"/>
      <c r="C70" s="413">
        <v>4</v>
      </c>
      <c r="D70" s="225"/>
      <c r="E70" s="420"/>
      <c r="F70" s="500"/>
      <c r="G70" s="501"/>
      <c r="H70" s="678"/>
      <c r="I70" s="417" t="str">
        <f t="shared" si="46"/>
        <v>-</v>
      </c>
      <c r="J70" s="417" t="str">
        <f t="shared" si="47"/>
        <v>-</v>
      </c>
      <c r="K70" s="199" t="str">
        <f t="shared" si="48"/>
        <v>-</v>
      </c>
      <c r="L70" s="609"/>
      <c r="M70" s="493" t="e">
        <f>RANK(K70, K$67:$K$81)</f>
        <v>#VALUE!</v>
      </c>
      <c r="N70" s="627"/>
      <c r="O70" s="627"/>
      <c r="P70" s="487"/>
      <c r="Q70" s="420"/>
      <c r="R70" s="420"/>
      <c r="S70" s="487"/>
      <c r="T70" s="637"/>
      <c r="U70" s="487"/>
      <c r="V70" s="420"/>
      <c r="W70" s="420"/>
      <c r="X70" s="487"/>
      <c r="Y70" s="637"/>
      <c r="Z70" s="487"/>
      <c r="AA70" s="420"/>
      <c r="AB70" s="420"/>
      <c r="AC70" s="487"/>
      <c r="AD70" s="637"/>
      <c r="AE70" s="487"/>
      <c r="AF70" s="420"/>
      <c r="AG70" s="420"/>
      <c r="AH70" s="487"/>
      <c r="AI70" s="637"/>
      <c r="AJ70" s="487"/>
      <c r="AK70" s="420"/>
      <c r="AL70" s="420"/>
      <c r="AM70" s="487"/>
      <c r="AN70" s="637"/>
      <c r="AO70" s="487"/>
      <c r="AP70" s="420"/>
      <c r="AQ70" s="420"/>
      <c r="AR70" s="487"/>
      <c r="AS70" s="637"/>
      <c r="AT70" s="487"/>
      <c r="AU70" s="420"/>
      <c r="AV70" s="420"/>
      <c r="AW70" s="487"/>
      <c r="AX70" s="637"/>
      <c r="AZ70" s="402" t="e">
        <f t="shared" si="49"/>
        <v>#N/A</v>
      </c>
      <c r="BA70" s="637"/>
    </row>
    <row r="71" spans="2:53">
      <c r="B71" s="635"/>
      <c r="C71" s="413">
        <v>5</v>
      </c>
      <c r="D71" s="225"/>
      <c r="E71" s="420"/>
      <c r="F71" s="500"/>
      <c r="G71" s="501"/>
      <c r="H71" s="678"/>
      <c r="I71" s="417" t="str">
        <f t="shared" si="46"/>
        <v>-</v>
      </c>
      <c r="J71" s="417" t="str">
        <f t="shared" si="47"/>
        <v>-</v>
      </c>
      <c r="K71" s="199" t="str">
        <f t="shared" si="48"/>
        <v>-</v>
      </c>
      <c r="L71" s="609"/>
      <c r="M71" s="493" t="e">
        <f>RANK(K71, K$67:$K$81)</f>
        <v>#VALUE!</v>
      </c>
      <c r="N71" s="627"/>
      <c r="O71" s="627"/>
      <c r="P71" s="487"/>
      <c r="Q71" s="420"/>
      <c r="R71" s="420"/>
      <c r="S71" s="487"/>
      <c r="T71" s="637"/>
      <c r="U71" s="487"/>
      <c r="V71" s="420"/>
      <c r="W71" s="420"/>
      <c r="X71" s="487"/>
      <c r="Y71" s="637"/>
      <c r="Z71" s="487"/>
      <c r="AA71" s="420"/>
      <c r="AB71" s="420"/>
      <c r="AC71" s="487"/>
      <c r="AD71" s="637"/>
      <c r="AE71" s="487"/>
      <c r="AF71" s="420"/>
      <c r="AG71" s="420"/>
      <c r="AH71" s="487"/>
      <c r="AI71" s="637"/>
      <c r="AJ71" s="487"/>
      <c r="AK71" s="420"/>
      <c r="AL71" s="420"/>
      <c r="AM71" s="487"/>
      <c r="AN71" s="637"/>
      <c r="AO71" s="487"/>
      <c r="AP71" s="420"/>
      <c r="AQ71" s="420"/>
      <c r="AR71" s="487"/>
      <c r="AS71" s="637"/>
      <c r="AT71" s="487"/>
      <c r="AU71" s="420"/>
      <c r="AV71" s="420"/>
      <c r="AW71" s="487"/>
      <c r="AX71" s="637"/>
      <c r="AZ71" s="402" t="e">
        <f t="shared" si="49"/>
        <v>#N/A</v>
      </c>
      <c r="BA71" s="637"/>
    </row>
    <row r="72" spans="2:53">
      <c r="B72" s="635"/>
      <c r="C72" s="413">
        <v>6</v>
      </c>
      <c r="D72" s="225"/>
      <c r="E72" s="420"/>
      <c r="F72" s="500"/>
      <c r="G72" s="501"/>
      <c r="H72" s="678"/>
      <c r="I72" s="417" t="str">
        <f t="shared" si="46"/>
        <v>-</v>
      </c>
      <c r="J72" s="417" t="str">
        <f t="shared" si="47"/>
        <v>-</v>
      </c>
      <c r="K72" s="199" t="str">
        <f t="shared" si="48"/>
        <v>-</v>
      </c>
      <c r="L72" s="609"/>
      <c r="M72" s="493" t="e">
        <f>RANK(K72, K$67:$K$81)</f>
        <v>#VALUE!</v>
      </c>
      <c r="N72" s="627"/>
      <c r="O72" s="627"/>
      <c r="P72" s="487"/>
      <c r="Q72" s="420"/>
      <c r="R72" s="420"/>
      <c r="S72" s="487"/>
      <c r="T72" s="637"/>
      <c r="U72" s="487"/>
      <c r="V72" s="420"/>
      <c r="W72" s="420"/>
      <c r="X72" s="487"/>
      <c r="Y72" s="637"/>
      <c r="Z72" s="487"/>
      <c r="AA72" s="420"/>
      <c r="AB72" s="420"/>
      <c r="AC72" s="487"/>
      <c r="AD72" s="637"/>
      <c r="AE72" s="487"/>
      <c r="AF72" s="420"/>
      <c r="AG72" s="420"/>
      <c r="AH72" s="487"/>
      <c r="AI72" s="637"/>
      <c r="AJ72" s="487"/>
      <c r="AK72" s="420"/>
      <c r="AL72" s="420"/>
      <c r="AM72" s="487"/>
      <c r="AN72" s="637"/>
      <c r="AO72" s="487"/>
      <c r="AP72" s="420"/>
      <c r="AQ72" s="420"/>
      <c r="AR72" s="487"/>
      <c r="AS72" s="637"/>
      <c r="AT72" s="487"/>
      <c r="AU72" s="420"/>
      <c r="AV72" s="420"/>
      <c r="AW72" s="487"/>
      <c r="AX72" s="637"/>
      <c r="AZ72" s="402" t="e">
        <f t="shared" si="49"/>
        <v>#N/A</v>
      </c>
      <c r="BA72" s="637"/>
    </row>
    <row r="73" spans="2:53">
      <c r="B73" s="635"/>
      <c r="C73" s="413">
        <v>7</v>
      </c>
      <c r="D73" s="225"/>
      <c r="E73" s="420"/>
      <c r="F73" s="500"/>
      <c r="G73" s="501"/>
      <c r="H73" s="678"/>
      <c r="I73" s="417" t="str">
        <f t="shared" si="46"/>
        <v>-</v>
      </c>
      <c r="J73" s="417" t="str">
        <f t="shared" si="47"/>
        <v>-</v>
      </c>
      <c r="K73" s="199" t="str">
        <f t="shared" si="48"/>
        <v>-</v>
      </c>
      <c r="L73" s="609"/>
      <c r="M73" s="493" t="e">
        <f>RANK(K73, K$67:$K$81)</f>
        <v>#VALUE!</v>
      </c>
      <c r="N73" s="627"/>
      <c r="O73" s="627"/>
      <c r="P73" s="487"/>
      <c r="Q73" s="420"/>
      <c r="R73" s="420"/>
      <c r="S73" s="487"/>
      <c r="T73" s="637"/>
      <c r="U73" s="487"/>
      <c r="V73" s="420"/>
      <c r="W73" s="420"/>
      <c r="X73" s="487"/>
      <c r="Y73" s="637"/>
      <c r="Z73" s="487"/>
      <c r="AA73" s="420"/>
      <c r="AB73" s="420"/>
      <c r="AC73" s="487"/>
      <c r="AD73" s="637"/>
      <c r="AE73" s="487"/>
      <c r="AF73" s="420"/>
      <c r="AG73" s="420"/>
      <c r="AH73" s="487"/>
      <c r="AI73" s="637"/>
      <c r="AJ73" s="487"/>
      <c r="AK73" s="420"/>
      <c r="AL73" s="420"/>
      <c r="AM73" s="487"/>
      <c r="AN73" s="637"/>
      <c r="AO73" s="487"/>
      <c r="AP73" s="420"/>
      <c r="AQ73" s="420"/>
      <c r="AR73" s="487"/>
      <c r="AS73" s="637"/>
      <c r="AT73" s="487"/>
      <c r="AU73" s="420"/>
      <c r="AV73" s="420"/>
      <c r="AW73" s="487"/>
      <c r="AX73" s="637"/>
      <c r="AZ73" s="402" t="e">
        <f t="shared" si="49"/>
        <v>#N/A</v>
      </c>
      <c r="BA73" s="637"/>
    </row>
    <row r="74" spans="2:53">
      <c r="B74" s="635"/>
      <c r="C74" s="413">
        <v>8</v>
      </c>
      <c r="D74" s="225"/>
      <c r="E74" s="420"/>
      <c r="F74" s="500"/>
      <c r="G74" s="501"/>
      <c r="H74" s="678"/>
      <c r="I74" s="417" t="str">
        <f t="shared" si="46"/>
        <v>-</v>
      </c>
      <c r="J74" s="417" t="str">
        <f t="shared" si="47"/>
        <v>-</v>
      </c>
      <c r="K74" s="199" t="str">
        <f t="shared" si="48"/>
        <v>-</v>
      </c>
      <c r="L74" s="609"/>
      <c r="M74" s="493" t="e">
        <f>RANK(K74, K$67:$K$81)</f>
        <v>#VALUE!</v>
      </c>
      <c r="N74" s="627"/>
      <c r="O74" s="627"/>
      <c r="P74" s="487"/>
      <c r="Q74" s="420"/>
      <c r="R74" s="420"/>
      <c r="S74" s="487"/>
      <c r="T74" s="637"/>
      <c r="U74" s="487"/>
      <c r="V74" s="420"/>
      <c r="W74" s="420"/>
      <c r="X74" s="487"/>
      <c r="Y74" s="637"/>
      <c r="Z74" s="487"/>
      <c r="AA74" s="420"/>
      <c r="AB74" s="420"/>
      <c r="AC74" s="487"/>
      <c r="AD74" s="637"/>
      <c r="AE74" s="487"/>
      <c r="AF74" s="420"/>
      <c r="AG74" s="420"/>
      <c r="AH74" s="487"/>
      <c r="AI74" s="637"/>
      <c r="AJ74" s="487"/>
      <c r="AK74" s="420"/>
      <c r="AL74" s="420"/>
      <c r="AM74" s="487"/>
      <c r="AN74" s="637"/>
      <c r="AO74" s="487"/>
      <c r="AP74" s="420"/>
      <c r="AQ74" s="420"/>
      <c r="AR74" s="487"/>
      <c r="AS74" s="637"/>
      <c r="AT74" s="487"/>
      <c r="AU74" s="420"/>
      <c r="AV74" s="420"/>
      <c r="AW74" s="487"/>
      <c r="AX74" s="637"/>
      <c r="AZ74" s="402" t="e">
        <f t="shared" si="49"/>
        <v>#N/A</v>
      </c>
      <c r="BA74" s="637"/>
    </row>
    <row r="75" spans="2:53">
      <c r="B75" s="635"/>
      <c r="C75" s="413">
        <v>9</v>
      </c>
      <c r="D75" s="225"/>
      <c r="E75" s="420"/>
      <c r="F75" s="500"/>
      <c r="G75" s="501"/>
      <c r="H75" s="678"/>
      <c r="I75" s="417" t="str">
        <f t="shared" si="46"/>
        <v>-</v>
      </c>
      <c r="J75" s="417" t="str">
        <f t="shared" si="47"/>
        <v>-</v>
      </c>
      <c r="K75" s="199" t="str">
        <f t="shared" si="48"/>
        <v>-</v>
      </c>
      <c r="L75" s="609"/>
      <c r="M75" s="493" t="e">
        <f>RANK(K75, K$67:$K$81)</f>
        <v>#VALUE!</v>
      </c>
      <c r="N75" s="627"/>
      <c r="O75" s="627"/>
      <c r="P75" s="487"/>
      <c r="Q75" s="420"/>
      <c r="R75" s="420"/>
      <c r="S75" s="487"/>
      <c r="T75" s="637"/>
      <c r="U75" s="487"/>
      <c r="V75" s="420"/>
      <c r="W75" s="420"/>
      <c r="X75" s="487"/>
      <c r="Y75" s="637"/>
      <c r="Z75" s="487"/>
      <c r="AA75" s="420"/>
      <c r="AB75" s="420"/>
      <c r="AC75" s="487"/>
      <c r="AD75" s="637"/>
      <c r="AE75" s="487"/>
      <c r="AF75" s="420"/>
      <c r="AG75" s="420"/>
      <c r="AH75" s="487"/>
      <c r="AI75" s="637"/>
      <c r="AJ75" s="487"/>
      <c r="AK75" s="420"/>
      <c r="AL75" s="420"/>
      <c r="AM75" s="487"/>
      <c r="AN75" s="637"/>
      <c r="AO75" s="487"/>
      <c r="AP75" s="420"/>
      <c r="AQ75" s="420"/>
      <c r="AR75" s="487"/>
      <c r="AS75" s="637"/>
      <c r="AT75" s="487"/>
      <c r="AU75" s="420"/>
      <c r="AV75" s="420"/>
      <c r="AW75" s="487"/>
      <c r="AX75" s="637"/>
      <c r="AZ75" s="402" t="e">
        <f t="shared" si="49"/>
        <v>#N/A</v>
      </c>
      <c r="BA75" s="637"/>
    </row>
    <row r="76" spans="2:53">
      <c r="B76" s="635"/>
      <c r="C76" s="413">
        <v>10</v>
      </c>
      <c r="D76" s="225"/>
      <c r="E76" s="420"/>
      <c r="F76" s="500"/>
      <c r="G76" s="501"/>
      <c r="H76" s="678"/>
      <c r="I76" s="417" t="str">
        <f t="shared" si="46"/>
        <v>-</v>
      </c>
      <c r="J76" s="417" t="str">
        <f t="shared" si="47"/>
        <v>-</v>
      </c>
      <c r="K76" s="199" t="str">
        <f t="shared" si="48"/>
        <v>-</v>
      </c>
      <c r="L76" s="609"/>
      <c r="M76" s="493" t="e">
        <f>RANK(K76, K$67:$K$81)</f>
        <v>#VALUE!</v>
      </c>
      <c r="N76" s="627"/>
      <c r="O76" s="627"/>
      <c r="P76" s="487"/>
      <c r="Q76" s="420"/>
      <c r="R76" s="420"/>
      <c r="S76" s="487"/>
      <c r="T76" s="637"/>
      <c r="U76" s="487"/>
      <c r="V76" s="420"/>
      <c r="W76" s="420"/>
      <c r="X76" s="487"/>
      <c r="Y76" s="637"/>
      <c r="Z76" s="487"/>
      <c r="AA76" s="420"/>
      <c r="AB76" s="420"/>
      <c r="AC76" s="487"/>
      <c r="AD76" s="637"/>
      <c r="AE76" s="487"/>
      <c r="AF76" s="420"/>
      <c r="AG76" s="420"/>
      <c r="AH76" s="487"/>
      <c r="AI76" s="637"/>
      <c r="AJ76" s="487"/>
      <c r="AK76" s="420"/>
      <c r="AL76" s="420"/>
      <c r="AM76" s="487"/>
      <c r="AN76" s="637"/>
      <c r="AO76" s="487"/>
      <c r="AP76" s="420"/>
      <c r="AQ76" s="420"/>
      <c r="AR76" s="487"/>
      <c r="AS76" s="637"/>
      <c r="AT76" s="487"/>
      <c r="AU76" s="420"/>
      <c r="AV76" s="420"/>
      <c r="AW76" s="487"/>
      <c r="AX76" s="637"/>
      <c r="AZ76" s="402" t="e">
        <f t="shared" si="49"/>
        <v>#N/A</v>
      </c>
      <c r="BA76" s="637"/>
    </row>
    <row r="77" spans="2:53">
      <c r="B77" s="635"/>
      <c r="C77" s="413">
        <v>11</v>
      </c>
      <c r="D77" s="225"/>
      <c r="E77" s="420"/>
      <c r="F77" s="500"/>
      <c r="G77" s="501"/>
      <c r="H77" s="678"/>
      <c r="I77" s="417" t="str">
        <f t="shared" si="46"/>
        <v>-</v>
      </c>
      <c r="J77" s="417" t="str">
        <f t="shared" si="47"/>
        <v>-</v>
      </c>
      <c r="K77" s="199" t="str">
        <f t="shared" si="48"/>
        <v>-</v>
      </c>
      <c r="L77" s="609"/>
      <c r="M77" s="493" t="e">
        <f>RANK(K77, K$67:$K$81)</f>
        <v>#VALUE!</v>
      </c>
      <c r="N77" s="627"/>
      <c r="O77" s="627"/>
      <c r="P77" s="487"/>
      <c r="Q77" s="420"/>
      <c r="R77" s="420"/>
      <c r="S77" s="487"/>
      <c r="T77" s="637"/>
      <c r="U77" s="487"/>
      <c r="V77" s="420"/>
      <c r="W77" s="420"/>
      <c r="X77" s="487"/>
      <c r="Y77" s="637"/>
      <c r="Z77" s="487"/>
      <c r="AA77" s="420"/>
      <c r="AB77" s="420"/>
      <c r="AC77" s="487"/>
      <c r="AD77" s="637"/>
      <c r="AE77" s="487"/>
      <c r="AF77" s="420"/>
      <c r="AG77" s="420"/>
      <c r="AH77" s="487"/>
      <c r="AI77" s="637"/>
      <c r="AJ77" s="487"/>
      <c r="AK77" s="420"/>
      <c r="AL77" s="420"/>
      <c r="AM77" s="487"/>
      <c r="AN77" s="637"/>
      <c r="AO77" s="487"/>
      <c r="AP77" s="420"/>
      <c r="AQ77" s="420"/>
      <c r="AR77" s="487"/>
      <c r="AS77" s="637"/>
      <c r="AT77" s="487"/>
      <c r="AU77" s="420"/>
      <c r="AV77" s="420"/>
      <c r="AW77" s="487"/>
      <c r="AX77" s="637"/>
      <c r="AZ77" s="402" t="e">
        <f t="shared" si="49"/>
        <v>#N/A</v>
      </c>
      <c r="BA77" s="637"/>
    </row>
    <row r="78" spans="2:53">
      <c r="B78" s="635"/>
      <c r="C78" s="413">
        <v>12</v>
      </c>
      <c r="D78" s="225"/>
      <c r="E78" s="420"/>
      <c r="F78" s="500"/>
      <c r="G78" s="501"/>
      <c r="H78" s="678"/>
      <c r="I78" s="417" t="str">
        <f t="shared" si="46"/>
        <v>-</v>
      </c>
      <c r="J78" s="417" t="str">
        <f t="shared" si="47"/>
        <v>-</v>
      </c>
      <c r="K78" s="199" t="str">
        <f t="shared" si="48"/>
        <v>-</v>
      </c>
      <c r="L78" s="609"/>
      <c r="M78" s="493" t="e">
        <f>RANK(K78, K$67:$K$81)</f>
        <v>#VALUE!</v>
      </c>
      <c r="N78" s="627"/>
      <c r="O78" s="627"/>
      <c r="P78" s="487"/>
      <c r="Q78" s="420"/>
      <c r="R78" s="420"/>
      <c r="S78" s="487"/>
      <c r="T78" s="637"/>
      <c r="U78" s="487"/>
      <c r="V78" s="420"/>
      <c r="W78" s="420"/>
      <c r="X78" s="487"/>
      <c r="Y78" s="637"/>
      <c r="Z78" s="487"/>
      <c r="AA78" s="420"/>
      <c r="AB78" s="420"/>
      <c r="AC78" s="487"/>
      <c r="AD78" s="637"/>
      <c r="AE78" s="487"/>
      <c r="AF78" s="420"/>
      <c r="AG78" s="420"/>
      <c r="AH78" s="487"/>
      <c r="AI78" s="637"/>
      <c r="AJ78" s="487"/>
      <c r="AK78" s="420"/>
      <c r="AL78" s="420"/>
      <c r="AM78" s="487"/>
      <c r="AN78" s="637"/>
      <c r="AO78" s="487"/>
      <c r="AP78" s="420"/>
      <c r="AQ78" s="420"/>
      <c r="AR78" s="487"/>
      <c r="AS78" s="637"/>
      <c r="AT78" s="487"/>
      <c r="AU78" s="420"/>
      <c r="AV78" s="420"/>
      <c r="AW78" s="487"/>
      <c r="AX78" s="637"/>
      <c r="AZ78" s="402" t="e">
        <f t="shared" si="49"/>
        <v>#N/A</v>
      </c>
      <c r="BA78" s="637"/>
    </row>
    <row r="79" spans="2:53">
      <c r="B79" s="635"/>
      <c r="C79" s="413">
        <v>13</v>
      </c>
      <c r="D79" s="225"/>
      <c r="E79" s="420"/>
      <c r="F79" s="500"/>
      <c r="G79" s="501"/>
      <c r="H79" s="678"/>
      <c r="I79" s="417" t="str">
        <f t="shared" si="46"/>
        <v>-</v>
      </c>
      <c r="J79" s="417" t="str">
        <f t="shared" si="47"/>
        <v>-</v>
      </c>
      <c r="K79" s="199" t="str">
        <f t="shared" si="48"/>
        <v>-</v>
      </c>
      <c r="L79" s="609"/>
      <c r="M79" s="493" t="e">
        <f>RANK(K79, K$67:$K$81)</f>
        <v>#VALUE!</v>
      </c>
      <c r="N79" s="627"/>
      <c r="O79" s="627"/>
      <c r="P79" s="487"/>
      <c r="Q79" s="420"/>
      <c r="R79" s="420"/>
      <c r="S79" s="487"/>
      <c r="T79" s="637"/>
      <c r="U79" s="487"/>
      <c r="V79" s="420"/>
      <c r="W79" s="420"/>
      <c r="X79" s="487"/>
      <c r="Y79" s="637"/>
      <c r="Z79" s="487"/>
      <c r="AA79" s="420"/>
      <c r="AB79" s="420"/>
      <c r="AC79" s="487"/>
      <c r="AD79" s="637"/>
      <c r="AE79" s="487"/>
      <c r="AF79" s="420"/>
      <c r="AG79" s="420"/>
      <c r="AH79" s="487"/>
      <c r="AI79" s="637"/>
      <c r="AJ79" s="487"/>
      <c r="AK79" s="420"/>
      <c r="AL79" s="420"/>
      <c r="AM79" s="487"/>
      <c r="AN79" s="637"/>
      <c r="AO79" s="487"/>
      <c r="AP79" s="420"/>
      <c r="AQ79" s="420"/>
      <c r="AR79" s="487"/>
      <c r="AS79" s="637"/>
      <c r="AT79" s="487"/>
      <c r="AU79" s="420"/>
      <c r="AV79" s="420"/>
      <c r="AW79" s="487"/>
      <c r="AX79" s="637"/>
      <c r="AZ79" s="402" t="e">
        <f t="shared" si="49"/>
        <v>#N/A</v>
      </c>
      <c r="BA79" s="637"/>
    </row>
    <row r="80" spans="2:53">
      <c r="B80" s="635"/>
      <c r="C80" s="413">
        <v>14</v>
      </c>
      <c r="D80" s="225"/>
      <c r="E80" s="420"/>
      <c r="F80" s="500"/>
      <c r="G80" s="501"/>
      <c r="H80" s="678"/>
      <c r="I80" s="492" t="str">
        <f t="shared" ref="I80:I81" si="51">IFERROR(AVERAGE(P80,U80,Z80,AE80,AJ80,AO80,AT80),"-")</f>
        <v>-</v>
      </c>
      <c r="J80" s="492" t="str">
        <f t="shared" ref="J80:J81" si="52">IFERROR(AVERAGE(Q80,V80,AA80,AF80,AK80,AP80,AU80),"-")</f>
        <v>-</v>
      </c>
      <c r="K80" s="199" t="str">
        <f t="shared" ref="K80:K81" si="53">IFERROR(AVERAGE(R80,W80,AB80,AG80,AL80,AQ80,AV80),"-")</f>
        <v>-</v>
      </c>
      <c r="L80" s="609"/>
      <c r="M80" s="493" t="e">
        <f>RANK(K80, K$67:$K$81)</f>
        <v>#VALUE!</v>
      </c>
      <c r="N80" s="627"/>
      <c r="O80" s="627"/>
      <c r="P80" s="487"/>
      <c r="Q80" s="420"/>
      <c r="R80" s="420"/>
      <c r="S80" s="487"/>
      <c r="T80" s="637"/>
      <c r="U80" s="491"/>
      <c r="V80" s="420"/>
      <c r="W80" s="420"/>
      <c r="X80" s="487"/>
      <c r="Y80" s="637"/>
      <c r="Z80" s="491"/>
      <c r="AA80" s="420"/>
      <c r="AB80" s="420"/>
      <c r="AC80" s="487"/>
      <c r="AD80" s="637"/>
      <c r="AE80" s="491"/>
      <c r="AF80" s="420"/>
      <c r="AG80" s="420"/>
      <c r="AH80" s="487"/>
      <c r="AI80" s="637"/>
      <c r="AJ80" s="491"/>
      <c r="AK80" s="420"/>
      <c r="AL80" s="420"/>
      <c r="AM80" s="487"/>
      <c r="AN80" s="637"/>
      <c r="AO80" s="491"/>
      <c r="AP80" s="420"/>
      <c r="AQ80" s="420"/>
      <c r="AR80" s="487"/>
      <c r="AS80" s="637"/>
      <c r="AT80" s="491"/>
      <c r="AU80" s="420"/>
      <c r="AV80" s="420"/>
      <c r="AW80" s="487"/>
      <c r="AX80" s="637"/>
      <c r="AZ80" s="402" t="e">
        <f t="shared" si="49"/>
        <v>#N/A</v>
      </c>
      <c r="BA80" s="637"/>
    </row>
    <row r="81" spans="2:53">
      <c r="B81" s="635"/>
      <c r="C81" s="413">
        <v>15</v>
      </c>
      <c r="D81" s="225"/>
      <c r="E81" s="420"/>
      <c r="F81" s="500"/>
      <c r="G81" s="501"/>
      <c r="H81" s="679"/>
      <c r="I81" s="492" t="str">
        <f t="shared" si="51"/>
        <v>-</v>
      </c>
      <c r="J81" s="492" t="str">
        <f t="shared" si="52"/>
        <v>-</v>
      </c>
      <c r="K81" s="199" t="str">
        <f t="shared" si="53"/>
        <v>-</v>
      </c>
      <c r="L81" s="610"/>
      <c r="M81" s="493" t="e">
        <f>RANK(K81, K$67:$K$81)</f>
        <v>#VALUE!</v>
      </c>
      <c r="N81" s="627"/>
      <c r="O81" s="627"/>
      <c r="P81" s="487"/>
      <c r="Q81" s="420"/>
      <c r="R81" s="420"/>
      <c r="S81" s="487"/>
      <c r="T81" s="638"/>
      <c r="U81" s="491"/>
      <c r="V81" s="420"/>
      <c r="W81" s="420"/>
      <c r="X81" s="487"/>
      <c r="Y81" s="638"/>
      <c r="Z81" s="491"/>
      <c r="AA81" s="420"/>
      <c r="AB81" s="420"/>
      <c r="AC81" s="487"/>
      <c r="AD81" s="638"/>
      <c r="AE81" s="491"/>
      <c r="AF81" s="420"/>
      <c r="AG81" s="420"/>
      <c r="AH81" s="487"/>
      <c r="AI81" s="638"/>
      <c r="AJ81" s="491"/>
      <c r="AK81" s="420"/>
      <c r="AL81" s="420"/>
      <c r="AM81" s="487"/>
      <c r="AN81" s="638"/>
      <c r="AO81" s="491"/>
      <c r="AP81" s="420"/>
      <c r="AQ81" s="420"/>
      <c r="AR81" s="487"/>
      <c r="AS81" s="638"/>
      <c r="AT81" s="491"/>
      <c r="AU81" s="420"/>
      <c r="AV81" s="420"/>
      <c r="AW81" s="487"/>
      <c r="AX81" s="638"/>
      <c r="AZ81" s="402" t="e">
        <f t="shared" si="49"/>
        <v>#N/A</v>
      </c>
      <c r="BA81" s="638"/>
    </row>
    <row r="82" spans="2:53" ht="15.75">
      <c r="B82" s="639" t="s">
        <v>163</v>
      </c>
      <c r="C82" s="640"/>
      <c r="D82" s="640"/>
      <c r="E82" s="640"/>
      <c r="F82" s="640"/>
      <c r="G82" s="640"/>
      <c r="H82" s="641"/>
      <c r="I82" s="207"/>
      <c r="J82" s="207"/>
      <c r="K82" s="207"/>
      <c r="L82" s="207"/>
      <c r="M82" s="206"/>
      <c r="N82" s="628" t="s">
        <v>156</v>
      </c>
      <c r="O82" s="628" t="s">
        <v>105</v>
      </c>
      <c r="P82" s="634">
        <f>P62+7</f>
        <v>46168</v>
      </c>
      <c r="Q82" s="635"/>
      <c r="R82" s="635"/>
      <c r="S82" s="635"/>
      <c r="T82" s="635"/>
      <c r="U82" s="631">
        <f>P82+1</f>
        <v>46169</v>
      </c>
      <c r="V82" s="632"/>
      <c r="W82" s="632"/>
      <c r="X82" s="632"/>
      <c r="Y82" s="633"/>
      <c r="Z82" s="631">
        <f>U82+1</f>
        <v>46170</v>
      </c>
      <c r="AA82" s="632"/>
      <c r="AB82" s="632"/>
      <c r="AC82" s="632"/>
      <c r="AD82" s="633"/>
      <c r="AE82" s="631">
        <f>Z82+1</f>
        <v>46171</v>
      </c>
      <c r="AF82" s="632"/>
      <c r="AG82" s="632"/>
      <c r="AH82" s="632"/>
      <c r="AI82" s="633"/>
      <c r="AJ82" s="631">
        <f>AE82+1</f>
        <v>46172</v>
      </c>
      <c r="AK82" s="632"/>
      <c r="AL82" s="632"/>
      <c r="AM82" s="632"/>
      <c r="AN82" s="633"/>
      <c r="AO82" s="631">
        <f>AJ82+1</f>
        <v>46173</v>
      </c>
      <c r="AP82" s="632"/>
      <c r="AQ82" s="632"/>
      <c r="AR82" s="632"/>
      <c r="AS82" s="633"/>
      <c r="AT82" s="631">
        <f>AO82+1</f>
        <v>46174</v>
      </c>
      <c r="AU82" s="632"/>
      <c r="AV82" s="632"/>
      <c r="AW82" s="632"/>
      <c r="AX82" s="633"/>
    </row>
    <row r="83" spans="2:53" ht="15.75">
      <c r="B83" s="642"/>
      <c r="C83" s="642"/>
      <c r="D83" s="642"/>
      <c r="E83" s="642"/>
      <c r="F83" s="642"/>
      <c r="G83" s="642"/>
      <c r="H83" s="642"/>
      <c r="I83" s="204"/>
      <c r="J83" s="204"/>
      <c r="K83" s="204"/>
      <c r="L83" s="204"/>
      <c r="M83" s="205"/>
      <c r="N83" s="630"/>
      <c r="O83" s="630"/>
      <c r="P83" s="634" t="s">
        <v>318</v>
      </c>
      <c r="Q83" s="635"/>
      <c r="R83" s="635"/>
      <c r="S83" s="635"/>
      <c r="T83" s="635"/>
      <c r="U83" s="634" t="s">
        <v>319</v>
      </c>
      <c r="V83" s="635"/>
      <c r="W83" s="635"/>
      <c r="X83" s="635"/>
      <c r="Y83" s="635"/>
      <c r="Z83" s="634" t="s">
        <v>320</v>
      </c>
      <c r="AA83" s="635"/>
      <c r="AB83" s="635"/>
      <c r="AC83" s="635"/>
      <c r="AD83" s="635"/>
      <c r="AE83" s="634" t="s">
        <v>321</v>
      </c>
      <c r="AF83" s="635"/>
      <c r="AG83" s="635"/>
      <c r="AH83" s="635"/>
      <c r="AI83" s="635"/>
      <c r="AJ83" s="634" t="s">
        <v>322</v>
      </c>
      <c r="AK83" s="635"/>
      <c r="AL83" s="635"/>
      <c r="AM83" s="635"/>
      <c r="AN83" s="635"/>
      <c r="AO83" s="634" t="s">
        <v>323</v>
      </c>
      <c r="AP83" s="635"/>
      <c r="AQ83" s="635"/>
      <c r="AR83" s="635"/>
      <c r="AS83" s="635"/>
      <c r="AT83" s="634" t="s">
        <v>324</v>
      </c>
      <c r="AU83" s="635"/>
      <c r="AV83" s="635"/>
      <c r="AW83" s="635"/>
      <c r="AX83" s="635"/>
    </row>
    <row r="84" spans="2:53">
      <c r="B84" s="627" t="s">
        <v>399</v>
      </c>
      <c r="C84" s="627" t="s">
        <v>384</v>
      </c>
      <c r="D84" s="627"/>
      <c r="E84" s="627" t="s">
        <v>375</v>
      </c>
      <c r="F84" s="627"/>
      <c r="G84" s="627"/>
      <c r="H84" s="643" t="s">
        <v>371</v>
      </c>
      <c r="I84" s="611" t="s">
        <v>376</v>
      </c>
      <c r="J84" s="611"/>
      <c r="K84" s="611"/>
      <c r="L84" s="612" t="s">
        <v>371</v>
      </c>
      <c r="M84" s="618" t="s">
        <v>372</v>
      </c>
      <c r="N84" s="627"/>
      <c r="O84" s="627" t="s">
        <v>377</v>
      </c>
      <c r="P84" s="624" t="s">
        <v>373</v>
      </c>
      <c r="Q84" s="625"/>
      <c r="R84" s="625"/>
      <c r="S84" s="626"/>
      <c r="T84" s="627" t="s">
        <v>371</v>
      </c>
      <c r="U84" s="624" t="s">
        <v>373</v>
      </c>
      <c r="V84" s="625"/>
      <c r="W84" s="625"/>
      <c r="X84" s="626"/>
      <c r="Y84" s="627" t="s">
        <v>371</v>
      </c>
      <c r="Z84" s="624" t="s">
        <v>373</v>
      </c>
      <c r="AA84" s="625"/>
      <c r="AB84" s="625"/>
      <c r="AC84" s="626"/>
      <c r="AD84" s="627" t="s">
        <v>371</v>
      </c>
      <c r="AE84" s="624" t="s">
        <v>373</v>
      </c>
      <c r="AF84" s="625"/>
      <c r="AG84" s="625"/>
      <c r="AH84" s="626"/>
      <c r="AI84" s="627" t="s">
        <v>371</v>
      </c>
      <c r="AJ84" s="624" t="s">
        <v>373</v>
      </c>
      <c r="AK84" s="625"/>
      <c r="AL84" s="625"/>
      <c r="AM84" s="626"/>
      <c r="AN84" s="627" t="s">
        <v>371</v>
      </c>
      <c r="AO84" s="624" t="s">
        <v>373</v>
      </c>
      <c r="AP84" s="625"/>
      <c r="AQ84" s="625"/>
      <c r="AR84" s="626"/>
      <c r="AS84" s="627" t="s">
        <v>371</v>
      </c>
      <c r="AT84" s="624" t="s">
        <v>373</v>
      </c>
      <c r="AU84" s="625"/>
      <c r="AV84" s="625"/>
      <c r="AW84" s="626"/>
      <c r="AX84" s="627" t="s">
        <v>371</v>
      </c>
      <c r="BA84" s="627" t="s">
        <v>371</v>
      </c>
    </row>
    <row r="85" spans="2:53">
      <c r="B85" s="627"/>
      <c r="C85" s="627"/>
      <c r="D85" s="627"/>
      <c r="E85" s="627" t="s">
        <v>378</v>
      </c>
      <c r="F85" s="627"/>
      <c r="G85" s="627"/>
      <c r="H85" s="644"/>
      <c r="I85" s="611" t="s">
        <v>378</v>
      </c>
      <c r="J85" s="611"/>
      <c r="K85" s="611"/>
      <c r="L85" s="613"/>
      <c r="M85" s="619"/>
      <c r="N85" s="627"/>
      <c r="O85" s="627"/>
      <c r="P85" s="624" t="s">
        <v>379</v>
      </c>
      <c r="Q85" s="625"/>
      <c r="R85" s="625"/>
      <c r="S85" s="626"/>
      <c r="T85" s="627"/>
      <c r="U85" s="624" t="s">
        <v>379</v>
      </c>
      <c r="V85" s="625"/>
      <c r="W85" s="625"/>
      <c r="X85" s="626"/>
      <c r="Y85" s="627"/>
      <c r="Z85" s="624" t="s">
        <v>379</v>
      </c>
      <c r="AA85" s="625"/>
      <c r="AB85" s="625"/>
      <c r="AC85" s="626"/>
      <c r="AD85" s="627"/>
      <c r="AE85" s="624" t="s">
        <v>379</v>
      </c>
      <c r="AF85" s="625"/>
      <c r="AG85" s="625"/>
      <c r="AH85" s="626"/>
      <c r="AI85" s="627"/>
      <c r="AJ85" s="624" t="s">
        <v>379</v>
      </c>
      <c r="AK85" s="625"/>
      <c r="AL85" s="625"/>
      <c r="AM85" s="626"/>
      <c r="AN85" s="627"/>
      <c r="AO85" s="624" t="s">
        <v>379</v>
      </c>
      <c r="AP85" s="625"/>
      <c r="AQ85" s="625"/>
      <c r="AR85" s="626"/>
      <c r="AS85" s="627"/>
      <c r="AT85" s="624" t="s">
        <v>379</v>
      </c>
      <c r="AU85" s="625"/>
      <c r="AV85" s="625"/>
      <c r="AW85" s="626"/>
      <c r="AX85" s="627"/>
      <c r="BA85" s="627"/>
    </row>
    <row r="86" spans="2:53">
      <c r="B86" s="627"/>
      <c r="C86" s="627"/>
      <c r="D86" s="627"/>
      <c r="E86" s="412" t="s">
        <v>380</v>
      </c>
      <c r="F86" s="412" t="s">
        <v>381</v>
      </c>
      <c r="G86" s="412" t="s">
        <v>382</v>
      </c>
      <c r="H86" s="645"/>
      <c r="I86" s="411" t="s">
        <v>380</v>
      </c>
      <c r="J86" s="411" t="s">
        <v>381</v>
      </c>
      <c r="K86" s="411" t="s">
        <v>382</v>
      </c>
      <c r="L86" s="614"/>
      <c r="M86" s="620"/>
      <c r="N86" s="627"/>
      <c r="O86" s="627"/>
      <c r="P86" s="412" t="s">
        <v>380</v>
      </c>
      <c r="Q86" s="412" t="s">
        <v>381</v>
      </c>
      <c r="R86" s="412" t="s">
        <v>382</v>
      </c>
      <c r="S86" s="412" t="s">
        <v>372</v>
      </c>
      <c r="T86" s="627"/>
      <c r="U86" s="412" t="s">
        <v>380</v>
      </c>
      <c r="V86" s="412" t="s">
        <v>381</v>
      </c>
      <c r="W86" s="412" t="s">
        <v>382</v>
      </c>
      <c r="X86" s="412" t="s">
        <v>372</v>
      </c>
      <c r="Y86" s="627"/>
      <c r="Z86" s="412" t="s">
        <v>380</v>
      </c>
      <c r="AA86" s="412" t="s">
        <v>381</v>
      </c>
      <c r="AB86" s="412" t="s">
        <v>382</v>
      </c>
      <c r="AC86" s="412" t="s">
        <v>372</v>
      </c>
      <c r="AD86" s="627"/>
      <c r="AE86" s="412" t="s">
        <v>380</v>
      </c>
      <c r="AF86" s="412" t="s">
        <v>381</v>
      </c>
      <c r="AG86" s="412" t="s">
        <v>382</v>
      </c>
      <c r="AH86" s="412" t="s">
        <v>372</v>
      </c>
      <c r="AI86" s="627"/>
      <c r="AJ86" s="412" t="s">
        <v>380</v>
      </c>
      <c r="AK86" s="412" t="s">
        <v>381</v>
      </c>
      <c r="AL86" s="412" t="s">
        <v>382</v>
      </c>
      <c r="AM86" s="412" t="s">
        <v>372</v>
      </c>
      <c r="AN86" s="627"/>
      <c r="AO86" s="412" t="s">
        <v>380</v>
      </c>
      <c r="AP86" s="412" t="s">
        <v>381</v>
      </c>
      <c r="AQ86" s="412" t="s">
        <v>382</v>
      </c>
      <c r="AR86" s="412" t="s">
        <v>372</v>
      </c>
      <c r="AS86" s="627"/>
      <c r="AT86" s="412" t="s">
        <v>380</v>
      </c>
      <c r="AU86" s="412" t="s">
        <v>381</v>
      </c>
      <c r="AV86" s="412" t="s">
        <v>382</v>
      </c>
      <c r="AW86" s="412" t="s">
        <v>372</v>
      </c>
      <c r="AX86" s="627"/>
      <c r="AZ86" s="401" t="s">
        <v>372</v>
      </c>
      <c r="BA86" s="627"/>
    </row>
    <row r="87" spans="2:53">
      <c r="B87" s="627" t="s">
        <v>415</v>
      </c>
      <c r="C87" s="413">
        <v>1</v>
      </c>
      <c r="D87" s="225"/>
      <c r="E87" s="420"/>
      <c r="F87" s="413"/>
      <c r="G87" s="414"/>
      <c r="H87" s="677" t="e">
        <f>AVERAGE(G87:G101)</f>
        <v>#DIV/0!</v>
      </c>
      <c r="I87" s="417" t="str">
        <f t="shared" ref="I87:I100" si="54">IFERROR(AVERAGE(P87,U87,Z87,AE87,AJ87,AO87,AT87),"-")</f>
        <v>-</v>
      </c>
      <c r="J87" s="417" t="str">
        <f t="shared" ref="J87:J100" si="55">IFERROR(AVERAGE(Q87,V87,AA87,AF87,AK87,AP87,AU87),"-")</f>
        <v>-</v>
      </c>
      <c r="K87" s="199" t="str">
        <f t="shared" ref="K87:K100" si="56">IFERROR(AVERAGE(R87,W87,AB87,AG87,AL87,AQ87,AV87),"-")</f>
        <v>-</v>
      </c>
      <c r="L87" s="608" t="str">
        <f>IFERROR(AVERAGE(K87:K101),"-")</f>
        <v>-</v>
      </c>
      <c r="M87" s="419" t="e">
        <f>RANK(K87, K$107:$K$121)</f>
        <v>#VALUE!</v>
      </c>
      <c r="N87" s="627"/>
      <c r="O87" s="627"/>
      <c r="P87" s="495"/>
      <c r="Q87" s="420"/>
      <c r="R87" s="420"/>
      <c r="S87" s="495"/>
      <c r="T87" s="649"/>
      <c r="U87" s="495"/>
      <c r="V87" s="420"/>
      <c r="W87" s="420"/>
      <c r="X87" s="495"/>
      <c r="Y87" s="649"/>
      <c r="Z87" s="495"/>
      <c r="AA87" s="420"/>
      <c r="AB87" s="420"/>
      <c r="AC87" s="495"/>
      <c r="AD87" s="649"/>
      <c r="AE87" s="495"/>
      <c r="AF87" s="420"/>
      <c r="AG87" s="420"/>
      <c r="AH87" s="495"/>
      <c r="AI87" s="649"/>
      <c r="AJ87" s="495"/>
      <c r="AK87" s="420"/>
      <c r="AL87" s="420"/>
      <c r="AM87" s="495"/>
      <c r="AN87" s="649"/>
      <c r="AO87" s="495"/>
      <c r="AP87" s="420"/>
      <c r="AQ87" s="420"/>
      <c r="AR87" s="495"/>
      <c r="AS87" s="649"/>
      <c r="AT87" s="495"/>
      <c r="AU87" s="420"/>
      <c r="AV87" s="420"/>
      <c r="AW87" s="495"/>
      <c r="AX87" s="649"/>
      <c r="AZ87" s="402" t="e">
        <f t="shared" ref="AZ87:AZ101" si="57">RANK(AY87, AY$87:AY$101)</f>
        <v>#N/A</v>
      </c>
      <c r="BA87" s="649" t="e">
        <f t="shared" ref="BA87" si="58">AVERAGE(AY87:AY101)</f>
        <v>#DIV/0!</v>
      </c>
    </row>
    <row r="88" spans="2:53">
      <c r="B88" s="635"/>
      <c r="C88" s="413">
        <v>2</v>
      </c>
      <c r="D88" s="225"/>
      <c r="E88" s="420"/>
      <c r="F88" s="413"/>
      <c r="G88" s="414"/>
      <c r="H88" s="678"/>
      <c r="I88" s="417" t="str">
        <f t="shared" si="54"/>
        <v>-</v>
      </c>
      <c r="J88" s="417" t="str">
        <f t="shared" si="55"/>
        <v>-</v>
      </c>
      <c r="K88" s="199" t="str">
        <f t="shared" si="56"/>
        <v>-</v>
      </c>
      <c r="L88" s="609"/>
      <c r="M88" s="419" t="e">
        <f>RANK(K88, K$107:$K$121)</f>
        <v>#VALUE!</v>
      </c>
      <c r="N88" s="627"/>
      <c r="O88" s="627"/>
      <c r="P88" s="495"/>
      <c r="Q88" s="420"/>
      <c r="R88" s="420"/>
      <c r="S88" s="495"/>
      <c r="T88" s="649"/>
      <c r="U88" s="495"/>
      <c r="V88" s="420"/>
      <c r="W88" s="420"/>
      <c r="X88" s="495"/>
      <c r="Y88" s="649"/>
      <c r="Z88" s="495"/>
      <c r="AA88" s="420"/>
      <c r="AB88" s="420"/>
      <c r="AC88" s="495"/>
      <c r="AD88" s="649"/>
      <c r="AE88" s="495"/>
      <c r="AF88" s="420"/>
      <c r="AG88" s="420"/>
      <c r="AH88" s="495"/>
      <c r="AI88" s="649"/>
      <c r="AJ88" s="495"/>
      <c r="AK88" s="420"/>
      <c r="AL88" s="420"/>
      <c r="AM88" s="495"/>
      <c r="AN88" s="649"/>
      <c r="AO88" s="495"/>
      <c r="AP88" s="420"/>
      <c r="AQ88" s="420"/>
      <c r="AR88" s="495"/>
      <c r="AS88" s="649"/>
      <c r="AT88" s="495"/>
      <c r="AU88" s="420"/>
      <c r="AV88" s="420"/>
      <c r="AW88" s="495"/>
      <c r="AX88" s="649"/>
      <c r="AZ88" s="402" t="e">
        <f t="shared" si="57"/>
        <v>#N/A</v>
      </c>
      <c r="BA88" s="649"/>
    </row>
    <row r="89" spans="2:53">
      <c r="B89" s="635"/>
      <c r="C89" s="413">
        <v>3</v>
      </c>
      <c r="D89" s="225"/>
      <c r="E89" s="420"/>
      <c r="F89" s="413"/>
      <c r="G89" s="414"/>
      <c r="H89" s="678"/>
      <c r="I89" s="417" t="str">
        <f t="shared" si="54"/>
        <v>-</v>
      </c>
      <c r="J89" s="417" t="str">
        <f t="shared" si="55"/>
        <v>-</v>
      </c>
      <c r="K89" s="199" t="str">
        <f t="shared" si="56"/>
        <v>-</v>
      </c>
      <c r="L89" s="609"/>
      <c r="M89" s="419" t="e">
        <f>RANK(K89, K$107:$K$121)</f>
        <v>#VALUE!</v>
      </c>
      <c r="N89" s="627"/>
      <c r="O89" s="627"/>
      <c r="P89" s="495"/>
      <c r="Q89" s="420"/>
      <c r="R89" s="420"/>
      <c r="S89" s="495"/>
      <c r="T89" s="649"/>
      <c r="U89" s="495"/>
      <c r="V89" s="420"/>
      <c r="W89" s="420"/>
      <c r="X89" s="495"/>
      <c r="Y89" s="649"/>
      <c r="Z89" s="495"/>
      <c r="AA89" s="420"/>
      <c r="AB89" s="420"/>
      <c r="AC89" s="495"/>
      <c r="AD89" s="649"/>
      <c r="AE89" s="495"/>
      <c r="AF89" s="420"/>
      <c r="AG89" s="420"/>
      <c r="AH89" s="495"/>
      <c r="AI89" s="649"/>
      <c r="AJ89" s="495"/>
      <c r="AK89" s="420"/>
      <c r="AL89" s="420"/>
      <c r="AM89" s="495"/>
      <c r="AN89" s="649"/>
      <c r="AO89" s="495"/>
      <c r="AP89" s="420"/>
      <c r="AQ89" s="420"/>
      <c r="AR89" s="495"/>
      <c r="AS89" s="649"/>
      <c r="AT89" s="495"/>
      <c r="AU89" s="420"/>
      <c r="AV89" s="420"/>
      <c r="AW89" s="495"/>
      <c r="AX89" s="649"/>
      <c r="AZ89" s="402" t="e">
        <f t="shared" si="57"/>
        <v>#N/A</v>
      </c>
      <c r="BA89" s="649"/>
    </row>
    <row r="90" spans="2:53">
      <c r="B90" s="635"/>
      <c r="C90" s="413">
        <v>4</v>
      </c>
      <c r="D90" s="225"/>
      <c r="E90" s="420"/>
      <c r="F90" s="413"/>
      <c r="G90" s="414"/>
      <c r="H90" s="678"/>
      <c r="I90" s="417" t="str">
        <f t="shared" si="54"/>
        <v>-</v>
      </c>
      <c r="J90" s="417" t="str">
        <f t="shared" si="55"/>
        <v>-</v>
      </c>
      <c r="K90" s="199" t="str">
        <f t="shared" si="56"/>
        <v>-</v>
      </c>
      <c r="L90" s="609"/>
      <c r="M90" s="419" t="e">
        <f>RANK(K90, K$107:$K$121)</f>
        <v>#VALUE!</v>
      </c>
      <c r="N90" s="627"/>
      <c r="O90" s="627"/>
      <c r="P90" s="495"/>
      <c r="Q90" s="420"/>
      <c r="R90" s="420"/>
      <c r="S90" s="495"/>
      <c r="T90" s="649"/>
      <c r="U90" s="495"/>
      <c r="V90" s="420"/>
      <c r="W90" s="420"/>
      <c r="X90" s="495"/>
      <c r="Y90" s="649"/>
      <c r="Z90" s="495"/>
      <c r="AA90" s="420"/>
      <c r="AB90" s="420"/>
      <c r="AC90" s="495"/>
      <c r="AD90" s="649"/>
      <c r="AE90" s="495"/>
      <c r="AF90" s="420"/>
      <c r="AG90" s="420"/>
      <c r="AH90" s="495"/>
      <c r="AI90" s="649"/>
      <c r="AJ90" s="495"/>
      <c r="AK90" s="420"/>
      <c r="AL90" s="420"/>
      <c r="AM90" s="495"/>
      <c r="AN90" s="649"/>
      <c r="AO90" s="495"/>
      <c r="AP90" s="420"/>
      <c r="AQ90" s="420"/>
      <c r="AR90" s="495"/>
      <c r="AS90" s="649"/>
      <c r="AT90" s="495"/>
      <c r="AU90" s="420"/>
      <c r="AV90" s="420"/>
      <c r="AW90" s="495"/>
      <c r="AX90" s="649"/>
      <c r="AZ90" s="402" t="e">
        <f t="shared" si="57"/>
        <v>#N/A</v>
      </c>
      <c r="BA90" s="649"/>
    </row>
    <row r="91" spans="2:53">
      <c r="B91" s="635"/>
      <c r="C91" s="413">
        <v>5</v>
      </c>
      <c r="D91" s="225"/>
      <c r="E91" s="420"/>
      <c r="F91" s="413"/>
      <c r="G91" s="414"/>
      <c r="H91" s="678"/>
      <c r="I91" s="417" t="str">
        <f t="shared" si="54"/>
        <v>-</v>
      </c>
      <c r="J91" s="417" t="str">
        <f t="shared" si="55"/>
        <v>-</v>
      </c>
      <c r="K91" s="199" t="str">
        <f t="shared" si="56"/>
        <v>-</v>
      </c>
      <c r="L91" s="609"/>
      <c r="M91" s="419" t="e">
        <f>RANK(K91, K$107:$K$121)</f>
        <v>#VALUE!</v>
      </c>
      <c r="N91" s="627"/>
      <c r="O91" s="627"/>
      <c r="P91" s="495"/>
      <c r="Q91" s="420"/>
      <c r="R91" s="420"/>
      <c r="S91" s="495"/>
      <c r="T91" s="649"/>
      <c r="U91" s="495"/>
      <c r="V91" s="420"/>
      <c r="W91" s="420"/>
      <c r="X91" s="495"/>
      <c r="Y91" s="649"/>
      <c r="Z91" s="495"/>
      <c r="AA91" s="420"/>
      <c r="AB91" s="420"/>
      <c r="AC91" s="495"/>
      <c r="AD91" s="649"/>
      <c r="AE91" s="495"/>
      <c r="AF91" s="420"/>
      <c r="AG91" s="420"/>
      <c r="AH91" s="495"/>
      <c r="AI91" s="649"/>
      <c r="AJ91" s="495"/>
      <c r="AK91" s="420"/>
      <c r="AL91" s="420"/>
      <c r="AM91" s="495"/>
      <c r="AN91" s="649"/>
      <c r="AO91" s="495"/>
      <c r="AP91" s="420"/>
      <c r="AQ91" s="420"/>
      <c r="AR91" s="495"/>
      <c r="AS91" s="649"/>
      <c r="AT91" s="495"/>
      <c r="AU91" s="420"/>
      <c r="AV91" s="420"/>
      <c r="AW91" s="495"/>
      <c r="AX91" s="649"/>
      <c r="AZ91" s="402" t="e">
        <f t="shared" si="57"/>
        <v>#N/A</v>
      </c>
      <c r="BA91" s="649"/>
    </row>
    <row r="92" spans="2:53">
      <c r="B92" s="635"/>
      <c r="C92" s="413">
        <v>6</v>
      </c>
      <c r="D92" s="225"/>
      <c r="E92" s="420"/>
      <c r="F92" s="413"/>
      <c r="G92" s="414"/>
      <c r="H92" s="678"/>
      <c r="I92" s="417" t="str">
        <f t="shared" si="54"/>
        <v>-</v>
      </c>
      <c r="J92" s="417" t="str">
        <f t="shared" si="55"/>
        <v>-</v>
      </c>
      <c r="K92" s="199" t="str">
        <f t="shared" si="56"/>
        <v>-</v>
      </c>
      <c r="L92" s="609"/>
      <c r="M92" s="419" t="e">
        <f>RANK(K92, K$107:$K$121)</f>
        <v>#VALUE!</v>
      </c>
      <c r="N92" s="627"/>
      <c r="O92" s="627"/>
      <c r="P92" s="495"/>
      <c r="Q92" s="420"/>
      <c r="R92" s="420"/>
      <c r="S92" s="495"/>
      <c r="T92" s="649"/>
      <c r="U92" s="495"/>
      <c r="V92" s="420"/>
      <c r="W92" s="420"/>
      <c r="X92" s="495"/>
      <c r="Y92" s="649"/>
      <c r="Z92" s="495"/>
      <c r="AA92" s="420"/>
      <c r="AB92" s="420"/>
      <c r="AC92" s="495"/>
      <c r="AD92" s="649"/>
      <c r="AE92" s="495"/>
      <c r="AF92" s="420"/>
      <c r="AG92" s="420"/>
      <c r="AH92" s="495"/>
      <c r="AI92" s="649"/>
      <c r="AJ92" s="495"/>
      <c r="AK92" s="420"/>
      <c r="AL92" s="420"/>
      <c r="AM92" s="495"/>
      <c r="AN92" s="649"/>
      <c r="AO92" s="495"/>
      <c r="AP92" s="420"/>
      <c r="AQ92" s="420"/>
      <c r="AR92" s="495"/>
      <c r="AS92" s="649"/>
      <c r="AT92" s="495"/>
      <c r="AU92" s="420"/>
      <c r="AV92" s="420"/>
      <c r="AW92" s="495"/>
      <c r="AX92" s="649"/>
      <c r="AZ92" s="402" t="e">
        <f t="shared" si="57"/>
        <v>#N/A</v>
      </c>
      <c r="BA92" s="649"/>
    </row>
    <row r="93" spans="2:53">
      <c r="B93" s="635"/>
      <c r="C93" s="413">
        <v>7</v>
      </c>
      <c r="D93" s="225"/>
      <c r="E93" s="420"/>
      <c r="F93" s="413"/>
      <c r="G93" s="414"/>
      <c r="H93" s="678"/>
      <c r="I93" s="417" t="str">
        <f t="shared" si="54"/>
        <v>-</v>
      </c>
      <c r="J93" s="417" t="str">
        <f t="shared" si="55"/>
        <v>-</v>
      </c>
      <c r="K93" s="199" t="str">
        <f t="shared" si="56"/>
        <v>-</v>
      </c>
      <c r="L93" s="609"/>
      <c r="M93" s="419" t="e">
        <f>RANK(K93, K$107:$K$121)</f>
        <v>#VALUE!</v>
      </c>
      <c r="N93" s="627"/>
      <c r="O93" s="627"/>
      <c r="P93" s="495"/>
      <c r="Q93" s="420"/>
      <c r="R93" s="420"/>
      <c r="S93" s="495"/>
      <c r="T93" s="649"/>
      <c r="U93" s="495"/>
      <c r="V93" s="420"/>
      <c r="W93" s="420"/>
      <c r="X93" s="495"/>
      <c r="Y93" s="649"/>
      <c r="Z93" s="495"/>
      <c r="AA93" s="420"/>
      <c r="AB93" s="420"/>
      <c r="AC93" s="495"/>
      <c r="AD93" s="649"/>
      <c r="AE93" s="495"/>
      <c r="AF93" s="420"/>
      <c r="AG93" s="420"/>
      <c r="AH93" s="495"/>
      <c r="AI93" s="649"/>
      <c r="AJ93" s="495"/>
      <c r="AK93" s="420"/>
      <c r="AL93" s="420"/>
      <c r="AM93" s="495"/>
      <c r="AN93" s="649"/>
      <c r="AO93" s="495"/>
      <c r="AP93" s="420"/>
      <c r="AQ93" s="420"/>
      <c r="AR93" s="495"/>
      <c r="AS93" s="649"/>
      <c r="AT93" s="495"/>
      <c r="AU93" s="420"/>
      <c r="AV93" s="420"/>
      <c r="AW93" s="495"/>
      <c r="AX93" s="649"/>
      <c r="AZ93" s="402" t="e">
        <f t="shared" si="57"/>
        <v>#N/A</v>
      </c>
      <c r="BA93" s="649"/>
    </row>
    <row r="94" spans="2:53">
      <c r="B94" s="635"/>
      <c r="C94" s="413">
        <v>8</v>
      </c>
      <c r="D94" s="225"/>
      <c r="E94" s="420"/>
      <c r="F94" s="413"/>
      <c r="G94" s="414"/>
      <c r="H94" s="678"/>
      <c r="I94" s="417" t="str">
        <f t="shared" si="54"/>
        <v>-</v>
      </c>
      <c r="J94" s="417" t="str">
        <f t="shared" si="55"/>
        <v>-</v>
      </c>
      <c r="K94" s="199" t="str">
        <f t="shared" si="56"/>
        <v>-</v>
      </c>
      <c r="L94" s="609"/>
      <c r="M94" s="419" t="e">
        <f>RANK(K94, K$107:$K$121)</f>
        <v>#VALUE!</v>
      </c>
      <c r="N94" s="627"/>
      <c r="O94" s="627"/>
      <c r="P94" s="495"/>
      <c r="Q94" s="420"/>
      <c r="R94" s="420"/>
      <c r="S94" s="495"/>
      <c r="T94" s="649"/>
      <c r="U94" s="495"/>
      <c r="V94" s="420"/>
      <c r="W94" s="420"/>
      <c r="X94" s="495"/>
      <c r="Y94" s="649"/>
      <c r="Z94" s="495"/>
      <c r="AA94" s="420"/>
      <c r="AB94" s="420"/>
      <c r="AC94" s="495"/>
      <c r="AD94" s="649"/>
      <c r="AE94" s="495"/>
      <c r="AF94" s="420"/>
      <c r="AG94" s="420"/>
      <c r="AH94" s="495"/>
      <c r="AI94" s="649"/>
      <c r="AJ94" s="495"/>
      <c r="AK94" s="420"/>
      <c r="AL94" s="420"/>
      <c r="AM94" s="495"/>
      <c r="AN94" s="649"/>
      <c r="AO94" s="495"/>
      <c r="AP94" s="420"/>
      <c r="AQ94" s="420"/>
      <c r="AR94" s="495"/>
      <c r="AS94" s="649"/>
      <c r="AT94" s="495"/>
      <c r="AU94" s="420"/>
      <c r="AV94" s="420"/>
      <c r="AW94" s="495"/>
      <c r="AX94" s="649"/>
      <c r="AZ94" s="402" t="e">
        <f t="shared" si="57"/>
        <v>#N/A</v>
      </c>
      <c r="BA94" s="649"/>
    </row>
    <row r="95" spans="2:53">
      <c r="B95" s="635"/>
      <c r="C95" s="413">
        <v>9</v>
      </c>
      <c r="D95" s="225"/>
      <c r="E95" s="420"/>
      <c r="F95" s="413"/>
      <c r="G95" s="414"/>
      <c r="H95" s="678"/>
      <c r="I95" s="417" t="str">
        <f t="shared" si="54"/>
        <v>-</v>
      </c>
      <c r="J95" s="417" t="str">
        <f t="shared" si="55"/>
        <v>-</v>
      </c>
      <c r="K95" s="199" t="str">
        <f t="shared" si="56"/>
        <v>-</v>
      </c>
      <c r="L95" s="609"/>
      <c r="M95" s="419" t="e">
        <f>RANK(K95, K$107:$K$121)</f>
        <v>#VALUE!</v>
      </c>
      <c r="N95" s="627"/>
      <c r="O95" s="627"/>
      <c r="P95" s="495"/>
      <c r="Q95" s="420"/>
      <c r="R95" s="420"/>
      <c r="S95" s="495"/>
      <c r="T95" s="649"/>
      <c r="U95" s="495"/>
      <c r="V95" s="420"/>
      <c r="W95" s="420"/>
      <c r="X95" s="495"/>
      <c r="Y95" s="649"/>
      <c r="Z95" s="495"/>
      <c r="AA95" s="420"/>
      <c r="AB95" s="420"/>
      <c r="AC95" s="495"/>
      <c r="AD95" s="649"/>
      <c r="AE95" s="495"/>
      <c r="AF95" s="420"/>
      <c r="AG95" s="420"/>
      <c r="AH95" s="495"/>
      <c r="AI95" s="649"/>
      <c r="AJ95" s="495"/>
      <c r="AK95" s="420"/>
      <c r="AL95" s="420"/>
      <c r="AM95" s="495"/>
      <c r="AN95" s="649"/>
      <c r="AO95" s="495"/>
      <c r="AP95" s="420"/>
      <c r="AQ95" s="420"/>
      <c r="AR95" s="495"/>
      <c r="AS95" s="649"/>
      <c r="AT95" s="495"/>
      <c r="AU95" s="420"/>
      <c r="AV95" s="420"/>
      <c r="AW95" s="495"/>
      <c r="AX95" s="649"/>
      <c r="AZ95" s="402" t="e">
        <f t="shared" si="57"/>
        <v>#N/A</v>
      </c>
      <c r="BA95" s="649"/>
    </row>
    <row r="96" spans="2:53">
      <c r="B96" s="635"/>
      <c r="C96" s="413">
        <v>10</v>
      </c>
      <c r="D96" s="225"/>
      <c r="E96" s="420"/>
      <c r="F96" s="413"/>
      <c r="G96" s="414"/>
      <c r="H96" s="678"/>
      <c r="I96" s="417" t="str">
        <f t="shared" si="54"/>
        <v>-</v>
      </c>
      <c r="J96" s="417" t="str">
        <f t="shared" si="55"/>
        <v>-</v>
      </c>
      <c r="K96" s="199" t="str">
        <f t="shared" si="56"/>
        <v>-</v>
      </c>
      <c r="L96" s="609"/>
      <c r="M96" s="419" t="e">
        <f>RANK(K96, K$107:$K$121)</f>
        <v>#VALUE!</v>
      </c>
      <c r="N96" s="627"/>
      <c r="O96" s="627"/>
      <c r="P96" s="495"/>
      <c r="Q96" s="420"/>
      <c r="R96" s="420"/>
      <c r="S96" s="495"/>
      <c r="T96" s="649"/>
      <c r="U96" s="495"/>
      <c r="V96" s="420"/>
      <c r="W96" s="420"/>
      <c r="X96" s="495"/>
      <c r="Y96" s="649"/>
      <c r="Z96" s="495"/>
      <c r="AA96" s="420"/>
      <c r="AB96" s="420"/>
      <c r="AC96" s="495"/>
      <c r="AD96" s="649"/>
      <c r="AE96" s="495"/>
      <c r="AF96" s="420"/>
      <c r="AG96" s="420"/>
      <c r="AH96" s="495"/>
      <c r="AI96" s="649"/>
      <c r="AJ96" s="495"/>
      <c r="AK96" s="420"/>
      <c r="AL96" s="420"/>
      <c r="AM96" s="495"/>
      <c r="AN96" s="649"/>
      <c r="AO96" s="495"/>
      <c r="AP96" s="420"/>
      <c r="AQ96" s="420"/>
      <c r="AR96" s="495"/>
      <c r="AS96" s="649"/>
      <c r="AT96" s="495"/>
      <c r="AU96" s="420"/>
      <c r="AV96" s="420"/>
      <c r="AW96" s="495"/>
      <c r="AX96" s="649"/>
      <c r="AZ96" s="402" t="e">
        <f t="shared" si="57"/>
        <v>#N/A</v>
      </c>
      <c r="BA96" s="649"/>
    </row>
    <row r="97" spans="2:53">
      <c r="B97" s="635"/>
      <c r="C97" s="413">
        <v>11</v>
      </c>
      <c r="D97" s="225"/>
      <c r="E97" s="420"/>
      <c r="F97" s="413"/>
      <c r="G97" s="414"/>
      <c r="H97" s="678"/>
      <c r="I97" s="417" t="str">
        <f t="shared" si="54"/>
        <v>-</v>
      </c>
      <c r="J97" s="417" t="str">
        <f t="shared" si="55"/>
        <v>-</v>
      </c>
      <c r="K97" s="199" t="str">
        <f t="shared" si="56"/>
        <v>-</v>
      </c>
      <c r="L97" s="609"/>
      <c r="M97" s="419" t="e">
        <f>RANK(K97, K$107:$K$121)</f>
        <v>#VALUE!</v>
      </c>
      <c r="N97" s="627"/>
      <c r="O97" s="627"/>
      <c r="P97" s="495"/>
      <c r="Q97" s="420"/>
      <c r="R97" s="420"/>
      <c r="S97" s="495"/>
      <c r="T97" s="649"/>
      <c r="U97" s="495"/>
      <c r="V97" s="420"/>
      <c r="W97" s="420"/>
      <c r="X97" s="495"/>
      <c r="Y97" s="649"/>
      <c r="Z97" s="495"/>
      <c r="AA97" s="420"/>
      <c r="AB97" s="420"/>
      <c r="AC97" s="495"/>
      <c r="AD97" s="649"/>
      <c r="AE97" s="495"/>
      <c r="AF97" s="420"/>
      <c r="AG97" s="420"/>
      <c r="AH97" s="495"/>
      <c r="AI97" s="649"/>
      <c r="AJ97" s="495"/>
      <c r="AK97" s="420"/>
      <c r="AL97" s="420"/>
      <c r="AM97" s="495"/>
      <c r="AN97" s="649"/>
      <c r="AO97" s="495"/>
      <c r="AP97" s="420"/>
      <c r="AQ97" s="420"/>
      <c r="AR97" s="495"/>
      <c r="AS97" s="649"/>
      <c r="AT97" s="495"/>
      <c r="AU97" s="420"/>
      <c r="AV97" s="420"/>
      <c r="AW97" s="495"/>
      <c r="AX97" s="649"/>
      <c r="AZ97" s="402" t="e">
        <f t="shared" si="57"/>
        <v>#N/A</v>
      </c>
      <c r="BA97" s="649"/>
    </row>
    <row r="98" spans="2:53">
      <c r="B98" s="635"/>
      <c r="C98" s="413">
        <v>12</v>
      </c>
      <c r="D98" s="225"/>
      <c r="E98" s="420"/>
      <c r="F98" s="413"/>
      <c r="G98" s="414"/>
      <c r="H98" s="678"/>
      <c r="I98" s="417" t="str">
        <f t="shared" si="54"/>
        <v>-</v>
      </c>
      <c r="J98" s="417" t="str">
        <f t="shared" si="55"/>
        <v>-</v>
      </c>
      <c r="K98" s="199" t="str">
        <f t="shared" si="56"/>
        <v>-</v>
      </c>
      <c r="L98" s="609"/>
      <c r="M98" s="419" t="e">
        <f>RANK(K98, K$107:$K$121)</f>
        <v>#VALUE!</v>
      </c>
      <c r="N98" s="627"/>
      <c r="O98" s="627"/>
      <c r="P98" s="495"/>
      <c r="Q98" s="420"/>
      <c r="R98" s="420"/>
      <c r="S98" s="495"/>
      <c r="T98" s="649"/>
      <c r="U98" s="495"/>
      <c r="V98" s="420"/>
      <c r="W98" s="420"/>
      <c r="X98" s="495"/>
      <c r="Y98" s="649"/>
      <c r="Z98" s="495"/>
      <c r="AA98" s="420"/>
      <c r="AB98" s="420"/>
      <c r="AC98" s="495"/>
      <c r="AD98" s="649"/>
      <c r="AE98" s="495"/>
      <c r="AF98" s="420"/>
      <c r="AG98" s="420"/>
      <c r="AH98" s="495"/>
      <c r="AI98" s="649"/>
      <c r="AJ98" s="495"/>
      <c r="AK98" s="420"/>
      <c r="AL98" s="420"/>
      <c r="AM98" s="495"/>
      <c r="AN98" s="649"/>
      <c r="AO98" s="495"/>
      <c r="AP98" s="420"/>
      <c r="AQ98" s="420"/>
      <c r="AR98" s="495"/>
      <c r="AS98" s="649"/>
      <c r="AT98" s="495"/>
      <c r="AU98" s="420"/>
      <c r="AV98" s="420"/>
      <c r="AW98" s="495"/>
      <c r="AX98" s="649"/>
      <c r="AZ98" s="402" t="e">
        <f t="shared" si="57"/>
        <v>#N/A</v>
      </c>
      <c r="BA98" s="649"/>
    </row>
    <row r="99" spans="2:53">
      <c r="B99" s="635"/>
      <c r="C99" s="413">
        <v>13</v>
      </c>
      <c r="D99" s="225"/>
      <c r="E99" s="420"/>
      <c r="F99" s="413"/>
      <c r="G99" s="414"/>
      <c r="H99" s="678"/>
      <c r="I99" s="417" t="str">
        <f t="shared" si="54"/>
        <v>-</v>
      </c>
      <c r="J99" s="417" t="str">
        <f t="shared" si="55"/>
        <v>-</v>
      </c>
      <c r="K99" s="199" t="str">
        <f t="shared" si="56"/>
        <v>-</v>
      </c>
      <c r="L99" s="609"/>
      <c r="M99" s="419" t="e">
        <f>RANK(K99, K$107:$K$121)</f>
        <v>#VALUE!</v>
      </c>
      <c r="N99" s="627"/>
      <c r="O99" s="627"/>
      <c r="P99" s="495"/>
      <c r="Q99" s="420"/>
      <c r="R99" s="420"/>
      <c r="S99" s="495"/>
      <c r="T99" s="649"/>
      <c r="U99" s="495"/>
      <c r="V99" s="420"/>
      <c r="W99" s="420"/>
      <c r="X99" s="495"/>
      <c r="Y99" s="649"/>
      <c r="Z99" s="495"/>
      <c r="AA99" s="420"/>
      <c r="AB99" s="420"/>
      <c r="AC99" s="495"/>
      <c r="AD99" s="649"/>
      <c r="AE99" s="495"/>
      <c r="AF99" s="420"/>
      <c r="AG99" s="420"/>
      <c r="AH99" s="495"/>
      <c r="AI99" s="649"/>
      <c r="AJ99" s="495"/>
      <c r="AK99" s="420"/>
      <c r="AL99" s="420"/>
      <c r="AM99" s="495"/>
      <c r="AN99" s="649"/>
      <c r="AO99" s="495"/>
      <c r="AP99" s="420"/>
      <c r="AQ99" s="420"/>
      <c r="AR99" s="495"/>
      <c r="AS99" s="649"/>
      <c r="AT99" s="495"/>
      <c r="AU99" s="420"/>
      <c r="AV99" s="420"/>
      <c r="AW99" s="495"/>
      <c r="AX99" s="649"/>
      <c r="AZ99" s="402" t="e">
        <f t="shared" si="57"/>
        <v>#N/A</v>
      </c>
      <c r="BA99" s="649"/>
    </row>
    <row r="100" spans="2:53">
      <c r="B100" s="635"/>
      <c r="C100" s="413">
        <v>14</v>
      </c>
      <c r="D100" s="225"/>
      <c r="E100" s="420"/>
      <c r="F100" s="413"/>
      <c r="G100" s="414"/>
      <c r="H100" s="678"/>
      <c r="I100" s="417" t="str">
        <f t="shared" si="54"/>
        <v>-</v>
      </c>
      <c r="J100" s="417" t="str">
        <f t="shared" si="55"/>
        <v>-</v>
      </c>
      <c r="K100" s="199" t="str">
        <f t="shared" si="56"/>
        <v>-</v>
      </c>
      <c r="L100" s="609"/>
      <c r="M100" s="419" t="e">
        <f>RANK(K100, K$107:$K$121)</f>
        <v>#VALUE!</v>
      </c>
      <c r="N100" s="627"/>
      <c r="O100" s="627"/>
      <c r="P100" s="495"/>
      <c r="Q100" s="420"/>
      <c r="R100" s="420"/>
      <c r="S100" s="495"/>
      <c r="T100" s="649"/>
      <c r="U100" s="495"/>
      <c r="V100" s="420"/>
      <c r="W100" s="420"/>
      <c r="X100" s="495"/>
      <c r="Y100" s="649"/>
      <c r="Z100" s="495"/>
      <c r="AA100" s="420"/>
      <c r="AB100" s="420"/>
      <c r="AC100" s="495"/>
      <c r="AD100" s="649"/>
      <c r="AE100" s="495"/>
      <c r="AF100" s="420"/>
      <c r="AG100" s="420"/>
      <c r="AH100" s="495"/>
      <c r="AI100" s="649"/>
      <c r="AJ100" s="495"/>
      <c r="AK100" s="420"/>
      <c r="AL100" s="420"/>
      <c r="AM100" s="495"/>
      <c r="AN100" s="649"/>
      <c r="AO100" s="495"/>
      <c r="AP100" s="420"/>
      <c r="AQ100" s="420"/>
      <c r="AR100" s="495"/>
      <c r="AS100" s="649"/>
      <c r="AT100" s="495"/>
      <c r="AU100" s="420"/>
      <c r="AV100" s="420"/>
      <c r="AW100" s="495"/>
      <c r="AX100" s="649"/>
      <c r="AZ100" s="402" t="e">
        <f t="shared" si="57"/>
        <v>#N/A</v>
      </c>
      <c r="BA100" s="649"/>
    </row>
    <row r="101" spans="2:53">
      <c r="B101" s="635"/>
      <c r="C101" s="413">
        <v>15</v>
      </c>
      <c r="D101" s="225"/>
      <c r="E101" s="420"/>
      <c r="F101" s="413"/>
      <c r="G101" s="414"/>
      <c r="H101" s="679"/>
      <c r="I101" s="492" t="str">
        <f t="shared" ref="I101" si="59">IFERROR(AVERAGE(P101,U101,Z101,AE101,AJ101,AO101,AT101),"-")</f>
        <v>-</v>
      </c>
      <c r="J101" s="492" t="str">
        <f t="shared" ref="J101" si="60">IFERROR(AVERAGE(Q101,V101,AA101,AF101,AK101,AP101,AU101),"-")</f>
        <v>-</v>
      </c>
      <c r="K101" s="199" t="str">
        <f t="shared" ref="K101" si="61">IFERROR(AVERAGE(R101,W101,AB101,AG101,AL101,AQ101,AV101),"-")</f>
        <v>-</v>
      </c>
      <c r="L101" s="610"/>
      <c r="M101" s="419" t="e">
        <f>RANK(K101, K$107:$K$121)</f>
        <v>#VALUE!</v>
      </c>
      <c r="N101" s="627"/>
      <c r="O101" s="627"/>
      <c r="P101" s="495"/>
      <c r="Q101" s="420"/>
      <c r="R101" s="420"/>
      <c r="S101" s="495"/>
      <c r="T101" s="649"/>
      <c r="U101" s="495"/>
      <c r="V101" s="420"/>
      <c r="W101" s="420"/>
      <c r="X101" s="495"/>
      <c r="Y101" s="649"/>
      <c r="Z101" s="495"/>
      <c r="AA101" s="420"/>
      <c r="AB101" s="420"/>
      <c r="AC101" s="495"/>
      <c r="AD101" s="649"/>
      <c r="AE101" s="495"/>
      <c r="AF101" s="420"/>
      <c r="AG101" s="420"/>
      <c r="AH101" s="495"/>
      <c r="AI101" s="649"/>
      <c r="AJ101" s="495"/>
      <c r="AK101" s="420"/>
      <c r="AL101" s="420"/>
      <c r="AM101" s="495"/>
      <c r="AN101" s="649"/>
      <c r="AO101" s="495"/>
      <c r="AP101" s="420"/>
      <c r="AQ101" s="420"/>
      <c r="AR101" s="495"/>
      <c r="AS101" s="649"/>
      <c r="AT101" s="495"/>
      <c r="AU101" s="420"/>
      <c r="AV101" s="420"/>
      <c r="AW101" s="495"/>
      <c r="AX101" s="649"/>
      <c r="AZ101" s="402" t="e">
        <f t="shared" si="57"/>
        <v>#N/A</v>
      </c>
      <c r="BA101" s="649"/>
    </row>
    <row r="102" spans="2:53" ht="15.75">
      <c r="B102" s="639" t="s">
        <v>163</v>
      </c>
      <c r="C102" s="640"/>
      <c r="D102" s="640"/>
      <c r="E102" s="640"/>
      <c r="F102" s="640"/>
      <c r="G102" s="640"/>
      <c r="H102" s="641"/>
      <c r="I102" s="207"/>
      <c r="J102" s="207"/>
      <c r="K102" s="207"/>
      <c r="L102" s="207"/>
      <c r="M102" s="206"/>
      <c r="N102" s="628" t="s">
        <v>156</v>
      </c>
      <c r="O102" s="628" t="s">
        <v>105</v>
      </c>
      <c r="P102" s="634">
        <f>P82+7</f>
        <v>46175</v>
      </c>
      <c r="Q102" s="635"/>
      <c r="R102" s="635"/>
      <c r="S102" s="635"/>
      <c r="T102" s="635"/>
      <c r="U102" s="631">
        <f>P102+1</f>
        <v>46176</v>
      </c>
      <c r="V102" s="632"/>
      <c r="W102" s="632"/>
      <c r="X102" s="632"/>
      <c r="Y102" s="633"/>
      <c r="Z102" s="631">
        <f>U102+1</f>
        <v>46177</v>
      </c>
      <c r="AA102" s="632"/>
      <c r="AB102" s="632"/>
      <c r="AC102" s="632"/>
      <c r="AD102" s="633"/>
      <c r="AE102" s="631">
        <f>Z102+1</f>
        <v>46178</v>
      </c>
      <c r="AF102" s="632"/>
      <c r="AG102" s="632"/>
      <c r="AH102" s="632"/>
      <c r="AI102" s="633"/>
      <c r="AJ102" s="631">
        <f>AE102+1</f>
        <v>46179</v>
      </c>
      <c r="AK102" s="632"/>
      <c r="AL102" s="632"/>
      <c r="AM102" s="632"/>
      <c r="AN102" s="633"/>
      <c r="AO102" s="631">
        <f>AJ102+1</f>
        <v>46180</v>
      </c>
      <c r="AP102" s="632"/>
      <c r="AQ102" s="632"/>
      <c r="AR102" s="632"/>
      <c r="AS102" s="633"/>
      <c r="AT102" s="631">
        <f>AO102+1</f>
        <v>46181</v>
      </c>
      <c r="AU102" s="632"/>
      <c r="AV102" s="632"/>
      <c r="AW102" s="632"/>
      <c r="AX102" s="633"/>
    </row>
    <row r="103" spans="2:53" ht="15.75">
      <c r="B103" s="642"/>
      <c r="C103" s="642"/>
      <c r="D103" s="642"/>
      <c r="E103" s="642"/>
      <c r="F103" s="642"/>
      <c r="G103" s="642"/>
      <c r="H103" s="642"/>
      <c r="I103" s="204"/>
      <c r="J103" s="204"/>
      <c r="K103" s="204"/>
      <c r="L103" s="204"/>
      <c r="M103" s="205"/>
      <c r="N103" s="630"/>
      <c r="O103" s="630"/>
      <c r="P103" s="634" t="s">
        <v>158</v>
      </c>
      <c r="Q103" s="635"/>
      <c r="R103" s="635"/>
      <c r="S103" s="635"/>
      <c r="T103" s="635"/>
      <c r="U103" s="634" t="s">
        <v>114</v>
      </c>
      <c r="V103" s="635"/>
      <c r="W103" s="635"/>
      <c r="X103" s="635"/>
      <c r="Y103" s="635"/>
      <c r="Z103" s="634" t="s">
        <v>159</v>
      </c>
      <c r="AA103" s="635"/>
      <c r="AB103" s="635"/>
      <c r="AC103" s="635"/>
      <c r="AD103" s="635"/>
      <c r="AE103" s="634" t="s">
        <v>157</v>
      </c>
      <c r="AF103" s="635"/>
      <c r="AG103" s="635"/>
      <c r="AH103" s="635"/>
      <c r="AI103" s="635"/>
      <c r="AJ103" s="634" t="s">
        <v>160</v>
      </c>
      <c r="AK103" s="635"/>
      <c r="AL103" s="635"/>
      <c r="AM103" s="635"/>
      <c r="AN103" s="635"/>
      <c r="AO103" s="634" t="s">
        <v>115</v>
      </c>
      <c r="AP103" s="635"/>
      <c r="AQ103" s="635"/>
      <c r="AR103" s="635"/>
      <c r="AS103" s="635"/>
      <c r="AT103" s="634" t="s">
        <v>162</v>
      </c>
      <c r="AU103" s="635"/>
      <c r="AV103" s="635"/>
      <c r="AW103" s="635"/>
      <c r="AX103" s="635"/>
    </row>
    <row r="104" spans="2:53">
      <c r="B104" s="627" t="s">
        <v>154</v>
      </c>
      <c r="C104" s="627" t="s">
        <v>384</v>
      </c>
      <c r="D104" s="627"/>
      <c r="E104" s="627" t="s">
        <v>375</v>
      </c>
      <c r="F104" s="627"/>
      <c r="G104" s="627"/>
      <c r="H104" s="643" t="s">
        <v>371</v>
      </c>
      <c r="I104" s="611" t="s">
        <v>376</v>
      </c>
      <c r="J104" s="611"/>
      <c r="K104" s="611"/>
      <c r="L104" s="612" t="s">
        <v>371</v>
      </c>
      <c r="M104" s="618" t="s">
        <v>372</v>
      </c>
      <c r="N104" s="627"/>
      <c r="O104" s="627" t="s">
        <v>377</v>
      </c>
      <c r="P104" s="624" t="s">
        <v>373</v>
      </c>
      <c r="Q104" s="625"/>
      <c r="R104" s="625"/>
      <c r="S104" s="626"/>
      <c r="T104" s="627" t="s">
        <v>371</v>
      </c>
      <c r="U104" s="624" t="s">
        <v>373</v>
      </c>
      <c r="V104" s="625"/>
      <c r="W104" s="625"/>
      <c r="X104" s="626"/>
      <c r="Y104" s="627" t="s">
        <v>371</v>
      </c>
      <c r="Z104" s="624" t="s">
        <v>373</v>
      </c>
      <c r="AA104" s="625"/>
      <c r="AB104" s="625"/>
      <c r="AC104" s="626"/>
      <c r="AD104" s="627" t="s">
        <v>371</v>
      </c>
      <c r="AE104" s="624" t="s">
        <v>373</v>
      </c>
      <c r="AF104" s="625"/>
      <c r="AG104" s="625"/>
      <c r="AH104" s="626"/>
      <c r="AI104" s="627" t="s">
        <v>371</v>
      </c>
      <c r="AJ104" s="624" t="s">
        <v>373</v>
      </c>
      <c r="AK104" s="625"/>
      <c r="AL104" s="625"/>
      <c r="AM104" s="626"/>
      <c r="AN104" s="627" t="s">
        <v>371</v>
      </c>
      <c r="AO104" s="624" t="s">
        <v>373</v>
      </c>
      <c r="AP104" s="625"/>
      <c r="AQ104" s="625"/>
      <c r="AR104" s="626"/>
      <c r="AS104" s="627" t="s">
        <v>371</v>
      </c>
      <c r="AT104" s="624" t="s">
        <v>373</v>
      </c>
      <c r="AU104" s="625"/>
      <c r="AV104" s="625"/>
      <c r="AW104" s="626"/>
      <c r="AX104" s="627" t="s">
        <v>371</v>
      </c>
      <c r="BA104" s="627" t="s">
        <v>371</v>
      </c>
    </row>
    <row r="105" spans="2:53">
      <c r="B105" s="627"/>
      <c r="C105" s="627"/>
      <c r="D105" s="627"/>
      <c r="E105" s="627" t="s">
        <v>378</v>
      </c>
      <c r="F105" s="627"/>
      <c r="G105" s="627"/>
      <c r="H105" s="644"/>
      <c r="I105" s="611" t="s">
        <v>378</v>
      </c>
      <c r="J105" s="611"/>
      <c r="K105" s="611"/>
      <c r="L105" s="613"/>
      <c r="M105" s="619"/>
      <c r="N105" s="627"/>
      <c r="O105" s="627"/>
      <c r="P105" s="624" t="s">
        <v>379</v>
      </c>
      <c r="Q105" s="625"/>
      <c r="R105" s="625"/>
      <c r="S105" s="626"/>
      <c r="T105" s="627"/>
      <c r="U105" s="624" t="s">
        <v>379</v>
      </c>
      <c r="V105" s="625"/>
      <c r="W105" s="625"/>
      <c r="X105" s="626"/>
      <c r="Y105" s="627"/>
      <c r="Z105" s="624" t="s">
        <v>379</v>
      </c>
      <c r="AA105" s="625"/>
      <c r="AB105" s="625"/>
      <c r="AC105" s="626"/>
      <c r="AD105" s="627"/>
      <c r="AE105" s="624" t="s">
        <v>379</v>
      </c>
      <c r="AF105" s="625"/>
      <c r="AG105" s="625"/>
      <c r="AH105" s="626"/>
      <c r="AI105" s="627"/>
      <c r="AJ105" s="624" t="s">
        <v>379</v>
      </c>
      <c r="AK105" s="625"/>
      <c r="AL105" s="625"/>
      <c r="AM105" s="626"/>
      <c r="AN105" s="627"/>
      <c r="AO105" s="624" t="s">
        <v>379</v>
      </c>
      <c r="AP105" s="625"/>
      <c r="AQ105" s="625"/>
      <c r="AR105" s="626"/>
      <c r="AS105" s="627"/>
      <c r="AT105" s="624" t="s">
        <v>379</v>
      </c>
      <c r="AU105" s="625"/>
      <c r="AV105" s="625"/>
      <c r="AW105" s="626"/>
      <c r="AX105" s="627"/>
      <c r="BA105" s="627"/>
    </row>
    <row r="106" spans="2:53">
      <c r="B106" s="627"/>
      <c r="C106" s="627"/>
      <c r="D106" s="627"/>
      <c r="E106" s="313" t="s">
        <v>380</v>
      </c>
      <c r="F106" s="313" t="s">
        <v>381</v>
      </c>
      <c r="G106" s="313" t="s">
        <v>382</v>
      </c>
      <c r="H106" s="645"/>
      <c r="I106" s="314" t="s">
        <v>380</v>
      </c>
      <c r="J106" s="314" t="s">
        <v>381</v>
      </c>
      <c r="K106" s="314" t="s">
        <v>382</v>
      </c>
      <c r="L106" s="614"/>
      <c r="M106" s="620"/>
      <c r="N106" s="627"/>
      <c r="O106" s="627"/>
      <c r="P106" s="313" t="s">
        <v>380</v>
      </c>
      <c r="Q106" s="313" t="s">
        <v>381</v>
      </c>
      <c r="R106" s="313" t="s">
        <v>382</v>
      </c>
      <c r="S106" s="313" t="s">
        <v>372</v>
      </c>
      <c r="T106" s="627"/>
      <c r="U106" s="313" t="s">
        <v>380</v>
      </c>
      <c r="V106" s="313" t="s">
        <v>381</v>
      </c>
      <c r="W106" s="313" t="s">
        <v>382</v>
      </c>
      <c r="X106" s="313" t="s">
        <v>372</v>
      </c>
      <c r="Y106" s="627"/>
      <c r="Z106" s="313" t="s">
        <v>380</v>
      </c>
      <c r="AA106" s="313" t="s">
        <v>381</v>
      </c>
      <c r="AB106" s="313" t="s">
        <v>382</v>
      </c>
      <c r="AC106" s="313" t="s">
        <v>372</v>
      </c>
      <c r="AD106" s="627"/>
      <c r="AE106" s="313" t="s">
        <v>380</v>
      </c>
      <c r="AF106" s="313" t="s">
        <v>381</v>
      </c>
      <c r="AG106" s="313" t="s">
        <v>382</v>
      </c>
      <c r="AH106" s="313" t="s">
        <v>372</v>
      </c>
      <c r="AI106" s="627"/>
      <c r="AJ106" s="313" t="s">
        <v>380</v>
      </c>
      <c r="AK106" s="313" t="s">
        <v>381</v>
      </c>
      <c r="AL106" s="313" t="s">
        <v>382</v>
      </c>
      <c r="AM106" s="313" t="s">
        <v>372</v>
      </c>
      <c r="AN106" s="627"/>
      <c r="AO106" s="313" t="s">
        <v>380</v>
      </c>
      <c r="AP106" s="313" t="s">
        <v>381</v>
      </c>
      <c r="AQ106" s="313" t="s">
        <v>382</v>
      </c>
      <c r="AR106" s="313" t="s">
        <v>372</v>
      </c>
      <c r="AS106" s="627"/>
      <c r="AT106" s="313" t="s">
        <v>380</v>
      </c>
      <c r="AU106" s="313" t="s">
        <v>381</v>
      </c>
      <c r="AV106" s="313" t="s">
        <v>382</v>
      </c>
      <c r="AW106" s="313" t="s">
        <v>372</v>
      </c>
      <c r="AX106" s="627"/>
      <c r="AZ106" s="401" t="s">
        <v>372</v>
      </c>
      <c r="BA106" s="627"/>
    </row>
    <row r="107" spans="2:53">
      <c r="B107" s="627" t="s">
        <v>132</v>
      </c>
      <c r="C107" s="312">
        <v>1</v>
      </c>
      <c r="D107" s="225"/>
      <c r="E107" s="181"/>
      <c r="F107" s="374"/>
      <c r="G107" s="375"/>
      <c r="H107" s="677" t="e">
        <f>AVERAGE(G107:G121)</f>
        <v>#DIV/0!</v>
      </c>
      <c r="I107" s="395" t="str">
        <f t="shared" ref="I107:I120" si="62">IFERROR(AVERAGE(P107,U107,Z107,AE107,AJ107,AO107,AT107),"-")</f>
        <v>-</v>
      </c>
      <c r="J107" s="395" t="str">
        <f t="shared" ref="J107:J120" si="63">IFERROR(AVERAGE(Q107,V107,AA107,AF107,AK107,AP107,AU107),"-")</f>
        <v>-</v>
      </c>
      <c r="K107" s="199" t="str">
        <f t="shared" ref="K107:K120" si="64">IFERROR(AVERAGE(R107,W107,AB107,AG107,AL107,AQ107,AV107),"-")</f>
        <v>-</v>
      </c>
      <c r="L107" s="608" t="str">
        <f>IFERROR(AVERAGE(K107:K121),"-")</f>
        <v>-</v>
      </c>
      <c r="M107" s="200" t="e">
        <f>RANK(K107, K$107:$K$121)</f>
        <v>#VALUE!</v>
      </c>
      <c r="N107" s="627"/>
      <c r="O107" s="627"/>
      <c r="P107" s="181"/>
      <c r="Q107" s="315"/>
      <c r="R107" s="315"/>
      <c r="S107" s="312" t="e">
        <f>RANK(R107, R$107:R$121)</f>
        <v>#N/A</v>
      </c>
      <c r="T107" s="677" t="e">
        <f>AVERAGE(R107:R121)</f>
        <v>#DIV/0!</v>
      </c>
      <c r="U107" s="181"/>
      <c r="V107" s="375"/>
      <c r="W107" s="375"/>
      <c r="X107" s="312" t="e">
        <f>RANK(W107, W$107:W$121)</f>
        <v>#N/A</v>
      </c>
      <c r="Y107" s="677" t="e">
        <f>AVERAGE(W107:W121)</f>
        <v>#DIV/0!</v>
      </c>
      <c r="Z107" s="181"/>
      <c r="AA107" s="375"/>
      <c r="AB107" s="375"/>
      <c r="AC107" s="312" t="e">
        <f>RANK(AB107, AB$107:AB$121)</f>
        <v>#N/A</v>
      </c>
      <c r="AD107" s="677" t="e">
        <f>AVERAGE(AB107:AB121)</f>
        <v>#DIV/0!</v>
      </c>
      <c r="AE107" s="181"/>
      <c r="AF107" s="375"/>
      <c r="AG107" s="375"/>
      <c r="AH107" s="312" t="e">
        <f>RANK(AG107, AG$107:AG$121)</f>
        <v>#N/A</v>
      </c>
      <c r="AI107" s="677" t="e">
        <f>AVERAGE(AG107:AG121)</f>
        <v>#DIV/0!</v>
      </c>
      <c r="AJ107" s="181"/>
      <c r="AK107" s="375"/>
      <c r="AL107" s="375"/>
      <c r="AM107" s="312" t="e">
        <f>RANK(AL107, AL$107:AL$121)</f>
        <v>#N/A</v>
      </c>
      <c r="AN107" s="677" t="e">
        <f>AVERAGE(AL107:AL121)</f>
        <v>#DIV/0!</v>
      </c>
      <c r="AO107" s="181"/>
      <c r="AP107" s="375"/>
      <c r="AQ107" s="375"/>
      <c r="AR107" s="312" t="e">
        <f>RANK(AQ107, AQ$107:AQ$121)</f>
        <v>#N/A</v>
      </c>
      <c r="AS107" s="677" t="e">
        <f>AVERAGE(AQ107:AQ121)</f>
        <v>#DIV/0!</v>
      </c>
      <c r="AT107" s="181"/>
      <c r="AU107" s="375"/>
      <c r="AV107" s="375"/>
      <c r="AW107" s="312" t="e">
        <f>RANK(AV107, AV$107:AV$121)</f>
        <v>#N/A</v>
      </c>
      <c r="AX107" s="649" t="e">
        <f>AVERAGE(AV107:AV121)</f>
        <v>#DIV/0!</v>
      </c>
      <c r="AZ107" s="402" t="e">
        <f>RANK(AY107, AY$107:AY$121)</f>
        <v>#N/A</v>
      </c>
      <c r="BA107" s="649" t="e">
        <f>AVERAGE(AY107:AY121)</f>
        <v>#DIV/0!</v>
      </c>
    </row>
    <row r="108" spans="2:53">
      <c r="B108" s="635"/>
      <c r="C108" s="312">
        <v>2</v>
      </c>
      <c r="D108" s="225"/>
      <c r="E108" s="181"/>
      <c r="F108" s="374"/>
      <c r="G108" s="375"/>
      <c r="H108" s="678"/>
      <c r="I108" s="395" t="str">
        <f t="shared" si="62"/>
        <v>-</v>
      </c>
      <c r="J108" s="395" t="str">
        <f t="shared" si="63"/>
        <v>-</v>
      </c>
      <c r="K108" s="199" t="str">
        <f t="shared" si="64"/>
        <v>-</v>
      </c>
      <c r="L108" s="609"/>
      <c r="M108" s="324" t="e">
        <f>RANK(K108, K$107:$K$121)</f>
        <v>#VALUE!</v>
      </c>
      <c r="N108" s="627"/>
      <c r="O108" s="627"/>
      <c r="P108" s="312"/>
      <c r="Q108" s="315"/>
      <c r="R108" s="315"/>
      <c r="S108" s="322" t="e">
        <f t="shared" ref="S108:S121" si="65">RANK(R108, R$107:R$121)</f>
        <v>#N/A</v>
      </c>
      <c r="T108" s="678"/>
      <c r="U108" s="374"/>
      <c r="V108" s="375"/>
      <c r="W108" s="375"/>
      <c r="X108" s="312" t="e">
        <f t="shared" ref="X108:X121" si="66">RANK(W108, W$107:W$121)</f>
        <v>#N/A</v>
      </c>
      <c r="Y108" s="678"/>
      <c r="Z108" s="374"/>
      <c r="AA108" s="375"/>
      <c r="AB108" s="375"/>
      <c r="AC108" s="312" t="e">
        <f t="shared" ref="AC108:AC121" si="67">RANK(AB108, AB$107:AB$121)</f>
        <v>#N/A</v>
      </c>
      <c r="AD108" s="678"/>
      <c r="AE108" s="374"/>
      <c r="AF108" s="375"/>
      <c r="AG108" s="375"/>
      <c r="AH108" s="312" t="e">
        <f t="shared" ref="AH108:AH121" si="68">RANK(AG108, AG$107:AG$121)</f>
        <v>#N/A</v>
      </c>
      <c r="AI108" s="678"/>
      <c r="AJ108" s="374"/>
      <c r="AK108" s="375"/>
      <c r="AL108" s="375"/>
      <c r="AM108" s="312" t="e">
        <f t="shared" ref="AM108:AM121" si="69">RANK(AL108, AL$107:AL$121)</f>
        <v>#N/A</v>
      </c>
      <c r="AN108" s="678"/>
      <c r="AO108" s="374"/>
      <c r="AP108" s="375"/>
      <c r="AQ108" s="375"/>
      <c r="AR108" s="312" t="e">
        <f t="shared" ref="AR108:AR121" si="70">RANK(AQ108, AQ$107:AQ$121)</f>
        <v>#N/A</v>
      </c>
      <c r="AS108" s="678"/>
      <c r="AT108" s="374"/>
      <c r="AU108" s="375"/>
      <c r="AV108" s="375"/>
      <c r="AW108" s="312" t="e">
        <f t="shared" ref="AW108:AW121" si="71">RANK(AV108, AV$107:AV$121)</f>
        <v>#N/A</v>
      </c>
      <c r="AX108" s="649"/>
      <c r="AZ108" s="402" t="e">
        <f t="shared" ref="AZ108:AZ121" si="72">RANK(AY108, AY$107:AY$121)</f>
        <v>#N/A</v>
      </c>
      <c r="BA108" s="649"/>
    </row>
    <row r="109" spans="2:53">
      <c r="B109" s="635"/>
      <c r="C109" s="312">
        <v>3</v>
      </c>
      <c r="D109" s="225"/>
      <c r="E109" s="181"/>
      <c r="F109" s="374"/>
      <c r="G109" s="375"/>
      <c r="H109" s="678"/>
      <c r="I109" s="395" t="str">
        <f t="shared" si="62"/>
        <v>-</v>
      </c>
      <c r="J109" s="395" t="str">
        <f t="shared" si="63"/>
        <v>-</v>
      </c>
      <c r="K109" s="199" t="str">
        <f t="shared" si="64"/>
        <v>-</v>
      </c>
      <c r="L109" s="609"/>
      <c r="M109" s="324" t="e">
        <f>RANK(K109, K$107:$K$121)</f>
        <v>#VALUE!</v>
      </c>
      <c r="N109" s="627"/>
      <c r="O109" s="627"/>
      <c r="P109" s="312"/>
      <c r="Q109" s="315"/>
      <c r="R109" s="315"/>
      <c r="S109" s="322" t="e">
        <f t="shared" si="65"/>
        <v>#N/A</v>
      </c>
      <c r="T109" s="678"/>
      <c r="U109" s="374"/>
      <c r="V109" s="375"/>
      <c r="W109" s="375"/>
      <c r="X109" s="312" t="e">
        <f t="shared" si="66"/>
        <v>#N/A</v>
      </c>
      <c r="Y109" s="678"/>
      <c r="Z109" s="374"/>
      <c r="AA109" s="375"/>
      <c r="AB109" s="375"/>
      <c r="AC109" s="312" t="e">
        <f t="shared" si="67"/>
        <v>#N/A</v>
      </c>
      <c r="AD109" s="678"/>
      <c r="AE109" s="374"/>
      <c r="AF109" s="375"/>
      <c r="AG109" s="375"/>
      <c r="AH109" s="312" t="e">
        <f t="shared" si="68"/>
        <v>#N/A</v>
      </c>
      <c r="AI109" s="678"/>
      <c r="AJ109" s="374"/>
      <c r="AK109" s="375"/>
      <c r="AL109" s="375"/>
      <c r="AM109" s="312" t="e">
        <f t="shared" si="69"/>
        <v>#N/A</v>
      </c>
      <c r="AN109" s="678"/>
      <c r="AO109" s="374"/>
      <c r="AP109" s="375"/>
      <c r="AQ109" s="375"/>
      <c r="AR109" s="312" t="e">
        <f t="shared" si="70"/>
        <v>#N/A</v>
      </c>
      <c r="AS109" s="678"/>
      <c r="AT109" s="374"/>
      <c r="AU109" s="375"/>
      <c r="AV109" s="375"/>
      <c r="AW109" s="312" t="e">
        <f t="shared" si="71"/>
        <v>#N/A</v>
      </c>
      <c r="AX109" s="649"/>
      <c r="AZ109" s="402" t="e">
        <f t="shared" si="72"/>
        <v>#N/A</v>
      </c>
      <c r="BA109" s="649"/>
    </row>
    <row r="110" spans="2:53">
      <c r="B110" s="635"/>
      <c r="C110" s="312">
        <v>4</v>
      </c>
      <c r="D110" s="225"/>
      <c r="E110" s="181"/>
      <c r="F110" s="374"/>
      <c r="G110" s="375"/>
      <c r="H110" s="678"/>
      <c r="I110" s="395" t="str">
        <f t="shared" si="62"/>
        <v>-</v>
      </c>
      <c r="J110" s="395" t="str">
        <f t="shared" si="63"/>
        <v>-</v>
      </c>
      <c r="K110" s="199" t="str">
        <f t="shared" si="64"/>
        <v>-</v>
      </c>
      <c r="L110" s="609"/>
      <c r="M110" s="324" t="e">
        <f>RANK(K110, K$107:$K$121)</f>
        <v>#VALUE!</v>
      </c>
      <c r="N110" s="627"/>
      <c r="O110" s="627"/>
      <c r="P110" s="312"/>
      <c r="Q110" s="315"/>
      <c r="R110" s="315"/>
      <c r="S110" s="322" t="e">
        <f t="shared" si="65"/>
        <v>#N/A</v>
      </c>
      <c r="T110" s="678"/>
      <c r="U110" s="374"/>
      <c r="V110" s="375"/>
      <c r="W110" s="375"/>
      <c r="X110" s="312" t="e">
        <f t="shared" si="66"/>
        <v>#N/A</v>
      </c>
      <c r="Y110" s="678"/>
      <c r="Z110" s="374"/>
      <c r="AA110" s="375"/>
      <c r="AB110" s="375"/>
      <c r="AC110" s="312" t="e">
        <f t="shared" si="67"/>
        <v>#N/A</v>
      </c>
      <c r="AD110" s="678"/>
      <c r="AE110" s="374"/>
      <c r="AF110" s="375"/>
      <c r="AG110" s="375"/>
      <c r="AH110" s="312" t="e">
        <f t="shared" si="68"/>
        <v>#N/A</v>
      </c>
      <c r="AI110" s="678"/>
      <c r="AJ110" s="374"/>
      <c r="AK110" s="375"/>
      <c r="AL110" s="375"/>
      <c r="AM110" s="312" t="e">
        <f t="shared" si="69"/>
        <v>#N/A</v>
      </c>
      <c r="AN110" s="678"/>
      <c r="AO110" s="374"/>
      <c r="AP110" s="375"/>
      <c r="AQ110" s="375"/>
      <c r="AR110" s="312" t="e">
        <f t="shared" si="70"/>
        <v>#N/A</v>
      </c>
      <c r="AS110" s="678"/>
      <c r="AT110" s="374"/>
      <c r="AU110" s="375"/>
      <c r="AV110" s="375"/>
      <c r="AW110" s="312" t="e">
        <f t="shared" si="71"/>
        <v>#N/A</v>
      </c>
      <c r="AX110" s="649"/>
      <c r="AZ110" s="402" t="e">
        <f t="shared" si="72"/>
        <v>#N/A</v>
      </c>
      <c r="BA110" s="649"/>
    </row>
    <row r="111" spans="2:53">
      <c r="B111" s="635"/>
      <c r="C111" s="312">
        <v>5</v>
      </c>
      <c r="D111" s="225"/>
      <c r="E111" s="181"/>
      <c r="F111" s="374"/>
      <c r="G111" s="375"/>
      <c r="H111" s="678"/>
      <c r="I111" s="395" t="str">
        <f t="shared" si="62"/>
        <v>-</v>
      </c>
      <c r="J111" s="395" t="str">
        <f t="shared" si="63"/>
        <v>-</v>
      </c>
      <c r="K111" s="199" t="str">
        <f t="shared" si="64"/>
        <v>-</v>
      </c>
      <c r="L111" s="609"/>
      <c r="M111" s="324" t="e">
        <f>RANK(K111, K$107:$K$121)</f>
        <v>#VALUE!</v>
      </c>
      <c r="N111" s="627"/>
      <c r="O111" s="627"/>
      <c r="P111" s="312"/>
      <c r="Q111" s="315"/>
      <c r="R111" s="315"/>
      <c r="S111" s="322" t="e">
        <f t="shared" si="65"/>
        <v>#N/A</v>
      </c>
      <c r="T111" s="678"/>
      <c r="U111" s="374"/>
      <c r="V111" s="375"/>
      <c r="W111" s="375"/>
      <c r="X111" s="312" t="e">
        <f t="shared" si="66"/>
        <v>#N/A</v>
      </c>
      <c r="Y111" s="678"/>
      <c r="Z111" s="374"/>
      <c r="AA111" s="375"/>
      <c r="AB111" s="375"/>
      <c r="AC111" s="312" t="e">
        <f t="shared" si="67"/>
        <v>#N/A</v>
      </c>
      <c r="AD111" s="678"/>
      <c r="AE111" s="374"/>
      <c r="AF111" s="375"/>
      <c r="AG111" s="375"/>
      <c r="AH111" s="312" t="e">
        <f t="shared" si="68"/>
        <v>#N/A</v>
      </c>
      <c r="AI111" s="678"/>
      <c r="AJ111" s="374"/>
      <c r="AK111" s="375"/>
      <c r="AL111" s="375"/>
      <c r="AM111" s="312" t="e">
        <f t="shared" si="69"/>
        <v>#N/A</v>
      </c>
      <c r="AN111" s="678"/>
      <c r="AO111" s="374"/>
      <c r="AP111" s="375"/>
      <c r="AQ111" s="375"/>
      <c r="AR111" s="312" t="e">
        <f t="shared" si="70"/>
        <v>#N/A</v>
      </c>
      <c r="AS111" s="678"/>
      <c r="AT111" s="374"/>
      <c r="AU111" s="375"/>
      <c r="AV111" s="375"/>
      <c r="AW111" s="312" t="e">
        <f t="shared" si="71"/>
        <v>#N/A</v>
      </c>
      <c r="AX111" s="649"/>
      <c r="AZ111" s="402" t="e">
        <f t="shared" si="72"/>
        <v>#N/A</v>
      </c>
      <c r="BA111" s="649"/>
    </row>
    <row r="112" spans="2:53">
      <c r="B112" s="635"/>
      <c r="C112" s="312">
        <v>6</v>
      </c>
      <c r="D112" s="225"/>
      <c r="E112" s="181"/>
      <c r="F112" s="374"/>
      <c r="G112" s="375"/>
      <c r="H112" s="678"/>
      <c r="I112" s="395" t="str">
        <f t="shared" si="62"/>
        <v>-</v>
      </c>
      <c r="J112" s="395" t="str">
        <f t="shared" si="63"/>
        <v>-</v>
      </c>
      <c r="K112" s="199" t="str">
        <f t="shared" si="64"/>
        <v>-</v>
      </c>
      <c r="L112" s="609"/>
      <c r="M112" s="324" t="e">
        <f>RANK(K112, K$107:$K$121)</f>
        <v>#VALUE!</v>
      </c>
      <c r="N112" s="627"/>
      <c r="O112" s="627"/>
      <c r="P112" s="312"/>
      <c r="Q112" s="315"/>
      <c r="R112" s="315"/>
      <c r="S112" s="322" t="e">
        <f t="shared" si="65"/>
        <v>#N/A</v>
      </c>
      <c r="T112" s="678"/>
      <c r="U112" s="374"/>
      <c r="V112" s="375"/>
      <c r="W112" s="375"/>
      <c r="X112" s="312" t="e">
        <f t="shared" si="66"/>
        <v>#N/A</v>
      </c>
      <c r="Y112" s="678"/>
      <c r="Z112" s="374"/>
      <c r="AA112" s="375"/>
      <c r="AB112" s="375"/>
      <c r="AC112" s="312" t="e">
        <f t="shared" si="67"/>
        <v>#N/A</v>
      </c>
      <c r="AD112" s="678"/>
      <c r="AE112" s="374"/>
      <c r="AF112" s="375"/>
      <c r="AG112" s="375"/>
      <c r="AH112" s="312" t="e">
        <f t="shared" si="68"/>
        <v>#N/A</v>
      </c>
      <c r="AI112" s="678"/>
      <c r="AJ112" s="374"/>
      <c r="AK112" s="375"/>
      <c r="AL112" s="375"/>
      <c r="AM112" s="312" t="e">
        <f t="shared" si="69"/>
        <v>#N/A</v>
      </c>
      <c r="AN112" s="678"/>
      <c r="AO112" s="374"/>
      <c r="AP112" s="375"/>
      <c r="AQ112" s="375"/>
      <c r="AR112" s="312" t="e">
        <f t="shared" si="70"/>
        <v>#N/A</v>
      </c>
      <c r="AS112" s="678"/>
      <c r="AT112" s="374"/>
      <c r="AU112" s="375"/>
      <c r="AV112" s="375"/>
      <c r="AW112" s="312" t="e">
        <f t="shared" si="71"/>
        <v>#N/A</v>
      </c>
      <c r="AX112" s="649"/>
      <c r="AZ112" s="402" t="e">
        <f t="shared" si="72"/>
        <v>#N/A</v>
      </c>
      <c r="BA112" s="649"/>
    </row>
    <row r="113" spans="2:53">
      <c r="B113" s="635"/>
      <c r="C113" s="312">
        <v>7</v>
      </c>
      <c r="D113" s="225"/>
      <c r="E113" s="181"/>
      <c r="F113" s="374"/>
      <c r="G113" s="375"/>
      <c r="H113" s="678"/>
      <c r="I113" s="395" t="str">
        <f t="shared" si="62"/>
        <v>-</v>
      </c>
      <c r="J113" s="395" t="str">
        <f t="shared" si="63"/>
        <v>-</v>
      </c>
      <c r="K113" s="199" t="str">
        <f t="shared" si="64"/>
        <v>-</v>
      </c>
      <c r="L113" s="609"/>
      <c r="M113" s="324" t="e">
        <f>RANK(K113, K$107:$K$121)</f>
        <v>#VALUE!</v>
      </c>
      <c r="N113" s="627"/>
      <c r="O113" s="627"/>
      <c r="P113" s="312"/>
      <c r="Q113" s="315"/>
      <c r="R113" s="315"/>
      <c r="S113" s="322" t="e">
        <f t="shared" si="65"/>
        <v>#N/A</v>
      </c>
      <c r="T113" s="678"/>
      <c r="U113" s="374"/>
      <c r="V113" s="375"/>
      <c r="W113" s="375"/>
      <c r="X113" s="312" t="e">
        <f t="shared" si="66"/>
        <v>#N/A</v>
      </c>
      <c r="Y113" s="678"/>
      <c r="Z113" s="374"/>
      <c r="AA113" s="375"/>
      <c r="AB113" s="375"/>
      <c r="AC113" s="312" t="e">
        <f t="shared" si="67"/>
        <v>#N/A</v>
      </c>
      <c r="AD113" s="678"/>
      <c r="AE113" s="374"/>
      <c r="AF113" s="375"/>
      <c r="AG113" s="375"/>
      <c r="AH113" s="312" t="e">
        <f t="shared" si="68"/>
        <v>#N/A</v>
      </c>
      <c r="AI113" s="678"/>
      <c r="AJ113" s="374"/>
      <c r="AK113" s="375"/>
      <c r="AL113" s="375"/>
      <c r="AM113" s="312" t="e">
        <f t="shared" si="69"/>
        <v>#N/A</v>
      </c>
      <c r="AN113" s="678"/>
      <c r="AO113" s="374"/>
      <c r="AP113" s="375"/>
      <c r="AQ113" s="375"/>
      <c r="AR113" s="312" t="e">
        <f t="shared" si="70"/>
        <v>#N/A</v>
      </c>
      <c r="AS113" s="678"/>
      <c r="AT113" s="374"/>
      <c r="AU113" s="375"/>
      <c r="AV113" s="375"/>
      <c r="AW113" s="312" t="e">
        <f t="shared" si="71"/>
        <v>#N/A</v>
      </c>
      <c r="AX113" s="649"/>
      <c r="AZ113" s="402" t="e">
        <f t="shared" si="72"/>
        <v>#N/A</v>
      </c>
      <c r="BA113" s="649"/>
    </row>
    <row r="114" spans="2:53">
      <c r="B114" s="635"/>
      <c r="C114" s="312">
        <v>8</v>
      </c>
      <c r="D114" s="225"/>
      <c r="E114" s="181"/>
      <c r="F114" s="374"/>
      <c r="G114" s="375"/>
      <c r="H114" s="678"/>
      <c r="I114" s="395" t="str">
        <f t="shared" si="62"/>
        <v>-</v>
      </c>
      <c r="J114" s="395" t="str">
        <f t="shared" si="63"/>
        <v>-</v>
      </c>
      <c r="K114" s="199" t="str">
        <f t="shared" si="64"/>
        <v>-</v>
      </c>
      <c r="L114" s="609"/>
      <c r="M114" s="324" t="e">
        <f>RANK(K114, K$107:$K$121)</f>
        <v>#VALUE!</v>
      </c>
      <c r="N114" s="627"/>
      <c r="O114" s="627"/>
      <c r="P114" s="312"/>
      <c r="Q114" s="315"/>
      <c r="R114" s="315"/>
      <c r="S114" s="322" t="e">
        <f t="shared" si="65"/>
        <v>#N/A</v>
      </c>
      <c r="T114" s="678"/>
      <c r="U114" s="374"/>
      <c r="V114" s="375"/>
      <c r="W114" s="375"/>
      <c r="X114" s="312" t="e">
        <f t="shared" si="66"/>
        <v>#N/A</v>
      </c>
      <c r="Y114" s="678"/>
      <c r="Z114" s="374"/>
      <c r="AA114" s="375"/>
      <c r="AB114" s="375"/>
      <c r="AC114" s="312" t="e">
        <f t="shared" si="67"/>
        <v>#N/A</v>
      </c>
      <c r="AD114" s="678"/>
      <c r="AE114" s="374"/>
      <c r="AF114" s="375"/>
      <c r="AG114" s="375"/>
      <c r="AH114" s="312" t="e">
        <f t="shared" si="68"/>
        <v>#N/A</v>
      </c>
      <c r="AI114" s="678"/>
      <c r="AJ114" s="374"/>
      <c r="AK114" s="375"/>
      <c r="AL114" s="375"/>
      <c r="AM114" s="312" t="e">
        <f t="shared" si="69"/>
        <v>#N/A</v>
      </c>
      <c r="AN114" s="678"/>
      <c r="AO114" s="374"/>
      <c r="AP114" s="375"/>
      <c r="AQ114" s="375"/>
      <c r="AR114" s="312" t="e">
        <f t="shared" si="70"/>
        <v>#N/A</v>
      </c>
      <c r="AS114" s="678"/>
      <c r="AT114" s="374"/>
      <c r="AU114" s="375"/>
      <c r="AV114" s="375"/>
      <c r="AW114" s="312" t="e">
        <f t="shared" si="71"/>
        <v>#N/A</v>
      </c>
      <c r="AX114" s="649"/>
      <c r="AZ114" s="402" t="e">
        <f t="shared" si="72"/>
        <v>#N/A</v>
      </c>
      <c r="BA114" s="649"/>
    </row>
    <row r="115" spans="2:53">
      <c r="B115" s="635"/>
      <c r="C115" s="312">
        <v>9</v>
      </c>
      <c r="D115" s="225"/>
      <c r="E115" s="181"/>
      <c r="F115" s="374"/>
      <c r="G115" s="375"/>
      <c r="H115" s="678"/>
      <c r="I115" s="395" t="str">
        <f t="shared" si="62"/>
        <v>-</v>
      </c>
      <c r="J115" s="395" t="str">
        <f t="shared" si="63"/>
        <v>-</v>
      </c>
      <c r="K115" s="199" t="str">
        <f t="shared" si="64"/>
        <v>-</v>
      </c>
      <c r="L115" s="609"/>
      <c r="M115" s="324" t="e">
        <f>RANK(K115, K$107:$K$121)</f>
        <v>#VALUE!</v>
      </c>
      <c r="N115" s="627"/>
      <c r="O115" s="627"/>
      <c r="P115" s="312"/>
      <c r="Q115" s="315"/>
      <c r="R115" s="315"/>
      <c r="S115" s="322" t="e">
        <f t="shared" si="65"/>
        <v>#N/A</v>
      </c>
      <c r="T115" s="678"/>
      <c r="U115" s="374"/>
      <c r="V115" s="375"/>
      <c r="W115" s="375"/>
      <c r="X115" s="312" t="e">
        <f t="shared" si="66"/>
        <v>#N/A</v>
      </c>
      <c r="Y115" s="678"/>
      <c r="Z115" s="374"/>
      <c r="AA115" s="375"/>
      <c r="AB115" s="375"/>
      <c r="AC115" s="312" t="e">
        <f t="shared" si="67"/>
        <v>#N/A</v>
      </c>
      <c r="AD115" s="678"/>
      <c r="AE115" s="374"/>
      <c r="AF115" s="375"/>
      <c r="AG115" s="375"/>
      <c r="AH115" s="312" t="e">
        <f t="shared" si="68"/>
        <v>#N/A</v>
      </c>
      <c r="AI115" s="678"/>
      <c r="AJ115" s="374"/>
      <c r="AK115" s="375"/>
      <c r="AL115" s="375"/>
      <c r="AM115" s="312" t="e">
        <f t="shared" si="69"/>
        <v>#N/A</v>
      </c>
      <c r="AN115" s="678"/>
      <c r="AO115" s="374"/>
      <c r="AP115" s="375"/>
      <c r="AQ115" s="375"/>
      <c r="AR115" s="312" t="e">
        <f t="shared" si="70"/>
        <v>#N/A</v>
      </c>
      <c r="AS115" s="678"/>
      <c r="AT115" s="374"/>
      <c r="AU115" s="375"/>
      <c r="AV115" s="375"/>
      <c r="AW115" s="312" t="e">
        <f t="shared" si="71"/>
        <v>#N/A</v>
      </c>
      <c r="AX115" s="649"/>
      <c r="AZ115" s="402" t="e">
        <f t="shared" si="72"/>
        <v>#N/A</v>
      </c>
      <c r="BA115" s="649"/>
    </row>
    <row r="116" spans="2:53">
      <c r="B116" s="635"/>
      <c r="C116" s="312">
        <v>10</v>
      </c>
      <c r="D116" s="225"/>
      <c r="E116" s="181"/>
      <c r="F116" s="374"/>
      <c r="G116" s="375"/>
      <c r="H116" s="678"/>
      <c r="I116" s="395" t="str">
        <f t="shared" si="62"/>
        <v>-</v>
      </c>
      <c r="J116" s="395" t="str">
        <f t="shared" si="63"/>
        <v>-</v>
      </c>
      <c r="K116" s="199" t="str">
        <f t="shared" si="64"/>
        <v>-</v>
      </c>
      <c r="L116" s="609"/>
      <c r="M116" s="324" t="e">
        <f>RANK(K116, K$107:$K$121)</f>
        <v>#VALUE!</v>
      </c>
      <c r="N116" s="627"/>
      <c r="O116" s="627"/>
      <c r="P116" s="312"/>
      <c r="Q116" s="315"/>
      <c r="R116" s="315"/>
      <c r="S116" s="322" t="e">
        <f t="shared" si="65"/>
        <v>#N/A</v>
      </c>
      <c r="T116" s="678"/>
      <c r="U116" s="374"/>
      <c r="V116" s="375"/>
      <c r="W116" s="375"/>
      <c r="X116" s="312" t="e">
        <f t="shared" si="66"/>
        <v>#N/A</v>
      </c>
      <c r="Y116" s="678"/>
      <c r="Z116" s="374"/>
      <c r="AA116" s="375"/>
      <c r="AB116" s="375"/>
      <c r="AC116" s="312" t="e">
        <f t="shared" si="67"/>
        <v>#N/A</v>
      </c>
      <c r="AD116" s="678"/>
      <c r="AE116" s="374"/>
      <c r="AF116" s="375"/>
      <c r="AG116" s="375"/>
      <c r="AH116" s="312" t="e">
        <f t="shared" si="68"/>
        <v>#N/A</v>
      </c>
      <c r="AI116" s="678"/>
      <c r="AJ116" s="374"/>
      <c r="AK116" s="375"/>
      <c r="AL116" s="375"/>
      <c r="AM116" s="312" t="e">
        <f t="shared" si="69"/>
        <v>#N/A</v>
      </c>
      <c r="AN116" s="678"/>
      <c r="AO116" s="374"/>
      <c r="AP116" s="375"/>
      <c r="AQ116" s="375"/>
      <c r="AR116" s="312" t="e">
        <f t="shared" si="70"/>
        <v>#N/A</v>
      </c>
      <c r="AS116" s="678"/>
      <c r="AT116" s="374"/>
      <c r="AU116" s="375"/>
      <c r="AV116" s="375"/>
      <c r="AW116" s="312" t="e">
        <f t="shared" si="71"/>
        <v>#N/A</v>
      </c>
      <c r="AX116" s="649"/>
      <c r="AZ116" s="402" t="e">
        <f t="shared" si="72"/>
        <v>#N/A</v>
      </c>
      <c r="BA116" s="649"/>
    </row>
    <row r="117" spans="2:53">
      <c r="B117" s="635"/>
      <c r="C117" s="312">
        <v>11</v>
      </c>
      <c r="D117" s="225"/>
      <c r="E117" s="181"/>
      <c r="F117" s="374"/>
      <c r="G117" s="375"/>
      <c r="H117" s="678"/>
      <c r="I117" s="395" t="str">
        <f t="shared" si="62"/>
        <v>-</v>
      </c>
      <c r="J117" s="395" t="str">
        <f t="shared" si="63"/>
        <v>-</v>
      </c>
      <c r="K117" s="199" t="str">
        <f t="shared" si="64"/>
        <v>-</v>
      </c>
      <c r="L117" s="609"/>
      <c r="M117" s="324" t="e">
        <f>RANK(K117, K$107:$K$121)</f>
        <v>#VALUE!</v>
      </c>
      <c r="N117" s="627"/>
      <c r="O117" s="627"/>
      <c r="P117" s="312"/>
      <c r="Q117" s="315"/>
      <c r="R117" s="315"/>
      <c r="S117" s="322" t="e">
        <f t="shared" si="65"/>
        <v>#N/A</v>
      </c>
      <c r="T117" s="678"/>
      <c r="U117" s="374"/>
      <c r="V117" s="375"/>
      <c r="W117" s="375"/>
      <c r="X117" s="312" t="e">
        <f t="shared" si="66"/>
        <v>#N/A</v>
      </c>
      <c r="Y117" s="678"/>
      <c r="Z117" s="374"/>
      <c r="AA117" s="375"/>
      <c r="AB117" s="375"/>
      <c r="AC117" s="312" t="e">
        <f t="shared" si="67"/>
        <v>#N/A</v>
      </c>
      <c r="AD117" s="678"/>
      <c r="AE117" s="374"/>
      <c r="AF117" s="375"/>
      <c r="AG117" s="375"/>
      <c r="AH117" s="312" t="e">
        <f t="shared" si="68"/>
        <v>#N/A</v>
      </c>
      <c r="AI117" s="678"/>
      <c r="AJ117" s="374"/>
      <c r="AK117" s="375"/>
      <c r="AL117" s="375"/>
      <c r="AM117" s="312" t="e">
        <f t="shared" si="69"/>
        <v>#N/A</v>
      </c>
      <c r="AN117" s="678"/>
      <c r="AO117" s="374"/>
      <c r="AP117" s="375"/>
      <c r="AQ117" s="375"/>
      <c r="AR117" s="312" t="e">
        <f t="shared" si="70"/>
        <v>#N/A</v>
      </c>
      <c r="AS117" s="678"/>
      <c r="AT117" s="374"/>
      <c r="AU117" s="375"/>
      <c r="AV117" s="375"/>
      <c r="AW117" s="312" t="e">
        <f t="shared" si="71"/>
        <v>#N/A</v>
      </c>
      <c r="AX117" s="649"/>
      <c r="AZ117" s="402" t="e">
        <f t="shared" si="72"/>
        <v>#N/A</v>
      </c>
      <c r="BA117" s="649"/>
    </row>
    <row r="118" spans="2:53">
      <c r="B118" s="635"/>
      <c r="C118" s="312">
        <v>12</v>
      </c>
      <c r="D118" s="225"/>
      <c r="E118" s="181"/>
      <c r="F118" s="374"/>
      <c r="G118" s="375"/>
      <c r="H118" s="678"/>
      <c r="I118" s="395" t="str">
        <f t="shared" si="62"/>
        <v>-</v>
      </c>
      <c r="J118" s="395" t="str">
        <f t="shared" si="63"/>
        <v>-</v>
      </c>
      <c r="K118" s="199" t="str">
        <f t="shared" si="64"/>
        <v>-</v>
      </c>
      <c r="L118" s="609"/>
      <c r="M118" s="324" t="e">
        <f>RANK(K118, K$107:$K$121)</f>
        <v>#VALUE!</v>
      </c>
      <c r="N118" s="627"/>
      <c r="O118" s="627"/>
      <c r="P118" s="312"/>
      <c r="Q118" s="315"/>
      <c r="R118" s="315"/>
      <c r="S118" s="322" t="e">
        <f t="shared" si="65"/>
        <v>#N/A</v>
      </c>
      <c r="T118" s="678"/>
      <c r="U118" s="374"/>
      <c r="V118" s="375"/>
      <c r="W118" s="375"/>
      <c r="X118" s="312" t="e">
        <f t="shared" si="66"/>
        <v>#N/A</v>
      </c>
      <c r="Y118" s="678"/>
      <c r="Z118" s="374"/>
      <c r="AA118" s="375"/>
      <c r="AB118" s="375"/>
      <c r="AC118" s="312" t="e">
        <f t="shared" si="67"/>
        <v>#N/A</v>
      </c>
      <c r="AD118" s="678"/>
      <c r="AE118" s="374"/>
      <c r="AF118" s="375"/>
      <c r="AG118" s="375"/>
      <c r="AH118" s="312" t="e">
        <f t="shared" si="68"/>
        <v>#N/A</v>
      </c>
      <c r="AI118" s="678"/>
      <c r="AJ118" s="374"/>
      <c r="AK118" s="375"/>
      <c r="AL118" s="375"/>
      <c r="AM118" s="312" t="e">
        <f t="shared" si="69"/>
        <v>#N/A</v>
      </c>
      <c r="AN118" s="678"/>
      <c r="AO118" s="374"/>
      <c r="AP118" s="375"/>
      <c r="AQ118" s="375"/>
      <c r="AR118" s="312" t="e">
        <f t="shared" si="70"/>
        <v>#N/A</v>
      </c>
      <c r="AS118" s="678"/>
      <c r="AT118" s="374"/>
      <c r="AU118" s="375"/>
      <c r="AV118" s="375"/>
      <c r="AW118" s="312" t="e">
        <f t="shared" si="71"/>
        <v>#N/A</v>
      </c>
      <c r="AX118" s="649"/>
      <c r="AZ118" s="402" t="e">
        <f t="shared" si="72"/>
        <v>#N/A</v>
      </c>
      <c r="BA118" s="649"/>
    </row>
    <row r="119" spans="2:53">
      <c r="B119" s="635"/>
      <c r="C119" s="312">
        <v>13</v>
      </c>
      <c r="D119" s="225"/>
      <c r="E119" s="181"/>
      <c r="F119" s="374"/>
      <c r="G119" s="375"/>
      <c r="H119" s="678"/>
      <c r="I119" s="395" t="str">
        <f t="shared" si="62"/>
        <v>-</v>
      </c>
      <c r="J119" s="395" t="str">
        <f t="shared" si="63"/>
        <v>-</v>
      </c>
      <c r="K119" s="199" t="str">
        <f t="shared" si="64"/>
        <v>-</v>
      </c>
      <c r="L119" s="609"/>
      <c r="M119" s="324" t="e">
        <f>RANK(K119, K$107:$K$121)</f>
        <v>#VALUE!</v>
      </c>
      <c r="N119" s="627"/>
      <c r="O119" s="627"/>
      <c r="P119" s="312"/>
      <c r="Q119" s="315"/>
      <c r="R119" s="315"/>
      <c r="S119" s="322" t="e">
        <f t="shared" si="65"/>
        <v>#N/A</v>
      </c>
      <c r="T119" s="678"/>
      <c r="U119" s="374"/>
      <c r="V119" s="375"/>
      <c r="W119" s="375"/>
      <c r="X119" s="312" t="e">
        <f t="shared" si="66"/>
        <v>#N/A</v>
      </c>
      <c r="Y119" s="678"/>
      <c r="Z119" s="374"/>
      <c r="AA119" s="375"/>
      <c r="AB119" s="375"/>
      <c r="AC119" s="312" t="e">
        <f t="shared" si="67"/>
        <v>#N/A</v>
      </c>
      <c r="AD119" s="678"/>
      <c r="AE119" s="374"/>
      <c r="AF119" s="375"/>
      <c r="AG119" s="375"/>
      <c r="AH119" s="312" t="e">
        <f t="shared" si="68"/>
        <v>#N/A</v>
      </c>
      <c r="AI119" s="678"/>
      <c r="AJ119" s="374"/>
      <c r="AK119" s="375"/>
      <c r="AL119" s="375"/>
      <c r="AM119" s="312" t="e">
        <f t="shared" si="69"/>
        <v>#N/A</v>
      </c>
      <c r="AN119" s="678"/>
      <c r="AO119" s="374"/>
      <c r="AP119" s="375"/>
      <c r="AQ119" s="375"/>
      <c r="AR119" s="312" t="e">
        <f t="shared" si="70"/>
        <v>#N/A</v>
      </c>
      <c r="AS119" s="678"/>
      <c r="AT119" s="374"/>
      <c r="AU119" s="375"/>
      <c r="AV119" s="375"/>
      <c r="AW119" s="312" t="e">
        <f t="shared" si="71"/>
        <v>#N/A</v>
      </c>
      <c r="AX119" s="649"/>
      <c r="AZ119" s="402" t="e">
        <f t="shared" si="72"/>
        <v>#N/A</v>
      </c>
      <c r="BA119" s="649"/>
    </row>
    <row r="120" spans="2:53">
      <c r="B120" s="635"/>
      <c r="C120" s="312">
        <v>14</v>
      </c>
      <c r="D120" s="225"/>
      <c r="E120" s="181"/>
      <c r="F120" s="374"/>
      <c r="G120" s="375"/>
      <c r="H120" s="678"/>
      <c r="I120" s="395" t="str">
        <f t="shared" si="62"/>
        <v>-</v>
      </c>
      <c r="J120" s="395" t="str">
        <f t="shared" si="63"/>
        <v>-</v>
      </c>
      <c r="K120" s="199" t="str">
        <f t="shared" si="64"/>
        <v>-</v>
      </c>
      <c r="L120" s="609"/>
      <c r="M120" s="324" t="e">
        <f>RANK(K120, K$107:$K$121)</f>
        <v>#VALUE!</v>
      </c>
      <c r="N120" s="627"/>
      <c r="O120" s="627"/>
      <c r="P120" s="312"/>
      <c r="Q120" s="315"/>
      <c r="R120" s="315"/>
      <c r="S120" s="322" t="e">
        <f t="shared" si="65"/>
        <v>#N/A</v>
      </c>
      <c r="T120" s="678"/>
      <c r="U120" s="374"/>
      <c r="V120" s="375"/>
      <c r="W120" s="375"/>
      <c r="X120" s="312" t="e">
        <f t="shared" si="66"/>
        <v>#N/A</v>
      </c>
      <c r="Y120" s="678"/>
      <c r="Z120" s="374"/>
      <c r="AA120" s="375"/>
      <c r="AB120" s="375"/>
      <c r="AC120" s="312" t="e">
        <f t="shared" si="67"/>
        <v>#N/A</v>
      </c>
      <c r="AD120" s="678"/>
      <c r="AE120" s="374"/>
      <c r="AF120" s="375"/>
      <c r="AG120" s="375"/>
      <c r="AH120" s="312" t="e">
        <f t="shared" si="68"/>
        <v>#N/A</v>
      </c>
      <c r="AI120" s="678"/>
      <c r="AJ120" s="374"/>
      <c r="AK120" s="375"/>
      <c r="AL120" s="375"/>
      <c r="AM120" s="312" t="e">
        <f t="shared" si="69"/>
        <v>#N/A</v>
      </c>
      <c r="AN120" s="678"/>
      <c r="AO120" s="374"/>
      <c r="AP120" s="375"/>
      <c r="AQ120" s="375"/>
      <c r="AR120" s="312" t="e">
        <f t="shared" si="70"/>
        <v>#N/A</v>
      </c>
      <c r="AS120" s="678"/>
      <c r="AT120" s="374"/>
      <c r="AU120" s="375"/>
      <c r="AV120" s="375"/>
      <c r="AW120" s="312" t="e">
        <f t="shared" si="71"/>
        <v>#N/A</v>
      </c>
      <c r="AX120" s="649"/>
      <c r="AZ120" s="402" t="e">
        <f t="shared" si="72"/>
        <v>#N/A</v>
      </c>
      <c r="BA120" s="649"/>
    </row>
    <row r="121" spans="2:53">
      <c r="B121" s="635"/>
      <c r="C121" s="312">
        <v>15</v>
      </c>
      <c r="D121" s="225"/>
      <c r="E121" s="181"/>
      <c r="F121" s="374"/>
      <c r="G121" s="375"/>
      <c r="H121" s="679"/>
      <c r="I121" s="201"/>
      <c r="J121" s="201"/>
      <c r="K121" s="201"/>
      <c r="L121" s="610"/>
      <c r="M121" s="324" t="e">
        <f>RANK(K121, K$107:$K$121)</f>
        <v>#N/A</v>
      </c>
      <c r="N121" s="627"/>
      <c r="O121" s="627"/>
      <c r="P121" s="312"/>
      <c r="Q121" s="315"/>
      <c r="R121" s="315"/>
      <c r="S121" s="322" t="e">
        <f t="shared" si="65"/>
        <v>#N/A</v>
      </c>
      <c r="T121" s="679"/>
      <c r="U121" s="374"/>
      <c r="V121" s="375"/>
      <c r="W121" s="375"/>
      <c r="X121" s="312" t="e">
        <f t="shared" si="66"/>
        <v>#N/A</v>
      </c>
      <c r="Y121" s="679"/>
      <c r="Z121" s="374"/>
      <c r="AA121" s="375"/>
      <c r="AB121" s="375"/>
      <c r="AC121" s="312" t="e">
        <f t="shared" si="67"/>
        <v>#N/A</v>
      </c>
      <c r="AD121" s="679"/>
      <c r="AE121" s="374"/>
      <c r="AF121" s="375"/>
      <c r="AG121" s="375"/>
      <c r="AH121" s="312" t="e">
        <f t="shared" si="68"/>
        <v>#N/A</v>
      </c>
      <c r="AI121" s="679"/>
      <c r="AJ121" s="374"/>
      <c r="AK121" s="375"/>
      <c r="AL121" s="375"/>
      <c r="AM121" s="312" t="e">
        <f t="shared" si="69"/>
        <v>#N/A</v>
      </c>
      <c r="AN121" s="679"/>
      <c r="AO121" s="374"/>
      <c r="AP121" s="375"/>
      <c r="AQ121" s="375"/>
      <c r="AR121" s="312" t="e">
        <f t="shared" si="70"/>
        <v>#N/A</v>
      </c>
      <c r="AS121" s="679"/>
      <c r="AT121" s="374"/>
      <c r="AU121" s="375"/>
      <c r="AV121" s="375"/>
      <c r="AW121" s="312" t="e">
        <f t="shared" si="71"/>
        <v>#N/A</v>
      </c>
      <c r="AX121" s="649"/>
      <c r="AZ121" s="402" t="e">
        <f t="shared" si="72"/>
        <v>#N/A</v>
      </c>
      <c r="BA121" s="649"/>
    </row>
    <row r="123" spans="2:53" ht="15.75">
      <c r="B123" s="666" t="s">
        <v>484</v>
      </c>
      <c r="C123" s="667"/>
      <c r="D123" s="667"/>
      <c r="E123" s="667"/>
      <c r="F123" s="667"/>
      <c r="G123" s="667"/>
      <c r="H123" s="668"/>
      <c r="I123" s="316"/>
      <c r="J123" s="316"/>
      <c r="K123" s="316"/>
      <c r="L123" s="316"/>
      <c r="M123" s="317"/>
    </row>
    <row r="124" spans="2:53" ht="15.75">
      <c r="B124" s="669"/>
      <c r="C124" s="669"/>
      <c r="D124" s="669"/>
      <c r="E124" s="669"/>
      <c r="F124" s="669"/>
      <c r="G124" s="669"/>
      <c r="H124" s="669"/>
      <c r="I124" s="318"/>
      <c r="J124" s="318"/>
      <c r="K124" s="318"/>
      <c r="L124" s="318"/>
      <c r="M124" s="319"/>
    </row>
    <row r="125" spans="2:53">
      <c r="B125" s="627" t="s">
        <v>485</v>
      </c>
      <c r="C125" s="627" t="s">
        <v>486</v>
      </c>
      <c r="D125" s="627"/>
      <c r="E125" s="627" t="s">
        <v>487</v>
      </c>
      <c r="F125" s="627"/>
      <c r="G125" s="627"/>
      <c r="H125" s="643" t="s">
        <v>488</v>
      </c>
      <c r="I125" s="670" t="s">
        <v>489</v>
      </c>
      <c r="J125" s="670"/>
      <c r="K125" s="670"/>
      <c r="L125" s="683" t="s">
        <v>488</v>
      </c>
      <c r="M125" s="686" t="s">
        <v>490</v>
      </c>
    </row>
    <row r="126" spans="2:53">
      <c r="B126" s="627"/>
      <c r="C126" s="627"/>
      <c r="D126" s="627"/>
      <c r="E126" s="627" t="s">
        <v>491</v>
      </c>
      <c r="F126" s="627"/>
      <c r="G126" s="627"/>
      <c r="H126" s="644"/>
      <c r="I126" s="670" t="s">
        <v>491</v>
      </c>
      <c r="J126" s="670"/>
      <c r="K126" s="670"/>
      <c r="L126" s="684"/>
      <c r="M126" s="687"/>
    </row>
    <row r="127" spans="2:53">
      <c r="B127" s="627"/>
      <c r="C127" s="627"/>
      <c r="D127" s="627"/>
      <c r="E127" s="313" t="s">
        <v>492</v>
      </c>
      <c r="F127" s="313" t="s">
        <v>493</v>
      </c>
      <c r="G127" s="313" t="s">
        <v>494</v>
      </c>
      <c r="H127" s="645"/>
      <c r="I127" s="320" t="s">
        <v>492</v>
      </c>
      <c r="J127" s="320" t="s">
        <v>493</v>
      </c>
      <c r="K127" s="320" t="s">
        <v>494</v>
      </c>
      <c r="L127" s="685"/>
      <c r="M127" s="688"/>
    </row>
    <row r="128" spans="2:53">
      <c r="B128" s="627" t="s">
        <v>500</v>
      </c>
      <c r="C128" s="312">
        <v>1</v>
      </c>
      <c r="D128" s="225"/>
      <c r="E128" s="181"/>
      <c r="F128" s="312"/>
      <c r="G128" s="315"/>
      <c r="H128" s="677" t="e">
        <f>AVERAGE(G128:G142)</f>
        <v>#DIV/0!</v>
      </c>
      <c r="I128" s="198" t="e">
        <f t="shared" ref="I128:J135" si="73">AVERAGEIF($D$7:$D$121,$D128,I$7:I$121)</f>
        <v>#DIV/0!</v>
      </c>
      <c r="J128" s="198" t="e">
        <f t="shared" si="73"/>
        <v>#DIV/0!</v>
      </c>
      <c r="K128" s="198" t="e">
        <f t="shared" ref="K128:K135" si="74">AVERAGEIF($D$7:$D$121,$D128,K$7:K$121)</f>
        <v>#DIV/0!</v>
      </c>
      <c r="L128" s="680" t="e">
        <f>AVERAGE(K128:K142)</f>
        <v>#DIV/0!</v>
      </c>
      <c r="M128" s="198" t="e">
        <f>RANK(K128, K$128:$K$142)</f>
        <v>#DIV/0!</v>
      </c>
    </row>
    <row r="129" spans="2:39">
      <c r="B129" s="635"/>
      <c r="C129" s="312">
        <v>2</v>
      </c>
      <c r="D129" s="225"/>
      <c r="E129" s="181"/>
      <c r="F129" s="312"/>
      <c r="G129" s="315"/>
      <c r="H129" s="678"/>
      <c r="I129" s="198" t="e">
        <f t="shared" si="73"/>
        <v>#DIV/0!</v>
      </c>
      <c r="J129" s="198" t="e">
        <f t="shared" si="73"/>
        <v>#DIV/0!</v>
      </c>
      <c r="K129" s="198" t="e">
        <f t="shared" si="74"/>
        <v>#DIV/0!</v>
      </c>
      <c r="L129" s="681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35"/>
      <c r="C130" s="312">
        <v>3</v>
      </c>
      <c r="D130" s="225"/>
      <c r="E130" s="181"/>
      <c r="F130" s="312"/>
      <c r="G130" s="315"/>
      <c r="H130" s="678"/>
      <c r="I130" s="198" t="e">
        <f t="shared" si="73"/>
        <v>#DIV/0!</v>
      </c>
      <c r="J130" s="198" t="e">
        <f t="shared" si="73"/>
        <v>#DIV/0!</v>
      </c>
      <c r="K130" s="198" t="e">
        <f t="shared" si="74"/>
        <v>#DIV/0!</v>
      </c>
      <c r="L130" s="681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35"/>
      <c r="C131" s="312">
        <v>4</v>
      </c>
      <c r="D131" s="225"/>
      <c r="E131" s="181"/>
      <c r="F131" s="312"/>
      <c r="G131" s="315"/>
      <c r="H131" s="678"/>
      <c r="I131" s="198" t="e">
        <f t="shared" si="73"/>
        <v>#DIV/0!</v>
      </c>
      <c r="J131" s="198" t="e">
        <f t="shared" si="73"/>
        <v>#DIV/0!</v>
      </c>
      <c r="K131" s="198" t="e">
        <f t="shared" si="74"/>
        <v>#DIV/0!</v>
      </c>
      <c r="L131" s="681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35"/>
      <c r="C132" s="312">
        <v>5</v>
      </c>
      <c r="D132" s="225"/>
      <c r="E132" s="181"/>
      <c r="F132" s="312"/>
      <c r="G132" s="315"/>
      <c r="H132" s="678"/>
      <c r="I132" s="198" t="e">
        <f t="shared" si="73"/>
        <v>#DIV/0!</v>
      </c>
      <c r="J132" s="198" t="e">
        <f t="shared" si="73"/>
        <v>#DIV/0!</v>
      </c>
      <c r="K132" s="198" t="e">
        <f t="shared" si="74"/>
        <v>#DIV/0!</v>
      </c>
      <c r="L132" s="681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35"/>
      <c r="C133" s="312">
        <v>6</v>
      </c>
      <c r="D133" s="321"/>
      <c r="E133" s="181"/>
      <c r="F133" s="312"/>
      <c r="G133" s="315"/>
      <c r="H133" s="678"/>
      <c r="I133" s="198" t="e">
        <f t="shared" si="73"/>
        <v>#DIV/0!</v>
      </c>
      <c r="J133" s="198" t="e">
        <f t="shared" si="73"/>
        <v>#DIV/0!</v>
      </c>
      <c r="K133" s="198" t="e">
        <f t="shared" si="74"/>
        <v>#DIV/0!</v>
      </c>
      <c r="L133" s="681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35"/>
      <c r="C134" s="312">
        <v>7</v>
      </c>
      <c r="D134" s="225"/>
      <c r="E134" s="181"/>
      <c r="F134" s="312"/>
      <c r="G134" s="315"/>
      <c r="H134" s="678"/>
      <c r="I134" s="198" t="e">
        <f t="shared" si="73"/>
        <v>#DIV/0!</v>
      </c>
      <c r="J134" s="198" t="e">
        <f t="shared" si="73"/>
        <v>#DIV/0!</v>
      </c>
      <c r="K134" s="198" t="e">
        <f t="shared" si="74"/>
        <v>#DIV/0!</v>
      </c>
      <c r="L134" s="681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35"/>
      <c r="C135" s="312">
        <v>8</v>
      </c>
      <c r="D135" s="225"/>
      <c r="E135" s="181"/>
      <c r="F135" s="312"/>
      <c r="G135" s="315"/>
      <c r="H135" s="678"/>
      <c r="I135" s="198" t="e">
        <f t="shared" si="73"/>
        <v>#DIV/0!</v>
      </c>
      <c r="J135" s="198" t="e">
        <f t="shared" si="73"/>
        <v>#DIV/0!</v>
      </c>
      <c r="K135" s="198" t="e">
        <f t="shared" si="74"/>
        <v>#DIV/0!</v>
      </c>
      <c r="L135" s="681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35"/>
      <c r="C136" s="312">
        <v>9</v>
      </c>
      <c r="D136" s="225"/>
      <c r="E136" s="312"/>
      <c r="F136" s="312"/>
      <c r="G136" s="312"/>
      <c r="H136" s="678"/>
      <c r="I136" s="198"/>
      <c r="J136" s="198"/>
      <c r="K136" s="198"/>
      <c r="L136" s="681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35"/>
      <c r="C137" s="312">
        <v>10</v>
      </c>
      <c r="D137" s="225"/>
      <c r="E137" s="312"/>
      <c r="F137" s="312"/>
      <c r="G137" s="312"/>
      <c r="H137" s="678"/>
      <c r="I137" s="198"/>
      <c r="J137" s="198"/>
      <c r="K137" s="198"/>
      <c r="L137" s="681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35"/>
      <c r="C138" s="312">
        <v>11</v>
      </c>
      <c r="D138" s="225"/>
      <c r="E138" s="312"/>
      <c r="F138" s="312"/>
      <c r="G138" s="312"/>
      <c r="H138" s="678"/>
      <c r="I138" s="198"/>
      <c r="J138" s="198"/>
      <c r="K138" s="198"/>
      <c r="L138" s="681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35"/>
      <c r="C139" s="312">
        <v>12</v>
      </c>
      <c r="D139" s="225"/>
      <c r="E139" s="312"/>
      <c r="F139" s="312"/>
      <c r="G139" s="312"/>
      <c r="H139" s="678"/>
      <c r="I139" s="198"/>
      <c r="J139" s="198"/>
      <c r="K139" s="198"/>
      <c r="L139" s="681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35"/>
      <c r="C140" s="312">
        <v>13</v>
      </c>
      <c r="D140" s="225"/>
      <c r="E140" s="312"/>
      <c r="F140" s="312"/>
      <c r="G140" s="312"/>
      <c r="H140" s="678"/>
      <c r="I140" s="198"/>
      <c r="J140" s="198"/>
      <c r="K140" s="198"/>
      <c r="L140" s="681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35"/>
      <c r="C141" s="312">
        <v>14</v>
      </c>
      <c r="D141" s="225"/>
      <c r="E141" s="312"/>
      <c r="F141" s="312"/>
      <c r="G141" s="312"/>
      <c r="H141" s="678"/>
      <c r="I141" s="198"/>
      <c r="J141" s="198"/>
      <c r="K141" s="198"/>
      <c r="L141" s="681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35"/>
      <c r="C142" s="312">
        <v>15</v>
      </c>
      <c r="D142" s="225"/>
      <c r="E142" s="312"/>
      <c r="F142" s="312"/>
      <c r="G142" s="312"/>
      <c r="H142" s="679"/>
      <c r="I142" s="198"/>
      <c r="J142" s="198"/>
      <c r="K142" s="198"/>
      <c r="L142" s="682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85" zoomScaleNormal="85" workbookViewId="0">
      <pane xSplit="15" topLeftCell="P1" activePane="topRight" state="frozen"/>
      <selection activeCell="T27" sqref="S27:T41"/>
      <selection pane="topRight" activeCell="A33" sqref="A33:XFD33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314</v>
      </c>
      <c r="C1" s="219">
        <f>AVERAGE(L7,L27,L47,L67,L87,L107)</f>
        <v>84.899067069228892</v>
      </c>
    </row>
    <row r="2" spans="1:53" ht="15.75">
      <c r="A2" s="81"/>
      <c r="B2" s="639" t="s">
        <v>163</v>
      </c>
      <c r="C2" s="639"/>
      <c r="D2" s="639"/>
      <c r="E2" s="639"/>
      <c r="F2" s="639"/>
      <c r="G2" s="639"/>
      <c r="H2" s="639"/>
      <c r="I2" s="293"/>
      <c r="J2" s="293"/>
      <c r="K2" s="293"/>
      <c r="L2" s="293"/>
      <c r="M2" s="196"/>
      <c r="N2" s="628" t="s">
        <v>156</v>
      </c>
      <c r="O2" s="628" t="s">
        <v>155</v>
      </c>
      <c r="P2" s="655">
        <v>46140</v>
      </c>
      <c r="Q2" s="656"/>
      <c r="R2" s="656"/>
      <c r="S2" s="656"/>
      <c r="T2" s="657"/>
      <c r="U2" s="634">
        <f>P2+1</f>
        <v>46141</v>
      </c>
      <c r="V2" s="635"/>
      <c r="W2" s="635"/>
      <c r="X2" s="635"/>
      <c r="Y2" s="635"/>
      <c r="Z2" s="634">
        <f>U2+1</f>
        <v>46142</v>
      </c>
      <c r="AA2" s="635"/>
      <c r="AB2" s="635"/>
      <c r="AC2" s="635"/>
      <c r="AD2" s="635"/>
      <c r="AE2" s="634">
        <f>Z2+1</f>
        <v>46143</v>
      </c>
      <c r="AF2" s="635"/>
      <c r="AG2" s="635"/>
      <c r="AH2" s="635"/>
      <c r="AI2" s="635"/>
      <c r="AJ2" s="634">
        <f>AE2+1</f>
        <v>46144</v>
      </c>
      <c r="AK2" s="635"/>
      <c r="AL2" s="635"/>
      <c r="AM2" s="635"/>
      <c r="AN2" s="635"/>
      <c r="AO2" s="634">
        <f>AJ2+1</f>
        <v>46145</v>
      </c>
      <c r="AP2" s="635"/>
      <c r="AQ2" s="635"/>
      <c r="AR2" s="635"/>
      <c r="AS2" s="635"/>
      <c r="AT2" s="631">
        <f>AO2+1</f>
        <v>46146</v>
      </c>
      <c r="AU2" s="632"/>
      <c r="AV2" s="632"/>
      <c r="AW2" s="632"/>
      <c r="AX2" s="633"/>
    </row>
    <row r="3" spans="1:53" ht="15.75">
      <c r="A3" s="81"/>
      <c r="B3" s="658"/>
      <c r="C3" s="658"/>
      <c r="D3" s="658"/>
      <c r="E3" s="658"/>
      <c r="F3" s="658"/>
      <c r="G3" s="658"/>
      <c r="H3" s="658"/>
      <c r="I3" s="294"/>
      <c r="J3" s="294"/>
      <c r="K3" s="294"/>
      <c r="L3" s="294"/>
      <c r="M3" s="197"/>
      <c r="N3" s="630"/>
      <c r="O3" s="630"/>
      <c r="P3" s="631" t="s">
        <v>158</v>
      </c>
      <c r="Q3" s="632"/>
      <c r="R3" s="632"/>
      <c r="S3" s="632"/>
      <c r="T3" s="633"/>
      <c r="U3" s="631" t="s">
        <v>114</v>
      </c>
      <c r="V3" s="632"/>
      <c r="W3" s="632"/>
      <c r="X3" s="632"/>
      <c r="Y3" s="633"/>
      <c r="Z3" s="631" t="s">
        <v>159</v>
      </c>
      <c r="AA3" s="632"/>
      <c r="AB3" s="632"/>
      <c r="AC3" s="632"/>
      <c r="AD3" s="633"/>
      <c r="AE3" s="631" t="s">
        <v>157</v>
      </c>
      <c r="AF3" s="632"/>
      <c r="AG3" s="632"/>
      <c r="AH3" s="632"/>
      <c r="AI3" s="633"/>
      <c r="AJ3" s="631" t="s">
        <v>160</v>
      </c>
      <c r="AK3" s="632"/>
      <c r="AL3" s="632"/>
      <c r="AM3" s="632"/>
      <c r="AN3" s="633"/>
      <c r="AO3" s="631" t="s">
        <v>161</v>
      </c>
      <c r="AP3" s="632"/>
      <c r="AQ3" s="632"/>
      <c r="AR3" s="632"/>
      <c r="AS3" s="633"/>
      <c r="AT3" s="631" t="s">
        <v>162</v>
      </c>
      <c r="AU3" s="632"/>
      <c r="AV3" s="632"/>
      <c r="AW3" s="632"/>
      <c r="AX3" s="633"/>
    </row>
    <row r="4" spans="1:53" ht="14.25">
      <c r="A4" s="81"/>
      <c r="B4" s="627" t="s">
        <v>550</v>
      </c>
      <c r="C4" s="627" t="s">
        <v>384</v>
      </c>
      <c r="D4" s="627"/>
      <c r="E4" s="627" t="s">
        <v>375</v>
      </c>
      <c r="F4" s="627"/>
      <c r="G4" s="627"/>
      <c r="H4" s="643" t="s">
        <v>371</v>
      </c>
      <c r="I4" s="611" t="s">
        <v>376</v>
      </c>
      <c r="J4" s="611"/>
      <c r="K4" s="611"/>
      <c r="L4" s="612" t="s">
        <v>371</v>
      </c>
      <c r="M4" s="618" t="s">
        <v>372</v>
      </c>
      <c r="N4" s="627"/>
      <c r="O4" s="627" t="s">
        <v>377</v>
      </c>
      <c r="P4" s="624" t="s">
        <v>373</v>
      </c>
      <c r="Q4" s="625"/>
      <c r="R4" s="625"/>
      <c r="S4" s="626"/>
      <c r="T4" s="627" t="s">
        <v>371</v>
      </c>
      <c r="U4" s="624" t="s">
        <v>373</v>
      </c>
      <c r="V4" s="625"/>
      <c r="W4" s="625"/>
      <c r="X4" s="626"/>
      <c r="Y4" s="627" t="s">
        <v>371</v>
      </c>
      <c r="Z4" s="624" t="s">
        <v>373</v>
      </c>
      <c r="AA4" s="625"/>
      <c r="AB4" s="625"/>
      <c r="AC4" s="626"/>
      <c r="AD4" s="627" t="s">
        <v>371</v>
      </c>
      <c r="AE4" s="624" t="s">
        <v>373</v>
      </c>
      <c r="AF4" s="625"/>
      <c r="AG4" s="625"/>
      <c r="AH4" s="626"/>
      <c r="AI4" s="627" t="s">
        <v>371</v>
      </c>
      <c r="AJ4" s="624" t="s">
        <v>373</v>
      </c>
      <c r="AK4" s="625"/>
      <c r="AL4" s="625"/>
      <c r="AM4" s="626"/>
      <c r="AN4" s="627" t="s">
        <v>371</v>
      </c>
      <c r="AO4" s="624" t="s">
        <v>373</v>
      </c>
      <c r="AP4" s="625"/>
      <c r="AQ4" s="625"/>
      <c r="AR4" s="626"/>
      <c r="AS4" s="627" t="s">
        <v>371</v>
      </c>
      <c r="AT4" s="624" t="s">
        <v>373</v>
      </c>
      <c r="AU4" s="625"/>
      <c r="AV4" s="625"/>
      <c r="AW4" s="626"/>
      <c r="AX4" s="627" t="s">
        <v>371</v>
      </c>
      <c r="BA4" s="627" t="s">
        <v>371</v>
      </c>
    </row>
    <row r="5" spans="1:53" ht="14.25">
      <c r="A5" s="81"/>
      <c r="B5" s="627"/>
      <c r="C5" s="627"/>
      <c r="D5" s="627"/>
      <c r="E5" s="627" t="s">
        <v>378</v>
      </c>
      <c r="F5" s="627"/>
      <c r="G5" s="627"/>
      <c r="H5" s="644"/>
      <c r="I5" s="611" t="s">
        <v>378</v>
      </c>
      <c r="J5" s="611"/>
      <c r="K5" s="611"/>
      <c r="L5" s="613"/>
      <c r="M5" s="619"/>
      <c r="N5" s="627"/>
      <c r="O5" s="627"/>
      <c r="P5" s="624" t="s">
        <v>379</v>
      </c>
      <c r="Q5" s="625"/>
      <c r="R5" s="625"/>
      <c r="S5" s="626"/>
      <c r="T5" s="627"/>
      <c r="U5" s="624" t="s">
        <v>379</v>
      </c>
      <c r="V5" s="625"/>
      <c r="W5" s="625"/>
      <c r="X5" s="626"/>
      <c r="Y5" s="627"/>
      <c r="Z5" s="624" t="s">
        <v>379</v>
      </c>
      <c r="AA5" s="625"/>
      <c r="AB5" s="625"/>
      <c r="AC5" s="626"/>
      <c r="AD5" s="627"/>
      <c r="AE5" s="624" t="s">
        <v>379</v>
      </c>
      <c r="AF5" s="625"/>
      <c r="AG5" s="625"/>
      <c r="AH5" s="626"/>
      <c r="AI5" s="627"/>
      <c r="AJ5" s="624" t="s">
        <v>379</v>
      </c>
      <c r="AK5" s="625"/>
      <c r="AL5" s="625"/>
      <c r="AM5" s="626"/>
      <c r="AN5" s="627"/>
      <c r="AO5" s="624" t="s">
        <v>379</v>
      </c>
      <c r="AP5" s="625"/>
      <c r="AQ5" s="625"/>
      <c r="AR5" s="626"/>
      <c r="AS5" s="627"/>
      <c r="AT5" s="624" t="s">
        <v>379</v>
      </c>
      <c r="AU5" s="625"/>
      <c r="AV5" s="625"/>
      <c r="AW5" s="626"/>
      <c r="AX5" s="627"/>
      <c r="BA5" s="627"/>
    </row>
    <row r="6" spans="1:53" ht="14.25">
      <c r="A6" s="79"/>
      <c r="B6" s="627"/>
      <c r="C6" s="627"/>
      <c r="D6" s="627"/>
      <c r="E6" s="412" t="s">
        <v>380</v>
      </c>
      <c r="F6" s="412" t="s">
        <v>381</v>
      </c>
      <c r="G6" s="412" t="s">
        <v>382</v>
      </c>
      <c r="H6" s="645"/>
      <c r="I6" s="411" t="s">
        <v>380</v>
      </c>
      <c r="J6" s="411" t="s">
        <v>381</v>
      </c>
      <c r="K6" s="411" t="s">
        <v>382</v>
      </c>
      <c r="L6" s="614"/>
      <c r="M6" s="620"/>
      <c r="N6" s="627"/>
      <c r="O6" s="627"/>
      <c r="P6" s="412" t="s">
        <v>380</v>
      </c>
      <c r="Q6" s="412" t="s">
        <v>381</v>
      </c>
      <c r="R6" s="412" t="s">
        <v>382</v>
      </c>
      <c r="S6" s="412" t="s">
        <v>372</v>
      </c>
      <c r="T6" s="627"/>
      <c r="U6" s="412" t="s">
        <v>380</v>
      </c>
      <c r="V6" s="412" t="s">
        <v>381</v>
      </c>
      <c r="W6" s="412" t="s">
        <v>382</v>
      </c>
      <c r="X6" s="412" t="s">
        <v>372</v>
      </c>
      <c r="Y6" s="627"/>
      <c r="Z6" s="412" t="s">
        <v>380</v>
      </c>
      <c r="AA6" s="412" t="s">
        <v>381</v>
      </c>
      <c r="AB6" s="412" t="s">
        <v>382</v>
      </c>
      <c r="AC6" s="412" t="s">
        <v>372</v>
      </c>
      <c r="AD6" s="627"/>
      <c r="AE6" s="412" t="s">
        <v>380</v>
      </c>
      <c r="AF6" s="412" t="s">
        <v>381</v>
      </c>
      <c r="AG6" s="412" t="s">
        <v>382</v>
      </c>
      <c r="AH6" s="412" t="s">
        <v>372</v>
      </c>
      <c r="AI6" s="627"/>
      <c r="AJ6" s="412" t="s">
        <v>380</v>
      </c>
      <c r="AK6" s="412" t="s">
        <v>381</v>
      </c>
      <c r="AL6" s="412" t="s">
        <v>382</v>
      </c>
      <c r="AM6" s="412" t="s">
        <v>372</v>
      </c>
      <c r="AN6" s="627"/>
      <c r="AO6" s="412" t="s">
        <v>380</v>
      </c>
      <c r="AP6" s="412" t="s">
        <v>381</v>
      </c>
      <c r="AQ6" s="412" t="s">
        <v>382</v>
      </c>
      <c r="AR6" s="412" t="s">
        <v>372</v>
      </c>
      <c r="AS6" s="627"/>
      <c r="AT6" s="412" t="s">
        <v>380</v>
      </c>
      <c r="AU6" s="412" t="s">
        <v>381</v>
      </c>
      <c r="AV6" s="412" t="s">
        <v>382</v>
      </c>
      <c r="AW6" s="412" t="s">
        <v>372</v>
      </c>
      <c r="AX6" s="627"/>
      <c r="AZ6" s="401" t="s">
        <v>372</v>
      </c>
      <c r="BA6" s="627"/>
    </row>
    <row r="7" spans="1:53" ht="14.25">
      <c r="A7" s="81"/>
      <c r="B7" s="627" t="s">
        <v>135</v>
      </c>
      <c r="C7" s="413">
        <v>1</v>
      </c>
      <c r="D7" s="225" t="s">
        <v>648</v>
      </c>
      <c r="E7" s="420">
        <v>14</v>
      </c>
      <c r="F7" s="500">
        <v>1500</v>
      </c>
      <c r="G7" s="501">
        <v>107.14285714285714</v>
      </c>
      <c r="H7" s="677">
        <f>AVERAGE(G7:G21)</f>
        <v>96.992396958783516</v>
      </c>
      <c r="I7" s="417">
        <f t="shared" ref="I7:I20" si="0">IFERROR(AVERAGE(P7,U7,Z7,AE7,AJ7,AO7,AT7),"-")</f>
        <v>14</v>
      </c>
      <c r="J7" s="417">
        <f t="shared" ref="J7:J20" si="1">IFERROR(AVERAGE(Q7,V7,AA7,AF7,AK7,AP7,AU7),"-")</f>
        <v>1485.0096676540836</v>
      </c>
      <c r="K7" s="199">
        <f t="shared" ref="K7:K20" si="2">IFERROR(AVERAGE(R7,W7,AB7,AG7,AL7,AQ7,AV7),"-")</f>
        <v>106.07211911814882</v>
      </c>
      <c r="L7" s="608">
        <f>IFERROR(AVERAGE(K7:K21),"-")</f>
        <v>85.520419309778418</v>
      </c>
      <c r="M7" s="419">
        <f>RANK(K7, K$7:$K$21)</f>
        <v>1</v>
      </c>
      <c r="N7" s="627"/>
      <c r="O7" s="627"/>
      <c r="P7" s="500">
        <v>14</v>
      </c>
      <c r="Q7" s="420">
        <v>1471.1111111111104</v>
      </c>
      <c r="R7" s="420">
        <v>105.07936507936503</v>
      </c>
      <c r="S7" s="504">
        <f t="shared" ref="S7:S21" si="3">RANK(R7, R$7:R$21)</f>
        <v>1</v>
      </c>
      <c r="T7" s="693">
        <f t="shared" ref="T7" si="4">AVERAGE(R7:R21)</f>
        <v>85.579309041682578</v>
      </c>
      <c r="U7" s="500">
        <v>14</v>
      </c>
      <c r="V7" s="420">
        <v>1480.2439024390237</v>
      </c>
      <c r="W7" s="420">
        <v>105.73170731707312</v>
      </c>
      <c r="X7" s="504">
        <f t="shared" ref="X7:X21" si="5">RANK(W7, W$7:W$21)</f>
        <v>1</v>
      </c>
      <c r="Y7" s="693">
        <f t="shared" ref="Y7" si="6">AVERAGE(W7:W21)</f>
        <v>85.073356994869343</v>
      </c>
      <c r="Z7" s="500">
        <v>14</v>
      </c>
      <c r="AA7" s="420">
        <v>1490.5263157894742</v>
      </c>
      <c r="AB7" s="420">
        <v>106.46616541353387</v>
      </c>
      <c r="AC7" s="504">
        <f t="shared" ref="AC7:AC21" si="7">RANK(AB7, AB$7:AB$21)</f>
        <v>1</v>
      </c>
      <c r="AD7" s="693">
        <f t="shared" ref="AD7" si="8">AVERAGE(AB7:AB21)</f>
        <v>86.026033750516618</v>
      </c>
      <c r="AE7" s="500">
        <v>14</v>
      </c>
      <c r="AF7" s="420">
        <v>1491.0810810810817</v>
      </c>
      <c r="AG7" s="420">
        <v>106.50579150579155</v>
      </c>
      <c r="AH7" s="504">
        <f t="shared" ref="AH7:AH21" si="9">RANK(AG7, AG$7:AG$21)</f>
        <v>1</v>
      </c>
      <c r="AI7" s="693">
        <f t="shared" ref="AI7" si="10">AVERAGE(AG7:AG21)</f>
        <v>85.306113215706162</v>
      </c>
      <c r="AJ7" s="500">
        <v>14</v>
      </c>
      <c r="AK7" s="420">
        <v>1499.9999999999995</v>
      </c>
      <c r="AL7" s="420">
        <v>107.14285714285711</v>
      </c>
      <c r="AM7" s="504">
        <f t="shared" ref="AM7:AM21" si="11">RANK(AL7, AL$7:AL$21)</f>
        <v>1</v>
      </c>
      <c r="AN7" s="693">
        <f t="shared" ref="AN7" si="12">AVERAGE(AL7:AL21)</f>
        <v>85.823889950584274</v>
      </c>
      <c r="AO7" s="500">
        <v>14</v>
      </c>
      <c r="AP7" s="420">
        <v>1474.1052631578948</v>
      </c>
      <c r="AQ7" s="420">
        <v>105.29323308270678</v>
      </c>
      <c r="AR7" s="504">
        <f t="shared" ref="AR7:AR21" si="13">RANK(AQ7, AQ$7:AQ$21)</f>
        <v>1</v>
      </c>
      <c r="AS7" s="693">
        <f t="shared" ref="AS7" si="14">AVERAGE(AQ7:AQ21)</f>
        <v>85.120148500725008</v>
      </c>
      <c r="AT7" s="500">
        <v>14</v>
      </c>
      <c r="AU7" s="420">
        <v>1487.9999999999995</v>
      </c>
      <c r="AV7" s="420">
        <v>106.28571428571425</v>
      </c>
      <c r="AW7" s="504">
        <f t="shared" ref="AW7:AW21" si="15">RANK(AV7, AV$7:AV$21)</f>
        <v>1</v>
      </c>
      <c r="AX7" s="693">
        <f t="shared" ref="AX7" si="16">AVERAGE(AV7:AV21)</f>
        <v>85.714083714364932</v>
      </c>
      <c r="AZ7" s="404" t="e">
        <f t="shared" ref="AZ7:AZ21" si="17">RANK(AY7, AY$7:AY$21)</f>
        <v>#N/A</v>
      </c>
      <c r="BA7" s="693" t="e">
        <f t="shared" ref="BA7" si="18">AVERAGE(AY7:AY21)</f>
        <v>#DIV/0!</v>
      </c>
    </row>
    <row r="8" spans="1:53" ht="15" customHeight="1">
      <c r="A8" s="81"/>
      <c r="B8" s="660"/>
      <c r="C8" s="413">
        <v>2</v>
      </c>
      <c r="D8" s="225" t="s">
        <v>534</v>
      </c>
      <c r="E8" s="420">
        <v>16</v>
      </c>
      <c r="F8" s="500">
        <v>1636</v>
      </c>
      <c r="G8" s="501">
        <v>102.25</v>
      </c>
      <c r="H8" s="678"/>
      <c r="I8" s="417">
        <f t="shared" si="0"/>
        <v>17</v>
      </c>
      <c r="J8" s="417">
        <f t="shared" si="1"/>
        <v>1433.3147430638655</v>
      </c>
      <c r="K8" s="199">
        <f t="shared" si="2"/>
        <v>84.312631944933273</v>
      </c>
      <c r="L8" s="609"/>
      <c r="M8" s="419">
        <f>RANK(K8, K$7:$K$21)</f>
        <v>3</v>
      </c>
      <c r="N8" s="627"/>
      <c r="O8" s="627"/>
      <c r="P8" s="500">
        <v>17</v>
      </c>
      <c r="Q8" s="420">
        <v>1436.1702127659578</v>
      </c>
      <c r="R8" s="420">
        <v>84.480600750938692</v>
      </c>
      <c r="S8" s="504">
        <f t="shared" si="3"/>
        <v>3</v>
      </c>
      <c r="T8" s="694"/>
      <c r="U8" s="500">
        <v>17</v>
      </c>
      <c r="V8" s="420">
        <v>1430.6133333333335</v>
      </c>
      <c r="W8" s="420">
        <v>84.153725490196081</v>
      </c>
      <c r="X8" s="504">
        <f t="shared" si="5"/>
        <v>3</v>
      </c>
      <c r="Y8" s="694"/>
      <c r="Z8" s="500">
        <v>17</v>
      </c>
      <c r="AA8" s="420">
        <v>1439.3720930232555</v>
      </c>
      <c r="AB8" s="420">
        <v>84.668946648426797</v>
      </c>
      <c r="AC8" s="504">
        <f t="shared" si="7"/>
        <v>3</v>
      </c>
      <c r="AD8" s="694"/>
      <c r="AE8" s="500">
        <v>17</v>
      </c>
      <c r="AF8" s="420">
        <v>1417.4999999999995</v>
      </c>
      <c r="AG8" s="420">
        <v>83.38235294117645</v>
      </c>
      <c r="AH8" s="504">
        <f t="shared" si="9"/>
        <v>3</v>
      </c>
      <c r="AI8" s="694"/>
      <c r="AJ8" s="500">
        <v>17</v>
      </c>
      <c r="AK8" s="420">
        <v>1445.2608695652173</v>
      </c>
      <c r="AL8" s="420">
        <v>85.015345268542191</v>
      </c>
      <c r="AM8" s="504">
        <f t="shared" si="11"/>
        <v>4</v>
      </c>
      <c r="AN8" s="694"/>
      <c r="AO8" s="500">
        <v>17</v>
      </c>
      <c r="AP8" s="420">
        <v>1429.6438356164388</v>
      </c>
      <c r="AQ8" s="420">
        <v>84.096696212731686</v>
      </c>
      <c r="AR8" s="504">
        <f t="shared" si="13"/>
        <v>4</v>
      </c>
      <c r="AS8" s="694"/>
      <c r="AT8" s="500">
        <v>17</v>
      </c>
      <c r="AU8" s="420">
        <v>1434.6428571428576</v>
      </c>
      <c r="AV8" s="420">
        <v>84.390756302521027</v>
      </c>
      <c r="AW8" s="504">
        <f t="shared" si="15"/>
        <v>3</v>
      </c>
      <c r="AX8" s="694"/>
      <c r="AZ8" s="404" t="e">
        <f t="shared" si="17"/>
        <v>#N/A</v>
      </c>
      <c r="BA8" s="694"/>
    </row>
    <row r="9" spans="1:53" ht="14.25">
      <c r="A9" s="81"/>
      <c r="B9" s="660"/>
      <c r="C9" s="413">
        <v>3</v>
      </c>
      <c r="D9" s="225" t="s">
        <v>636</v>
      </c>
      <c r="E9" s="420">
        <v>16</v>
      </c>
      <c r="F9" s="500">
        <v>1500</v>
      </c>
      <c r="G9" s="501">
        <v>93.75</v>
      </c>
      <c r="H9" s="678"/>
      <c r="I9" s="417">
        <f t="shared" si="0"/>
        <v>17</v>
      </c>
      <c r="J9" s="417">
        <f t="shared" si="1"/>
        <v>1392.2802197285712</v>
      </c>
      <c r="K9" s="199">
        <f t="shared" si="2"/>
        <v>81.898836454621829</v>
      </c>
      <c r="L9" s="609"/>
      <c r="M9" s="419">
        <f>RANK(K9, K$7:$K$21)</f>
        <v>5</v>
      </c>
      <c r="N9" s="627"/>
      <c r="O9" s="627"/>
      <c r="P9" s="500">
        <v>17</v>
      </c>
      <c r="Q9" s="420">
        <v>1402.0819672131142</v>
      </c>
      <c r="R9" s="420">
        <v>82.475409836065538</v>
      </c>
      <c r="S9" s="504">
        <f t="shared" si="3"/>
        <v>4</v>
      </c>
      <c r="T9" s="694"/>
      <c r="U9" s="500">
        <v>17</v>
      </c>
      <c r="V9" s="420">
        <v>1400.7499999999993</v>
      </c>
      <c r="W9" s="420">
        <v>82.397058823529377</v>
      </c>
      <c r="X9" s="504">
        <f t="shared" si="5"/>
        <v>4</v>
      </c>
      <c r="Y9" s="694"/>
      <c r="Z9" s="500">
        <v>17</v>
      </c>
      <c r="AA9" s="420">
        <v>1382.7894736842118</v>
      </c>
      <c r="AB9" s="420">
        <v>81.340557275541869</v>
      </c>
      <c r="AC9" s="504">
        <f t="shared" si="7"/>
        <v>6</v>
      </c>
      <c r="AD9" s="694"/>
      <c r="AE9" s="500">
        <v>17</v>
      </c>
      <c r="AF9" s="420">
        <v>1372.1632653061231</v>
      </c>
      <c r="AG9" s="420">
        <v>80.715486194477833</v>
      </c>
      <c r="AH9" s="504">
        <f t="shared" si="9"/>
        <v>5</v>
      </c>
      <c r="AI9" s="694"/>
      <c r="AJ9" s="500">
        <v>17</v>
      </c>
      <c r="AK9" s="420">
        <v>1394.5862068965509</v>
      </c>
      <c r="AL9" s="420">
        <v>82.034482758620641</v>
      </c>
      <c r="AM9" s="504">
        <f t="shared" si="11"/>
        <v>5</v>
      </c>
      <c r="AN9" s="694"/>
      <c r="AO9" s="500">
        <v>17</v>
      </c>
      <c r="AP9" s="420">
        <v>1403.3906249999998</v>
      </c>
      <c r="AQ9" s="420">
        <v>82.552389705882334</v>
      </c>
      <c r="AR9" s="504">
        <f t="shared" si="13"/>
        <v>5</v>
      </c>
      <c r="AS9" s="694"/>
      <c r="AT9" s="500">
        <v>17</v>
      </c>
      <c r="AU9" s="420">
        <v>1390.1999999999996</v>
      </c>
      <c r="AV9" s="420">
        <v>81.77647058823527</v>
      </c>
      <c r="AW9" s="504">
        <f t="shared" si="15"/>
        <v>5</v>
      </c>
      <c r="AX9" s="694"/>
      <c r="AZ9" s="404" t="e">
        <f t="shared" si="17"/>
        <v>#N/A</v>
      </c>
      <c r="BA9" s="694"/>
    </row>
    <row r="10" spans="1:53" ht="14.25">
      <c r="A10" s="81"/>
      <c r="B10" s="660"/>
      <c r="C10" s="413">
        <v>4</v>
      </c>
      <c r="D10" s="225" t="s">
        <v>626</v>
      </c>
      <c r="E10" s="420">
        <v>15</v>
      </c>
      <c r="F10" s="500">
        <v>1500</v>
      </c>
      <c r="G10" s="501">
        <v>100</v>
      </c>
      <c r="H10" s="678"/>
      <c r="I10" s="417">
        <f t="shared" si="0"/>
        <v>15.142857142857142</v>
      </c>
      <c r="J10" s="417">
        <f t="shared" si="1"/>
        <v>1322.5192087332089</v>
      </c>
      <c r="K10" s="199">
        <f t="shared" si="2"/>
        <v>87.387762063695419</v>
      </c>
      <c r="L10" s="609"/>
      <c r="M10" s="419">
        <f>RANK(K10, K$7:$K$21)</f>
        <v>2</v>
      </c>
      <c r="N10" s="627"/>
      <c r="O10" s="627"/>
      <c r="P10" s="500">
        <v>16</v>
      </c>
      <c r="Q10" s="420">
        <v>1310.7111111111101</v>
      </c>
      <c r="R10" s="420">
        <v>81.91944444444438</v>
      </c>
      <c r="S10" s="504">
        <f t="shared" si="3"/>
        <v>6</v>
      </c>
      <c r="T10" s="694"/>
      <c r="U10" s="500">
        <v>15</v>
      </c>
      <c r="V10" s="420">
        <v>1331.1570247933887</v>
      </c>
      <c r="W10" s="420">
        <v>88.743801652892586</v>
      </c>
      <c r="X10" s="504">
        <f t="shared" si="5"/>
        <v>2</v>
      </c>
      <c r="Y10" s="694"/>
      <c r="Z10" s="500">
        <v>15</v>
      </c>
      <c r="AA10" s="420">
        <v>1328.2054054054051</v>
      </c>
      <c r="AB10" s="420">
        <v>88.547027027027013</v>
      </c>
      <c r="AC10" s="504">
        <f t="shared" si="7"/>
        <v>2</v>
      </c>
      <c r="AD10" s="694"/>
      <c r="AE10" s="500">
        <v>15</v>
      </c>
      <c r="AF10" s="420">
        <v>1333.4911242603553</v>
      </c>
      <c r="AG10" s="420">
        <v>88.899408284023679</v>
      </c>
      <c r="AH10" s="504">
        <f t="shared" si="9"/>
        <v>2</v>
      </c>
      <c r="AI10" s="694"/>
      <c r="AJ10" s="500">
        <v>15</v>
      </c>
      <c r="AK10" s="420">
        <v>1318.4293193717276</v>
      </c>
      <c r="AL10" s="420">
        <v>87.895287958115176</v>
      </c>
      <c r="AM10" s="504">
        <f t="shared" si="11"/>
        <v>2</v>
      </c>
      <c r="AN10" s="694"/>
      <c r="AO10" s="500">
        <v>15</v>
      </c>
      <c r="AP10" s="420">
        <v>1314.9333333333334</v>
      </c>
      <c r="AQ10" s="420">
        <v>87.662222222222226</v>
      </c>
      <c r="AR10" s="504">
        <f t="shared" si="13"/>
        <v>2</v>
      </c>
      <c r="AS10" s="694"/>
      <c r="AT10" s="500">
        <v>15</v>
      </c>
      <c r="AU10" s="420">
        <v>1320.707142857143</v>
      </c>
      <c r="AV10" s="420">
        <v>88.047142857142873</v>
      </c>
      <c r="AW10" s="504">
        <f t="shared" si="15"/>
        <v>2</v>
      </c>
      <c r="AX10" s="694"/>
      <c r="AZ10" s="404" t="e">
        <f t="shared" si="17"/>
        <v>#N/A</v>
      </c>
      <c r="BA10" s="694"/>
    </row>
    <row r="11" spans="1:53" ht="14.25">
      <c r="A11" s="81"/>
      <c r="B11" s="660"/>
      <c r="C11" s="413">
        <v>5</v>
      </c>
      <c r="D11" s="225" t="s">
        <v>641</v>
      </c>
      <c r="E11" s="420">
        <v>17</v>
      </c>
      <c r="F11" s="500">
        <v>1636</v>
      </c>
      <c r="G11" s="501">
        <v>96.235294117647058</v>
      </c>
      <c r="H11" s="678"/>
      <c r="I11" s="417">
        <f t="shared" si="0"/>
        <v>17</v>
      </c>
      <c r="J11" s="417">
        <f t="shared" si="1"/>
        <v>1306.8059290298838</v>
      </c>
      <c r="K11" s="199">
        <f t="shared" si="2"/>
        <v>76.870937001757866</v>
      </c>
      <c r="L11" s="609"/>
      <c r="M11" s="419">
        <f>RANK(K11, K$7:$K$21)</f>
        <v>7</v>
      </c>
      <c r="N11" s="627"/>
      <c r="O11" s="627"/>
      <c r="P11" s="500">
        <v>17</v>
      </c>
      <c r="Q11" s="420">
        <v>1319.4174757281558</v>
      </c>
      <c r="R11" s="420">
        <v>77.612792689891521</v>
      </c>
      <c r="S11" s="504">
        <f t="shared" si="3"/>
        <v>7</v>
      </c>
      <c r="T11" s="694"/>
      <c r="U11" s="500">
        <v>17</v>
      </c>
      <c r="V11" s="420">
        <v>1301.6326530612248</v>
      </c>
      <c r="W11" s="420">
        <v>76.566626650660282</v>
      </c>
      <c r="X11" s="504">
        <f t="shared" si="5"/>
        <v>7</v>
      </c>
      <c r="Y11" s="694"/>
      <c r="Z11" s="500">
        <v>17</v>
      </c>
      <c r="AA11" s="420">
        <v>1299.1578947368423</v>
      </c>
      <c r="AB11" s="420">
        <v>76.421052631578959</v>
      </c>
      <c r="AC11" s="504">
        <f t="shared" si="7"/>
        <v>7</v>
      </c>
      <c r="AD11" s="694"/>
      <c r="AE11" s="500">
        <v>17</v>
      </c>
      <c r="AF11" s="420">
        <v>1324.3373493975901</v>
      </c>
      <c r="AG11" s="420">
        <v>77.902197023387657</v>
      </c>
      <c r="AH11" s="504">
        <f t="shared" si="9"/>
        <v>6</v>
      </c>
      <c r="AI11" s="694"/>
      <c r="AJ11" s="500">
        <v>17</v>
      </c>
      <c r="AK11" s="420">
        <v>1309.4845360824747</v>
      </c>
      <c r="AL11" s="420">
        <v>77.028502122498509</v>
      </c>
      <c r="AM11" s="504">
        <f t="shared" si="11"/>
        <v>6</v>
      </c>
      <c r="AN11" s="694"/>
      <c r="AO11" s="500">
        <v>17</v>
      </c>
      <c r="AP11" s="420">
        <v>1293.3333333333333</v>
      </c>
      <c r="AQ11" s="420">
        <v>76.078431372549019</v>
      </c>
      <c r="AR11" s="504">
        <f t="shared" si="13"/>
        <v>6</v>
      </c>
      <c r="AS11" s="694"/>
      <c r="AT11" s="500">
        <v>17</v>
      </c>
      <c r="AU11" s="420">
        <v>1300.2782608695654</v>
      </c>
      <c r="AV11" s="420">
        <v>76.486956521739145</v>
      </c>
      <c r="AW11" s="504">
        <f t="shared" si="15"/>
        <v>7</v>
      </c>
      <c r="AX11" s="694"/>
      <c r="AZ11" s="404" t="e">
        <f t="shared" si="17"/>
        <v>#N/A</v>
      </c>
      <c r="BA11" s="694"/>
    </row>
    <row r="12" spans="1:53" ht="14.25">
      <c r="A12" s="81"/>
      <c r="B12" s="660"/>
      <c r="C12" s="413">
        <v>6</v>
      </c>
      <c r="D12" s="225" t="s">
        <v>720</v>
      </c>
      <c r="E12" s="420">
        <v>18</v>
      </c>
      <c r="F12" s="500">
        <v>1500</v>
      </c>
      <c r="G12" s="501">
        <v>83.333333333333329</v>
      </c>
      <c r="H12" s="678"/>
      <c r="I12" s="417">
        <f t="shared" si="0"/>
        <v>17.571428571428573</v>
      </c>
      <c r="J12" s="417">
        <f t="shared" si="1"/>
        <v>1378.8771277568117</v>
      </c>
      <c r="K12" s="199">
        <f t="shared" si="2"/>
        <v>78.540605464795661</v>
      </c>
      <c r="L12" s="609"/>
      <c r="M12" s="419">
        <f>RANK(K12, K$7:$K$21)</f>
        <v>6</v>
      </c>
      <c r="N12" s="627"/>
      <c r="O12" s="627"/>
      <c r="P12" s="500">
        <v>17</v>
      </c>
      <c r="Q12" s="420">
        <v>1398.9350649350654</v>
      </c>
      <c r="R12" s="420">
        <v>82.290297937356783</v>
      </c>
      <c r="S12" s="504">
        <f t="shared" si="3"/>
        <v>5</v>
      </c>
      <c r="T12" s="694"/>
      <c r="U12" s="500">
        <v>18</v>
      </c>
      <c r="V12" s="420">
        <v>1388.0704225352115</v>
      </c>
      <c r="W12" s="420">
        <v>77.115023474178415</v>
      </c>
      <c r="X12" s="504">
        <f t="shared" si="5"/>
        <v>6</v>
      </c>
      <c r="Y12" s="694"/>
      <c r="Z12" s="500">
        <v>17</v>
      </c>
      <c r="AA12" s="420">
        <v>1390.6438356164385</v>
      </c>
      <c r="AB12" s="420">
        <v>81.80257856567286</v>
      </c>
      <c r="AC12" s="504">
        <f t="shared" si="7"/>
        <v>5</v>
      </c>
      <c r="AD12" s="694"/>
      <c r="AE12" s="500">
        <v>18</v>
      </c>
      <c r="AF12" s="420">
        <v>1378.5230769230775</v>
      </c>
      <c r="AG12" s="420">
        <v>76.584615384615418</v>
      </c>
      <c r="AH12" s="504">
        <f t="shared" si="9"/>
        <v>7</v>
      </c>
      <c r="AI12" s="694"/>
      <c r="AJ12" s="500">
        <v>18</v>
      </c>
      <c r="AK12" s="420">
        <v>1374.24</v>
      </c>
      <c r="AL12" s="420">
        <v>76.346666666666664</v>
      </c>
      <c r="AM12" s="504">
        <f t="shared" si="11"/>
        <v>7</v>
      </c>
      <c r="AN12" s="694"/>
      <c r="AO12" s="500">
        <v>18</v>
      </c>
      <c r="AP12" s="420">
        <v>1363.7076923076918</v>
      </c>
      <c r="AQ12" s="420">
        <v>75.761538461538436</v>
      </c>
      <c r="AR12" s="504">
        <f t="shared" si="13"/>
        <v>7</v>
      </c>
      <c r="AS12" s="694"/>
      <c r="AT12" s="500">
        <v>17</v>
      </c>
      <c r="AU12" s="420">
        <v>1358.0198019801974</v>
      </c>
      <c r="AV12" s="420">
        <v>79.883517763541022</v>
      </c>
      <c r="AW12" s="504">
        <f t="shared" si="15"/>
        <v>6</v>
      </c>
      <c r="AX12" s="694"/>
      <c r="AZ12" s="404" t="e">
        <f t="shared" si="17"/>
        <v>#N/A</v>
      </c>
      <c r="BA12" s="694"/>
    </row>
    <row r="13" spans="1:53" ht="14.25">
      <c r="A13" s="81"/>
      <c r="B13" s="660"/>
      <c r="C13" s="413">
        <v>7</v>
      </c>
      <c r="D13" s="225" t="s">
        <v>735</v>
      </c>
      <c r="E13" s="420">
        <v>17</v>
      </c>
      <c r="F13" s="500">
        <v>1636</v>
      </c>
      <c r="G13" s="501">
        <v>96.235294117647058</v>
      </c>
      <c r="H13" s="678"/>
      <c r="I13" s="417">
        <f t="shared" si="0"/>
        <v>17.142857142857142</v>
      </c>
      <c r="J13" s="417">
        <f t="shared" si="1"/>
        <v>1432.0643838420833</v>
      </c>
      <c r="K13" s="199">
        <f t="shared" si="2"/>
        <v>83.560043120496033</v>
      </c>
      <c r="L13" s="609"/>
      <c r="M13" s="419">
        <f>RANK(K13, K$7:$K$21)</f>
        <v>4</v>
      </c>
      <c r="N13" s="627"/>
      <c r="O13" s="627"/>
      <c r="P13" s="500">
        <v>17</v>
      </c>
      <c r="Q13" s="420">
        <v>1448.3532934131738</v>
      </c>
      <c r="R13" s="420">
        <v>85.197252553716112</v>
      </c>
      <c r="S13" s="504">
        <f t="shared" si="3"/>
        <v>2</v>
      </c>
      <c r="T13" s="694"/>
      <c r="U13" s="500">
        <v>18</v>
      </c>
      <c r="V13" s="420">
        <v>1454.5</v>
      </c>
      <c r="W13" s="420">
        <v>80.805555555555557</v>
      </c>
      <c r="X13" s="504">
        <f t="shared" si="5"/>
        <v>5</v>
      </c>
      <c r="Y13" s="694"/>
      <c r="Z13" s="500">
        <v>17</v>
      </c>
      <c r="AA13" s="420">
        <v>1409.9104477611929</v>
      </c>
      <c r="AB13" s="420">
        <v>82.935908691834882</v>
      </c>
      <c r="AC13" s="504">
        <f t="shared" si="7"/>
        <v>4</v>
      </c>
      <c r="AD13" s="694"/>
      <c r="AE13" s="500">
        <v>17</v>
      </c>
      <c r="AF13" s="420">
        <v>1413.5999999999995</v>
      </c>
      <c r="AG13" s="420">
        <v>83.152941176470563</v>
      </c>
      <c r="AH13" s="504">
        <f t="shared" si="9"/>
        <v>4</v>
      </c>
      <c r="AI13" s="694"/>
      <c r="AJ13" s="500">
        <v>17</v>
      </c>
      <c r="AK13" s="420">
        <v>1450.1694915254238</v>
      </c>
      <c r="AL13" s="420">
        <v>85.30408773678964</v>
      </c>
      <c r="AM13" s="504">
        <f t="shared" si="11"/>
        <v>3</v>
      </c>
      <c r="AN13" s="694"/>
      <c r="AO13" s="500">
        <v>17</v>
      </c>
      <c r="AP13" s="420">
        <v>1434.7409836065569</v>
      </c>
      <c r="AQ13" s="420">
        <v>84.396528447444524</v>
      </c>
      <c r="AR13" s="504">
        <f t="shared" si="13"/>
        <v>3</v>
      </c>
      <c r="AS13" s="694"/>
      <c r="AT13" s="500">
        <v>17</v>
      </c>
      <c r="AU13" s="420">
        <v>1413.1764705882358</v>
      </c>
      <c r="AV13" s="420">
        <v>83.128027681660924</v>
      </c>
      <c r="AW13" s="504">
        <f t="shared" si="15"/>
        <v>4</v>
      </c>
      <c r="AX13" s="694"/>
      <c r="AZ13" s="404" t="e">
        <f t="shared" si="17"/>
        <v>#N/A</v>
      </c>
      <c r="BA13" s="694"/>
    </row>
    <row r="14" spans="1:53" ht="14.25">
      <c r="A14" s="81"/>
      <c r="B14" s="660"/>
      <c r="C14" s="413">
        <v>8</v>
      </c>
      <c r="D14" s="225"/>
      <c r="E14" s="420"/>
      <c r="F14" s="500"/>
      <c r="G14" s="501"/>
      <c r="H14" s="678"/>
      <c r="I14" s="417" t="str">
        <f t="shared" si="0"/>
        <v>-</v>
      </c>
      <c r="J14" s="417" t="str">
        <f t="shared" si="1"/>
        <v>-</v>
      </c>
      <c r="K14" s="199" t="str">
        <f t="shared" si="2"/>
        <v>-</v>
      </c>
      <c r="L14" s="609"/>
      <c r="M14" s="419" t="e">
        <f>RANK(K14, K$7:$K$21)</f>
        <v>#VALUE!</v>
      </c>
      <c r="N14" s="627"/>
      <c r="O14" s="627"/>
      <c r="P14" s="500"/>
      <c r="Q14" s="420"/>
      <c r="R14" s="420"/>
      <c r="S14" s="504" t="e">
        <f t="shared" si="3"/>
        <v>#N/A</v>
      </c>
      <c r="T14" s="694"/>
      <c r="U14" s="500"/>
      <c r="V14" s="420"/>
      <c r="W14" s="420"/>
      <c r="X14" s="504" t="e">
        <f t="shared" si="5"/>
        <v>#N/A</v>
      </c>
      <c r="Y14" s="694"/>
      <c r="Z14" s="500"/>
      <c r="AA14" s="420"/>
      <c r="AB14" s="420"/>
      <c r="AC14" s="504" t="e">
        <f t="shared" si="7"/>
        <v>#N/A</v>
      </c>
      <c r="AD14" s="694"/>
      <c r="AE14" s="500"/>
      <c r="AF14" s="420"/>
      <c r="AG14" s="420"/>
      <c r="AH14" s="504" t="e">
        <f t="shared" si="9"/>
        <v>#N/A</v>
      </c>
      <c r="AI14" s="694"/>
      <c r="AJ14" s="500"/>
      <c r="AK14" s="420"/>
      <c r="AL14" s="420"/>
      <c r="AM14" s="504" t="e">
        <f t="shared" si="11"/>
        <v>#N/A</v>
      </c>
      <c r="AN14" s="694"/>
      <c r="AO14" s="500"/>
      <c r="AP14" s="420"/>
      <c r="AQ14" s="420"/>
      <c r="AR14" s="504" t="e">
        <f t="shared" si="13"/>
        <v>#N/A</v>
      </c>
      <c r="AS14" s="694"/>
      <c r="AT14" s="500"/>
      <c r="AU14" s="420"/>
      <c r="AV14" s="420"/>
      <c r="AW14" s="504" t="e">
        <f t="shared" si="15"/>
        <v>#N/A</v>
      </c>
      <c r="AX14" s="694"/>
      <c r="AZ14" s="404" t="e">
        <f t="shared" si="17"/>
        <v>#N/A</v>
      </c>
      <c r="BA14" s="694"/>
    </row>
    <row r="15" spans="1:53" ht="14.25">
      <c r="A15" s="81"/>
      <c r="B15" s="660"/>
      <c r="C15" s="413">
        <v>9</v>
      </c>
      <c r="D15" s="225"/>
      <c r="E15" s="420"/>
      <c r="F15" s="500"/>
      <c r="G15" s="501"/>
      <c r="H15" s="678"/>
      <c r="I15" s="417" t="str">
        <f t="shared" si="0"/>
        <v>-</v>
      </c>
      <c r="J15" s="417" t="str">
        <f t="shared" si="1"/>
        <v>-</v>
      </c>
      <c r="K15" s="199" t="str">
        <f t="shared" si="2"/>
        <v>-</v>
      </c>
      <c r="L15" s="609"/>
      <c r="M15" s="419" t="e">
        <f>RANK(K15, K$7:$K$21)</f>
        <v>#VALUE!</v>
      </c>
      <c r="N15" s="627"/>
      <c r="O15" s="627"/>
      <c r="P15" s="500"/>
      <c r="Q15" s="420"/>
      <c r="R15" s="420"/>
      <c r="S15" s="504" t="e">
        <f t="shared" si="3"/>
        <v>#N/A</v>
      </c>
      <c r="T15" s="694"/>
      <c r="U15" s="500"/>
      <c r="V15" s="420"/>
      <c r="W15" s="420"/>
      <c r="X15" s="504" t="e">
        <f t="shared" si="5"/>
        <v>#N/A</v>
      </c>
      <c r="Y15" s="694"/>
      <c r="Z15" s="500"/>
      <c r="AA15" s="420"/>
      <c r="AB15" s="420"/>
      <c r="AC15" s="504" t="e">
        <f t="shared" si="7"/>
        <v>#N/A</v>
      </c>
      <c r="AD15" s="694"/>
      <c r="AE15" s="500"/>
      <c r="AF15" s="420"/>
      <c r="AG15" s="420"/>
      <c r="AH15" s="504" t="e">
        <f t="shared" si="9"/>
        <v>#N/A</v>
      </c>
      <c r="AI15" s="694"/>
      <c r="AJ15" s="500"/>
      <c r="AK15" s="420"/>
      <c r="AL15" s="420"/>
      <c r="AM15" s="504" t="e">
        <f t="shared" si="11"/>
        <v>#N/A</v>
      </c>
      <c r="AN15" s="694"/>
      <c r="AO15" s="500"/>
      <c r="AP15" s="420"/>
      <c r="AQ15" s="420"/>
      <c r="AR15" s="504" t="e">
        <f t="shared" si="13"/>
        <v>#N/A</v>
      </c>
      <c r="AS15" s="694"/>
      <c r="AT15" s="500"/>
      <c r="AU15" s="420"/>
      <c r="AV15" s="420"/>
      <c r="AW15" s="504" t="e">
        <f t="shared" si="15"/>
        <v>#N/A</v>
      </c>
      <c r="AX15" s="694"/>
      <c r="AZ15" s="404" t="e">
        <f t="shared" si="17"/>
        <v>#N/A</v>
      </c>
      <c r="BA15" s="694"/>
    </row>
    <row r="16" spans="1:53" ht="14.25">
      <c r="A16" s="81"/>
      <c r="B16" s="660"/>
      <c r="C16" s="413">
        <v>10</v>
      </c>
      <c r="D16" s="225"/>
      <c r="E16" s="420"/>
      <c r="F16" s="500"/>
      <c r="G16" s="501"/>
      <c r="H16" s="678"/>
      <c r="I16" s="417" t="str">
        <f t="shared" si="0"/>
        <v>-</v>
      </c>
      <c r="J16" s="417" t="str">
        <f t="shared" si="1"/>
        <v>-</v>
      </c>
      <c r="K16" s="199" t="str">
        <f t="shared" si="2"/>
        <v>-</v>
      </c>
      <c r="L16" s="609"/>
      <c r="M16" s="419" t="e">
        <f>RANK(K16, K$7:$K$21)</f>
        <v>#VALUE!</v>
      </c>
      <c r="N16" s="627"/>
      <c r="O16" s="627"/>
      <c r="P16" s="500"/>
      <c r="Q16" s="420"/>
      <c r="R16" s="420"/>
      <c r="S16" s="504" t="e">
        <f t="shared" si="3"/>
        <v>#N/A</v>
      </c>
      <c r="T16" s="694"/>
      <c r="U16" s="500"/>
      <c r="V16" s="420"/>
      <c r="W16" s="420"/>
      <c r="X16" s="504" t="e">
        <f t="shared" si="5"/>
        <v>#N/A</v>
      </c>
      <c r="Y16" s="694"/>
      <c r="Z16" s="500"/>
      <c r="AA16" s="420"/>
      <c r="AB16" s="420"/>
      <c r="AC16" s="504" t="e">
        <f t="shared" si="7"/>
        <v>#N/A</v>
      </c>
      <c r="AD16" s="694"/>
      <c r="AE16" s="500"/>
      <c r="AF16" s="420"/>
      <c r="AG16" s="420"/>
      <c r="AH16" s="504" t="e">
        <f t="shared" si="9"/>
        <v>#N/A</v>
      </c>
      <c r="AI16" s="694"/>
      <c r="AJ16" s="500"/>
      <c r="AK16" s="420"/>
      <c r="AL16" s="420"/>
      <c r="AM16" s="504" t="e">
        <f t="shared" si="11"/>
        <v>#N/A</v>
      </c>
      <c r="AN16" s="694"/>
      <c r="AO16" s="500"/>
      <c r="AP16" s="420"/>
      <c r="AQ16" s="420"/>
      <c r="AR16" s="504" t="e">
        <f t="shared" si="13"/>
        <v>#N/A</v>
      </c>
      <c r="AS16" s="694"/>
      <c r="AT16" s="500"/>
      <c r="AU16" s="420"/>
      <c r="AV16" s="420"/>
      <c r="AW16" s="504" t="e">
        <f t="shared" si="15"/>
        <v>#N/A</v>
      </c>
      <c r="AX16" s="694"/>
      <c r="AZ16" s="404" t="e">
        <f t="shared" si="17"/>
        <v>#N/A</v>
      </c>
      <c r="BA16" s="694"/>
    </row>
    <row r="17" spans="2:53">
      <c r="B17" s="660"/>
      <c r="C17" s="413">
        <v>11</v>
      </c>
      <c r="D17" s="225"/>
      <c r="E17" s="420"/>
      <c r="F17" s="500"/>
      <c r="G17" s="501"/>
      <c r="H17" s="678"/>
      <c r="I17" s="417" t="str">
        <f t="shared" si="0"/>
        <v>-</v>
      </c>
      <c r="J17" s="417" t="str">
        <f t="shared" si="1"/>
        <v>-</v>
      </c>
      <c r="K17" s="199" t="str">
        <f t="shared" si="2"/>
        <v>-</v>
      </c>
      <c r="L17" s="609"/>
      <c r="M17" s="419" t="e">
        <f>RANK(K17, K$7:$K$21)</f>
        <v>#VALUE!</v>
      </c>
      <c r="N17" s="627"/>
      <c r="O17" s="627"/>
      <c r="P17" s="500"/>
      <c r="Q17" s="420"/>
      <c r="R17" s="420"/>
      <c r="S17" s="504" t="e">
        <f t="shared" si="3"/>
        <v>#N/A</v>
      </c>
      <c r="T17" s="694"/>
      <c r="U17" s="500"/>
      <c r="V17" s="420"/>
      <c r="W17" s="420"/>
      <c r="X17" s="504" t="e">
        <f t="shared" si="5"/>
        <v>#N/A</v>
      </c>
      <c r="Y17" s="694"/>
      <c r="Z17" s="500"/>
      <c r="AA17" s="420"/>
      <c r="AB17" s="420"/>
      <c r="AC17" s="504" t="e">
        <f t="shared" si="7"/>
        <v>#N/A</v>
      </c>
      <c r="AD17" s="694"/>
      <c r="AE17" s="500"/>
      <c r="AF17" s="420"/>
      <c r="AG17" s="420"/>
      <c r="AH17" s="504" t="e">
        <f t="shared" si="9"/>
        <v>#N/A</v>
      </c>
      <c r="AI17" s="694"/>
      <c r="AJ17" s="500"/>
      <c r="AK17" s="420"/>
      <c r="AL17" s="420"/>
      <c r="AM17" s="504" t="e">
        <f t="shared" si="11"/>
        <v>#N/A</v>
      </c>
      <c r="AN17" s="694"/>
      <c r="AO17" s="500"/>
      <c r="AP17" s="420"/>
      <c r="AQ17" s="420"/>
      <c r="AR17" s="504" t="e">
        <f t="shared" si="13"/>
        <v>#N/A</v>
      </c>
      <c r="AS17" s="694"/>
      <c r="AT17" s="500"/>
      <c r="AU17" s="420"/>
      <c r="AV17" s="420"/>
      <c r="AW17" s="504" t="e">
        <f t="shared" si="15"/>
        <v>#N/A</v>
      </c>
      <c r="AX17" s="694"/>
      <c r="AZ17" s="404" t="e">
        <f t="shared" si="17"/>
        <v>#N/A</v>
      </c>
      <c r="BA17" s="694"/>
    </row>
    <row r="18" spans="2:53">
      <c r="B18" s="660"/>
      <c r="C18" s="413">
        <v>12</v>
      </c>
      <c r="D18" s="225"/>
      <c r="E18" s="420"/>
      <c r="F18" s="500"/>
      <c r="G18" s="501"/>
      <c r="H18" s="678"/>
      <c r="I18" s="417" t="str">
        <f t="shared" si="0"/>
        <v>-</v>
      </c>
      <c r="J18" s="417" t="str">
        <f t="shared" si="1"/>
        <v>-</v>
      </c>
      <c r="K18" s="199" t="str">
        <f t="shared" si="2"/>
        <v>-</v>
      </c>
      <c r="L18" s="609"/>
      <c r="M18" s="419" t="e">
        <f>RANK(K18, K$7:$K$21)</f>
        <v>#VALUE!</v>
      </c>
      <c r="N18" s="627"/>
      <c r="O18" s="627"/>
      <c r="P18" s="500"/>
      <c r="Q18" s="420"/>
      <c r="R18" s="420"/>
      <c r="S18" s="504" t="e">
        <f t="shared" si="3"/>
        <v>#N/A</v>
      </c>
      <c r="T18" s="694"/>
      <c r="U18" s="500"/>
      <c r="V18" s="420"/>
      <c r="W18" s="420"/>
      <c r="X18" s="504" t="e">
        <f t="shared" si="5"/>
        <v>#N/A</v>
      </c>
      <c r="Y18" s="694"/>
      <c r="Z18" s="500"/>
      <c r="AA18" s="420"/>
      <c r="AB18" s="420"/>
      <c r="AC18" s="504" t="e">
        <f t="shared" si="7"/>
        <v>#N/A</v>
      </c>
      <c r="AD18" s="694"/>
      <c r="AE18" s="500"/>
      <c r="AF18" s="420"/>
      <c r="AG18" s="420"/>
      <c r="AH18" s="504" t="e">
        <f t="shared" si="9"/>
        <v>#N/A</v>
      </c>
      <c r="AI18" s="694"/>
      <c r="AJ18" s="500"/>
      <c r="AK18" s="420"/>
      <c r="AL18" s="420"/>
      <c r="AM18" s="504" t="e">
        <f t="shared" si="11"/>
        <v>#N/A</v>
      </c>
      <c r="AN18" s="694"/>
      <c r="AO18" s="500"/>
      <c r="AP18" s="420"/>
      <c r="AQ18" s="420"/>
      <c r="AR18" s="504" t="e">
        <f t="shared" si="13"/>
        <v>#N/A</v>
      </c>
      <c r="AS18" s="694"/>
      <c r="AT18" s="500"/>
      <c r="AU18" s="420"/>
      <c r="AV18" s="420"/>
      <c r="AW18" s="504" t="e">
        <f t="shared" si="15"/>
        <v>#N/A</v>
      </c>
      <c r="AX18" s="694"/>
      <c r="AZ18" s="404" t="e">
        <f t="shared" si="17"/>
        <v>#N/A</v>
      </c>
      <c r="BA18" s="694"/>
    </row>
    <row r="19" spans="2:53">
      <c r="B19" s="660"/>
      <c r="C19" s="413">
        <v>13</v>
      </c>
      <c r="D19" s="225"/>
      <c r="E19" s="420"/>
      <c r="F19" s="500"/>
      <c r="G19" s="501"/>
      <c r="H19" s="678"/>
      <c r="I19" s="417" t="str">
        <f t="shared" si="0"/>
        <v>-</v>
      </c>
      <c r="J19" s="417" t="str">
        <f t="shared" si="1"/>
        <v>-</v>
      </c>
      <c r="K19" s="199" t="str">
        <f t="shared" si="2"/>
        <v>-</v>
      </c>
      <c r="L19" s="609"/>
      <c r="M19" s="419" t="e">
        <f>RANK(K19, K$7:$K$21)</f>
        <v>#VALUE!</v>
      </c>
      <c r="N19" s="627"/>
      <c r="O19" s="627"/>
      <c r="P19" s="500"/>
      <c r="Q19" s="420"/>
      <c r="R19" s="420"/>
      <c r="S19" s="504" t="e">
        <f t="shared" si="3"/>
        <v>#N/A</v>
      </c>
      <c r="T19" s="694"/>
      <c r="U19" s="500"/>
      <c r="V19" s="420"/>
      <c r="W19" s="420"/>
      <c r="X19" s="504" t="e">
        <f t="shared" si="5"/>
        <v>#N/A</v>
      </c>
      <c r="Y19" s="694"/>
      <c r="Z19" s="500"/>
      <c r="AA19" s="420"/>
      <c r="AB19" s="420"/>
      <c r="AC19" s="504" t="e">
        <f t="shared" si="7"/>
        <v>#N/A</v>
      </c>
      <c r="AD19" s="694"/>
      <c r="AE19" s="500"/>
      <c r="AF19" s="420"/>
      <c r="AG19" s="420"/>
      <c r="AH19" s="504" t="e">
        <f t="shared" si="9"/>
        <v>#N/A</v>
      </c>
      <c r="AI19" s="694"/>
      <c r="AJ19" s="500"/>
      <c r="AK19" s="420"/>
      <c r="AL19" s="420"/>
      <c r="AM19" s="504" t="e">
        <f t="shared" si="11"/>
        <v>#N/A</v>
      </c>
      <c r="AN19" s="694"/>
      <c r="AO19" s="500"/>
      <c r="AP19" s="420"/>
      <c r="AQ19" s="420"/>
      <c r="AR19" s="504" t="e">
        <f t="shared" si="13"/>
        <v>#N/A</v>
      </c>
      <c r="AS19" s="694"/>
      <c r="AT19" s="500"/>
      <c r="AU19" s="420"/>
      <c r="AV19" s="420"/>
      <c r="AW19" s="504" t="e">
        <f t="shared" si="15"/>
        <v>#N/A</v>
      </c>
      <c r="AX19" s="694"/>
      <c r="AZ19" s="404" t="e">
        <f t="shared" si="17"/>
        <v>#N/A</v>
      </c>
      <c r="BA19" s="694"/>
    </row>
    <row r="20" spans="2:53">
      <c r="B20" s="660"/>
      <c r="C20" s="413">
        <v>14</v>
      </c>
      <c r="D20" s="225"/>
      <c r="E20" s="420"/>
      <c r="F20" s="500"/>
      <c r="G20" s="501"/>
      <c r="H20" s="678"/>
      <c r="I20" s="417" t="str">
        <f t="shared" si="0"/>
        <v>-</v>
      </c>
      <c r="J20" s="417" t="str">
        <f t="shared" si="1"/>
        <v>-</v>
      </c>
      <c r="K20" s="199" t="str">
        <f t="shared" si="2"/>
        <v>-</v>
      </c>
      <c r="L20" s="609"/>
      <c r="M20" s="419" t="e">
        <f>RANK(K20, K$7:$K$21)</f>
        <v>#VALUE!</v>
      </c>
      <c r="N20" s="627"/>
      <c r="O20" s="627"/>
      <c r="P20" s="500"/>
      <c r="Q20" s="420"/>
      <c r="R20" s="420"/>
      <c r="S20" s="504" t="e">
        <f t="shared" si="3"/>
        <v>#N/A</v>
      </c>
      <c r="T20" s="694"/>
      <c r="U20" s="500"/>
      <c r="V20" s="420"/>
      <c r="W20" s="420"/>
      <c r="X20" s="504" t="e">
        <f t="shared" si="5"/>
        <v>#N/A</v>
      </c>
      <c r="Y20" s="694"/>
      <c r="Z20" s="500"/>
      <c r="AA20" s="420"/>
      <c r="AB20" s="420"/>
      <c r="AC20" s="504" t="e">
        <f t="shared" si="7"/>
        <v>#N/A</v>
      </c>
      <c r="AD20" s="694"/>
      <c r="AE20" s="500"/>
      <c r="AF20" s="420"/>
      <c r="AG20" s="420"/>
      <c r="AH20" s="504" t="e">
        <f t="shared" si="9"/>
        <v>#N/A</v>
      </c>
      <c r="AI20" s="694"/>
      <c r="AJ20" s="500"/>
      <c r="AK20" s="420"/>
      <c r="AL20" s="420"/>
      <c r="AM20" s="504" t="e">
        <f t="shared" si="11"/>
        <v>#N/A</v>
      </c>
      <c r="AN20" s="694"/>
      <c r="AO20" s="500"/>
      <c r="AP20" s="420"/>
      <c r="AQ20" s="420"/>
      <c r="AR20" s="504" t="e">
        <f t="shared" si="13"/>
        <v>#N/A</v>
      </c>
      <c r="AS20" s="694"/>
      <c r="AT20" s="500"/>
      <c r="AU20" s="420"/>
      <c r="AV20" s="420"/>
      <c r="AW20" s="504" t="e">
        <f t="shared" si="15"/>
        <v>#N/A</v>
      </c>
      <c r="AX20" s="694"/>
      <c r="AZ20" s="404" t="e">
        <f t="shared" si="17"/>
        <v>#N/A</v>
      </c>
      <c r="BA20" s="694"/>
    </row>
    <row r="21" spans="2:53">
      <c r="B21" s="660"/>
      <c r="C21" s="413">
        <v>15</v>
      </c>
      <c r="D21" s="225"/>
      <c r="E21" s="420"/>
      <c r="F21" s="500"/>
      <c r="G21" s="501"/>
      <c r="H21" s="679"/>
      <c r="I21" s="415"/>
      <c r="J21" s="415"/>
      <c r="K21" s="415"/>
      <c r="L21" s="610"/>
      <c r="M21" s="419" t="e">
        <f>RANK(K21, K$7:$K$21)</f>
        <v>#N/A</v>
      </c>
      <c r="N21" s="627"/>
      <c r="O21" s="627"/>
      <c r="P21" s="500"/>
      <c r="Q21" s="420"/>
      <c r="R21" s="420"/>
      <c r="S21" s="504" t="e">
        <f t="shared" si="3"/>
        <v>#N/A</v>
      </c>
      <c r="T21" s="695"/>
      <c r="U21" s="500"/>
      <c r="V21" s="420"/>
      <c r="W21" s="420"/>
      <c r="X21" s="504" t="e">
        <f t="shared" si="5"/>
        <v>#N/A</v>
      </c>
      <c r="Y21" s="695"/>
      <c r="Z21" s="500"/>
      <c r="AA21" s="420"/>
      <c r="AB21" s="420"/>
      <c r="AC21" s="504" t="e">
        <f t="shared" si="7"/>
        <v>#N/A</v>
      </c>
      <c r="AD21" s="695"/>
      <c r="AE21" s="500"/>
      <c r="AF21" s="420"/>
      <c r="AG21" s="420"/>
      <c r="AH21" s="504" t="e">
        <f t="shared" si="9"/>
        <v>#N/A</v>
      </c>
      <c r="AI21" s="695"/>
      <c r="AJ21" s="500"/>
      <c r="AK21" s="420"/>
      <c r="AL21" s="420"/>
      <c r="AM21" s="504" t="e">
        <f t="shared" si="11"/>
        <v>#N/A</v>
      </c>
      <c r="AN21" s="695"/>
      <c r="AO21" s="500"/>
      <c r="AP21" s="420"/>
      <c r="AQ21" s="420"/>
      <c r="AR21" s="504" t="e">
        <f t="shared" si="13"/>
        <v>#N/A</v>
      </c>
      <c r="AS21" s="695"/>
      <c r="AT21" s="500"/>
      <c r="AU21" s="420"/>
      <c r="AV21" s="420"/>
      <c r="AW21" s="504" t="e">
        <f t="shared" si="15"/>
        <v>#N/A</v>
      </c>
      <c r="AX21" s="695"/>
      <c r="AZ21" s="404" t="e">
        <f t="shared" si="17"/>
        <v>#N/A</v>
      </c>
      <c r="BA21" s="695"/>
    </row>
    <row r="22" spans="2:53" ht="15.75">
      <c r="B22" s="653" t="s">
        <v>163</v>
      </c>
      <c r="C22" s="654"/>
      <c r="D22" s="654"/>
      <c r="E22" s="654"/>
      <c r="F22" s="654"/>
      <c r="G22" s="654"/>
      <c r="H22" s="654"/>
      <c r="I22" s="202"/>
      <c r="J22" s="202"/>
      <c r="K22" s="202"/>
      <c r="L22" s="202"/>
      <c r="M22" s="203"/>
      <c r="N22" s="628" t="s">
        <v>156</v>
      </c>
      <c r="O22" s="628" t="s">
        <v>105</v>
      </c>
      <c r="P22" s="634">
        <f>P2+7</f>
        <v>46147</v>
      </c>
      <c r="Q22" s="635"/>
      <c r="R22" s="635"/>
      <c r="S22" s="635"/>
      <c r="T22" s="635"/>
      <c r="U22" s="631">
        <f>P22+1</f>
        <v>46148</v>
      </c>
      <c r="V22" s="632"/>
      <c r="W22" s="632"/>
      <c r="X22" s="632"/>
      <c r="Y22" s="633"/>
      <c r="Z22" s="631">
        <f>U22+1</f>
        <v>46149</v>
      </c>
      <c r="AA22" s="632"/>
      <c r="AB22" s="632"/>
      <c r="AC22" s="632"/>
      <c r="AD22" s="633"/>
      <c r="AE22" s="631">
        <f>Z22+1</f>
        <v>46150</v>
      </c>
      <c r="AF22" s="632"/>
      <c r="AG22" s="632"/>
      <c r="AH22" s="632"/>
      <c r="AI22" s="633"/>
      <c r="AJ22" s="631">
        <f>AE22+1</f>
        <v>46151</v>
      </c>
      <c r="AK22" s="632"/>
      <c r="AL22" s="632"/>
      <c r="AM22" s="632"/>
      <c r="AN22" s="633"/>
      <c r="AO22" s="631">
        <f>AJ22+1</f>
        <v>46152</v>
      </c>
      <c r="AP22" s="632"/>
      <c r="AQ22" s="632"/>
      <c r="AR22" s="632"/>
      <c r="AS22" s="633"/>
      <c r="AT22" s="631">
        <f>AO22+1</f>
        <v>46153</v>
      </c>
      <c r="AU22" s="632"/>
      <c r="AV22" s="632"/>
      <c r="AW22" s="632"/>
      <c r="AX22" s="633"/>
    </row>
    <row r="23" spans="2:53" ht="15.75">
      <c r="B23" s="642"/>
      <c r="C23" s="642"/>
      <c r="D23" s="642"/>
      <c r="E23" s="642"/>
      <c r="F23" s="642"/>
      <c r="G23" s="642"/>
      <c r="H23" s="642"/>
      <c r="I23" s="204"/>
      <c r="J23" s="204"/>
      <c r="K23" s="204"/>
      <c r="L23" s="204"/>
      <c r="M23" s="205"/>
      <c r="N23" s="630"/>
      <c r="O23" s="630"/>
      <c r="P23" s="634" t="s">
        <v>318</v>
      </c>
      <c r="Q23" s="635"/>
      <c r="R23" s="635"/>
      <c r="S23" s="635"/>
      <c r="T23" s="635"/>
      <c r="U23" s="634" t="s">
        <v>319</v>
      </c>
      <c r="V23" s="635"/>
      <c r="W23" s="635"/>
      <c r="X23" s="635"/>
      <c r="Y23" s="635"/>
      <c r="Z23" s="634" t="s">
        <v>320</v>
      </c>
      <c r="AA23" s="635"/>
      <c r="AB23" s="635"/>
      <c r="AC23" s="635"/>
      <c r="AD23" s="635"/>
      <c r="AE23" s="634" t="s">
        <v>321</v>
      </c>
      <c r="AF23" s="635"/>
      <c r="AG23" s="635"/>
      <c r="AH23" s="635"/>
      <c r="AI23" s="635"/>
      <c r="AJ23" s="634" t="s">
        <v>322</v>
      </c>
      <c r="AK23" s="635"/>
      <c r="AL23" s="635"/>
      <c r="AM23" s="635"/>
      <c r="AN23" s="635"/>
      <c r="AO23" s="634" t="s">
        <v>323</v>
      </c>
      <c r="AP23" s="635"/>
      <c r="AQ23" s="635"/>
      <c r="AR23" s="635"/>
      <c r="AS23" s="635"/>
      <c r="AT23" s="634" t="s">
        <v>324</v>
      </c>
      <c r="AU23" s="635"/>
      <c r="AV23" s="635"/>
      <c r="AW23" s="635"/>
      <c r="AX23" s="635"/>
    </row>
    <row r="24" spans="2:53">
      <c r="B24" s="627" t="s">
        <v>374</v>
      </c>
      <c r="C24" s="627" t="s">
        <v>551</v>
      </c>
      <c r="D24" s="627"/>
      <c r="E24" s="627" t="s">
        <v>552</v>
      </c>
      <c r="F24" s="627"/>
      <c r="G24" s="627"/>
      <c r="H24" s="643" t="s">
        <v>553</v>
      </c>
      <c r="I24" s="627" t="s">
        <v>554</v>
      </c>
      <c r="J24" s="627"/>
      <c r="K24" s="627"/>
      <c r="L24" s="643" t="s">
        <v>371</v>
      </c>
      <c r="M24" s="628" t="s">
        <v>555</v>
      </c>
      <c r="N24" s="627"/>
      <c r="O24" s="627" t="s">
        <v>556</v>
      </c>
      <c r="P24" s="624" t="s">
        <v>373</v>
      </c>
      <c r="Q24" s="625"/>
      <c r="R24" s="625"/>
      <c r="S24" s="626"/>
      <c r="T24" s="627" t="s">
        <v>371</v>
      </c>
      <c r="U24" s="624" t="s">
        <v>373</v>
      </c>
      <c r="V24" s="625"/>
      <c r="W24" s="625"/>
      <c r="X24" s="626"/>
      <c r="Y24" s="627" t="s">
        <v>371</v>
      </c>
      <c r="Z24" s="624" t="s">
        <v>373</v>
      </c>
      <c r="AA24" s="625"/>
      <c r="AB24" s="625"/>
      <c r="AC24" s="626"/>
      <c r="AD24" s="627" t="s">
        <v>371</v>
      </c>
      <c r="AE24" s="624" t="s">
        <v>373</v>
      </c>
      <c r="AF24" s="625"/>
      <c r="AG24" s="625"/>
      <c r="AH24" s="626"/>
      <c r="AI24" s="627" t="s">
        <v>371</v>
      </c>
      <c r="AJ24" s="624" t="s">
        <v>373</v>
      </c>
      <c r="AK24" s="625"/>
      <c r="AL24" s="625"/>
      <c r="AM24" s="626"/>
      <c r="AN24" s="627" t="s">
        <v>371</v>
      </c>
      <c r="AO24" s="624" t="s">
        <v>373</v>
      </c>
      <c r="AP24" s="625"/>
      <c r="AQ24" s="625"/>
      <c r="AR24" s="626"/>
      <c r="AS24" s="627" t="s">
        <v>371</v>
      </c>
      <c r="AT24" s="624" t="s">
        <v>373</v>
      </c>
      <c r="AU24" s="625"/>
      <c r="AV24" s="625"/>
      <c r="AW24" s="626"/>
      <c r="AX24" s="627" t="s">
        <v>371</v>
      </c>
      <c r="BA24" s="627" t="s">
        <v>371</v>
      </c>
    </row>
    <row r="25" spans="2:53">
      <c r="B25" s="627"/>
      <c r="C25" s="627"/>
      <c r="D25" s="627"/>
      <c r="E25" s="627" t="s">
        <v>557</v>
      </c>
      <c r="F25" s="627"/>
      <c r="G25" s="627"/>
      <c r="H25" s="644"/>
      <c r="I25" s="627" t="s">
        <v>557</v>
      </c>
      <c r="J25" s="627"/>
      <c r="K25" s="627"/>
      <c r="L25" s="644"/>
      <c r="M25" s="629"/>
      <c r="N25" s="627"/>
      <c r="O25" s="627"/>
      <c r="P25" s="624" t="s">
        <v>379</v>
      </c>
      <c r="Q25" s="625"/>
      <c r="R25" s="625"/>
      <c r="S25" s="626"/>
      <c r="T25" s="627"/>
      <c r="U25" s="624" t="s">
        <v>379</v>
      </c>
      <c r="V25" s="625"/>
      <c r="W25" s="625"/>
      <c r="X25" s="626"/>
      <c r="Y25" s="627"/>
      <c r="Z25" s="624" t="s">
        <v>379</v>
      </c>
      <c r="AA25" s="625"/>
      <c r="AB25" s="625"/>
      <c r="AC25" s="626"/>
      <c r="AD25" s="627"/>
      <c r="AE25" s="624" t="s">
        <v>379</v>
      </c>
      <c r="AF25" s="625"/>
      <c r="AG25" s="625"/>
      <c r="AH25" s="626"/>
      <c r="AI25" s="627"/>
      <c r="AJ25" s="624" t="s">
        <v>379</v>
      </c>
      <c r="AK25" s="625"/>
      <c r="AL25" s="625"/>
      <c r="AM25" s="626"/>
      <c r="AN25" s="627"/>
      <c r="AO25" s="624" t="s">
        <v>379</v>
      </c>
      <c r="AP25" s="625"/>
      <c r="AQ25" s="625"/>
      <c r="AR25" s="626"/>
      <c r="AS25" s="627"/>
      <c r="AT25" s="624" t="s">
        <v>379</v>
      </c>
      <c r="AU25" s="625"/>
      <c r="AV25" s="625"/>
      <c r="AW25" s="626"/>
      <c r="AX25" s="627"/>
      <c r="BA25" s="627"/>
    </row>
    <row r="26" spans="2:53">
      <c r="B26" s="627"/>
      <c r="C26" s="627"/>
      <c r="D26" s="627"/>
      <c r="E26" s="412" t="s">
        <v>558</v>
      </c>
      <c r="F26" s="412" t="s">
        <v>559</v>
      </c>
      <c r="G26" s="412" t="s">
        <v>560</v>
      </c>
      <c r="H26" s="645"/>
      <c r="I26" s="412" t="s">
        <v>558</v>
      </c>
      <c r="J26" s="412" t="s">
        <v>559</v>
      </c>
      <c r="K26" s="412" t="s">
        <v>560</v>
      </c>
      <c r="L26" s="645"/>
      <c r="M26" s="630"/>
      <c r="N26" s="627"/>
      <c r="O26" s="627"/>
      <c r="P26" s="412" t="s">
        <v>380</v>
      </c>
      <c r="Q26" s="412" t="s">
        <v>381</v>
      </c>
      <c r="R26" s="412" t="s">
        <v>382</v>
      </c>
      <c r="S26" s="412" t="s">
        <v>372</v>
      </c>
      <c r="T26" s="627"/>
      <c r="U26" s="412" t="s">
        <v>380</v>
      </c>
      <c r="V26" s="412" t="s">
        <v>381</v>
      </c>
      <c r="W26" s="412" t="s">
        <v>382</v>
      </c>
      <c r="X26" s="412" t="s">
        <v>372</v>
      </c>
      <c r="Y26" s="627"/>
      <c r="Z26" s="412" t="s">
        <v>380</v>
      </c>
      <c r="AA26" s="412" t="s">
        <v>381</v>
      </c>
      <c r="AB26" s="412" t="s">
        <v>382</v>
      </c>
      <c r="AC26" s="412" t="s">
        <v>372</v>
      </c>
      <c r="AD26" s="627"/>
      <c r="AE26" s="412" t="s">
        <v>380</v>
      </c>
      <c r="AF26" s="412" t="s">
        <v>381</v>
      </c>
      <c r="AG26" s="412" t="s">
        <v>382</v>
      </c>
      <c r="AH26" s="412" t="s">
        <v>372</v>
      </c>
      <c r="AI26" s="627"/>
      <c r="AJ26" s="412" t="s">
        <v>380</v>
      </c>
      <c r="AK26" s="412" t="s">
        <v>381</v>
      </c>
      <c r="AL26" s="412" t="s">
        <v>382</v>
      </c>
      <c r="AM26" s="412" t="s">
        <v>372</v>
      </c>
      <c r="AN26" s="627"/>
      <c r="AO26" s="412" t="s">
        <v>380</v>
      </c>
      <c r="AP26" s="412" t="s">
        <v>381</v>
      </c>
      <c r="AQ26" s="412" t="s">
        <v>382</v>
      </c>
      <c r="AR26" s="412" t="s">
        <v>372</v>
      </c>
      <c r="AS26" s="627"/>
      <c r="AT26" s="412" t="s">
        <v>380</v>
      </c>
      <c r="AU26" s="412" t="s">
        <v>381</v>
      </c>
      <c r="AV26" s="412" t="s">
        <v>382</v>
      </c>
      <c r="AW26" s="412" t="s">
        <v>372</v>
      </c>
      <c r="AX26" s="627"/>
      <c r="AZ26" s="401" t="s">
        <v>372</v>
      </c>
      <c r="BA26" s="627"/>
    </row>
    <row r="27" spans="2:53">
      <c r="B27" s="627" t="s">
        <v>386</v>
      </c>
      <c r="C27" s="415">
        <v>1</v>
      </c>
      <c r="D27" s="225" t="s">
        <v>648</v>
      </c>
      <c r="E27" s="420">
        <v>14</v>
      </c>
      <c r="F27" s="413">
        <v>1500</v>
      </c>
      <c r="G27" s="414">
        <v>107.14285714285714</v>
      </c>
      <c r="H27" s="671">
        <f>AVERAGE(G27:G41)</f>
        <v>96.992396958783516</v>
      </c>
      <c r="I27" s="417">
        <f t="shared" ref="I27:I40" si="19">IFERROR(AVERAGE(P27,U27,Z27,AE27,AJ27,AO27,AT27),"-")</f>
        <v>14</v>
      </c>
      <c r="J27" s="417">
        <f t="shared" ref="J27:J40" si="20">IFERROR(AVERAGE(Q27,V27,AA27,AF27,AK27,AP27,AU27),"-")</f>
        <v>1389.9606017797698</v>
      </c>
      <c r="K27" s="199">
        <f t="shared" ref="K27:K40" si="21">IFERROR(AVERAGE(R27,W27,AB27,AG27,AL27,AQ27,AV27),"-")</f>
        <v>99.28290012712641</v>
      </c>
      <c r="L27" s="608">
        <f>IFERROR(AVERAGE(K27:K41),"-")</f>
        <v>84.277714828679365</v>
      </c>
      <c r="M27" s="421">
        <f>RANK(K27, K$24:$K$41)</f>
        <v>1</v>
      </c>
      <c r="N27" s="627"/>
      <c r="O27" s="627"/>
      <c r="P27" s="550">
        <v>14</v>
      </c>
      <c r="Q27" s="420">
        <v>1402.8571428571424</v>
      </c>
      <c r="R27" s="420">
        <v>100.20408163265303</v>
      </c>
      <c r="S27" s="550">
        <f t="shared" ref="S27:S41" si="22">RANK(R27, R$27:R$41)</f>
        <v>1</v>
      </c>
      <c r="T27" s="636">
        <f t="shared" ref="T27" si="23">AVERAGE(R27:R41)</f>
        <v>84.798212951017561</v>
      </c>
      <c r="U27" s="550">
        <v>14</v>
      </c>
      <c r="V27" s="420">
        <v>1397.7777777777771</v>
      </c>
      <c r="W27" s="420">
        <v>99.841269841269792</v>
      </c>
      <c r="X27" s="550">
        <f t="shared" ref="X27:X41" si="24">RANK(W27, W$27:W$41)</f>
        <v>1</v>
      </c>
      <c r="Y27" s="636">
        <f t="shared" ref="Y27" si="25">AVERAGE(W27:W41)</f>
        <v>85.826280014323373</v>
      </c>
      <c r="Z27" s="550">
        <v>14</v>
      </c>
      <c r="AA27" s="420">
        <v>1378.4999999999995</v>
      </c>
      <c r="AB27" s="420">
        <v>98.46428571428568</v>
      </c>
      <c r="AC27" s="550">
        <f t="shared" ref="AC27:AC41" si="26">RANK(AB27, AB$27:AB$41)</f>
        <v>1</v>
      </c>
      <c r="AD27" s="636">
        <f t="shared" ref="AD27" si="27">AVERAGE(AB27:AB41)</f>
        <v>83.22554622516823</v>
      </c>
      <c r="AE27" s="550">
        <v>14</v>
      </c>
      <c r="AF27" s="420">
        <v>1380.8108108108113</v>
      </c>
      <c r="AG27" s="420">
        <v>98.629343629343666</v>
      </c>
      <c r="AH27" s="550">
        <f t="shared" ref="AH27:AH41" si="28">RANK(AG27, AG$27:AG$41)</f>
        <v>1</v>
      </c>
      <c r="AI27" s="636">
        <f t="shared" ref="AI27" si="29">AVERAGE(AG27:AG41)</f>
        <v>84.412901224911124</v>
      </c>
      <c r="AJ27" s="550">
        <v>14</v>
      </c>
      <c r="AK27" s="420">
        <v>1382.2784810126575</v>
      </c>
      <c r="AL27" s="420">
        <v>98.734177215189817</v>
      </c>
      <c r="AM27" s="550">
        <f t="shared" ref="AM27:AM41" si="30">RANK(AL27, AL$27:AL$41)</f>
        <v>1</v>
      </c>
      <c r="AN27" s="636">
        <f t="shared" ref="AN27" si="31">AVERAGE(AL27:AL41)</f>
        <v>83.654282969464703</v>
      </c>
      <c r="AO27" s="550">
        <v>14</v>
      </c>
      <c r="AP27" s="420">
        <v>1399.3750000000002</v>
      </c>
      <c r="AQ27" s="420">
        <v>99.955357142857153</v>
      </c>
      <c r="AR27" s="550">
        <f t="shared" ref="AR27:AR41" si="32">RANK(AQ27, AQ$27:AQ$41)</f>
        <v>1</v>
      </c>
      <c r="AS27" s="636">
        <f t="shared" ref="AS27" si="33">AVERAGE(AQ27:AQ41)</f>
        <v>82.928378862214558</v>
      </c>
      <c r="AT27" s="550">
        <v>14</v>
      </c>
      <c r="AU27" s="420">
        <v>1388.1250000000002</v>
      </c>
      <c r="AV27" s="420">
        <v>99.151785714285737</v>
      </c>
      <c r="AW27" s="550">
        <f t="shared" ref="AW27:AW41" si="34">RANK(AV27, AV$27:AV$41)</f>
        <v>1</v>
      </c>
      <c r="AX27" s="636">
        <f t="shared" ref="AX27" si="35">AVERAGE(AV27:AV41)</f>
        <v>84.174224718016589</v>
      </c>
      <c r="AZ27" s="402" t="e">
        <f t="shared" ref="AZ27:AZ41" si="36">RANK(AY27, AY$27:AY$41)</f>
        <v>#N/A</v>
      </c>
      <c r="BA27" s="636" t="e">
        <f t="shared" ref="BA27" si="37">AVERAGE(AY27:AY41)</f>
        <v>#DIV/0!</v>
      </c>
    </row>
    <row r="28" spans="2:53">
      <c r="B28" s="635"/>
      <c r="C28" s="415">
        <v>2</v>
      </c>
      <c r="D28" s="225" t="s">
        <v>534</v>
      </c>
      <c r="E28" s="420">
        <v>16</v>
      </c>
      <c r="F28" s="413">
        <v>1636</v>
      </c>
      <c r="G28" s="414">
        <v>102.25</v>
      </c>
      <c r="H28" s="672"/>
      <c r="I28" s="417">
        <f t="shared" si="19"/>
        <v>16.714285714285715</v>
      </c>
      <c r="J28" s="417">
        <f t="shared" si="20"/>
        <v>1395.8186248905113</v>
      </c>
      <c r="K28" s="199">
        <f t="shared" si="21"/>
        <v>83.561951187367612</v>
      </c>
      <c r="L28" s="609"/>
      <c r="M28" s="424">
        <f>RANK(K28, K$24:$K$41)</f>
        <v>4</v>
      </c>
      <c r="N28" s="627"/>
      <c r="O28" s="627"/>
      <c r="P28" s="550">
        <v>17</v>
      </c>
      <c r="Q28" s="420">
        <v>1414.3593749999998</v>
      </c>
      <c r="R28" s="420">
        <v>83.197610294117638</v>
      </c>
      <c r="S28" s="550">
        <f t="shared" si="22"/>
        <v>4</v>
      </c>
      <c r="T28" s="637"/>
      <c r="U28" s="550">
        <v>17</v>
      </c>
      <c r="V28" s="420">
        <v>1458.2033898305078</v>
      </c>
      <c r="W28" s="420">
        <v>85.776669990029873</v>
      </c>
      <c r="X28" s="550">
        <f t="shared" si="24"/>
        <v>4</v>
      </c>
      <c r="Y28" s="637"/>
      <c r="Z28" s="550">
        <v>17</v>
      </c>
      <c r="AA28" s="420">
        <v>1369.2656249999998</v>
      </c>
      <c r="AB28" s="420">
        <v>80.54503676470587</v>
      </c>
      <c r="AC28" s="550">
        <f t="shared" si="26"/>
        <v>5</v>
      </c>
      <c r="AD28" s="637"/>
      <c r="AE28" s="550">
        <v>16</v>
      </c>
      <c r="AF28" s="420">
        <v>1382.6603773584914</v>
      </c>
      <c r="AG28" s="420">
        <v>86.41627358490571</v>
      </c>
      <c r="AH28" s="550">
        <f t="shared" si="28"/>
        <v>3</v>
      </c>
      <c r="AI28" s="637"/>
      <c r="AJ28" s="550">
        <v>16</v>
      </c>
      <c r="AK28" s="420">
        <v>1387.608695652174</v>
      </c>
      <c r="AL28" s="420">
        <v>86.725543478260875</v>
      </c>
      <c r="AM28" s="550">
        <f t="shared" si="30"/>
        <v>2</v>
      </c>
      <c r="AN28" s="637"/>
      <c r="AO28" s="550">
        <v>17</v>
      </c>
      <c r="AP28" s="420">
        <v>1376.8481012658237</v>
      </c>
      <c r="AQ28" s="420">
        <v>80.991064780342569</v>
      </c>
      <c r="AR28" s="550">
        <f t="shared" si="32"/>
        <v>4</v>
      </c>
      <c r="AS28" s="637"/>
      <c r="AT28" s="550">
        <v>17</v>
      </c>
      <c r="AU28" s="420">
        <v>1381.7848101265818</v>
      </c>
      <c r="AV28" s="420">
        <v>81.281459419210691</v>
      </c>
      <c r="AW28" s="550">
        <f t="shared" si="34"/>
        <v>4</v>
      </c>
      <c r="AX28" s="637"/>
      <c r="AZ28" s="402" t="e">
        <f t="shared" si="36"/>
        <v>#N/A</v>
      </c>
      <c r="BA28" s="637"/>
    </row>
    <row r="29" spans="2:53">
      <c r="B29" s="635"/>
      <c r="C29" s="415">
        <v>3</v>
      </c>
      <c r="D29" s="225" t="s">
        <v>636</v>
      </c>
      <c r="E29" s="420">
        <v>16</v>
      </c>
      <c r="F29" s="413">
        <v>1500</v>
      </c>
      <c r="G29" s="414">
        <v>93.75</v>
      </c>
      <c r="H29" s="672"/>
      <c r="I29" s="417">
        <f t="shared" si="19"/>
        <v>16.25</v>
      </c>
      <c r="J29" s="417">
        <f t="shared" si="20"/>
        <v>1392.4127930734151</v>
      </c>
      <c r="K29" s="199">
        <f t="shared" si="21"/>
        <v>85.742041466390532</v>
      </c>
      <c r="L29" s="609"/>
      <c r="M29" s="424">
        <f>RANK(K29, K$24:$K$41)</f>
        <v>2</v>
      </c>
      <c r="N29" s="627"/>
      <c r="O29" s="627"/>
      <c r="P29" s="550">
        <v>17</v>
      </c>
      <c r="Q29" s="420">
        <v>1396.7288135593215</v>
      </c>
      <c r="R29" s="420">
        <v>82.160518444665968</v>
      </c>
      <c r="S29" s="550">
        <f t="shared" si="22"/>
        <v>5</v>
      </c>
      <c r="T29" s="637"/>
      <c r="U29" s="550">
        <v>16</v>
      </c>
      <c r="V29" s="420">
        <v>1402.5283018867933</v>
      </c>
      <c r="W29" s="420">
        <v>87.658018867924582</v>
      </c>
      <c r="X29" s="550">
        <f t="shared" si="24"/>
        <v>2</v>
      </c>
      <c r="Y29" s="637"/>
      <c r="Z29" s="550">
        <v>16</v>
      </c>
      <c r="AA29" s="420">
        <v>1377.2777777777783</v>
      </c>
      <c r="AB29" s="420">
        <v>86.079861111111143</v>
      </c>
      <c r="AC29" s="550">
        <f t="shared" si="26"/>
        <v>2</v>
      </c>
      <c r="AD29" s="637"/>
      <c r="AE29" s="550">
        <v>16</v>
      </c>
      <c r="AF29" s="420">
        <v>1393.1162790697674</v>
      </c>
      <c r="AG29" s="420">
        <v>87.069767441860463</v>
      </c>
      <c r="AH29" s="550">
        <f t="shared" si="28"/>
        <v>2</v>
      </c>
      <c r="AI29" s="637"/>
      <c r="AJ29" s="550" t="s">
        <v>623</v>
      </c>
      <c r="AK29" s="420" t="s">
        <v>623</v>
      </c>
      <c r="AL29" s="420" t="s">
        <v>623</v>
      </c>
      <c r="AM29" s="550" t="e">
        <f t="shared" si="30"/>
        <v>#VALUE!</v>
      </c>
      <c r="AN29" s="637"/>
      <c r="AO29" s="550" t="s">
        <v>623</v>
      </c>
      <c r="AP29" s="420" t="s">
        <v>623</v>
      </c>
      <c r="AQ29" s="420" t="s">
        <v>623</v>
      </c>
      <c r="AR29" s="550" t="e">
        <f t="shared" si="32"/>
        <v>#VALUE!</v>
      </c>
      <c r="AS29" s="637"/>
      <c r="AT29" s="550" t="s">
        <v>623</v>
      </c>
      <c r="AU29" s="420" t="s">
        <v>623</v>
      </c>
      <c r="AV29" s="420" t="s">
        <v>623</v>
      </c>
      <c r="AW29" s="550" t="e">
        <f t="shared" si="34"/>
        <v>#VALUE!</v>
      </c>
      <c r="AX29" s="637"/>
      <c r="AZ29" s="402" t="e">
        <f t="shared" si="36"/>
        <v>#N/A</v>
      </c>
      <c r="BA29" s="637"/>
    </row>
    <row r="30" spans="2:53">
      <c r="B30" s="635"/>
      <c r="C30" s="415">
        <v>4</v>
      </c>
      <c r="D30" s="225" t="s">
        <v>626</v>
      </c>
      <c r="E30" s="420">
        <v>15</v>
      </c>
      <c r="F30" s="413">
        <v>1500</v>
      </c>
      <c r="G30" s="414">
        <v>100</v>
      </c>
      <c r="H30" s="672"/>
      <c r="I30" s="417">
        <f t="shared" si="19"/>
        <v>15.571428571428571</v>
      </c>
      <c r="J30" s="417">
        <f t="shared" si="20"/>
        <v>1313.1724721105759</v>
      </c>
      <c r="K30" s="199">
        <f t="shared" si="21"/>
        <v>84.429985143051908</v>
      </c>
      <c r="L30" s="609"/>
      <c r="M30" s="424">
        <f>RANK(K30, K$24:$K$41)</f>
        <v>3</v>
      </c>
      <c r="N30" s="627"/>
      <c r="O30" s="627"/>
      <c r="P30" s="550">
        <v>15</v>
      </c>
      <c r="Q30" s="420">
        <v>1328.7637795275589</v>
      </c>
      <c r="R30" s="420">
        <v>88.584251968503921</v>
      </c>
      <c r="S30" s="550">
        <f t="shared" si="22"/>
        <v>2</v>
      </c>
      <c r="T30" s="637"/>
      <c r="U30" s="550">
        <v>15</v>
      </c>
      <c r="V30" s="420">
        <v>1310.1891891891892</v>
      </c>
      <c r="W30" s="420">
        <v>87.345945945945942</v>
      </c>
      <c r="X30" s="550">
        <f t="shared" si="24"/>
        <v>3</v>
      </c>
      <c r="Y30" s="637"/>
      <c r="Z30" s="550">
        <v>16</v>
      </c>
      <c r="AA30" s="420">
        <v>1302.6035502958582</v>
      </c>
      <c r="AB30" s="420">
        <v>81.412721893491138</v>
      </c>
      <c r="AC30" s="550">
        <f t="shared" si="26"/>
        <v>4</v>
      </c>
      <c r="AD30" s="637"/>
      <c r="AE30" s="550">
        <v>16</v>
      </c>
      <c r="AF30" s="420">
        <v>1306.1842105263156</v>
      </c>
      <c r="AG30" s="420">
        <v>81.636513157894726</v>
      </c>
      <c r="AH30" s="550">
        <f t="shared" si="28"/>
        <v>5</v>
      </c>
      <c r="AI30" s="637"/>
      <c r="AJ30" s="550">
        <v>16</v>
      </c>
      <c r="AK30" s="420">
        <v>1310.7954545454545</v>
      </c>
      <c r="AL30" s="420">
        <v>81.924715909090907</v>
      </c>
      <c r="AM30" s="550">
        <f t="shared" si="30"/>
        <v>3</v>
      </c>
      <c r="AN30" s="637"/>
      <c r="AO30" s="550">
        <v>16</v>
      </c>
      <c r="AP30" s="420">
        <v>1313.3586206896548</v>
      </c>
      <c r="AQ30" s="420">
        <v>82.084913793103425</v>
      </c>
      <c r="AR30" s="550">
        <f t="shared" si="32"/>
        <v>2</v>
      </c>
      <c r="AS30" s="637"/>
      <c r="AT30" s="550">
        <v>15</v>
      </c>
      <c r="AU30" s="420">
        <v>1320.3124999999995</v>
      </c>
      <c r="AV30" s="420">
        <v>88.0208333333333</v>
      </c>
      <c r="AW30" s="550">
        <f t="shared" si="34"/>
        <v>2</v>
      </c>
      <c r="AX30" s="637"/>
      <c r="AZ30" s="402" t="e">
        <f t="shared" si="36"/>
        <v>#N/A</v>
      </c>
      <c r="BA30" s="637"/>
    </row>
    <row r="31" spans="2:53">
      <c r="B31" s="635"/>
      <c r="C31" s="415">
        <v>5</v>
      </c>
      <c r="D31" s="225" t="s">
        <v>641</v>
      </c>
      <c r="E31" s="420">
        <v>17</v>
      </c>
      <c r="F31" s="413">
        <v>1636</v>
      </c>
      <c r="G31" s="414">
        <v>96.235294117647058</v>
      </c>
      <c r="H31" s="672"/>
      <c r="I31" s="417">
        <f t="shared" si="19"/>
        <v>17</v>
      </c>
      <c r="J31" s="417">
        <f t="shared" si="20"/>
        <v>1314.9749415238723</v>
      </c>
      <c r="K31" s="199">
        <f t="shared" si="21"/>
        <v>77.351467148463072</v>
      </c>
      <c r="L31" s="609"/>
      <c r="M31" s="424">
        <f>RANK(K31, K$24:$K$41)</f>
        <v>6</v>
      </c>
      <c r="N31" s="627"/>
      <c r="O31" s="627"/>
      <c r="P31" s="550">
        <v>17</v>
      </c>
      <c r="Q31" s="420">
        <v>1296.6315789473688</v>
      </c>
      <c r="R31" s="420">
        <v>76.272445820433461</v>
      </c>
      <c r="S31" s="550">
        <f t="shared" si="22"/>
        <v>7</v>
      </c>
      <c r="T31" s="637"/>
      <c r="U31" s="550">
        <v>17</v>
      </c>
      <c r="V31" s="420">
        <v>1326.4285714285711</v>
      </c>
      <c r="W31" s="420">
        <v>78.025210084033588</v>
      </c>
      <c r="X31" s="550">
        <f t="shared" si="24"/>
        <v>6</v>
      </c>
      <c r="Y31" s="637"/>
      <c r="Z31" s="550">
        <v>17</v>
      </c>
      <c r="AA31" s="420">
        <v>1297.4117647058822</v>
      </c>
      <c r="AB31" s="420">
        <v>76.318339100346009</v>
      </c>
      <c r="AC31" s="550">
        <f t="shared" si="26"/>
        <v>7</v>
      </c>
      <c r="AD31" s="637"/>
      <c r="AE31" s="550">
        <v>17</v>
      </c>
      <c r="AF31" s="420">
        <v>1306.9565217391305</v>
      </c>
      <c r="AG31" s="420">
        <v>76.879795396419439</v>
      </c>
      <c r="AH31" s="550">
        <f t="shared" si="28"/>
        <v>7</v>
      </c>
      <c r="AI31" s="637"/>
      <c r="AJ31" s="550">
        <v>17</v>
      </c>
      <c r="AK31" s="420">
        <v>1323.8461538461545</v>
      </c>
      <c r="AL31" s="420">
        <v>77.873303167420858</v>
      </c>
      <c r="AM31" s="550">
        <f t="shared" si="30"/>
        <v>5</v>
      </c>
      <c r="AN31" s="637"/>
      <c r="AO31" s="550">
        <v>17</v>
      </c>
      <c r="AP31" s="420">
        <v>1324.7999999999995</v>
      </c>
      <c r="AQ31" s="420">
        <v>77.929411764705847</v>
      </c>
      <c r="AR31" s="550">
        <f t="shared" si="32"/>
        <v>5</v>
      </c>
      <c r="AS31" s="637"/>
      <c r="AT31" s="550">
        <v>17</v>
      </c>
      <c r="AU31" s="420">
        <v>1328.7500000000005</v>
      </c>
      <c r="AV31" s="420">
        <v>78.161764705882376</v>
      </c>
      <c r="AW31" s="550">
        <f t="shared" si="34"/>
        <v>5</v>
      </c>
      <c r="AX31" s="637"/>
      <c r="AZ31" s="402" t="e">
        <f t="shared" si="36"/>
        <v>#N/A</v>
      </c>
      <c r="BA31" s="637"/>
    </row>
    <row r="32" spans="2:53">
      <c r="B32" s="635"/>
      <c r="C32" s="415">
        <v>6</v>
      </c>
      <c r="D32" s="225" t="s">
        <v>720</v>
      </c>
      <c r="E32" s="420">
        <v>18</v>
      </c>
      <c r="F32" s="413">
        <v>1500</v>
      </c>
      <c r="G32" s="414">
        <v>83.333333333333329</v>
      </c>
      <c r="H32" s="672"/>
      <c r="I32" s="417">
        <f t="shared" si="19"/>
        <v>18</v>
      </c>
      <c r="J32" s="417">
        <f t="shared" si="20"/>
        <v>1374.8859138097887</v>
      </c>
      <c r="K32" s="199">
        <f t="shared" si="21"/>
        <v>76.382550767210503</v>
      </c>
      <c r="L32" s="609"/>
      <c r="M32" s="424">
        <f>RANK(K32, K$24:$K$41)</f>
        <v>7</v>
      </c>
      <c r="N32" s="627"/>
      <c r="O32" s="627"/>
      <c r="P32" s="550">
        <v>18</v>
      </c>
      <c r="Q32" s="420">
        <v>1396.3228915662646</v>
      </c>
      <c r="R32" s="420">
        <v>77.573493975903588</v>
      </c>
      <c r="S32" s="550">
        <f t="shared" si="22"/>
        <v>6</v>
      </c>
      <c r="T32" s="637"/>
      <c r="U32" s="550">
        <v>18</v>
      </c>
      <c r="V32" s="420">
        <v>1392.645569620254</v>
      </c>
      <c r="W32" s="420">
        <v>77.369198312236335</v>
      </c>
      <c r="X32" s="550">
        <f t="shared" si="24"/>
        <v>7</v>
      </c>
      <c r="Y32" s="637"/>
      <c r="Z32" s="550">
        <v>18</v>
      </c>
      <c r="AA32" s="420">
        <v>1386.552631578948</v>
      </c>
      <c r="AB32" s="420">
        <v>77.030701754386001</v>
      </c>
      <c r="AC32" s="550">
        <f t="shared" si="26"/>
        <v>6</v>
      </c>
      <c r="AD32" s="637"/>
      <c r="AE32" s="550">
        <v>18</v>
      </c>
      <c r="AF32" s="420">
        <v>1390.8088235294117</v>
      </c>
      <c r="AG32" s="420">
        <v>77.267156862745097</v>
      </c>
      <c r="AH32" s="550">
        <f t="shared" si="28"/>
        <v>6</v>
      </c>
      <c r="AI32" s="637"/>
      <c r="AJ32" s="550">
        <v>18</v>
      </c>
      <c r="AK32" s="420">
        <v>1355.6024096385538</v>
      </c>
      <c r="AL32" s="420">
        <v>75.31124497991965</v>
      </c>
      <c r="AM32" s="550">
        <f t="shared" si="30"/>
        <v>6</v>
      </c>
      <c r="AN32" s="637"/>
      <c r="AO32" s="550">
        <v>18</v>
      </c>
      <c r="AP32" s="420">
        <v>1352.1262135922327</v>
      </c>
      <c r="AQ32" s="420">
        <v>75.11812297734626</v>
      </c>
      <c r="AR32" s="550">
        <f t="shared" si="32"/>
        <v>6</v>
      </c>
      <c r="AS32" s="637"/>
      <c r="AT32" s="550">
        <v>18</v>
      </c>
      <c r="AU32" s="420">
        <v>1350.1428571428569</v>
      </c>
      <c r="AV32" s="420">
        <v>75.007936507936492</v>
      </c>
      <c r="AW32" s="550">
        <f t="shared" si="34"/>
        <v>6</v>
      </c>
      <c r="AX32" s="637"/>
      <c r="AZ32" s="402" t="e">
        <f t="shared" si="36"/>
        <v>#N/A</v>
      </c>
      <c r="BA32" s="637"/>
    </row>
    <row r="33" spans="2:53">
      <c r="B33" s="635"/>
      <c r="C33" s="415">
        <v>7</v>
      </c>
      <c r="D33" s="225" t="s">
        <v>735</v>
      </c>
      <c r="E33" s="420">
        <v>17</v>
      </c>
      <c r="F33" s="413">
        <v>1636</v>
      </c>
      <c r="G33" s="414">
        <v>96.235294117647058</v>
      </c>
      <c r="H33" s="672"/>
      <c r="I33" s="417">
        <f t="shared" si="19"/>
        <v>17</v>
      </c>
      <c r="J33" s="417">
        <f t="shared" si="20"/>
        <v>1414.282835339473</v>
      </c>
      <c r="K33" s="199">
        <f t="shared" si="21"/>
        <v>83.193107961145486</v>
      </c>
      <c r="L33" s="609"/>
      <c r="M33" s="424">
        <f>RANK(K33, K$24:$K$41)</f>
        <v>5</v>
      </c>
      <c r="N33" s="627"/>
      <c r="O33" s="627"/>
      <c r="P33" s="550">
        <v>17</v>
      </c>
      <c r="Q33" s="420">
        <v>1455.1165048543687</v>
      </c>
      <c r="R33" s="420">
        <v>85.595088520845223</v>
      </c>
      <c r="S33" s="550">
        <f t="shared" si="22"/>
        <v>3</v>
      </c>
      <c r="T33" s="637"/>
      <c r="U33" s="550">
        <v>17</v>
      </c>
      <c r="V33" s="420">
        <v>1441.0499999999995</v>
      </c>
      <c r="W33" s="420">
        <v>84.767647058823499</v>
      </c>
      <c r="X33" s="550">
        <f t="shared" si="24"/>
        <v>5</v>
      </c>
      <c r="Y33" s="637"/>
      <c r="Z33" s="550">
        <v>17</v>
      </c>
      <c r="AA33" s="420">
        <v>1406.3739130434785</v>
      </c>
      <c r="AB33" s="420">
        <v>82.727877237851672</v>
      </c>
      <c r="AC33" s="550">
        <f t="shared" si="26"/>
        <v>3</v>
      </c>
      <c r="AD33" s="637"/>
      <c r="AE33" s="550">
        <v>17</v>
      </c>
      <c r="AF33" s="420">
        <v>1410.8547945205482</v>
      </c>
      <c r="AG33" s="420">
        <v>82.991458501208726</v>
      </c>
      <c r="AH33" s="550">
        <f t="shared" si="28"/>
        <v>4</v>
      </c>
      <c r="AI33" s="637"/>
      <c r="AJ33" s="550">
        <v>17</v>
      </c>
      <c r="AK33" s="420">
        <v>1383.0641221374046</v>
      </c>
      <c r="AL33" s="420">
        <v>81.356713066906153</v>
      </c>
      <c r="AM33" s="550">
        <f t="shared" si="30"/>
        <v>4</v>
      </c>
      <c r="AN33" s="637"/>
      <c r="AO33" s="550">
        <v>17</v>
      </c>
      <c r="AP33" s="420">
        <v>1385.3538461538462</v>
      </c>
      <c r="AQ33" s="420">
        <v>81.491402714932136</v>
      </c>
      <c r="AR33" s="550">
        <f t="shared" si="32"/>
        <v>3</v>
      </c>
      <c r="AS33" s="637"/>
      <c r="AT33" s="550">
        <v>17</v>
      </c>
      <c r="AU33" s="420">
        <v>1418.1666666666663</v>
      </c>
      <c r="AV33" s="420">
        <v>83.421568627450952</v>
      </c>
      <c r="AW33" s="550">
        <f t="shared" si="34"/>
        <v>3</v>
      </c>
      <c r="AX33" s="637"/>
      <c r="AZ33" s="402" t="e">
        <f t="shared" si="36"/>
        <v>#N/A</v>
      </c>
      <c r="BA33" s="637"/>
    </row>
    <row r="34" spans="2:53">
      <c r="B34" s="635"/>
      <c r="C34" s="415">
        <v>8</v>
      </c>
      <c r="D34" s="225"/>
      <c r="E34" s="420"/>
      <c r="F34" s="413"/>
      <c r="G34" s="414"/>
      <c r="H34" s="672"/>
      <c r="I34" s="417" t="str">
        <f t="shared" si="19"/>
        <v>-</v>
      </c>
      <c r="J34" s="417" t="str">
        <f t="shared" si="20"/>
        <v>-</v>
      </c>
      <c r="K34" s="199" t="str">
        <f t="shared" si="21"/>
        <v>-</v>
      </c>
      <c r="L34" s="609"/>
      <c r="M34" s="424" t="e">
        <f>RANK(K34, K$24:$K$41)</f>
        <v>#VALUE!</v>
      </c>
      <c r="N34" s="627"/>
      <c r="O34" s="627"/>
      <c r="P34" s="550" t="s">
        <v>623</v>
      </c>
      <c r="Q34" s="420" t="s">
        <v>623</v>
      </c>
      <c r="R34" s="420" t="s">
        <v>623</v>
      </c>
      <c r="S34" s="550" t="e">
        <f t="shared" si="22"/>
        <v>#VALUE!</v>
      </c>
      <c r="T34" s="637"/>
      <c r="U34" s="550" t="s">
        <v>623</v>
      </c>
      <c r="V34" s="420" t="s">
        <v>623</v>
      </c>
      <c r="W34" s="420" t="s">
        <v>623</v>
      </c>
      <c r="X34" s="550" t="e">
        <f t="shared" si="24"/>
        <v>#VALUE!</v>
      </c>
      <c r="Y34" s="637"/>
      <c r="Z34" s="550" t="s">
        <v>623</v>
      </c>
      <c r="AA34" s="420" t="s">
        <v>623</v>
      </c>
      <c r="AB34" s="420" t="s">
        <v>623</v>
      </c>
      <c r="AC34" s="550" t="e">
        <f t="shared" si="26"/>
        <v>#VALUE!</v>
      </c>
      <c r="AD34" s="637"/>
      <c r="AE34" s="550" t="s">
        <v>623</v>
      </c>
      <c r="AF34" s="420" t="s">
        <v>623</v>
      </c>
      <c r="AG34" s="420" t="s">
        <v>623</v>
      </c>
      <c r="AH34" s="550" t="e">
        <f t="shared" si="28"/>
        <v>#VALUE!</v>
      </c>
      <c r="AI34" s="637"/>
      <c r="AJ34" s="550" t="s">
        <v>623</v>
      </c>
      <c r="AK34" s="420" t="s">
        <v>623</v>
      </c>
      <c r="AL34" s="420" t="s">
        <v>623</v>
      </c>
      <c r="AM34" s="550" t="e">
        <f t="shared" si="30"/>
        <v>#VALUE!</v>
      </c>
      <c r="AN34" s="637"/>
      <c r="AO34" s="550" t="s">
        <v>623</v>
      </c>
      <c r="AP34" s="420" t="s">
        <v>623</v>
      </c>
      <c r="AQ34" s="420" t="s">
        <v>623</v>
      </c>
      <c r="AR34" s="550" t="e">
        <f t="shared" si="32"/>
        <v>#VALUE!</v>
      </c>
      <c r="AS34" s="637"/>
      <c r="AT34" s="550" t="s">
        <v>623</v>
      </c>
      <c r="AU34" s="420" t="s">
        <v>623</v>
      </c>
      <c r="AV34" s="420" t="s">
        <v>623</v>
      </c>
      <c r="AW34" s="550" t="e">
        <f t="shared" si="34"/>
        <v>#VALUE!</v>
      </c>
      <c r="AX34" s="637"/>
      <c r="AZ34" s="402" t="e">
        <f t="shared" si="36"/>
        <v>#N/A</v>
      </c>
      <c r="BA34" s="637"/>
    </row>
    <row r="35" spans="2:53">
      <c r="B35" s="635"/>
      <c r="C35" s="415">
        <v>9</v>
      </c>
      <c r="D35" s="225"/>
      <c r="E35" s="420"/>
      <c r="F35" s="413"/>
      <c r="G35" s="414"/>
      <c r="H35" s="672"/>
      <c r="I35" s="417" t="str">
        <f t="shared" si="19"/>
        <v>-</v>
      </c>
      <c r="J35" s="417" t="str">
        <f t="shared" si="20"/>
        <v>-</v>
      </c>
      <c r="K35" s="199" t="str">
        <f t="shared" si="21"/>
        <v>-</v>
      </c>
      <c r="L35" s="609"/>
      <c r="M35" s="424" t="e">
        <f>RANK(K35, K$24:$K$41)</f>
        <v>#VALUE!</v>
      </c>
      <c r="N35" s="627"/>
      <c r="O35" s="627"/>
      <c r="P35" s="550" t="s">
        <v>623</v>
      </c>
      <c r="Q35" s="420" t="s">
        <v>623</v>
      </c>
      <c r="R35" s="420" t="s">
        <v>623</v>
      </c>
      <c r="S35" s="550" t="e">
        <f t="shared" si="22"/>
        <v>#VALUE!</v>
      </c>
      <c r="T35" s="637"/>
      <c r="U35" s="550" t="s">
        <v>623</v>
      </c>
      <c r="V35" s="420" t="s">
        <v>623</v>
      </c>
      <c r="W35" s="420" t="s">
        <v>623</v>
      </c>
      <c r="X35" s="550" t="e">
        <f t="shared" si="24"/>
        <v>#VALUE!</v>
      </c>
      <c r="Y35" s="637"/>
      <c r="Z35" s="550" t="s">
        <v>623</v>
      </c>
      <c r="AA35" s="420" t="s">
        <v>623</v>
      </c>
      <c r="AB35" s="420" t="s">
        <v>623</v>
      </c>
      <c r="AC35" s="550" t="e">
        <f t="shared" si="26"/>
        <v>#VALUE!</v>
      </c>
      <c r="AD35" s="637"/>
      <c r="AE35" s="550" t="s">
        <v>623</v>
      </c>
      <c r="AF35" s="420" t="s">
        <v>623</v>
      </c>
      <c r="AG35" s="420" t="s">
        <v>623</v>
      </c>
      <c r="AH35" s="550" t="e">
        <f t="shared" si="28"/>
        <v>#VALUE!</v>
      </c>
      <c r="AI35" s="637"/>
      <c r="AJ35" s="550" t="s">
        <v>623</v>
      </c>
      <c r="AK35" s="420" t="s">
        <v>623</v>
      </c>
      <c r="AL35" s="420" t="s">
        <v>623</v>
      </c>
      <c r="AM35" s="550" t="e">
        <f t="shared" si="30"/>
        <v>#VALUE!</v>
      </c>
      <c r="AN35" s="637"/>
      <c r="AO35" s="550" t="s">
        <v>623</v>
      </c>
      <c r="AP35" s="420" t="s">
        <v>623</v>
      </c>
      <c r="AQ35" s="420" t="s">
        <v>623</v>
      </c>
      <c r="AR35" s="550" t="e">
        <f t="shared" si="32"/>
        <v>#VALUE!</v>
      </c>
      <c r="AS35" s="637"/>
      <c r="AT35" s="550" t="s">
        <v>623</v>
      </c>
      <c r="AU35" s="420" t="s">
        <v>623</v>
      </c>
      <c r="AV35" s="420" t="s">
        <v>623</v>
      </c>
      <c r="AW35" s="550" t="e">
        <f t="shared" si="34"/>
        <v>#VALUE!</v>
      </c>
      <c r="AX35" s="637"/>
      <c r="AZ35" s="402" t="e">
        <f t="shared" si="36"/>
        <v>#N/A</v>
      </c>
      <c r="BA35" s="637"/>
    </row>
    <row r="36" spans="2:53">
      <c r="B36" s="635"/>
      <c r="C36" s="415">
        <v>10</v>
      </c>
      <c r="D36" s="225"/>
      <c r="E36" s="420"/>
      <c r="F36" s="413"/>
      <c r="G36" s="414"/>
      <c r="H36" s="672"/>
      <c r="I36" s="417" t="str">
        <f t="shared" si="19"/>
        <v>-</v>
      </c>
      <c r="J36" s="417" t="str">
        <f t="shared" si="20"/>
        <v>-</v>
      </c>
      <c r="K36" s="199" t="str">
        <f t="shared" si="21"/>
        <v>-</v>
      </c>
      <c r="L36" s="609"/>
      <c r="M36" s="424" t="e">
        <f>RANK(K36, K$24:$K$41)</f>
        <v>#VALUE!</v>
      </c>
      <c r="N36" s="627"/>
      <c r="O36" s="627"/>
      <c r="P36" s="550" t="s">
        <v>623</v>
      </c>
      <c r="Q36" s="420" t="s">
        <v>623</v>
      </c>
      <c r="R36" s="420" t="s">
        <v>623</v>
      </c>
      <c r="S36" s="550" t="e">
        <f t="shared" si="22"/>
        <v>#VALUE!</v>
      </c>
      <c r="T36" s="637"/>
      <c r="U36" s="550" t="s">
        <v>623</v>
      </c>
      <c r="V36" s="420" t="s">
        <v>623</v>
      </c>
      <c r="W36" s="420" t="s">
        <v>623</v>
      </c>
      <c r="X36" s="550" t="e">
        <f t="shared" si="24"/>
        <v>#VALUE!</v>
      </c>
      <c r="Y36" s="637"/>
      <c r="Z36" s="550" t="s">
        <v>623</v>
      </c>
      <c r="AA36" s="420" t="s">
        <v>623</v>
      </c>
      <c r="AB36" s="420" t="s">
        <v>623</v>
      </c>
      <c r="AC36" s="550" t="e">
        <f t="shared" si="26"/>
        <v>#VALUE!</v>
      </c>
      <c r="AD36" s="637"/>
      <c r="AE36" s="550" t="s">
        <v>623</v>
      </c>
      <c r="AF36" s="420" t="s">
        <v>623</v>
      </c>
      <c r="AG36" s="420" t="s">
        <v>623</v>
      </c>
      <c r="AH36" s="550" t="e">
        <f t="shared" si="28"/>
        <v>#VALUE!</v>
      </c>
      <c r="AI36" s="637"/>
      <c r="AJ36" s="550" t="s">
        <v>623</v>
      </c>
      <c r="AK36" s="420" t="s">
        <v>623</v>
      </c>
      <c r="AL36" s="420" t="s">
        <v>623</v>
      </c>
      <c r="AM36" s="550" t="e">
        <f t="shared" si="30"/>
        <v>#VALUE!</v>
      </c>
      <c r="AN36" s="637"/>
      <c r="AO36" s="550" t="s">
        <v>623</v>
      </c>
      <c r="AP36" s="420" t="s">
        <v>623</v>
      </c>
      <c r="AQ36" s="420" t="s">
        <v>623</v>
      </c>
      <c r="AR36" s="550" t="e">
        <f t="shared" si="32"/>
        <v>#VALUE!</v>
      </c>
      <c r="AS36" s="637"/>
      <c r="AT36" s="550" t="s">
        <v>623</v>
      </c>
      <c r="AU36" s="420" t="s">
        <v>623</v>
      </c>
      <c r="AV36" s="420" t="s">
        <v>623</v>
      </c>
      <c r="AW36" s="550" t="e">
        <f t="shared" si="34"/>
        <v>#VALUE!</v>
      </c>
      <c r="AX36" s="637"/>
      <c r="AZ36" s="402" t="e">
        <f t="shared" si="36"/>
        <v>#N/A</v>
      </c>
      <c r="BA36" s="637"/>
    </row>
    <row r="37" spans="2:53">
      <c r="B37" s="635"/>
      <c r="C37" s="415">
        <v>11</v>
      </c>
      <c r="D37" s="225"/>
      <c r="E37" s="420"/>
      <c r="F37" s="413"/>
      <c r="G37" s="414"/>
      <c r="H37" s="672"/>
      <c r="I37" s="417" t="str">
        <f t="shared" si="19"/>
        <v>-</v>
      </c>
      <c r="J37" s="417" t="str">
        <f t="shared" si="20"/>
        <v>-</v>
      </c>
      <c r="K37" s="199" t="str">
        <f t="shared" si="21"/>
        <v>-</v>
      </c>
      <c r="L37" s="609"/>
      <c r="M37" s="424" t="e">
        <f>RANK(K37, K$24:$K$41)</f>
        <v>#VALUE!</v>
      </c>
      <c r="N37" s="627"/>
      <c r="O37" s="627"/>
      <c r="P37" s="550" t="s">
        <v>623</v>
      </c>
      <c r="Q37" s="420" t="s">
        <v>623</v>
      </c>
      <c r="R37" s="420" t="s">
        <v>623</v>
      </c>
      <c r="S37" s="550" t="e">
        <f t="shared" si="22"/>
        <v>#VALUE!</v>
      </c>
      <c r="T37" s="637"/>
      <c r="U37" s="550" t="s">
        <v>623</v>
      </c>
      <c r="V37" s="420" t="s">
        <v>623</v>
      </c>
      <c r="W37" s="420" t="s">
        <v>623</v>
      </c>
      <c r="X37" s="550" t="e">
        <f t="shared" si="24"/>
        <v>#VALUE!</v>
      </c>
      <c r="Y37" s="637"/>
      <c r="Z37" s="550" t="s">
        <v>623</v>
      </c>
      <c r="AA37" s="420" t="s">
        <v>623</v>
      </c>
      <c r="AB37" s="420" t="s">
        <v>623</v>
      </c>
      <c r="AC37" s="550" t="e">
        <f t="shared" si="26"/>
        <v>#VALUE!</v>
      </c>
      <c r="AD37" s="637"/>
      <c r="AE37" s="550" t="s">
        <v>623</v>
      </c>
      <c r="AF37" s="420" t="s">
        <v>623</v>
      </c>
      <c r="AG37" s="420" t="s">
        <v>623</v>
      </c>
      <c r="AH37" s="550" t="e">
        <f t="shared" si="28"/>
        <v>#VALUE!</v>
      </c>
      <c r="AI37" s="637"/>
      <c r="AJ37" s="550" t="s">
        <v>623</v>
      </c>
      <c r="AK37" s="420" t="s">
        <v>623</v>
      </c>
      <c r="AL37" s="420" t="s">
        <v>623</v>
      </c>
      <c r="AM37" s="550" t="e">
        <f t="shared" si="30"/>
        <v>#VALUE!</v>
      </c>
      <c r="AN37" s="637"/>
      <c r="AO37" s="550" t="s">
        <v>623</v>
      </c>
      <c r="AP37" s="420" t="s">
        <v>623</v>
      </c>
      <c r="AQ37" s="420" t="s">
        <v>623</v>
      </c>
      <c r="AR37" s="550" t="e">
        <f t="shared" si="32"/>
        <v>#VALUE!</v>
      </c>
      <c r="AS37" s="637"/>
      <c r="AT37" s="550" t="s">
        <v>623</v>
      </c>
      <c r="AU37" s="420" t="s">
        <v>623</v>
      </c>
      <c r="AV37" s="420" t="s">
        <v>623</v>
      </c>
      <c r="AW37" s="550" t="e">
        <f t="shared" si="34"/>
        <v>#VALUE!</v>
      </c>
      <c r="AX37" s="637"/>
      <c r="AZ37" s="402" t="e">
        <f t="shared" si="36"/>
        <v>#N/A</v>
      </c>
      <c r="BA37" s="637"/>
    </row>
    <row r="38" spans="2:53">
      <c r="B38" s="635"/>
      <c r="C38" s="415">
        <v>12</v>
      </c>
      <c r="D38" s="225"/>
      <c r="E38" s="420"/>
      <c r="F38" s="413"/>
      <c r="G38" s="414"/>
      <c r="H38" s="672"/>
      <c r="I38" s="417" t="str">
        <f t="shared" si="19"/>
        <v>-</v>
      </c>
      <c r="J38" s="417" t="str">
        <f t="shared" si="20"/>
        <v>-</v>
      </c>
      <c r="K38" s="199" t="str">
        <f t="shared" si="21"/>
        <v>-</v>
      </c>
      <c r="L38" s="609"/>
      <c r="M38" s="424" t="e">
        <f>RANK(K38, K$24:$K$41)</f>
        <v>#VALUE!</v>
      </c>
      <c r="N38" s="627"/>
      <c r="O38" s="627"/>
      <c r="P38" s="550" t="s">
        <v>623</v>
      </c>
      <c r="Q38" s="420" t="s">
        <v>623</v>
      </c>
      <c r="R38" s="420" t="s">
        <v>623</v>
      </c>
      <c r="S38" s="550" t="e">
        <f t="shared" si="22"/>
        <v>#VALUE!</v>
      </c>
      <c r="T38" s="637"/>
      <c r="U38" s="550" t="s">
        <v>623</v>
      </c>
      <c r="V38" s="420" t="s">
        <v>623</v>
      </c>
      <c r="W38" s="420" t="s">
        <v>623</v>
      </c>
      <c r="X38" s="550" t="e">
        <f t="shared" si="24"/>
        <v>#VALUE!</v>
      </c>
      <c r="Y38" s="637"/>
      <c r="Z38" s="550" t="s">
        <v>623</v>
      </c>
      <c r="AA38" s="420" t="s">
        <v>623</v>
      </c>
      <c r="AB38" s="420" t="s">
        <v>623</v>
      </c>
      <c r="AC38" s="550" t="e">
        <f t="shared" si="26"/>
        <v>#VALUE!</v>
      </c>
      <c r="AD38" s="637"/>
      <c r="AE38" s="550" t="s">
        <v>623</v>
      </c>
      <c r="AF38" s="420" t="s">
        <v>623</v>
      </c>
      <c r="AG38" s="420" t="s">
        <v>623</v>
      </c>
      <c r="AH38" s="550" t="e">
        <f t="shared" si="28"/>
        <v>#VALUE!</v>
      </c>
      <c r="AI38" s="637"/>
      <c r="AJ38" s="550" t="s">
        <v>623</v>
      </c>
      <c r="AK38" s="420" t="s">
        <v>623</v>
      </c>
      <c r="AL38" s="420" t="s">
        <v>623</v>
      </c>
      <c r="AM38" s="550" t="e">
        <f t="shared" si="30"/>
        <v>#VALUE!</v>
      </c>
      <c r="AN38" s="637"/>
      <c r="AO38" s="550" t="s">
        <v>623</v>
      </c>
      <c r="AP38" s="420" t="s">
        <v>623</v>
      </c>
      <c r="AQ38" s="420" t="s">
        <v>623</v>
      </c>
      <c r="AR38" s="550" t="e">
        <f t="shared" si="32"/>
        <v>#VALUE!</v>
      </c>
      <c r="AS38" s="637"/>
      <c r="AT38" s="550" t="s">
        <v>623</v>
      </c>
      <c r="AU38" s="420" t="s">
        <v>623</v>
      </c>
      <c r="AV38" s="420" t="s">
        <v>623</v>
      </c>
      <c r="AW38" s="550" t="e">
        <f t="shared" si="34"/>
        <v>#VALUE!</v>
      </c>
      <c r="AX38" s="637"/>
      <c r="AZ38" s="402" t="e">
        <f t="shared" si="36"/>
        <v>#N/A</v>
      </c>
      <c r="BA38" s="637"/>
    </row>
    <row r="39" spans="2:53">
      <c r="B39" s="635"/>
      <c r="C39" s="415">
        <v>13</v>
      </c>
      <c r="D39" s="225"/>
      <c r="E39" s="420"/>
      <c r="F39" s="413"/>
      <c r="G39" s="414"/>
      <c r="H39" s="672"/>
      <c r="I39" s="417" t="str">
        <f t="shared" si="19"/>
        <v>-</v>
      </c>
      <c r="J39" s="417" t="str">
        <f t="shared" si="20"/>
        <v>-</v>
      </c>
      <c r="K39" s="199" t="str">
        <f t="shared" si="21"/>
        <v>-</v>
      </c>
      <c r="L39" s="609"/>
      <c r="M39" s="424" t="e">
        <f>RANK(K39, K$24:$K$41)</f>
        <v>#VALUE!</v>
      </c>
      <c r="N39" s="627"/>
      <c r="O39" s="627"/>
      <c r="P39" s="550" t="s">
        <v>623</v>
      </c>
      <c r="Q39" s="420" t="s">
        <v>623</v>
      </c>
      <c r="R39" s="420" t="s">
        <v>623</v>
      </c>
      <c r="S39" s="550" t="e">
        <f t="shared" si="22"/>
        <v>#VALUE!</v>
      </c>
      <c r="T39" s="637"/>
      <c r="U39" s="550" t="s">
        <v>623</v>
      </c>
      <c r="V39" s="420" t="s">
        <v>623</v>
      </c>
      <c r="W39" s="420" t="s">
        <v>623</v>
      </c>
      <c r="X39" s="550" t="e">
        <f t="shared" si="24"/>
        <v>#VALUE!</v>
      </c>
      <c r="Y39" s="637"/>
      <c r="Z39" s="550" t="s">
        <v>623</v>
      </c>
      <c r="AA39" s="420" t="s">
        <v>623</v>
      </c>
      <c r="AB39" s="420" t="s">
        <v>623</v>
      </c>
      <c r="AC39" s="550" t="e">
        <f t="shared" si="26"/>
        <v>#VALUE!</v>
      </c>
      <c r="AD39" s="637"/>
      <c r="AE39" s="550" t="s">
        <v>623</v>
      </c>
      <c r="AF39" s="420" t="s">
        <v>623</v>
      </c>
      <c r="AG39" s="420" t="s">
        <v>623</v>
      </c>
      <c r="AH39" s="550" t="e">
        <f t="shared" si="28"/>
        <v>#VALUE!</v>
      </c>
      <c r="AI39" s="637"/>
      <c r="AJ39" s="550" t="s">
        <v>623</v>
      </c>
      <c r="AK39" s="420" t="s">
        <v>623</v>
      </c>
      <c r="AL39" s="420" t="s">
        <v>623</v>
      </c>
      <c r="AM39" s="550" t="e">
        <f t="shared" si="30"/>
        <v>#VALUE!</v>
      </c>
      <c r="AN39" s="637"/>
      <c r="AO39" s="550" t="s">
        <v>623</v>
      </c>
      <c r="AP39" s="420" t="s">
        <v>623</v>
      </c>
      <c r="AQ39" s="420" t="s">
        <v>623</v>
      </c>
      <c r="AR39" s="550" t="e">
        <f t="shared" si="32"/>
        <v>#VALUE!</v>
      </c>
      <c r="AS39" s="637"/>
      <c r="AT39" s="550" t="s">
        <v>623</v>
      </c>
      <c r="AU39" s="420" t="s">
        <v>623</v>
      </c>
      <c r="AV39" s="420" t="s">
        <v>623</v>
      </c>
      <c r="AW39" s="550" t="e">
        <f t="shared" si="34"/>
        <v>#VALUE!</v>
      </c>
      <c r="AX39" s="637"/>
      <c r="AZ39" s="402" t="e">
        <f t="shared" si="36"/>
        <v>#N/A</v>
      </c>
      <c r="BA39" s="637"/>
    </row>
    <row r="40" spans="2:53">
      <c r="B40" s="635"/>
      <c r="C40" s="415">
        <v>14</v>
      </c>
      <c r="D40" s="225"/>
      <c r="E40" s="420"/>
      <c r="F40" s="413"/>
      <c r="G40" s="414"/>
      <c r="H40" s="672"/>
      <c r="I40" s="417" t="str">
        <f t="shared" si="19"/>
        <v>-</v>
      </c>
      <c r="J40" s="417" t="str">
        <f t="shared" si="20"/>
        <v>-</v>
      </c>
      <c r="K40" s="199" t="str">
        <f t="shared" si="21"/>
        <v>-</v>
      </c>
      <c r="L40" s="609"/>
      <c r="M40" s="424" t="e">
        <f>RANK(K40, K$24:$K$41)</f>
        <v>#VALUE!</v>
      </c>
      <c r="N40" s="627"/>
      <c r="O40" s="627"/>
      <c r="P40" s="550" t="s">
        <v>623</v>
      </c>
      <c r="Q40" s="420" t="s">
        <v>623</v>
      </c>
      <c r="R40" s="420" t="s">
        <v>623</v>
      </c>
      <c r="S40" s="550" t="e">
        <f t="shared" si="22"/>
        <v>#VALUE!</v>
      </c>
      <c r="T40" s="637"/>
      <c r="U40" s="550" t="s">
        <v>623</v>
      </c>
      <c r="V40" s="420" t="s">
        <v>623</v>
      </c>
      <c r="W40" s="420" t="s">
        <v>623</v>
      </c>
      <c r="X40" s="550" t="e">
        <f t="shared" si="24"/>
        <v>#VALUE!</v>
      </c>
      <c r="Y40" s="637"/>
      <c r="Z40" s="550" t="s">
        <v>623</v>
      </c>
      <c r="AA40" s="420" t="s">
        <v>623</v>
      </c>
      <c r="AB40" s="420" t="s">
        <v>623</v>
      </c>
      <c r="AC40" s="550" t="e">
        <f t="shared" si="26"/>
        <v>#VALUE!</v>
      </c>
      <c r="AD40" s="637"/>
      <c r="AE40" s="550" t="s">
        <v>623</v>
      </c>
      <c r="AF40" s="420" t="s">
        <v>623</v>
      </c>
      <c r="AG40" s="420" t="s">
        <v>623</v>
      </c>
      <c r="AH40" s="550" t="e">
        <f t="shared" si="28"/>
        <v>#VALUE!</v>
      </c>
      <c r="AI40" s="637"/>
      <c r="AJ40" s="550" t="s">
        <v>623</v>
      </c>
      <c r="AK40" s="420" t="s">
        <v>623</v>
      </c>
      <c r="AL40" s="420" t="s">
        <v>623</v>
      </c>
      <c r="AM40" s="550" t="e">
        <f t="shared" si="30"/>
        <v>#VALUE!</v>
      </c>
      <c r="AN40" s="637"/>
      <c r="AO40" s="550" t="s">
        <v>623</v>
      </c>
      <c r="AP40" s="420" t="s">
        <v>623</v>
      </c>
      <c r="AQ40" s="420" t="s">
        <v>623</v>
      </c>
      <c r="AR40" s="550" t="e">
        <f t="shared" si="32"/>
        <v>#VALUE!</v>
      </c>
      <c r="AS40" s="637"/>
      <c r="AT40" s="550" t="s">
        <v>623</v>
      </c>
      <c r="AU40" s="420" t="s">
        <v>623</v>
      </c>
      <c r="AV40" s="420" t="s">
        <v>623</v>
      </c>
      <c r="AW40" s="550" t="e">
        <f t="shared" si="34"/>
        <v>#VALUE!</v>
      </c>
      <c r="AX40" s="637"/>
      <c r="AZ40" s="402" t="e">
        <f t="shared" si="36"/>
        <v>#N/A</v>
      </c>
      <c r="BA40" s="637"/>
    </row>
    <row r="41" spans="2:53">
      <c r="B41" s="635"/>
      <c r="C41" s="415">
        <v>15</v>
      </c>
      <c r="D41" s="225"/>
      <c r="E41" s="420"/>
      <c r="F41" s="413"/>
      <c r="G41" s="414"/>
      <c r="H41" s="676"/>
      <c r="I41" s="415"/>
      <c r="J41" s="415"/>
      <c r="K41" s="415"/>
      <c r="L41" s="610"/>
      <c r="M41" s="424" t="e">
        <f>RANK(K41, K$24:$K$41)</f>
        <v>#N/A</v>
      </c>
      <c r="N41" s="627"/>
      <c r="O41" s="627"/>
      <c r="P41" s="550" t="s">
        <v>623</v>
      </c>
      <c r="Q41" s="420" t="s">
        <v>623</v>
      </c>
      <c r="R41" s="420" t="s">
        <v>623</v>
      </c>
      <c r="S41" s="550" t="e">
        <f t="shared" si="22"/>
        <v>#VALUE!</v>
      </c>
      <c r="T41" s="638"/>
      <c r="U41" s="550" t="s">
        <v>623</v>
      </c>
      <c r="V41" s="420" t="s">
        <v>623</v>
      </c>
      <c r="W41" s="420" t="s">
        <v>623</v>
      </c>
      <c r="X41" s="550" t="e">
        <f t="shared" si="24"/>
        <v>#VALUE!</v>
      </c>
      <c r="Y41" s="638"/>
      <c r="Z41" s="550" t="s">
        <v>623</v>
      </c>
      <c r="AA41" s="420" t="s">
        <v>623</v>
      </c>
      <c r="AB41" s="420" t="s">
        <v>623</v>
      </c>
      <c r="AC41" s="550" t="e">
        <f t="shared" si="26"/>
        <v>#VALUE!</v>
      </c>
      <c r="AD41" s="638"/>
      <c r="AE41" s="550" t="s">
        <v>623</v>
      </c>
      <c r="AF41" s="420" t="s">
        <v>623</v>
      </c>
      <c r="AG41" s="420" t="s">
        <v>623</v>
      </c>
      <c r="AH41" s="550" t="e">
        <f t="shared" si="28"/>
        <v>#VALUE!</v>
      </c>
      <c r="AI41" s="638"/>
      <c r="AJ41" s="550" t="s">
        <v>623</v>
      </c>
      <c r="AK41" s="420" t="s">
        <v>623</v>
      </c>
      <c r="AL41" s="420" t="s">
        <v>623</v>
      </c>
      <c r="AM41" s="550" t="e">
        <f t="shared" si="30"/>
        <v>#VALUE!</v>
      </c>
      <c r="AN41" s="638"/>
      <c r="AO41" s="550" t="s">
        <v>623</v>
      </c>
      <c r="AP41" s="420" t="s">
        <v>623</v>
      </c>
      <c r="AQ41" s="420" t="s">
        <v>623</v>
      </c>
      <c r="AR41" s="550" t="e">
        <f t="shared" si="32"/>
        <v>#VALUE!</v>
      </c>
      <c r="AS41" s="638"/>
      <c r="AT41" s="550" t="s">
        <v>623</v>
      </c>
      <c r="AU41" s="420" t="s">
        <v>623</v>
      </c>
      <c r="AV41" s="420" t="s">
        <v>623</v>
      </c>
      <c r="AW41" s="550" t="e">
        <f t="shared" si="34"/>
        <v>#VALUE!</v>
      </c>
      <c r="AX41" s="638"/>
      <c r="AZ41" s="402" t="e">
        <f t="shared" si="36"/>
        <v>#N/A</v>
      </c>
      <c r="BA41" s="638"/>
    </row>
    <row r="42" spans="2:53" ht="15.75">
      <c r="B42" s="653" t="s">
        <v>163</v>
      </c>
      <c r="C42" s="654"/>
      <c r="D42" s="654"/>
      <c r="E42" s="654"/>
      <c r="F42" s="654"/>
      <c r="G42" s="654"/>
      <c r="H42" s="654"/>
      <c r="I42" s="207"/>
      <c r="J42" s="202"/>
      <c r="K42" s="207"/>
      <c r="L42" s="207"/>
      <c r="M42" s="203"/>
      <c r="N42" s="628" t="s">
        <v>156</v>
      </c>
      <c r="O42" s="628" t="s">
        <v>105</v>
      </c>
      <c r="P42" s="634">
        <f>P22+7</f>
        <v>46154</v>
      </c>
      <c r="Q42" s="635"/>
      <c r="R42" s="635"/>
      <c r="S42" s="635"/>
      <c r="T42" s="635"/>
      <c r="U42" s="631">
        <f>P42+1</f>
        <v>46155</v>
      </c>
      <c r="V42" s="632"/>
      <c r="W42" s="632"/>
      <c r="X42" s="632"/>
      <c r="Y42" s="633"/>
      <c r="Z42" s="631">
        <f>U42+1</f>
        <v>46156</v>
      </c>
      <c r="AA42" s="632"/>
      <c r="AB42" s="632"/>
      <c r="AC42" s="632"/>
      <c r="AD42" s="633"/>
      <c r="AE42" s="631">
        <f>Z42+1</f>
        <v>46157</v>
      </c>
      <c r="AF42" s="632"/>
      <c r="AG42" s="632"/>
      <c r="AH42" s="632"/>
      <c r="AI42" s="633"/>
      <c r="AJ42" s="631">
        <f>AE42+1</f>
        <v>46158</v>
      </c>
      <c r="AK42" s="632"/>
      <c r="AL42" s="632"/>
      <c r="AM42" s="632"/>
      <c r="AN42" s="633"/>
      <c r="AO42" s="631">
        <f>AJ42+1</f>
        <v>46159</v>
      </c>
      <c r="AP42" s="632"/>
      <c r="AQ42" s="632"/>
      <c r="AR42" s="632"/>
      <c r="AS42" s="633"/>
      <c r="AT42" s="631">
        <f>AO42+1</f>
        <v>46160</v>
      </c>
      <c r="AU42" s="632"/>
      <c r="AV42" s="632"/>
      <c r="AW42" s="632"/>
      <c r="AX42" s="633"/>
    </row>
    <row r="43" spans="2:53" ht="15.75">
      <c r="B43" s="642"/>
      <c r="C43" s="642"/>
      <c r="D43" s="642"/>
      <c r="E43" s="642"/>
      <c r="F43" s="642"/>
      <c r="G43" s="642"/>
      <c r="H43" s="642"/>
      <c r="I43" s="204"/>
      <c r="J43" s="204"/>
      <c r="K43" s="204"/>
      <c r="L43" s="204"/>
      <c r="M43" s="205"/>
      <c r="N43" s="630"/>
      <c r="O43" s="630"/>
      <c r="P43" s="634" t="s">
        <v>318</v>
      </c>
      <c r="Q43" s="635"/>
      <c r="R43" s="635"/>
      <c r="S43" s="635"/>
      <c r="T43" s="635"/>
      <c r="U43" s="634" t="s">
        <v>319</v>
      </c>
      <c r="V43" s="635"/>
      <c r="W43" s="635"/>
      <c r="X43" s="635"/>
      <c r="Y43" s="635"/>
      <c r="Z43" s="634" t="s">
        <v>320</v>
      </c>
      <c r="AA43" s="635"/>
      <c r="AB43" s="635"/>
      <c r="AC43" s="635"/>
      <c r="AD43" s="635"/>
      <c r="AE43" s="634" t="s">
        <v>321</v>
      </c>
      <c r="AF43" s="635"/>
      <c r="AG43" s="635"/>
      <c r="AH43" s="635"/>
      <c r="AI43" s="635"/>
      <c r="AJ43" s="634" t="s">
        <v>322</v>
      </c>
      <c r="AK43" s="635"/>
      <c r="AL43" s="635"/>
      <c r="AM43" s="635"/>
      <c r="AN43" s="635"/>
      <c r="AO43" s="634" t="s">
        <v>323</v>
      </c>
      <c r="AP43" s="635"/>
      <c r="AQ43" s="635"/>
      <c r="AR43" s="635"/>
      <c r="AS43" s="635"/>
      <c r="AT43" s="634" t="s">
        <v>324</v>
      </c>
      <c r="AU43" s="635"/>
      <c r="AV43" s="635"/>
      <c r="AW43" s="635"/>
      <c r="AX43" s="635"/>
    </row>
    <row r="44" spans="2:53">
      <c r="B44" s="627" t="s">
        <v>374</v>
      </c>
      <c r="C44" s="627" t="s">
        <v>551</v>
      </c>
      <c r="D44" s="627"/>
      <c r="E44" s="627" t="s">
        <v>552</v>
      </c>
      <c r="F44" s="627"/>
      <c r="G44" s="627"/>
      <c r="H44" s="643" t="s">
        <v>553</v>
      </c>
      <c r="I44" s="627" t="s">
        <v>554</v>
      </c>
      <c r="J44" s="627"/>
      <c r="K44" s="627"/>
      <c r="L44" s="643" t="s">
        <v>371</v>
      </c>
      <c r="M44" s="628" t="s">
        <v>555</v>
      </c>
      <c r="N44" s="627"/>
      <c r="O44" s="627" t="s">
        <v>556</v>
      </c>
      <c r="P44" s="624" t="s">
        <v>373</v>
      </c>
      <c r="Q44" s="625"/>
      <c r="R44" s="625"/>
      <c r="S44" s="626"/>
      <c r="T44" s="627" t="s">
        <v>371</v>
      </c>
      <c r="U44" s="624" t="s">
        <v>373</v>
      </c>
      <c r="V44" s="625"/>
      <c r="W44" s="625"/>
      <c r="X44" s="626"/>
      <c r="Y44" s="627" t="s">
        <v>371</v>
      </c>
      <c r="Z44" s="624" t="s">
        <v>373</v>
      </c>
      <c r="AA44" s="625"/>
      <c r="AB44" s="625"/>
      <c r="AC44" s="626"/>
      <c r="AD44" s="627" t="s">
        <v>371</v>
      </c>
      <c r="AE44" s="624" t="s">
        <v>373</v>
      </c>
      <c r="AF44" s="625"/>
      <c r="AG44" s="625"/>
      <c r="AH44" s="626"/>
      <c r="AI44" s="627" t="s">
        <v>371</v>
      </c>
      <c r="AJ44" s="624" t="s">
        <v>373</v>
      </c>
      <c r="AK44" s="625"/>
      <c r="AL44" s="625"/>
      <c r="AM44" s="626"/>
      <c r="AN44" s="627" t="s">
        <v>371</v>
      </c>
      <c r="AO44" s="624" t="s">
        <v>373</v>
      </c>
      <c r="AP44" s="625"/>
      <c r="AQ44" s="625"/>
      <c r="AR44" s="626"/>
      <c r="AS44" s="627" t="s">
        <v>371</v>
      </c>
      <c r="AT44" s="624" t="s">
        <v>373</v>
      </c>
      <c r="AU44" s="625"/>
      <c r="AV44" s="625"/>
      <c r="AW44" s="626"/>
      <c r="AX44" s="627" t="s">
        <v>371</v>
      </c>
      <c r="BA44" s="627" t="s">
        <v>371</v>
      </c>
    </row>
    <row r="45" spans="2:53">
      <c r="B45" s="627"/>
      <c r="C45" s="627"/>
      <c r="D45" s="627"/>
      <c r="E45" s="627" t="s">
        <v>557</v>
      </c>
      <c r="F45" s="627"/>
      <c r="G45" s="627"/>
      <c r="H45" s="644"/>
      <c r="I45" s="627" t="s">
        <v>557</v>
      </c>
      <c r="J45" s="627"/>
      <c r="K45" s="627"/>
      <c r="L45" s="644"/>
      <c r="M45" s="629"/>
      <c r="N45" s="627"/>
      <c r="O45" s="627"/>
      <c r="P45" s="624" t="s">
        <v>379</v>
      </c>
      <c r="Q45" s="625"/>
      <c r="R45" s="625"/>
      <c r="S45" s="626"/>
      <c r="T45" s="627"/>
      <c r="U45" s="624" t="s">
        <v>379</v>
      </c>
      <c r="V45" s="625"/>
      <c r="W45" s="625"/>
      <c r="X45" s="626"/>
      <c r="Y45" s="627"/>
      <c r="Z45" s="624" t="s">
        <v>379</v>
      </c>
      <c r="AA45" s="625"/>
      <c r="AB45" s="625"/>
      <c r="AC45" s="626"/>
      <c r="AD45" s="627"/>
      <c r="AE45" s="624" t="s">
        <v>379</v>
      </c>
      <c r="AF45" s="625"/>
      <c r="AG45" s="625"/>
      <c r="AH45" s="626"/>
      <c r="AI45" s="627"/>
      <c r="AJ45" s="624" t="s">
        <v>379</v>
      </c>
      <c r="AK45" s="625"/>
      <c r="AL45" s="625"/>
      <c r="AM45" s="626"/>
      <c r="AN45" s="627"/>
      <c r="AO45" s="624" t="s">
        <v>379</v>
      </c>
      <c r="AP45" s="625"/>
      <c r="AQ45" s="625"/>
      <c r="AR45" s="626"/>
      <c r="AS45" s="627"/>
      <c r="AT45" s="624" t="s">
        <v>379</v>
      </c>
      <c r="AU45" s="625"/>
      <c r="AV45" s="625"/>
      <c r="AW45" s="626"/>
      <c r="AX45" s="627"/>
      <c r="BA45" s="627"/>
    </row>
    <row r="46" spans="2:53">
      <c r="B46" s="627"/>
      <c r="C46" s="627"/>
      <c r="D46" s="627"/>
      <c r="E46" s="412" t="s">
        <v>558</v>
      </c>
      <c r="F46" s="412" t="s">
        <v>559</v>
      </c>
      <c r="G46" s="412" t="s">
        <v>560</v>
      </c>
      <c r="H46" s="645"/>
      <c r="I46" s="412" t="s">
        <v>558</v>
      </c>
      <c r="J46" s="412" t="s">
        <v>559</v>
      </c>
      <c r="K46" s="412" t="s">
        <v>560</v>
      </c>
      <c r="L46" s="645"/>
      <c r="M46" s="630"/>
      <c r="N46" s="627"/>
      <c r="O46" s="627"/>
      <c r="P46" s="412" t="s">
        <v>380</v>
      </c>
      <c r="Q46" s="412" t="s">
        <v>381</v>
      </c>
      <c r="R46" s="412" t="s">
        <v>382</v>
      </c>
      <c r="S46" s="412" t="s">
        <v>372</v>
      </c>
      <c r="T46" s="627"/>
      <c r="U46" s="412" t="s">
        <v>380</v>
      </c>
      <c r="V46" s="412" t="s">
        <v>381</v>
      </c>
      <c r="W46" s="412" t="s">
        <v>382</v>
      </c>
      <c r="X46" s="412" t="s">
        <v>372</v>
      </c>
      <c r="Y46" s="627"/>
      <c r="Z46" s="412" t="s">
        <v>380</v>
      </c>
      <c r="AA46" s="412" t="s">
        <v>381</v>
      </c>
      <c r="AB46" s="412" t="s">
        <v>382</v>
      </c>
      <c r="AC46" s="412" t="s">
        <v>372</v>
      </c>
      <c r="AD46" s="627"/>
      <c r="AE46" s="412" t="s">
        <v>380</v>
      </c>
      <c r="AF46" s="412" t="s">
        <v>381</v>
      </c>
      <c r="AG46" s="412" t="s">
        <v>382</v>
      </c>
      <c r="AH46" s="412" t="s">
        <v>372</v>
      </c>
      <c r="AI46" s="627"/>
      <c r="AJ46" s="412" t="s">
        <v>380</v>
      </c>
      <c r="AK46" s="412" t="s">
        <v>381</v>
      </c>
      <c r="AL46" s="412" t="s">
        <v>382</v>
      </c>
      <c r="AM46" s="412" t="s">
        <v>372</v>
      </c>
      <c r="AN46" s="627"/>
      <c r="AO46" s="412" t="s">
        <v>380</v>
      </c>
      <c r="AP46" s="412" t="s">
        <v>381</v>
      </c>
      <c r="AQ46" s="412" t="s">
        <v>382</v>
      </c>
      <c r="AR46" s="412" t="s">
        <v>372</v>
      </c>
      <c r="AS46" s="627"/>
      <c r="AT46" s="412" t="s">
        <v>380</v>
      </c>
      <c r="AU46" s="412" t="s">
        <v>381</v>
      </c>
      <c r="AV46" s="412" t="s">
        <v>382</v>
      </c>
      <c r="AW46" s="412" t="s">
        <v>372</v>
      </c>
      <c r="AX46" s="627"/>
      <c r="AZ46" s="401" t="s">
        <v>586</v>
      </c>
      <c r="BA46" s="627"/>
    </row>
    <row r="47" spans="2:53">
      <c r="B47" s="627" t="s">
        <v>386</v>
      </c>
      <c r="C47" s="415">
        <v>1</v>
      </c>
      <c r="D47" s="225"/>
      <c r="E47" s="420"/>
      <c r="F47" s="500"/>
      <c r="G47" s="501"/>
      <c r="H47" s="671" t="e">
        <f>AVERAGE(G47:G61)</f>
        <v>#DIV/0!</v>
      </c>
      <c r="I47" s="417" t="str">
        <f t="shared" ref="I47:I60" si="38">IFERROR(AVERAGE(P47,U47,Z47,AE47,AJ47,AO47,AT47),"-")</f>
        <v>-</v>
      </c>
      <c r="J47" s="417" t="str">
        <f t="shared" ref="J47:J60" si="39">IFERROR(AVERAGE(Q47,V47,AA47,AF47,AK47,AP47,AU47),"-")</f>
        <v>-</v>
      </c>
      <c r="K47" s="199" t="str">
        <f t="shared" ref="K47:K60" si="40">IFERROR(AVERAGE(R47,W47,AB47,AG47,AL47,AQ47,AV47),"-")</f>
        <v>-</v>
      </c>
      <c r="L47" s="608" t="str">
        <f>IFERROR(AVERAGE(K47:K61),"-")</f>
        <v>-</v>
      </c>
      <c r="M47" s="486" t="e">
        <f>RANK(K47, K$47:$K$61)</f>
        <v>#VALUE!</v>
      </c>
      <c r="N47" s="627"/>
      <c r="O47" s="627"/>
      <c r="P47" s="483"/>
      <c r="Q47" s="420"/>
      <c r="R47" s="420"/>
      <c r="S47" s="483"/>
      <c r="T47" s="636"/>
      <c r="U47" s="483"/>
      <c r="V47" s="420"/>
      <c r="W47" s="420"/>
      <c r="X47" s="483"/>
      <c r="Y47" s="636"/>
      <c r="Z47" s="483"/>
      <c r="AA47" s="420"/>
      <c r="AB47" s="420"/>
      <c r="AC47" s="483"/>
      <c r="AD47" s="636"/>
      <c r="AE47" s="483"/>
      <c r="AF47" s="420"/>
      <c r="AG47" s="420"/>
      <c r="AH47" s="483"/>
      <c r="AI47" s="636"/>
      <c r="AJ47" s="483"/>
      <c r="AK47" s="420"/>
      <c r="AL47" s="420"/>
      <c r="AM47" s="483"/>
      <c r="AN47" s="636"/>
      <c r="AO47" s="483"/>
      <c r="AP47" s="420"/>
      <c r="AQ47" s="420"/>
      <c r="AR47" s="483"/>
      <c r="AS47" s="636"/>
      <c r="AT47" s="483"/>
      <c r="AU47" s="420"/>
      <c r="AV47" s="420"/>
      <c r="AW47" s="483"/>
      <c r="AX47" s="636"/>
      <c r="AZ47" s="402" t="e">
        <f t="shared" ref="AZ47:AZ61" si="41">RANK(AY47, AY$47:AY$61)</f>
        <v>#N/A</v>
      </c>
      <c r="BA47" s="650" t="e">
        <f t="shared" ref="BA47" si="42">AVERAGE(AY47:AY61)</f>
        <v>#DIV/0!</v>
      </c>
    </row>
    <row r="48" spans="2:53">
      <c r="B48" s="635"/>
      <c r="C48" s="415">
        <v>2</v>
      </c>
      <c r="D48" s="225"/>
      <c r="E48" s="420"/>
      <c r="F48" s="500"/>
      <c r="G48" s="501"/>
      <c r="H48" s="672"/>
      <c r="I48" s="417" t="str">
        <f t="shared" si="38"/>
        <v>-</v>
      </c>
      <c r="J48" s="417" t="str">
        <f t="shared" si="39"/>
        <v>-</v>
      </c>
      <c r="K48" s="199" t="str">
        <f t="shared" si="40"/>
        <v>-</v>
      </c>
      <c r="L48" s="609"/>
      <c r="M48" s="486" t="e">
        <f>RANK(K48, K$47:$K$61)</f>
        <v>#VALUE!</v>
      </c>
      <c r="N48" s="627"/>
      <c r="O48" s="627"/>
      <c r="P48" s="483"/>
      <c r="Q48" s="420"/>
      <c r="R48" s="420"/>
      <c r="S48" s="483"/>
      <c r="T48" s="637"/>
      <c r="U48" s="483"/>
      <c r="V48" s="420"/>
      <c r="W48" s="420"/>
      <c r="X48" s="483"/>
      <c r="Y48" s="637"/>
      <c r="Z48" s="483"/>
      <c r="AA48" s="420"/>
      <c r="AB48" s="420"/>
      <c r="AC48" s="483"/>
      <c r="AD48" s="637"/>
      <c r="AE48" s="483"/>
      <c r="AF48" s="420"/>
      <c r="AG48" s="420"/>
      <c r="AH48" s="483"/>
      <c r="AI48" s="637"/>
      <c r="AJ48" s="483"/>
      <c r="AK48" s="420"/>
      <c r="AL48" s="420"/>
      <c r="AM48" s="483"/>
      <c r="AN48" s="637"/>
      <c r="AO48" s="483"/>
      <c r="AP48" s="420"/>
      <c r="AQ48" s="420"/>
      <c r="AR48" s="483"/>
      <c r="AS48" s="637"/>
      <c r="AT48" s="483"/>
      <c r="AU48" s="420"/>
      <c r="AV48" s="420"/>
      <c r="AW48" s="483"/>
      <c r="AX48" s="637"/>
      <c r="AZ48" s="402" t="e">
        <f t="shared" si="41"/>
        <v>#N/A</v>
      </c>
      <c r="BA48" s="651"/>
    </row>
    <row r="49" spans="2:53">
      <c r="B49" s="635"/>
      <c r="C49" s="415">
        <v>3</v>
      </c>
      <c r="D49" s="225"/>
      <c r="E49" s="420"/>
      <c r="F49" s="500"/>
      <c r="G49" s="501"/>
      <c r="H49" s="672"/>
      <c r="I49" s="417" t="str">
        <f t="shared" si="38"/>
        <v>-</v>
      </c>
      <c r="J49" s="417" t="str">
        <f t="shared" si="39"/>
        <v>-</v>
      </c>
      <c r="K49" s="199" t="str">
        <f t="shared" si="40"/>
        <v>-</v>
      </c>
      <c r="L49" s="609"/>
      <c r="M49" s="486" t="e">
        <f>RANK(K49, K$47:$K$61)</f>
        <v>#VALUE!</v>
      </c>
      <c r="N49" s="627"/>
      <c r="O49" s="627"/>
      <c r="P49" s="483"/>
      <c r="Q49" s="420"/>
      <c r="R49" s="420"/>
      <c r="S49" s="483"/>
      <c r="T49" s="637"/>
      <c r="U49" s="483"/>
      <c r="V49" s="420"/>
      <c r="W49" s="420"/>
      <c r="X49" s="483"/>
      <c r="Y49" s="637"/>
      <c r="Z49" s="483"/>
      <c r="AA49" s="420"/>
      <c r="AB49" s="420"/>
      <c r="AC49" s="483"/>
      <c r="AD49" s="637"/>
      <c r="AE49" s="483"/>
      <c r="AF49" s="420"/>
      <c r="AG49" s="420"/>
      <c r="AH49" s="483"/>
      <c r="AI49" s="637"/>
      <c r="AJ49" s="483"/>
      <c r="AK49" s="420"/>
      <c r="AL49" s="420"/>
      <c r="AM49" s="483"/>
      <c r="AN49" s="637"/>
      <c r="AO49" s="483"/>
      <c r="AP49" s="420"/>
      <c r="AQ49" s="420"/>
      <c r="AR49" s="483"/>
      <c r="AS49" s="637"/>
      <c r="AT49" s="483"/>
      <c r="AU49" s="420"/>
      <c r="AV49" s="420"/>
      <c r="AW49" s="483"/>
      <c r="AX49" s="637"/>
      <c r="AZ49" s="402" t="e">
        <f t="shared" si="41"/>
        <v>#N/A</v>
      </c>
      <c r="BA49" s="651"/>
    </row>
    <row r="50" spans="2:53">
      <c r="B50" s="635"/>
      <c r="C50" s="415">
        <v>4</v>
      </c>
      <c r="D50" s="225"/>
      <c r="E50" s="420"/>
      <c r="F50" s="500"/>
      <c r="G50" s="501"/>
      <c r="H50" s="672"/>
      <c r="I50" s="417" t="str">
        <f t="shared" si="38"/>
        <v>-</v>
      </c>
      <c r="J50" s="417" t="str">
        <f t="shared" si="39"/>
        <v>-</v>
      </c>
      <c r="K50" s="199" t="str">
        <f t="shared" si="40"/>
        <v>-</v>
      </c>
      <c r="L50" s="609"/>
      <c r="M50" s="486" t="e">
        <f>RANK(K50, K$47:$K$61)</f>
        <v>#VALUE!</v>
      </c>
      <c r="N50" s="627"/>
      <c r="O50" s="627"/>
      <c r="P50" s="483"/>
      <c r="Q50" s="420"/>
      <c r="R50" s="420"/>
      <c r="S50" s="483"/>
      <c r="T50" s="637"/>
      <c r="U50" s="483"/>
      <c r="V50" s="420"/>
      <c r="W50" s="420"/>
      <c r="X50" s="483"/>
      <c r="Y50" s="637"/>
      <c r="Z50" s="483"/>
      <c r="AA50" s="420"/>
      <c r="AB50" s="420"/>
      <c r="AC50" s="483"/>
      <c r="AD50" s="637"/>
      <c r="AE50" s="483"/>
      <c r="AF50" s="420"/>
      <c r="AG50" s="420"/>
      <c r="AH50" s="483"/>
      <c r="AI50" s="637"/>
      <c r="AJ50" s="483"/>
      <c r="AK50" s="420"/>
      <c r="AL50" s="420"/>
      <c r="AM50" s="483"/>
      <c r="AN50" s="637"/>
      <c r="AO50" s="483"/>
      <c r="AP50" s="420"/>
      <c r="AQ50" s="420"/>
      <c r="AR50" s="483"/>
      <c r="AS50" s="637"/>
      <c r="AT50" s="483"/>
      <c r="AU50" s="420"/>
      <c r="AV50" s="420"/>
      <c r="AW50" s="483"/>
      <c r="AX50" s="637"/>
      <c r="AZ50" s="402" t="e">
        <f t="shared" si="41"/>
        <v>#N/A</v>
      </c>
      <c r="BA50" s="651"/>
    </row>
    <row r="51" spans="2:53">
      <c r="B51" s="635"/>
      <c r="C51" s="415">
        <v>5</v>
      </c>
      <c r="D51" s="225"/>
      <c r="E51" s="420"/>
      <c r="F51" s="500"/>
      <c r="G51" s="501"/>
      <c r="H51" s="672"/>
      <c r="I51" s="417" t="str">
        <f t="shared" si="38"/>
        <v>-</v>
      </c>
      <c r="J51" s="417" t="str">
        <f t="shared" si="39"/>
        <v>-</v>
      </c>
      <c r="K51" s="199" t="str">
        <f t="shared" si="40"/>
        <v>-</v>
      </c>
      <c r="L51" s="609"/>
      <c r="M51" s="486" t="e">
        <f>RANK(K51, K$47:$K$61)</f>
        <v>#VALUE!</v>
      </c>
      <c r="N51" s="627"/>
      <c r="O51" s="627"/>
      <c r="P51" s="483"/>
      <c r="Q51" s="420"/>
      <c r="R51" s="420"/>
      <c r="S51" s="483"/>
      <c r="T51" s="637"/>
      <c r="U51" s="483"/>
      <c r="V51" s="420"/>
      <c r="W51" s="420"/>
      <c r="X51" s="483"/>
      <c r="Y51" s="637"/>
      <c r="Z51" s="483"/>
      <c r="AA51" s="420"/>
      <c r="AB51" s="420"/>
      <c r="AC51" s="483"/>
      <c r="AD51" s="637"/>
      <c r="AE51" s="483"/>
      <c r="AF51" s="420"/>
      <c r="AG51" s="420"/>
      <c r="AH51" s="483"/>
      <c r="AI51" s="637"/>
      <c r="AJ51" s="483"/>
      <c r="AK51" s="420"/>
      <c r="AL51" s="420"/>
      <c r="AM51" s="483"/>
      <c r="AN51" s="637"/>
      <c r="AO51" s="483"/>
      <c r="AP51" s="420"/>
      <c r="AQ51" s="420"/>
      <c r="AR51" s="483"/>
      <c r="AS51" s="637"/>
      <c r="AT51" s="483"/>
      <c r="AU51" s="420"/>
      <c r="AV51" s="420"/>
      <c r="AW51" s="483"/>
      <c r="AX51" s="637"/>
      <c r="AZ51" s="402" t="e">
        <f t="shared" si="41"/>
        <v>#N/A</v>
      </c>
      <c r="BA51" s="651"/>
    </row>
    <row r="52" spans="2:53">
      <c r="B52" s="635"/>
      <c r="C52" s="415">
        <v>6</v>
      </c>
      <c r="D52" s="225"/>
      <c r="E52" s="420"/>
      <c r="F52" s="500"/>
      <c r="G52" s="501"/>
      <c r="H52" s="672"/>
      <c r="I52" s="417" t="str">
        <f t="shared" si="38"/>
        <v>-</v>
      </c>
      <c r="J52" s="417" t="str">
        <f t="shared" si="39"/>
        <v>-</v>
      </c>
      <c r="K52" s="199" t="str">
        <f t="shared" si="40"/>
        <v>-</v>
      </c>
      <c r="L52" s="609"/>
      <c r="M52" s="486" t="e">
        <f>RANK(K52, K$47:$K$61)</f>
        <v>#VALUE!</v>
      </c>
      <c r="N52" s="627"/>
      <c r="O52" s="627"/>
      <c r="P52" s="483"/>
      <c r="Q52" s="420"/>
      <c r="R52" s="420"/>
      <c r="S52" s="483"/>
      <c r="T52" s="637"/>
      <c r="U52" s="483"/>
      <c r="V52" s="420"/>
      <c r="W52" s="420"/>
      <c r="X52" s="483"/>
      <c r="Y52" s="637"/>
      <c r="Z52" s="483"/>
      <c r="AA52" s="420"/>
      <c r="AB52" s="420"/>
      <c r="AC52" s="483"/>
      <c r="AD52" s="637"/>
      <c r="AE52" s="483"/>
      <c r="AF52" s="420"/>
      <c r="AG52" s="420"/>
      <c r="AH52" s="483"/>
      <c r="AI52" s="637"/>
      <c r="AJ52" s="483"/>
      <c r="AK52" s="420"/>
      <c r="AL52" s="420"/>
      <c r="AM52" s="483"/>
      <c r="AN52" s="637"/>
      <c r="AO52" s="483"/>
      <c r="AP52" s="420"/>
      <c r="AQ52" s="420"/>
      <c r="AR52" s="483"/>
      <c r="AS52" s="637"/>
      <c r="AT52" s="483"/>
      <c r="AU52" s="420"/>
      <c r="AV52" s="420"/>
      <c r="AW52" s="483"/>
      <c r="AX52" s="637"/>
      <c r="AZ52" s="402" t="e">
        <f t="shared" si="41"/>
        <v>#N/A</v>
      </c>
      <c r="BA52" s="651"/>
    </row>
    <row r="53" spans="2:53">
      <c r="B53" s="635"/>
      <c r="C53" s="415">
        <v>7</v>
      </c>
      <c r="D53" s="225"/>
      <c r="E53" s="420"/>
      <c r="F53" s="500"/>
      <c r="G53" s="501"/>
      <c r="H53" s="672"/>
      <c r="I53" s="417" t="str">
        <f t="shared" si="38"/>
        <v>-</v>
      </c>
      <c r="J53" s="417" t="str">
        <f t="shared" si="39"/>
        <v>-</v>
      </c>
      <c r="K53" s="199" t="str">
        <f t="shared" si="40"/>
        <v>-</v>
      </c>
      <c r="L53" s="609"/>
      <c r="M53" s="486" t="e">
        <f>RANK(K53, K$47:$K$61)</f>
        <v>#VALUE!</v>
      </c>
      <c r="N53" s="627"/>
      <c r="O53" s="627"/>
      <c r="P53" s="483"/>
      <c r="Q53" s="420"/>
      <c r="R53" s="420"/>
      <c r="S53" s="483"/>
      <c r="T53" s="637"/>
      <c r="U53" s="483"/>
      <c r="V53" s="420"/>
      <c r="W53" s="420"/>
      <c r="X53" s="483"/>
      <c r="Y53" s="637"/>
      <c r="Z53" s="483"/>
      <c r="AA53" s="420"/>
      <c r="AB53" s="420"/>
      <c r="AC53" s="483"/>
      <c r="AD53" s="637"/>
      <c r="AE53" s="483"/>
      <c r="AF53" s="420"/>
      <c r="AG53" s="420"/>
      <c r="AH53" s="483"/>
      <c r="AI53" s="637"/>
      <c r="AJ53" s="483"/>
      <c r="AK53" s="420"/>
      <c r="AL53" s="420"/>
      <c r="AM53" s="483"/>
      <c r="AN53" s="637"/>
      <c r="AO53" s="483"/>
      <c r="AP53" s="420"/>
      <c r="AQ53" s="420"/>
      <c r="AR53" s="483"/>
      <c r="AS53" s="637"/>
      <c r="AT53" s="483"/>
      <c r="AU53" s="420"/>
      <c r="AV53" s="420"/>
      <c r="AW53" s="483"/>
      <c r="AX53" s="637"/>
      <c r="AZ53" s="402" t="e">
        <f t="shared" si="41"/>
        <v>#N/A</v>
      </c>
      <c r="BA53" s="651"/>
    </row>
    <row r="54" spans="2:53">
      <c r="B54" s="635"/>
      <c r="C54" s="415">
        <v>8</v>
      </c>
      <c r="D54" s="225"/>
      <c r="E54" s="420"/>
      <c r="F54" s="500"/>
      <c r="G54" s="501"/>
      <c r="H54" s="672"/>
      <c r="I54" s="417" t="str">
        <f t="shared" si="38"/>
        <v>-</v>
      </c>
      <c r="J54" s="417" t="str">
        <f t="shared" si="39"/>
        <v>-</v>
      </c>
      <c r="K54" s="199" t="str">
        <f t="shared" si="40"/>
        <v>-</v>
      </c>
      <c r="L54" s="609"/>
      <c r="M54" s="486" t="e">
        <f>RANK(K54, K$47:$K$61)</f>
        <v>#VALUE!</v>
      </c>
      <c r="N54" s="627"/>
      <c r="O54" s="627"/>
      <c r="P54" s="483"/>
      <c r="Q54" s="420"/>
      <c r="R54" s="420"/>
      <c r="S54" s="483"/>
      <c r="T54" s="637"/>
      <c r="U54" s="483"/>
      <c r="V54" s="420"/>
      <c r="W54" s="420"/>
      <c r="X54" s="483"/>
      <c r="Y54" s="637"/>
      <c r="Z54" s="483"/>
      <c r="AA54" s="420"/>
      <c r="AB54" s="420"/>
      <c r="AC54" s="483"/>
      <c r="AD54" s="637"/>
      <c r="AE54" s="483"/>
      <c r="AF54" s="420"/>
      <c r="AG54" s="420"/>
      <c r="AH54" s="483"/>
      <c r="AI54" s="637"/>
      <c r="AJ54" s="483"/>
      <c r="AK54" s="420"/>
      <c r="AL54" s="420"/>
      <c r="AM54" s="483"/>
      <c r="AN54" s="637"/>
      <c r="AO54" s="483"/>
      <c r="AP54" s="420"/>
      <c r="AQ54" s="420"/>
      <c r="AR54" s="483"/>
      <c r="AS54" s="637"/>
      <c r="AT54" s="483"/>
      <c r="AU54" s="420"/>
      <c r="AV54" s="420"/>
      <c r="AW54" s="483"/>
      <c r="AX54" s="637"/>
      <c r="AZ54" s="402" t="e">
        <f t="shared" si="41"/>
        <v>#N/A</v>
      </c>
      <c r="BA54" s="651"/>
    </row>
    <row r="55" spans="2:53">
      <c r="B55" s="635"/>
      <c r="C55" s="415">
        <v>9</v>
      </c>
      <c r="D55" s="225"/>
      <c r="E55" s="420"/>
      <c r="F55" s="500"/>
      <c r="G55" s="501"/>
      <c r="H55" s="672"/>
      <c r="I55" s="417" t="str">
        <f t="shared" si="38"/>
        <v>-</v>
      </c>
      <c r="J55" s="417" t="str">
        <f t="shared" si="39"/>
        <v>-</v>
      </c>
      <c r="K55" s="199" t="str">
        <f t="shared" si="40"/>
        <v>-</v>
      </c>
      <c r="L55" s="609"/>
      <c r="M55" s="486" t="e">
        <f>RANK(K55, K$47:$K$61)</f>
        <v>#VALUE!</v>
      </c>
      <c r="N55" s="627"/>
      <c r="O55" s="627"/>
      <c r="P55" s="483"/>
      <c r="Q55" s="420"/>
      <c r="R55" s="420"/>
      <c r="S55" s="483"/>
      <c r="T55" s="637"/>
      <c r="U55" s="483"/>
      <c r="V55" s="420"/>
      <c r="W55" s="420"/>
      <c r="X55" s="483"/>
      <c r="Y55" s="637"/>
      <c r="Z55" s="483"/>
      <c r="AA55" s="420"/>
      <c r="AB55" s="420"/>
      <c r="AC55" s="483"/>
      <c r="AD55" s="637"/>
      <c r="AE55" s="483"/>
      <c r="AF55" s="420"/>
      <c r="AG55" s="420"/>
      <c r="AH55" s="483"/>
      <c r="AI55" s="637"/>
      <c r="AJ55" s="483"/>
      <c r="AK55" s="420"/>
      <c r="AL55" s="420"/>
      <c r="AM55" s="483"/>
      <c r="AN55" s="637"/>
      <c r="AO55" s="483"/>
      <c r="AP55" s="420"/>
      <c r="AQ55" s="420"/>
      <c r="AR55" s="483"/>
      <c r="AS55" s="637"/>
      <c r="AT55" s="483"/>
      <c r="AU55" s="420"/>
      <c r="AV55" s="420"/>
      <c r="AW55" s="483"/>
      <c r="AX55" s="637"/>
      <c r="AZ55" s="402" t="e">
        <f t="shared" si="41"/>
        <v>#N/A</v>
      </c>
      <c r="BA55" s="651"/>
    </row>
    <row r="56" spans="2:53">
      <c r="B56" s="635"/>
      <c r="C56" s="415">
        <v>10</v>
      </c>
      <c r="D56" s="225"/>
      <c r="E56" s="420"/>
      <c r="F56" s="500"/>
      <c r="G56" s="501"/>
      <c r="H56" s="672"/>
      <c r="I56" s="417" t="str">
        <f t="shared" si="38"/>
        <v>-</v>
      </c>
      <c r="J56" s="417" t="str">
        <f t="shared" si="39"/>
        <v>-</v>
      </c>
      <c r="K56" s="199" t="str">
        <f t="shared" si="40"/>
        <v>-</v>
      </c>
      <c r="L56" s="609"/>
      <c r="M56" s="486" t="e">
        <f>RANK(K56, K$47:$K$61)</f>
        <v>#VALUE!</v>
      </c>
      <c r="N56" s="627"/>
      <c r="O56" s="627"/>
      <c r="P56" s="483"/>
      <c r="Q56" s="420"/>
      <c r="R56" s="420"/>
      <c r="S56" s="483"/>
      <c r="T56" s="637"/>
      <c r="U56" s="483"/>
      <c r="V56" s="420"/>
      <c r="W56" s="420"/>
      <c r="X56" s="483"/>
      <c r="Y56" s="637"/>
      <c r="Z56" s="483"/>
      <c r="AA56" s="420"/>
      <c r="AB56" s="420"/>
      <c r="AC56" s="483"/>
      <c r="AD56" s="637"/>
      <c r="AE56" s="483"/>
      <c r="AF56" s="420"/>
      <c r="AG56" s="420"/>
      <c r="AH56" s="483"/>
      <c r="AI56" s="637"/>
      <c r="AJ56" s="483"/>
      <c r="AK56" s="420"/>
      <c r="AL56" s="420"/>
      <c r="AM56" s="483"/>
      <c r="AN56" s="637"/>
      <c r="AO56" s="483"/>
      <c r="AP56" s="420"/>
      <c r="AQ56" s="420"/>
      <c r="AR56" s="483"/>
      <c r="AS56" s="637"/>
      <c r="AT56" s="483"/>
      <c r="AU56" s="420"/>
      <c r="AV56" s="420"/>
      <c r="AW56" s="483"/>
      <c r="AX56" s="637"/>
      <c r="AZ56" s="402" t="e">
        <f t="shared" si="41"/>
        <v>#N/A</v>
      </c>
      <c r="BA56" s="651"/>
    </row>
    <row r="57" spans="2:53">
      <c r="B57" s="635"/>
      <c r="C57" s="415">
        <v>11</v>
      </c>
      <c r="D57" s="225"/>
      <c r="E57" s="420"/>
      <c r="F57" s="500"/>
      <c r="G57" s="501"/>
      <c r="H57" s="672"/>
      <c r="I57" s="417" t="str">
        <f t="shared" si="38"/>
        <v>-</v>
      </c>
      <c r="J57" s="417" t="str">
        <f t="shared" si="39"/>
        <v>-</v>
      </c>
      <c r="K57" s="199" t="str">
        <f t="shared" si="40"/>
        <v>-</v>
      </c>
      <c r="L57" s="609"/>
      <c r="M57" s="486" t="e">
        <f>RANK(K57, K$47:$K$61)</f>
        <v>#VALUE!</v>
      </c>
      <c r="N57" s="627"/>
      <c r="O57" s="627"/>
      <c r="P57" s="483"/>
      <c r="Q57" s="420"/>
      <c r="R57" s="420"/>
      <c r="S57" s="483"/>
      <c r="T57" s="637"/>
      <c r="U57" s="483"/>
      <c r="V57" s="420"/>
      <c r="W57" s="420"/>
      <c r="X57" s="483"/>
      <c r="Y57" s="637"/>
      <c r="Z57" s="483"/>
      <c r="AA57" s="420"/>
      <c r="AB57" s="420"/>
      <c r="AC57" s="483"/>
      <c r="AD57" s="637"/>
      <c r="AE57" s="483"/>
      <c r="AF57" s="420"/>
      <c r="AG57" s="420"/>
      <c r="AH57" s="483"/>
      <c r="AI57" s="637"/>
      <c r="AJ57" s="483"/>
      <c r="AK57" s="420"/>
      <c r="AL57" s="420"/>
      <c r="AM57" s="483"/>
      <c r="AN57" s="637"/>
      <c r="AO57" s="483"/>
      <c r="AP57" s="420"/>
      <c r="AQ57" s="420"/>
      <c r="AR57" s="483"/>
      <c r="AS57" s="637"/>
      <c r="AT57" s="483"/>
      <c r="AU57" s="420"/>
      <c r="AV57" s="420"/>
      <c r="AW57" s="483"/>
      <c r="AX57" s="637"/>
      <c r="AZ57" s="402" t="e">
        <f t="shared" si="41"/>
        <v>#N/A</v>
      </c>
      <c r="BA57" s="651"/>
    </row>
    <row r="58" spans="2:53">
      <c r="B58" s="635"/>
      <c r="C58" s="415">
        <v>12</v>
      </c>
      <c r="D58" s="225"/>
      <c r="E58" s="420"/>
      <c r="F58" s="500"/>
      <c r="G58" s="501"/>
      <c r="H58" s="672"/>
      <c r="I58" s="417" t="str">
        <f t="shared" si="38"/>
        <v>-</v>
      </c>
      <c r="J58" s="417" t="str">
        <f t="shared" si="39"/>
        <v>-</v>
      </c>
      <c r="K58" s="199" t="str">
        <f t="shared" si="40"/>
        <v>-</v>
      </c>
      <c r="L58" s="609"/>
      <c r="M58" s="486" t="e">
        <f>RANK(K58, K$47:$K$61)</f>
        <v>#VALUE!</v>
      </c>
      <c r="N58" s="627"/>
      <c r="O58" s="627"/>
      <c r="P58" s="483"/>
      <c r="Q58" s="420"/>
      <c r="R58" s="420"/>
      <c r="S58" s="483"/>
      <c r="T58" s="637"/>
      <c r="U58" s="483"/>
      <c r="V58" s="420"/>
      <c r="W58" s="420"/>
      <c r="X58" s="483"/>
      <c r="Y58" s="637"/>
      <c r="Z58" s="483"/>
      <c r="AA58" s="420"/>
      <c r="AB58" s="420"/>
      <c r="AC58" s="483"/>
      <c r="AD58" s="637"/>
      <c r="AE58" s="483"/>
      <c r="AF58" s="420"/>
      <c r="AG58" s="420"/>
      <c r="AH58" s="483"/>
      <c r="AI58" s="637"/>
      <c r="AJ58" s="483"/>
      <c r="AK58" s="420"/>
      <c r="AL58" s="420"/>
      <c r="AM58" s="483"/>
      <c r="AN58" s="637"/>
      <c r="AO58" s="483"/>
      <c r="AP58" s="420"/>
      <c r="AQ58" s="420"/>
      <c r="AR58" s="483"/>
      <c r="AS58" s="637"/>
      <c r="AT58" s="483"/>
      <c r="AU58" s="420"/>
      <c r="AV58" s="420"/>
      <c r="AW58" s="483"/>
      <c r="AX58" s="637"/>
      <c r="AZ58" s="402" t="e">
        <f t="shared" si="41"/>
        <v>#N/A</v>
      </c>
      <c r="BA58" s="651"/>
    </row>
    <row r="59" spans="2:53">
      <c r="B59" s="635"/>
      <c r="C59" s="415">
        <v>13</v>
      </c>
      <c r="D59" s="225"/>
      <c r="E59" s="420"/>
      <c r="F59" s="500"/>
      <c r="G59" s="501"/>
      <c r="H59" s="672"/>
      <c r="I59" s="417" t="str">
        <f t="shared" si="38"/>
        <v>-</v>
      </c>
      <c r="J59" s="417" t="str">
        <f t="shared" si="39"/>
        <v>-</v>
      </c>
      <c r="K59" s="199" t="str">
        <f t="shared" si="40"/>
        <v>-</v>
      </c>
      <c r="L59" s="609"/>
      <c r="M59" s="486" t="e">
        <f>RANK(K59, K$47:$K$61)</f>
        <v>#VALUE!</v>
      </c>
      <c r="N59" s="627"/>
      <c r="O59" s="627"/>
      <c r="P59" s="483"/>
      <c r="Q59" s="420"/>
      <c r="R59" s="420"/>
      <c r="S59" s="483"/>
      <c r="T59" s="637"/>
      <c r="U59" s="483"/>
      <c r="V59" s="420"/>
      <c r="W59" s="420"/>
      <c r="X59" s="483"/>
      <c r="Y59" s="637"/>
      <c r="Z59" s="483"/>
      <c r="AA59" s="420"/>
      <c r="AB59" s="420"/>
      <c r="AC59" s="483"/>
      <c r="AD59" s="637"/>
      <c r="AE59" s="483"/>
      <c r="AF59" s="420"/>
      <c r="AG59" s="420"/>
      <c r="AH59" s="483"/>
      <c r="AI59" s="637"/>
      <c r="AJ59" s="483"/>
      <c r="AK59" s="420"/>
      <c r="AL59" s="420"/>
      <c r="AM59" s="483"/>
      <c r="AN59" s="637"/>
      <c r="AO59" s="483"/>
      <c r="AP59" s="420"/>
      <c r="AQ59" s="420"/>
      <c r="AR59" s="483"/>
      <c r="AS59" s="637"/>
      <c r="AT59" s="483"/>
      <c r="AU59" s="420"/>
      <c r="AV59" s="420"/>
      <c r="AW59" s="483"/>
      <c r="AX59" s="637"/>
      <c r="AZ59" s="402" t="e">
        <f t="shared" si="41"/>
        <v>#N/A</v>
      </c>
      <c r="BA59" s="651"/>
    </row>
    <row r="60" spans="2:53">
      <c r="B60" s="635"/>
      <c r="C60" s="415">
        <v>14</v>
      </c>
      <c r="D60" s="225"/>
      <c r="E60" s="420"/>
      <c r="F60" s="500"/>
      <c r="G60" s="501"/>
      <c r="H60" s="672"/>
      <c r="I60" s="417" t="str">
        <f t="shared" si="38"/>
        <v>-</v>
      </c>
      <c r="J60" s="417" t="str">
        <f t="shared" si="39"/>
        <v>-</v>
      </c>
      <c r="K60" s="199" t="str">
        <f t="shared" si="40"/>
        <v>-</v>
      </c>
      <c r="L60" s="609"/>
      <c r="M60" s="486" t="e">
        <f>RANK(K60, K$47:$K$61)</f>
        <v>#VALUE!</v>
      </c>
      <c r="N60" s="627"/>
      <c r="O60" s="627"/>
      <c r="P60" s="483"/>
      <c r="Q60" s="420"/>
      <c r="R60" s="420"/>
      <c r="S60" s="483"/>
      <c r="T60" s="637"/>
      <c r="U60" s="483"/>
      <c r="V60" s="420"/>
      <c r="W60" s="420"/>
      <c r="X60" s="483"/>
      <c r="Y60" s="637"/>
      <c r="Z60" s="483"/>
      <c r="AA60" s="420"/>
      <c r="AB60" s="420"/>
      <c r="AC60" s="483"/>
      <c r="AD60" s="637"/>
      <c r="AE60" s="483"/>
      <c r="AF60" s="420"/>
      <c r="AG60" s="420"/>
      <c r="AH60" s="483"/>
      <c r="AI60" s="637"/>
      <c r="AJ60" s="483"/>
      <c r="AK60" s="420"/>
      <c r="AL60" s="420"/>
      <c r="AM60" s="483"/>
      <c r="AN60" s="637"/>
      <c r="AO60" s="483"/>
      <c r="AP60" s="420"/>
      <c r="AQ60" s="420"/>
      <c r="AR60" s="483"/>
      <c r="AS60" s="637"/>
      <c r="AT60" s="483"/>
      <c r="AU60" s="420"/>
      <c r="AV60" s="420"/>
      <c r="AW60" s="483"/>
      <c r="AX60" s="637"/>
      <c r="AZ60" s="402" t="e">
        <f t="shared" si="41"/>
        <v>#N/A</v>
      </c>
      <c r="BA60" s="651"/>
    </row>
    <row r="61" spans="2:53">
      <c r="B61" s="635"/>
      <c r="C61" s="415">
        <v>15</v>
      </c>
      <c r="D61" s="225"/>
      <c r="E61" s="420"/>
      <c r="F61" s="500"/>
      <c r="G61" s="501"/>
      <c r="H61" s="676"/>
      <c r="I61" s="415"/>
      <c r="J61" s="415"/>
      <c r="K61" s="415"/>
      <c r="L61" s="610"/>
      <c r="M61" s="486" t="e">
        <f>RANK(K61, K$47:$K$61)</f>
        <v>#N/A</v>
      </c>
      <c r="N61" s="627"/>
      <c r="O61" s="627"/>
      <c r="P61" s="483"/>
      <c r="Q61" s="420"/>
      <c r="R61" s="420"/>
      <c r="S61" s="483"/>
      <c r="T61" s="638"/>
      <c r="U61" s="483"/>
      <c r="V61" s="420"/>
      <c r="W61" s="420"/>
      <c r="X61" s="483"/>
      <c r="Y61" s="638"/>
      <c r="Z61" s="483"/>
      <c r="AA61" s="420"/>
      <c r="AB61" s="420"/>
      <c r="AC61" s="483"/>
      <c r="AD61" s="638"/>
      <c r="AE61" s="483"/>
      <c r="AF61" s="420"/>
      <c r="AG61" s="420"/>
      <c r="AH61" s="483"/>
      <c r="AI61" s="638"/>
      <c r="AJ61" s="483"/>
      <c r="AK61" s="420"/>
      <c r="AL61" s="420"/>
      <c r="AM61" s="483"/>
      <c r="AN61" s="638"/>
      <c r="AO61" s="483"/>
      <c r="AP61" s="420"/>
      <c r="AQ61" s="420"/>
      <c r="AR61" s="483"/>
      <c r="AS61" s="638"/>
      <c r="AT61" s="483"/>
      <c r="AU61" s="420"/>
      <c r="AV61" s="420"/>
      <c r="AW61" s="483"/>
      <c r="AX61" s="638"/>
      <c r="AZ61" s="402" t="e">
        <f t="shared" si="41"/>
        <v>#N/A</v>
      </c>
      <c r="BA61" s="652"/>
    </row>
    <row r="62" spans="2:53" ht="15.75">
      <c r="B62" s="639" t="s">
        <v>163</v>
      </c>
      <c r="C62" s="640"/>
      <c r="D62" s="640"/>
      <c r="E62" s="640"/>
      <c r="F62" s="640"/>
      <c r="G62" s="640"/>
      <c r="H62" s="641"/>
      <c r="I62" s="207"/>
      <c r="J62" s="207"/>
      <c r="K62" s="207"/>
      <c r="L62" s="207"/>
      <c r="M62" s="206"/>
      <c r="N62" s="628" t="s">
        <v>156</v>
      </c>
      <c r="O62" s="628" t="s">
        <v>105</v>
      </c>
      <c r="P62" s="634">
        <f>P42+7</f>
        <v>46161</v>
      </c>
      <c r="Q62" s="635"/>
      <c r="R62" s="635"/>
      <c r="S62" s="635"/>
      <c r="T62" s="635"/>
      <c r="U62" s="631">
        <f>P62+1</f>
        <v>46162</v>
      </c>
      <c r="V62" s="632"/>
      <c r="W62" s="632"/>
      <c r="X62" s="632"/>
      <c r="Y62" s="633"/>
      <c r="Z62" s="631">
        <f>U62+1</f>
        <v>46163</v>
      </c>
      <c r="AA62" s="632"/>
      <c r="AB62" s="632"/>
      <c r="AC62" s="632"/>
      <c r="AD62" s="633"/>
      <c r="AE62" s="631">
        <f>Z62+1</f>
        <v>46164</v>
      </c>
      <c r="AF62" s="632"/>
      <c r="AG62" s="632"/>
      <c r="AH62" s="632"/>
      <c r="AI62" s="633"/>
      <c r="AJ62" s="631">
        <f>AE62+1</f>
        <v>46165</v>
      </c>
      <c r="AK62" s="632"/>
      <c r="AL62" s="632"/>
      <c r="AM62" s="632"/>
      <c r="AN62" s="633"/>
      <c r="AO62" s="631">
        <f>AJ62+1</f>
        <v>46166</v>
      </c>
      <c r="AP62" s="632"/>
      <c r="AQ62" s="632"/>
      <c r="AR62" s="632"/>
      <c r="AS62" s="633"/>
      <c r="AT62" s="631">
        <f>AO62+1</f>
        <v>46167</v>
      </c>
      <c r="AU62" s="632"/>
      <c r="AV62" s="632"/>
      <c r="AW62" s="632"/>
      <c r="AX62" s="633"/>
    </row>
    <row r="63" spans="2:53" ht="15.75">
      <c r="B63" s="642"/>
      <c r="C63" s="642"/>
      <c r="D63" s="642"/>
      <c r="E63" s="642"/>
      <c r="F63" s="642"/>
      <c r="G63" s="642"/>
      <c r="H63" s="642"/>
      <c r="I63" s="204"/>
      <c r="J63" s="204"/>
      <c r="K63" s="204"/>
      <c r="L63" s="204"/>
      <c r="M63" s="205"/>
      <c r="N63" s="630"/>
      <c r="O63" s="630"/>
      <c r="P63" s="634" t="s">
        <v>318</v>
      </c>
      <c r="Q63" s="635"/>
      <c r="R63" s="635"/>
      <c r="S63" s="635"/>
      <c r="T63" s="635"/>
      <c r="U63" s="634" t="s">
        <v>319</v>
      </c>
      <c r="V63" s="635"/>
      <c r="W63" s="635"/>
      <c r="X63" s="635"/>
      <c r="Y63" s="635"/>
      <c r="Z63" s="634" t="s">
        <v>320</v>
      </c>
      <c r="AA63" s="635"/>
      <c r="AB63" s="635"/>
      <c r="AC63" s="635"/>
      <c r="AD63" s="635"/>
      <c r="AE63" s="634" t="s">
        <v>321</v>
      </c>
      <c r="AF63" s="635"/>
      <c r="AG63" s="635"/>
      <c r="AH63" s="635"/>
      <c r="AI63" s="635"/>
      <c r="AJ63" s="634" t="s">
        <v>322</v>
      </c>
      <c r="AK63" s="635"/>
      <c r="AL63" s="635"/>
      <c r="AM63" s="635"/>
      <c r="AN63" s="635"/>
      <c r="AO63" s="634" t="s">
        <v>323</v>
      </c>
      <c r="AP63" s="635"/>
      <c r="AQ63" s="635"/>
      <c r="AR63" s="635"/>
      <c r="AS63" s="635"/>
      <c r="AT63" s="634" t="s">
        <v>324</v>
      </c>
      <c r="AU63" s="635"/>
      <c r="AV63" s="635"/>
      <c r="AW63" s="635"/>
      <c r="AX63" s="635"/>
    </row>
    <row r="64" spans="2:53">
      <c r="B64" s="627" t="s">
        <v>374</v>
      </c>
      <c r="C64" s="627" t="s">
        <v>551</v>
      </c>
      <c r="D64" s="627"/>
      <c r="E64" s="627" t="s">
        <v>552</v>
      </c>
      <c r="F64" s="627"/>
      <c r="G64" s="627"/>
      <c r="H64" s="643" t="s">
        <v>553</v>
      </c>
      <c r="I64" s="627" t="s">
        <v>554</v>
      </c>
      <c r="J64" s="627"/>
      <c r="K64" s="627"/>
      <c r="L64" s="643" t="s">
        <v>371</v>
      </c>
      <c r="M64" s="628" t="s">
        <v>555</v>
      </c>
      <c r="N64" s="627"/>
      <c r="O64" s="627" t="s">
        <v>556</v>
      </c>
      <c r="P64" s="624" t="s">
        <v>373</v>
      </c>
      <c r="Q64" s="625"/>
      <c r="R64" s="625"/>
      <c r="S64" s="626"/>
      <c r="T64" s="627" t="s">
        <v>371</v>
      </c>
      <c r="U64" s="624" t="s">
        <v>373</v>
      </c>
      <c r="V64" s="625"/>
      <c r="W64" s="625"/>
      <c r="X64" s="626"/>
      <c r="Y64" s="627" t="s">
        <v>371</v>
      </c>
      <c r="Z64" s="624" t="s">
        <v>373</v>
      </c>
      <c r="AA64" s="625"/>
      <c r="AB64" s="625"/>
      <c r="AC64" s="626"/>
      <c r="AD64" s="627" t="s">
        <v>371</v>
      </c>
      <c r="AE64" s="624" t="s">
        <v>373</v>
      </c>
      <c r="AF64" s="625"/>
      <c r="AG64" s="625"/>
      <c r="AH64" s="626"/>
      <c r="AI64" s="627" t="s">
        <v>371</v>
      </c>
      <c r="AJ64" s="624" t="s">
        <v>373</v>
      </c>
      <c r="AK64" s="625"/>
      <c r="AL64" s="625"/>
      <c r="AM64" s="626"/>
      <c r="AN64" s="627" t="s">
        <v>371</v>
      </c>
      <c r="AO64" s="624" t="s">
        <v>373</v>
      </c>
      <c r="AP64" s="625"/>
      <c r="AQ64" s="625"/>
      <c r="AR64" s="626"/>
      <c r="AS64" s="627" t="s">
        <v>371</v>
      </c>
      <c r="AT64" s="624" t="s">
        <v>373</v>
      </c>
      <c r="AU64" s="625"/>
      <c r="AV64" s="625"/>
      <c r="AW64" s="626"/>
      <c r="AX64" s="627" t="s">
        <v>371</v>
      </c>
      <c r="BA64" s="627" t="s">
        <v>371</v>
      </c>
    </row>
    <row r="65" spans="2:53">
      <c r="B65" s="627"/>
      <c r="C65" s="627"/>
      <c r="D65" s="627"/>
      <c r="E65" s="627" t="s">
        <v>557</v>
      </c>
      <c r="F65" s="627"/>
      <c r="G65" s="627"/>
      <c r="H65" s="644"/>
      <c r="I65" s="627" t="s">
        <v>557</v>
      </c>
      <c r="J65" s="627"/>
      <c r="K65" s="627"/>
      <c r="L65" s="644"/>
      <c r="M65" s="629"/>
      <c r="N65" s="627"/>
      <c r="O65" s="627"/>
      <c r="P65" s="624" t="s">
        <v>379</v>
      </c>
      <c r="Q65" s="625"/>
      <c r="R65" s="625"/>
      <c r="S65" s="626"/>
      <c r="T65" s="627"/>
      <c r="U65" s="624" t="s">
        <v>379</v>
      </c>
      <c r="V65" s="625"/>
      <c r="W65" s="625"/>
      <c r="X65" s="626"/>
      <c r="Y65" s="627"/>
      <c r="Z65" s="624" t="s">
        <v>379</v>
      </c>
      <c r="AA65" s="625"/>
      <c r="AB65" s="625"/>
      <c r="AC65" s="626"/>
      <c r="AD65" s="627"/>
      <c r="AE65" s="624" t="s">
        <v>379</v>
      </c>
      <c r="AF65" s="625"/>
      <c r="AG65" s="625"/>
      <c r="AH65" s="626"/>
      <c r="AI65" s="627"/>
      <c r="AJ65" s="624" t="s">
        <v>379</v>
      </c>
      <c r="AK65" s="625"/>
      <c r="AL65" s="625"/>
      <c r="AM65" s="626"/>
      <c r="AN65" s="627"/>
      <c r="AO65" s="624" t="s">
        <v>379</v>
      </c>
      <c r="AP65" s="625"/>
      <c r="AQ65" s="625"/>
      <c r="AR65" s="626"/>
      <c r="AS65" s="627"/>
      <c r="AT65" s="624" t="s">
        <v>379</v>
      </c>
      <c r="AU65" s="625"/>
      <c r="AV65" s="625"/>
      <c r="AW65" s="626"/>
      <c r="AX65" s="627"/>
      <c r="BA65" s="627"/>
    </row>
    <row r="66" spans="2:53">
      <c r="B66" s="627"/>
      <c r="C66" s="627"/>
      <c r="D66" s="627"/>
      <c r="E66" s="412" t="s">
        <v>558</v>
      </c>
      <c r="F66" s="412" t="s">
        <v>559</v>
      </c>
      <c r="G66" s="412" t="s">
        <v>560</v>
      </c>
      <c r="H66" s="645"/>
      <c r="I66" s="412" t="s">
        <v>558</v>
      </c>
      <c r="J66" s="412" t="s">
        <v>559</v>
      </c>
      <c r="K66" s="412" t="s">
        <v>560</v>
      </c>
      <c r="L66" s="645"/>
      <c r="M66" s="630"/>
      <c r="N66" s="627"/>
      <c r="O66" s="627"/>
      <c r="P66" s="412" t="s">
        <v>380</v>
      </c>
      <c r="Q66" s="412" t="s">
        <v>381</v>
      </c>
      <c r="R66" s="412" t="s">
        <v>382</v>
      </c>
      <c r="S66" s="412" t="s">
        <v>372</v>
      </c>
      <c r="T66" s="627"/>
      <c r="U66" s="412" t="s">
        <v>380</v>
      </c>
      <c r="V66" s="412" t="s">
        <v>381</v>
      </c>
      <c r="W66" s="412" t="s">
        <v>382</v>
      </c>
      <c r="X66" s="412" t="s">
        <v>372</v>
      </c>
      <c r="Y66" s="627"/>
      <c r="Z66" s="412" t="s">
        <v>380</v>
      </c>
      <c r="AA66" s="412" t="s">
        <v>381</v>
      </c>
      <c r="AB66" s="412" t="s">
        <v>382</v>
      </c>
      <c r="AC66" s="412" t="s">
        <v>372</v>
      </c>
      <c r="AD66" s="627"/>
      <c r="AE66" s="412" t="s">
        <v>380</v>
      </c>
      <c r="AF66" s="412" t="s">
        <v>381</v>
      </c>
      <c r="AG66" s="412" t="s">
        <v>382</v>
      </c>
      <c r="AH66" s="412" t="s">
        <v>372</v>
      </c>
      <c r="AI66" s="627"/>
      <c r="AJ66" s="412" t="s">
        <v>380</v>
      </c>
      <c r="AK66" s="412" t="s">
        <v>381</v>
      </c>
      <c r="AL66" s="412" t="s">
        <v>382</v>
      </c>
      <c r="AM66" s="412" t="s">
        <v>372</v>
      </c>
      <c r="AN66" s="627"/>
      <c r="AO66" s="412" t="s">
        <v>380</v>
      </c>
      <c r="AP66" s="412" t="s">
        <v>381</v>
      </c>
      <c r="AQ66" s="412" t="s">
        <v>382</v>
      </c>
      <c r="AR66" s="412" t="s">
        <v>372</v>
      </c>
      <c r="AS66" s="627"/>
      <c r="AT66" s="412" t="s">
        <v>380</v>
      </c>
      <c r="AU66" s="412" t="s">
        <v>381</v>
      </c>
      <c r="AV66" s="412" t="s">
        <v>382</v>
      </c>
      <c r="AW66" s="412" t="s">
        <v>372</v>
      </c>
      <c r="AX66" s="627"/>
      <c r="AZ66" s="401" t="s">
        <v>372</v>
      </c>
      <c r="BA66" s="627"/>
    </row>
    <row r="67" spans="2:53">
      <c r="B67" s="627" t="s">
        <v>386</v>
      </c>
      <c r="C67" s="415">
        <v>1</v>
      </c>
      <c r="D67" s="225"/>
      <c r="E67" s="420"/>
      <c r="F67" s="500"/>
      <c r="G67" s="501"/>
      <c r="H67" s="671" t="e">
        <f>AVERAGE(G67:G81)</f>
        <v>#DIV/0!</v>
      </c>
      <c r="I67" s="417" t="str">
        <f t="shared" ref="I67:I80" si="43">IFERROR(AVERAGE(P67,U67,Z67,AE67,AJ67,AO67,AT67),"-")</f>
        <v>-</v>
      </c>
      <c r="J67" s="417" t="str">
        <f t="shared" ref="J67:J80" si="44">IFERROR(AVERAGE(Q67,V67,AA67,AF67,AK67,AP67,AU67),"-")</f>
        <v>-</v>
      </c>
      <c r="K67" s="199" t="str">
        <f t="shared" ref="K67:K80" si="45">IFERROR(AVERAGE(R67,W67,AB67,AG67,AL67,AQ67,AV67),"-")</f>
        <v>-</v>
      </c>
      <c r="L67" s="608" t="str">
        <f>IFERROR(AVERAGE(K67:K81),"-")</f>
        <v>-</v>
      </c>
      <c r="M67" s="421" t="e">
        <f>RANK(K67, K$67:$K$81)</f>
        <v>#VALUE!</v>
      </c>
      <c r="N67" s="627"/>
      <c r="O67" s="627"/>
      <c r="P67" s="488"/>
      <c r="Q67" s="490"/>
      <c r="R67" s="490"/>
      <c r="S67" s="487"/>
      <c r="T67" s="636"/>
      <c r="U67" s="488"/>
      <c r="V67" s="490"/>
      <c r="W67" s="490"/>
      <c r="X67" s="487"/>
      <c r="Y67" s="636"/>
      <c r="Z67" s="488"/>
      <c r="AA67" s="490"/>
      <c r="AB67" s="490"/>
      <c r="AC67" s="487"/>
      <c r="AD67" s="636"/>
      <c r="AE67" s="488"/>
      <c r="AF67" s="490"/>
      <c r="AG67" s="490"/>
      <c r="AH67" s="487"/>
      <c r="AI67" s="636"/>
      <c r="AJ67" s="488"/>
      <c r="AK67" s="490"/>
      <c r="AL67" s="490"/>
      <c r="AM67" s="487"/>
      <c r="AN67" s="636"/>
      <c r="AO67" s="488"/>
      <c r="AP67" s="490"/>
      <c r="AQ67" s="490"/>
      <c r="AR67" s="487"/>
      <c r="AS67" s="636"/>
      <c r="AT67" s="487"/>
      <c r="AU67" s="420"/>
      <c r="AV67" s="420"/>
      <c r="AW67" s="487"/>
      <c r="AX67" s="636"/>
      <c r="AZ67" s="402" t="e">
        <f t="shared" ref="AZ67:AZ81" si="46">RANK(AY67, AY$67:AY$81)</f>
        <v>#N/A</v>
      </c>
      <c r="BA67" s="650" t="e">
        <f t="shared" ref="BA67" si="47">AVERAGE(AY67:AY81)</f>
        <v>#DIV/0!</v>
      </c>
    </row>
    <row r="68" spans="2:53">
      <c r="B68" s="635"/>
      <c r="C68" s="415">
        <v>2</v>
      </c>
      <c r="D68" s="225"/>
      <c r="E68" s="420"/>
      <c r="F68" s="500"/>
      <c r="G68" s="501"/>
      <c r="H68" s="672"/>
      <c r="I68" s="417" t="str">
        <f t="shared" si="43"/>
        <v>-</v>
      </c>
      <c r="J68" s="417" t="str">
        <f t="shared" si="44"/>
        <v>-</v>
      </c>
      <c r="K68" s="199" t="str">
        <f t="shared" si="45"/>
        <v>-</v>
      </c>
      <c r="L68" s="609"/>
      <c r="M68" s="421" t="e">
        <f>RANK(K68, K$67:$K$81)</f>
        <v>#VALUE!</v>
      </c>
      <c r="N68" s="627"/>
      <c r="O68" s="627"/>
      <c r="P68" s="488"/>
      <c r="Q68" s="490"/>
      <c r="R68" s="490"/>
      <c r="S68" s="487"/>
      <c r="T68" s="637"/>
      <c r="U68" s="488"/>
      <c r="V68" s="490"/>
      <c r="W68" s="490"/>
      <c r="X68" s="487"/>
      <c r="Y68" s="637"/>
      <c r="Z68" s="488"/>
      <c r="AA68" s="490"/>
      <c r="AB68" s="490"/>
      <c r="AC68" s="487"/>
      <c r="AD68" s="637"/>
      <c r="AE68" s="488"/>
      <c r="AF68" s="490"/>
      <c r="AG68" s="490"/>
      <c r="AH68" s="487"/>
      <c r="AI68" s="637"/>
      <c r="AJ68" s="488"/>
      <c r="AK68" s="490"/>
      <c r="AL68" s="490"/>
      <c r="AM68" s="487"/>
      <c r="AN68" s="637"/>
      <c r="AO68" s="488"/>
      <c r="AP68" s="490"/>
      <c r="AQ68" s="490"/>
      <c r="AR68" s="487"/>
      <c r="AS68" s="637"/>
      <c r="AT68" s="487"/>
      <c r="AU68" s="420"/>
      <c r="AV68" s="420"/>
      <c r="AW68" s="487"/>
      <c r="AX68" s="637"/>
      <c r="AZ68" s="402" t="e">
        <f t="shared" si="46"/>
        <v>#N/A</v>
      </c>
      <c r="BA68" s="651"/>
    </row>
    <row r="69" spans="2:53">
      <c r="B69" s="635"/>
      <c r="C69" s="415">
        <v>3</v>
      </c>
      <c r="D69" s="225"/>
      <c r="E69" s="420"/>
      <c r="F69" s="500"/>
      <c r="G69" s="501"/>
      <c r="H69" s="672"/>
      <c r="I69" s="417" t="str">
        <f t="shared" si="43"/>
        <v>-</v>
      </c>
      <c r="J69" s="417" t="str">
        <f t="shared" si="44"/>
        <v>-</v>
      </c>
      <c r="K69" s="199" t="str">
        <f t="shared" si="45"/>
        <v>-</v>
      </c>
      <c r="L69" s="609"/>
      <c r="M69" s="421" t="e">
        <f>RANK(K69, K$67:$K$81)</f>
        <v>#VALUE!</v>
      </c>
      <c r="N69" s="627"/>
      <c r="O69" s="627"/>
      <c r="P69" s="488"/>
      <c r="Q69" s="490"/>
      <c r="R69" s="490"/>
      <c r="S69" s="487"/>
      <c r="T69" s="637"/>
      <c r="U69" s="488"/>
      <c r="V69" s="490"/>
      <c r="W69" s="490"/>
      <c r="X69" s="487"/>
      <c r="Y69" s="637"/>
      <c r="Z69" s="488"/>
      <c r="AA69" s="490"/>
      <c r="AB69" s="490"/>
      <c r="AC69" s="487"/>
      <c r="AD69" s="637"/>
      <c r="AE69" s="488"/>
      <c r="AF69" s="490"/>
      <c r="AG69" s="490"/>
      <c r="AH69" s="487"/>
      <c r="AI69" s="637"/>
      <c r="AJ69" s="488"/>
      <c r="AK69" s="490"/>
      <c r="AL69" s="490"/>
      <c r="AM69" s="487"/>
      <c r="AN69" s="637"/>
      <c r="AO69" s="488"/>
      <c r="AP69" s="490"/>
      <c r="AQ69" s="490"/>
      <c r="AR69" s="487"/>
      <c r="AS69" s="637"/>
      <c r="AT69" s="487"/>
      <c r="AU69" s="420"/>
      <c r="AV69" s="420"/>
      <c r="AW69" s="487"/>
      <c r="AX69" s="637"/>
      <c r="AZ69" s="402" t="e">
        <f t="shared" si="46"/>
        <v>#N/A</v>
      </c>
      <c r="BA69" s="651"/>
    </row>
    <row r="70" spans="2:53">
      <c r="B70" s="635"/>
      <c r="C70" s="415">
        <v>4</v>
      </c>
      <c r="D70" s="225"/>
      <c r="E70" s="420"/>
      <c r="F70" s="500"/>
      <c r="G70" s="501"/>
      <c r="H70" s="672"/>
      <c r="I70" s="417" t="str">
        <f t="shared" si="43"/>
        <v>-</v>
      </c>
      <c r="J70" s="417" t="str">
        <f t="shared" si="44"/>
        <v>-</v>
      </c>
      <c r="K70" s="199" t="str">
        <f t="shared" si="45"/>
        <v>-</v>
      </c>
      <c r="L70" s="609"/>
      <c r="M70" s="421" t="e">
        <f>RANK(K70, K$67:$K$81)</f>
        <v>#VALUE!</v>
      </c>
      <c r="N70" s="627"/>
      <c r="O70" s="627"/>
      <c r="P70" s="488"/>
      <c r="Q70" s="490"/>
      <c r="R70" s="490"/>
      <c r="S70" s="487"/>
      <c r="T70" s="637"/>
      <c r="U70" s="488"/>
      <c r="V70" s="490"/>
      <c r="W70" s="490"/>
      <c r="X70" s="487"/>
      <c r="Y70" s="637"/>
      <c r="Z70" s="488"/>
      <c r="AA70" s="490"/>
      <c r="AB70" s="490"/>
      <c r="AC70" s="487"/>
      <c r="AD70" s="637"/>
      <c r="AE70" s="488"/>
      <c r="AF70" s="490"/>
      <c r="AG70" s="490"/>
      <c r="AH70" s="487"/>
      <c r="AI70" s="637"/>
      <c r="AJ70" s="488"/>
      <c r="AK70" s="490"/>
      <c r="AL70" s="490"/>
      <c r="AM70" s="487"/>
      <c r="AN70" s="637"/>
      <c r="AO70" s="488"/>
      <c r="AP70" s="490"/>
      <c r="AQ70" s="490"/>
      <c r="AR70" s="487"/>
      <c r="AS70" s="637"/>
      <c r="AT70" s="487"/>
      <c r="AU70" s="420"/>
      <c r="AV70" s="420"/>
      <c r="AW70" s="487"/>
      <c r="AX70" s="637"/>
      <c r="AZ70" s="402" t="e">
        <f t="shared" si="46"/>
        <v>#N/A</v>
      </c>
      <c r="BA70" s="651"/>
    </row>
    <row r="71" spans="2:53">
      <c r="B71" s="635"/>
      <c r="C71" s="415">
        <v>5</v>
      </c>
      <c r="D71" s="225"/>
      <c r="E71" s="420"/>
      <c r="F71" s="500"/>
      <c r="G71" s="501"/>
      <c r="H71" s="672"/>
      <c r="I71" s="417" t="str">
        <f t="shared" si="43"/>
        <v>-</v>
      </c>
      <c r="J71" s="417" t="str">
        <f t="shared" si="44"/>
        <v>-</v>
      </c>
      <c r="K71" s="199" t="str">
        <f t="shared" si="45"/>
        <v>-</v>
      </c>
      <c r="L71" s="609"/>
      <c r="M71" s="421" t="e">
        <f>RANK(K71, K$67:$K$81)</f>
        <v>#VALUE!</v>
      </c>
      <c r="N71" s="627"/>
      <c r="O71" s="627"/>
      <c r="P71" s="488"/>
      <c r="Q71" s="490"/>
      <c r="R71" s="490"/>
      <c r="S71" s="487"/>
      <c r="T71" s="637"/>
      <c r="U71" s="488"/>
      <c r="V71" s="490"/>
      <c r="W71" s="490"/>
      <c r="X71" s="487"/>
      <c r="Y71" s="637"/>
      <c r="Z71" s="488"/>
      <c r="AA71" s="490"/>
      <c r="AB71" s="490"/>
      <c r="AC71" s="487"/>
      <c r="AD71" s="637"/>
      <c r="AE71" s="488"/>
      <c r="AF71" s="490"/>
      <c r="AG71" s="490"/>
      <c r="AH71" s="487"/>
      <c r="AI71" s="637"/>
      <c r="AJ71" s="488"/>
      <c r="AK71" s="490"/>
      <c r="AL71" s="490"/>
      <c r="AM71" s="487"/>
      <c r="AN71" s="637"/>
      <c r="AO71" s="488"/>
      <c r="AP71" s="490"/>
      <c r="AQ71" s="490"/>
      <c r="AR71" s="487"/>
      <c r="AS71" s="637"/>
      <c r="AT71" s="487"/>
      <c r="AU71" s="420"/>
      <c r="AV71" s="420"/>
      <c r="AW71" s="487"/>
      <c r="AX71" s="637"/>
      <c r="AZ71" s="402" t="e">
        <f t="shared" si="46"/>
        <v>#N/A</v>
      </c>
      <c r="BA71" s="651"/>
    </row>
    <row r="72" spans="2:53">
      <c r="B72" s="635"/>
      <c r="C72" s="415">
        <v>6</v>
      </c>
      <c r="D72" s="225"/>
      <c r="E72" s="420"/>
      <c r="F72" s="500"/>
      <c r="G72" s="501"/>
      <c r="H72" s="672"/>
      <c r="I72" s="417" t="str">
        <f t="shared" si="43"/>
        <v>-</v>
      </c>
      <c r="J72" s="417" t="str">
        <f t="shared" si="44"/>
        <v>-</v>
      </c>
      <c r="K72" s="199" t="str">
        <f t="shared" si="45"/>
        <v>-</v>
      </c>
      <c r="L72" s="609"/>
      <c r="M72" s="421" t="e">
        <f>RANK(K72, K$67:$K$81)</f>
        <v>#VALUE!</v>
      </c>
      <c r="N72" s="627"/>
      <c r="O72" s="627"/>
      <c r="P72" s="488"/>
      <c r="Q72" s="490"/>
      <c r="R72" s="490"/>
      <c r="S72" s="487"/>
      <c r="T72" s="637"/>
      <c r="U72" s="488"/>
      <c r="V72" s="490"/>
      <c r="W72" s="490"/>
      <c r="X72" s="487"/>
      <c r="Y72" s="637"/>
      <c r="Z72" s="488"/>
      <c r="AA72" s="490"/>
      <c r="AB72" s="490"/>
      <c r="AC72" s="487"/>
      <c r="AD72" s="637"/>
      <c r="AE72" s="488"/>
      <c r="AF72" s="490"/>
      <c r="AG72" s="490"/>
      <c r="AH72" s="487"/>
      <c r="AI72" s="637"/>
      <c r="AJ72" s="488"/>
      <c r="AK72" s="490"/>
      <c r="AL72" s="490"/>
      <c r="AM72" s="487"/>
      <c r="AN72" s="637"/>
      <c r="AO72" s="488"/>
      <c r="AP72" s="490"/>
      <c r="AQ72" s="490"/>
      <c r="AR72" s="487"/>
      <c r="AS72" s="637"/>
      <c r="AT72" s="487"/>
      <c r="AU72" s="420"/>
      <c r="AV72" s="420"/>
      <c r="AW72" s="487"/>
      <c r="AX72" s="637"/>
      <c r="AZ72" s="402" t="e">
        <f t="shared" si="46"/>
        <v>#N/A</v>
      </c>
      <c r="BA72" s="651"/>
    </row>
    <row r="73" spans="2:53">
      <c r="B73" s="635"/>
      <c r="C73" s="415">
        <v>7</v>
      </c>
      <c r="D73" s="225"/>
      <c r="E73" s="420"/>
      <c r="F73" s="500"/>
      <c r="G73" s="501"/>
      <c r="H73" s="672"/>
      <c r="I73" s="417" t="str">
        <f t="shared" si="43"/>
        <v>-</v>
      </c>
      <c r="J73" s="417" t="str">
        <f t="shared" si="44"/>
        <v>-</v>
      </c>
      <c r="K73" s="199" t="str">
        <f t="shared" si="45"/>
        <v>-</v>
      </c>
      <c r="L73" s="609"/>
      <c r="M73" s="421" t="e">
        <f>RANK(K73, K$67:$K$81)</f>
        <v>#VALUE!</v>
      </c>
      <c r="N73" s="627"/>
      <c r="O73" s="627"/>
      <c r="P73" s="488"/>
      <c r="Q73" s="490"/>
      <c r="R73" s="490"/>
      <c r="S73" s="487"/>
      <c r="T73" s="637"/>
      <c r="U73" s="488"/>
      <c r="V73" s="490"/>
      <c r="W73" s="490"/>
      <c r="X73" s="487"/>
      <c r="Y73" s="637"/>
      <c r="Z73" s="488"/>
      <c r="AA73" s="490"/>
      <c r="AB73" s="490"/>
      <c r="AC73" s="487"/>
      <c r="AD73" s="637"/>
      <c r="AE73" s="488"/>
      <c r="AF73" s="490"/>
      <c r="AG73" s="490"/>
      <c r="AH73" s="487"/>
      <c r="AI73" s="637"/>
      <c r="AJ73" s="488"/>
      <c r="AK73" s="490"/>
      <c r="AL73" s="490"/>
      <c r="AM73" s="487"/>
      <c r="AN73" s="637"/>
      <c r="AO73" s="488"/>
      <c r="AP73" s="490"/>
      <c r="AQ73" s="490"/>
      <c r="AR73" s="487"/>
      <c r="AS73" s="637"/>
      <c r="AT73" s="487"/>
      <c r="AU73" s="420"/>
      <c r="AV73" s="420"/>
      <c r="AW73" s="487"/>
      <c r="AX73" s="637"/>
      <c r="AZ73" s="402" t="e">
        <f t="shared" si="46"/>
        <v>#N/A</v>
      </c>
      <c r="BA73" s="651"/>
    </row>
    <row r="74" spans="2:53">
      <c r="B74" s="635"/>
      <c r="C74" s="415">
        <v>8</v>
      </c>
      <c r="D74" s="225"/>
      <c r="E74" s="420"/>
      <c r="F74" s="500"/>
      <c r="G74" s="501"/>
      <c r="H74" s="672"/>
      <c r="I74" s="417" t="str">
        <f t="shared" si="43"/>
        <v>-</v>
      </c>
      <c r="J74" s="417" t="str">
        <f t="shared" si="44"/>
        <v>-</v>
      </c>
      <c r="K74" s="199" t="str">
        <f t="shared" si="45"/>
        <v>-</v>
      </c>
      <c r="L74" s="609"/>
      <c r="M74" s="421" t="e">
        <f>RANK(K74, K$67:$K$81)</f>
        <v>#VALUE!</v>
      </c>
      <c r="N74" s="627"/>
      <c r="O74" s="627"/>
      <c r="P74" s="488"/>
      <c r="Q74" s="490"/>
      <c r="R74" s="490"/>
      <c r="S74" s="487"/>
      <c r="T74" s="637"/>
      <c r="U74" s="488"/>
      <c r="V74" s="490"/>
      <c r="W74" s="490"/>
      <c r="X74" s="487"/>
      <c r="Y74" s="637"/>
      <c r="Z74" s="488"/>
      <c r="AA74" s="490"/>
      <c r="AB74" s="490"/>
      <c r="AC74" s="487"/>
      <c r="AD74" s="637"/>
      <c r="AE74" s="488"/>
      <c r="AF74" s="490"/>
      <c r="AG74" s="490"/>
      <c r="AH74" s="487"/>
      <c r="AI74" s="637"/>
      <c r="AJ74" s="488"/>
      <c r="AK74" s="490"/>
      <c r="AL74" s="490"/>
      <c r="AM74" s="487"/>
      <c r="AN74" s="637"/>
      <c r="AO74" s="488"/>
      <c r="AP74" s="490"/>
      <c r="AQ74" s="490"/>
      <c r="AR74" s="487"/>
      <c r="AS74" s="637"/>
      <c r="AT74" s="487"/>
      <c r="AU74" s="420"/>
      <c r="AV74" s="420"/>
      <c r="AW74" s="487"/>
      <c r="AX74" s="637"/>
      <c r="AZ74" s="402" t="e">
        <f t="shared" si="46"/>
        <v>#N/A</v>
      </c>
      <c r="BA74" s="651"/>
    </row>
    <row r="75" spans="2:53">
      <c r="B75" s="635"/>
      <c r="C75" s="415">
        <v>9</v>
      </c>
      <c r="D75" s="225"/>
      <c r="E75" s="420"/>
      <c r="F75" s="500"/>
      <c r="G75" s="501"/>
      <c r="H75" s="672"/>
      <c r="I75" s="417" t="str">
        <f t="shared" si="43"/>
        <v>-</v>
      </c>
      <c r="J75" s="417" t="str">
        <f t="shared" si="44"/>
        <v>-</v>
      </c>
      <c r="K75" s="199" t="str">
        <f t="shared" si="45"/>
        <v>-</v>
      </c>
      <c r="L75" s="609"/>
      <c r="M75" s="421" t="e">
        <f>RANK(K75, K$67:$K$81)</f>
        <v>#VALUE!</v>
      </c>
      <c r="N75" s="627"/>
      <c r="O75" s="627"/>
      <c r="P75" s="488"/>
      <c r="Q75" s="490"/>
      <c r="R75" s="490"/>
      <c r="S75" s="487"/>
      <c r="T75" s="637"/>
      <c r="U75" s="488"/>
      <c r="V75" s="490"/>
      <c r="W75" s="490"/>
      <c r="X75" s="487"/>
      <c r="Y75" s="637"/>
      <c r="Z75" s="488"/>
      <c r="AA75" s="490"/>
      <c r="AB75" s="490"/>
      <c r="AC75" s="487"/>
      <c r="AD75" s="637"/>
      <c r="AE75" s="488"/>
      <c r="AF75" s="490"/>
      <c r="AG75" s="490"/>
      <c r="AH75" s="487"/>
      <c r="AI75" s="637"/>
      <c r="AJ75" s="488"/>
      <c r="AK75" s="490"/>
      <c r="AL75" s="490"/>
      <c r="AM75" s="487"/>
      <c r="AN75" s="637"/>
      <c r="AO75" s="488"/>
      <c r="AP75" s="490"/>
      <c r="AQ75" s="490"/>
      <c r="AR75" s="487"/>
      <c r="AS75" s="637"/>
      <c r="AT75" s="487"/>
      <c r="AU75" s="420"/>
      <c r="AV75" s="420"/>
      <c r="AW75" s="487"/>
      <c r="AX75" s="637"/>
      <c r="AZ75" s="402" t="e">
        <f t="shared" si="46"/>
        <v>#N/A</v>
      </c>
      <c r="BA75" s="651"/>
    </row>
    <row r="76" spans="2:53">
      <c r="B76" s="635"/>
      <c r="C76" s="415">
        <v>10</v>
      </c>
      <c r="D76" s="225"/>
      <c r="E76" s="420"/>
      <c r="F76" s="500"/>
      <c r="G76" s="501"/>
      <c r="H76" s="672"/>
      <c r="I76" s="417" t="str">
        <f t="shared" si="43"/>
        <v>-</v>
      </c>
      <c r="J76" s="417" t="str">
        <f t="shared" si="44"/>
        <v>-</v>
      </c>
      <c r="K76" s="199" t="str">
        <f t="shared" si="45"/>
        <v>-</v>
      </c>
      <c r="L76" s="609"/>
      <c r="M76" s="421" t="e">
        <f>RANK(K76, K$67:$K$81)</f>
        <v>#VALUE!</v>
      </c>
      <c r="N76" s="627"/>
      <c r="O76" s="627"/>
      <c r="P76" s="488"/>
      <c r="Q76" s="490"/>
      <c r="R76" s="490"/>
      <c r="S76" s="487"/>
      <c r="T76" s="637"/>
      <c r="U76" s="488"/>
      <c r="V76" s="490"/>
      <c r="W76" s="490"/>
      <c r="X76" s="487"/>
      <c r="Y76" s="637"/>
      <c r="Z76" s="488"/>
      <c r="AA76" s="490"/>
      <c r="AB76" s="490"/>
      <c r="AC76" s="487"/>
      <c r="AD76" s="637"/>
      <c r="AE76" s="488"/>
      <c r="AF76" s="490"/>
      <c r="AG76" s="490"/>
      <c r="AH76" s="487"/>
      <c r="AI76" s="637"/>
      <c r="AJ76" s="488"/>
      <c r="AK76" s="490"/>
      <c r="AL76" s="490"/>
      <c r="AM76" s="487"/>
      <c r="AN76" s="637"/>
      <c r="AO76" s="488"/>
      <c r="AP76" s="490"/>
      <c r="AQ76" s="490"/>
      <c r="AR76" s="487"/>
      <c r="AS76" s="637"/>
      <c r="AT76" s="487"/>
      <c r="AU76" s="420"/>
      <c r="AV76" s="420"/>
      <c r="AW76" s="487"/>
      <c r="AX76" s="637"/>
      <c r="AZ76" s="402" t="e">
        <f t="shared" si="46"/>
        <v>#N/A</v>
      </c>
      <c r="BA76" s="651"/>
    </row>
    <row r="77" spans="2:53">
      <c r="B77" s="635"/>
      <c r="C77" s="415">
        <v>11</v>
      </c>
      <c r="D77" s="225"/>
      <c r="E77" s="420"/>
      <c r="F77" s="500"/>
      <c r="G77" s="501"/>
      <c r="H77" s="672"/>
      <c r="I77" s="417" t="str">
        <f t="shared" si="43"/>
        <v>-</v>
      </c>
      <c r="J77" s="417" t="str">
        <f t="shared" si="44"/>
        <v>-</v>
      </c>
      <c r="K77" s="199" t="str">
        <f t="shared" si="45"/>
        <v>-</v>
      </c>
      <c r="L77" s="609"/>
      <c r="M77" s="421" t="e">
        <f>RANK(K77, K$67:$K$81)</f>
        <v>#VALUE!</v>
      </c>
      <c r="N77" s="627"/>
      <c r="O77" s="627"/>
      <c r="P77" s="488"/>
      <c r="Q77" s="490"/>
      <c r="R77" s="490"/>
      <c r="S77" s="487"/>
      <c r="T77" s="637"/>
      <c r="U77" s="488"/>
      <c r="V77" s="490"/>
      <c r="W77" s="490"/>
      <c r="X77" s="487"/>
      <c r="Y77" s="637"/>
      <c r="Z77" s="488"/>
      <c r="AA77" s="490"/>
      <c r="AB77" s="490"/>
      <c r="AC77" s="487"/>
      <c r="AD77" s="637"/>
      <c r="AE77" s="488"/>
      <c r="AF77" s="490"/>
      <c r="AG77" s="490"/>
      <c r="AH77" s="487"/>
      <c r="AI77" s="637"/>
      <c r="AJ77" s="488"/>
      <c r="AK77" s="490"/>
      <c r="AL77" s="490"/>
      <c r="AM77" s="487"/>
      <c r="AN77" s="637"/>
      <c r="AO77" s="488"/>
      <c r="AP77" s="490"/>
      <c r="AQ77" s="490"/>
      <c r="AR77" s="487"/>
      <c r="AS77" s="637"/>
      <c r="AT77" s="487"/>
      <c r="AU77" s="420"/>
      <c r="AV77" s="420"/>
      <c r="AW77" s="487"/>
      <c r="AX77" s="637"/>
      <c r="AZ77" s="402" t="e">
        <f t="shared" si="46"/>
        <v>#N/A</v>
      </c>
      <c r="BA77" s="651"/>
    </row>
    <row r="78" spans="2:53">
      <c r="B78" s="635"/>
      <c r="C78" s="415">
        <v>12</v>
      </c>
      <c r="D78" s="225"/>
      <c r="E78" s="420"/>
      <c r="F78" s="500"/>
      <c r="G78" s="501"/>
      <c r="H78" s="672"/>
      <c r="I78" s="417" t="str">
        <f t="shared" si="43"/>
        <v>-</v>
      </c>
      <c r="J78" s="417" t="str">
        <f t="shared" si="44"/>
        <v>-</v>
      </c>
      <c r="K78" s="199" t="str">
        <f t="shared" si="45"/>
        <v>-</v>
      </c>
      <c r="L78" s="609"/>
      <c r="M78" s="421" t="e">
        <f>RANK(K78, K$67:$K$81)</f>
        <v>#VALUE!</v>
      </c>
      <c r="N78" s="627"/>
      <c r="O78" s="627"/>
      <c r="P78" s="488"/>
      <c r="Q78" s="490"/>
      <c r="R78" s="490"/>
      <c r="S78" s="487"/>
      <c r="T78" s="637"/>
      <c r="U78" s="488"/>
      <c r="V78" s="490"/>
      <c r="W78" s="490"/>
      <c r="X78" s="487"/>
      <c r="Y78" s="637"/>
      <c r="Z78" s="488"/>
      <c r="AA78" s="490"/>
      <c r="AB78" s="490"/>
      <c r="AC78" s="487"/>
      <c r="AD78" s="637"/>
      <c r="AE78" s="488"/>
      <c r="AF78" s="490"/>
      <c r="AG78" s="490"/>
      <c r="AH78" s="487"/>
      <c r="AI78" s="637"/>
      <c r="AJ78" s="488"/>
      <c r="AK78" s="490"/>
      <c r="AL78" s="490"/>
      <c r="AM78" s="487"/>
      <c r="AN78" s="637"/>
      <c r="AO78" s="488"/>
      <c r="AP78" s="490"/>
      <c r="AQ78" s="490"/>
      <c r="AR78" s="487"/>
      <c r="AS78" s="637"/>
      <c r="AT78" s="487"/>
      <c r="AU78" s="420"/>
      <c r="AV78" s="420"/>
      <c r="AW78" s="487"/>
      <c r="AX78" s="637"/>
      <c r="AZ78" s="402" t="e">
        <f t="shared" si="46"/>
        <v>#N/A</v>
      </c>
      <c r="BA78" s="651"/>
    </row>
    <row r="79" spans="2:53">
      <c r="B79" s="635"/>
      <c r="C79" s="415">
        <v>13</v>
      </c>
      <c r="D79" s="225"/>
      <c r="E79" s="420"/>
      <c r="F79" s="500"/>
      <c r="G79" s="501"/>
      <c r="H79" s="672"/>
      <c r="I79" s="417" t="str">
        <f t="shared" si="43"/>
        <v>-</v>
      </c>
      <c r="J79" s="417" t="str">
        <f t="shared" si="44"/>
        <v>-</v>
      </c>
      <c r="K79" s="199" t="str">
        <f t="shared" si="45"/>
        <v>-</v>
      </c>
      <c r="L79" s="609"/>
      <c r="M79" s="421" t="e">
        <f>RANK(K79, K$67:$K$81)</f>
        <v>#VALUE!</v>
      </c>
      <c r="N79" s="627"/>
      <c r="O79" s="627"/>
      <c r="P79" s="488"/>
      <c r="Q79" s="490"/>
      <c r="R79" s="490"/>
      <c r="S79" s="487"/>
      <c r="T79" s="637"/>
      <c r="U79" s="488"/>
      <c r="V79" s="490"/>
      <c r="W79" s="490"/>
      <c r="X79" s="487"/>
      <c r="Y79" s="637"/>
      <c r="Z79" s="488"/>
      <c r="AA79" s="490"/>
      <c r="AB79" s="490"/>
      <c r="AC79" s="487"/>
      <c r="AD79" s="637"/>
      <c r="AE79" s="488"/>
      <c r="AF79" s="490"/>
      <c r="AG79" s="490"/>
      <c r="AH79" s="487"/>
      <c r="AI79" s="637"/>
      <c r="AJ79" s="488"/>
      <c r="AK79" s="490"/>
      <c r="AL79" s="490"/>
      <c r="AM79" s="487"/>
      <c r="AN79" s="637"/>
      <c r="AO79" s="488"/>
      <c r="AP79" s="490"/>
      <c r="AQ79" s="490"/>
      <c r="AR79" s="487"/>
      <c r="AS79" s="637"/>
      <c r="AT79" s="487"/>
      <c r="AU79" s="420"/>
      <c r="AV79" s="420"/>
      <c r="AW79" s="487"/>
      <c r="AX79" s="637"/>
      <c r="AZ79" s="402" t="e">
        <f t="shared" si="46"/>
        <v>#N/A</v>
      </c>
      <c r="BA79" s="651"/>
    </row>
    <row r="80" spans="2:53">
      <c r="B80" s="635"/>
      <c r="C80" s="415">
        <v>14</v>
      </c>
      <c r="D80" s="225"/>
      <c r="E80" s="420"/>
      <c r="F80" s="500"/>
      <c r="G80" s="501"/>
      <c r="H80" s="672"/>
      <c r="I80" s="417" t="str">
        <f t="shared" si="43"/>
        <v>-</v>
      </c>
      <c r="J80" s="417" t="str">
        <f t="shared" si="44"/>
        <v>-</v>
      </c>
      <c r="K80" s="199" t="str">
        <f t="shared" si="45"/>
        <v>-</v>
      </c>
      <c r="L80" s="609"/>
      <c r="M80" s="421" t="e">
        <f>RANK(K80, K$67:$K$81)</f>
        <v>#VALUE!</v>
      </c>
      <c r="N80" s="627"/>
      <c r="O80" s="627"/>
      <c r="P80" s="488"/>
      <c r="Q80" s="490"/>
      <c r="R80" s="490"/>
      <c r="S80" s="487"/>
      <c r="T80" s="637"/>
      <c r="U80" s="488"/>
      <c r="V80" s="490"/>
      <c r="W80" s="490"/>
      <c r="X80" s="487"/>
      <c r="Y80" s="637"/>
      <c r="Z80" s="488"/>
      <c r="AA80" s="490"/>
      <c r="AB80" s="490"/>
      <c r="AC80" s="487"/>
      <c r="AD80" s="637"/>
      <c r="AE80" s="488"/>
      <c r="AF80" s="490"/>
      <c r="AG80" s="490"/>
      <c r="AH80" s="487"/>
      <c r="AI80" s="637"/>
      <c r="AJ80" s="488"/>
      <c r="AK80" s="490"/>
      <c r="AL80" s="490"/>
      <c r="AM80" s="487"/>
      <c r="AN80" s="637"/>
      <c r="AO80" s="488"/>
      <c r="AP80" s="490"/>
      <c r="AQ80" s="490"/>
      <c r="AR80" s="487"/>
      <c r="AS80" s="637"/>
      <c r="AT80" s="487"/>
      <c r="AU80" s="420"/>
      <c r="AV80" s="420"/>
      <c r="AW80" s="487"/>
      <c r="AX80" s="637"/>
      <c r="AZ80" s="402" t="e">
        <f t="shared" si="46"/>
        <v>#N/A</v>
      </c>
      <c r="BA80" s="651"/>
    </row>
    <row r="81" spans="2:53">
      <c r="B81" s="635"/>
      <c r="C81" s="415">
        <v>15</v>
      </c>
      <c r="D81" s="225"/>
      <c r="E81" s="420"/>
      <c r="F81" s="500"/>
      <c r="G81" s="501"/>
      <c r="H81" s="676"/>
      <c r="I81" s="415"/>
      <c r="J81" s="415"/>
      <c r="K81" s="415"/>
      <c r="L81" s="610"/>
      <c r="M81" s="421" t="e">
        <f>RANK(K81, K$67:$K$81)</f>
        <v>#N/A</v>
      </c>
      <c r="N81" s="627"/>
      <c r="O81" s="627"/>
      <c r="P81" s="488"/>
      <c r="Q81" s="490"/>
      <c r="R81" s="490"/>
      <c r="S81" s="487"/>
      <c r="T81" s="638"/>
      <c r="U81" s="488"/>
      <c r="V81" s="490"/>
      <c r="W81" s="490"/>
      <c r="X81" s="487"/>
      <c r="Y81" s="638"/>
      <c r="Z81" s="488"/>
      <c r="AA81" s="490"/>
      <c r="AB81" s="490"/>
      <c r="AC81" s="487"/>
      <c r="AD81" s="638"/>
      <c r="AE81" s="488"/>
      <c r="AF81" s="490"/>
      <c r="AG81" s="490"/>
      <c r="AH81" s="487"/>
      <c r="AI81" s="638"/>
      <c r="AJ81" s="488"/>
      <c r="AK81" s="490"/>
      <c r="AL81" s="490"/>
      <c r="AM81" s="487"/>
      <c r="AN81" s="638"/>
      <c r="AO81" s="488"/>
      <c r="AP81" s="490"/>
      <c r="AQ81" s="490"/>
      <c r="AR81" s="487"/>
      <c r="AS81" s="638"/>
      <c r="AT81" s="487"/>
      <c r="AU81" s="420"/>
      <c r="AV81" s="420"/>
      <c r="AW81" s="487"/>
      <c r="AX81" s="638"/>
      <c r="AZ81" s="402" t="e">
        <f t="shared" si="46"/>
        <v>#N/A</v>
      </c>
      <c r="BA81" s="652"/>
    </row>
    <row r="82" spans="2:53" ht="15.75">
      <c r="B82" s="639" t="s">
        <v>163</v>
      </c>
      <c r="C82" s="640"/>
      <c r="D82" s="640"/>
      <c r="E82" s="640"/>
      <c r="F82" s="640"/>
      <c r="G82" s="640"/>
      <c r="H82" s="641"/>
      <c r="I82" s="207"/>
      <c r="J82" s="207"/>
      <c r="K82" s="207"/>
      <c r="L82" s="207"/>
      <c r="M82" s="206"/>
      <c r="N82" s="628" t="s">
        <v>156</v>
      </c>
      <c r="O82" s="628" t="s">
        <v>105</v>
      </c>
      <c r="P82" s="634">
        <f>P62+7</f>
        <v>46168</v>
      </c>
      <c r="Q82" s="635"/>
      <c r="R82" s="635"/>
      <c r="S82" s="635"/>
      <c r="T82" s="635"/>
      <c r="U82" s="631">
        <f>P82+1</f>
        <v>46169</v>
      </c>
      <c r="V82" s="632"/>
      <c r="W82" s="632"/>
      <c r="X82" s="632"/>
      <c r="Y82" s="633"/>
      <c r="Z82" s="631">
        <f>U82+1</f>
        <v>46170</v>
      </c>
      <c r="AA82" s="632"/>
      <c r="AB82" s="632"/>
      <c r="AC82" s="632"/>
      <c r="AD82" s="633"/>
      <c r="AE82" s="631">
        <f>Z82+1</f>
        <v>46171</v>
      </c>
      <c r="AF82" s="632"/>
      <c r="AG82" s="632"/>
      <c r="AH82" s="632"/>
      <c r="AI82" s="633"/>
      <c r="AJ82" s="631">
        <f>AE82+1</f>
        <v>46172</v>
      </c>
      <c r="AK82" s="632"/>
      <c r="AL82" s="632"/>
      <c r="AM82" s="632"/>
      <c r="AN82" s="633"/>
      <c r="AO82" s="631">
        <f>AJ82+1</f>
        <v>46173</v>
      </c>
      <c r="AP82" s="632"/>
      <c r="AQ82" s="632"/>
      <c r="AR82" s="632"/>
      <c r="AS82" s="633"/>
      <c r="AT82" s="631">
        <f>AO82+1</f>
        <v>46174</v>
      </c>
      <c r="AU82" s="632"/>
      <c r="AV82" s="632"/>
      <c r="AW82" s="632"/>
      <c r="AX82" s="633"/>
    </row>
    <row r="83" spans="2:53" ht="15.75">
      <c r="B83" s="642"/>
      <c r="C83" s="642"/>
      <c r="D83" s="642"/>
      <c r="E83" s="642"/>
      <c r="F83" s="642"/>
      <c r="G83" s="642"/>
      <c r="H83" s="642"/>
      <c r="I83" s="204"/>
      <c r="J83" s="204"/>
      <c r="K83" s="204"/>
      <c r="L83" s="204"/>
      <c r="M83" s="205"/>
      <c r="N83" s="630"/>
      <c r="O83" s="630"/>
      <c r="P83" s="634" t="s">
        <v>318</v>
      </c>
      <c r="Q83" s="635"/>
      <c r="R83" s="635"/>
      <c r="S83" s="635"/>
      <c r="T83" s="635"/>
      <c r="U83" s="634" t="s">
        <v>319</v>
      </c>
      <c r="V83" s="635"/>
      <c r="W83" s="635"/>
      <c r="X83" s="635"/>
      <c r="Y83" s="635"/>
      <c r="Z83" s="634" t="s">
        <v>320</v>
      </c>
      <c r="AA83" s="635"/>
      <c r="AB83" s="635"/>
      <c r="AC83" s="635"/>
      <c r="AD83" s="635"/>
      <c r="AE83" s="634" t="s">
        <v>321</v>
      </c>
      <c r="AF83" s="635"/>
      <c r="AG83" s="635"/>
      <c r="AH83" s="635"/>
      <c r="AI83" s="635"/>
      <c r="AJ83" s="634" t="s">
        <v>322</v>
      </c>
      <c r="AK83" s="635"/>
      <c r="AL83" s="635"/>
      <c r="AM83" s="635"/>
      <c r="AN83" s="635"/>
      <c r="AO83" s="634" t="s">
        <v>323</v>
      </c>
      <c r="AP83" s="635"/>
      <c r="AQ83" s="635"/>
      <c r="AR83" s="635"/>
      <c r="AS83" s="635"/>
      <c r="AT83" s="634" t="s">
        <v>324</v>
      </c>
      <c r="AU83" s="635"/>
      <c r="AV83" s="635"/>
      <c r="AW83" s="635"/>
      <c r="AX83" s="635"/>
    </row>
    <row r="84" spans="2:53">
      <c r="B84" s="627" t="s">
        <v>399</v>
      </c>
      <c r="C84" s="627" t="s">
        <v>551</v>
      </c>
      <c r="D84" s="627"/>
      <c r="E84" s="627" t="s">
        <v>552</v>
      </c>
      <c r="F84" s="627"/>
      <c r="G84" s="627"/>
      <c r="H84" s="643" t="s">
        <v>553</v>
      </c>
      <c r="I84" s="627" t="s">
        <v>554</v>
      </c>
      <c r="J84" s="627"/>
      <c r="K84" s="627"/>
      <c r="L84" s="643" t="s">
        <v>371</v>
      </c>
      <c r="M84" s="628" t="s">
        <v>555</v>
      </c>
      <c r="N84" s="627"/>
      <c r="O84" s="627" t="s">
        <v>556</v>
      </c>
      <c r="P84" s="624" t="s">
        <v>373</v>
      </c>
      <c r="Q84" s="625"/>
      <c r="R84" s="625"/>
      <c r="S84" s="626"/>
      <c r="T84" s="627" t="s">
        <v>371</v>
      </c>
      <c r="U84" s="624" t="s">
        <v>373</v>
      </c>
      <c r="V84" s="625"/>
      <c r="W84" s="625"/>
      <c r="X84" s="626"/>
      <c r="Y84" s="627" t="s">
        <v>371</v>
      </c>
      <c r="Z84" s="624" t="s">
        <v>373</v>
      </c>
      <c r="AA84" s="625"/>
      <c r="AB84" s="625"/>
      <c r="AC84" s="626"/>
      <c r="AD84" s="627" t="s">
        <v>371</v>
      </c>
      <c r="AE84" s="624" t="s">
        <v>373</v>
      </c>
      <c r="AF84" s="625"/>
      <c r="AG84" s="625"/>
      <c r="AH84" s="626"/>
      <c r="AI84" s="627" t="s">
        <v>371</v>
      </c>
      <c r="AJ84" s="624" t="s">
        <v>373</v>
      </c>
      <c r="AK84" s="625"/>
      <c r="AL84" s="625"/>
      <c r="AM84" s="626"/>
      <c r="AN84" s="627" t="s">
        <v>371</v>
      </c>
      <c r="AO84" s="624" t="s">
        <v>373</v>
      </c>
      <c r="AP84" s="625"/>
      <c r="AQ84" s="625"/>
      <c r="AR84" s="626"/>
      <c r="AS84" s="627" t="s">
        <v>371</v>
      </c>
      <c r="AT84" s="624" t="s">
        <v>373</v>
      </c>
      <c r="AU84" s="625"/>
      <c r="AV84" s="625"/>
      <c r="AW84" s="626"/>
      <c r="AX84" s="627" t="s">
        <v>371</v>
      </c>
      <c r="BA84" s="627" t="s">
        <v>371</v>
      </c>
    </row>
    <row r="85" spans="2:53">
      <c r="B85" s="627"/>
      <c r="C85" s="627"/>
      <c r="D85" s="627"/>
      <c r="E85" s="627" t="s">
        <v>557</v>
      </c>
      <c r="F85" s="627"/>
      <c r="G85" s="627"/>
      <c r="H85" s="644"/>
      <c r="I85" s="627" t="s">
        <v>557</v>
      </c>
      <c r="J85" s="627"/>
      <c r="K85" s="627"/>
      <c r="L85" s="644"/>
      <c r="M85" s="629"/>
      <c r="N85" s="627"/>
      <c r="O85" s="627"/>
      <c r="P85" s="624" t="s">
        <v>379</v>
      </c>
      <c r="Q85" s="625"/>
      <c r="R85" s="625"/>
      <c r="S85" s="626"/>
      <c r="T85" s="627"/>
      <c r="U85" s="624" t="s">
        <v>379</v>
      </c>
      <c r="V85" s="625"/>
      <c r="W85" s="625"/>
      <c r="X85" s="626"/>
      <c r="Y85" s="627"/>
      <c r="Z85" s="624" t="s">
        <v>379</v>
      </c>
      <c r="AA85" s="625"/>
      <c r="AB85" s="625"/>
      <c r="AC85" s="626"/>
      <c r="AD85" s="627"/>
      <c r="AE85" s="624" t="s">
        <v>379</v>
      </c>
      <c r="AF85" s="625"/>
      <c r="AG85" s="625"/>
      <c r="AH85" s="626"/>
      <c r="AI85" s="627"/>
      <c r="AJ85" s="624" t="s">
        <v>379</v>
      </c>
      <c r="AK85" s="625"/>
      <c r="AL85" s="625"/>
      <c r="AM85" s="626"/>
      <c r="AN85" s="627"/>
      <c r="AO85" s="624" t="s">
        <v>379</v>
      </c>
      <c r="AP85" s="625"/>
      <c r="AQ85" s="625"/>
      <c r="AR85" s="626"/>
      <c r="AS85" s="627"/>
      <c r="AT85" s="624" t="s">
        <v>379</v>
      </c>
      <c r="AU85" s="625"/>
      <c r="AV85" s="625"/>
      <c r="AW85" s="626"/>
      <c r="AX85" s="627"/>
      <c r="BA85" s="627"/>
    </row>
    <row r="86" spans="2:53">
      <c r="B86" s="627"/>
      <c r="C86" s="627"/>
      <c r="D86" s="627"/>
      <c r="E86" s="412" t="s">
        <v>558</v>
      </c>
      <c r="F86" s="412" t="s">
        <v>559</v>
      </c>
      <c r="G86" s="412" t="s">
        <v>560</v>
      </c>
      <c r="H86" s="645"/>
      <c r="I86" s="412" t="s">
        <v>558</v>
      </c>
      <c r="J86" s="412" t="s">
        <v>559</v>
      </c>
      <c r="K86" s="412" t="s">
        <v>560</v>
      </c>
      <c r="L86" s="645"/>
      <c r="M86" s="630"/>
      <c r="N86" s="627"/>
      <c r="O86" s="627"/>
      <c r="P86" s="412" t="s">
        <v>380</v>
      </c>
      <c r="Q86" s="412" t="s">
        <v>381</v>
      </c>
      <c r="R86" s="412" t="s">
        <v>382</v>
      </c>
      <c r="S86" s="412" t="s">
        <v>372</v>
      </c>
      <c r="T86" s="627"/>
      <c r="U86" s="412" t="s">
        <v>380</v>
      </c>
      <c r="V86" s="412" t="s">
        <v>381</v>
      </c>
      <c r="W86" s="412" t="s">
        <v>382</v>
      </c>
      <c r="X86" s="412" t="s">
        <v>372</v>
      </c>
      <c r="Y86" s="627"/>
      <c r="Z86" s="412" t="s">
        <v>380</v>
      </c>
      <c r="AA86" s="412" t="s">
        <v>381</v>
      </c>
      <c r="AB86" s="412" t="s">
        <v>382</v>
      </c>
      <c r="AC86" s="412" t="s">
        <v>372</v>
      </c>
      <c r="AD86" s="627"/>
      <c r="AE86" s="412" t="s">
        <v>380</v>
      </c>
      <c r="AF86" s="412" t="s">
        <v>381</v>
      </c>
      <c r="AG86" s="412" t="s">
        <v>382</v>
      </c>
      <c r="AH86" s="412" t="s">
        <v>372</v>
      </c>
      <c r="AI86" s="627"/>
      <c r="AJ86" s="412" t="s">
        <v>380</v>
      </c>
      <c r="AK86" s="412" t="s">
        <v>381</v>
      </c>
      <c r="AL86" s="412" t="s">
        <v>382</v>
      </c>
      <c r="AM86" s="412" t="s">
        <v>372</v>
      </c>
      <c r="AN86" s="627"/>
      <c r="AO86" s="412" t="s">
        <v>380</v>
      </c>
      <c r="AP86" s="412" t="s">
        <v>381</v>
      </c>
      <c r="AQ86" s="412" t="s">
        <v>382</v>
      </c>
      <c r="AR86" s="412" t="s">
        <v>372</v>
      </c>
      <c r="AS86" s="627"/>
      <c r="AT86" s="412" t="s">
        <v>380</v>
      </c>
      <c r="AU86" s="412" t="s">
        <v>381</v>
      </c>
      <c r="AV86" s="412" t="s">
        <v>382</v>
      </c>
      <c r="AW86" s="412" t="s">
        <v>372</v>
      </c>
      <c r="AX86" s="627"/>
      <c r="AZ86" s="401" t="s">
        <v>372</v>
      </c>
      <c r="BA86" s="627"/>
    </row>
    <row r="87" spans="2:53">
      <c r="B87" s="627" t="s">
        <v>416</v>
      </c>
      <c r="C87" s="415">
        <v>1</v>
      </c>
      <c r="D87" s="225"/>
      <c r="E87" s="420"/>
      <c r="F87" s="413"/>
      <c r="G87" s="414"/>
      <c r="H87" s="671" t="e">
        <f>AVERAGE(G87:G101)</f>
        <v>#DIV/0!</v>
      </c>
      <c r="I87" s="417" t="str">
        <f t="shared" ref="I87:I100" si="48">IFERROR(AVERAGE(P87,U87,Z87,AE87,AJ87,AO87,AT87),"-")</f>
        <v>-</v>
      </c>
      <c r="J87" s="417" t="str">
        <f t="shared" ref="J87:J100" si="49">IFERROR(AVERAGE(Q87,V87,AA87,AF87,AK87,AP87,AU87),"-")</f>
        <v>-</v>
      </c>
      <c r="K87" s="199" t="str">
        <f t="shared" ref="K87:K100" si="50">IFERROR(AVERAGE(R87,W87,AB87,AG87,AL87,AQ87,AV87),"-")</f>
        <v>-</v>
      </c>
      <c r="L87" s="608" t="str">
        <f>IFERROR(AVERAGE(K87:K101),"-")</f>
        <v>-</v>
      </c>
      <c r="M87" s="421" t="e">
        <f>RANK(K87, K$87:$K$101)</f>
        <v>#VALUE!</v>
      </c>
      <c r="N87" s="627"/>
      <c r="O87" s="627"/>
      <c r="P87" s="495"/>
      <c r="Q87" s="420"/>
      <c r="R87" s="420"/>
      <c r="S87" s="495"/>
      <c r="T87" s="649"/>
      <c r="U87" s="495"/>
      <c r="V87" s="420"/>
      <c r="W87" s="420"/>
      <c r="X87" s="495"/>
      <c r="Y87" s="649"/>
      <c r="Z87" s="495"/>
      <c r="AA87" s="420"/>
      <c r="AB87" s="420"/>
      <c r="AC87" s="495"/>
      <c r="AD87" s="649"/>
      <c r="AE87" s="495"/>
      <c r="AF87" s="420"/>
      <c r="AG87" s="420"/>
      <c r="AH87" s="495"/>
      <c r="AI87" s="649"/>
      <c r="AJ87" s="495"/>
      <c r="AK87" s="420"/>
      <c r="AL87" s="420"/>
      <c r="AM87" s="495"/>
      <c r="AN87" s="649"/>
      <c r="AO87" s="495"/>
      <c r="AP87" s="420"/>
      <c r="AQ87" s="420"/>
      <c r="AR87" s="495"/>
      <c r="AS87" s="649"/>
      <c r="AT87" s="495"/>
      <c r="AU87" s="420"/>
      <c r="AV87" s="420"/>
      <c r="AW87" s="495"/>
      <c r="AX87" s="649"/>
      <c r="AZ87" s="402" t="e">
        <f t="shared" ref="AZ87:AZ101" si="51">RANK(AY87, AY$87:AY$101)</f>
        <v>#N/A</v>
      </c>
      <c r="BA87" s="649" t="e">
        <f t="shared" ref="BA87" si="52">AVERAGE(AY87:AY101)</f>
        <v>#DIV/0!</v>
      </c>
    </row>
    <row r="88" spans="2:53">
      <c r="B88" s="635"/>
      <c r="C88" s="415">
        <v>2</v>
      </c>
      <c r="D88" s="225"/>
      <c r="E88" s="420"/>
      <c r="F88" s="413"/>
      <c r="G88" s="414"/>
      <c r="H88" s="672"/>
      <c r="I88" s="417" t="str">
        <f t="shared" si="48"/>
        <v>-</v>
      </c>
      <c r="J88" s="417" t="str">
        <f t="shared" si="49"/>
        <v>-</v>
      </c>
      <c r="K88" s="199" t="str">
        <f t="shared" si="50"/>
        <v>-</v>
      </c>
      <c r="L88" s="609"/>
      <c r="M88" s="497" t="e">
        <f>RANK(K88, K$87:$K$101)</f>
        <v>#VALUE!</v>
      </c>
      <c r="N88" s="627"/>
      <c r="O88" s="627"/>
      <c r="P88" s="495"/>
      <c r="Q88" s="420"/>
      <c r="R88" s="420"/>
      <c r="S88" s="495"/>
      <c r="T88" s="649"/>
      <c r="U88" s="495"/>
      <c r="V88" s="420"/>
      <c r="W88" s="420"/>
      <c r="X88" s="495"/>
      <c r="Y88" s="649"/>
      <c r="Z88" s="495"/>
      <c r="AA88" s="420"/>
      <c r="AB88" s="420"/>
      <c r="AC88" s="495"/>
      <c r="AD88" s="649"/>
      <c r="AE88" s="495"/>
      <c r="AF88" s="420"/>
      <c r="AG88" s="420"/>
      <c r="AH88" s="495"/>
      <c r="AI88" s="649"/>
      <c r="AJ88" s="495"/>
      <c r="AK88" s="420"/>
      <c r="AL88" s="420"/>
      <c r="AM88" s="495"/>
      <c r="AN88" s="649"/>
      <c r="AO88" s="495"/>
      <c r="AP88" s="420"/>
      <c r="AQ88" s="420"/>
      <c r="AR88" s="495"/>
      <c r="AS88" s="649"/>
      <c r="AT88" s="495"/>
      <c r="AU88" s="420"/>
      <c r="AV88" s="420"/>
      <c r="AW88" s="495"/>
      <c r="AX88" s="649"/>
      <c r="AZ88" s="402" t="e">
        <f t="shared" si="51"/>
        <v>#N/A</v>
      </c>
      <c r="BA88" s="649"/>
    </row>
    <row r="89" spans="2:53">
      <c r="B89" s="635"/>
      <c r="C89" s="415">
        <v>3</v>
      </c>
      <c r="D89" s="225"/>
      <c r="E89" s="420"/>
      <c r="F89" s="413"/>
      <c r="G89" s="414"/>
      <c r="H89" s="672"/>
      <c r="I89" s="417" t="str">
        <f t="shared" si="48"/>
        <v>-</v>
      </c>
      <c r="J89" s="417" t="str">
        <f t="shared" si="49"/>
        <v>-</v>
      </c>
      <c r="K89" s="199" t="str">
        <f t="shared" si="50"/>
        <v>-</v>
      </c>
      <c r="L89" s="609"/>
      <c r="M89" s="497" t="e">
        <f>RANK(K89, K$87:$K$101)</f>
        <v>#VALUE!</v>
      </c>
      <c r="N89" s="627"/>
      <c r="O89" s="627"/>
      <c r="P89" s="495"/>
      <c r="Q89" s="420"/>
      <c r="R89" s="420"/>
      <c r="S89" s="495"/>
      <c r="T89" s="649"/>
      <c r="U89" s="495"/>
      <c r="V89" s="420"/>
      <c r="W89" s="420"/>
      <c r="X89" s="495"/>
      <c r="Y89" s="649"/>
      <c r="Z89" s="495"/>
      <c r="AA89" s="420"/>
      <c r="AB89" s="420"/>
      <c r="AC89" s="495"/>
      <c r="AD89" s="649"/>
      <c r="AE89" s="495"/>
      <c r="AF89" s="420"/>
      <c r="AG89" s="420"/>
      <c r="AH89" s="495"/>
      <c r="AI89" s="649"/>
      <c r="AJ89" s="495"/>
      <c r="AK89" s="420"/>
      <c r="AL89" s="420"/>
      <c r="AM89" s="495"/>
      <c r="AN89" s="649"/>
      <c r="AO89" s="495"/>
      <c r="AP89" s="420"/>
      <c r="AQ89" s="420"/>
      <c r="AR89" s="495"/>
      <c r="AS89" s="649"/>
      <c r="AT89" s="495"/>
      <c r="AU89" s="420"/>
      <c r="AV89" s="420"/>
      <c r="AW89" s="495"/>
      <c r="AX89" s="649"/>
      <c r="AZ89" s="402" t="e">
        <f t="shared" si="51"/>
        <v>#N/A</v>
      </c>
      <c r="BA89" s="649"/>
    </row>
    <row r="90" spans="2:53">
      <c r="B90" s="635"/>
      <c r="C90" s="415">
        <v>4</v>
      </c>
      <c r="D90" s="225"/>
      <c r="E90" s="420"/>
      <c r="F90" s="413"/>
      <c r="G90" s="414"/>
      <c r="H90" s="672"/>
      <c r="I90" s="417" t="str">
        <f t="shared" si="48"/>
        <v>-</v>
      </c>
      <c r="J90" s="417" t="str">
        <f t="shared" si="49"/>
        <v>-</v>
      </c>
      <c r="K90" s="199" t="str">
        <f t="shared" si="50"/>
        <v>-</v>
      </c>
      <c r="L90" s="609"/>
      <c r="M90" s="497" t="e">
        <f>RANK(K90, K$87:$K$101)</f>
        <v>#VALUE!</v>
      </c>
      <c r="N90" s="627"/>
      <c r="O90" s="627"/>
      <c r="P90" s="495"/>
      <c r="Q90" s="420"/>
      <c r="R90" s="420"/>
      <c r="S90" s="495"/>
      <c r="T90" s="649"/>
      <c r="U90" s="495"/>
      <c r="V90" s="420"/>
      <c r="W90" s="420"/>
      <c r="X90" s="495"/>
      <c r="Y90" s="649"/>
      <c r="Z90" s="495"/>
      <c r="AA90" s="420"/>
      <c r="AB90" s="420"/>
      <c r="AC90" s="495"/>
      <c r="AD90" s="649"/>
      <c r="AE90" s="495"/>
      <c r="AF90" s="420"/>
      <c r="AG90" s="420"/>
      <c r="AH90" s="495"/>
      <c r="AI90" s="649"/>
      <c r="AJ90" s="495"/>
      <c r="AK90" s="420"/>
      <c r="AL90" s="420"/>
      <c r="AM90" s="495"/>
      <c r="AN90" s="649"/>
      <c r="AO90" s="495"/>
      <c r="AP90" s="420"/>
      <c r="AQ90" s="420"/>
      <c r="AR90" s="495"/>
      <c r="AS90" s="649"/>
      <c r="AT90" s="495"/>
      <c r="AU90" s="420"/>
      <c r="AV90" s="420"/>
      <c r="AW90" s="495"/>
      <c r="AX90" s="649"/>
      <c r="AZ90" s="402" t="e">
        <f t="shared" si="51"/>
        <v>#N/A</v>
      </c>
      <c r="BA90" s="649"/>
    </row>
    <row r="91" spans="2:53">
      <c r="B91" s="635"/>
      <c r="C91" s="415">
        <v>5</v>
      </c>
      <c r="D91" s="225"/>
      <c r="E91" s="420"/>
      <c r="F91" s="413"/>
      <c r="G91" s="414"/>
      <c r="H91" s="672"/>
      <c r="I91" s="417" t="str">
        <f t="shared" si="48"/>
        <v>-</v>
      </c>
      <c r="J91" s="417" t="str">
        <f t="shared" si="49"/>
        <v>-</v>
      </c>
      <c r="K91" s="199" t="str">
        <f t="shared" si="50"/>
        <v>-</v>
      </c>
      <c r="L91" s="609"/>
      <c r="M91" s="497" t="e">
        <f>RANK(K91, K$87:$K$101)</f>
        <v>#VALUE!</v>
      </c>
      <c r="N91" s="627"/>
      <c r="O91" s="627"/>
      <c r="P91" s="495"/>
      <c r="Q91" s="420"/>
      <c r="R91" s="420"/>
      <c r="S91" s="495"/>
      <c r="T91" s="649"/>
      <c r="U91" s="495"/>
      <c r="V91" s="420"/>
      <c r="W91" s="420"/>
      <c r="X91" s="495"/>
      <c r="Y91" s="649"/>
      <c r="Z91" s="495"/>
      <c r="AA91" s="420"/>
      <c r="AB91" s="420"/>
      <c r="AC91" s="495"/>
      <c r="AD91" s="649"/>
      <c r="AE91" s="495"/>
      <c r="AF91" s="420"/>
      <c r="AG91" s="420"/>
      <c r="AH91" s="495"/>
      <c r="AI91" s="649"/>
      <c r="AJ91" s="495"/>
      <c r="AK91" s="420"/>
      <c r="AL91" s="420"/>
      <c r="AM91" s="495"/>
      <c r="AN91" s="649"/>
      <c r="AO91" s="495"/>
      <c r="AP91" s="420"/>
      <c r="AQ91" s="420"/>
      <c r="AR91" s="495"/>
      <c r="AS91" s="649"/>
      <c r="AT91" s="495"/>
      <c r="AU91" s="420"/>
      <c r="AV91" s="420"/>
      <c r="AW91" s="495"/>
      <c r="AX91" s="649"/>
      <c r="AZ91" s="402" t="e">
        <f t="shared" si="51"/>
        <v>#N/A</v>
      </c>
      <c r="BA91" s="649"/>
    </row>
    <row r="92" spans="2:53">
      <c r="B92" s="635"/>
      <c r="C92" s="415">
        <v>6</v>
      </c>
      <c r="D92" s="225"/>
      <c r="E92" s="420"/>
      <c r="F92" s="413"/>
      <c r="G92" s="414"/>
      <c r="H92" s="672"/>
      <c r="I92" s="417" t="str">
        <f t="shared" si="48"/>
        <v>-</v>
      </c>
      <c r="J92" s="417" t="str">
        <f t="shared" si="49"/>
        <v>-</v>
      </c>
      <c r="K92" s="199" t="str">
        <f t="shared" si="50"/>
        <v>-</v>
      </c>
      <c r="L92" s="609"/>
      <c r="M92" s="497" t="e">
        <f>RANK(K92, K$87:$K$101)</f>
        <v>#VALUE!</v>
      </c>
      <c r="N92" s="627"/>
      <c r="O92" s="627"/>
      <c r="P92" s="495"/>
      <c r="Q92" s="420"/>
      <c r="R92" s="420"/>
      <c r="S92" s="495"/>
      <c r="T92" s="649"/>
      <c r="U92" s="495"/>
      <c r="V92" s="420"/>
      <c r="W92" s="420"/>
      <c r="X92" s="495"/>
      <c r="Y92" s="649"/>
      <c r="Z92" s="495"/>
      <c r="AA92" s="420"/>
      <c r="AB92" s="420"/>
      <c r="AC92" s="495"/>
      <c r="AD92" s="649"/>
      <c r="AE92" s="495"/>
      <c r="AF92" s="420"/>
      <c r="AG92" s="420"/>
      <c r="AH92" s="495"/>
      <c r="AI92" s="649"/>
      <c r="AJ92" s="495"/>
      <c r="AK92" s="420"/>
      <c r="AL92" s="420"/>
      <c r="AM92" s="495"/>
      <c r="AN92" s="649"/>
      <c r="AO92" s="495"/>
      <c r="AP92" s="420"/>
      <c r="AQ92" s="420"/>
      <c r="AR92" s="495"/>
      <c r="AS92" s="649"/>
      <c r="AT92" s="495"/>
      <c r="AU92" s="420"/>
      <c r="AV92" s="420"/>
      <c r="AW92" s="495"/>
      <c r="AX92" s="649"/>
      <c r="AZ92" s="402" t="e">
        <f t="shared" si="51"/>
        <v>#N/A</v>
      </c>
      <c r="BA92" s="649"/>
    </row>
    <row r="93" spans="2:53">
      <c r="B93" s="635"/>
      <c r="C93" s="415">
        <v>7</v>
      </c>
      <c r="D93" s="225"/>
      <c r="E93" s="420"/>
      <c r="F93" s="413"/>
      <c r="G93" s="414"/>
      <c r="H93" s="672"/>
      <c r="I93" s="417" t="str">
        <f t="shared" si="48"/>
        <v>-</v>
      </c>
      <c r="J93" s="417" t="str">
        <f t="shared" si="49"/>
        <v>-</v>
      </c>
      <c r="K93" s="199" t="str">
        <f t="shared" si="50"/>
        <v>-</v>
      </c>
      <c r="L93" s="609"/>
      <c r="M93" s="497" t="e">
        <f>RANK(K93, K$87:$K$101)</f>
        <v>#VALUE!</v>
      </c>
      <c r="N93" s="627"/>
      <c r="O93" s="627"/>
      <c r="P93" s="495"/>
      <c r="Q93" s="420"/>
      <c r="R93" s="420"/>
      <c r="S93" s="495"/>
      <c r="T93" s="649"/>
      <c r="U93" s="495"/>
      <c r="V93" s="420"/>
      <c r="W93" s="420"/>
      <c r="X93" s="495"/>
      <c r="Y93" s="649"/>
      <c r="Z93" s="495"/>
      <c r="AA93" s="420"/>
      <c r="AB93" s="420"/>
      <c r="AC93" s="495"/>
      <c r="AD93" s="649"/>
      <c r="AE93" s="495"/>
      <c r="AF93" s="420"/>
      <c r="AG93" s="420"/>
      <c r="AH93" s="495"/>
      <c r="AI93" s="649"/>
      <c r="AJ93" s="495"/>
      <c r="AK93" s="420"/>
      <c r="AL93" s="420"/>
      <c r="AM93" s="495"/>
      <c r="AN93" s="649"/>
      <c r="AO93" s="495"/>
      <c r="AP93" s="420"/>
      <c r="AQ93" s="420"/>
      <c r="AR93" s="495"/>
      <c r="AS93" s="649"/>
      <c r="AT93" s="495"/>
      <c r="AU93" s="420"/>
      <c r="AV93" s="420"/>
      <c r="AW93" s="495"/>
      <c r="AX93" s="649"/>
      <c r="AZ93" s="402" t="e">
        <f t="shared" si="51"/>
        <v>#N/A</v>
      </c>
      <c r="BA93" s="649"/>
    </row>
    <row r="94" spans="2:53">
      <c r="B94" s="635"/>
      <c r="C94" s="415">
        <v>8</v>
      </c>
      <c r="D94" s="225"/>
      <c r="E94" s="420"/>
      <c r="F94" s="413"/>
      <c r="G94" s="414"/>
      <c r="H94" s="672"/>
      <c r="I94" s="417" t="str">
        <f t="shared" si="48"/>
        <v>-</v>
      </c>
      <c r="J94" s="417" t="str">
        <f t="shared" si="49"/>
        <v>-</v>
      </c>
      <c r="K94" s="199" t="str">
        <f t="shared" si="50"/>
        <v>-</v>
      </c>
      <c r="L94" s="609"/>
      <c r="M94" s="497" t="e">
        <f>RANK(K94, K$87:$K$101)</f>
        <v>#VALUE!</v>
      </c>
      <c r="N94" s="627"/>
      <c r="O94" s="627"/>
      <c r="P94" s="495"/>
      <c r="Q94" s="420"/>
      <c r="R94" s="420"/>
      <c r="S94" s="495"/>
      <c r="T94" s="649"/>
      <c r="U94" s="495"/>
      <c r="V94" s="420"/>
      <c r="W94" s="420"/>
      <c r="X94" s="495"/>
      <c r="Y94" s="649"/>
      <c r="Z94" s="495"/>
      <c r="AA94" s="420"/>
      <c r="AB94" s="420"/>
      <c r="AC94" s="495"/>
      <c r="AD94" s="649"/>
      <c r="AE94" s="495"/>
      <c r="AF94" s="420"/>
      <c r="AG94" s="420"/>
      <c r="AH94" s="495"/>
      <c r="AI94" s="649"/>
      <c r="AJ94" s="495"/>
      <c r="AK94" s="420"/>
      <c r="AL94" s="420"/>
      <c r="AM94" s="495"/>
      <c r="AN94" s="649"/>
      <c r="AO94" s="495"/>
      <c r="AP94" s="420"/>
      <c r="AQ94" s="420"/>
      <c r="AR94" s="495"/>
      <c r="AS94" s="649"/>
      <c r="AT94" s="495"/>
      <c r="AU94" s="420"/>
      <c r="AV94" s="420"/>
      <c r="AW94" s="495"/>
      <c r="AX94" s="649"/>
      <c r="AZ94" s="402" t="e">
        <f t="shared" si="51"/>
        <v>#N/A</v>
      </c>
      <c r="BA94" s="649"/>
    </row>
    <row r="95" spans="2:53">
      <c r="B95" s="635"/>
      <c r="C95" s="415">
        <v>9</v>
      </c>
      <c r="D95" s="225"/>
      <c r="E95" s="420"/>
      <c r="F95" s="413"/>
      <c r="G95" s="414"/>
      <c r="H95" s="672"/>
      <c r="I95" s="417" t="str">
        <f t="shared" si="48"/>
        <v>-</v>
      </c>
      <c r="J95" s="417" t="str">
        <f t="shared" si="49"/>
        <v>-</v>
      </c>
      <c r="K95" s="199" t="str">
        <f t="shared" si="50"/>
        <v>-</v>
      </c>
      <c r="L95" s="609"/>
      <c r="M95" s="497" t="e">
        <f>RANK(K95, K$87:$K$101)</f>
        <v>#VALUE!</v>
      </c>
      <c r="N95" s="627"/>
      <c r="O95" s="627"/>
      <c r="P95" s="495"/>
      <c r="Q95" s="420"/>
      <c r="R95" s="420"/>
      <c r="S95" s="495"/>
      <c r="T95" s="649"/>
      <c r="U95" s="495"/>
      <c r="V95" s="420"/>
      <c r="W95" s="420"/>
      <c r="X95" s="495"/>
      <c r="Y95" s="649"/>
      <c r="Z95" s="495"/>
      <c r="AA95" s="420"/>
      <c r="AB95" s="420"/>
      <c r="AC95" s="495"/>
      <c r="AD95" s="649"/>
      <c r="AE95" s="495"/>
      <c r="AF95" s="420"/>
      <c r="AG95" s="420"/>
      <c r="AH95" s="495"/>
      <c r="AI95" s="649"/>
      <c r="AJ95" s="495"/>
      <c r="AK95" s="420"/>
      <c r="AL95" s="420"/>
      <c r="AM95" s="495"/>
      <c r="AN95" s="649"/>
      <c r="AO95" s="495"/>
      <c r="AP95" s="420"/>
      <c r="AQ95" s="420"/>
      <c r="AR95" s="495"/>
      <c r="AS95" s="649"/>
      <c r="AT95" s="495"/>
      <c r="AU95" s="420"/>
      <c r="AV95" s="420"/>
      <c r="AW95" s="495"/>
      <c r="AX95" s="649"/>
      <c r="AZ95" s="402" t="e">
        <f t="shared" si="51"/>
        <v>#N/A</v>
      </c>
      <c r="BA95" s="649"/>
    </row>
    <row r="96" spans="2:53">
      <c r="B96" s="635"/>
      <c r="C96" s="415">
        <v>10</v>
      </c>
      <c r="D96" s="225"/>
      <c r="E96" s="420"/>
      <c r="F96" s="413"/>
      <c r="G96" s="414"/>
      <c r="H96" s="672"/>
      <c r="I96" s="417" t="str">
        <f t="shared" si="48"/>
        <v>-</v>
      </c>
      <c r="J96" s="417" t="str">
        <f t="shared" si="49"/>
        <v>-</v>
      </c>
      <c r="K96" s="199" t="str">
        <f t="shared" si="50"/>
        <v>-</v>
      </c>
      <c r="L96" s="609"/>
      <c r="M96" s="497" t="e">
        <f>RANK(K96, K$87:$K$101)</f>
        <v>#VALUE!</v>
      </c>
      <c r="N96" s="627"/>
      <c r="O96" s="627"/>
      <c r="P96" s="495"/>
      <c r="Q96" s="420"/>
      <c r="R96" s="420"/>
      <c r="S96" s="495"/>
      <c r="T96" s="649"/>
      <c r="U96" s="495"/>
      <c r="V96" s="420"/>
      <c r="W96" s="420"/>
      <c r="X96" s="495"/>
      <c r="Y96" s="649"/>
      <c r="Z96" s="495"/>
      <c r="AA96" s="420"/>
      <c r="AB96" s="420"/>
      <c r="AC96" s="495"/>
      <c r="AD96" s="649"/>
      <c r="AE96" s="495"/>
      <c r="AF96" s="420"/>
      <c r="AG96" s="420"/>
      <c r="AH96" s="495"/>
      <c r="AI96" s="649"/>
      <c r="AJ96" s="495"/>
      <c r="AK96" s="420"/>
      <c r="AL96" s="420"/>
      <c r="AM96" s="495"/>
      <c r="AN96" s="649"/>
      <c r="AO96" s="495"/>
      <c r="AP96" s="420"/>
      <c r="AQ96" s="420"/>
      <c r="AR96" s="495"/>
      <c r="AS96" s="649"/>
      <c r="AT96" s="495"/>
      <c r="AU96" s="420"/>
      <c r="AV96" s="420"/>
      <c r="AW96" s="495"/>
      <c r="AX96" s="649"/>
      <c r="AZ96" s="402" t="e">
        <f t="shared" si="51"/>
        <v>#N/A</v>
      </c>
      <c r="BA96" s="649"/>
    </row>
    <row r="97" spans="2:53">
      <c r="B97" s="635"/>
      <c r="C97" s="415">
        <v>11</v>
      </c>
      <c r="D97" s="225"/>
      <c r="E97" s="420"/>
      <c r="F97" s="413"/>
      <c r="G97" s="414"/>
      <c r="H97" s="672"/>
      <c r="I97" s="417" t="str">
        <f t="shared" si="48"/>
        <v>-</v>
      </c>
      <c r="J97" s="417" t="str">
        <f t="shared" si="49"/>
        <v>-</v>
      </c>
      <c r="K97" s="199" t="str">
        <f t="shared" si="50"/>
        <v>-</v>
      </c>
      <c r="L97" s="609"/>
      <c r="M97" s="497" t="e">
        <f>RANK(K97, K$87:$K$101)</f>
        <v>#VALUE!</v>
      </c>
      <c r="N97" s="627"/>
      <c r="O97" s="627"/>
      <c r="P97" s="495"/>
      <c r="Q97" s="420"/>
      <c r="R97" s="420"/>
      <c r="S97" s="495"/>
      <c r="T97" s="649"/>
      <c r="U97" s="495"/>
      <c r="V97" s="420"/>
      <c r="W97" s="420"/>
      <c r="X97" s="495"/>
      <c r="Y97" s="649"/>
      <c r="Z97" s="495"/>
      <c r="AA97" s="420"/>
      <c r="AB97" s="420"/>
      <c r="AC97" s="495"/>
      <c r="AD97" s="649"/>
      <c r="AE97" s="495"/>
      <c r="AF97" s="420"/>
      <c r="AG97" s="420"/>
      <c r="AH97" s="495"/>
      <c r="AI97" s="649"/>
      <c r="AJ97" s="495"/>
      <c r="AK97" s="420"/>
      <c r="AL97" s="420"/>
      <c r="AM97" s="495"/>
      <c r="AN97" s="649"/>
      <c r="AO97" s="495"/>
      <c r="AP97" s="420"/>
      <c r="AQ97" s="420"/>
      <c r="AR97" s="495"/>
      <c r="AS97" s="649"/>
      <c r="AT97" s="495"/>
      <c r="AU97" s="420"/>
      <c r="AV97" s="420"/>
      <c r="AW97" s="495"/>
      <c r="AX97" s="649"/>
      <c r="AZ97" s="402" t="e">
        <f t="shared" si="51"/>
        <v>#N/A</v>
      </c>
      <c r="BA97" s="649"/>
    </row>
    <row r="98" spans="2:53">
      <c r="B98" s="635"/>
      <c r="C98" s="415">
        <v>12</v>
      </c>
      <c r="D98" s="225"/>
      <c r="E98" s="420"/>
      <c r="F98" s="413"/>
      <c r="G98" s="414"/>
      <c r="H98" s="672"/>
      <c r="I98" s="417" t="str">
        <f t="shared" si="48"/>
        <v>-</v>
      </c>
      <c r="J98" s="417" t="str">
        <f t="shared" si="49"/>
        <v>-</v>
      </c>
      <c r="K98" s="199" t="str">
        <f t="shared" si="50"/>
        <v>-</v>
      </c>
      <c r="L98" s="609"/>
      <c r="M98" s="497" t="e">
        <f>RANK(K98, K$87:$K$101)</f>
        <v>#VALUE!</v>
      </c>
      <c r="N98" s="627"/>
      <c r="O98" s="627"/>
      <c r="P98" s="495"/>
      <c r="Q98" s="420"/>
      <c r="R98" s="420"/>
      <c r="S98" s="495"/>
      <c r="T98" s="649"/>
      <c r="U98" s="495"/>
      <c r="V98" s="420"/>
      <c r="W98" s="420"/>
      <c r="X98" s="495"/>
      <c r="Y98" s="649"/>
      <c r="Z98" s="495"/>
      <c r="AA98" s="420"/>
      <c r="AB98" s="420"/>
      <c r="AC98" s="495"/>
      <c r="AD98" s="649"/>
      <c r="AE98" s="495"/>
      <c r="AF98" s="420"/>
      <c r="AG98" s="420"/>
      <c r="AH98" s="495"/>
      <c r="AI98" s="649"/>
      <c r="AJ98" s="495"/>
      <c r="AK98" s="420"/>
      <c r="AL98" s="420"/>
      <c r="AM98" s="495"/>
      <c r="AN98" s="649"/>
      <c r="AO98" s="495"/>
      <c r="AP98" s="420"/>
      <c r="AQ98" s="420"/>
      <c r="AR98" s="495"/>
      <c r="AS98" s="649"/>
      <c r="AT98" s="495"/>
      <c r="AU98" s="420"/>
      <c r="AV98" s="420"/>
      <c r="AW98" s="495"/>
      <c r="AX98" s="649"/>
      <c r="AZ98" s="402" t="e">
        <f t="shared" si="51"/>
        <v>#N/A</v>
      </c>
      <c r="BA98" s="649"/>
    </row>
    <row r="99" spans="2:53">
      <c r="B99" s="635"/>
      <c r="C99" s="415">
        <v>13</v>
      </c>
      <c r="D99" s="225"/>
      <c r="E99" s="420"/>
      <c r="F99" s="413"/>
      <c r="G99" s="414"/>
      <c r="H99" s="672"/>
      <c r="I99" s="417" t="str">
        <f t="shared" si="48"/>
        <v>-</v>
      </c>
      <c r="J99" s="417" t="str">
        <f t="shared" si="49"/>
        <v>-</v>
      </c>
      <c r="K99" s="199" t="str">
        <f t="shared" si="50"/>
        <v>-</v>
      </c>
      <c r="L99" s="609"/>
      <c r="M99" s="497" t="e">
        <f>RANK(K99, K$87:$K$101)</f>
        <v>#VALUE!</v>
      </c>
      <c r="N99" s="627"/>
      <c r="O99" s="627"/>
      <c r="P99" s="495"/>
      <c r="Q99" s="420"/>
      <c r="R99" s="420"/>
      <c r="S99" s="495"/>
      <c r="T99" s="649"/>
      <c r="U99" s="495"/>
      <c r="V99" s="420"/>
      <c r="W99" s="420"/>
      <c r="X99" s="495"/>
      <c r="Y99" s="649"/>
      <c r="Z99" s="495"/>
      <c r="AA99" s="420"/>
      <c r="AB99" s="420"/>
      <c r="AC99" s="495"/>
      <c r="AD99" s="649"/>
      <c r="AE99" s="495"/>
      <c r="AF99" s="420"/>
      <c r="AG99" s="420"/>
      <c r="AH99" s="495"/>
      <c r="AI99" s="649"/>
      <c r="AJ99" s="495"/>
      <c r="AK99" s="420"/>
      <c r="AL99" s="420"/>
      <c r="AM99" s="495"/>
      <c r="AN99" s="649"/>
      <c r="AO99" s="495"/>
      <c r="AP99" s="420"/>
      <c r="AQ99" s="420"/>
      <c r="AR99" s="495"/>
      <c r="AS99" s="649"/>
      <c r="AT99" s="495"/>
      <c r="AU99" s="420"/>
      <c r="AV99" s="420"/>
      <c r="AW99" s="495"/>
      <c r="AX99" s="649"/>
      <c r="AZ99" s="402" t="e">
        <f t="shared" si="51"/>
        <v>#N/A</v>
      </c>
      <c r="BA99" s="649"/>
    </row>
    <row r="100" spans="2:53">
      <c r="B100" s="635"/>
      <c r="C100" s="415">
        <v>14</v>
      </c>
      <c r="D100" s="225"/>
      <c r="E100" s="420"/>
      <c r="F100" s="413"/>
      <c r="G100" s="414"/>
      <c r="H100" s="672"/>
      <c r="I100" s="417" t="str">
        <f t="shared" si="48"/>
        <v>-</v>
      </c>
      <c r="J100" s="417" t="str">
        <f t="shared" si="49"/>
        <v>-</v>
      </c>
      <c r="K100" s="199" t="str">
        <f t="shared" si="50"/>
        <v>-</v>
      </c>
      <c r="L100" s="609"/>
      <c r="M100" s="497" t="e">
        <f>RANK(K100, K$87:$K$101)</f>
        <v>#VALUE!</v>
      </c>
      <c r="N100" s="627"/>
      <c r="O100" s="627"/>
      <c r="P100" s="495"/>
      <c r="Q100" s="420"/>
      <c r="R100" s="420"/>
      <c r="S100" s="495"/>
      <c r="T100" s="649"/>
      <c r="U100" s="495"/>
      <c r="V100" s="420"/>
      <c r="W100" s="420"/>
      <c r="X100" s="495"/>
      <c r="Y100" s="649"/>
      <c r="Z100" s="495"/>
      <c r="AA100" s="420"/>
      <c r="AB100" s="420"/>
      <c r="AC100" s="495"/>
      <c r="AD100" s="649"/>
      <c r="AE100" s="495"/>
      <c r="AF100" s="420"/>
      <c r="AG100" s="420"/>
      <c r="AH100" s="495"/>
      <c r="AI100" s="649"/>
      <c r="AJ100" s="495"/>
      <c r="AK100" s="420"/>
      <c r="AL100" s="420"/>
      <c r="AM100" s="495"/>
      <c r="AN100" s="649"/>
      <c r="AO100" s="495"/>
      <c r="AP100" s="420"/>
      <c r="AQ100" s="420"/>
      <c r="AR100" s="495"/>
      <c r="AS100" s="649"/>
      <c r="AT100" s="495"/>
      <c r="AU100" s="420"/>
      <c r="AV100" s="420"/>
      <c r="AW100" s="495"/>
      <c r="AX100" s="649"/>
      <c r="AZ100" s="402" t="e">
        <f t="shared" si="51"/>
        <v>#N/A</v>
      </c>
      <c r="BA100" s="649"/>
    </row>
    <row r="101" spans="2:53">
      <c r="B101" s="635"/>
      <c r="C101" s="415">
        <v>15</v>
      </c>
      <c r="D101" s="225"/>
      <c r="E101" s="420"/>
      <c r="F101" s="413"/>
      <c r="G101" s="414"/>
      <c r="H101" s="676"/>
      <c r="I101" s="415"/>
      <c r="J101" s="415"/>
      <c r="K101" s="415"/>
      <c r="L101" s="610"/>
      <c r="M101" s="497" t="e">
        <f>RANK(K101, K$87:$K$101)</f>
        <v>#N/A</v>
      </c>
      <c r="N101" s="627"/>
      <c r="O101" s="627"/>
      <c r="P101" s="495"/>
      <c r="Q101" s="420"/>
      <c r="R101" s="420"/>
      <c r="S101" s="495"/>
      <c r="T101" s="649"/>
      <c r="U101" s="495"/>
      <c r="V101" s="420"/>
      <c r="W101" s="420"/>
      <c r="X101" s="495"/>
      <c r="Y101" s="649"/>
      <c r="Z101" s="495"/>
      <c r="AA101" s="420"/>
      <c r="AB101" s="420"/>
      <c r="AC101" s="495"/>
      <c r="AD101" s="649"/>
      <c r="AE101" s="495"/>
      <c r="AF101" s="420"/>
      <c r="AG101" s="420"/>
      <c r="AH101" s="495"/>
      <c r="AI101" s="649"/>
      <c r="AJ101" s="495"/>
      <c r="AK101" s="420"/>
      <c r="AL101" s="420"/>
      <c r="AM101" s="495"/>
      <c r="AN101" s="649"/>
      <c r="AO101" s="495"/>
      <c r="AP101" s="420"/>
      <c r="AQ101" s="420"/>
      <c r="AR101" s="495"/>
      <c r="AS101" s="649"/>
      <c r="AT101" s="495"/>
      <c r="AU101" s="420"/>
      <c r="AV101" s="420"/>
      <c r="AW101" s="495"/>
      <c r="AX101" s="649"/>
      <c r="AZ101" s="402" t="e">
        <f t="shared" si="51"/>
        <v>#N/A</v>
      </c>
      <c r="BA101" s="649"/>
    </row>
    <row r="102" spans="2:53" ht="15.75">
      <c r="B102" s="639" t="s">
        <v>163</v>
      </c>
      <c r="C102" s="640"/>
      <c r="D102" s="640"/>
      <c r="E102" s="640"/>
      <c r="F102" s="640"/>
      <c r="G102" s="640"/>
      <c r="H102" s="641"/>
      <c r="I102" s="207"/>
      <c r="J102" s="207"/>
      <c r="K102" s="207"/>
      <c r="L102" s="207"/>
      <c r="M102" s="206"/>
      <c r="N102" s="628" t="s">
        <v>156</v>
      </c>
      <c r="O102" s="628" t="s">
        <v>105</v>
      </c>
      <c r="P102" s="634">
        <f>P82+7</f>
        <v>46175</v>
      </c>
      <c r="Q102" s="635"/>
      <c r="R102" s="635"/>
      <c r="S102" s="635"/>
      <c r="T102" s="635"/>
      <c r="U102" s="631">
        <f>P102+1</f>
        <v>46176</v>
      </c>
      <c r="V102" s="632"/>
      <c r="W102" s="632"/>
      <c r="X102" s="632"/>
      <c r="Y102" s="633"/>
      <c r="Z102" s="631">
        <f>U102+1</f>
        <v>46177</v>
      </c>
      <c r="AA102" s="632"/>
      <c r="AB102" s="632"/>
      <c r="AC102" s="632"/>
      <c r="AD102" s="633"/>
      <c r="AE102" s="631">
        <f>Z102+1</f>
        <v>46178</v>
      </c>
      <c r="AF102" s="632"/>
      <c r="AG102" s="632"/>
      <c r="AH102" s="632"/>
      <c r="AI102" s="633"/>
      <c r="AJ102" s="631">
        <f>AE102+1</f>
        <v>46179</v>
      </c>
      <c r="AK102" s="632"/>
      <c r="AL102" s="632"/>
      <c r="AM102" s="632"/>
      <c r="AN102" s="633"/>
      <c r="AO102" s="631">
        <f>AJ102+1</f>
        <v>46180</v>
      </c>
      <c r="AP102" s="632"/>
      <c r="AQ102" s="632"/>
      <c r="AR102" s="632"/>
      <c r="AS102" s="633"/>
      <c r="AT102" s="631">
        <f>AO102+1</f>
        <v>46181</v>
      </c>
      <c r="AU102" s="632"/>
      <c r="AV102" s="632"/>
      <c r="AW102" s="632"/>
      <c r="AX102" s="633"/>
    </row>
    <row r="103" spans="2:53" ht="15.75">
      <c r="B103" s="642"/>
      <c r="C103" s="642"/>
      <c r="D103" s="642"/>
      <c r="E103" s="642"/>
      <c r="F103" s="642"/>
      <c r="G103" s="642"/>
      <c r="H103" s="642"/>
      <c r="I103" s="204"/>
      <c r="J103" s="204"/>
      <c r="K103" s="204"/>
      <c r="L103" s="204"/>
      <c r="M103" s="205"/>
      <c r="N103" s="630"/>
      <c r="O103" s="630"/>
      <c r="P103" s="634" t="s">
        <v>158</v>
      </c>
      <c r="Q103" s="635"/>
      <c r="R103" s="635"/>
      <c r="S103" s="635"/>
      <c r="T103" s="635"/>
      <c r="U103" s="634" t="s">
        <v>114</v>
      </c>
      <c r="V103" s="635"/>
      <c r="W103" s="635"/>
      <c r="X103" s="635"/>
      <c r="Y103" s="635"/>
      <c r="Z103" s="634" t="s">
        <v>159</v>
      </c>
      <c r="AA103" s="635"/>
      <c r="AB103" s="635"/>
      <c r="AC103" s="635"/>
      <c r="AD103" s="635"/>
      <c r="AE103" s="634" t="s">
        <v>157</v>
      </c>
      <c r="AF103" s="635"/>
      <c r="AG103" s="635"/>
      <c r="AH103" s="635"/>
      <c r="AI103" s="635"/>
      <c r="AJ103" s="634" t="s">
        <v>160</v>
      </c>
      <c r="AK103" s="635"/>
      <c r="AL103" s="635"/>
      <c r="AM103" s="635"/>
      <c r="AN103" s="635"/>
      <c r="AO103" s="634" t="s">
        <v>115</v>
      </c>
      <c r="AP103" s="635"/>
      <c r="AQ103" s="635"/>
      <c r="AR103" s="635"/>
      <c r="AS103" s="635"/>
      <c r="AT103" s="634" t="s">
        <v>162</v>
      </c>
      <c r="AU103" s="635"/>
      <c r="AV103" s="635"/>
      <c r="AW103" s="635"/>
      <c r="AX103" s="635"/>
    </row>
    <row r="104" spans="2:53">
      <c r="B104" s="627" t="s">
        <v>550</v>
      </c>
      <c r="C104" s="627" t="s">
        <v>551</v>
      </c>
      <c r="D104" s="627"/>
      <c r="E104" s="627" t="s">
        <v>552</v>
      </c>
      <c r="F104" s="627"/>
      <c r="G104" s="627"/>
      <c r="H104" s="643" t="s">
        <v>553</v>
      </c>
      <c r="I104" s="627" t="s">
        <v>554</v>
      </c>
      <c r="J104" s="627"/>
      <c r="K104" s="627"/>
      <c r="L104" s="643" t="s">
        <v>371</v>
      </c>
      <c r="M104" s="628" t="s">
        <v>555</v>
      </c>
      <c r="N104" s="627"/>
      <c r="O104" s="627" t="s">
        <v>556</v>
      </c>
      <c r="P104" s="624" t="s">
        <v>542</v>
      </c>
      <c r="Q104" s="625"/>
      <c r="R104" s="625"/>
      <c r="S104" s="626"/>
      <c r="T104" s="627" t="s">
        <v>538</v>
      </c>
      <c r="U104" s="624" t="s">
        <v>542</v>
      </c>
      <c r="V104" s="625"/>
      <c r="W104" s="625"/>
      <c r="X104" s="626"/>
      <c r="Y104" s="627" t="s">
        <v>538</v>
      </c>
      <c r="Z104" s="624" t="s">
        <v>542</v>
      </c>
      <c r="AA104" s="625"/>
      <c r="AB104" s="625"/>
      <c r="AC104" s="626"/>
      <c r="AD104" s="627" t="s">
        <v>538</v>
      </c>
      <c r="AE104" s="624" t="s">
        <v>542</v>
      </c>
      <c r="AF104" s="625"/>
      <c r="AG104" s="625"/>
      <c r="AH104" s="626"/>
      <c r="AI104" s="627" t="s">
        <v>538</v>
      </c>
      <c r="AJ104" s="624" t="s">
        <v>542</v>
      </c>
      <c r="AK104" s="625"/>
      <c r="AL104" s="625"/>
      <c r="AM104" s="626"/>
      <c r="AN104" s="627" t="s">
        <v>538</v>
      </c>
      <c r="AO104" s="624" t="s">
        <v>542</v>
      </c>
      <c r="AP104" s="625"/>
      <c r="AQ104" s="625"/>
      <c r="AR104" s="626"/>
      <c r="AS104" s="627" t="s">
        <v>538</v>
      </c>
      <c r="AT104" s="624" t="s">
        <v>542</v>
      </c>
      <c r="AU104" s="625"/>
      <c r="AV104" s="625"/>
      <c r="AW104" s="626"/>
      <c r="AX104" s="627" t="s">
        <v>538</v>
      </c>
      <c r="BA104" s="627" t="s">
        <v>371</v>
      </c>
    </row>
    <row r="105" spans="2:53">
      <c r="B105" s="627"/>
      <c r="C105" s="627"/>
      <c r="D105" s="627"/>
      <c r="E105" s="627" t="s">
        <v>557</v>
      </c>
      <c r="F105" s="627"/>
      <c r="G105" s="627"/>
      <c r="H105" s="644"/>
      <c r="I105" s="627" t="s">
        <v>557</v>
      </c>
      <c r="J105" s="627"/>
      <c r="K105" s="627"/>
      <c r="L105" s="644"/>
      <c r="M105" s="629"/>
      <c r="N105" s="627"/>
      <c r="O105" s="627"/>
      <c r="P105" s="624" t="s">
        <v>544</v>
      </c>
      <c r="Q105" s="625"/>
      <c r="R105" s="625"/>
      <c r="S105" s="626"/>
      <c r="T105" s="627"/>
      <c r="U105" s="624" t="s">
        <v>544</v>
      </c>
      <c r="V105" s="625"/>
      <c r="W105" s="625"/>
      <c r="X105" s="626"/>
      <c r="Y105" s="627"/>
      <c r="Z105" s="624" t="s">
        <v>544</v>
      </c>
      <c r="AA105" s="625"/>
      <c r="AB105" s="625"/>
      <c r="AC105" s="626"/>
      <c r="AD105" s="627"/>
      <c r="AE105" s="624" t="s">
        <v>544</v>
      </c>
      <c r="AF105" s="625"/>
      <c r="AG105" s="625"/>
      <c r="AH105" s="626"/>
      <c r="AI105" s="627"/>
      <c r="AJ105" s="624" t="s">
        <v>544</v>
      </c>
      <c r="AK105" s="625"/>
      <c r="AL105" s="625"/>
      <c r="AM105" s="626"/>
      <c r="AN105" s="627"/>
      <c r="AO105" s="624" t="s">
        <v>544</v>
      </c>
      <c r="AP105" s="625"/>
      <c r="AQ105" s="625"/>
      <c r="AR105" s="626"/>
      <c r="AS105" s="627"/>
      <c r="AT105" s="624" t="s">
        <v>544</v>
      </c>
      <c r="AU105" s="625"/>
      <c r="AV105" s="625"/>
      <c r="AW105" s="626"/>
      <c r="AX105" s="627"/>
      <c r="BA105" s="627"/>
    </row>
    <row r="106" spans="2:53">
      <c r="B106" s="627"/>
      <c r="C106" s="627"/>
      <c r="D106" s="627"/>
      <c r="E106" s="361" t="s">
        <v>558</v>
      </c>
      <c r="F106" s="361" t="s">
        <v>559</v>
      </c>
      <c r="G106" s="361" t="s">
        <v>560</v>
      </c>
      <c r="H106" s="645"/>
      <c r="I106" s="361" t="s">
        <v>558</v>
      </c>
      <c r="J106" s="361" t="s">
        <v>559</v>
      </c>
      <c r="K106" s="361" t="s">
        <v>560</v>
      </c>
      <c r="L106" s="645"/>
      <c r="M106" s="630"/>
      <c r="N106" s="627"/>
      <c r="O106" s="627"/>
      <c r="P106" s="361" t="s">
        <v>545</v>
      </c>
      <c r="Q106" s="361" t="s">
        <v>546</v>
      </c>
      <c r="R106" s="361" t="s">
        <v>547</v>
      </c>
      <c r="S106" s="361" t="s">
        <v>540</v>
      </c>
      <c r="T106" s="627"/>
      <c r="U106" s="361" t="s">
        <v>545</v>
      </c>
      <c r="V106" s="361" t="s">
        <v>546</v>
      </c>
      <c r="W106" s="361" t="s">
        <v>547</v>
      </c>
      <c r="X106" s="361" t="s">
        <v>540</v>
      </c>
      <c r="Y106" s="627"/>
      <c r="Z106" s="361" t="s">
        <v>545</v>
      </c>
      <c r="AA106" s="361" t="s">
        <v>546</v>
      </c>
      <c r="AB106" s="361" t="s">
        <v>547</v>
      </c>
      <c r="AC106" s="361" t="s">
        <v>540</v>
      </c>
      <c r="AD106" s="627"/>
      <c r="AE106" s="361" t="s">
        <v>545</v>
      </c>
      <c r="AF106" s="361" t="s">
        <v>546</v>
      </c>
      <c r="AG106" s="361" t="s">
        <v>547</v>
      </c>
      <c r="AH106" s="361" t="s">
        <v>540</v>
      </c>
      <c r="AI106" s="627"/>
      <c r="AJ106" s="361" t="s">
        <v>545</v>
      </c>
      <c r="AK106" s="361" t="s">
        <v>546</v>
      </c>
      <c r="AL106" s="361" t="s">
        <v>547</v>
      </c>
      <c r="AM106" s="361" t="s">
        <v>540</v>
      </c>
      <c r="AN106" s="627"/>
      <c r="AO106" s="361" t="s">
        <v>545</v>
      </c>
      <c r="AP106" s="361" t="s">
        <v>546</v>
      </c>
      <c r="AQ106" s="361" t="s">
        <v>547</v>
      </c>
      <c r="AR106" s="361" t="s">
        <v>540</v>
      </c>
      <c r="AS106" s="627"/>
      <c r="AT106" s="361" t="s">
        <v>545</v>
      </c>
      <c r="AU106" s="361" t="s">
        <v>546</v>
      </c>
      <c r="AV106" s="361" t="s">
        <v>547</v>
      </c>
      <c r="AW106" s="361" t="s">
        <v>540</v>
      </c>
      <c r="AX106" s="627"/>
      <c r="AZ106" s="401" t="s">
        <v>540</v>
      </c>
      <c r="BA106" s="627"/>
    </row>
    <row r="107" spans="2:53">
      <c r="B107" s="627" t="s">
        <v>135</v>
      </c>
      <c r="C107" s="366">
        <v>1</v>
      </c>
      <c r="D107" s="225"/>
      <c r="E107" s="181"/>
      <c r="F107" s="374"/>
      <c r="G107" s="375"/>
      <c r="H107" s="671" t="e">
        <f>AVERAGE(G107:G121)</f>
        <v>#DIV/0!</v>
      </c>
      <c r="I107" s="395" t="str">
        <f t="shared" ref="I107:I120" si="53">IFERROR(AVERAGE(P107,U107,Z107,AE107,AJ107,AO107,AT107),"-")</f>
        <v>-</v>
      </c>
      <c r="J107" s="395" t="str">
        <f t="shared" ref="J107:J120" si="54">IFERROR(AVERAGE(Q107,V107,AA107,AF107,AK107,AP107,AU107),"-")</f>
        <v>-</v>
      </c>
      <c r="K107" s="199" t="str">
        <f t="shared" ref="K107:K120" si="55">IFERROR(AVERAGE(R107,W107,AB107,AG107,AL107,AQ107,AV107),"-")</f>
        <v>-</v>
      </c>
      <c r="L107" s="608" t="str">
        <f>IFERROR(AVERAGE(K107:K121),"-")</f>
        <v>-</v>
      </c>
      <c r="M107" s="367" t="e">
        <f>RANK(K107, K$67:$K$81)</f>
        <v>#VALUE!</v>
      </c>
      <c r="N107" s="627"/>
      <c r="O107" s="627"/>
      <c r="P107" s="366"/>
      <c r="Q107" s="367"/>
      <c r="R107" s="367"/>
      <c r="S107" s="367" t="e">
        <f>RANK(R107, R$67:R$81)</f>
        <v>#N/A</v>
      </c>
      <c r="T107" s="696" t="e">
        <f>AVERAGE(R107:R121)</f>
        <v>#DIV/0!</v>
      </c>
      <c r="U107" s="376"/>
      <c r="V107" s="377"/>
      <c r="W107" s="377"/>
      <c r="X107" s="367" t="e">
        <f>RANK(W107, W$67:W$81)</f>
        <v>#N/A</v>
      </c>
      <c r="Y107" s="674" t="e">
        <f>AVERAGE(W107:W121)</f>
        <v>#DIV/0!</v>
      </c>
      <c r="Z107" s="376"/>
      <c r="AA107" s="377"/>
      <c r="AB107" s="377"/>
      <c r="AC107" s="367" t="e">
        <f>RANK(AB107, AB$67:AB$81)</f>
        <v>#N/A</v>
      </c>
      <c r="AD107" s="674" t="e">
        <f>AVERAGE(AB107:AB121)</f>
        <v>#DIV/0!</v>
      </c>
      <c r="AE107" s="376"/>
      <c r="AF107" s="377"/>
      <c r="AG107" s="377"/>
      <c r="AH107" s="367" t="e">
        <f>RANK(AG107, AG$67:AG$81)</f>
        <v>#N/A</v>
      </c>
      <c r="AI107" s="674" t="e">
        <f>AVERAGE(AG107:AG121)</f>
        <v>#DIV/0!</v>
      </c>
      <c r="AJ107" s="376"/>
      <c r="AK107" s="377"/>
      <c r="AL107" s="377"/>
      <c r="AM107" s="367" t="e">
        <f>RANK(AL107, AL$67:AL$81)</f>
        <v>#N/A</v>
      </c>
      <c r="AN107" s="674" t="e">
        <f>AVERAGE(AL107:AL121)</f>
        <v>#DIV/0!</v>
      </c>
      <c r="AO107" s="376"/>
      <c r="AP107" s="377"/>
      <c r="AQ107" s="377"/>
      <c r="AR107" s="367" t="e">
        <f>RANK(AQ107, AQ$67:AQ$81)</f>
        <v>#N/A</v>
      </c>
      <c r="AS107" s="696" t="e">
        <f>AVERAGE(AQ107:AQ121)</f>
        <v>#DIV/0!</v>
      </c>
      <c r="AT107" s="181"/>
      <c r="AU107" s="181"/>
      <c r="AV107" s="181"/>
      <c r="AW107" s="366" t="e">
        <f>RANK(AV107, AV$67:AV$81)</f>
        <v>#N/A</v>
      </c>
      <c r="AX107" s="692" t="e">
        <f>AVERAGE(AV107:AV121)</f>
        <v>#DIV/0!</v>
      </c>
      <c r="AZ107" s="403" t="e">
        <f>RANK(AY107, AY$67:AY$81)</f>
        <v>#N/A</v>
      </c>
      <c r="BA107" s="692" t="e">
        <f>AVERAGE(AY107:AY121)</f>
        <v>#DIV/0!</v>
      </c>
    </row>
    <row r="108" spans="2:53">
      <c r="B108" s="660"/>
      <c r="C108" s="366">
        <v>2</v>
      </c>
      <c r="D108" s="225"/>
      <c r="E108" s="181"/>
      <c r="F108" s="374"/>
      <c r="G108" s="375"/>
      <c r="H108" s="672"/>
      <c r="I108" s="395" t="str">
        <f t="shared" si="53"/>
        <v>-</v>
      </c>
      <c r="J108" s="395" t="str">
        <f t="shared" si="54"/>
        <v>-</v>
      </c>
      <c r="K108" s="199" t="str">
        <f t="shared" si="55"/>
        <v>-</v>
      </c>
      <c r="L108" s="609"/>
      <c r="M108" s="367" t="e">
        <f>RANK(K108, K$67:$K$81)</f>
        <v>#VALUE!</v>
      </c>
      <c r="N108" s="627"/>
      <c r="O108" s="627"/>
      <c r="P108" s="366"/>
      <c r="Q108" s="367"/>
      <c r="R108" s="367"/>
      <c r="S108" s="367" t="e">
        <f t="shared" ref="S108:S121" si="56">RANK(R108, R$67:R$81)</f>
        <v>#N/A</v>
      </c>
      <c r="T108" s="696"/>
      <c r="U108" s="376"/>
      <c r="V108" s="377"/>
      <c r="W108" s="377"/>
      <c r="X108" s="367" t="e">
        <f t="shared" ref="X108:X121" si="57">RANK(W108, W$67:W$81)</f>
        <v>#N/A</v>
      </c>
      <c r="Y108" s="674"/>
      <c r="Z108" s="376"/>
      <c r="AA108" s="377"/>
      <c r="AB108" s="377"/>
      <c r="AC108" s="367" t="e">
        <f t="shared" ref="AC108:AC121" si="58">RANK(AB108, AB$67:AB$81)</f>
        <v>#N/A</v>
      </c>
      <c r="AD108" s="674"/>
      <c r="AE108" s="376"/>
      <c r="AF108" s="377"/>
      <c r="AG108" s="377"/>
      <c r="AH108" s="367" t="e">
        <f t="shared" ref="AH108:AH121" si="59">RANK(AG108, AG$67:AG$81)</f>
        <v>#N/A</v>
      </c>
      <c r="AI108" s="674"/>
      <c r="AJ108" s="376"/>
      <c r="AK108" s="377"/>
      <c r="AL108" s="377"/>
      <c r="AM108" s="367" t="e">
        <f t="shared" ref="AM108:AM121" si="60">RANK(AL108, AL$67:AL$81)</f>
        <v>#N/A</v>
      </c>
      <c r="AN108" s="674"/>
      <c r="AO108" s="376"/>
      <c r="AP108" s="377"/>
      <c r="AQ108" s="377"/>
      <c r="AR108" s="367" t="e">
        <f t="shared" ref="AR108:AR121" si="61">RANK(AQ108, AQ$67:AQ$81)</f>
        <v>#N/A</v>
      </c>
      <c r="AS108" s="696"/>
      <c r="AT108" s="181"/>
      <c r="AU108" s="181"/>
      <c r="AV108" s="181"/>
      <c r="AW108" s="366" t="e">
        <f t="shared" ref="AW108:AW121" si="62">RANK(AV108, AV$67:AV$81)</f>
        <v>#N/A</v>
      </c>
      <c r="AX108" s="692"/>
      <c r="AZ108" s="403" t="e">
        <f t="shared" ref="AZ108:AZ121" si="63">RANK(AY108, AY$67:AY$81)</f>
        <v>#N/A</v>
      </c>
      <c r="BA108" s="692"/>
    </row>
    <row r="109" spans="2:53">
      <c r="B109" s="660"/>
      <c r="C109" s="366">
        <v>3</v>
      </c>
      <c r="D109" s="225"/>
      <c r="E109" s="181"/>
      <c r="F109" s="374"/>
      <c r="G109" s="375"/>
      <c r="H109" s="672"/>
      <c r="I109" s="395" t="str">
        <f t="shared" si="53"/>
        <v>-</v>
      </c>
      <c r="J109" s="395" t="str">
        <f t="shared" si="54"/>
        <v>-</v>
      </c>
      <c r="K109" s="199" t="str">
        <f t="shared" si="55"/>
        <v>-</v>
      </c>
      <c r="L109" s="609"/>
      <c r="M109" s="367" t="e">
        <f>RANK(K109, K$67:$K$81)</f>
        <v>#VALUE!</v>
      </c>
      <c r="N109" s="627"/>
      <c r="O109" s="627"/>
      <c r="P109" s="366"/>
      <c r="Q109" s="367"/>
      <c r="R109" s="367"/>
      <c r="S109" s="367" t="e">
        <f t="shared" si="56"/>
        <v>#N/A</v>
      </c>
      <c r="T109" s="696"/>
      <c r="U109" s="376"/>
      <c r="V109" s="377"/>
      <c r="W109" s="377"/>
      <c r="X109" s="367" t="e">
        <f t="shared" si="57"/>
        <v>#N/A</v>
      </c>
      <c r="Y109" s="674"/>
      <c r="Z109" s="376"/>
      <c r="AA109" s="377"/>
      <c r="AB109" s="377"/>
      <c r="AC109" s="367" t="e">
        <f t="shared" si="58"/>
        <v>#N/A</v>
      </c>
      <c r="AD109" s="674"/>
      <c r="AE109" s="376"/>
      <c r="AF109" s="377"/>
      <c r="AG109" s="377"/>
      <c r="AH109" s="367" t="e">
        <f t="shared" si="59"/>
        <v>#N/A</v>
      </c>
      <c r="AI109" s="674"/>
      <c r="AJ109" s="376"/>
      <c r="AK109" s="377"/>
      <c r="AL109" s="377"/>
      <c r="AM109" s="367" t="e">
        <f t="shared" si="60"/>
        <v>#N/A</v>
      </c>
      <c r="AN109" s="674"/>
      <c r="AO109" s="376"/>
      <c r="AP109" s="377"/>
      <c r="AQ109" s="377"/>
      <c r="AR109" s="367" t="e">
        <f t="shared" si="61"/>
        <v>#N/A</v>
      </c>
      <c r="AS109" s="696"/>
      <c r="AT109" s="181"/>
      <c r="AU109" s="181"/>
      <c r="AV109" s="181"/>
      <c r="AW109" s="366" t="e">
        <f t="shared" si="62"/>
        <v>#N/A</v>
      </c>
      <c r="AX109" s="692"/>
      <c r="AZ109" s="403" t="e">
        <f t="shared" si="63"/>
        <v>#N/A</v>
      </c>
      <c r="BA109" s="692"/>
    </row>
    <row r="110" spans="2:53">
      <c r="B110" s="660"/>
      <c r="C110" s="366">
        <v>4</v>
      </c>
      <c r="D110" s="225"/>
      <c r="E110" s="181"/>
      <c r="F110" s="374"/>
      <c r="G110" s="375"/>
      <c r="H110" s="672"/>
      <c r="I110" s="395" t="str">
        <f t="shared" si="53"/>
        <v>-</v>
      </c>
      <c r="J110" s="395" t="str">
        <f t="shared" si="54"/>
        <v>-</v>
      </c>
      <c r="K110" s="199" t="str">
        <f t="shared" si="55"/>
        <v>-</v>
      </c>
      <c r="L110" s="609"/>
      <c r="M110" s="367" t="e">
        <f>RANK(K110, K$67:$K$81)</f>
        <v>#VALUE!</v>
      </c>
      <c r="N110" s="627"/>
      <c r="O110" s="627"/>
      <c r="P110" s="366"/>
      <c r="Q110" s="367"/>
      <c r="R110" s="367"/>
      <c r="S110" s="367" t="e">
        <f t="shared" si="56"/>
        <v>#N/A</v>
      </c>
      <c r="T110" s="696"/>
      <c r="U110" s="376"/>
      <c r="V110" s="377"/>
      <c r="W110" s="377"/>
      <c r="X110" s="367" t="e">
        <f t="shared" si="57"/>
        <v>#N/A</v>
      </c>
      <c r="Y110" s="674"/>
      <c r="Z110" s="376"/>
      <c r="AA110" s="377"/>
      <c r="AB110" s="377"/>
      <c r="AC110" s="367" t="e">
        <f t="shared" si="58"/>
        <v>#N/A</v>
      </c>
      <c r="AD110" s="674"/>
      <c r="AE110" s="376"/>
      <c r="AF110" s="377"/>
      <c r="AG110" s="377"/>
      <c r="AH110" s="367" t="e">
        <f t="shared" si="59"/>
        <v>#N/A</v>
      </c>
      <c r="AI110" s="674"/>
      <c r="AJ110" s="376"/>
      <c r="AK110" s="377"/>
      <c r="AL110" s="377"/>
      <c r="AM110" s="367" t="e">
        <f t="shared" si="60"/>
        <v>#N/A</v>
      </c>
      <c r="AN110" s="674"/>
      <c r="AO110" s="376"/>
      <c r="AP110" s="377"/>
      <c r="AQ110" s="377"/>
      <c r="AR110" s="367" t="e">
        <f t="shared" si="61"/>
        <v>#N/A</v>
      </c>
      <c r="AS110" s="696"/>
      <c r="AT110" s="181"/>
      <c r="AU110" s="181"/>
      <c r="AV110" s="181"/>
      <c r="AW110" s="366" t="e">
        <f t="shared" si="62"/>
        <v>#N/A</v>
      </c>
      <c r="AX110" s="692"/>
      <c r="AZ110" s="403" t="e">
        <f t="shared" si="63"/>
        <v>#N/A</v>
      </c>
      <c r="BA110" s="692"/>
    </row>
    <row r="111" spans="2:53">
      <c r="B111" s="660"/>
      <c r="C111" s="366">
        <v>5</v>
      </c>
      <c r="D111" s="225"/>
      <c r="E111" s="181"/>
      <c r="F111" s="374"/>
      <c r="G111" s="375"/>
      <c r="H111" s="672"/>
      <c r="I111" s="395" t="str">
        <f t="shared" si="53"/>
        <v>-</v>
      </c>
      <c r="J111" s="395" t="str">
        <f t="shared" si="54"/>
        <v>-</v>
      </c>
      <c r="K111" s="199" t="str">
        <f t="shared" si="55"/>
        <v>-</v>
      </c>
      <c r="L111" s="609"/>
      <c r="M111" s="367" t="e">
        <f>RANK(K111, K$67:$K$81)</f>
        <v>#VALUE!</v>
      </c>
      <c r="N111" s="627"/>
      <c r="O111" s="627"/>
      <c r="P111" s="366"/>
      <c r="Q111" s="367"/>
      <c r="R111" s="367"/>
      <c r="S111" s="367" t="e">
        <f t="shared" si="56"/>
        <v>#N/A</v>
      </c>
      <c r="T111" s="696"/>
      <c r="U111" s="376"/>
      <c r="V111" s="377"/>
      <c r="W111" s="377"/>
      <c r="X111" s="367" t="e">
        <f t="shared" si="57"/>
        <v>#N/A</v>
      </c>
      <c r="Y111" s="674"/>
      <c r="Z111" s="376"/>
      <c r="AA111" s="377"/>
      <c r="AB111" s="377"/>
      <c r="AC111" s="367" t="e">
        <f t="shared" si="58"/>
        <v>#N/A</v>
      </c>
      <c r="AD111" s="674"/>
      <c r="AE111" s="376"/>
      <c r="AF111" s="377"/>
      <c r="AG111" s="377"/>
      <c r="AH111" s="367" t="e">
        <f t="shared" si="59"/>
        <v>#N/A</v>
      </c>
      <c r="AI111" s="674"/>
      <c r="AJ111" s="376"/>
      <c r="AK111" s="377"/>
      <c r="AL111" s="377"/>
      <c r="AM111" s="367" t="e">
        <f t="shared" si="60"/>
        <v>#N/A</v>
      </c>
      <c r="AN111" s="674"/>
      <c r="AO111" s="376"/>
      <c r="AP111" s="377"/>
      <c r="AQ111" s="377"/>
      <c r="AR111" s="367" t="e">
        <f t="shared" si="61"/>
        <v>#N/A</v>
      </c>
      <c r="AS111" s="696"/>
      <c r="AT111" s="181"/>
      <c r="AU111" s="181"/>
      <c r="AV111" s="181"/>
      <c r="AW111" s="366" t="e">
        <f t="shared" si="62"/>
        <v>#N/A</v>
      </c>
      <c r="AX111" s="692"/>
      <c r="AZ111" s="403" t="e">
        <f t="shared" si="63"/>
        <v>#N/A</v>
      </c>
      <c r="BA111" s="692"/>
    </row>
    <row r="112" spans="2:53">
      <c r="B112" s="660"/>
      <c r="C112" s="366">
        <v>6</v>
      </c>
      <c r="D112" s="225"/>
      <c r="E112" s="181"/>
      <c r="F112" s="374"/>
      <c r="G112" s="375"/>
      <c r="H112" s="672"/>
      <c r="I112" s="395" t="str">
        <f t="shared" si="53"/>
        <v>-</v>
      </c>
      <c r="J112" s="395" t="str">
        <f t="shared" si="54"/>
        <v>-</v>
      </c>
      <c r="K112" s="199" t="str">
        <f t="shared" si="55"/>
        <v>-</v>
      </c>
      <c r="L112" s="609"/>
      <c r="M112" s="367" t="e">
        <f>RANK(K112, K$67:$K$81)</f>
        <v>#VALUE!</v>
      </c>
      <c r="N112" s="627"/>
      <c r="O112" s="627"/>
      <c r="P112" s="366"/>
      <c r="Q112" s="367"/>
      <c r="R112" s="367"/>
      <c r="S112" s="367" t="e">
        <f t="shared" si="56"/>
        <v>#N/A</v>
      </c>
      <c r="T112" s="696"/>
      <c r="U112" s="376"/>
      <c r="V112" s="377"/>
      <c r="W112" s="377"/>
      <c r="X112" s="367" t="e">
        <f t="shared" si="57"/>
        <v>#N/A</v>
      </c>
      <c r="Y112" s="674"/>
      <c r="Z112" s="376"/>
      <c r="AA112" s="377"/>
      <c r="AB112" s="377"/>
      <c r="AC112" s="367" t="e">
        <f t="shared" si="58"/>
        <v>#N/A</v>
      </c>
      <c r="AD112" s="674"/>
      <c r="AE112" s="376"/>
      <c r="AF112" s="377"/>
      <c r="AG112" s="377"/>
      <c r="AH112" s="367" t="e">
        <f t="shared" si="59"/>
        <v>#N/A</v>
      </c>
      <c r="AI112" s="674"/>
      <c r="AJ112" s="376"/>
      <c r="AK112" s="377"/>
      <c r="AL112" s="377"/>
      <c r="AM112" s="367" t="e">
        <f t="shared" si="60"/>
        <v>#N/A</v>
      </c>
      <c r="AN112" s="674"/>
      <c r="AO112" s="376"/>
      <c r="AP112" s="377"/>
      <c r="AQ112" s="377"/>
      <c r="AR112" s="367" t="e">
        <f t="shared" si="61"/>
        <v>#N/A</v>
      </c>
      <c r="AS112" s="696"/>
      <c r="AT112" s="181"/>
      <c r="AU112" s="181"/>
      <c r="AV112" s="181"/>
      <c r="AW112" s="366" t="e">
        <f t="shared" si="62"/>
        <v>#N/A</v>
      </c>
      <c r="AX112" s="692"/>
      <c r="AZ112" s="403" t="e">
        <f t="shared" si="63"/>
        <v>#N/A</v>
      </c>
      <c r="BA112" s="692"/>
    </row>
    <row r="113" spans="2:53">
      <c r="B113" s="660"/>
      <c r="C113" s="366">
        <v>7</v>
      </c>
      <c r="D113" s="225"/>
      <c r="E113" s="181"/>
      <c r="F113" s="374"/>
      <c r="G113" s="375"/>
      <c r="H113" s="672"/>
      <c r="I113" s="395" t="str">
        <f t="shared" si="53"/>
        <v>-</v>
      </c>
      <c r="J113" s="395" t="str">
        <f t="shared" si="54"/>
        <v>-</v>
      </c>
      <c r="K113" s="199" t="str">
        <f t="shared" si="55"/>
        <v>-</v>
      </c>
      <c r="L113" s="609"/>
      <c r="M113" s="367" t="e">
        <f>RANK(K113, K$67:$K$81)</f>
        <v>#VALUE!</v>
      </c>
      <c r="N113" s="627"/>
      <c r="O113" s="627"/>
      <c r="P113" s="366"/>
      <c r="Q113" s="367"/>
      <c r="R113" s="367"/>
      <c r="S113" s="367" t="e">
        <f t="shared" si="56"/>
        <v>#N/A</v>
      </c>
      <c r="T113" s="696"/>
      <c r="U113" s="376"/>
      <c r="V113" s="377"/>
      <c r="W113" s="377"/>
      <c r="X113" s="367" t="e">
        <f t="shared" si="57"/>
        <v>#N/A</v>
      </c>
      <c r="Y113" s="674"/>
      <c r="Z113" s="376"/>
      <c r="AA113" s="377"/>
      <c r="AB113" s="377"/>
      <c r="AC113" s="367" t="e">
        <f t="shared" si="58"/>
        <v>#N/A</v>
      </c>
      <c r="AD113" s="674"/>
      <c r="AE113" s="376"/>
      <c r="AF113" s="377"/>
      <c r="AG113" s="377"/>
      <c r="AH113" s="367" t="e">
        <f t="shared" si="59"/>
        <v>#N/A</v>
      </c>
      <c r="AI113" s="674"/>
      <c r="AJ113" s="376"/>
      <c r="AK113" s="377"/>
      <c r="AL113" s="377"/>
      <c r="AM113" s="367" t="e">
        <f t="shared" si="60"/>
        <v>#N/A</v>
      </c>
      <c r="AN113" s="674"/>
      <c r="AO113" s="376"/>
      <c r="AP113" s="377"/>
      <c r="AQ113" s="377"/>
      <c r="AR113" s="367" t="e">
        <f t="shared" si="61"/>
        <v>#N/A</v>
      </c>
      <c r="AS113" s="696"/>
      <c r="AT113" s="181"/>
      <c r="AU113" s="181"/>
      <c r="AV113" s="181"/>
      <c r="AW113" s="366" t="e">
        <f t="shared" si="62"/>
        <v>#N/A</v>
      </c>
      <c r="AX113" s="692"/>
      <c r="AZ113" s="403" t="e">
        <f t="shared" si="63"/>
        <v>#N/A</v>
      </c>
      <c r="BA113" s="692"/>
    </row>
    <row r="114" spans="2:53">
      <c r="B114" s="660"/>
      <c r="C114" s="366">
        <v>8</v>
      </c>
      <c r="D114" s="225"/>
      <c r="E114" s="181"/>
      <c r="F114" s="374"/>
      <c r="G114" s="375"/>
      <c r="H114" s="672"/>
      <c r="I114" s="395" t="str">
        <f t="shared" si="53"/>
        <v>-</v>
      </c>
      <c r="J114" s="395" t="str">
        <f t="shared" si="54"/>
        <v>-</v>
      </c>
      <c r="K114" s="199" t="str">
        <f t="shared" si="55"/>
        <v>-</v>
      </c>
      <c r="L114" s="609"/>
      <c r="M114" s="367" t="e">
        <f>RANK(K114, K$67:$K$81)</f>
        <v>#VALUE!</v>
      </c>
      <c r="N114" s="627"/>
      <c r="O114" s="627"/>
      <c r="P114" s="366"/>
      <c r="Q114" s="367"/>
      <c r="R114" s="367"/>
      <c r="S114" s="367" t="e">
        <f t="shared" si="56"/>
        <v>#N/A</v>
      </c>
      <c r="T114" s="696"/>
      <c r="U114" s="376"/>
      <c r="V114" s="377"/>
      <c r="W114" s="377"/>
      <c r="X114" s="367" t="e">
        <f t="shared" si="57"/>
        <v>#N/A</v>
      </c>
      <c r="Y114" s="674"/>
      <c r="Z114" s="376"/>
      <c r="AA114" s="377"/>
      <c r="AB114" s="377"/>
      <c r="AC114" s="367" t="e">
        <f t="shared" si="58"/>
        <v>#N/A</v>
      </c>
      <c r="AD114" s="674"/>
      <c r="AE114" s="376"/>
      <c r="AF114" s="377"/>
      <c r="AG114" s="377"/>
      <c r="AH114" s="367" t="e">
        <f t="shared" si="59"/>
        <v>#N/A</v>
      </c>
      <c r="AI114" s="674"/>
      <c r="AJ114" s="376"/>
      <c r="AK114" s="377"/>
      <c r="AL114" s="377"/>
      <c r="AM114" s="367" t="e">
        <f t="shared" si="60"/>
        <v>#N/A</v>
      </c>
      <c r="AN114" s="674"/>
      <c r="AO114" s="376"/>
      <c r="AP114" s="377"/>
      <c r="AQ114" s="377"/>
      <c r="AR114" s="367" t="e">
        <f t="shared" si="61"/>
        <v>#N/A</v>
      </c>
      <c r="AS114" s="696"/>
      <c r="AT114" s="181"/>
      <c r="AU114" s="181"/>
      <c r="AV114" s="181"/>
      <c r="AW114" s="366" t="e">
        <f t="shared" si="62"/>
        <v>#N/A</v>
      </c>
      <c r="AX114" s="692"/>
      <c r="AZ114" s="403" t="e">
        <f t="shared" si="63"/>
        <v>#N/A</v>
      </c>
      <c r="BA114" s="692"/>
    </row>
    <row r="115" spans="2:53">
      <c r="B115" s="660"/>
      <c r="C115" s="366">
        <v>9</v>
      </c>
      <c r="D115" s="225"/>
      <c r="E115" s="181"/>
      <c r="F115" s="374"/>
      <c r="G115" s="375"/>
      <c r="H115" s="672"/>
      <c r="I115" s="395" t="str">
        <f t="shared" si="53"/>
        <v>-</v>
      </c>
      <c r="J115" s="395" t="str">
        <f t="shared" si="54"/>
        <v>-</v>
      </c>
      <c r="K115" s="199" t="str">
        <f t="shared" si="55"/>
        <v>-</v>
      </c>
      <c r="L115" s="609"/>
      <c r="M115" s="367" t="e">
        <f>RANK(K115, K$67:$K$81)</f>
        <v>#VALUE!</v>
      </c>
      <c r="N115" s="627"/>
      <c r="O115" s="627"/>
      <c r="P115" s="366"/>
      <c r="Q115" s="367"/>
      <c r="R115" s="367"/>
      <c r="S115" s="367" t="e">
        <f t="shared" si="56"/>
        <v>#N/A</v>
      </c>
      <c r="T115" s="696"/>
      <c r="U115" s="376"/>
      <c r="V115" s="377"/>
      <c r="W115" s="377"/>
      <c r="X115" s="367" t="e">
        <f t="shared" si="57"/>
        <v>#N/A</v>
      </c>
      <c r="Y115" s="674"/>
      <c r="Z115" s="376"/>
      <c r="AA115" s="377"/>
      <c r="AB115" s="377"/>
      <c r="AC115" s="367" t="e">
        <f t="shared" si="58"/>
        <v>#N/A</v>
      </c>
      <c r="AD115" s="674"/>
      <c r="AE115" s="376"/>
      <c r="AF115" s="377"/>
      <c r="AG115" s="377"/>
      <c r="AH115" s="367" t="e">
        <f t="shared" si="59"/>
        <v>#N/A</v>
      </c>
      <c r="AI115" s="674"/>
      <c r="AJ115" s="376"/>
      <c r="AK115" s="377"/>
      <c r="AL115" s="377"/>
      <c r="AM115" s="367" t="e">
        <f t="shared" si="60"/>
        <v>#N/A</v>
      </c>
      <c r="AN115" s="674"/>
      <c r="AO115" s="376"/>
      <c r="AP115" s="377"/>
      <c r="AQ115" s="377"/>
      <c r="AR115" s="367" t="e">
        <f t="shared" si="61"/>
        <v>#N/A</v>
      </c>
      <c r="AS115" s="696"/>
      <c r="AT115" s="181"/>
      <c r="AU115" s="181"/>
      <c r="AV115" s="181"/>
      <c r="AW115" s="366" t="e">
        <f t="shared" si="62"/>
        <v>#N/A</v>
      </c>
      <c r="AX115" s="692"/>
      <c r="AZ115" s="403" t="e">
        <f t="shared" si="63"/>
        <v>#N/A</v>
      </c>
      <c r="BA115" s="692"/>
    </row>
    <row r="116" spans="2:53">
      <c r="B116" s="660"/>
      <c r="C116" s="366">
        <v>10</v>
      </c>
      <c r="D116" s="225"/>
      <c r="E116" s="181"/>
      <c r="F116" s="374"/>
      <c r="G116" s="375"/>
      <c r="H116" s="672"/>
      <c r="I116" s="395" t="str">
        <f t="shared" si="53"/>
        <v>-</v>
      </c>
      <c r="J116" s="395" t="str">
        <f t="shared" si="54"/>
        <v>-</v>
      </c>
      <c r="K116" s="199" t="str">
        <f t="shared" si="55"/>
        <v>-</v>
      </c>
      <c r="L116" s="609"/>
      <c r="M116" s="367" t="e">
        <f>RANK(K116, K$67:$K$81)</f>
        <v>#VALUE!</v>
      </c>
      <c r="N116" s="627"/>
      <c r="O116" s="627"/>
      <c r="P116" s="366"/>
      <c r="Q116" s="367"/>
      <c r="R116" s="367"/>
      <c r="S116" s="367" t="e">
        <f t="shared" si="56"/>
        <v>#N/A</v>
      </c>
      <c r="T116" s="696"/>
      <c r="U116" s="376"/>
      <c r="V116" s="377"/>
      <c r="W116" s="377"/>
      <c r="X116" s="367" t="e">
        <f t="shared" si="57"/>
        <v>#N/A</v>
      </c>
      <c r="Y116" s="674"/>
      <c r="Z116" s="376"/>
      <c r="AA116" s="377"/>
      <c r="AB116" s="377"/>
      <c r="AC116" s="367" t="e">
        <f t="shared" si="58"/>
        <v>#N/A</v>
      </c>
      <c r="AD116" s="674"/>
      <c r="AE116" s="376"/>
      <c r="AF116" s="377"/>
      <c r="AG116" s="377"/>
      <c r="AH116" s="367" t="e">
        <f t="shared" si="59"/>
        <v>#N/A</v>
      </c>
      <c r="AI116" s="674"/>
      <c r="AJ116" s="376"/>
      <c r="AK116" s="377"/>
      <c r="AL116" s="377"/>
      <c r="AM116" s="367" t="e">
        <f t="shared" si="60"/>
        <v>#N/A</v>
      </c>
      <c r="AN116" s="674"/>
      <c r="AO116" s="376"/>
      <c r="AP116" s="377"/>
      <c r="AQ116" s="377"/>
      <c r="AR116" s="367" t="e">
        <f t="shared" si="61"/>
        <v>#N/A</v>
      </c>
      <c r="AS116" s="696"/>
      <c r="AT116" s="181"/>
      <c r="AU116" s="181"/>
      <c r="AV116" s="181"/>
      <c r="AW116" s="366" t="e">
        <f t="shared" si="62"/>
        <v>#N/A</v>
      </c>
      <c r="AX116" s="692"/>
      <c r="AZ116" s="403" t="e">
        <f t="shared" si="63"/>
        <v>#N/A</v>
      </c>
      <c r="BA116" s="692"/>
    </row>
    <row r="117" spans="2:53">
      <c r="B117" s="660"/>
      <c r="C117" s="366">
        <v>11</v>
      </c>
      <c r="D117" s="225"/>
      <c r="E117" s="181"/>
      <c r="F117" s="374"/>
      <c r="G117" s="375"/>
      <c r="H117" s="672"/>
      <c r="I117" s="395" t="str">
        <f t="shared" si="53"/>
        <v>-</v>
      </c>
      <c r="J117" s="395" t="str">
        <f t="shared" si="54"/>
        <v>-</v>
      </c>
      <c r="K117" s="199" t="str">
        <f t="shared" si="55"/>
        <v>-</v>
      </c>
      <c r="L117" s="609"/>
      <c r="M117" s="367" t="e">
        <f>RANK(K117, K$67:$K$81)</f>
        <v>#VALUE!</v>
      </c>
      <c r="N117" s="627"/>
      <c r="O117" s="627"/>
      <c r="P117" s="366"/>
      <c r="Q117" s="367"/>
      <c r="R117" s="367"/>
      <c r="S117" s="367" t="e">
        <f t="shared" si="56"/>
        <v>#N/A</v>
      </c>
      <c r="T117" s="696"/>
      <c r="U117" s="376"/>
      <c r="V117" s="377"/>
      <c r="W117" s="377"/>
      <c r="X117" s="367" t="e">
        <f t="shared" si="57"/>
        <v>#N/A</v>
      </c>
      <c r="Y117" s="674"/>
      <c r="Z117" s="376"/>
      <c r="AA117" s="377"/>
      <c r="AB117" s="377"/>
      <c r="AC117" s="367" t="e">
        <f t="shared" si="58"/>
        <v>#N/A</v>
      </c>
      <c r="AD117" s="674"/>
      <c r="AE117" s="376"/>
      <c r="AF117" s="377"/>
      <c r="AG117" s="377"/>
      <c r="AH117" s="367" t="e">
        <f t="shared" si="59"/>
        <v>#N/A</v>
      </c>
      <c r="AI117" s="674"/>
      <c r="AJ117" s="376"/>
      <c r="AK117" s="377"/>
      <c r="AL117" s="377"/>
      <c r="AM117" s="367" t="e">
        <f t="shared" si="60"/>
        <v>#N/A</v>
      </c>
      <c r="AN117" s="674"/>
      <c r="AO117" s="376"/>
      <c r="AP117" s="377"/>
      <c r="AQ117" s="377"/>
      <c r="AR117" s="367" t="e">
        <f t="shared" si="61"/>
        <v>#N/A</v>
      </c>
      <c r="AS117" s="696"/>
      <c r="AT117" s="181"/>
      <c r="AU117" s="181"/>
      <c r="AV117" s="181"/>
      <c r="AW117" s="366" t="e">
        <f t="shared" si="62"/>
        <v>#N/A</v>
      </c>
      <c r="AX117" s="692"/>
      <c r="AZ117" s="403" t="e">
        <f t="shared" si="63"/>
        <v>#N/A</v>
      </c>
      <c r="BA117" s="692"/>
    </row>
    <row r="118" spans="2:53">
      <c r="B118" s="660"/>
      <c r="C118" s="366">
        <v>12</v>
      </c>
      <c r="D118" s="225"/>
      <c r="E118" s="181"/>
      <c r="F118" s="374"/>
      <c r="G118" s="375"/>
      <c r="H118" s="672"/>
      <c r="I118" s="395" t="str">
        <f t="shared" si="53"/>
        <v>-</v>
      </c>
      <c r="J118" s="395" t="str">
        <f t="shared" si="54"/>
        <v>-</v>
      </c>
      <c r="K118" s="199" t="str">
        <f t="shared" si="55"/>
        <v>-</v>
      </c>
      <c r="L118" s="609"/>
      <c r="M118" s="367" t="e">
        <f>RANK(K118, K$67:$K$81)</f>
        <v>#VALUE!</v>
      </c>
      <c r="N118" s="627"/>
      <c r="O118" s="627"/>
      <c r="P118" s="366"/>
      <c r="Q118" s="367"/>
      <c r="R118" s="367"/>
      <c r="S118" s="367" t="e">
        <f t="shared" si="56"/>
        <v>#N/A</v>
      </c>
      <c r="T118" s="696"/>
      <c r="U118" s="376"/>
      <c r="V118" s="377"/>
      <c r="W118" s="377"/>
      <c r="X118" s="367" t="e">
        <f t="shared" si="57"/>
        <v>#N/A</v>
      </c>
      <c r="Y118" s="674"/>
      <c r="Z118" s="376"/>
      <c r="AA118" s="377"/>
      <c r="AB118" s="377"/>
      <c r="AC118" s="367" t="e">
        <f t="shared" si="58"/>
        <v>#N/A</v>
      </c>
      <c r="AD118" s="674"/>
      <c r="AE118" s="376"/>
      <c r="AF118" s="377"/>
      <c r="AG118" s="377"/>
      <c r="AH118" s="367" t="e">
        <f t="shared" si="59"/>
        <v>#N/A</v>
      </c>
      <c r="AI118" s="674"/>
      <c r="AJ118" s="376"/>
      <c r="AK118" s="377"/>
      <c r="AL118" s="377"/>
      <c r="AM118" s="367" t="e">
        <f t="shared" si="60"/>
        <v>#N/A</v>
      </c>
      <c r="AN118" s="674"/>
      <c r="AO118" s="376"/>
      <c r="AP118" s="377"/>
      <c r="AQ118" s="377"/>
      <c r="AR118" s="367" t="e">
        <f t="shared" si="61"/>
        <v>#N/A</v>
      </c>
      <c r="AS118" s="696"/>
      <c r="AT118" s="181"/>
      <c r="AU118" s="181"/>
      <c r="AV118" s="181"/>
      <c r="AW118" s="366" t="e">
        <f t="shared" si="62"/>
        <v>#N/A</v>
      </c>
      <c r="AX118" s="692"/>
      <c r="AZ118" s="403" t="e">
        <f t="shared" si="63"/>
        <v>#N/A</v>
      </c>
      <c r="BA118" s="692"/>
    </row>
    <row r="119" spans="2:53">
      <c r="B119" s="660"/>
      <c r="C119" s="366">
        <v>13</v>
      </c>
      <c r="D119" s="225"/>
      <c r="E119" s="181"/>
      <c r="F119" s="374"/>
      <c r="G119" s="375"/>
      <c r="H119" s="672"/>
      <c r="I119" s="395" t="str">
        <f t="shared" si="53"/>
        <v>-</v>
      </c>
      <c r="J119" s="395" t="str">
        <f t="shared" si="54"/>
        <v>-</v>
      </c>
      <c r="K119" s="199" t="str">
        <f t="shared" si="55"/>
        <v>-</v>
      </c>
      <c r="L119" s="609"/>
      <c r="M119" s="367" t="e">
        <f>RANK(K119, K$67:$K$81)</f>
        <v>#VALUE!</v>
      </c>
      <c r="N119" s="627"/>
      <c r="O119" s="627"/>
      <c r="P119" s="366"/>
      <c r="Q119" s="367"/>
      <c r="R119" s="367"/>
      <c r="S119" s="367" t="e">
        <f t="shared" si="56"/>
        <v>#N/A</v>
      </c>
      <c r="T119" s="696"/>
      <c r="U119" s="376"/>
      <c r="V119" s="377"/>
      <c r="W119" s="377"/>
      <c r="X119" s="367" t="e">
        <f t="shared" si="57"/>
        <v>#N/A</v>
      </c>
      <c r="Y119" s="674"/>
      <c r="Z119" s="376"/>
      <c r="AA119" s="377"/>
      <c r="AB119" s="377"/>
      <c r="AC119" s="368" t="e">
        <f t="shared" si="58"/>
        <v>#N/A</v>
      </c>
      <c r="AD119" s="674"/>
      <c r="AE119" s="376"/>
      <c r="AF119" s="377"/>
      <c r="AG119" s="377"/>
      <c r="AH119" s="367" t="e">
        <f t="shared" si="59"/>
        <v>#N/A</v>
      </c>
      <c r="AI119" s="674"/>
      <c r="AJ119" s="376"/>
      <c r="AK119" s="377"/>
      <c r="AL119" s="377"/>
      <c r="AM119" s="367" t="e">
        <f t="shared" si="60"/>
        <v>#N/A</v>
      </c>
      <c r="AN119" s="674"/>
      <c r="AO119" s="376"/>
      <c r="AP119" s="377"/>
      <c r="AQ119" s="377"/>
      <c r="AR119" s="368" t="e">
        <f t="shared" si="61"/>
        <v>#N/A</v>
      </c>
      <c r="AS119" s="696"/>
      <c r="AT119" s="181"/>
      <c r="AU119" s="181"/>
      <c r="AV119" s="181"/>
      <c r="AW119" s="366" t="e">
        <f t="shared" si="62"/>
        <v>#N/A</v>
      </c>
      <c r="AX119" s="692"/>
      <c r="AZ119" s="403" t="e">
        <f t="shared" si="63"/>
        <v>#N/A</v>
      </c>
      <c r="BA119" s="692"/>
    </row>
    <row r="120" spans="2:53">
      <c r="B120" s="660"/>
      <c r="C120" s="366">
        <v>14</v>
      </c>
      <c r="D120" s="225"/>
      <c r="E120" s="181"/>
      <c r="F120" s="374"/>
      <c r="G120" s="375"/>
      <c r="H120" s="672"/>
      <c r="I120" s="395" t="str">
        <f t="shared" si="53"/>
        <v>-</v>
      </c>
      <c r="J120" s="395" t="str">
        <f t="shared" si="54"/>
        <v>-</v>
      </c>
      <c r="K120" s="199" t="str">
        <f t="shared" si="55"/>
        <v>-</v>
      </c>
      <c r="L120" s="609"/>
      <c r="M120" s="367" t="e">
        <f>RANK(K120, K$67:$K$81)</f>
        <v>#VALUE!</v>
      </c>
      <c r="N120" s="627"/>
      <c r="O120" s="627"/>
      <c r="P120" s="366"/>
      <c r="Q120" s="367"/>
      <c r="R120" s="367"/>
      <c r="S120" s="367" t="e">
        <f t="shared" si="56"/>
        <v>#N/A</v>
      </c>
      <c r="T120" s="696"/>
      <c r="U120" s="376"/>
      <c r="V120" s="377"/>
      <c r="W120" s="377"/>
      <c r="X120" s="367" t="e">
        <f t="shared" si="57"/>
        <v>#N/A</v>
      </c>
      <c r="Y120" s="674"/>
      <c r="Z120" s="376"/>
      <c r="AA120" s="377"/>
      <c r="AB120" s="377"/>
      <c r="AC120" s="368" t="e">
        <f t="shared" si="58"/>
        <v>#N/A</v>
      </c>
      <c r="AD120" s="674"/>
      <c r="AE120" s="376"/>
      <c r="AF120" s="377"/>
      <c r="AG120" s="377"/>
      <c r="AH120" s="368" t="e">
        <f t="shared" si="59"/>
        <v>#N/A</v>
      </c>
      <c r="AI120" s="674"/>
      <c r="AJ120" s="376"/>
      <c r="AK120" s="377"/>
      <c r="AL120" s="377"/>
      <c r="AM120" s="368" t="e">
        <f t="shared" si="60"/>
        <v>#N/A</v>
      </c>
      <c r="AN120" s="674"/>
      <c r="AO120" s="376"/>
      <c r="AP120" s="377"/>
      <c r="AQ120" s="377"/>
      <c r="AR120" s="368" t="e">
        <f t="shared" si="61"/>
        <v>#N/A</v>
      </c>
      <c r="AS120" s="696"/>
      <c r="AT120" s="181"/>
      <c r="AU120" s="181"/>
      <c r="AV120" s="181"/>
      <c r="AW120" s="366" t="e">
        <f t="shared" si="62"/>
        <v>#N/A</v>
      </c>
      <c r="AX120" s="692"/>
      <c r="AZ120" s="403" t="e">
        <f t="shared" si="63"/>
        <v>#N/A</v>
      </c>
      <c r="BA120" s="692"/>
    </row>
    <row r="121" spans="2:53">
      <c r="B121" s="660"/>
      <c r="C121" s="366">
        <v>15</v>
      </c>
      <c r="D121" s="225"/>
      <c r="E121" s="181"/>
      <c r="F121" s="374"/>
      <c r="G121" s="375"/>
      <c r="H121" s="676"/>
      <c r="I121" s="399"/>
      <c r="J121" s="399"/>
      <c r="K121" s="399"/>
      <c r="L121" s="610"/>
      <c r="M121" s="367" t="e">
        <f>RANK(K121, K$67:$K$81)</f>
        <v>#N/A</v>
      </c>
      <c r="N121" s="627"/>
      <c r="O121" s="627"/>
      <c r="P121" s="366"/>
      <c r="Q121" s="367"/>
      <c r="R121" s="367"/>
      <c r="S121" s="367" t="e">
        <f t="shared" si="56"/>
        <v>#N/A</v>
      </c>
      <c r="T121" s="696"/>
      <c r="U121" s="376"/>
      <c r="V121" s="377"/>
      <c r="W121" s="377"/>
      <c r="X121" s="368" t="e">
        <f t="shared" si="57"/>
        <v>#N/A</v>
      </c>
      <c r="Y121" s="674"/>
      <c r="Z121" s="376"/>
      <c r="AA121" s="377"/>
      <c r="AB121" s="377"/>
      <c r="AC121" s="368" t="e">
        <f t="shared" si="58"/>
        <v>#N/A</v>
      </c>
      <c r="AD121" s="674"/>
      <c r="AE121" s="376"/>
      <c r="AF121" s="377"/>
      <c r="AG121" s="377"/>
      <c r="AH121" s="368" t="e">
        <f t="shared" si="59"/>
        <v>#N/A</v>
      </c>
      <c r="AI121" s="674"/>
      <c r="AJ121" s="376"/>
      <c r="AK121" s="377"/>
      <c r="AL121" s="377"/>
      <c r="AM121" s="368" t="e">
        <f t="shared" si="60"/>
        <v>#N/A</v>
      </c>
      <c r="AN121" s="674"/>
      <c r="AO121" s="376"/>
      <c r="AP121" s="377"/>
      <c r="AQ121" s="377"/>
      <c r="AR121" s="368" t="e">
        <f t="shared" si="61"/>
        <v>#N/A</v>
      </c>
      <c r="AS121" s="696"/>
      <c r="AT121" s="181"/>
      <c r="AU121" s="181"/>
      <c r="AV121" s="181"/>
      <c r="AW121" s="366" t="e">
        <f t="shared" si="62"/>
        <v>#N/A</v>
      </c>
      <c r="AX121" s="692"/>
      <c r="AZ121" s="403" t="e">
        <f t="shared" si="63"/>
        <v>#N/A</v>
      </c>
      <c r="BA121" s="692"/>
    </row>
    <row r="123" spans="2:53" ht="15.75">
      <c r="B123" s="666" t="s">
        <v>497</v>
      </c>
      <c r="C123" s="667"/>
      <c r="D123" s="667"/>
      <c r="E123" s="667"/>
      <c r="F123" s="667"/>
      <c r="G123" s="667"/>
      <c r="H123" s="668"/>
      <c r="I123" s="316"/>
      <c r="J123" s="316"/>
      <c r="K123" s="316"/>
      <c r="L123" s="316"/>
      <c r="M123" s="317"/>
    </row>
    <row r="124" spans="2:53" ht="15.75">
      <c r="B124" s="669"/>
      <c r="C124" s="669"/>
      <c r="D124" s="669"/>
      <c r="E124" s="669"/>
      <c r="F124" s="669"/>
      <c r="G124" s="669"/>
      <c r="H124" s="669"/>
      <c r="I124" s="318"/>
      <c r="J124" s="318"/>
      <c r="K124" s="318"/>
      <c r="L124" s="318"/>
      <c r="M124" s="319"/>
    </row>
    <row r="125" spans="2:53">
      <c r="B125" s="627" t="s">
        <v>154</v>
      </c>
      <c r="C125" s="627" t="s">
        <v>384</v>
      </c>
      <c r="D125" s="627"/>
      <c r="E125" s="627" t="s">
        <v>375</v>
      </c>
      <c r="F125" s="627"/>
      <c r="G125" s="627"/>
      <c r="H125" s="643" t="s">
        <v>371</v>
      </c>
      <c r="I125" s="670" t="s">
        <v>376</v>
      </c>
      <c r="J125" s="670"/>
      <c r="K125" s="670"/>
      <c r="L125" s="683" t="s">
        <v>371</v>
      </c>
      <c r="M125" s="686" t="s">
        <v>372</v>
      </c>
    </row>
    <row r="126" spans="2:53">
      <c r="B126" s="627"/>
      <c r="C126" s="627"/>
      <c r="D126" s="627"/>
      <c r="E126" s="627" t="s">
        <v>378</v>
      </c>
      <c r="F126" s="627"/>
      <c r="G126" s="627"/>
      <c r="H126" s="644"/>
      <c r="I126" s="670" t="s">
        <v>378</v>
      </c>
      <c r="J126" s="670"/>
      <c r="K126" s="670"/>
      <c r="L126" s="684"/>
      <c r="M126" s="687"/>
    </row>
    <row r="127" spans="2:53">
      <c r="B127" s="627"/>
      <c r="C127" s="627"/>
      <c r="D127" s="627"/>
      <c r="E127" s="313" t="s">
        <v>380</v>
      </c>
      <c r="F127" s="313" t="s">
        <v>381</v>
      </c>
      <c r="G127" s="313" t="s">
        <v>382</v>
      </c>
      <c r="H127" s="645"/>
      <c r="I127" s="320" t="s">
        <v>380</v>
      </c>
      <c r="J127" s="320" t="s">
        <v>381</v>
      </c>
      <c r="K127" s="320" t="s">
        <v>382</v>
      </c>
      <c r="L127" s="685"/>
      <c r="M127" s="688"/>
    </row>
    <row r="128" spans="2:53">
      <c r="B128" s="627" t="s">
        <v>386</v>
      </c>
      <c r="C128" s="312">
        <v>1</v>
      </c>
      <c r="D128" s="225"/>
      <c r="E128" s="181"/>
      <c r="F128" s="312"/>
      <c r="G128" s="315"/>
      <c r="H128" s="677" t="e">
        <f>AVERAGE(G128:G142)</f>
        <v>#DIV/0!</v>
      </c>
      <c r="I128" s="198" t="e">
        <f t="shared" ref="I128:J137" si="64">AVERAGEIF($D$7:$D$121,$D128,I$7:I$121)</f>
        <v>#DIV/0!</v>
      </c>
      <c r="J128" s="198" t="e">
        <f t="shared" si="64"/>
        <v>#DIV/0!</v>
      </c>
      <c r="K128" s="198" t="e">
        <f t="shared" ref="K128:K137" si="65">AVERAGEIF($D$7:$D$121,$D128,K$7:K$121)</f>
        <v>#DIV/0!</v>
      </c>
      <c r="L128" s="680" t="e">
        <f>AVERAGE(K128:K142)</f>
        <v>#DIV/0!</v>
      </c>
      <c r="M128" s="198" t="e">
        <f>RANK(K128, K$128:$K$142)</f>
        <v>#DIV/0!</v>
      </c>
    </row>
    <row r="129" spans="2:39">
      <c r="B129" s="635"/>
      <c r="C129" s="312">
        <v>2</v>
      </c>
      <c r="D129" s="225"/>
      <c r="E129" s="181"/>
      <c r="F129" s="312"/>
      <c r="G129" s="315"/>
      <c r="H129" s="678"/>
      <c r="I129" s="198" t="e">
        <f t="shared" si="64"/>
        <v>#DIV/0!</v>
      </c>
      <c r="J129" s="198" t="e">
        <f t="shared" si="64"/>
        <v>#DIV/0!</v>
      </c>
      <c r="K129" s="198" t="e">
        <f t="shared" si="65"/>
        <v>#DIV/0!</v>
      </c>
      <c r="L129" s="681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35"/>
      <c r="C130" s="312">
        <v>3</v>
      </c>
      <c r="D130" s="225"/>
      <c r="E130" s="181"/>
      <c r="F130" s="312"/>
      <c r="G130" s="315"/>
      <c r="H130" s="678"/>
      <c r="I130" s="198" t="e">
        <f t="shared" si="64"/>
        <v>#DIV/0!</v>
      </c>
      <c r="J130" s="198" t="e">
        <f t="shared" si="64"/>
        <v>#DIV/0!</v>
      </c>
      <c r="K130" s="198" t="e">
        <f t="shared" si="65"/>
        <v>#DIV/0!</v>
      </c>
      <c r="L130" s="681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35"/>
      <c r="C131" s="312">
        <v>4</v>
      </c>
      <c r="D131" s="225"/>
      <c r="E131" s="181"/>
      <c r="F131" s="312"/>
      <c r="G131" s="315"/>
      <c r="H131" s="678"/>
      <c r="I131" s="198" t="e">
        <f t="shared" si="64"/>
        <v>#DIV/0!</v>
      </c>
      <c r="J131" s="198" t="e">
        <f t="shared" si="64"/>
        <v>#DIV/0!</v>
      </c>
      <c r="K131" s="198" t="e">
        <f t="shared" si="65"/>
        <v>#DIV/0!</v>
      </c>
      <c r="L131" s="681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35"/>
      <c r="C132" s="312">
        <v>5</v>
      </c>
      <c r="D132" s="225"/>
      <c r="E132" s="181"/>
      <c r="F132" s="312"/>
      <c r="G132" s="315"/>
      <c r="H132" s="678"/>
      <c r="I132" s="198" t="e">
        <f t="shared" si="64"/>
        <v>#DIV/0!</v>
      </c>
      <c r="J132" s="198" t="e">
        <f t="shared" si="64"/>
        <v>#DIV/0!</v>
      </c>
      <c r="K132" s="198" t="e">
        <f t="shared" si="65"/>
        <v>#DIV/0!</v>
      </c>
      <c r="L132" s="681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35"/>
      <c r="C133" s="312">
        <v>6</v>
      </c>
      <c r="D133" s="321"/>
      <c r="E133" s="181"/>
      <c r="F133" s="312"/>
      <c r="G133" s="315"/>
      <c r="H133" s="678"/>
      <c r="I133" s="198" t="e">
        <f t="shared" si="64"/>
        <v>#DIV/0!</v>
      </c>
      <c r="J133" s="198" t="e">
        <f t="shared" si="64"/>
        <v>#DIV/0!</v>
      </c>
      <c r="K133" s="198" t="e">
        <f t="shared" si="65"/>
        <v>#DIV/0!</v>
      </c>
      <c r="L133" s="681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35"/>
      <c r="C134" s="312">
        <v>7</v>
      </c>
      <c r="D134" s="225"/>
      <c r="E134" s="181"/>
      <c r="F134" s="312"/>
      <c r="G134" s="315"/>
      <c r="H134" s="678"/>
      <c r="I134" s="198" t="e">
        <f t="shared" si="64"/>
        <v>#DIV/0!</v>
      </c>
      <c r="J134" s="198" t="e">
        <f t="shared" si="64"/>
        <v>#DIV/0!</v>
      </c>
      <c r="K134" s="198" t="e">
        <f t="shared" si="65"/>
        <v>#DIV/0!</v>
      </c>
      <c r="L134" s="681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35"/>
      <c r="C135" s="312">
        <v>8</v>
      </c>
      <c r="D135" s="225"/>
      <c r="E135" s="181"/>
      <c r="F135" s="312"/>
      <c r="G135" s="315"/>
      <c r="H135" s="678"/>
      <c r="I135" s="198" t="e">
        <f t="shared" si="64"/>
        <v>#DIV/0!</v>
      </c>
      <c r="J135" s="198" t="e">
        <f t="shared" si="64"/>
        <v>#DIV/0!</v>
      </c>
      <c r="K135" s="198" t="e">
        <f t="shared" si="65"/>
        <v>#DIV/0!</v>
      </c>
      <c r="L135" s="681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35"/>
      <c r="C136" s="312">
        <v>9</v>
      </c>
      <c r="D136" s="225"/>
      <c r="E136" s="312"/>
      <c r="F136" s="312"/>
      <c r="G136" s="312"/>
      <c r="H136" s="678"/>
      <c r="I136" s="198" t="e">
        <f t="shared" si="64"/>
        <v>#DIV/0!</v>
      </c>
      <c r="J136" s="198" t="e">
        <f t="shared" si="64"/>
        <v>#DIV/0!</v>
      </c>
      <c r="K136" s="198" t="e">
        <f t="shared" si="65"/>
        <v>#DIV/0!</v>
      </c>
      <c r="L136" s="681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35"/>
      <c r="C137" s="312">
        <v>10</v>
      </c>
      <c r="D137" s="225"/>
      <c r="E137" s="312"/>
      <c r="F137" s="312"/>
      <c r="G137" s="312"/>
      <c r="H137" s="678"/>
      <c r="I137" s="198" t="e">
        <f t="shared" si="64"/>
        <v>#DIV/0!</v>
      </c>
      <c r="J137" s="198" t="e">
        <f t="shared" si="64"/>
        <v>#DIV/0!</v>
      </c>
      <c r="K137" s="198" t="e">
        <f t="shared" si="65"/>
        <v>#DIV/0!</v>
      </c>
      <c r="L137" s="681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35"/>
      <c r="C138" s="312">
        <v>11</v>
      </c>
      <c r="D138" s="225"/>
      <c r="E138" s="312"/>
      <c r="F138" s="312"/>
      <c r="G138" s="312"/>
      <c r="H138" s="678"/>
      <c r="I138" s="198"/>
      <c r="J138" s="198"/>
      <c r="K138" s="198"/>
      <c r="L138" s="681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35"/>
      <c r="C139" s="312">
        <v>12</v>
      </c>
      <c r="D139" s="225"/>
      <c r="E139" s="312"/>
      <c r="F139" s="312"/>
      <c r="G139" s="312"/>
      <c r="H139" s="678"/>
      <c r="I139" s="198"/>
      <c r="J139" s="198"/>
      <c r="K139" s="198"/>
      <c r="L139" s="681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35"/>
      <c r="C140" s="312">
        <v>13</v>
      </c>
      <c r="D140" s="225"/>
      <c r="E140" s="312"/>
      <c r="F140" s="312"/>
      <c r="G140" s="312"/>
      <c r="H140" s="678"/>
      <c r="I140" s="198"/>
      <c r="J140" s="198"/>
      <c r="K140" s="198"/>
      <c r="L140" s="681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35"/>
      <c r="C141" s="312">
        <v>14</v>
      </c>
      <c r="D141" s="225"/>
      <c r="E141" s="312"/>
      <c r="F141" s="312"/>
      <c r="G141" s="312"/>
      <c r="H141" s="678"/>
      <c r="I141" s="198"/>
      <c r="J141" s="198"/>
      <c r="K141" s="198"/>
      <c r="L141" s="681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35"/>
      <c r="C142" s="312">
        <v>15</v>
      </c>
      <c r="D142" s="225"/>
      <c r="E142" s="312"/>
      <c r="F142" s="312"/>
      <c r="G142" s="312"/>
      <c r="H142" s="679"/>
      <c r="I142" s="198"/>
      <c r="J142" s="198"/>
      <c r="K142" s="198"/>
      <c r="L142" s="682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85" zoomScaleNormal="85" workbookViewId="0">
      <pane xSplit="15" topLeftCell="P1" activePane="topRight" state="frozen"/>
      <selection activeCell="T27" sqref="S27:T41"/>
      <selection pane="topRight" activeCell="T27" sqref="S27:T4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314</v>
      </c>
      <c r="C1" s="219">
        <f>AVERAGE(L7,L27,L47,L67,L87,L107)</f>
        <v>129.68771409773024</v>
      </c>
    </row>
    <row r="2" spans="1:53" ht="15.75">
      <c r="A2" s="81"/>
      <c r="B2" s="639" t="s">
        <v>163</v>
      </c>
      <c r="C2" s="639"/>
      <c r="D2" s="639"/>
      <c r="E2" s="639"/>
      <c r="F2" s="639"/>
      <c r="G2" s="639"/>
      <c r="H2" s="639"/>
      <c r="I2" s="293"/>
      <c r="J2" s="293"/>
      <c r="K2" s="293"/>
      <c r="L2" s="293"/>
      <c r="M2" s="196"/>
      <c r="N2" s="628" t="s">
        <v>156</v>
      </c>
      <c r="O2" s="628" t="s">
        <v>155</v>
      </c>
      <c r="P2" s="655">
        <v>46140</v>
      </c>
      <c r="Q2" s="656"/>
      <c r="R2" s="656"/>
      <c r="S2" s="656"/>
      <c r="T2" s="657"/>
      <c r="U2" s="634">
        <f>P2+1</f>
        <v>46141</v>
      </c>
      <c r="V2" s="635"/>
      <c r="W2" s="635"/>
      <c r="X2" s="635"/>
      <c r="Y2" s="635"/>
      <c r="Z2" s="634">
        <f>U2+1</f>
        <v>46142</v>
      </c>
      <c r="AA2" s="635"/>
      <c r="AB2" s="635"/>
      <c r="AC2" s="635"/>
      <c r="AD2" s="635"/>
      <c r="AE2" s="634">
        <f>Z2+1</f>
        <v>46143</v>
      </c>
      <c r="AF2" s="635"/>
      <c r="AG2" s="635"/>
      <c r="AH2" s="635"/>
      <c r="AI2" s="635"/>
      <c r="AJ2" s="634">
        <f>AE2+1</f>
        <v>46144</v>
      </c>
      <c r="AK2" s="635"/>
      <c r="AL2" s="635"/>
      <c r="AM2" s="635"/>
      <c r="AN2" s="635"/>
      <c r="AO2" s="634">
        <f>AJ2+1</f>
        <v>46145</v>
      </c>
      <c r="AP2" s="635"/>
      <c r="AQ2" s="635"/>
      <c r="AR2" s="635"/>
      <c r="AS2" s="635"/>
      <c r="AT2" s="631">
        <f>AO2+1</f>
        <v>46146</v>
      </c>
      <c r="AU2" s="632"/>
      <c r="AV2" s="632"/>
      <c r="AW2" s="632"/>
      <c r="AX2" s="633"/>
    </row>
    <row r="3" spans="1:53" ht="15.75">
      <c r="A3" s="81"/>
      <c r="B3" s="658"/>
      <c r="C3" s="658"/>
      <c r="D3" s="658"/>
      <c r="E3" s="658"/>
      <c r="F3" s="658"/>
      <c r="G3" s="658"/>
      <c r="H3" s="658"/>
      <c r="I3" s="294"/>
      <c r="J3" s="294"/>
      <c r="K3" s="294"/>
      <c r="L3" s="294"/>
      <c r="M3" s="197"/>
      <c r="N3" s="630"/>
      <c r="O3" s="630"/>
      <c r="P3" s="631" t="s">
        <v>158</v>
      </c>
      <c r="Q3" s="632"/>
      <c r="R3" s="632"/>
      <c r="S3" s="632"/>
      <c r="T3" s="633"/>
      <c r="U3" s="631" t="s">
        <v>114</v>
      </c>
      <c r="V3" s="632"/>
      <c r="W3" s="632"/>
      <c r="X3" s="632"/>
      <c r="Y3" s="633"/>
      <c r="Z3" s="631" t="s">
        <v>159</v>
      </c>
      <c r="AA3" s="632"/>
      <c r="AB3" s="632"/>
      <c r="AC3" s="632"/>
      <c r="AD3" s="633"/>
      <c r="AE3" s="631" t="s">
        <v>157</v>
      </c>
      <c r="AF3" s="632"/>
      <c r="AG3" s="632"/>
      <c r="AH3" s="632"/>
      <c r="AI3" s="633"/>
      <c r="AJ3" s="631" t="s">
        <v>160</v>
      </c>
      <c r="AK3" s="632"/>
      <c r="AL3" s="632"/>
      <c r="AM3" s="632"/>
      <c r="AN3" s="633"/>
      <c r="AO3" s="631" t="s">
        <v>161</v>
      </c>
      <c r="AP3" s="632"/>
      <c r="AQ3" s="632"/>
      <c r="AR3" s="632"/>
      <c r="AS3" s="633"/>
      <c r="AT3" s="631" t="s">
        <v>162</v>
      </c>
      <c r="AU3" s="632"/>
      <c r="AV3" s="632"/>
      <c r="AW3" s="632"/>
      <c r="AX3" s="633"/>
    </row>
    <row r="4" spans="1:53" ht="14.25">
      <c r="A4" s="81"/>
      <c r="B4" s="627" t="s">
        <v>550</v>
      </c>
      <c r="C4" s="627" t="s">
        <v>384</v>
      </c>
      <c r="D4" s="627"/>
      <c r="E4" s="627" t="s">
        <v>375</v>
      </c>
      <c r="F4" s="627"/>
      <c r="G4" s="627"/>
      <c r="H4" s="643" t="s">
        <v>371</v>
      </c>
      <c r="I4" s="611" t="s">
        <v>376</v>
      </c>
      <c r="J4" s="611"/>
      <c r="K4" s="611"/>
      <c r="L4" s="612" t="s">
        <v>371</v>
      </c>
      <c r="M4" s="618" t="s">
        <v>372</v>
      </c>
      <c r="N4" s="627"/>
      <c r="O4" s="627" t="s">
        <v>377</v>
      </c>
      <c r="P4" s="624" t="s">
        <v>373</v>
      </c>
      <c r="Q4" s="625"/>
      <c r="R4" s="625"/>
      <c r="S4" s="626"/>
      <c r="T4" s="627" t="s">
        <v>371</v>
      </c>
      <c r="U4" s="624" t="s">
        <v>373</v>
      </c>
      <c r="V4" s="625"/>
      <c r="W4" s="625"/>
      <c r="X4" s="626"/>
      <c r="Y4" s="627" t="s">
        <v>371</v>
      </c>
      <c r="Z4" s="624" t="s">
        <v>373</v>
      </c>
      <c r="AA4" s="625"/>
      <c r="AB4" s="625"/>
      <c r="AC4" s="626"/>
      <c r="AD4" s="627" t="s">
        <v>371</v>
      </c>
      <c r="AE4" s="624" t="s">
        <v>373</v>
      </c>
      <c r="AF4" s="625"/>
      <c r="AG4" s="625"/>
      <c r="AH4" s="626"/>
      <c r="AI4" s="627" t="s">
        <v>371</v>
      </c>
      <c r="AJ4" s="624" t="s">
        <v>373</v>
      </c>
      <c r="AK4" s="625"/>
      <c r="AL4" s="625"/>
      <c r="AM4" s="626"/>
      <c r="AN4" s="627" t="s">
        <v>371</v>
      </c>
      <c r="AO4" s="624" t="s">
        <v>373</v>
      </c>
      <c r="AP4" s="625"/>
      <c r="AQ4" s="625"/>
      <c r="AR4" s="626"/>
      <c r="AS4" s="627" t="s">
        <v>371</v>
      </c>
      <c r="AT4" s="624" t="s">
        <v>373</v>
      </c>
      <c r="AU4" s="625"/>
      <c r="AV4" s="625"/>
      <c r="AW4" s="626"/>
      <c r="AX4" s="627" t="s">
        <v>371</v>
      </c>
      <c r="BA4" s="627" t="s">
        <v>371</v>
      </c>
    </row>
    <row r="5" spans="1:53" ht="14.25">
      <c r="A5" s="81"/>
      <c r="B5" s="627"/>
      <c r="C5" s="627"/>
      <c r="D5" s="627"/>
      <c r="E5" s="627" t="s">
        <v>378</v>
      </c>
      <c r="F5" s="627"/>
      <c r="G5" s="627"/>
      <c r="H5" s="644"/>
      <c r="I5" s="611" t="s">
        <v>378</v>
      </c>
      <c r="J5" s="611"/>
      <c r="K5" s="611"/>
      <c r="L5" s="613"/>
      <c r="M5" s="619"/>
      <c r="N5" s="627"/>
      <c r="O5" s="627"/>
      <c r="P5" s="624" t="s">
        <v>379</v>
      </c>
      <c r="Q5" s="625"/>
      <c r="R5" s="625"/>
      <c r="S5" s="626"/>
      <c r="T5" s="627"/>
      <c r="U5" s="624" t="s">
        <v>379</v>
      </c>
      <c r="V5" s="625"/>
      <c r="W5" s="625"/>
      <c r="X5" s="626"/>
      <c r="Y5" s="627"/>
      <c r="Z5" s="624" t="s">
        <v>379</v>
      </c>
      <c r="AA5" s="625"/>
      <c r="AB5" s="625"/>
      <c r="AC5" s="626"/>
      <c r="AD5" s="627"/>
      <c r="AE5" s="624" t="s">
        <v>379</v>
      </c>
      <c r="AF5" s="625"/>
      <c r="AG5" s="625"/>
      <c r="AH5" s="626"/>
      <c r="AI5" s="627"/>
      <c r="AJ5" s="624" t="s">
        <v>379</v>
      </c>
      <c r="AK5" s="625"/>
      <c r="AL5" s="625"/>
      <c r="AM5" s="626"/>
      <c r="AN5" s="627"/>
      <c r="AO5" s="624" t="s">
        <v>379</v>
      </c>
      <c r="AP5" s="625"/>
      <c r="AQ5" s="625"/>
      <c r="AR5" s="626"/>
      <c r="AS5" s="627"/>
      <c r="AT5" s="624" t="s">
        <v>379</v>
      </c>
      <c r="AU5" s="625"/>
      <c r="AV5" s="625"/>
      <c r="AW5" s="626"/>
      <c r="AX5" s="627"/>
      <c r="BA5" s="627"/>
    </row>
    <row r="6" spans="1:53" ht="14.25">
      <c r="A6" s="79"/>
      <c r="B6" s="627"/>
      <c r="C6" s="627"/>
      <c r="D6" s="627"/>
      <c r="E6" s="412" t="s">
        <v>380</v>
      </c>
      <c r="F6" s="412" t="s">
        <v>381</v>
      </c>
      <c r="G6" s="412" t="s">
        <v>382</v>
      </c>
      <c r="H6" s="645"/>
      <c r="I6" s="411" t="s">
        <v>380</v>
      </c>
      <c r="J6" s="411" t="s">
        <v>381</v>
      </c>
      <c r="K6" s="411" t="s">
        <v>382</v>
      </c>
      <c r="L6" s="614"/>
      <c r="M6" s="620"/>
      <c r="N6" s="627"/>
      <c r="O6" s="627"/>
      <c r="P6" s="412" t="s">
        <v>380</v>
      </c>
      <c r="Q6" s="412" t="s">
        <v>381</v>
      </c>
      <c r="R6" s="412" t="s">
        <v>382</v>
      </c>
      <c r="S6" s="412" t="s">
        <v>372</v>
      </c>
      <c r="T6" s="627"/>
      <c r="U6" s="412" t="s">
        <v>380</v>
      </c>
      <c r="V6" s="412" t="s">
        <v>381</v>
      </c>
      <c r="W6" s="412" t="s">
        <v>382</v>
      </c>
      <c r="X6" s="412" t="s">
        <v>372</v>
      </c>
      <c r="Y6" s="627"/>
      <c r="Z6" s="412" t="s">
        <v>380</v>
      </c>
      <c r="AA6" s="412" t="s">
        <v>381</v>
      </c>
      <c r="AB6" s="412" t="s">
        <v>382</v>
      </c>
      <c r="AC6" s="412" t="s">
        <v>372</v>
      </c>
      <c r="AD6" s="627"/>
      <c r="AE6" s="412" t="s">
        <v>380</v>
      </c>
      <c r="AF6" s="412" t="s">
        <v>381</v>
      </c>
      <c r="AG6" s="412" t="s">
        <v>382</v>
      </c>
      <c r="AH6" s="412" t="s">
        <v>372</v>
      </c>
      <c r="AI6" s="627"/>
      <c r="AJ6" s="412" t="s">
        <v>380</v>
      </c>
      <c r="AK6" s="412" t="s">
        <v>381</v>
      </c>
      <c r="AL6" s="412" t="s">
        <v>382</v>
      </c>
      <c r="AM6" s="412" t="s">
        <v>372</v>
      </c>
      <c r="AN6" s="627"/>
      <c r="AO6" s="412" t="s">
        <v>380</v>
      </c>
      <c r="AP6" s="412" t="s">
        <v>381</v>
      </c>
      <c r="AQ6" s="412" t="s">
        <v>382</v>
      </c>
      <c r="AR6" s="412" t="s">
        <v>372</v>
      </c>
      <c r="AS6" s="627"/>
      <c r="AT6" s="412" t="s">
        <v>380</v>
      </c>
      <c r="AU6" s="412" t="s">
        <v>381</v>
      </c>
      <c r="AV6" s="412" t="s">
        <v>382</v>
      </c>
      <c r="AW6" s="412" t="s">
        <v>372</v>
      </c>
      <c r="AX6" s="627"/>
      <c r="AZ6" s="401" t="s">
        <v>372</v>
      </c>
      <c r="BA6" s="627"/>
    </row>
    <row r="7" spans="1:53" ht="14.25">
      <c r="A7" s="81"/>
      <c r="B7" s="627" t="s">
        <v>136</v>
      </c>
      <c r="C7" s="413">
        <v>1</v>
      </c>
      <c r="D7" s="225" t="s">
        <v>354</v>
      </c>
      <c r="E7" s="420">
        <v>20</v>
      </c>
      <c r="F7" s="500">
        <v>2400</v>
      </c>
      <c r="G7" s="501">
        <v>120</v>
      </c>
      <c r="H7" s="677">
        <f>AVERAGE(G7:G21)</f>
        <v>144.91801398922141</v>
      </c>
      <c r="I7" s="417">
        <f t="shared" ref="I7:I20" si="0">IFERROR(AVERAGE(P7,U7,Z7,AE7,AJ7,AO7,AT7),"-")</f>
        <v>20</v>
      </c>
      <c r="J7" s="417">
        <f t="shared" ref="J7:J20" si="1">IFERROR(AVERAGE(Q7,V7,AA7,AF7,AK7,AP7,AU7),"-")</f>
        <v>2346.4478436835639</v>
      </c>
      <c r="K7" s="199">
        <f t="shared" ref="K7:K20" si="2">IFERROR(AVERAGE(R7,W7,AB7,AG7,AL7,AQ7,AV7),"-")</f>
        <v>117.32239218417818</v>
      </c>
      <c r="L7" s="608">
        <f>IFERROR(AVERAGE(K7:K21),"-")</f>
        <v>129.9474276931152</v>
      </c>
      <c r="M7" s="419">
        <f>RANK(K7, K$7:$K$21)</f>
        <v>9</v>
      </c>
      <c r="N7" s="627"/>
      <c r="O7" s="627"/>
      <c r="P7" s="502">
        <v>20</v>
      </c>
      <c r="Q7" s="504">
        <v>2365.0344827586214</v>
      </c>
      <c r="R7" s="504">
        <v>118.25172413793106</v>
      </c>
      <c r="S7" s="502">
        <f t="shared" ref="S7:S21" si="3">RANK(R7, R$7:R$21)</f>
        <v>8</v>
      </c>
      <c r="T7" s="674">
        <f t="shared" ref="T7" si="4">AVERAGE(R7:R21)</f>
        <v>127.24446203445716</v>
      </c>
      <c r="U7" s="502">
        <v>20</v>
      </c>
      <c r="V7" s="504">
        <v>2345.006511627907</v>
      </c>
      <c r="W7" s="504">
        <v>117.25032558139534</v>
      </c>
      <c r="X7" s="502">
        <f t="shared" ref="X7:X21" si="5">RANK(W7, W$7:W$21)</f>
        <v>9</v>
      </c>
      <c r="Y7" s="674">
        <f t="shared" ref="Y7" si="6">AVERAGE(W7:W21)</f>
        <v>130.33655096223495</v>
      </c>
      <c r="Z7" s="502">
        <v>20</v>
      </c>
      <c r="AA7" s="504">
        <v>2339.1272727272726</v>
      </c>
      <c r="AB7" s="504">
        <v>116.95636363636363</v>
      </c>
      <c r="AC7" s="502">
        <f t="shared" ref="AC7:AC21" si="7">RANK(AB7, AB$7:AB$21)</f>
        <v>9</v>
      </c>
      <c r="AD7" s="674">
        <f t="shared" ref="AD7" si="8">AVERAGE(AB7:AB21)</f>
        <v>129.45928327099321</v>
      </c>
      <c r="AE7" s="502">
        <v>20</v>
      </c>
      <c r="AF7" s="504">
        <v>2338.3723404255325</v>
      </c>
      <c r="AG7" s="504">
        <v>116.91861702127662</v>
      </c>
      <c r="AH7" s="502">
        <f t="shared" ref="AH7:AH21" si="9">RANK(AG7, AG$7:AG$21)</f>
        <v>9</v>
      </c>
      <c r="AI7" s="674">
        <f t="shared" ref="AI7" si="10">AVERAGE(AG7:AG21)</f>
        <v>130.857016671851</v>
      </c>
      <c r="AJ7" s="502">
        <v>20</v>
      </c>
      <c r="AK7" s="504">
        <v>2329.2499999999991</v>
      </c>
      <c r="AL7" s="504">
        <v>116.46249999999995</v>
      </c>
      <c r="AM7" s="502">
        <f t="shared" ref="AM7:AM21" si="11">RANK(AL7, AL$7:AL$21)</f>
        <v>9</v>
      </c>
      <c r="AN7" s="674">
        <f t="shared" ref="AN7" si="12">AVERAGE(AL7:AL21)</f>
        <v>130.19033055465536</v>
      </c>
      <c r="AO7" s="502">
        <v>20</v>
      </c>
      <c r="AP7" s="504">
        <v>2340.6250000000005</v>
      </c>
      <c r="AQ7" s="504">
        <v>117.03125000000003</v>
      </c>
      <c r="AR7" s="502">
        <f t="shared" ref="AR7:AR21" si="13">RANK(AQ7, AQ$7:AQ$21)</f>
        <v>9</v>
      </c>
      <c r="AS7" s="674">
        <f t="shared" ref="AS7" si="14">AVERAGE(AQ7:AQ21)</f>
        <v>130.48581149983576</v>
      </c>
      <c r="AT7" s="500">
        <v>20</v>
      </c>
      <c r="AU7" s="420">
        <v>2367.7192982456136</v>
      </c>
      <c r="AV7" s="420">
        <v>118.38596491228068</v>
      </c>
      <c r="AW7" s="502">
        <f t="shared" ref="AW7:AW21" si="15">RANK(AV7, AV$7:AV$21)</f>
        <v>9</v>
      </c>
      <c r="AX7" s="674">
        <f t="shared" ref="AX7" si="16">AVERAGE(AV7:AV21)</f>
        <v>131.05853885777913</v>
      </c>
      <c r="AZ7" s="403" t="e">
        <f t="shared" ref="AZ7:AZ21" si="17">RANK(AY7, AY$7:AY$21)</f>
        <v>#N/A</v>
      </c>
      <c r="BA7" s="674" t="e">
        <f t="shared" ref="BA7" si="18">AVERAGE(AY7:AY21)</f>
        <v>#DIV/0!</v>
      </c>
    </row>
    <row r="8" spans="1:53" ht="15" customHeight="1">
      <c r="A8" s="81"/>
      <c r="B8" s="660"/>
      <c r="C8" s="413">
        <v>2</v>
      </c>
      <c r="D8" s="225" t="s">
        <v>355</v>
      </c>
      <c r="E8" s="420">
        <v>18</v>
      </c>
      <c r="F8" s="500">
        <v>2700</v>
      </c>
      <c r="G8" s="501">
        <v>150</v>
      </c>
      <c r="H8" s="678"/>
      <c r="I8" s="417">
        <f t="shared" si="0"/>
        <v>19</v>
      </c>
      <c r="J8" s="417">
        <f t="shared" si="1"/>
        <v>2559.1114470652042</v>
      </c>
      <c r="K8" s="199">
        <f t="shared" si="2"/>
        <v>134.69007616132654</v>
      </c>
      <c r="L8" s="609"/>
      <c r="M8" s="419">
        <f>RANK(K8, K$7:$K$21)</f>
        <v>4</v>
      </c>
      <c r="N8" s="627"/>
      <c r="O8" s="627"/>
      <c r="P8" s="502">
        <v>19</v>
      </c>
      <c r="Q8" s="504">
        <v>2514.9295774647894</v>
      </c>
      <c r="R8" s="504">
        <v>132.36471460340996</v>
      </c>
      <c r="S8" s="502">
        <f t="shared" si="3"/>
        <v>5</v>
      </c>
      <c r="T8" s="674"/>
      <c r="U8" s="502">
        <v>19</v>
      </c>
      <c r="V8" s="504">
        <v>2528.3720930232553</v>
      </c>
      <c r="W8" s="504">
        <v>133.0722154222766</v>
      </c>
      <c r="X8" s="502">
        <f t="shared" si="5"/>
        <v>5</v>
      </c>
      <c r="Y8" s="674"/>
      <c r="Z8" s="502">
        <v>19</v>
      </c>
      <c r="AA8" s="504">
        <v>2538.409090909091</v>
      </c>
      <c r="AB8" s="504">
        <v>133.60047846889952</v>
      </c>
      <c r="AC8" s="502">
        <f t="shared" si="7"/>
        <v>4</v>
      </c>
      <c r="AD8" s="674"/>
      <c r="AE8" s="502">
        <v>19</v>
      </c>
      <c r="AF8" s="504">
        <v>2600.4545454545455</v>
      </c>
      <c r="AG8" s="504">
        <v>136.86602870813397</v>
      </c>
      <c r="AH8" s="502">
        <f t="shared" si="9"/>
        <v>4</v>
      </c>
      <c r="AI8" s="674"/>
      <c r="AJ8" s="502">
        <v>19</v>
      </c>
      <c r="AK8" s="504">
        <v>2577.9310344827582</v>
      </c>
      <c r="AL8" s="504">
        <v>135.68058076225043</v>
      </c>
      <c r="AM8" s="502">
        <f t="shared" si="11"/>
        <v>4</v>
      </c>
      <c r="AN8" s="674"/>
      <c r="AO8" s="502">
        <v>19</v>
      </c>
      <c r="AP8" s="504">
        <v>2590.1123595505615</v>
      </c>
      <c r="AQ8" s="504">
        <v>136.32170313424007</v>
      </c>
      <c r="AR8" s="502">
        <f t="shared" si="13"/>
        <v>4</v>
      </c>
      <c r="AS8" s="674"/>
      <c r="AT8" s="500">
        <v>19</v>
      </c>
      <c r="AU8" s="420">
        <v>2563.5714285714303</v>
      </c>
      <c r="AV8" s="420">
        <v>134.92481203007529</v>
      </c>
      <c r="AW8" s="502">
        <f t="shared" si="15"/>
        <v>4</v>
      </c>
      <c r="AX8" s="674"/>
      <c r="AZ8" s="403" t="e">
        <f t="shared" si="17"/>
        <v>#N/A</v>
      </c>
      <c r="BA8" s="674"/>
    </row>
    <row r="9" spans="1:53" ht="14.25">
      <c r="A9" s="81"/>
      <c r="B9" s="660"/>
      <c r="C9" s="413">
        <v>3</v>
      </c>
      <c r="D9" s="225" t="s">
        <v>356</v>
      </c>
      <c r="E9" s="420">
        <v>18</v>
      </c>
      <c r="F9" s="500">
        <v>2700</v>
      </c>
      <c r="G9" s="501">
        <v>150</v>
      </c>
      <c r="H9" s="678"/>
      <c r="I9" s="417">
        <f t="shared" si="0"/>
        <v>19</v>
      </c>
      <c r="J9" s="417">
        <f t="shared" si="1"/>
        <v>2448.561936993071</v>
      </c>
      <c r="K9" s="199">
        <f t="shared" si="2"/>
        <v>128.87168089437216</v>
      </c>
      <c r="L9" s="609"/>
      <c r="M9" s="419">
        <f>RANK(K9, K$7:$K$21)</f>
        <v>5</v>
      </c>
      <c r="N9" s="627"/>
      <c r="O9" s="627"/>
      <c r="P9" s="502">
        <v>19</v>
      </c>
      <c r="Q9" s="504">
        <v>2566.304347826087</v>
      </c>
      <c r="R9" s="504">
        <v>135.06864988558354</v>
      </c>
      <c r="S9" s="502">
        <f t="shared" si="3"/>
        <v>2</v>
      </c>
      <c r="T9" s="674"/>
      <c r="U9" s="502">
        <v>19</v>
      </c>
      <c r="V9" s="504">
        <v>2546.0000000000009</v>
      </c>
      <c r="W9" s="504">
        <v>134.00000000000006</v>
      </c>
      <c r="X9" s="502">
        <f t="shared" si="5"/>
        <v>4</v>
      </c>
      <c r="Y9" s="674"/>
      <c r="Z9" s="502">
        <v>19</v>
      </c>
      <c r="AA9" s="504">
        <v>2407.5590551181099</v>
      </c>
      <c r="AB9" s="504">
        <v>126.71363447990052</v>
      </c>
      <c r="AC9" s="502">
        <f t="shared" si="7"/>
        <v>5</v>
      </c>
      <c r="AD9" s="674"/>
      <c r="AE9" s="502">
        <v>19</v>
      </c>
      <c r="AF9" s="504">
        <v>2408.9552238805973</v>
      </c>
      <c r="AG9" s="504">
        <v>126.78711704634722</v>
      </c>
      <c r="AH9" s="502">
        <f t="shared" si="9"/>
        <v>6</v>
      </c>
      <c r="AI9" s="674"/>
      <c r="AJ9" s="502">
        <v>19</v>
      </c>
      <c r="AK9" s="504">
        <v>2381.5384615384628</v>
      </c>
      <c r="AL9" s="504">
        <v>125.34412955465594</v>
      </c>
      <c r="AM9" s="502">
        <f t="shared" si="11"/>
        <v>6</v>
      </c>
      <c r="AN9" s="674"/>
      <c r="AO9" s="502">
        <v>19</v>
      </c>
      <c r="AP9" s="504">
        <v>2438.4000000000015</v>
      </c>
      <c r="AQ9" s="504">
        <v>128.33684210526323</v>
      </c>
      <c r="AR9" s="502">
        <f t="shared" si="13"/>
        <v>5</v>
      </c>
      <c r="AS9" s="674"/>
      <c r="AT9" s="500">
        <v>19</v>
      </c>
      <c r="AU9" s="420">
        <v>2391.1764705882365</v>
      </c>
      <c r="AV9" s="420">
        <v>125.85139318885456</v>
      </c>
      <c r="AW9" s="502">
        <f t="shared" si="15"/>
        <v>6</v>
      </c>
      <c r="AX9" s="674"/>
      <c r="AZ9" s="403" t="e">
        <f t="shared" si="17"/>
        <v>#N/A</v>
      </c>
      <c r="BA9" s="674"/>
    </row>
    <row r="10" spans="1:53" ht="14.25">
      <c r="A10" s="81"/>
      <c r="B10" s="660"/>
      <c r="C10" s="413">
        <v>4</v>
      </c>
      <c r="D10" s="225" t="s">
        <v>357</v>
      </c>
      <c r="E10" s="420">
        <v>19</v>
      </c>
      <c r="F10" s="500">
        <v>2700</v>
      </c>
      <c r="G10" s="501">
        <v>142.10526315789474</v>
      </c>
      <c r="H10" s="678"/>
      <c r="I10" s="417">
        <f t="shared" si="0"/>
        <v>19.142857142857142</v>
      </c>
      <c r="J10" s="417">
        <f t="shared" si="1"/>
        <v>2410.8798083574002</v>
      </c>
      <c r="K10" s="199">
        <f t="shared" si="2"/>
        <v>125.9638643054094</v>
      </c>
      <c r="L10" s="609"/>
      <c r="M10" s="419">
        <f>RANK(K10, K$7:$K$21)</f>
        <v>6</v>
      </c>
      <c r="N10" s="627"/>
      <c r="O10" s="627"/>
      <c r="P10" s="502">
        <v>19</v>
      </c>
      <c r="Q10" s="504">
        <v>2305.6701030927798</v>
      </c>
      <c r="R10" s="504">
        <v>121.35105805751472</v>
      </c>
      <c r="S10" s="502">
        <f t="shared" si="3"/>
        <v>6</v>
      </c>
      <c r="T10" s="674"/>
      <c r="U10" s="502">
        <v>19</v>
      </c>
      <c r="V10" s="504">
        <v>2381.7977528089864</v>
      </c>
      <c r="W10" s="504">
        <v>125.35777646363086</v>
      </c>
      <c r="X10" s="502">
        <f t="shared" si="5"/>
        <v>6</v>
      </c>
      <c r="Y10" s="674"/>
      <c r="Z10" s="502">
        <v>20</v>
      </c>
      <c r="AA10" s="504">
        <v>2459.2941176470586</v>
      </c>
      <c r="AB10" s="504">
        <v>122.96470588235293</v>
      </c>
      <c r="AC10" s="502">
        <f t="shared" si="7"/>
        <v>6</v>
      </c>
      <c r="AD10" s="674"/>
      <c r="AE10" s="502">
        <v>19</v>
      </c>
      <c r="AF10" s="504">
        <v>2446.3333333333335</v>
      </c>
      <c r="AG10" s="504">
        <v>128.7543859649123</v>
      </c>
      <c r="AH10" s="502">
        <f t="shared" si="9"/>
        <v>5</v>
      </c>
      <c r="AI10" s="674"/>
      <c r="AJ10" s="502">
        <v>19</v>
      </c>
      <c r="AK10" s="504">
        <v>2392.4482758620675</v>
      </c>
      <c r="AL10" s="504">
        <v>125.91833030852986</v>
      </c>
      <c r="AM10" s="502">
        <f t="shared" si="11"/>
        <v>5</v>
      </c>
      <c r="AN10" s="674"/>
      <c r="AO10" s="502">
        <v>19</v>
      </c>
      <c r="AP10" s="504">
        <v>2409.604166666667</v>
      </c>
      <c r="AQ10" s="504">
        <v>126.82127192982458</v>
      </c>
      <c r="AR10" s="502">
        <f t="shared" si="13"/>
        <v>6</v>
      </c>
      <c r="AS10" s="674"/>
      <c r="AT10" s="500">
        <v>19</v>
      </c>
      <c r="AU10" s="420">
        <v>2481.0109090909109</v>
      </c>
      <c r="AV10" s="420">
        <v>130.57952153110057</v>
      </c>
      <c r="AW10" s="502">
        <f t="shared" si="15"/>
        <v>5</v>
      </c>
      <c r="AX10" s="674"/>
      <c r="AZ10" s="403" t="e">
        <f t="shared" si="17"/>
        <v>#N/A</v>
      </c>
      <c r="BA10" s="674"/>
    </row>
    <row r="11" spans="1:53" ht="14.25">
      <c r="A11" s="81"/>
      <c r="B11" s="660"/>
      <c r="C11" s="413">
        <v>5</v>
      </c>
      <c r="D11" s="225" t="s">
        <v>526</v>
      </c>
      <c r="E11" s="420">
        <v>17</v>
      </c>
      <c r="F11" s="500">
        <v>2250</v>
      </c>
      <c r="G11" s="501">
        <v>132.35294117647058</v>
      </c>
      <c r="H11" s="678"/>
      <c r="I11" s="417">
        <f t="shared" si="0"/>
        <v>18</v>
      </c>
      <c r="J11" s="417">
        <f t="shared" si="1"/>
        <v>2180.5629918999662</v>
      </c>
      <c r="K11" s="199">
        <f t="shared" si="2"/>
        <v>121.142388438887</v>
      </c>
      <c r="L11" s="609"/>
      <c r="M11" s="419">
        <f>RANK(K11, K$7:$K$21)</f>
        <v>7</v>
      </c>
      <c r="N11" s="627"/>
      <c r="O11" s="627"/>
      <c r="P11" s="502">
        <v>18</v>
      </c>
      <c r="Q11" s="504">
        <v>2181.965217391305</v>
      </c>
      <c r="R11" s="504">
        <v>121.22028985507251</v>
      </c>
      <c r="S11" s="502">
        <f t="shared" si="3"/>
        <v>7</v>
      </c>
      <c r="T11" s="674"/>
      <c r="U11" s="502">
        <v>18</v>
      </c>
      <c r="V11" s="504">
        <v>2212.1029411764716</v>
      </c>
      <c r="W11" s="504">
        <v>122.89460784313731</v>
      </c>
      <c r="X11" s="502">
        <f t="shared" si="5"/>
        <v>7</v>
      </c>
      <c r="Y11" s="674"/>
      <c r="Z11" s="502">
        <v>18</v>
      </c>
      <c r="AA11" s="504">
        <v>2174.454545454545</v>
      </c>
      <c r="AB11" s="504">
        <v>120.80303030303028</v>
      </c>
      <c r="AC11" s="502">
        <f t="shared" si="7"/>
        <v>7</v>
      </c>
      <c r="AD11" s="674"/>
      <c r="AE11" s="502">
        <v>18</v>
      </c>
      <c r="AF11" s="504">
        <v>2152.583333333333</v>
      </c>
      <c r="AG11" s="504">
        <v>119.58796296296295</v>
      </c>
      <c r="AH11" s="502">
        <f t="shared" si="9"/>
        <v>8</v>
      </c>
      <c r="AI11" s="674"/>
      <c r="AJ11" s="502">
        <v>18</v>
      </c>
      <c r="AK11" s="504">
        <v>2169.6480000000006</v>
      </c>
      <c r="AL11" s="504">
        <v>120.53600000000003</v>
      </c>
      <c r="AM11" s="502">
        <f t="shared" si="11"/>
        <v>8</v>
      </c>
      <c r="AN11" s="674"/>
      <c r="AO11" s="502">
        <v>18</v>
      </c>
      <c r="AP11" s="504">
        <v>2193.969924812031</v>
      </c>
      <c r="AQ11" s="504">
        <v>121.88721804511283</v>
      </c>
      <c r="AR11" s="502">
        <f t="shared" si="13"/>
        <v>7</v>
      </c>
      <c r="AS11" s="674"/>
      <c r="AT11" s="500">
        <v>18</v>
      </c>
      <c r="AU11" s="420">
        <v>2179.2169811320759</v>
      </c>
      <c r="AV11" s="420">
        <v>121.06761006289311</v>
      </c>
      <c r="AW11" s="502">
        <f t="shared" si="15"/>
        <v>7</v>
      </c>
      <c r="AX11" s="674"/>
      <c r="AZ11" s="403" t="e">
        <f t="shared" si="17"/>
        <v>#N/A</v>
      </c>
      <c r="BA11" s="674"/>
    </row>
    <row r="12" spans="1:53" ht="14.25">
      <c r="A12" s="81"/>
      <c r="B12" s="660"/>
      <c r="C12" s="413">
        <v>6</v>
      </c>
      <c r="D12" s="225" t="s">
        <v>633</v>
      </c>
      <c r="E12" s="420">
        <v>17</v>
      </c>
      <c r="F12" s="500">
        <v>2700</v>
      </c>
      <c r="G12" s="501">
        <v>158.8235294117647</v>
      </c>
      <c r="H12" s="678"/>
      <c r="I12" s="417">
        <f t="shared" si="0"/>
        <v>17.142857142857142</v>
      </c>
      <c r="J12" s="417">
        <f t="shared" si="1"/>
        <v>2401.4601151041884</v>
      </c>
      <c r="K12" s="199">
        <f t="shared" si="2"/>
        <v>140.12364335590343</v>
      </c>
      <c r="L12" s="609"/>
      <c r="M12" s="419">
        <f>RANK(K12, K$7:$K$21)</f>
        <v>2</v>
      </c>
      <c r="N12" s="627"/>
      <c r="O12" s="627"/>
      <c r="P12" s="502">
        <v>18</v>
      </c>
      <c r="Q12" s="504">
        <v>2439.1304347826085</v>
      </c>
      <c r="R12" s="504">
        <v>135.50724637681159</v>
      </c>
      <c r="S12" s="502">
        <f t="shared" si="3"/>
        <v>1</v>
      </c>
      <c r="T12" s="674"/>
      <c r="U12" s="502">
        <v>17</v>
      </c>
      <c r="V12" s="504">
        <v>2461.0169491525412</v>
      </c>
      <c r="W12" s="504">
        <v>144.76570289132596</v>
      </c>
      <c r="X12" s="502">
        <f t="shared" si="5"/>
        <v>1</v>
      </c>
      <c r="Y12" s="674"/>
      <c r="Z12" s="502">
        <v>17</v>
      </c>
      <c r="AA12" s="504">
        <v>2377.7419354838703</v>
      </c>
      <c r="AB12" s="504">
        <v>139.86717267552177</v>
      </c>
      <c r="AC12" s="502">
        <f t="shared" si="7"/>
        <v>3</v>
      </c>
      <c r="AD12" s="674"/>
      <c r="AE12" s="502">
        <v>17</v>
      </c>
      <c r="AF12" s="504">
        <v>2397.9661016949144</v>
      </c>
      <c r="AG12" s="504">
        <v>141.05682951146557</v>
      </c>
      <c r="AH12" s="502">
        <f t="shared" si="9"/>
        <v>3</v>
      </c>
      <c r="AI12" s="674"/>
      <c r="AJ12" s="502">
        <v>17</v>
      </c>
      <c r="AK12" s="504">
        <v>2369.9999999999991</v>
      </c>
      <c r="AL12" s="504">
        <v>139.41176470588229</v>
      </c>
      <c r="AM12" s="502">
        <f t="shared" si="11"/>
        <v>3</v>
      </c>
      <c r="AN12" s="674"/>
      <c r="AO12" s="502">
        <v>17</v>
      </c>
      <c r="AP12" s="504">
        <v>2380.6153846153838</v>
      </c>
      <c r="AQ12" s="504">
        <v>140.03619909502257</v>
      </c>
      <c r="AR12" s="502">
        <f t="shared" si="13"/>
        <v>3</v>
      </c>
      <c r="AS12" s="674"/>
      <c r="AT12" s="500">
        <v>17</v>
      </c>
      <c r="AU12" s="420">
        <v>2383.7500000000009</v>
      </c>
      <c r="AV12" s="420">
        <v>140.22058823529417</v>
      </c>
      <c r="AW12" s="502">
        <f t="shared" si="15"/>
        <v>3</v>
      </c>
      <c r="AX12" s="674"/>
      <c r="AZ12" s="403" t="e">
        <f t="shared" si="17"/>
        <v>#N/A</v>
      </c>
      <c r="BA12" s="674"/>
    </row>
    <row r="13" spans="1:53" ht="14.25">
      <c r="A13" s="81"/>
      <c r="B13" s="660"/>
      <c r="C13" s="413">
        <v>7</v>
      </c>
      <c r="D13" s="225" t="s">
        <v>647</v>
      </c>
      <c r="E13" s="420">
        <v>17</v>
      </c>
      <c r="F13" s="500">
        <v>2700</v>
      </c>
      <c r="G13" s="501">
        <v>158.8235294117647</v>
      </c>
      <c r="H13" s="678"/>
      <c r="I13" s="417">
        <f t="shared" si="0"/>
        <v>17.142857142857142</v>
      </c>
      <c r="J13" s="417">
        <f t="shared" si="1"/>
        <v>2416.2524408759514</v>
      </c>
      <c r="K13" s="199">
        <f t="shared" si="2"/>
        <v>141.01659070032665</v>
      </c>
      <c r="L13" s="609"/>
      <c r="M13" s="419">
        <f>RANK(K13, K$7:$K$21)</f>
        <v>1</v>
      </c>
      <c r="N13" s="627"/>
      <c r="O13" s="627"/>
      <c r="P13" s="502">
        <v>18</v>
      </c>
      <c r="Q13" s="504">
        <v>2390.2702702702686</v>
      </c>
      <c r="R13" s="504">
        <v>132.79279279279271</v>
      </c>
      <c r="S13" s="502">
        <f t="shared" si="3"/>
        <v>4</v>
      </c>
      <c r="T13" s="674"/>
      <c r="U13" s="502">
        <v>17</v>
      </c>
      <c r="V13" s="504">
        <v>2376.2500000000009</v>
      </c>
      <c r="W13" s="504">
        <v>139.77941176470594</v>
      </c>
      <c r="X13" s="502">
        <f t="shared" si="5"/>
        <v>2</v>
      </c>
      <c r="Y13" s="674"/>
      <c r="Z13" s="502">
        <v>17</v>
      </c>
      <c r="AA13" s="504">
        <v>2424.5454545454545</v>
      </c>
      <c r="AB13" s="504">
        <v>142.62032085561498</v>
      </c>
      <c r="AC13" s="502">
        <f t="shared" si="7"/>
        <v>1</v>
      </c>
      <c r="AD13" s="674"/>
      <c r="AE13" s="502">
        <v>17</v>
      </c>
      <c r="AF13" s="504">
        <v>2441.8604651162786</v>
      </c>
      <c r="AG13" s="504">
        <v>143.63885088919287</v>
      </c>
      <c r="AH13" s="502">
        <f t="shared" si="9"/>
        <v>1</v>
      </c>
      <c r="AI13" s="674"/>
      <c r="AJ13" s="502">
        <v>17</v>
      </c>
      <c r="AK13" s="504">
        <v>2426.5116279069762</v>
      </c>
      <c r="AL13" s="504">
        <v>142.73597811217508</v>
      </c>
      <c r="AM13" s="502">
        <f t="shared" si="11"/>
        <v>1</v>
      </c>
      <c r="AN13" s="674"/>
      <c r="AO13" s="502">
        <v>17</v>
      </c>
      <c r="AP13" s="504">
        <v>2407.5000000000009</v>
      </c>
      <c r="AQ13" s="504">
        <v>141.61764705882359</v>
      </c>
      <c r="AR13" s="502">
        <f t="shared" si="13"/>
        <v>2</v>
      </c>
      <c r="AS13" s="674"/>
      <c r="AT13" s="500">
        <v>17</v>
      </c>
      <c r="AU13" s="420">
        <v>2446.8292682926822</v>
      </c>
      <c r="AV13" s="420">
        <v>143.9311334289813</v>
      </c>
      <c r="AW13" s="502">
        <f t="shared" si="15"/>
        <v>1</v>
      </c>
      <c r="AX13" s="674"/>
      <c r="AZ13" s="403" t="e">
        <f t="shared" si="17"/>
        <v>#N/A</v>
      </c>
      <c r="BA13" s="674"/>
    </row>
    <row r="14" spans="1:53" ht="14.25">
      <c r="A14" s="81"/>
      <c r="B14" s="660"/>
      <c r="C14" s="413">
        <v>8</v>
      </c>
      <c r="D14" s="225" t="s">
        <v>724</v>
      </c>
      <c r="E14" s="420">
        <v>18</v>
      </c>
      <c r="F14" s="500">
        <v>2400</v>
      </c>
      <c r="G14" s="501">
        <v>133.33333333333334</v>
      </c>
      <c r="H14" s="678"/>
      <c r="I14" s="417">
        <f t="shared" si="0"/>
        <v>18.142857142857142</v>
      </c>
      <c r="J14" s="417">
        <f t="shared" si="1"/>
        <v>2181.9757764880751</v>
      </c>
      <c r="K14" s="199">
        <f t="shared" si="2"/>
        <v>120.30959827607103</v>
      </c>
      <c r="L14" s="609"/>
      <c r="M14" s="419">
        <f>RANK(K14, K$7:$K$21)</f>
        <v>8</v>
      </c>
      <c r="N14" s="627"/>
      <c r="O14" s="627"/>
      <c r="P14" s="502">
        <v>19</v>
      </c>
      <c r="Q14" s="504">
        <v>2181.6000000000008</v>
      </c>
      <c r="R14" s="504">
        <v>114.82105263157899</v>
      </c>
      <c r="S14" s="502">
        <f t="shared" si="3"/>
        <v>9</v>
      </c>
      <c r="T14" s="674"/>
      <c r="U14" s="502">
        <v>18</v>
      </c>
      <c r="V14" s="504">
        <v>2162.2641509433975</v>
      </c>
      <c r="W14" s="504">
        <v>120.12578616352208</v>
      </c>
      <c r="X14" s="502">
        <f t="shared" si="5"/>
        <v>8</v>
      </c>
      <c r="Y14" s="674"/>
      <c r="Z14" s="502">
        <v>18</v>
      </c>
      <c r="AA14" s="504">
        <v>2163.5294117647086</v>
      </c>
      <c r="AB14" s="504">
        <v>120.1960784313727</v>
      </c>
      <c r="AC14" s="502">
        <f t="shared" si="7"/>
        <v>8</v>
      </c>
      <c r="AD14" s="674"/>
      <c r="AE14" s="502">
        <v>18</v>
      </c>
      <c r="AF14" s="504">
        <v>2201.5384615384637</v>
      </c>
      <c r="AG14" s="504">
        <v>122.30769230769243</v>
      </c>
      <c r="AH14" s="502">
        <f t="shared" si="9"/>
        <v>7</v>
      </c>
      <c r="AI14" s="674"/>
      <c r="AJ14" s="502">
        <v>18</v>
      </c>
      <c r="AK14" s="504">
        <v>2224.8387096774213</v>
      </c>
      <c r="AL14" s="504">
        <v>123.60215053763451</v>
      </c>
      <c r="AM14" s="502">
        <f t="shared" si="11"/>
        <v>7</v>
      </c>
      <c r="AN14" s="674"/>
      <c r="AO14" s="502">
        <v>18</v>
      </c>
      <c r="AP14" s="504">
        <v>2168.0597014925347</v>
      </c>
      <c r="AQ14" s="504">
        <v>120.44776119402971</v>
      </c>
      <c r="AR14" s="502">
        <f t="shared" si="13"/>
        <v>8</v>
      </c>
      <c r="AS14" s="674"/>
      <c r="AT14" s="500">
        <v>18</v>
      </c>
      <c r="AU14" s="420">
        <v>2172.0000000000014</v>
      </c>
      <c r="AV14" s="420">
        <v>120.66666666666674</v>
      </c>
      <c r="AW14" s="502">
        <f t="shared" si="15"/>
        <v>8</v>
      </c>
      <c r="AX14" s="674"/>
      <c r="AZ14" s="403" t="e">
        <f t="shared" si="17"/>
        <v>#N/A</v>
      </c>
      <c r="BA14" s="674"/>
    </row>
    <row r="15" spans="1:53" ht="14.25">
      <c r="A15" s="81"/>
      <c r="B15" s="660"/>
      <c r="C15" s="413">
        <v>9</v>
      </c>
      <c r="D15" s="225" t="s">
        <v>736</v>
      </c>
      <c r="E15" s="420">
        <v>17</v>
      </c>
      <c r="F15" s="500">
        <v>2700</v>
      </c>
      <c r="G15" s="501">
        <v>158.8235294117647</v>
      </c>
      <c r="H15" s="678"/>
      <c r="I15" s="417">
        <f t="shared" si="0"/>
        <v>17.285714285714285</v>
      </c>
      <c r="J15" s="417">
        <f t="shared" si="1"/>
        <v>2419.9875625950694</v>
      </c>
      <c r="K15" s="199">
        <f t="shared" si="2"/>
        <v>140.08661492156261</v>
      </c>
      <c r="L15" s="609"/>
      <c r="M15" s="419">
        <f>RANK(K15, K$7:$K$21)</f>
        <v>3</v>
      </c>
      <c r="N15" s="627"/>
      <c r="O15" s="627"/>
      <c r="P15" s="502">
        <v>18</v>
      </c>
      <c r="Q15" s="504">
        <v>2408.8073394495459</v>
      </c>
      <c r="R15" s="504">
        <v>133.82262996941921</v>
      </c>
      <c r="S15" s="502">
        <f t="shared" si="3"/>
        <v>3</v>
      </c>
      <c r="T15" s="674"/>
      <c r="U15" s="502">
        <v>18</v>
      </c>
      <c r="V15" s="504">
        <v>2444.0963855421678</v>
      </c>
      <c r="W15" s="504">
        <v>135.78313253012044</v>
      </c>
      <c r="X15" s="502">
        <f t="shared" si="5"/>
        <v>3</v>
      </c>
      <c r="Y15" s="674"/>
      <c r="Z15" s="502">
        <v>17</v>
      </c>
      <c r="AA15" s="504">
        <v>2404</v>
      </c>
      <c r="AB15" s="504">
        <v>141.41176470588235</v>
      </c>
      <c r="AC15" s="502">
        <f t="shared" si="7"/>
        <v>2</v>
      </c>
      <c r="AD15" s="674"/>
      <c r="AE15" s="502">
        <v>17</v>
      </c>
      <c r="AF15" s="504">
        <v>2410.5263157894756</v>
      </c>
      <c r="AG15" s="504">
        <v>141.79566563467503</v>
      </c>
      <c r="AH15" s="502">
        <f t="shared" si="9"/>
        <v>2</v>
      </c>
      <c r="AI15" s="674"/>
      <c r="AJ15" s="502">
        <v>17</v>
      </c>
      <c r="AK15" s="504">
        <v>2414.3661971830961</v>
      </c>
      <c r="AL15" s="504">
        <v>142.02154101077036</v>
      </c>
      <c r="AM15" s="502">
        <f t="shared" si="11"/>
        <v>2</v>
      </c>
      <c r="AN15" s="674"/>
      <c r="AO15" s="502">
        <v>17</v>
      </c>
      <c r="AP15" s="504">
        <v>2411.8309859154906</v>
      </c>
      <c r="AQ15" s="504">
        <v>141.87241093620534</v>
      </c>
      <c r="AR15" s="502">
        <f t="shared" si="13"/>
        <v>1</v>
      </c>
      <c r="AS15" s="674"/>
      <c r="AT15" s="500">
        <v>17</v>
      </c>
      <c r="AU15" s="420">
        <v>2446.2857142857119</v>
      </c>
      <c r="AV15" s="420">
        <v>143.89915966386542</v>
      </c>
      <c r="AW15" s="502">
        <f t="shared" si="15"/>
        <v>2</v>
      </c>
      <c r="AX15" s="674"/>
      <c r="AZ15" s="403" t="e">
        <f t="shared" si="17"/>
        <v>#N/A</v>
      </c>
      <c r="BA15" s="674"/>
    </row>
    <row r="16" spans="1:53" ht="14.25">
      <c r="A16" s="81"/>
      <c r="B16" s="660"/>
      <c r="C16" s="413">
        <v>10</v>
      </c>
      <c r="D16" s="225"/>
      <c r="E16" s="420"/>
      <c r="F16" s="500"/>
      <c r="G16" s="501"/>
      <c r="H16" s="678"/>
      <c r="I16" s="417" t="str">
        <f t="shared" si="0"/>
        <v>-</v>
      </c>
      <c r="J16" s="417" t="str">
        <f t="shared" si="1"/>
        <v>-</v>
      </c>
      <c r="K16" s="199" t="str">
        <f t="shared" si="2"/>
        <v>-</v>
      </c>
      <c r="L16" s="609"/>
      <c r="M16" s="419" t="e">
        <f>RANK(K16, K$7:$K$21)</f>
        <v>#VALUE!</v>
      </c>
      <c r="N16" s="627"/>
      <c r="O16" s="627"/>
      <c r="P16" s="502"/>
      <c r="Q16" s="504"/>
      <c r="R16" s="504"/>
      <c r="S16" s="502" t="e">
        <f t="shared" si="3"/>
        <v>#N/A</v>
      </c>
      <c r="T16" s="674"/>
      <c r="U16" s="502"/>
      <c r="V16" s="504"/>
      <c r="W16" s="504"/>
      <c r="X16" s="502" t="e">
        <f t="shared" si="5"/>
        <v>#N/A</v>
      </c>
      <c r="Y16" s="674"/>
      <c r="Z16" s="502"/>
      <c r="AA16" s="504"/>
      <c r="AB16" s="504"/>
      <c r="AC16" s="502" t="e">
        <f t="shared" si="7"/>
        <v>#N/A</v>
      </c>
      <c r="AD16" s="674"/>
      <c r="AE16" s="502"/>
      <c r="AF16" s="504"/>
      <c r="AG16" s="504"/>
      <c r="AH16" s="502" t="e">
        <f t="shared" si="9"/>
        <v>#N/A</v>
      </c>
      <c r="AI16" s="674"/>
      <c r="AJ16" s="502"/>
      <c r="AK16" s="504"/>
      <c r="AL16" s="504"/>
      <c r="AM16" s="502" t="e">
        <f t="shared" si="11"/>
        <v>#N/A</v>
      </c>
      <c r="AN16" s="674"/>
      <c r="AO16" s="502"/>
      <c r="AP16" s="504"/>
      <c r="AQ16" s="504"/>
      <c r="AR16" s="502" t="e">
        <f t="shared" si="13"/>
        <v>#N/A</v>
      </c>
      <c r="AS16" s="674"/>
      <c r="AT16" s="500"/>
      <c r="AU16" s="420"/>
      <c r="AV16" s="420"/>
      <c r="AW16" s="502" t="e">
        <f t="shared" si="15"/>
        <v>#N/A</v>
      </c>
      <c r="AX16" s="674"/>
      <c r="AZ16" s="403" t="e">
        <f t="shared" si="17"/>
        <v>#N/A</v>
      </c>
      <c r="BA16" s="674"/>
    </row>
    <row r="17" spans="2:53">
      <c r="B17" s="660"/>
      <c r="C17" s="413">
        <v>11</v>
      </c>
      <c r="D17" s="225"/>
      <c r="E17" s="420"/>
      <c r="F17" s="500"/>
      <c r="G17" s="501"/>
      <c r="H17" s="678"/>
      <c r="I17" s="417" t="str">
        <f t="shared" si="0"/>
        <v>-</v>
      </c>
      <c r="J17" s="417" t="str">
        <f t="shared" si="1"/>
        <v>-</v>
      </c>
      <c r="K17" s="199" t="str">
        <f t="shared" si="2"/>
        <v>-</v>
      </c>
      <c r="L17" s="609"/>
      <c r="M17" s="419" t="e">
        <f>RANK(K17, K$7:$K$21)</f>
        <v>#VALUE!</v>
      </c>
      <c r="N17" s="627"/>
      <c r="O17" s="627"/>
      <c r="P17" s="502"/>
      <c r="Q17" s="504"/>
      <c r="R17" s="504"/>
      <c r="S17" s="502" t="e">
        <f t="shared" si="3"/>
        <v>#N/A</v>
      </c>
      <c r="T17" s="674"/>
      <c r="U17" s="502"/>
      <c r="V17" s="504"/>
      <c r="W17" s="504"/>
      <c r="X17" s="502" t="e">
        <f t="shared" si="5"/>
        <v>#N/A</v>
      </c>
      <c r="Y17" s="674"/>
      <c r="Z17" s="502"/>
      <c r="AA17" s="504"/>
      <c r="AB17" s="504"/>
      <c r="AC17" s="502" t="e">
        <f t="shared" si="7"/>
        <v>#N/A</v>
      </c>
      <c r="AD17" s="674"/>
      <c r="AE17" s="502"/>
      <c r="AF17" s="504"/>
      <c r="AG17" s="504"/>
      <c r="AH17" s="502" t="e">
        <f t="shared" si="9"/>
        <v>#N/A</v>
      </c>
      <c r="AI17" s="674"/>
      <c r="AJ17" s="502"/>
      <c r="AK17" s="504"/>
      <c r="AL17" s="504"/>
      <c r="AM17" s="502" t="e">
        <f t="shared" si="11"/>
        <v>#N/A</v>
      </c>
      <c r="AN17" s="674"/>
      <c r="AO17" s="502"/>
      <c r="AP17" s="504"/>
      <c r="AQ17" s="504"/>
      <c r="AR17" s="502" t="e">
        <f t="shared" si="13"/>
        <v>#N/A</v>
      </c>
      <c r="AS17" s="674"/>
      <c r="AT17" s="500"/>
      <c r="AU17" s="420"/>
      <c r="AV17" s="420"/>
      <c r="AW17" s="502" t="e">
        <f t="shared" si="15"/>
        <v>#N/A</v>
      </c>
      <c r="AX17" s="674"/>
      <c r="AZ17" s="403" t="e">
        <f t="shared" si="17"/>
        <v>#N/A</v>
      </c>
      <c r="BA17" s="674"/>
    </row>
    <row r="18" spans="2:53">
      <c r="B18" s="660"/>
      <c r="C18" s="413">
        <v>12</v>
      </c>
      <c r="D18" s="225"/>
      <c r="E18" s="420"/>
      <c r="F18" s="500"/>
      <c r="G18" s="501"/>
      <c r="H18" s="678"/>
      <c r="I18" s="417" t="str">
        <f t="shared" si="0"/>
        <v>-</v>
      </c>
      <c r="J18" s="417" t="str">
        <f t="shared" si="1"/>
        <v>-</v>
      </c>
      <c r="K18" s="199" t="str">
        <f t="shared" si="2"/>
        <v>-</v>
      </c>
      <c r="L18" s="609"/>
      <c r="M18" s="419" t="e">
        <f>RANK(K18, K$7:$K$21)</f>
        <v>#VALUE!</v>
      </c>
      <c r="N18" s="627"/>
      <c r="O18" s="627"/>
      <c r="P18" s="502"/>
      <c r="Q18" s="504"/>
      <c r="R18" s="504"/>
      <c r="S18" s="502" t="e">
        <f t="shared" si="3"/>
        <v>#N/A</v>
      </c>
      <c r="T18" s="674"/>
      <c r="U18" s="502"/>
      <c r="V18" s="504"/>
      <c r="W18" s="504"/>
      <c r="X18" s="502" t="e">
        <f t="shared" si="5"/>
        <v>#N/A</v>
      </c>
      <c r="Y18" s="674"/>
      <c r="Z18" s="502"/>
      <c r="AA18" s="504"/>
      <c r="AB18" s="504"/>
      <c r="AC18" s="502" t="e">
        <f t="shared" si="7"/>
        <v>#N/A</v>
      </c>
      <c r="AD18" s="674"/>
      <c r="AE18" s="502"/>
      <c r="AF18" s="504"/>
      <c r="AG18" s="504"/>
      <c r="AH18" s="502" t="e">
        <f t="shared" si="9"/>
        <v>#N/A</v>
      </c>
      <c r="AI18" s="674"/>
      <c r="AJ18" s="502"/>
      <c r="AK18" s="504"/>
      <c r="AL18" s="504"/>
      <c r="AM18" s="502" t="e">
        <f t="shared" si="11"/>
        <v>#N/A</v>
      </c>
      <c r="AN18" s="674"/>
      <c r="AO18" s="502"/>
      <c r="AP18" s="504"/>
      <c r="AQ18" s="504"/>
      <c r="AR18" s="502" t="e">
        <f t="shared" si="13"/>
        <v>#N/A</v>
      </c>
      <c r="AS18" s="674"/>
      <c r="AT18" s="500"/>
      <c r="AU18" s="420"/>
      <c r="AV18" s="420"/>
      <c r="AW18" s="502" t="e">
        <f t="shared" si="15"/>
        <v>#N/A</v>
      </c>
      <c r="AX18" s="674"/>
      <c r="AZ18" s="403" t="e">
        <f t="shared" si="17"/>
        <v>#N/A</v>
      </c>
      <c r="BA18" s="674"/>
    </row>
    <row r="19" spans="2:53">
      <c r="B19" s="660"/>
      <c r="C19" s="413">
        <v>13</v>
      </c>
      <c r="D19" s="225"/>
      <c r="E19" s="420"/>
      <c r="F19" s="500"/>
      <c r="G19" s="501"/>
      <c r="H19" s="678"/>
      <c r="I19" s="417" t="str">
        <f t="shared" si="0"/>
        <v>-</v>
      </c>
      <c r="J19" s="417" t="str">
        <f t="shared" si="1"/>
        <v>-</v>
      </c>
      <c r="K19" s="199" t="str">
        <f t="shared" si="2"/>
        <v>-</v>
      </c>
      <c r="L19" s="609"/>
      <c r="M19" s="419" t="e">
        <f>RANK(K19, K$7:$K$21)</f>
        <v>#VALUE!</v>
      </c>
      <c r="N19" s="627"/>
      <c r="O19" s="627"/>
      <c r="P19" s="502"/>
      <c r="Q19" s="504"/>
      <c r="R19" s="504"/>
      <c r="S19" s="502" t="e">
        <f t="shared" si="3"/>
        <v>#N/A</v>
      </c>
      <c r="T19" s="674"/>
      <c r="U19" s="502"/>
      <c r="V19" s="504"/>
      <c r="W19" s="504"/>
      <c r="X19" s="502" t="e">
        <f t="shared" si="5"/>
        <v>#N/A</v>
      </c>
      <c r="Y19" s="674"/>
      <c r="Z19" s="502"/>
      <c r="AA19" s="504"/>
      <c r="AB19" s="504"/>
      <c r="AC19" s="502" t="e">
        <f t="shared" si="7"/>
        <v>#N/A</v>
      </c>
      <c r="AD19" s="674"/>
      <c r="AE19" s="502"/>
      <c r="AF19" s="504"/>
      <c r="AG19" s="504"/>
      <c r="AH19" s="502" t="e">
        <f t="shared" si="9"/>
        <v>#N/A</v>
      </c>
      <c r="AI19" s="674"/>
      <c r="AJ19" s="502"/>
      <c r="AK19" s="504"/>
      <c r="AL19" s="504"/>
      <c r="AM19" s="502" t="e">
        <f t="shared" si="11"/>
        <v>#N/A</v>
      </c>
      <c r="AN19" s="674"/>
      <c r="AO19" s="502"/>
      <c r="AP19" s="504"/>
      <c r="AQ19" s="504"/>
      <c r="AR19" s="502" t="e">
        <f t="shared" si="13"/>
        <v>#N/A</v>
      </c>
      <c r="AS19" s="674"/>
      <c r="AT19" s="500"/>
      <c r="AU19" s="420"/>
      <c r="AV19" s="420"/>
      <c r="AW19" s="502" t="e">
        <f t="shared" si="15"/>
        <v>#N/A</v>
      </c>
      <c r="AX19" s="674"/>
      <c r="AZ19" s="403" t="e">
        <f t="shared" si="17"/>
        <v>#N/A</v>
      </c>
      <c r="BA19" s="674"/>
    </row>
    <row r="20" spans="2:53">
      <c r="B20" s="660"/>
      <c r="C20" s="413">
        <v>14</v>
      </c>
      <c r="D20" s="225"/>
      <c r="E20" s="420"/>
      <c r="F20" s="500"/>
      <c r="G20" s="501"/>
      <c r="H20" s="678"/>
      <c r="I20" s="417" t="str">
        <f t="shared" si="0"/>
        <v>-</v>
      </c>
      <c r="J20" s="417" t="str">
        <f t="shared" si="1"/>
        <v>-</v>
      </c>
      <c r="K20" s="199" t="str">
        <f t="shared" si="2"/>
        <v>-</v>
      </c>
      <c r="L20" s="609"/>
      <c r="M20" s="419" t="e">
        <f>RANK(K20, K$7:$K$21)</f>
        <v>#VALUE!</v>
      </c>
      <c r="N20" s="627"/>
      <c r="O20" s="627"/>
      <c r="P20" s="502"/>
      <c r="Q20" s="504"/>
      <c r="R20" s="504"/>
      <c r="S20" s="502" t="e">
        <f t="shared" si="3"/>
        <v>#N/A</v>
      </c>
      <c r="T20" s="674"/>
      <c r="U20" s="502"/>
      <c r="V20" s="504"/>
      <c r="W20" s="504"/>
      <c r="X20" s="502" t="e">
        <f t="shared" si="5"/>
        <v>#N/A</v>
      </c>
      <c r="Y20" s="674"/>
      <c r="Z20" s="502"/>
      <c r="AA20" s="504"/>
      <c r="AB20" s="504"/>
      <c r="AC20" s="502" t="e">
        <f t="shared" si="7"/>
        <v>#N/A</v>
      </c>
      <c r="AD20" s="674"/>
      <c r="AE20" s="502"/>
      <c r="AF20" s="504"/>
      <c r="AG20" s="504"/>
      <c r="AH20" s="502" t="e">
        <f t="shared" si="9"/>
        <v>#N/A</v>
      </c>
      <c r="AI20" s="674"/>
      <c r="AJ20" s="502"/>
      <c r="AK20" s="504"/>
      <c r="AL20" s="504"/>
      <c r="AM20" s="502" t="e">
        <f t="shared" si="11"/>
        <v>#N/A</v>
      </c>
      <c r="AN20" s="674"/>
      <c r="AO20" s="502"/>
      <c r="AP20" s="504"/>
      <c r="AQ20" s="504"/>
      <c r="AR20" s="502" t="e">
        <f t="shared" si="13"/>
        <v>#N/A</v>
      </c>
      <c r="AS20" s="674"/>
      <c r="AT20" s="500"/>
      <c r="AU20" s="420"/>
      <c r="AV20" s="420"/>
      <c r="AW20" s="502" t="e">
        <f t="shared" si="15"/>
        <v>#N/A</v>
      </c>
      <c r="AX20" s="674"/>
      <c r="AZ20" s="403" t="e">
        <f t="shared" si="17"/>
        <v>#N/A</v>
      </c>
      <c r="BA20" s="674"/>
    </row>
    <row r="21" spans="2:53">
      <c r="B21" s="660"/>
      <c r="C21" s="413">
        <v>15</v>
      </c>
      <c r="D21" s="225"/>
      <c r="E21" s="420"/>
      <c r="F21" s="500"/>
      <c r="G21" s="501"/>
      <c r="H21" s="679"/>
      <c r="I21" s="415"/>
      <c r="J21" s="415"/>
      <c r="K21" s="415"/>
      <c r="L21" s="610"/>
      <c r="M21" s="419" t="e">
        <f>RANK(K21, K$7:$K$21)</f>
        <v>#N/A</v>
      </c>
      <c r="N21" s="627"/>
      <c r="O21" s="627"/>
      <c r="P21" s="502"/>
      <c r="Q21" s="504"/>
      <c r="R21" s="504"/>
      <c r="S21" s="502" t="e">
        <f t="shared" si="3"/>
        <v>#N/A</v>
      </c>
      <c r="T21" s="674"/>
      <c r="U21" s="502"/>
      <c r="V21" s="504"/>
      <c r="W21" s="504"/>
      <c r="X21" s="502" t="e">
        <f t="shared" si="5"/>
        <v>#N/A</v>
      </c>
      <c r="Y21" s="674"/>
      <c r="Z21" s="502"/>
      <c r="AA21" s="504"/>
      <c r="AB21" s="504"/>
      <c r="AC21" s="502" t="e">
        <f t="shared" si="7"/>
        <v>#N/A</v>
      </c>
      <c r="AD21" s="674"/>
      <c r="AE21" s="502"/>
      <c r="AF21" s="504"/>
      <c r="AG21" s="504"/>
      <c r="AH21" s="502" t="e">
        <f t="shared" si="9"/>
        <v>#N/A</v>
      </c>
      <c r="AI21" s="674"/>
      <c r="AJ21" s="502"/>
      <c r="AK21" s="504"/>
      <c r="AL21" s="504"/>
      <c r="AM21" s="502" t="e">
        <f t="shared" si="11"/>
        <v>#N/A</v>
      </c>
      <c r="AN21" s="674"/>
      <c r="AO21" s="502"/>
      <c r="AP21" s="504"/>
      <c r="AQ21" s="504"/>
      <c r="AR21" s="502" t="e">
        <f t="shared" si="13"/>
        <v>#N/A</v>
      </c>
      <c r="AS21" s="674"/>
      <c r="AT21" s="500"/>
      <c r="AU21" s="420"/>
      <c r="AV21" s="420"/>
      <c r="AW21" s="502" t="e">
        <f t="shared" si="15"/>
        <v>#N/A</v>
      </c>
      <c r="AX21" s="674"/>
      <c r="AZ21" s="403" t="e">
        <f t="shared" si="17"/>
        <v>#N/A</v>
      </c>
      <c r="BA21" s="674"/>
    </row>
    <row r="22" spans="2:53" ht="15.75">
      <c r="B22" s="653" t="s">
        <v>163</v>
      </c>
      <c r="C22" s="654"/>
      <c r="D22" s="654"/>
      <c r="E22" s="654"/>
      <c r="F22" s="654"/>
      <c r="G22" s="654"/>
      <c r="H22" s="654"/>
      <c r="I22" s="202"/>
      <c r="J22" s="202"/>
      <c r="K22" s="202"/>
      <c r="L22" s="202"/>
      <c r="M22" s="203"/>
      <c r="N22" s="628" t="s">
        <v>156</v>
      </c>
      <c r="O22" s="628" t="s">
        <v>105</v>
      </c>
      <c r="P22" s="634">
        <f>P2+7</f>
        <v>46147</v>
      </c>
      <c r="Q22" s="635"/>
      <c r="R22" s="635"/>
      <c r="S22" s="635"/>
      <c r="T22" s="635"/>
      <c r="U22" s="631">
        <f>P22+1</f>
        <v>46148</v>
      </c>
      <c r="V22" s="632"/>
      <c r="W22" s="632"/>
      <c r="X22" s="632"/>
      <c r="Y22" s="633"/>
      <c r="Z22" s="631">
        <f>U22+1</f>
        <v>46149</v>
      </c>
      <c r="AA22" s="632"/>
      <c r="AB22" s="632"/>
      <c r="AC22" s="632"/>
      <c r="AD22" s="633"/>
      <c r="AE22" s="631">
        <f>Z22+1</f>
        <v>46150</v>
      </c>
      <c r="AF22" s="632"/>
      <c r="AG22" s="632"/>
      <c r="AH22" s="632"/>
      <c r="AI22" s="633"/>
      <c r="AJ22" s="631">
        <f>AE22+1</f>
        <v>46151</v>
      </c>
      <c r="AK22" s="632"/>
      <c r="AL22" s="632"/>
      <c r="AM22" s="632"/>
      <c r="AN22" s="633"/>
      <c r="AO22" s="631">
        <f>AJ22+1</f>
        <v>46152</v>
      </c>
      <c r="AP22" s="632"/>
      <c r="AQ22" s="632"/>
      <c r="AR22" s="632"/>
      <c r="AS22" s="633"/>
      <c r="AT22" s="631">
        <f>AO22+1</f>
        <v>46153</v>
      </c>
      <c r="AU22" s="632"/>
      <c r="AV22" s="632"/>
      <c r="AW22" s="632"/>
      <c r="AX22" s="633"/>
    </row>
    <row r="23" spans="2:53" ht="15.75">
      <c r="B23" s="642"/>
      <c r="C23" s="642"/>
      <c r="D23" s="642"/>
      <c r="E23" s="642"/>
      <c r="F23" s="642"/>
      <c r="G23" s="642"/>
      <c r="H23" s="642"/>
      <c r="I23" s="204"/>
      <c r="J23" s="204"/>
      <c r="K23" s="204"/>
      <c r="L23" s="204"/>
      <c r="M23" s="205"/>
      <c r="N23" s="630"/>
      <c r="O23" s="630"/>
      <c r="P23" s="634" t="s">
        <v>318</v>
      </c>
      <c r="Q23" s="635"/>
      <c r="R23" s="635"/>
      <c r="S23" s="635"/>
      <c r="T23" s="635"/>
      <c r="U23" s="634" t="s">
        <v>319</v>
      </c>
      <c r="V23" s="635"/>
      <c r="W23" s="635"/>
      <c r="X23" s="635"/>
      <c r="Y23" s="635"/>
      <c r="Z23" s="634" t="s">
        <v>320</v>
      </c>
      <c r="AA23" s="635"/>
      <c r="AB23" s="635"/>
      <c r="AC23" s="635"/>
      <c r="AD23" s="635"/>
      <c r="AE23" s="634" t="s">
        <v>321</v>
      </c>
      <c r="AF23" s="635"/>
      <c r="AG23" s="635"/>
      <c r="AH23" s="635"/>
      <c r="AI23" s="635"/>
      <c r="AJ23" s="634" t="s">
        <v>322</v>
      </c>
      <c r="AK23" s="635"/>
      <c r="AL23" s="635"/>
      <c r="AM23" s="635"/>
      <c r="AN23" s="635"/>
      <c r="AO23" s="634" t="s">
        <v>323</v>
      </c>
      <c r="AP23" s="635"/>
      <c r="AQ23" s="635"/>
      <c r="AR23" s="635"/>
      <c r="AS23" s="635"/>
      <c r="AT23" s="634" t="s">
        <v>324</v>
      </c>
      <c r="AU23" s="635"/>
      <c r="AV23" s="635"/>
      <c r="AW23" s="635"/>
      <c r="AX23" s="635"/>
    </row>
    <row r="24" spans="2:53">
      <c r="B24" s="627" t="s">
        <v>154</v>
      </c>
      <c r="C24" s="627" t="s">
        <v>551</v>
      </c>
      <c r="D24" s="627"/>
      <c r="E24" s="627" t="s">
        <v>552</v>
      </c>
      <c r="F24" s="627"/>
      <c r="G24" s="627"/>
      <c r="H24" s="643" t="s">
        <v>553</v>
      </c>
      <c r="I24" s="627" t="s">
        <v>554</v>
      </c>
      <c r="J24" s="627"/>
      <c r="K24" s="627"/>
      <c r="L24" s="643" t="s">
        <v>371</v>
      </c>
      <c r="M24" s="628" t="s">
        <v>555</v>
      </c>
      <c r="N24" s="627"/>
      <c r="O24" s="627" t="s">
        <v>377</v>
      </c>
      <c r="P24" s="624" t="s">
        <v>373</v>
      </c>
      <c r="Q24" s="625"/>
      <c r="R24" s="625"/>
      <c r="S24" s="626"/>
      <c r="T24" s="627" t="s">
        <v>371</v>
      </c>
      <c r="U24" s="624" t="s">
        <v>373</v>
      </c>
      <c r="V24" s="625"/>
      <c r="W24" s="625"/>
      <c r="X24" s="626"/>
      <c r="Y24" s="627" t="s">
        <v>371</v>
      </c>
      <c r="Z24" s="624" t="s">
        <v>373</v>
      </c>
      <c r="AA24" s="625"/>
      <c r="AB24" s="625"/>
      <c r="AC24" s="626"/>
      <c r="AD24" s="627" t="s">
        <v>371</v>
      </c>
      <c r="AE24" s="624" t="s">
        <v>373</v>
      </c>
      <c r="AF24" s="625"/>
      <c r="AG24" s="625"/>
      <c r="AH24" s="626"/>
      <c r="AI24" s="627" t="s">
        <v>371</v>
      </c>
      <c r="AJ24" s="624" t="s">
        <v>373</v>
      </c>
      <c r="AK24" s="625"/>
      <c r="AL24" s="625"/>
      <c r="AM24" s="626"/>
      <c r="AN24" s="627" t="s">
        <v>371</v>
      </c>
      <c r="AO24" s="624" t="s">
        <v>373</v>
      </c>
      <c r="AP24" s="625"/>
      <c r="AQ24" s="625"/>
      <c r="AR24" s="626"/>
      <c r="AS24" s="627" t="s">
        <v>371</v>
      </c>
      <c r="AT24" s="624" t="s">
        <v>373</v>
      </c>
      <c r="AU24" s="625"/>
      <c r="AV24" s="625"/>
      <c r="AW24" s="626"/>
      <c r="AX24" s="627" t="s">
        <v>371</v>
      </c>
      <c r="BA24" s="627" t="s">
        <v>371</v>
      </c>
    </row>
    <row r="25" spans="2:53">
      <c r="B25" s="627"/>
      <c r="C25" s="627"/>
      <c r="D25" s="627"/>
      <c r="E25" s="627" t="s">
        <v>557</v>
      </c>
      <c r="F25" s="627"/>
      <c r="G25" s="627"/>
      <c r="H25" s="644"/>
      <c r="I25" s="627" t="s">
        <v>557</v>
      </c>
      <c r="J25" s="627"/>
      <c r="K25" s="627"/>
      <c r="L25" s="644"/>
      <c r="M25" s="629"/>
      <c r="N25" s="627"/>
      <c r="O25" s="627"/>
      <c r="P25" s="624" t="s">
        <v>379</v>
      </c>
      <c r="Q25" s="625"/>
      <c r="R25" s="625"/>
      <c r="S25" s="626"/>
      <c r="T25" s="627"/>
      <c r="U25" s="624" t="s">
        <v>379</v>
      </c>
      <c r="V25" s="625"/>
      <c r="W25" s="625"/>
      <c r="X25" s="626"/>
      <c r="Y25" s="627"/>
      <c r="Z25" s="624" t="s">
        <v>379</v>
      </c>
      <c r="AA25" s="625"/>
      <c r="AB25" s="625"/>
      <c r="AC25" s="626"/>
      <c r="AD25" s="627"/>
      <c r="AE25" s="624" t="s">
        <v>379</v>
      </c>
      <c r="AF25" s="625"/>
      <c r="AG25" s="625"/>
      <c r="AH25" s="626"/>
      <c r="AI25" s="627"/>
      <c r="AJ25" s="624" t="s">
        <v>379</v>
      </c>
      <c r="AK25" s="625"/>
      <c r="AL25" s="625"/>
      <c r="AM25" s="626"/>
      <c r="AN25" s="627"/>
      <c r="AO25" s="624" t="s">
        <v>379</v>
      </c>
      <c r="AP25" s="625"/>
      <c r="AQ25" s="625"/>
      <c r="AR25" s="626"/>
      <c r="AS25" s="627"/>
      <c r="AT25" s="624" t="s">
        <v>379</v>
      </c>
      <c r="AU25" s="625"/>
      <c r="AV25" s="625"/>
      <c r="AW25" s="626"/>
      <c r="AX25" s="627"/>
      <c r="BA25" s="627"/>
    </row>
    <row r="26" spans="2:53">
      <c r="B26" s="627"/>
      <c r="C26" s="627"/>
      <c r="D26" s="627"/>
      <c r="E26" s="412" t="s">
        <v>558</v>
      </c>
      <c r="F26" s="412" t="s">
        <v>559</v>
      </c>
      <c r="G26" s="412" t="s">
        <v>560</v>
      </c>
      <c r="H26" s="645"/>
      <c r="I26" s="412" t="s">
        <v>558</v>
      </c>
      <c r="J26" s="412" t="s">
        <v>559</v>
      </c>
      <c r="K26" s="412" t="s">
        <v>560</v>
      </c>
      <c r="L26" s="645"/>
      <c r="M26" s="630"/>
      <c r="N26" s="627"/>
      <c r="O26" s="627"/>
      <c r="P26" s="412" t="s">
        <v>380</v>
      </c>
      <c r="Q26" s="412" t="s">
        <v>381</v>
      </c>
      <c r="R26" s="412" t="s">
        <v>382</v>
      </c>
      <c r="S26" s="412" t="s">
        <v>372</v>
      </c>
      <c r="T26" s="627"/>
      <c r="U26" s="412" t="s">
        <v>380</v>
      </c>
      <c r="V26" s="412" t="s">
        <v>381</v>
      </c>
      <c r="W26" s="412" t="s">
        <v>382</v>
      </c>
      <c r="X26" s="412" t="s">
        <v>372</v>
      </c>
      <c r="Y26" s="627"/>
      <c r="Z26" s="412" t="s">
        <v>380</v>
      </c>
      <c r="AA26" s="412" t="s">
        <v>381</v>
      </c>
      <c r="AB26" s="412" t="s">
        <v>382</v>
      </c>
      <c r="AC26" s="412" t="s">
        <v>372</v>
      </c>
      <c r="AD26" s="627"/>
      <c r="AE26" s="412" t="s">
        <v>380</v>
      </c>
      <c r="AF26" s="412" t="s">
        <v>381</v>
      </c>
      <c r="AG26" s="412" t="s">
        <v>382</v>
      </c>
      <c r="AH26" s="412" t="s">
        <v>372</v>
      </c>
      <c r="AI26" s="627"/>
      <c r="AJ26" s="412" t="s">
        <v>380</v>
      </c>
      <c r="AK26" s="412" t="s">
        <v>381</v>
      </c>
      <c r="AL26" s="412" t="s">
        <v>382</v>
      </c>
      <c r="AM26" s="412" t="s">
        <v>372</v>
      </c>
      <c r="AN26" s="627"/>
      <c r="AO26" s="412" t="s">
        <v>380</v>
      </c>
      <c r="AP26" s="412" t="s">
        <v>381</v>
      </c>
      <c r="AQ26" s="412" t="s">
        <v>382</v>
      </c>
      <c r="AR26" s="412" t="s">
        <v>372</v>
      </c>
      <c r="AS26" s="627"/>
      <c r="AT26" s="412" t="s">
        <v>380</v>
      </c>
      <c r="AU26" s="412" t="s">
        <v>381</v>
      </c>
      <c r="AV26" s="412" t="s">
        <v>382</v>
      </c>
      <c r="AW26" s="412" t="s">
        <v>372</v>
      </c>
      <c r="AX26" s="627"/>
      <c r="AZ26" s="401" t="s">
        <v>372</v>
      </c>
      <c r="BA26" s="627"/>
    </row>
    <row r="27" spans="2:53">
      <c r="B27" s="627" t="s">
        <v>452</v>
      </c>
      <c r="C27" s="415">
        <v>1</v>
      </c>
      <c r="D27" s="225" t="s">
        <v>354</v>
      </c>
      <c r="E27" s="420">
        <v>20</v>
      </c>
      <c r="F27" s="413">
        <v>2400</v>
      </c>
      <c r="G27" s="414">
        <v>120</v>
      </c>
      <c r="H27" s="671">
        <f>AVERAGE(G27:G41)</f>
        <v>142.42621259029926</v>
      </c>
      <c r="I27" s="417">
        <f t="shared" ref="I27:I40" si="19">IFERROR(AVERAGE(P27,U27,Z27,AE27,AJ27,AO27,AT27),"-")</f>
        <v>20</v>
      </c>
      <c r="J27" s="417">
        <f t="shared" ref="J27:J40" si="20">IFERROR(AVERAGE(Q27,V27,AA27,AF27,AK27,AP27,AU27),"-")</f>
        <v>2348.7786677014124</v>
      </c>
      <c r="K27" s="199">
        <f t="shared" ref="K27:K40" si="21">IFERROR(AVERAGE(R27,W27,AB27,AG27,AL27,AQ27,AV27),"-")</f>
        <v>117.43893338507063</v>
      </c>
      <c r="L27" s="608">
        <f>IFERROR(AVERAGE(K27:K41),"-")</f>
        <v>129.42800050234527</v>
      </c>
      <c r="M27" s="421">
        <f>RANK(K27, K$24:$K$41)</f>
        <v>9</v>
      </c>
      <c r="N27" s="627"/>
      <c r="O27" s="627"/>
      <c r="P27" s="550">
        <v>20</v>
      </c>
      <c r="Q27" s="420">
        <v>2399.1366906474818</v>
      </c>
      <c r="R27" s="420">
        <v>119.95683453237409</v>
      </c>
      <c r="S27" s="550">
        <f t="shared" ref="S27:S41" si="22">RANK(R27, R$27:R$41)</f>
        <v>9</v>
      </c>
      <c r="T27" s="636">
        <f t="shared" ref="T27" si="23">AVERAGE(R27:R41)</f>
        <v>132.98318471673795</v>
      </c>
      <c r="U27" s="550">
        <v>20</v>
      </c>
      <c r="V27" s="420">
        <v>2392.7222222222226</v>
      </c>
      <c r="W27" s="420">
        <v>119.63611111111113</v>
      </c>
      <c r="X27" s="550">
        <f t="shared" ref="X27:X41" si="24">RANK(W27, W$27:W$41)</f>
        <v>9</v>
      </c>
      <c r="Y27" s="636">
        <f t="shared" ref="Y27" si="25">AVERAGE(W27:W41)</f>
        <v>132.14631433006139</v>
      </c>
      <c r="Z27" s="550">
        <v>20</v>
      </c>
      <c r="AA27" s="420">
        <v>2341.6748466257673</v>
      </c>
      <c r="AB27" s="420">
        <v>117.08374233128836</v>
      </c>
      <c r="AC27" s="550">
        <f t="shared" ref="AC27:AC41" si="26">RANK(AB27, AB$27:AB$41)</f>
        <v>10</v>
      </c>
      <c r="AD27" s="636">
        <f t="shared" ref="AD27" si="27">AVERAGE(AB27:AB41)</f>
        <v>127.8615215874614</v>
      </c>
      <c r="AE27" s="550">
        <v>20</v>
      </c>
      <c r="AF27" s="420">
        <v>2312.3310810810822</v>
      </c>
      <c r="AG27" s="420">
        <v>115.61655405405411</v>
      </c>
      <c r="AH27" s="550">
        <f t="shared" ref="AH27:AH41" si="28">RANK(AG27, AG$27:AG$41)</f>
        <v>9</v>
      </c>
      <c r="AI27" s="636">
        <f t="shared" ref="AI27" si="29">AVERAGE(AG27:AG41)</f>
        <v>128.32179929846319</v>
      </c>
      <c r="AJ27" s="550">
        <v>20</v>
      </c>
      <c r="AK27" s="420">
        <v>2354.0833333333339</v>
      </c>
      <c r="AL27" s="420">
        <v>117.70416666666669</v>
      </c>
      <c r="AM27" s="550">
        <f t="shared" ref="AM27:AM41" si="30">RANK(AL27, AL$27:AL$41)</f>
        <v>9</v>
      </c>
      <c r="AN27" s="636">
        <f t="shared" ref="AN27" si="31">AVERAGE(AL27:AL41)</f>
        <v>129.14970123892655</v>
      </c>
      <c r="AO27" s="550">
        <v>20</v>
      </c>
      <c r="AP27" s="420">
        <v>2343.8399999999997</v>
      </c>
      <c r="AQ27" s="420">
        <v>117.19199999999998</v>
      </c>
      <c r="AR27" s="550">
        <f t="shared" ref="AR27:AR41" si="32">RANK(AQ27, AQ$27:AQ$41)</f>
        <v>9</v>
      </c>
      <c r="AS27" s="636">
        <f t="shared" ref="AS27" si="33">AVERAGE(AQ27:AQ41)</f>
        <v>127.7637299151319</v>
      </c>
      <c r="AT27" s="550">
        <v>20</v>
      </c>
      <c r="AU27" s="420">
        <v>2297.6624999999999</v>
      </c>
      <c r="AV27" s="420">
        <v>114.88312499999999</v>
      </c>
      <c r="AW27" s="550">
        <f t="shared" ref="AW27:AW41" si="34">RANK(AV27, AV$27:AV$41)</f>
        <v>9</v>
      </c>
      <c r="AX27" s="636">
        <f t="shared" ref="AX27" si="35">AVERAGE(AV27:AV41)</f>
        <v>127.76975242963439</v>
      </c>
      <c r="AZ27" s="402" t="e">
        <f t="shared" ref="AZ27:AZ41" si="36">RANK(AY27, AY$27:AY$41)</f>
        <v>#N/A</v>
      </c>
      <c r="BA27" s="636" t="e">
        <f t="shared" ref="BA27" si="37">AVERAGE(AY27:AY41)</f>
        <v>#DIV/0!</v>
      </c>
    </row>
    <row r="28" spans="2:53">
      <c r="B28" s="635"/>
      <c r="C28" s="415">
        <v>2</v>
      </c>
      <c r="D28" s="225" t="s">
        <v>355</v>
      </c>
      <c r="E28" s="420">
        <v>18</v>
      </c>
      <c r="F28" s="413">
        <v>2700</v>
      </c>
      <c r="G28" s="414">
        <v>150</v>
      </c>
      <c r="H28" s="672"/>
      <c r="I28" s="417">
        <f t="shared" si="19"/>
        <v>19</v>
      </c>
      <c r="J28" s="417">
        <f t="shared" si="20"/>
        <v>2621.0536369859715</v>
      </c>
      <c r="K28" s="199">
        <f t="shared" si="21"/>
        <v>137.95019142031427</v>
      </c>
      <c r="L28" s="609"/>
      <c r="M28" s="424">
        <f>RANK(K28, K$24:$K$41)</f>
        <v>4</v>
      </c>
      <c r="N28" s="627"/>
      <c r="O28" s="627"/>
      <c r="P28" s="550">
        <v>19</v>
      </c>
      <c r="Q28" s="420">
        <v>2664.7499999999991</v>
      </c>
      <c r="R28" s="420">
        <v>140.24999999999994</v>
      </c>
      <c r="S28" s="550">
        <f t="shared" si="22"/>
        <v>4</v>
      </c>
      <c r="T28" s="637"/>
      <c r="U28" s="550">
        <v>19</v>
      </c>
      <c r="V28" s="420">
        <v>2679.6923076923067</v>
      </c>
      <c r="W28" s="420">
        <v>141.03643724696352</v>
      </c>
      <c r="X28" s="550">
        <f t="shared" si="24"/>
        <v>4</v>
      </c>
      <c r="Y28" s="637"/>
      <c r="Z28" s="550">
        <v>19</v>
      </c>
      <c r="AA28" s="420">
        <v>2613.4883720930256</v>
      </c>
      <c r="AB28" s="420">
        <v>137.55201958384345</v>
      </c>
      <c r="AC28" s="550">
        <f t="shared" si="26"/>
        <v>3</v>
      </c>
      <c r="AD28" s="637"/>
      <c r="AE28" s="550">
        <v>19</v>
      </c>
      <c r="AF28" s="420">
        <v>2610.3614457831318</v>
      </c>
      <c r="AG28" s="420">
        <v>137.38744451490166</v>
      </c>
      <c r="AH28" s="550">
        <f t="shared" si="28"/>
        <v>4</v>
      </c>
      <c r="AI28" s="637"/>
      <c r="AJ28" s="550">
        <v>19</v>
      </c>
      <c r="AK28" s="420">
        <v>2588.2500000000014</v>
      </c>
      <c r="AL28" s="420">
        <v>136.22368421052639</v>
      </c>
      <c r="AM28" s="550">
        <f t="shared" si="30"/>
        <v>4</v>
      </c>
      <c r="AN28" s="637"/>
      <c r="AO28" s="550">
        <v>19</v>
      </c>
      <c r="AP28" s="420">
        <v>2579.9999999999986</v>
      </c>
      <c r="AQ28" s="420">
        <v>135.78947368421046</v>
      </c>
      <c r="AR28" s="550">
        <f t="shared" si="32"/>
        <v>4</v>
      </c>
      <c r="AS28" s="637"/>
      <c r="AT28" s="550">
        <v>19</v>
      </c>
      <c r="AU28" s="420">
        <v>2610.8333333333339</v>
      </c>
      <c r="AV28" s="420">
        <v>137.41228070175441</v>
      </c>
      <c r="AW28" s="550">
        <f t="shared" si="34"/>
        <v>4</v>
      </c>
      <c r="AX28" s="637"/>
      <c r="AZ28" s="402" t="e">
        <f t="shared" si="36"/>
        <v>#N/A</v>
      </c>
      <c r="BA28" s="637"/>
    </row>
    <row r="29" spans="2:53">
      <c r="B29" s="635"/>
      <c r="C29" s="415">
        <v>3</v>
      </c>
      <c r="D29" s="225" t="s">
        <v>356</v>
      </c>
      <c r="E29" s="420">
        <v>18</v>
      </c>
      <c r="F29" s="413">
        <v>2700</v>
      </c>
      <c r="G29" s="414">
        <v>150</v>
      </c>
      <c r="H29" s="672"/>
      <c r="I29" s="417">
        <f t="shared" si="19"/>
        <v>18.857142857142858</v>
      </c>
      <c r="J29" s="417">
        <f t="shared" si="20"/>
        <v>2441.516798202495</v>
      </c>
      <c r="K29" s="199">
        <f t="shared" si="21"/>
        <v>129.49433997779772</v>
      </c>
      <c r="L29" s="609"/>
      <c r="M29" s="424">
        <f>RANK(K29, K$24:$K$41)</f>
        <v>5</v>
      </c>
      <c r="N29" s="627"/>
      <c r="O29" s="627"/>
      <c r="P29" s="550">
        <v>19</v>
      </c>
      <c r="Q29" s="420">
        <v>2626.6666666666656</v>
      </c>
      <c r="R29" s="420">
        <v>138.24561403508767</v>
      </c>
      <c r="S29" s="550">
        <f t="shared" si="22"/>
        <v>5</v>
      </c>
      <c r="T29" s="637"/>
      <c r="U29" s="550">
        <v>19</v>
      </c>
      <c r="V29" s="420">
        <v>2487.3684210526303</v>
      </c>
      <c r="W29" s="420">
        <v>130.91412742382263</v>
      </c>
      <c r="X29" s="550">
        <f t="shared" si="24"/>
        <v>5</v>
      </c>
      <c r="Y29" s="637"/>
      <c r="Z29" s="550">
        <v>19</v>
      </c>
      <c r="AA29" s="420">
        <v>2377.9816513761484</v>
      </c>
      <c r="AB29" s="420">
        <v>125.15692901979729</v>
      </c>
      <c r="AC29" s="550">
        <f t="shared" si="26"/>
        <v>5</v>
      </c>
      <c r="AD29" s="637"/>
      <c r="AE29" s="550">
        <v>19</v>
      </c>
      <c r="AF29" s="420">
        <v>2426.8965517241363</v>
      </c>
      <c r="AG29" s="420">
        <v>127.73139745916507</v>
      </c>
      <c r="AH29" s="550">
        <f t="shared" si="28"/>
        <v>5</v>
      </c>
      <c r="AI29" s="637"/>
      <c r="AJ29" s="550">
        <v>18</v>
      </c>
      <c r="AK29" s="420">
        <v>2378.3333333333344</v>
      </c>
      <c r="AL29" s="420">
        <v>132.12962962962968</v>
      </c>
      <c r="AM29" s="550">
        <f t="shared" si="30"/>
        <v>5</v>
      </c>
      <c r="AN29" s="637"/>
      <c r="AO29" s="550">
        <v>19</v>
      </c>
      <c r="AP29" s="420">
        <v>2391.5887850467302</v>
      </c>
      <c r="AQ29" s="420">
        <v>125.8730939498279</v>
      </c>
      <c r="AR29" s="550">
        <f t="shared" si="32"/>
        <v>5</v>
      </c>
      <c r="AS29" s="637"/>
      <c r="AT29" s="550">
        <v>19</v>
      </c>
      <c r="AU29" s="420">
        <v>2401.7821782178225</v>
      </c>
      <c r="AV29" s="420">
        <v>126.40958832725381</v>
      </c>
      <c r="AW29" s="550">
        <f t="shared" si="34"/>
        <v>6</v>
      </c>
      <c r="AX29" s="637"/>
      <c r="AZ29" s="402" t="e">
        <f t="shared" si="36"/>
        <v>#N/A</v>
      </c>
      <c r="BA29" s="637"/>
    </row>
    <row r="30" spans="2:53">
      <c r="B30" s="635"/>
      <c r="C30" s="415">
        <v>4</v>
      </c>
      <c r="D30" s="225" t="s">
        <v>357</v>
      </c>
      <c r="E30" s="420">
        <v>19</v>
      </c>
      <c r="F30" s="413">
        <v>2700</v>
      </c>
      <c r="G30" s="414">
        <v>142.10526315789474</v>
      </c>
      <c r="H30" s="672"/>
      <c r="I30" s="417">
        <f t="shared" si="19"/>
        <v>19.142857142857142</v>
      </c>
      <c r="J30" s="417">
        <f t="shared" si="20"/>
        <v>2425.2870825029399</v>
      </c>
      <c r="K30" s="199">
        <f t="shared" si="21"/>
        <v>126.65613775719272</v>
      </c>
      <c r="L30" s="609"/>
      <c r="M30" s="424">
        <f>RANK(K30, K$24:$K$41)</f>
        <v>6</v>
      </c>
      <c r="N30" s="627"/>
      <c r="O30" s="627"/>
      <c r="P30" s="550">
        <v>20</v>
      </c>
      <c r="Q30" s="420">
        <v>2634.8651162790698</v>
      </c>
      <c r="R30" s="420">
        <v>131.74325581395348</v>
      </c>
      <c r="S30" s="550">
        <f t="shared" si="22"/>
        <v>6</v>
      </c>
      <c r="T30" s="637"/>
      <c r="U30" s="550">
        <v>19</v>
      </c>
      <c r="V30" s="420">
        <v>2431.9672131147536</v>
      </c>
      <c r="W30" s="420">
        <v>127.99827437446072</v>
      </c>
      <c r="X30" s="550">
        <f t="shared" si="24"/>
        <v>6</v>
      </c>
      <c r="Y30" s="637"/>
      <c r="Z30" s="550">
        <v>19</v>
      </c>
      <c r="AA30" s="420">
        <v>2346.8571428571422</v>
      </c>
      <c r="AB30" s="420">
        <v>123.51879699248117</v>
      </c>
      <c r="AC30" s="550">
        <f t="shared" si="26"/>
        <v>6</v>
      </c>
      <c r="AD30" s="637"/>
      <c r="AE30" s="550">
        <v>19</v>
      </c>
      <c r="AF30" s="420">
        <v>2377.1098265895962</v>
      </c>
      <c r="AG30" s="420">
        <v>125.1110435047156</v>
      </c>
      <c r="AH30" s="550">
        <f t="shared" si="28"/>
        <v>6</v>
      </c>
      <c r="AI30" s="637"/>
      <c r="AJ30" s="550">
        <v>19</v>
      </c>
      <c r="AK30" s="420">
        <v>2384.4303797468369</v>
      </c>
      <c r="AL30" s="420">
        <v>125.49633577614931</v>
      </c>
      <c r="AM30" s="550">
        <f t="shared" si="30"/>
        <v>6</v>
      </c>
      <c r="AN30" s="637"/>
      <c r="AO30" s="550">
        <v>19</v>
      </c>
      <c r="AP30" s="420">
        <v>2377.692307692309</v>
      </c>
      <c r="AQ30" s="420">
        <v>125.14170040485837</v>
      </c>
      <c r="AR30" s="550">
        <f t="shared" si="32"/>
        <v>6</v>
      </c>
      <c r="AS30" s="637"/>
      <c r="AT30" s="550">
        <v>19</v>
      </c>
      <c r="AU30" s="420">
        <v>2424.087591240876</v>
      </c>
      <c r="AV30" s="420">
        <v>127.58355743373032</v>
      </c>
      <c r="AW30" s="550">
        <f t="shared" si="34"/>
        <v>5</v>
      </c>
      <c r="AX30" s="637"/>
      <c r="AZ30" s="402" t="e">
        <f t="shared" si="36"/>
        <v>#N/A</v>
      </c>
      <c r="BA30" s="637"/>
    </row>
    <row r="31" spans="2:53">
      <c r="B31" s="635"/>
      <c r="C31" s="415">
        <v>5</v>
      </c>
      <c r="D31" s="225" t="s">
        <v>526</v>
      </c>
      <c r="E31" s="420">
        <v>17</v>
      </c>
      <c r="F31" s="413">
        <v>2250</v>
      </c>
      <c r="G31" s="414">
        <v>132.35294117647058</v>
      </c>
      <c r="H31" s="672"/>
      <c r="I31" s="417">
        <f t="shared" si="19"/>
        <v>18</v>
      </c>
      <c r="J31" s="417">
        <f t="shared" si="20"/>
        <v>2169.101015265278</v>
      </c>
      <c r="K31" s="199">
        <f t="shared" si="21"/>
        <v>120.50561195918213</v>
      </c>
      <c r="L31" s="609"/>
      <c r="M31" s="424">
        <f>RANK(K31, K$24:$K$41)</f>
        <v>8</v>
      </c>
      <c r="N31" s="627"/>
      <c r="O31" s="627"/>
      <c r="P31" s="550">
        <v>18</v>
      </c>
      <c r="Q31" s="420">
        <v>2199.0875912408765</v>
      </c>
      <c r="R31" s="420">
        <v>122.17153284671537</v>
      </c>
      <c r="S31" s="550">
        <f t="shared" si="22"/>
        <v>8</v>
      </c>
      <c r="T31" s="637"/>
      <c r="U31" s="550">
        <v>18</v>
      </c>
      <c r="V31" s="420">
        <v>2264.9745762711859</v>
      </c>
      <c r="W31" s="420">
        <v>125.83192090395477</v>
      </c>
      <c r="X31" s="550">
        <f t="shared" si="24"/>
        <v>7</v>
      </c>
      <c r="Y31" s="637"/>
      <c r="Z31" s="550">
        <v>18</v>
      </c>
      <c r="AA31" s="420">
        <v>2146.8139534883726</v>
      </c>
      <c r="AB31" s="420">
        <v>119.26744186046514</v>
      </c>
      <c r="AC31" s="550">
        <f t="shared" si="26"/>
        <v>8</v>
      </c>
      <c r="AD31" s="637"/>
      <c r="AE31" s="550">
        <v>18</v>
      </c>
      <c r="AF31" s="420">
        <v>2115.6720000000005</v>
      </c>
      <c r="AG31" s="420">
        <v>117.53733333333336</v>
      </c>
      <c r="AH31" s="550">
        <f t="shared" si="28"/>
        <v>8</v>
      </c>
      <c r="AI31" s="637"/>
      <c r="AJ31" s="550">
        <v>18</v>
      </c>
      <c r="AK31" s="420">
        <v>2154.3185840707965</v>
      </c>
      <c r="AL31" s="420">
        <v>119.68436578171092</v>
      </c>
      <c r="AM31" s="550">
        <f t="shared" si="30"/>
        <v>8</v>
      </c>
      <c r="AN31" s="637"/>
      <c r="AO31" s="550">
        <v>18</v>
      </c>
      <c r="AP31" s="420">
        <v>2157.4921875000009</v>
      </c>
      <c r="AQ31" s="420">
        <v>119.86067708333339</v>
      </c>
      <c r="AR31" s="550">
        <f t="shared" si="32"/>
        <v>7</v>
      </c>
      <c r="AS31" s="637"/>
      <c r="AT31" s="550">
        <v>18</v>
      </c>
      <c r="AU31" s="420">
        <v>2145.3482142857142</v>
      </c>
      <c r="AV31" s="420">
        <v>119.1860119047619</v>
      </c>
      <c r="AW31" s="550">
        <f t="shared" si="34"/>
        <v>7</v>
      </c>
      <c r="AX31" s="637"/>
      <c r="AZ31" s="402" t="e">
        <f t="shared" si="36"/>
        <v>#N/A</v>
      </c>
      <c r="BA31" s="637"/>
    </row>
    <row r="32" spans="2:53">
      <c r="B32" s="635"/>
      <c r="C32" s="415">
        <v>6</v>
      </c>
      <c r="D32" s="225" t="s">
        <v>633</v>
      </c>
      <c r="E32" s="420">
        <v>17</v>
      </c>
      <c r="F32" s="413">
        <v>2700</v>
      </c>
      <c r="G32" s="414">
        <v>158.8235294117647</v>
      </c>
      <c r="H32" s="672"/>
      <c r="I32" s="417">
        <f t="shared" si="19"/>
        <v>17.142857142857142</v>
      </c>
      <c r="J32" s="417">
        <f t="shared" si="20"/>
        <v>2417.3197412566296</v>
      </c>
      <c r="K32" s="199">
        <f t="shared" si="21"/>
        <v>141.06243231619337</v>
      </c>
      <c r="L32" s="609"/>
      <c r="M32" s="424">
        <f>RANK(K32, K$24:$K$41)</f>
        <v>3</v>
      </c>
      <c r="N32" s="627"/>
      <c r="O32" s="627"/>
      <c r="P32" s="550">
        <v>17</v>
      </c>
      <c r="Q32" s="420">
        <v>2426.1818181818162</v>
      </c>
      <c r="R32" s="420">
        <v>142.71657754010684</v>
      </c>
      <c r="S32" s="550">
        <f t="shared" si="22"/>
        <v>3</v>
      </c>
      <c r="T32" s="637"/>
      <c r="U32" s="550">
        <v>17</v>
      </c>
      <c r="V32" s="420">
        <v>2473.4482758620675</v>
      </c>
      <c r="W32" s="420">
        <v>145.49695740365104</v>
      </c>
      <c r="X32" s="550">
        <f t="shared" si="24"/>
        <v>1</v>
      </c>
      <c r="Y32" s="637"/>
      <c r="Z32" s="550">
        <v>18</v>
      </c>
      <c r="AA32" s="420">
        <v>2426.5573770491796</v>
      </c>
      <c r="AB32" s="420">
        <v>134.80874316939887</v>
      </c>
      <c r="AC32" s="550">
        <f t="shared" si="26"/>
        <v>4</v>
      </c>
      <c r="AD32" s="637"/>
      <c r="AE32" s="550">
        <v>17</v>
      </c>
      <c r="AF32" s="420">
        <v>2394.5454545454527</v>
      </c>
      <c r="AG32" s="420">
        <v>140.85561497326194</v>
      </c>
      <c r="AH32" s="550">
        <f t="shared" si="28"/>
        <v>2</v>
      </c>
      <c r="AI32" s="637"/>
      <c r="AJ32" s="550">
        <v>17</v>
      </c>
      <c r="AK32" s="420">
        <v>2426.4000000000005</v>
      </c>
      <c r="AL32" s="420">
        <v>142.7294117647059</v>
      </c>
      <c r="AM32" s="550">
        <f t="shared" si="30"/>
        <v>1</v>
      </c>
      <c r="AN32" s="637"/>
      <c r="AO32" s="550">
        <v>17</v>
      </c>
      <c r="AP32" s="420">
        <v>2402.1052631578932</v>
      </c>
      <c r="AQ32" s="420">
        <v>141.30030959752312</v>
      </c>
      <c r="AR32" s="550">
        <f t="shared" si="32"/>
        <v>1</v>
      </c>
      <c r="AS32" s="637"/>
      <c r="AT32" s="550">
        <v>17</v>
      </c>
      <c r="AU32" s="420">
        <v>2372</v>
      </c>
      <c r="AV32" s="420">
        <v>139.52941176470588</v>
      </c>
      <c r="AW32" s="550">
        <f t="shared" si="34"/>
        <v>3</v>
      </c>
      <c r="AX32" s="637"/>
      <c r="AZ32" s="402" t="e">
        <f t="shared" si="36"/>
        <v>#N/A</v>
      </c>
      <c r="BA32" s="637"/>
    </row>
    <row r="33" spans="2:53">
      <c r="B33" s="635"/>
      <c r="C33" s="415">
        <v>7</v>
      </c>
      <c r="D33" s="225" t="s">
        <v>647</v>
      </c>
      <c r="E33" s="420">
        <v>17</v>
      </c>
      <c r="F33" s="413">
        <v>2700</v>
      </c>
      <c r="G33" s="414">
        <v>158.8235294117647</v>
      </c>
      <c r="H33" s="672"/>
      <c r="I33" s="417">
        <f t="shared" si="19"/>
        <v>17</v>
      </c>
      <c r="J33" s="417">
        <f t="shared" si="20"/>
        <v>2416.3151524950295</v>
      </c>
      <c r="K33" s="199">
        <f t="shared" si="21"/>
        <v>142.13618544088408</v>
      </c>
      <c r="L33" s="609"/>
      <c r="M33" s="424">
        <f>RANK(K33, K$24:$K$41)</f>
        <v>1</v>
      </c>
      <c r="N33" s="627"/>
      <c r="O33" s="627"/>
      <c r="P33" s="550">
        <v>17</v>
      </c>
      <c r="Q33" s="420">
        <v>2457.3333333333335</v>
      </c>
      <c r="R33" s="420">
        <v>144.54901960784315</v>
      </c>
      <c r="S33" s="550">
        <f t="shared" si="22"/>
        <v>2</v>
      </c>
      <c r="T33" s="637"/>
      <c r="U33" s="550">
        <v>17</v>
      </c>
      <c r="V33" s="420">
        <v>2457.2093023255811</v>
      </c>
      <c r="W33" s="420">
        <v>144.54172366621066</v>
      </c>
      <c r="X33" s="550">
        <f t="shared" si="24"/>
        <v>2</v>
      </c>
      <c r="Y33" s="637"/>
      <c r="Z33" s="550">
        <v>17</v>
      </c>
      <c r="AA33" s="420">
        <v>2411.0204081632664</v>
      </c>
      <c r="AB33" s="420">
        <v>141.82472989195685</v>
      </c>
      <c r="AC33" s="550">
        <f t="shared" si="26"/>
        <v>1</v>
      </c>
      <c r="AD33" s="637"/>
      <c r="AE33" s="550">
        <v>17</v>
      </c>
      <c r="AF33" s="420">
        <v>2386.1538461538448</v>
      </c>
      <c r="AG33" s="420">
        <v>140.36199095022616</v>
      </c>
      <c r="AH33" s="550">
        <f t="shared" si="28"/>
        <v>3</v>
      </c>
      <c r="AI33" s="637"/>
      <c r="AJ33" s="550">
        <v>17</v>
      </c>
      <c r="AK33" s="420">
        <v>2398.3333333333317</v>
      </c>
      <c r="AL33" s="420">
        <v>141.07843137254892</v>
      </c>
      <c r="AM33" s="550">
        <f t="shared" si="30"/>
        <v>2</v>
      </c>
      <c r="AN33" s="637"/>
      <c r="AO33" s="550">
        <v>17</v>
      </c>
      <c r="AP33" s="420">
        <v>2391.428571428572</v>
      </c>
      <c r="AQ33" s="420">
        <v>140.67226890756305</v>
      </c>
      <c r="AR33" s="550">
        <f t="shared" si="32"/>
        <v>2</v>
      </c>
      <c r="AS33" s="637"/>
      <c r="AT33" s="550">
        <v>17</v>
      </c>
      <c r="AU33" s="420">
        <v>2412.7272727272752</v>
      </c>
      <c r="AV33" s="420">
        <v>141.92513368983973</v>
      </c>
      <c r="AW33" s="550">
        <f t="shared" si="34"/>
        <v>1</v>
      </c>
      <c r="AX33" s="637"/>
      <c r="AZ33" s="402" t="e">
        <f t="shared" si="36"/>
        <v>#N/A</v>
      </c>
      <c r="BA33" s="637"/>
    </row>
    <row r="34" spans="2:53">
      <c r="B34" s="635"/>
      <c r="C34" s="415">
        <v>8</v>
      </c>
      <c r="D34" s="225" t="s">
        <v>724</v>
      </c>
      <c r="E34" s="420">
        <v>18</v>
      </c>
      <c r="F34" s="413">
        <v>2400</v>
      </c>
      <c r="G34" s="414">
        <v>133.33333333333334</v>
      </c>
      <c r="H34" s="672"/>
      <c r="I34" s="417">
        <f t="shared" si="19"/>
        <v>18</v>
      </c>
      <c r="J34" s="417">
        <f t="shared" si="20"/>
        <v>2170.3106926207715</v>
      </c>
      <c r="K34" s="199">
        <f t="shared" si="21"/>
        <v>120.57281625670953</v>
      </c>
      <c r="L34" s="609"/>
      <c r="M34" s="424">
        <f>RANK(K34, K$24:$K$41)</f>
        <v>7</v>
      </c>
      <c r="N34" s="627"/>
      <c r="O34" s="627"/>
      <c r="P34" s="550">
        <v>18</v>
      </c>
      <c r="Q34" s="420">
        <v>2233.170731707316</v>
      </c>
      <c r="R34" s="420">
        <v>124.06504065040644</v>
      </c>
      <c r="S34" s="550">
        <f t="shared" si="22"/>
        <v>7</v>
      </c>
      <c r="T34" s="637"/>
      <c r="U34" s="550">
        <v>18</v>
      </c>
      <c r="V34" s="420">
        <v>2209.0909090909104</v>
      </c>
      <c r="W34" s="420">
        <v>122.7272727272728</v>
      </c>
      <c r="X34" s="550">
        <f t="shared" si="24"/>
        <v>8</v>
      </c>
      <c r="Y34" s="637"/>
      <c r="Z34" s="550">
        <v>18</v>
      </c>
      <c r="AA34" s="420">
        <v>2162.0000000000018</v>
      </c>
      <c r="AB34" s="420">
        <v>120.11111111111121</v>
      </c>
      <c r="AC34" s="550">
        <f t="shared" si="26"/>
        <v>7</v>
      </c>
      <c r="AD34" s="637"/>
      <c r="AE34" s="550">
        <v>18</v>
      </c>
      <c r="AF34" s="420">
        <v>2184.0000000000018</v>
      </c>
      <c r="AG34" s="420">
        <v>121.33333333333343</v>
      </c>
      <c r="AH34" s="550">
        <f t="shared" si="28"/>
        <v>7</v>
      </c>
      <c r="AI34" s="637"/>
      <c r="AJ34" s="550">
        <v>18</v>
      </c>
      <c r="AK34" s="420">
        <v>2178.113207547171</v>
      </c>
      <c r="AL34" s="420">
        <v>121.00628930817616</v>
      </c>
      <c r="AM34" s="550">
        <f t="shared" si="30"/>
        <v>7</v>
      </c>
      <c r="AN34" s="637"/>
      <c r="AO34" s="550">
        <v>18</v>
      </c>
      <c r="AP34" s="420">
        <v>2110.8000000000002</v>
      </c>
      <c r="AQ34" s="420">
        <v>117.26666666666668</v>
      </c>
      <c r="AR34" s="550">
        <f t="shared" si="32"/>
        <v>8</v>
      </c>
      <c r="AS34" s="637"/>
      <c r="AT34" s="550">
        <v>18</v>
      </c>
      <c r="AU34" s="420">
        <v>2115</v>
      </c>
      <c r="AV34" s="420">
        <v>117.5</v>
      </c>
      <c r="AW34" s="550">
        <f t="shared" si="34"/>
        <v>8</v>
      </c>
      <c r="AX34" s="637"/>
      <c r="AZ34" s="402" t="e">
        <f t="shared" si="36"/>
        <v>#N/A</v>
      </c>
      <c r="BA34" s="637"/>
    </row>
    <row r="35" spans="2:53">
      <c r="B35" s="635"/>
      <c r="C35" s="415">
        <v>9</v>
      </c>
      <c r="D35" s="225" t="s">
        <v>736</v>
      </c>
      <c r="E35" s="420">
        <v>17</v>
      </c>
      <c r="F35" s="413">
        <v>2700</v>
      </c>
      <c r="G35" s="414">
        <v>158.8235294117647</v>
      </c>
      <c r="H35" s="672"/>
      <c r="I35" s="417">
        <f t="shared" si="19"/>
        <v>17</v>
      </c>
      <c r="J35" s="417">
        <f t="shared" si="20"/>
        <v>2416.1835466580974</v>
      </c>
      <c r="K35" s="199">
        <f t="shared" si="21"/>
        <v>142.12844392106456</v>
      </c>
      <c r="L35" s="609"/>
      <c r="M35" s="424">
        <f>RANK(K35, K$24:$K$41)</f>
        <v>2</v>
      </c>
      <c r="N35" s="627"/>
      <c r="O35" s="627"/>
      <c r="P35" s="550">
        <v>17</v>
      </c>
      <c r="Q35" s="420">
        <v>2521.7647058823495</v>
      </c>
      <c r="R35" s="420">
        <v>148.33910034602056</v>
      </c>
      <c r="S35" s="550">
        <f t="shared" si="22"/>
        <v>1</v>
      </c>
      <c r="T35" s="637"/>
      <c r="U35" s="550">
        <v>17</v>
      </c>
      <c r="V35" s="420">
        <v>2445.4285714285688</v>
      </c>
      <c r="W35" s="420">
        <v>143.84873949579816</v>
      </c>
      <c r="X35" s="550">
        <f t="shared" si="24"/>
        <v>3</v>
      </c>
      <c r="Y35" s="637"/>
      <c r="Z35" s="550">
        <v>17</v>
      </c>
      <c r="AA35" s="420">
        <v>2409.2957746478851</v>
      </c>
      <c r="AB35" s="420">
        <v>141.72328086164029</v>
      </c>
      <c r="AC35" s="550">
        <f t="shared" si="26"/>
        <v>2</v>
      </c>
      <c r="AD35" s="637"/>
      <c r="AE35" s="550">
        <v>17</v>
      </c>
      <c r="AF35" s="420">
        <v>2409.2957746478851</v>
      </c>
      <c r="AG35" s="420">
        <v>141.72328086164029</v>
      </c>
      <c r="AH35" s="550">
        <f t="shared" si="28"/>
        <v>1</v>
      </c>
      <c r="AI35" s="637"/>
      <c r="AJ35" s="550">
        <v>17</v>
      </c>
      <c r="AK35" s="420">
        <v>2375.8333333333317</v>
      </c>
      <c r="AL35" s="420">
        <v>139.75490196078422</v>
      </c>
      <c r="AM35" s="550">
        <f t="shared" si="30"/>
        <v>3</v>
      </c>
      <c r="AN35" s="637"/>
      <c r="AO35" s="550">
        <v>17</v>
      </c>
      <c r="AP35" s="420">
        <v>2375.8333333333317</v>
      </c>
      <c r="AQ35" s="420">
        <v>139.75490196078422</v>
      </c>
      <c r="AR35" s="550">
        <f t="shared" si="32"/>
        <v>3</v>
      </c>
      <c r="AS35" s="637"/>
      <c r="AT35" s="550">
        <v>17</v>
      </c>
      <c r="AU35" s="420">
        <v>2375.8333333333317</v>
      </c>
      <c r="AV35" s="420">
        <v>139.75490196078422</v>
      </c>
      <c r="AW35" s="550">
        <f t="shared" si="34"/>
        <v>2</v>
      </c>
      <c r="AX35" s="637"/>
      <c r="AZ35" s="402" t="e">
        <f t="shared" si="36"/>
        <v>#N/A</v>
      </c>
      <c r="BA35" s="637"/>
    </row>
    <row r="36" spans="2:53">
      <c r="B36" s="635"/>
      <c r="C36" s="415">
        <v>10</v>
      </c>
      <c r="D36" s="225" t="s">
        <v>801</v>
      </c>
      <c r="E36" s="420">
        <v>20</v>
      </c>
      <c r="F36" s="413">
        <v>2400</v>
      </c>
      <c r="G36" s="414">
        <v>120</v>
      </c>
      <c r="H36" s="672"/>
      <c r="I36" s="417">
        <f t="shared" si="19"/>
        <v>20</v>
      </c>
      <c r="J36" s="417">
        <f t="shared" si="20"/>
        <v>2326.6982517808697</v>
      </c>
      <c r="K36" s="199">
        <f t="shared" si="21"/>
        <v>116.33491258904348</v>
      </c>
      <c r="L36" s="609"/>
      <c r="M36" s="424">
        <f>RANK(K36, K$24:$K$41)</f>
        <v>10</v>
      </c>
      <c r="N36" s="627"/>
      <c r="O36" s="627"/>
      <c r="P36" s="550">
        <v>20</v>
      </c>
      <c r="Q36" s="420">
        <v>2355.8974358974347</v>
      </c>
      <c r="R36" s="420">
        <v>117.79487179487174</v>
      </c>
      <c r="S36" s="550">
        <f t="shared" si="22"/>
        <v>10</v>
      </c>
      <c r="T36" s="637"/>
      <c r="U36" s="550">
        <v>20</v>
      </c>
      <c r="V36" s="420">
        <v>2388.6315789473688</v>
      </c>
      <c r="W36" s="420">
        <v>119.43157894736844</v>
      </c>
      <c r="X36" s="550">
        <f t="shared" si="24"/>
        <v>10</v>
      </c>
      <c r="Y36" s="637"/>
      <c r="Z36" s="550">
        <v>20</v>
      </c>
      <c r="AA36" s="420">
        <v>2351.3684210526299</v>
      </c>
      <c r="AB36" s="420">
        <v>117.56842105263149</v>
      </c>
      <c r="AC36" s="550">
        <f t="shared" si="26"/>
        <v>9</v>
      </c>
      <c r="AD36" s="637"/>
      <c r="AE36" s="550">
        <v>20</v>
      </c>
      <c r="AF36" s="420">
        <v>2311.2000000000025</v>
      </c>
      <c r="AG36" s="420">
        <v>115.56000000000013</v>
      </c>
      <c r="AH36" s="550">
        <f t="shared" si="28"/>
        <v>10</v>
      </c>
      <c r="AI36" s="637"/>
      <c r="AJ36" s="550">
        <v>20</v>
      </c>
      <c r="AK36" s="420">
        <v>2313.7959183673474</v>
      </c>
      <c r="AL36" s="420">
        <v>115.68979591836737</v>
      </c>
      <c r="AM36" s="550">
        <f t="shared" si="30"/>
        <v>10</v>
      </c>
      <c r="AN36" s="637"/>
      <c r="AO36" s="550">
        <v>20</v>
      </c>
      <c r="AP36" s="420">
        <v>2295.7241379310362</v>
      </c>
      <c r="AQ36" s="420">
        <v>114.78620689655182</v>
      </c>
      <c r="AR36" s="550">
        <f t="shared" si="32"/>
        <v>10</v>
      </c>
      <c r="AS36" s="637"/>
      <c r="AT36" s="550">
        <v>20</v>
      </c>
      <c r="AU36" s="420">
        <v>2270.2702702702686</v>
      </c>
      <c r="AV36" s="420">
        <v>113.51351351351343</v>
      </c>
      <c r="AW36" s="550">
        <f t="shared" si="34"/>
        <v>10</v>
      </c>
      <c r="AX36" s="637"/>
      <c r="AZ36" s="402" t="e">
        <f t="shared" si="36"/>
        <v>#N/A</v>
      </c>
      <c r="BA36" s="637"/>
    </row>
    <row r="37" spans="2:53">
      <c r="B37" s="635"/>
      <c r="C37" s="415">
        <v>11</v>
      </c>
      <c r="D37" s="225"/>
      <c r="E37" s="420"/>
      <c r="F37" s="413"/>
      <c r="G37" s="414"/>
      <c r="H37" s="672"/>
      <c r="I37" s="417" t="str">
        <f t="shared" si="19"/>
        <v>-</v>
      </c>
      <c r="J37" s="417" t="str">
        <f t="shared" si="20"/>
        <v>-</v>
      </c>
      <c r="K37" s="199" t="str">
        <f t="shared" si="21"/>
        <v>-</v>
      </c>
      <c r="L37" s="609"/>
      <c r="M37" s="424" t="e">
        <f>RANK(K37, K$24:$K$41)</f>
        <v>#VALUE!</v>
      </c>
      <c r="N37" s="627"/>
      <c r="O37" s="627"/>
      <c r="P37" s="550" t="s">
        <v>623</v>
      </c>
      <c r="Q37" s="420" t="s">
        <v>623</v>
      </c>
      <c r="R37" s="420" t="s">
        <v>623</v>
      </c>
      <c r="S37" s="550" t="e">
        <f t="shared" si="22"/>
        <v>#VALUE!</v>
      </c>
      <c r="T37" s="637"/>
      <c r="U37" s="550" t="s">
        <v>623</v>
      </c>
      <c r="V37" s="420" t="s">
        <v>623</v>
      </c>
      <c r="W37" s="420" t="s">
        <v>623</v>
      </c>
      <c r="X37" s="550" t="e">
        <f t="shared" si="24"/>
        <v>#VALUE!</v>
      </c>
      <c r="Y37" s="637"/>
      <c r="Z37" s="550" t="s">
        <v>623</v>
      </c>
      <c r="AA37" s="420" t="s">
        <v>623</v>
      </c>
      <c r="AB37" s="420" t="s">
        <v>623</v>
      </c>
      <c r="AC37" s="550" t="e">
        <f t="shared" si="26"/>
        <v>#VALUE!</v>
      </c>
      <c r="AD37" s="637"/>
      <c r="AE37" s="550" t="s">
        <v>623</v>
      </c>
      <c r="AF37" s="420" t="s">
        <v>623</v>
      </c>
      <c r="AG37" s="420" t="s">
        <v>623</v>
      </c>
      <c r="AH37" s="550" t="e">
        <f t="shared" si="28"/>
        <v>#VALUE!</v>
      </c>
      <c r="AI37" s="637"/>
      <c r="AJ37" s="550" t="s">
        <v>623</v>
      </c>
      <c r="AK37" s="420" t="s">
        <v>623</v>
      </c>
      <c r="AL37" s="420" t="s">
        <v>623</v>
      </c>
      <c r="AM37" s="550" t="e">
        <f t="shared" si="30"/>
        <v>#VALUE!</v>
      </c>
      <c r="AN37" s="637"/>
      <c r="AO37" s="550" t="s">
        <v>623</v>
      </c>
      <c r="AP37" s="420" t="s">
        <v>623</v>
      </c>
      <c r="AQ37" s="420" t="s">
        <v>623</v>
      </c>
      <c r="AR37" s="550" t="e">
        <f t="shared" si="32"/>
        <v>#VALUE!</v>
      </c>
      <c r="AS37" s="637"/>
      <c r="AT37" s="550" t="s">
        <v>623</v>
      </c>
      <c r="AU37" s="420" t="s">
        <v>623</v>
      </c>
      <c r="AV37" s="420" t="s">
        <v>623</v>
      </c>
      <c r="AW37" s="550" t="e">
        <f t="shared" si="34"/>
        <v>#VALUE!</v>
      </c>
      <c r="AX37" s="637"/>
      <c r="AZ37" s="402" t="e">
        <f t="shared" si="36"/>
        <v>#N/A</v>
      </c>
      <c r="BA37" s="637"/>
    </row>
    <row r="38" spans="2:53">
      <c r="B38" s="635"/>
      <c r="C38" s="415">
        <v>12</v>
      </c>
      <c r="D38" s="225"/>
      <c r="E38" s="420"/>
      <c r="F38" s="413"/>
      <c r="G38" s="414"/>
      <c r="H38" s="672"/>
      <c r="I38" s="417" t="str">
        <f t="shared" si="19"/>
        <v>-</v>
      </c>
      <c r="J38" s="417" t="str">
        <f t="shared" si="20"/>
        <v>-</v>
      </c>
      <c r="K38" s="199" t="str">
        <f t="shared" si="21"/>
        <v>-</v>
      </c>
      <c r="L38" s="609"/>
      <c r="M38" s="424" t="e">
        <f>RANK(K38, K$24:$K$41)</f>
        <v>#VALUE!</v>
      </c>
      <c r="N38" s="627"/>
      <c r="O38" s="627"/>
      <c r="P38" s="550" t="s">
        <v>623</v>
      </c>
      <c r="Q38" s="420" t="s">
        <v>623</v>
      </c>
      <c r="R38" s="420" t="s">
        <v>623</v>
      </c>
      <c r="S38" s="550" t="e">
        <f t="shared" si="22"/>
        <v>#VALUE!</v>
      </c>
      <c r="T38" s="637"/>
      <c r="U38" s="550" t="s">
        <v>623</v>
      </c>
      <c r="V38" s="420" t="s">
        <v>623</v>
      </c>
      <c r="W38" s="420" t="s">
        <v>623</v>
      </c>
      <c r="X38" s="550" t="e">
        <f t="shared" si="24"/>
        <v>#VALUE!</v>
      </c>
      <c r="Y38" s="637"/>
      <c r="Z38" s="550" t="s">
        <v>623</v>
      </c>
      <c r="AA38" s="420" t="s">
        <v>623</v>
      </c>
      <c r="AB38" s="420" t="s">
        <v>623</v>
      </c>
      <c r="AC38" s="550" t="e">
        <f t="shared" si="26"/>
        <v>#VALUE!</v>
      </c>
      <c r="AD38" s="637"/>
      <c r="AE38" s="550" t="s">
        <v>623</v>
      </c>
      <c r="AF38" s="420" t="s">
        <v>623</v>
      </c>
      <c r="AG38" s="420" t="s">
        <v>623</v>
      </c>
      <c r="AH38" s="550" t="e">
        <f t="shared" si="28"/>
        <v>#VALUE!</v>
      </c>
      <c r="AI38" s="637"/>
      <c r="AJ38" s="550" t="s">
        <v>623</v>
      </c>
      <c r="AK38" s="420" t="s">
        <v>623</v>
      </c>
      <c r="AL38" s="420" t="s">
        <v>623</v>
      </c>
      <c r="AM38" s="550" t="e">
        <f t="shared" si="30"/>
        <v>#VALUE!</v>
      </c>
      <c r="AN38" s="637"/>
      <c r="AO38" s="550" t="s">
        <v>623</v>
      </c>
      <c r="AP38" s="420" t="s">
        <v>623</v>
      </c>
      <c r="AQ38" s="420" t="s">
        <v>623</v>
      </c>
      <c r="AR38" s="550" t="e">
        <f t="shared" si="32"/>
        <v>#VALUE!</v>
      </c>
      <c r="AS38" s="637"/>
      <c r="AT38" s="550" t="s">
        <v>623</v>
      </c>
      <c r="AU38" s="420" t="s">
        <v>623</v>
      </c>
      <c r="AV38" s="420" t="s">
        <v>623</v>
      </c>
      <c r="AW38" s="550" t="e">
        <f t="shared" si="34"/>
        <v>#VALUE!</v>
      </c>
      <c r="AX38" s="637"/>
      <c r="AZ38" s="402" t="e">
        <f t="shared" si="36"/>
        <v>#N/A</v>
      </c>
      <c r="BA38" s="637"/>
    </row>
    <row r="39" spans="2:53">
      <c r="B39" s="635"/>
      <c r="C39" s="415">
        <v>13</v>
      </c>
      <c r="D39" s="225"/>
      <c r="E39" s="420"/>
      <c r="F39" s="413"/>
      <c r="G39" s="414"/>
      <c r="H39" s="672"/>
      <c r="I39" s="417" t="str">
        <f t="shared" si="19"/>
        <v>-</v>
      </c>
      <c r="J39" s="417" t="str">
        <f t="shared" si="20"/>
        <v>-</v>
      </c>
      <c r="K39" s="199" t="str">
        <f t="shared" si="21"/>
        <v>-</v>
      </c>
      <c r="L39" s="609"/>
      <c r="M39" s="424" t="e">
        <f>RANK(K39, K$24:$K$41)</f>
        <v>#VALUE!</v>
      </c>
      <c r="N39" s="627"/>
      <c r="O39" s="627"/>
      <c r="P39" s="550" t="s">
        <v>623</v>
      </c>
      <c r="Q39" s="420" t="s">
        <v>623</v>
      </c>
      <c r="R39" s="420" t="s">
        <v>623</v>
      </c>
      <c r="S39" s="550" t="e">
        <f t="shared" si="22"/>
        <v>#VALUE!</v>
      </c>
      <c r="T39" s="637"/>
      <c r="U39" s="550" t="s">
        <v>623</v>
      </c>
      <c r="V39" s="420" t="s">
        <v>623</v>
      </c>
      <c r="W39" s="420" t="s">
        <v>623</v>
      </c>
      <c r="X39" s="550" t="e">
        <f t="shared" si="24"/>
        <v>#VALUE!</v>
      </c>
      <c r="Y39" s="637"/>
      <c r="Z39" s="550" t="s">
        <v>623</v>
      </c>
      <c r="AA39" s="420" t="s">
        <v>623</v>
      </c>
      <c r="AB39" s="420" t="s">
        <v>623</v>
      </c>
      <c r="AC39" s="550" t="e">
        <f t="shared" si="26"/>
        <v>#VALUE!</v>
      </c>
      <c r="AD39" s="637"/>
      <c r="AE39" s="550" t="s">
        <v>623</v>
      </c>
      <c r="AF39" s="420" t="s">
        <v>623</v>
      </c>
      <c r="AG39" s="420" t="s">
        <v>623</v>
      </c>
      <c r="AH39" s="550" t="e">
        <f t="shared" si="28"/>
        <v>#VALUE!</v>
      </c>
      <c r="AI39" s="637"/>
      <c r="AJ39" s="550" t="s">
        <v>623</v>
      </c>
      <c r="AK39" s="420" t="s">
        <v>623</v>
      </c>
      <c r="AL39" s="420" t="s">
        <v>623</v>
      </c>
      <c r="AM39" s="550" t="e">
        <f t="shared" si="30"/>
        <v>#VALUE!</v>
      </c>
      <c r="AN39" s="637"/>
      <c r="AO39" s="550" t="s">
        <v>623</v>
      </c>
      <c r="AP39" s="420" t="s">
        <v>623</v>
      </c>
      <c r="AQ39" s="420" t="s">
        <v>623</v>
      </c>
      <c r="AR39" s="550" t="e">
        <f t="shared" si="32"/>
        <v>#VALUE!</v>
      </c>
      <c r="AS39" s="637"/>
      <c r="AT39" s="550" t="s">
        <v>623</v>
      </c>
      <c r="AU39" s="420" t="s">
        <v>623</v>
      </c>
      <c r="AV39" s="420" t="s">
        <v>623</v>
      </c>
      <c r="AW39" s="550" t="e">
        <f t="shared" si="34"/>
        <v>#VALUE!</v>
      </c>
      <c r="AX39" s="637"/>
      <c r="AZ39" s="402" t="e">
        <f t="shared" si="36"/>
        <v>#N/A</v>
      </c>
      <c r="BA39" s="637"/>
    </row>
    <row r="40" spans="2:53">
      <c r="B40" s="635"/>
      <c r="C40" s="415">
        <v>14</v>
      </c>
      <c r="D40" s="225"/>
      <c r="E40" s="420"/>
      <c r="F40" s="413"/>
      <c r="G40" s="414"/>
      <c r="H40" s="672"/>
      <c r="I40" s="417" t="str">
        <f t="shared" si="19"/>
        <v>-</v>
      </c>
      <c r="J40" s="417" t="str">
        <f t="shared" si="20"/>
        <v>-</v>
      </c>
      <c r="K40" s="199" t="str">
        <f t="shared" si="21"/>
        <v>-</v>
      </c>
      <c r="L40" s="609"/>
      <c r="M40" s="424" t="e">
        <f>RANK(K40, K$24:$K$41)</f>
        <v>#VALUE!</v>
      </c>
      <c r="N40" s="627"/>
      <c r="O40" s="627"/>
      <c r="P40" s="550" t="s">
        <v>623</v>
      </c>
      <c r="Q40" s="420" t="s">
        <v>623</v>
      </c>
      <c r="R40" s="420" t="s">
        <v>623</v>
      </c>
      <c r="S40" s="550" t="e">
        <f t="shared" si="22"/>
        <v>#VALUE!</v>
      </c>
      <c r="T40" s="637"/>
      <c r="U40" s="550" t="s">
        <v>623</v>
      </c>
      <c r="V40" s="420" t="s">
        <v>623</v>
      </c>
      <c r="W40" s="420" t="s">
        <v>623</v>
      </c>
      <c r="X40" s="550" t="e">
        <f t="shared" si="24"/>
        <v>#VALUE!</v>
      </c>
      <c r="Y40" s="637"/>
      <c r="Z40" s="550" t="s">
        <v>623</v>
      </c>
      <c r="AA40" s="420" t="s">
        <v>623</v>
      </c>
      <c r="AB40" s="420" t="s">
        <v>623</v>
      </c>
      <c r="AC40" s="550" t="e">
        <f t="shared" si="26"/>
        <v>#VALUE!</v>
      </c>
      <c r="AD40" s="637"/>
      <c r="AE40" s="550" t="s">
        <v>623</v>
      </c>
      <c r="AF40" s="420" t="s">
        <v>623</v>
      </c>
      <c r="AG40" s="420" t="s">
        <v>623</v>
      </c>
      <c r="AH40" s="550" t="e">
        <f t="shared" si="28"/>
        <v>#VALUE!</v>
      </c>
      <c r="AI40" s="637"/>
      <c r="AJ40" s="550" t="s">
        <v>623</v>
      </c>
      <c r="AK40" s="420" t="s">
        <v>623</v>
      </c>
      <c r="AL40" s="420" t="s">
        <v>623</v>
      </c>
      <c r="AM40" s="550" t="e">
        <f t="shared" si="30"/>
        <v>#VALUE!</v>
      </c>
      <c r="AN40" s="637"/>
      <c r="AO40" s="550" t="s">
        <v>623</v>
      </c>
      <c r="AP40" s="420" t="s">
        <v>623</v>
      </c>
      <c r="AQ40" s="420" t="s">
        <v>623</v>
      </c>
      <c r="AR40" s="550" t="e">
        <f t="shared" si="32"/>
        <v>#VALUE!</v>
      </c>
      <c r="AS40" s="637"/>
      <c r="AT40" s="550" t="s">
        <v>623</v>
      </c>
      <c r="AU40" s="420" t="s">
        <v>623</v>
      </c>
      <c r="AV40" s="420" t="s">
        <v>623</v>
      </c>
      <c r="AW40" s="550" t="e">
        <f t="shared" si="34"/>
        <v>#VALUE!</v>
      </c>
      <c r="AX40" s="637"/>
      <c r="AZ40" s="402" t="e">
        <f t="shared" si="36"/>
        <v>#N/A</v>
      </c>
      <c r="BA40" s="637"/>
    </row>
    <row r="41" spans="2:53">
      <c r="B41" s="635"/>
      <c r="C41" s="415">
        <v>15</v>
      </c>
      <c r="D41" s="225"/>
      <c r="E41" s="420"/>
      <c r="F41" s="413"/>
      <c r="G41" s="414"/>
      <c r="H41" s="676"/>
      <c r="I41" s="415"/>
      <c r="J41" s="415"/>
      <c r="K41" s="415"/>
      <c r="L41" s="610"/>
      <c r="M41" s="424" t="e">
        <f>RANK(K41, K$24:$K$41)</f>
        <v>#N/A</v>
      </c>
      <c r="N41" s="627"/>
      <c r="O41" s="627"/>
      <c r="P41" s="550" t="s">
        <v>623</v>
      </c>
      <c r="Q41" s="420" t="s">
        <v>623</v>
      </c>
      <c r="R41" s="420" t="s">
        <v>623</v>
      </c>
      <c r="S41" s="550" t="e">
        <f t="shared" si="22"/>
        <v>#VALUE!</v>
      </c>
      <c r="T41" s="638"/>
      <c r="U41" s="550" t="s">
        <v>623</v>
      </c>
      <c r="V41" s="420" t="s">
        <v>623</v>
      </c>
      <c r="W41" s="420" t="s">
        <v>623</v>
      </c>
      <c r="X41" s="550" t="e">
        <f t="shared" si="24"/>
        <v>#VALUE!</v>
      </c>
      <c r="Y41" s="638"/>
      <c r="Z41" s="550" t="s">
        <v>623</v>
      </c>
      <c r="AA41" s="420" t="s">
        <v>623</v>
      </c>
      <c r="AB41" s="420" t="s">
        <v>623</v>
      </c>
      <c r="AC41" s="550" t="e">
        <f t="shared" si="26"/>
        <v>#VALUE!</v>
      </c>
      <c r="AD41" s="638"/>
      <c r="AE41" s="550" t="s">
        <v>623</v>
      </c>
      <c r="AF41" s="420" t="s">
        <v>623</v>
      </c>
      <c r="AG41" s="420" t="s">
        <v>623</v>
      </c>
      <c r="AH41" s="550" t="e">
        <f t="shared" si="28"/>
        <v>#VALUE!</v>
      </c>
      <c r="AI41" s="638"/>
      <c r="AJ41" s="550" t="s">
        <v>623</v>
      </c>
      <c r="AK41" s="420" t="s">
        <v>623</v>
      </c>
      <c r="AL41" s="420" t="s">
        <v>623</v>
      </c>
      <c r="AM41" s="550" t="e">
        <f t="shared" si="30"/>
        <v>#VALUE!</v>
      </c>
      <c r="AN41" s="638"/>
      <c r="AO41" s="550" t="s">
        <v>623</v>
      </c>
      <c r="AP41" s="420" t="s">
        <v>623</v>
      </c>
      <c r="AQ41" s="420" t="s">
        <v>623</v>
      </c>
      <c r="AR41" s="550" t="e">
        <f t="shared" si="32"/>
        <v>#VALUE!</v>
      </c>
      <c r="AS41" s="638"/>
      <c r="AT41" s="550" t="s">
        <v>623</v>
      </c>
      <c r="AU41" s="420" t="s">
        <v>623</v>
      </c>
      <c r="AV41" s="420" t="s">
        <v>623</v>
      </c>
      <c r="AW41" s="550" t="e">
        <f t="shared" si="34"/>
        <v>#VALUE!</v>
      </c>
      <c r="AX41" s="638"/>
      <c r="AZ41" s="402" t="e">
        <f t="shared" si="36"/>
        <v>#N/A</v>
      </c>
      <c r="BA41" s="638"/>
    </row>
    <row r="42" spans="2:53" ht="15.75">
      <c r="B42" s="653" t="s">
        <v>163</v>
      </c>
      <c r="C42" s="654"/>
      <c r="D42" s="654"/>
      <c r="E42" s="654"/>
      <c r="F42" s="654"/>
      <c r="G42" s="654"/>
      <c r="H42" s="654"/>
      <c r="I42" s="207"/>
      <c r="J42" s="202"/>
      <c r="K42" s="207"/>
      <c r="L42" s="207"/>
      <c r="M42" s="203"/>
      <c r="N42" s="628" t="s">
        <v>156</v>
      </c>
      <c r="O42" s="628" t="s">
        <v>105</v>
      </c>
      <c r="P42" s="634">
        <f>P22+7</f>
        <v>46154</v>
      </c>
      <c r="Q42" s="635"/>
      <c r="R42" s="635"/>
      <c r="S42" s="635"/>
      <c r="T42" s="635"/>
      <c r="U42" s="631">
        <f>P42+1</f>
        <v>46155</v>
      </c>
      <c r="V42" s="632"/>
      <c r="W42" s="632"/>
      <c r="X42" s="632"/>
      <c r="Y42" s="633"/>
      <c r="Z42" s="631">
        <f>U42+1</f>
        <v>46156</v>
      </c>
      <c r="AA42" s="632"/>
      <c r="AB42" s="632"/>
      <c r="AC42" s="632"/>
      <c r="AD42" s="633"/>
      <c r="AE42" s="631">
        <f>Z42+1</f>
        <v>46157</v>
      </c>
      <c r="AF42" s="632"/>
      <c r="AG42" s="632"/>
      <c r="AH42" s="632"/>
      <c r="AI42" s="633"/>
      <c r="AJ42" s="631">
        <f>AE42+1</f>
        <v>46158</v>
      </c>
      <c r="AK42" s="632"/>
      <c r="AL42" s="632"/>
      <c r="AM42" s="632"/>
      <c r="AN42" s="633"/>
      <c r="AO42" s="631">
        <f>AJ42+1</f>
        <v>46159</v>
      </c>
      <c r="AP42" s="632"/>
      <c r="AQ42" s="632"/>
      <c r="AR42" s="632"/>
      <c r="AS42" s="633"/>
      <c r="AT42" s="631">
        <f>AO42+1</f>
        <v>46160</v>
      </c>
      <c r="AU42" s="632"/>
      <c r="AV42" s="632"/>
      <c r="AW42" s="632"/>
      <c r="AX42" s="633"/>
    </row>
    <row r="43" spans="2:53" ht="15.75">
      <c r="B43" s="642"/>
      <c r="C43" s="642"/>
      <c r="D43" s="642"/>
      <c r="E43" s="642"/>
      <c r="F43" s="642"/>
      <c r="G43" s="642"/>
      <c r="H43" s="642"/>
      <c r="I43" s="204"/>
      <c r="J43" s="204"/>
      <c r="K43" s="204"/>
      <c r="L43" s="204"/>
      <c r="M43" s="205"/>
      <c r="N43" s="630"/>
      <c r="O43" s="630"/>
      <c r="P43" s="634" t="s">
        <v>318</v>
      </c>
      <c r="Q43" s="635"/>
      <c r="R43" s="635"/>
      <c r="S43" s="635"/>
      <c r="T43" s="635"/>
      <c r="U43" s="634" t="s">
        <v>319</v>
      </c>
      <c r="V43" s="635"/>
      <c r="W43" s="635"/>
      <c r="X43" s="635"/>
      <c r="Y43" s="635"/>
      <c r="Z43" s="634" t="s">
        <v>320</v>
      </c>
      <c r="AA43" s="635"/>
      <c r="AB43" s="635"/>
      <c r="AC43" s="635"/>
      <c r="AD43" s="635"/>
      <c r="AE43" s="634" t="s">
        <v>321</v>
      </c>
      <c r="AF43" s="635"/>
      <c r="AG43" s="635"/>
      <c r="AH43" s="635"/>
      <c r="AI43" s="635"/>
      <c r="AJ43" s="634" t="s">
        <v>322</v>
      </c>
      <c r="AK43" s="635"/>
      <c r="AL43" s="635"/>
      <c r="AM43" s="635"/>
      <c r="AN43" s="635"/>
      <c r="AO43" s="634" t="s">
        <v>323</v>
      </c>
      <c r="AP43" s="635"/>
      <c r="AQ43" s="635"/>
      <c r="AR43" s="635"/>
      <c r="AS43" s="635"/>
      <c r="AT43" s="634" t="s">
        <v>324</v>
      </c>
      <c r="AU43" s="635"/>
      <c r="AV43" s="635"/>
      <c r="AW43" s="635"/>
      <c r="AX43" s="635"/>
    </row>
    <row r="44" spans="2:53">
      <c r="B44" s="627" t="s">
        <v>465</v>
      </c>
      <c r="C44" s="627" t="s">
        <v>551</v>
      </c>
      <c r="D44" s="627"/>
      <c r="E44" s="627" t="s">
        <v>552</v>
      </c>
      <c r="F44" s="627"/>
      <c r="G44" s="627"/>
      <c r="H44" s="643" t="s">
        <v>553</v>
      </c>
      <c r="I44" s="627" t="s">
        <v>554</v>
      </c>
      <c r="J44" s="627"/>
      <c r="K44" s="627"/>
      <c r="L44" s="643" t="s">
        <v>371</v>
      </c>
      <c r="M44" s="628" t="s">
        <v>555</v>
      </c>
      <c r="N44" s="627"/>
      <c r="O44" s="627" t="s">
        <v>377</v>
      </c>
      <c r="P44" s="624" t="s">
        <v>373</v>
      </c>
      <c r="Q44" s="625"/>
      <c r="R44" s="625"/>
      <c r="S44" s="626"/>
      <c r="T44" s="627" t="s">
        <v>371</v>
      </c>
      <c r="U44" s="624" t="s">
        <v>373</v>
      </c>
      <c r="V44" s="625"/>
      <c r="W44" s="625"/>
      <c r="X44" s="626"/>
      <c r="Y44" s="627" t="s">
        <v>371</v>
      </c>
      <c r="Z44" s="624" t="s">
        <v>373</v>
      </c>
      <c r="AA44" s="625"/>
      <c r="AB44" s="625"/>
      <c r="AC44" s="626"/>
      <c r="AD44" s="627" t="s">
        <v>371</v>
      </c>
      <c r="AE44" s="624" t="s">
        <v>373</v>
      </c>
      <c r="AF44" s="625"/>
      <c r="AG44" s="625"/>
      <c r="AH44" s="626"/>
      <c r="AI44" s="627" t="s">
        <v>371</v>
      </c>
      <c r="AJ44" s="624" t="s">
        <v>373</v>
      </c>
      <c r="AK44" s="625"/>
      <c r="AL44" s="625"/>
      <c r="AM44" s="626"/>
      <c r="AN44" s="627" t="s">
        <v>371</v>
      </c>
      <c r="AO44" s="624" t="s">
        <v>373</v>
      </c>
      <c r="AP44" s="625"/>
      <c r="AQ44" s="625"/>
      <c r="AR44" s="626"/>
      <c r="AS44" s="627" t="s">
        <v>371</v>
      </c>
      <c r="AT44" s="624" t="s">
        <v>373</v>
      </c>
      <c r="AU44" s="625"/>
      <c r="AV44" s="625"/>
      <c r="AW44" s="626"/>
      <c r="AX44" s="627" t="s">
        <v>371</v>
      </c>
      <c r="BA44" s="627" t="s">
        <v>371</v>
      </c>
    </row>
    <row r="45" spans="2:53">
      <c r="B45" s="627"/>
      <c r="C45" s="627"/>
      <c r="D45" s="627"/>
      <c r="E45" s="627" t="s">
        <v>557</v>
      </c>
      <c r="F45" s="627"/>
      <c r="G45" s="627"/>
      <c r="H45" s="644"/>
      <c r="I45" s="627" t="s">
        <v>557</v>
      </c>
      <c r="J45" s="627"/>
      <c r="K45" s="627"/>
      <c r="L45" s="644"/>
      <c r="M45" s="629"/>
      <c r="N45" s="627"/>
      <c r="O45" s="627"/>
      <c r="P45" s="624" t="s">
        <v>379</v>
      </c>
      <c r="Q45" s="625"/>
      <c r="R45" s="625"/>
      <c r="S45" s="626"/>
      <c r="T45" s="627"/>
      <c r="U45" s="624" t="s">
        <v>379</v>
      </c>
      <c r="V45" s="625"/>
      <c r="W45" s="625"/>
      <c r="X45" s="626"/>
      <c r="Y45" s="627"/>
      <c r="Z45" s="624" t="s">
        <v>379</v>
      </c>
      <c r="AA45" s="625"/>
      <c r="AB45" s="625"/>
      <c r="AC45" s="626"/>
      <c r="AD45" s="627"/>
      <c r="AE45" s="624" t="s">
        <v>379</v>
      </c>
      <c r="AF45" s="625"/>
      <c r="AG45" s="625"/>
      <c r="AH45" s="626"/>
      <c r="AI45" s="627"/>
      <c r="AJ45" s="624" t="s">
        <v>379</v>
      </c>
      <c r="AK45" s="625"/>
      <c r="AL45" s="625"/>
      <c r="AM45" s="626"/>
      <c r="AN45" s="627"/>
      <c r="AO45" s="624" t="s">
        <v>379</v>
      </c>
      <c r="AP45" s="625"/>
      <c r="AQ45" s="625"/>
      <c r="AR45" s="626"/>
      <c r="AS45" s="627"/>
      <c r="AT45" s="624" t="s">
        <v>379</v>
      </c>
      <c r="AU45" s="625"/>
      <c r="AV45" s="625"/>
      <c r="AW45" s="626"/>
      <c r="AX45" s="627"/>
      <c r="BA45" s="627"/>
    </row>
    <row r="46" spans="2:53">
      <c r="B46" s="627"/>
      <c r="C46" s="627"/>
      <c r="D46" s="627"/>
      <c r="E46" s="412" t="s">
        <v>558</v>
      </c>
      <c r="F46" s="412" t="s">
        <v>559</v>
      </c>
      <c r="G46" s="412" t="s">
        <v>560</v>
      </c>
      <c r="H46" s="645"/>
      <c r="I46" s="412" t="s">
        <v>558</v>
      </c>
      <c r="J46" s="412" t="s">
        <v>559</v>
      </c>
      <c r="K46" s="412" t="s">
        <v>560</v>
      </c>
      <c r="L46" s="645"/>
      <c r="M46" s="630"/>
      <c r="N46" s="627"/>
      <c r="O46" s="627"/>
      <c r="P46" s="412" t="s">
        <v>380</v>
      </c>
      <c r="Q46" s="412" t="s">
        <v>381</v>
      </c>
      <c r="R46" s="412" t="s">
        <v>382</v>
      </c>
      <c r="S46" s="412" t="s">
        <v>372</v>
      </c>
      <c r="T46" s="627"/>
      <c r="U46" s="412" t="s">
        <v>380</v>
      </c>
      <c r="V46" s="412" t="s">
        <v>381</v>
      </c>
      <c r="W46" s="412" t="s">
        <v>382</v>
      </c>
      <c r="X46" s="412" t="s">
        <v>372</v>
      </c>
      <c r="Y46" s="627"/>
      <c r="Z46" s="412" t="s">
        <v>380</v>
      </c>
      <c r="AA46" s="412" t="s">
        <v>381</v>
      </c>
      <c r="AB46" s="412" t="s">
        <v>382</v>
      </c>
      <c r="AC46" s="412" t="s">
        <v>372</v>
      </c>
      <c r="AD46" s="627"/>
      <c r="AE46" s="412" t="s">
        <v>380</v>
      </c>
      <c r="AF46" s="412" t="s">
        <v>381</v>
      </c>
      <c r="AG46" s="412" t="s">
        <v>382</v>
      </c>
      <c r="AH46" s="412" t="s">
        <v>372</v>
      </c>
      <c r="AI46" s="627"/>
      <c r="AJ46" s="412" t="s">
        <v>380</v>
      </c>
      <c r="AK46" s="412" t="s">
        <v>381</v>
      </c>
      <c r="AL46" s="412" t="s">
        <v>382</v>
      </c>
      <c r="AM46" s="412" t="s">
        <v>372</v>
      </c>
      <c r="AN46" s="627"/>
      <c r="AO46" s="412" t="s">
        <v>380</v>
      </c>
      <c r="AP46" s="412" t="s">
        <v>381</v>
      </c>
      <c r="AQ46" s="412" t="s">
        <v>382</v>
      </c>
      <c r="AR46" s="412" t="s">
        <v>372</v>
      </c>
      <c r="AS46" s="627"/>
      <c r="AT46" s="412" t="s">
        <v>380</v>
      </c>
      <c r="AU46" s="412" t="s">
        <v>381</v>
      </c>
      <c r="AV46" s="412" t="s">
        <v>382</v>
      </c>
      <c r="AW46" s="412" t="s">
        <v>372</v>
      </c>
      <c r="AX46" s="627"/>
      <c r="AZ46" s="401" t="s">
        <v>586</v>
      </c>
      <c r="BA46" s="627"/>
    </row>
    <row r="47" spans="2:53">
      <c r="B47" s="627" t="s">
        <v>480</v>
      </c>
      <c r="C47" s="415">
        <v>1</v>
      </c>
      <c r="D47" s="225"/>
      <c r="E47" s="420"/>
      <c r="F47" s="500"/>
      <c r="G47" s="501"/>
      <c r="H47" s="671" t="e">
        <f>AVERAGE(G47:G61)</f>
        <v>#DIV/0!</v>
      </c>
      <c r="I47" s="417" t="str">
        <f t="shared" ref="I47:I60" si="38">IFERROR(AVERAGE(P47,U47,Z47,AE47,AJ47,AO47,AT47),"-")</f>
        <v>-</v>
      </c>
      <c r="J47" s="417" t="str">
        <f t="shared" ref="J47:J60" si="39">IFERROR(AVERAGE(Q47,V47,AA47,AF47,AK47,AP47,AU47),"-")</f>
        <v>-</v>
      </c>
      <c r="K47" s="199" t="str">
        <f t="shared" ref="K47:K60" si="40">IFERROR(AVERAGE(R47,W47,AB47,AG47,AL47,AQ47,AV47),"-")</f>
        <v>-</v>
      </c>
      <c r="L47" s="608" t="str">
        <f>IFERROR(AVERAGE(K47:K61),"-")</f>
        <v>-</v>
      </c>
      <c r="M47" s="421" t="e">
        <f>RANK(K47, K$47:$K$61)</f>
        <v>#VALUE!</v>
      </c>
      <c r="N47" s="627"/>
      <c r="O47" s="627"/>
      <c r="P47" s="483"/>
      <c r="Q47" s="420"/>
      <c r="R47" s="420"/>
      <c r="S47" s="483"/>
      <c r="T47" s="636"/>
      <c r="U47" s="483"/>
      <c r="V47" s="420"/>
      <c r="W47" s="420"/>
      <c r="X47" s="483"/>
      <c r="Y47" s="636"/>
      <c r="Z47" s="483"/>
      <c r="AA47" s="420"/>
      <c r="AB47" s="420"/>
      <c r="AC47" s="483"/>
      <c r="AD47" s="636"/>
      <c r="AE47" s="483"/>
      <c r="AF47" s="420"/>
      <c r="AG47" s="420"/>
      <c r="AH47" s="483"/>
      <c r="AI47" s="636"/>
      <c r="AJ47" s="483"/>
      <c r="AK47" s="420"/>
      <c r="AL47" s="420"/>
      <c r="AM47" s="483"/>
      <c r="AN47" s="636"/>
      <c r="AO47" s="483"/>
      <c r="AP47" s="420"/>
      <c r="AQ47" s="420"/>
      <c r="AR47" s="483"/>
      <c r="AS47" s="636"/>
      <c r="AT47" s="483"/>
      <c r="AU47" s="420"/>
      <c r="AV47" s="420"/>
      <c r="AW47" s="483"/>
      <c r="AX47" s="636"/>
      <c r="AZ47" s="402" t="e">
        <f t="shared" ref="AZ47:AZ61" si="41">RANK(AY47, AY$47:AY$61)</f>
        <v>#N/A</v>
      </c>
      <c r="BA47" s="636" t="e">
        <f t="shared" ref="BA47" si="42">AVERAGE(AY47:AY61)</f>
        <v>#DIV/0!</v>
      </c>
    </row>
    <row r="48" spans="2:53">
      <c r="B48" s="635"/>
      <c r="C48" s="415">
        <v>2</v>
      </c>
      <c r="D48" s="225"/>
      <c r="E48" s="420"/>
      <c r="F48" s="500"/>
      <c r="G48" s="501"/>
      <c r="H48" s="672"/>
      <c r="I48" s="417" t="str">
        <f t="shared" si="38"/>
        <v>-</v>
      </c>
      <c r="J48" s="417" t="str">
        <f t="shared" si="39"/>
        <v>-</v>
      </c>
      <c r="K48" s="199" t="str">
        <f t="shared" si="40"/>
        <v>-</v>
      </c>
      <c r="L48" s="609"/>
      <c r="M48" s="486" t="e">
        <f>RANK(K48, K$47:$K$61)</f>
        <v>#VALUE!</v>
      </c>
      <c r="N48" s="627"/>
      <c r="O48" s="627"/>
      <c r="P48" s="483"/>
      <c r="Q48" s="420"/>
      <c r="R48" s="420"/>
      <c r="S48" s="483"/>
      <c r="T48" s="637"/>
      <c r="U48" s="483"/>
      <c r="V48" s="420"/>
      <c r="W48" s="420"/>
      <c r="X48" s="483"/>
      <c r="Y48" s="637"/>
      <c r="Z48" s="483"/>
      <c r="AA48" s="420"/>
      <c r="AB48" s="420"/>
      <c r="AC48" s="483"/>
      <c r="AD48" s="637"/>
      <c r="AE48" s="483"/>
      <c r="AF48" s="420"/>
      <c r="AG48" s="420"/>
      <c r="AH48" s="483"/>
      <c r="AI48" s="637"/>
      <c r="AJ48" s="483"/>
      <c r="AK48" s="420"/>
      <c r="AL48" s="420"/>
      <c r="AM48" s="483"/>
      <c r="AN48" s="637"/>
      <c r="AO48" s="483"/>
      <c r="AP48" s="420"/>
      <c r="AQ48" s="420"/>
      <c r="AR48" s="483"/>
      <c r="AS48" s="637"/>
      <c r="AT48" s="483"/>
      <c r="AU48" s="420"/>
      <c r="AV48" s="420"/>
      <c r="AW48" s="483"/>
      <c r="AX48" s="637"/>
      <c r="AZ48" s="483" t="e">
        <f t="shared" si="41"/>
        <v>#N/A</v>
      </c>
      <c r="BA48" s="637"/>
    </row>
    <row r="49" spans="2:53">
      <c r="B49" s="635"/>
      <c r="C49" s="415">
        <v>3</v>
      </c>
      <c r="D49" s="225"/>
      <c r="E49" s="420"/>
      <c r="F49" s="500"/>
      <c r="G49" s="501"/>
      <c r="H49" s="672"/>
      <c r="I49" s="417" t="str">
        <f t="shared" si="38"/>
        <v>-</v>
      </c>
      <c r="J49" s="417" t="str">
        <f t="shared" si="39"/>
        <v>-</v>
      </c>
      <c r="K49" s="199" t="str">
        <f t="shared" si="40"/>
        <v>-</v>
      </c>
      <c r="L49" s="609"/>
      <c r="M49" s="486" t="e">
        <f>RANK(K49, K$47:$K$61)</f>
        <v>#VALUE!</v>
      </c>
      <c r="N49" s="627"/>
      <c r="O49" s="627"/>
      <c r="P49" s="483"/>
      <c r="Q49" s="420"/>
      <c r="R49" s="420"/>
      <c r="S49" s="483"/>
      <c r="T49" s="637"/>
      <c r="U49" s="483"/>
      <c r="V49" s="420"/>
      <c r="W49" s="420"/>
      <c r="X49" s="483"/>
      <c r="Y49" s="637"/>
      <c r="Z49" s="483"/>
      <c r="AA49" s="420"/>
      <c r="AB49" s="420"/>
      <c r="AC49" s="483"/>
      <c r="AD49" s="637"/>
      <c r="AE49" s="483"/>
      <c r="AF49" s="420"/>
      <c r="AG49" s="420"/>
      <c r="AH49" s="483"/>
      <c r="AI49" s="637"/>
      <c r="AJ49" s="483"/>
      <c r="AK49" s="420"/>
      <c r="AL49" s="420"/>
      <c r="AM49" s="483"/>
      <c r="AN49" s="637"/>
      <c r="AO49" s="483"/>
      <c r="AP49" s="420"/>
      <c r="AQ49" s="420"/>
      <c r="AR49" s="483"/>
      <c r="AS49" s="637"/>
      <c r="AT49" s="483"/>
      <c r="AU49" s="420"/>
      <c r="AV49" s="420"/>
      <c r="AW49" s="483"/>
      <c r="AX49" s="637"/>
      <c r="AZ49" s="483" t="e">
        <f t="shared" si="41"/>
        <v>#N/A</v>
      </c>
      <c r="BA49" s="637"/>
    </row>
    <row r="50" spans="2:53">
      <c r="B50" s="635"/>
      <c r="C50" s="415">
        <v>4</v>
      </c>
      <c r="D50" s="225"/>
      <c r="E50" s="420"/>
      <c r="F50" s="500"/>
      <c r="G50" s="501"/>
      <c r="H50" s="672"/>
      <c r="I50" s="417" t="str">
        <f t="shared" si="38"/>
        <v>-</v>
      </c>
      <c r="J50" s="417" t="str">
        <f t="shared" si="39"/>
        <v>-</v>
      </c>
      <c r="K50" s="199" t="str">
        <f t="shared" si="40"/>
        <v>-</v>
      </c>
      <c r="L50" s="609"/>
      <c r="M50" s="486" t="e">
        <f>RANK(K50, K$47:$K$61)</f>
        <v>#VALUE!</v>
      </c>
      <c r="N50" s="627"/>
      <c r="O50" s="627"/>
      <c r="P50" s="483"/>
      <c r="Q50" s="420"/>
      <c r="R50" s="420"/>
      <c r="S50" s="483"/>
      <c r="T50" s="637"/>
      <c r="U50" s="483"/>
      <c r="V50" s="420"/>
      <c r="W50" s="420"/>
      <c r="X50" s="483"/>
      <c r="Y50" s="637"/>
      <c r="Z50" s="483"/>
      <c r="AA50" s="420"/>
      <c r="AB50" s="420"/>
      <c r="AC50" s="483"/>
      <c r="AD50" s="637"/>
      <c r="AE50" s="483"/>
      <c r="AF50" s="420"/>
      <c r="AG50" s="420"/>
      <c r="AH50" s="483"/>
      <c r="AI50" s="637"/>
      <c r="AJ50" s="483"/>
      <c r="AK50" s="420"/>
      <c r="AL50" s="420"/>
      <c r="AM50" s="483"/>
      <c r="AN50" s="637"/>
      <c r="AO50" s="483"/>
      <c r="AP50" s="420"/>
      <c r="AQ50" s="420"/>
      <c r="AR50" s="483"/>
      <c r="AS50" s="637"/>
      <c r="AT50" s="483"/>
      <c r="AU50" s="420"/>
      <c r="AV50" s="420"/>
      <c r="AW50" s="483"/>
      <c r="AX50" s="637"/>
      <c r="AZ50" s="483" t="e">
        <f t="shared" si="41"/>
        <v>#N/A</v>
      </c>
      <c r="BA50" s="637"/>
    </row>
    <row r="51" spans="2:53">
      <c r="B51" s="635"/>
      <c r="C51" s="415">
        <v>5</v>
      </c>
      <c r="D51" s="225"/>
      <c r="E51" s="420"/>
      <c r="F51" s="500"/>
      <c r="G51" s="501"/>
      <c r="H51" s="672"/>
      <c r="I51" s="417" t="str">
        <f t="shared" si="38"/>
        <v>-</v>
      </c>
      <c r="J51" s="417" t="str">
        <f t="shared" si="39"/>
        <v>-</v>
      </c>
      <c r="K51" s="199" t="str">
        <f t="shared" si="40"/>
        <v>-</v>
      </c>
      <c r="L51" s="609"/>
      <c r="M51" s="486" t="e">
        <f>RANK(K51, K$47:$K$61)</f>
        <v>#VALUE!</v>
      </c>
      <c r="N51" s="627"/>
      <c r="O51" s="627"/>
      <c r="P51" s="483"/>
      <c r="Q51" s="420"/>
      <c r="R51" s="420"/>
      <c r="S51" s="483"/>
      <c r="T51" s="637"/>
      <c r="U51" s="483"/>
      <c r="V51" s="420"/>
      <c r="W51" s="420"/>
      <c r="X51" s="483"/>
      <c r="Y51" s="637"/>
      <c r="Z51" s="483"/>
      <c r="AA51" s="420"/>
      <c r="AB51" s="420"/>
      <c r="AC51" s="483"/>
      <c r="AD51" s="637"/>
      <c r="AE51" s="483"/>
      <c r="AF51" s="420"/>
      <c r="AG51" s="420"/>
      <c r="AH51" s="483"/>
      <c r="AI51" s="637"/>
      <c r="AJ51" s="483"/>
      <c r="AK51" s="420"/>
      <c r="AL51" s="420"/>
      <c r="AM51" s="483"/>
      <c r="AN51" s="637"/>
      <c r="AO51" s="483"/>
      <c r="AP51" s="420"/>
      <c r="AQ51" s="420"/>
      <c r="AR51" s="483"/>
      <c r="AS51" s="637"/>
      <c r="AT51" s="483"/>
      <c r="AU51" s="420"/>
      <c r="AV51" s="420"/>
      <c r="AW51" s="483"/>
      <c r="AX51" s="637"/>
      <c r="AZ51" s="483" t="e">
        <f t="shared" si="41"/>
        <v>#N/A</v>
      </c>
      <c r="BA51" s="637"/>
    </row>
    <row r="52" spans="2:53">
      <c r="B52" s="635"/>
      <c r="C52" s="415">
        <v>6</v>
      </c>
      <c r="D52" s="225"/>
      <c r="E52" s="420"/>
      <c r="F52" s="500"/>
      <c r="G52" s="501"/>
      <c r="H52" s="672"/>
      <c r="I52" s="417" t="str">
        <f t="shared" si="38"/>
        <v>-</v>
      </c>
      <c r="J52" s="417" t="str">
        <f t="shared" si="39"/>
        <v>-</v>
      </c>
      <c r="K52" s="199" t="str">
        <f t="shared" si="40"/>
        <v>-</v>
      </c>
      <c r="L52" s="609"/>
      <c r="M52" s="486" t="e">
        <f>RANK(K52, K$47:$K$61)</f>
        <v>#VALUE!</v>
      </c>
      <c r="N52" s="627"/>
      <c r="O52" s="627"/>
      <c r="P52" s="483"/>
      <c r="Q52" s="420"/>
      <c r="R52" s="420"/>
      <c r="S52" s="483"/>
      <c r="T52" s="637"/>
      <c r="U52" s="483"/>
      <c r="V52" s="420"/>
      <c r="W52" s="420"/>
      <c r="X52" s="483"/>
      <c r="Y52" s="637"/>
      <c r="Z52" s="483"/>
      <c r="AA52" s="420"/>
      <c r="AB52" s="420"/>
      <c r="AC52" s="483"/>
      <c r="AD52" s="637"/>
      <c r="AE52" s="483"/>
      <c r="AF52" s="420"/>
      <c r="AG52" s="420"/>
      <c r="AH52" s="483"/>
      <c r="AI52" s="637"/>
      <c r="AJ52" s="483"/>
      <c r="AK52" s="420"/>
      <c r="AL52" s="420"/>
      <c r="AM52" s="483"/>
      <c r="AN52" s="637"/>
      <c r="AO52" s="483"/>
      <c r="AP52" s="420"/>
      <c r="AQ52" s="420"/>
      <c r="AR52" s="483"/>
      <c r="AS52" s="637"/>
      <c r="AT52" s="483"/>
      <c r="AU52" s="420"/>
      <c r="AV52" s="420"/>
      <c r="AW52" s="483"/>
      <c r="AX52" s="637"/>
      <c r="AZ52" s="483" t="e">
        <f t="shared" si="41"/>
        <v>#N/A</v>
      </c>
      <c r="BA52" s="637"/>
    </row>
    <row r="53" spans="2:53">
      <c r="B53" s="635"/>
      <c r="C53" s="415">
        <v>7</v>
      </c>
      <c r="D53" s="225"/>
      <c r="E53" s="420"/>
      <c r="F53" s="500"/>
      <c r="G53" s="501"/>
      <c r="H53" s="672"/>
      <c r="I53" s="417" t="str">
        <f t="shared" si="38"/>
        <v>-</v>
      </c>
      <c r="J53" s="417" t="str">
        <f t="shared" si="39"/>
        <v>-</v>
      </c>
      <c r="K53" s="199" t="str">
        <f t="shared" si="40"/>
        <v>-</v>
      </c>
      <c r="L53" s="609"/>
      <c r="M53" s="486" t="e">
        <f>RANK(K53, K$47:$K$61)</f>
        <v>#VALUE!</v>
      </c>
      <c r="N53" s="627"/>
      <c r="O53" s="627"/>
      <c r="P53" s="483"/>
      <c r="Q53" s="420"/>
      <c r="R53" s="420"/>
      <c r="S53" s="483"/>
      <c r="T53" s="637"/>
      <c r="U53" s="483"/>
      <c r="V53" s="420"/>
      <c r="W53" s="420"/>
      <c r="X53" s="483"/>
      <c r="Y53" s="637"/>
      <c r="Z53" s="483"/>
      <c r="AA53" s="420"/>
      <c r="AB53" s="420"/>
      <c r="AC53" s="483"/>
      <c r="AD53" s="637"/>
      <c r="AE53" s="483"/>
      <c r="AF53" s="420"/>
      <c r="AG53" s="420"/>
      <c r="AH53" s="483"/>
      <c r="AI53" s="637"/>
      <c r="AJ53" s="483"/>
      <c r="AK53" s="420"/>
      <c r="AL53" s="420"/>
      <c r="AM53" s="483"/>
      <c r="AN53" s="637"/>
      <c r="AO53" s="483"/>
      <c r="AP53" s="420"/>
      <c r="AQ53" s="420"/>
      <c r="AR53" s="483"/>
      <c r="AS53" s="637"/>
      <c r="AT53" s="483"/>
      <c r="AU53" s="420"/>
      <c r="AV53" s="420"/>
      <c r="AW53" s="483"/>
      <c r="AX53" s="637"/>
      <c r="AZ53" s="483" t="e">
        <f t="shared" si="41"/>
        <v>#N/A</v>
      </c>
      <c r="BA53" s="637"/>
    </row>
    <row r="54" spans="2:53">
      <c r="B54" s="635"/>
      <c r="C54" s="415">
        <v>8</v>
      </c>
      <c r="D54" s="225"/>
      <c r="E54" s="420"/>
      <c r="F54" s="500"/>
      <c r="G54" s="501"/>
      <c r="H54" s="672"/>
      <c r="I54" s="417" t="str">
        <f t="shared" si="38"/>
        <v>-</v>
      </c>
      <c r="J54" s="417" t="str">
        <f t="shared" si="39"/>
        <v>-</v>
      </c>
      <c r="K54" s="199" t="str">
        <f t="shared" si="40"/>
        <v>-</v>
      </c>
      <c r="L54" s="609"/>
      <c r="M54" s="486" t="e">
        <f>RANK(K54, K$47:$K$61)</f>
        <v>#VALUE!</v>
      </c>
      <c r="N54" s="627"/>
      <c r="O54" s="627"/>
      <c r="P54" s="483"/>
      <c r="Q54" s="420"/>
      <c r="R54" s="420"/>
      <c r="S54" s="483"/>
      <c r="T54" s="637"/>
      <c r="U54" s="483"/>
      <c r="V54" s="420"/>
      <c r="W54" s="420"/>
      <c r="X54" s="483"/>
      <c r="Y54" s="637"/>
      <c r="Z54" s="483"/>
      <c r="AA54" s="420"/>
      <c r="AB54" s="420"/>
      <c r="AC54" s="483"/>
      <c r="AD54" s="637"/>
      <c r="AE54" s="483"/>
      <c r="AF54" s="420"/>
      <c r="AG54" s="420"/>
      <c r="AH54" s="483"/>
      <c r="AI54" s="637"/>
      <c r="AJ54" s="483"/>
      <c r="AK54" s="420"/>
      <c r="AL54" s="420"/>
      <c r="AM54" s="483"/>
      <c r="AN54" s="637"/>
      <c r="AO54" s="483"/>
      <c r="AP54" s="420"/>
      <c r="AQ54" s="420"/>
      <c r="AR54" s="483"/>
      <c r="AS54" s="637"/>
      <c r="AT54" s="483"/>
      <c r="AU54" s="420"/>
      <c r="AV54" s="420"/>
      <c r="AW54" s="483"/>
      <c r="AX54" s="637"/>
      <c r="AZ54" s="483" t="e">
        <f t="shared" si="41"/>
        <v>#N/A</v>
      </c>
      <c r="BA54" s="637"/>
    </row>
    <row r="55" spans="2:53">
      <c r="B55" s="635"/>
      <c r="C55" s="415">
        <v>9</v>
      </c>
      <c r="D55" s="225"/>
      <c r="E55" s="420"/>
      <c r="F55" s="500"/>
      <c r="G55" s="501"/>
      <c r="H55" s="672"/>
      <c r="I55" s="417" t="str">
        <f t="shared" si="38"/>
        <v>-</v>
      </c>
      <c r="J55" s="417" t="str">
        <f t="shared" si="39"/>
        <v>-</v>
      </c>
      <c r="K55" s="199" t="str">
        <f t="shared" si="40"/>
        <v>-</v>
      </c>
      <c r="L55" s="609"/>
      <c r="M55" s="486" t="e">
        <f>RANK(K55, K$47:$K$61)</f>
        <v>#VALUE!</v>
      </c>
      <c r="N55" s="627"/>
      <c r="O55" s="627"/>
      <c r="P55" s="483"/>
      <c r="Q55" s="420"/>
      <c r="R55" s="420"/>
      <c r="S55" s="483"/>
      <c r="T55" s="637"/>
      <c r="U55" s="483"/>
      <c r="V55" s="420"/>
      <c r="W55" s="420"/>
      <c r="X55" s="483"/>
      <c r="Y55" s="637"/>
      <c r="Z55" s="483"/>
      <c r="AA55" s="420"/>
      <c r="AB55" s="420"/>
      <c r="AC55" s="483"/>
      <c r="AD55" s="637"/>
      <c r="AE55" s="483"/>
      <c r="AF55" s="420"/>
      <c r="AG55" s="420"/>
      <c r="AH55" s="483"/>
      <c r="AI55" s="637"/>
      <c r="AJ55" s="483"/>
      <c r="AK55" s="420"/>
      <c r="AL55" s="420"/>
      <c r="AM55" s="483"/>
      <c r="AN55" s="637"/>
      <c r="AO55" s="483"/>
      <c r="AP55" s="420"/>
      <c r="AQ55" s="420"/>
      <c r="AR55" s="483"/>
      <c r="AS55" s="637"/>
      <c r="AT55" s="483"/>
      <c r="AU55" s="420"/>
      <c r="AV55" s="420"/>
      <c r="AW55" s="483"/>
      <c r="AX55" s="637"/>
      <c r="AZ55" s="483" t="e">
        <f t="shared" si="41"/>
        <v>#N/A</v>
      </c>
      <c r="BA55" s="637"/>
    </row>
    <row r="56" spans="2:53">
      <c r="B56" s="635"/>
      <c r="C56" s="415">
        <v>10</v>
      </c>
      <c r="D56" s="225"/>
      <c r="E56" s="420"/>
      <c r="F56" s="500"/>
      <c r="G56" s="501"/>
      <c r="H56" s="672"/>
      <c r="I56" s="417" t="str">
        <f t="shared" si="38"/>
        <v>-</v>
      </c>
      <c r="J56" s="417" t="str">
        <f t="shared" si="39"/>
        <v>-</v>
      </c>
      <c r="K56" s="199" t="str">
        <f t="shared" si="40"/>
        <v>-</v>
      </c>
      <c r="L56" s="609"/>
      <c r="M56" s="486" t="e">
        <f>RANK(K56, K$47:$K$61)</f>
        <v>#VALUE!</v>
      </c>
      <c r="N56" s="627"/>
      <c r="O56" s="627"/>
      <c r="P56" s="483"/>
      <c r="Q56" s="420"/>
      <c r="R56" s="420"/>
      <c r="S56" s="483"/>
      <c r="T56" s="637"/>
      <c r="U56" s="483"/>
      <c r="V56" s="420"/>
      <c r="W56" s="420"/>
      <c r="X56" s="483"/>
      <c r="Y56" s="637"/>
      <c r="Z56" s="483"/>
      <c r="AA56" s="420"/>
      <c r="AB56" s="420"/>
      <c r="AC56" s="483"/>
      <c r="AD56" s="637"/>
      <c r="AE56" s="483"/>
      <c r="AF56" s="420"/>
      <c r="AG56" s="420"/>
      <c r="AH56" s="483"/>
      <c r="AI56" s="637"/>
      <c r="AJ56" s="483"/>
      <c r="AK56" s="420"/>
      <c r="AL56" s="420"/>
      <c r="AM56" s="483"/>
      <c r="AN56" s="637"/>
      <c r="AO56" s="483"/>
      <c r="AP56" s="420"/>
      <c r="AQ56" s="420"/>
      <c r="AR56" s="483"/>
      <c r="AS56" s="637"/>
      <c r="AT56" s="483"/>
      <c r="AU56" s="420"/>
      <c r="AV56" s="420"/>
      <c r="AW56" s="483"/>
      <c r="AX56" s="637"/>
      <c r="AZ56" s="483" t="e">
        <f t="shared" si="41"/>
        <v>#N/A</v>
      </c>
      <c r="BA56" s="637"/>
    </row>
    <row r="57" spans="2:53">
      <c r="B57" s="635"/>
      <c r="C57" s="415">
        <v>11</v>
      </c>
      <c r="D57" s="225"/>
      <c r="E57" s="420"/>
      <c r="F57" s="500"/>
      <c r="G57" s="501"/>
      <c r="H57" s="672"/>
      <c r="I57" s="417" t="str">
        <f t="shared" si="38"/>
        <v>-</v>
      </c>
      <c r="J57" s="417" t="str">
        <f t="shared" si="39"/>
        <v>-</v>
      </c>
      <c r="K57" s="199" t="str">
        <f t="shared" si="40"/>
        <v>-</v>
      </c>
      <c r="L57" s="609"/>
      <c r="M57" s="486" t="e">
        <f>RANK(K57, K$47:$K$61)</f>
        <v>#VALUE!</v>
      </c>
      <c r="N57" s="627"/>
      <c r="O57" s="627"/>
      <c r="P57" s="483"/>
      <c r="Q57" s="420"/>
      <c r="R57" s="420"/>
      <c r="S57" s="483"/>
      <c r="T57" s="637"/>
      <c r="U57" s="483"/>
      <c r="V57" s="420"/>
      <c r="W57" s="420"/>
      <c r="X57" s="483"/>
      <c r="Y57" s="637"/>
      <c r="Z57" s="483"/>
      <c r="AA57" s="420"/>
      <c r="AB57" s="420"/>
      <c r="AC57" s="483"/>
      <c r="AD57" s="637"/>
      <c r="AE57" s="483"/>
      <c r="AF57" s="420"/>
      <c r="AG57" s="420"/>
      <c r="AH57" s="483"/>
      <c r="AI57" s="637"/>
      <c r="AJ57" s="483"/>
      <c r="AK57" s="420"/>
      <c r="AL57" s="420"/>
      <c r="AM57" s="483"/>
      <c r="AN57" s="637"/>
      <c r="AO57" s="483"/>
      <c r="AP57" s="420"/>
      <c r="AQ57" s="420"/>
      <c r="AR57" s="483"/>
      <c r="AS57" s="637"/>
      <c r="AT57" s="483"/>
      <c r="AU57" s="420"/>
      <c r="AV57" s="420"/>
      <c r="AW57" s="483"/>
      <c r="AX57" s="637"/>
      <c r="AZ57" s="483" t="e">
        <f t="shared" si="41"/>
        <v>#N/A</v>
      </c>
      <c r="BA57" s="637"/>
    </row>
    <row r="58" spans="2:53">
      <c r="B58" s="635"/>
      <c r="C58" s="415">
        <v>12</v>
      </c>
      <c r="D58" s="225"/>
      <c r="E58" s="420"/>
      <c r="F58" s="500"/>
      <c r="G58" s="501"/>
      <c r="H58" s="672"/>
      <c r="I58" s="417" t="str">
        <f t="shared" si="38"/>
        <v>-</v>
      </c>
      <c r="J58" s="417" t="str">
        <f t="shared" si="39"/>
        <v>-</v>
      </c>
      <c r="K58" s="199" t="str">
        <f t="shared" si="40"/>
        <v>-</v>
      </c>
      <c r="L58" s="609"/>
      <c r="M58" s="486" t="e">
        <f>RANK(K58, K$47:$K$61)</f>
        <v>#VALUE!</v>
      </c>
      <c r="N58" s="627"/>
      <c r="O58" s="627"/>
      <c r="P58" s="483"/>
      <c r="Q58" s="420"/>
      <c r="R58" s="420"/>
      <c r="S58" s="483"/>
      <c r="T58" s="637"/>
      <c r="U58" s="483"/>
      <c r="V58" s="420"/>
      <c r="W58" s="420"/>
      <c r="X58" s="483"/>
      <c r="Y58" s="637"/>
      <c r="Z58" s="483"/>
      <c r="AA58" s="420"/>
      <c r="AB58" s="420"/>
      <c r="AC58" s="483"/>
      <c r="AD58" s="637"/>
      <c r="AE58" s="483"/>
      <c r="AF58" s="420"/>
      <c r="AG58" s="420"/>
      <c r="AH58" s="483"/>
      <c r="AI58" s="637"/>
      <c r="AJ58" s="483"/>
      <c r="AK58" s="420"/>
      <c r="AL58" s="420"/>
      <c r="AM58" s="483"/>
      <c r="AN58" s="637"/>
      <c r="AO58" s="483"/>
      <c r="AP58" s="420"/>
      <c r="AQ58" s="420"/>
      <c r="AR58" s="483"/>
      <c r="AS58" s="637"/>
      <c r="AT58" s="483"/>
      <c r="AU58" s="420"/>
      <c r="AV58" s="420"/>
      <c r="AW58" s="483"/>
      <c r="AX58" s="637"/>
      <c r="AZ58" s="483" t="e">
        <f t="shared" si="41"/>
        <v>#N/A</v>
      </c>
      <c r="BA58" s="637"/>
    </row>
    <row r="59" spans="2:53">
      <c r="B59" s="635"/>
      <c r="C59" s="415">
        <v>13</v>
      </c>
      <c r="D59" s="225"/>
      <c r="E59" s="420"/>
      <c r="F59" s="500"/>
      <c r="G59" s="501"/>
      <c r="H59" s="672"/>
      <c r="I59" s="417" t="str">
        <f t="shared" si="38"/>
        <v>-</v>
      </c>
      <c r="J59" s="417" t="str">
        <f t="shared" si="39"/>
        <v>-</v>
      </c>
      <c r="K59" s="199" t="str">
        <f t="shared" si="40"/>
        <v>-</v>
      </c>
      <c r="L59" s="609"/>
      <c r="M59" s="486" t="e">
        <f>RANK(K59, K$47:$K$61)</f>
        <v>#VALUE!</v>
      </c>
      <c r="N59" s="627"/>
      <c r="O59" s="627"/>
      <c r="P59" s="483"/>
      <c r="Q59" s="420"/>
      <c r="R59" s="420"/>
      <c r="S59" s="483"/>
      <c r="T59" s="637"/>
      <c r="U59" s="483"/>
      <c r="V59" s="420"/>
      <c r="W59" s="420"/>
      <c r="X59" s="483"/>
      <c r="Y59" s="637"/>
      <c r="Z59" s="483"/>
      <c r="AA59" s="420"/>
      <c r="AB59" s="420"/>
      <c r="AC59" s="483"/>
      <c r="AD59" s="637"/>
      <c r="AE59" s="483"/>
      <c r="AF59" s="420"/>
      <c r="AG59" s="420"/>
      <c r="AH59" s="483"/>
      <c r="AI59" s="637"/>
      <c r="AJ59" s="483"/>
      <c r="AK59" s="420"/>
      <c r="AL59" s="420"/>
      <c r="AM59" s="483"/>
      <c r="AN59" s="637"/>
      <c r="AO59" s="483"/>
      <c r="AP59" s="420"/>
      <c r="AQ59" s="420"/>
      <c r="AR59" s="483"/>
      <c r="AS59" s="637"/>
      <c r="AT59" s="483"/>
      <c r="AU59" s="420"/>
      <c r="AV59" s="420"/>
      <c r="AW59" s="483"/>
      <c r="AX59" s="637"/>
      <c r="AZ59" s="483" t="e">
        <f t="shared" si="41"/>
        <v>#N/A</v>
      </c>
      <c r="BA59" s="637"/>
    </row>
    <row r="60" spans="2:53">
      <c r="B60" s="635"/>
      <c r="C60" s="415">
        <v>14</v>
      </c>
      <c r="D60" s="225"/>
      <c r="E60" s="420"/>
      <c r="F60" s="500"/>
      <c r="G60" s="501"/>
      <c r="H60" s="672"/>
      <c r="I60" s="417" t="str">
        <f t="shared" si="38"/>
        <v>-</v>
      </c>
      <c r="J60" s="417" t="str">
        <f t="shared" si="39"/>
        <v>-</v>
      </c>
      <c r="K60" s="199" t="str">
        <f t="shared" si="40"/>
        <v>-</v>
      </c>
      <c r="L60" s="609"/>
      <c r="M60" s="486" t="e">
        <f>RANK(K60, K$47:$K$61)</f>
        <v>#VALUE!</v>
      </c>
      <c r="N60" s="627"/>
      <c r="O60" s="627"/>
      <c r="P60" s="483"/>
      <c r="Q60" s="420"/>
      <c r="R60" s="420"/>
      <c r="S60" s="483"/>
      <c r="T60" s="637"/>
      <c r="U60" s="483"/>
      <c r="V60" s="420"/>
      <c r="W60" s="420"/>
      <c r="X60" s="483"/>
      <c r="Y60" s="637"/>
      <c r="Z60" s="483"/>
      <c r="AA60" s="420"/>
      <c r="AB60" s="420"/>
      <c r="AC60" s="483"/>
      <c r="AD60" s="637"/>
      <c r="AE60" s="483"/>
      <c r="AF60" s="420"/>
      <c r="AG60" s="420"/>
      <c r="AH60" s="483"/>
      <c r="AI60" s="637"/>
      <c r="AJ60" s="483"/>
      <c r="AK60" s="420"/>
      <c r="AL60" s="420"/>
      <c r="AM60" s="483"/>
      <c r="AN60" s="637"/>
      <c r="AO60" s="483"/>
      <c r="AP60" s="420"/>
      <c r="AQ60" s="420"/>
      <c r="AR60" s="483"/>
      <c r="AS60" s="637"/>
      <c r="AT60" s="483"/>
      <c r="AU60" s="420"/>
      <c r="AV60" s="420"/>
      <c r="AW60" s="483"/>
      <c r="AX60" s="637"/>
      <c r="AZ60" s="483" t="e">
        <f t="shared" si="41"/>
        <v>#N/A</v>
      </c>
      <c r="BA60" s="637"/>
    </row>
    <row r="61" spans="2:53">
      <c r="B61" s="635"/>
      <c r="C61" s="415">
        <v>15</v>
      </c>
      <c r="D61" s="225"/>
      <c r="E61" s="420"/>
      <c r="F61" s="500"/>
      <c r="G61" s="501"/>
      <c r="H61" s="676"/>
      <c r="I61" s="415"/>
      <c r="J61" s="415"/>
      <c r="K61" s="415"/>
      <c r="L61" s="610"/>
      <c r="M61" s="486" t="e">
        <f>RANK(K61, K$47:$K$61)</f>
        <v>#N/A</v>
      </c>
      <c r="N61" s="627"/>
      <c r="O61" s="627"/>
      <c r="P61" s="483"/>
      <c r="Q61" s="420"/>
      <c r="R61" s="420"/>
      <c r="S61" s="483"/>
      <c r="T61" s="638"/>
      <c r="U61" s="483"/>
      <c r="V61" s="420"/>
      <c r="W61" s="420"/>
      <c r="X61" s="483"/>
      <c r="Y61" s="638"/>
      <c r="Z61" s="483"/>
      <c r="AA61" s="420"/>
      <c r="AB61" s="420"/>
      <c r="AC61" s="483"/>
      <c r="AD61" s="638"/>
      <c r="AE61" s="483"/>
      <c r="AF61" s="420"/>
      <c r="AG61" s="420"/>
      <c r="AH61" s="483"/>
      <c r="AI61" s="638"/>
      <c r="AJ61" s="483"/>
      <c r="AK61" s="420"/>
      <c r="AL61" s="420"/>
      <c r="AM61" s="483"/>
      <c r="AN61" s="638"/>
      <c r="AO61" s="483"/>
      <c r="AP61" s="420"/>
      <c r="AQ61" s="420"/>
      <c r="AR61" s="483"/>
      <c r="AS61" s="638"/>
      <c r="AT61" s="483"/>
      <c r="AU61" s="420"/>
      <c r="AV61" s="420"/>
      <c r="AW61" s="483"/>
      <c r="AX61" s="638"/>
      <c r="AZ61" s="483" t="e">
        <f t="shared" si="41"/>
        <v>#N/A</v>
      </c>
      <c r="BA61" s="638"/>
    </row>
    <row r="62" spans="2:53" ht="15.75">
      <c r="B62" s="639" t="s">
        <v>163</v>
      </c>
      <c r="C62" s="640"/>
      <c r="D62" s="640"/>
      <c r="E62" s="640"/>
      <c r="F62" s="640"/>
      <c r="G62" s="640"/>
      <c r="H62" s="641"/>
      <c r="I62" s="207"/>
      <c r="J62" s="207"/>
      <c r="K62" s="207"/>
      <c r="L62" s="207"/>
      <c r="M62" s="206"/>
      <c r="N62" s="628" t="s">
        <v>156</v>
      </c>
      <c r="O62" s="628" t="s">
        <v>105</v>
      </c>
      <c r="P62" s="634">
        <f>P42+7</f>
        <v>46161</v>
      </c>
      <c r="Q62" s="635"/>
      <c r="R62" s="635"/>
      <c r="S62" s="635"/>
      <c r="T62" s="635"/>
      <c r="U62" s="631">
        <f>P62+1</f>
        <v>46162</v>
      </c>
      <c r="V62" s="632"/>
      <c r="W62" s="632"/>
      <c r="X62" s="632"/>
      <c r="Y62" s="633"/>
      <c r="Z62" s="631">
        <f>U62+1</f>
        <v>46163</v>
      </c>
      <c r="AA62" s="632"/>
      <c r="AB62" s="632"/>
      <c r="AC62" s="632"/>
      <c r="AD62" s="633"/>
      <c r="AE62" s="631">
        <f>Z62+1</f>
        <v>46164</v>
      </c>
      <c r="AF62" s="632"/>
      <c r="AG62" s="632"/>
      <c r="AH62" s="632"/>
      <c r="AI62" s="633"/>
      <c r="AJ62" s="631">
        <f>AE62+1</f>
        <v>46165</v>
      </c>
      <c r="AK62" s="632"/>
      <c r="AL62" s="632"/>
      <c r="AM62" s="632"/>
      <c r="AN62" s="633"/>
      <c r="AO62" s="631">
        <f>AJ62+1</f>
        <v>46166</v>
      </c>
      <c r="AP62" s="632"/>
      <c r="AQ62" s="632"/>
      <c r="AR62" s="632"/>
      <c r="AS62" s="633"/>
      <c r="AT62" s="631">
        <f>AO62+1</f>
        <v>46167</v>
      </c>
      <c r="AU62" s="632"/>
      <c r="AV62" s="632"/>
      <c r="AW62" s="632"/>
      <c r="AX62" s="633"/>
    </row>
    <row r="63" spans="2:53" ht="15.75">
      <c r="B63" s="642"/>
      <c r="C63" s="642"/>
      <c r="D63" s="642"/>
      <c r="E63" s="642"/>
      <c r="F63" s="642"/>
      <c r="G63" s="642"/>
      <c r="H63" s="642"/>
      <c r="I63" s="204"/>
      <c r="J63" s="204"/>
      <c r="K63" s="204"/>
      <c r="L63" s="204"/>
      <c r="M63" s="205"/>
      <c r="N63" s="630"/>
      <c r="O63" s="630"/>
      <c r="P63" s="634" t="s">
        <v>318</v>
      </c>
      <c r="Q63" s="635"/>
      <c r="R63" s="635"/>
      <c r="S63" s="635"/>
      <c r="T63" s="635"/>
      <c r="U63" s="634" t="s">
        <v>319</v>
      </c>
      <c r="V63" s="635"/>
      <c r="W63" s="635"/>
      <c r="X63" s="635"/>
      <c r="Y63" s="635"/>
      <c r="Z63" s="634" t="s">
        <v>320</v>
      </c>
      <c r="AA63" s="635"/>
      <c r="AB63" s="635"/>
      <c r="AC63" s="635"/>
      <c r="AD63" s="635"/>
      <c r="AE63" s="634" t="s">
        <v>321</v>
      </c>
      <c r="AF63" s="635"/>
      <c r="AG63" s="635"/>
      <c r="AH63" s="635"/>
      <c r="AI63" s="635"/>
      <c r="AJ63" s="634" t="s">
        <v>322</v>
      </c>
      <c r="AK63" s="635"/>
      <c r="AL63" s="635"/>
      <c r="AM63" s="635"/>
      <c r="AN63" s="635"/>
      <c r="AO63" s="634" t="s">
        <v>323</v>
      </c>
      <c r="AP63" s="635"/>
      <c r="AQ63" s="635"/>
      <c r="AR63" s="635"/>
      <c r="AS63" s="635"/>
      <c r="AT63" s="634" t="s">
        <v>324</v>
      </c>
      <c r="AU63" s="635"/>
      <c r="AV63" s="635"/>
      <c r="AW63" s="635"/>
      <c r="AX63" s="635"/>
    </row>
    <row r="64" spans="2:53">
      <c r="B64" s="627" t="s">
        <v>417</v>
      </c>
      <c r="C64" s="627" t="s">
        <v>551</v>
      </c>
      <c r="D64" s="627"/>
      <c r="E64" s="627" t="s">
        <v>552</v>
      </c>
      <c r="F64" s="627"/>
      <c r="G64" s="627"/>
      <c r="H64" s="643" t="s">
        <v>553</v>
      </c>
      <c r="I64" s="627" t="s">
        <v>554</v>
      </c>
      <c r="J64" s="627"/>
      <c r="K64" s="627"/>
      <c r="L64" s="643" t="s">
        <v>371</v>
      </c>
      <c r="M64" s="628" t="s">
        <v>555</v>
      </c>
      <c r="N64" s="627"/>
      <c r="O64" s="627" t="s">
        <v>377</v>
      </c>
      <c r="P64" s="624" t="s">
        <v>373</v>
      </c>
      <c r="Q64" s="625"/>
      <c r="R64" s="625"/>
      <c r="S64" s="626"/>
      <c r="T64" s="627" t="s">
        <v>371</v>
      </c>
      <c r="U64" s="624" t="s">
        <v>373</v>
      </c>
      <c r="V64" s="625"/>
      <c r="W64" s="625"/>
      <c r="X64" s="626"/>
      <c r="Y64" s="627" t="s">
        <v>371</v>
      </c>
      <c r="Z64" s="624" t="s">
        <v>373</v>
      </c>
      <c r="AA64" s="625"/>
      <c r="AB64" s="625"/>
      <c r="AC64" s="626"/>
      <c r="AD64" s="627" t="s">
        <v>371</v>
      </c>
      <c r="AE64" s="624" t="s">
        <v>373</v>
      </c>
      <c r="AF64" s="625"/>
      <c r="AG64" s="625"/>
      <c r="AH64" s="626"/>
      <c r="AI64" s="627" t="s">
        <v>371</v>
      </c>
      <c r="AJ64" s="624" t="s">
        <v>373</v>
      </c>
      <c r="AK64" s="625"/>
      <c r="AL64" s="625"/>
      <c r="AM64" s="626"/>
      <c r="AN64" s="627" t="s">
        <v>371</v>
      </c>
      <c r="AO64" s="624" t="s">
        <v>373</v>
      </c>
      <c r="AP64" s="625"/>
      <c r="AQ64" s="625"/>
      <c r="AR64" s="626"/>
      <c r="AS64" s="627" t="s">
        <v>371</v>
      </c>
      <c r="AT64" s="624" t="s">
        <v>373</v>
      </c>
      <c r="AU64" s="625"/>
      <c r="AV64" s="625"/>
      <c r="AW64" s="626"/>
      <c r="AX64" s="627" t="s">
        <v>371</v>
      </c>
      <c r="BA64" s="627" t="s">
        <v>371</v>
      </c>
    </row>
    <row r="65" spans="2:53">
      <c r="B65" s="627"/>
      <c r="C65" s="627"/>
      <c r="D65" s="627"/>
      <c r="E65" s="627" t="s">
        <v>557</v>
      </c>
      <c r="F65" s="627"/>
      <c r="G65" s="627"/>
      <c r="H65" s="644"/>
      <c r="I65" s="627" t="s">
        <v>557</v>
      </c>
      <c r="J65" s="627"/>
      <c r="K65" s="627"/>
      <c r="L65" s="644"/>
      <c r="M65" s="629"/>
      <c r="N65" s="627"/>
      <c r="O65" s="627"/>
      <c r="P65" s="624" t="s">
        <v>379</v>
      </c>
      <c r="Q65" s="625"/>
      <c r="R65" s="625"/>
      <c r="S65" s="626"/>
      <c r="T65" s="627"/>
      <c r="U65" s="624" t="s">
        <v>379</v>
      </c>
      <c r="V65" s="625"/>
      <c r="W65" s="625"/>
      <c r="X65" s="626"/>
      <c r="Y65" s="627"/>
      <c r="Z65" s="624" t="s">
        <v>379</v>
      </c>
      <c r="AA65" s="625"/>
      <c r="AB65" s="625"/>
      <c r="AC65" s="626"/>
      <c r="AD65" s="627"/>
      <c r="AE65" s="624" t="s">
        <v>379</v>
      </c>
      <c r="AF65" s="625"/>
      <c r="AG65" s="625"/>
      <c r="AH65" s="626"/>
      <c r="AI65" s="627"/>
      <c r="AJ65" s="624" t="s">
        <v>379</v>
      </c>
      <c r="AK65" s="625"/>
      <c r="AL65" s="625"/>
      <c r="AM65" s="626"/>
      <c r="AN65" s="627"/>
      <c r="AO65" s="624" t="s">
        <v>379</v>
      </c>
      <c r="AP65" s="625"/>
      <c r="AQ65" s="625"/>
      <c r="AR65" s="626"/>
      <c r="AS65" s="627"/>
      <c r="AT65" s="624" t="s">
        <v>379</v>
      </c>
      <c r="AU65" s="625"/>
      <c r="AV65" s="625"/>
      <c r="AW65" s="626"/>
      <c r="AX65" s="627"/>
      <c r="BA65" s="627"/>
    </row>
    <row r="66" spans="2:53">
      <c r="B66" s="627"/>
      <c r="C66" s="627"/>
      <c r="D66" s="627"/>
      <c r="E66" s="412" t="s">
        <v>558</v>
      </c>
      <c r="F66" s="412" t="s">
        <v>559</v>
      </c>
      <c r="G66" s="412" t="s">
        <v>560</v>
      </c>
      <c r="H66" s="645"/>
      <c r="I66" s="412" t="s">
        <v>558</v>
      </c>
      <c r="J66" s="412" t="s">
        <v>559</v>
      </c>
      <c r="K66" s="412" t="s">
        <v>560</v>
      </c>
      <c r="L66" s="645"/>
      <c r="M66" s="630"/>
      <c r="N66" s="627"/>
      <c r="O66" s="627"/>
      <c r="P66" s="412" t="s">
        <v>380</v>
      </c>
      <c r="Q66" s="412" t="s">
        <v>381</v>
      </c>
      <c r="R66" s="412" t="s">
        <v>382</v>
      </c>
      <c r="S66" s="412" t="s">
        <v>372</v>
      </c>
      <c r="T66" s="627"/>
      <c r="U66" s="412" t="s">
        <v>380</v>
      </c>
      <c r="V66" s="412" t="s">
        <v>381</v>
      </c>
      <c r="W66" s="412" t="s">
        <v>382</v>
      </c>
      <c r="X66" s="412" t="s">
        <v>372</v>
      </c>
      <c r="Y66" s="627"/>
      <c r="Z66" s="412" t="s">
        <v>380</v>
      </c>
      <c r="AA66" s="412" t="s">
        <v>381</v>
      </c>
      <c r="AB66" s="412" t="s">
        <v>382</v>
      </c>
      <c r="AC66" s="412" t="s">
        <v>372</v>
      </c>
      <c r="AD66" s="627"/>
      <c r="AE66" s="412" t="s">
        <v>380</v>
      </c>
      <c r="AF66" s="412" t="s">
        <v>381</v>
      </c>
      <c r="AG66" s="412" t="s">
        <v>382</v>
      </c>
      <c r="AH66" s="412" t="s">
        <v>372</v>
      </c>
      <c r="AI66" s="627"/>
      <c r="AJ66" s="412" t="s">
        <v>380</v>
      </c>
      <c r="AK66" s="412" t="s">
        <v>381</v>
      </c>
      <c r="AL66" s="412" t="s">
        <v>382</v>
      </c>
      <c r="AM66" s="412" t="s">
        <v>372</v>
      </c>
      <c r="AN66" s="627"/>
      <c r="AO66" s="412" t="s">
        <v>380</v>
      </c>
      <c r="AP66" s="412" t="s">
        <v>381</v>
      </c>
      <c r="AQ66" s="412" t="s">
        <v>382</v>
      </c>
      <c r="AR66" s="412" t="s">
        <v>372</v>
      </c>
      <c r="AS66" s="627"/>
      <c r="AT66" s="412" t="s">
        <v>380</v>
      </c>
      <c r="AU66" s="412" t="s">
        <v>381</v>
      </c>
      <c r="AV66" s="412" t="s">
        <v>382</v>
      </c>
      <c r="AW66" s="412" t="s">
        <v>372</v>
      </c>
      <c r="AX66" s="627"/>
      <c r="AZ66" s="401" t="s">
        <v>372</v>
      </c>
      <c r="BA66" s="627"/>
    </row>
    <row r="67" spans="2:53">
      <c r="B67" s="627" t="s">
        <v>434</v>
      </c>
      <c r="C67" s="415">
        <v>1</v>
      </c>
      <c r="D67" s="225"/>
      <c r="E67" s="420"/>
      <c r="F67" s="500"/>
      <c r="G67" s="501"/>
      <c r="H67" s="671" t="e">
        <f>AVERAGE(G67:G81)</f>
        <v>#DIV/0!</v>
      </c>
      <c r="I67" s="417" t="str">
        <f t="shared" ref="I67:I80" si="43">IFERROR(AVERAGE(P67,U67,Z67,AE67,AJ67,AO67,AT67),"-")</f>
        <v>-</v>
      </c>
      <c r="J67" s="417" t="str">
        <f t="shared" ref="J67:J80" si="44">IFERROR(AVERAGE(Q67,V67,AA67,AF67,AK67,AP67,AU67),"-")</f>
        <v>-</v>
      </c>
      <c r="K67" s="199" t="str">
        <f t="shared" ref="K67:K80" si="45">IFERROR(AVERAGE(R67,W67,AB67,AG67,AL67,AQ67,AV67),"-")</f>
        <v>-</v>
      </c>
      <c r="L67" s="608" t="str">
        <f>IFERROR(AVERAGE(K67:K81),"-")</f>
        <v>-</v>
      </c>
      <c r="M67" s="421" t="e">
        <f>RANK(K67, K$67:$K$81)</f>
        <v>#VALUE!</v>
      </c>
      <c r="N67" s="627"/>
      <c r="O67" s="627"/>
      <c r="P67" s="488"/>
      <c r="Q67" s="490"/>
      <c r="R67" s="490"/>
      <c r="S67" s="487"/>
      <c r="T67" s="636"/>
      <c r="U67" s="488"/>
      <c r="V67" s="490"/>
      <c r="W67" s="490"/>
      <c r="X67" s="487"/>
      <c r="Y67" s="636"/>
      <c r="Z67" s="488"/>
      <c r="AA67" s="490"/>
      <c r="AB67" s="490"/>
      <c r="AC67" s="487"/>
      <c r="AD67" s="636"/>
      <c r="AE67" s="488"/>
      <c r="AF67" s="490"/>
      <c r="AG67" s="490"/>
      <c r="AH67" s="487"/>
      <c r="AI67" s="636"/>
      <c r="AJ67" s="488"/>
      <c r="AK67" s="490"/>
      <c r="AL67" s="490"/>
      <c r="AM67" s="487"/>
      <c r="AN67" s="636"/>
      <c r="AO67" s="488"/>
      <c r="AP67" s="490"/>
      <c r="AQ67" s="490"/>
      <c r="AR67" s="487"/>
      <c r="AS67" s="636"/>
      <c r="AT67" s="487"/>
      <c r="AU67" s="420"/>
      <c r="AV67" s="420"/>
      <c r="AW67" s="487"/>
      <c r="AX67" s="636"/>
      <c r="AZ67" s="402" t="e">
        <f t="shared" ref="AZ67:AZ81" si="46">RANK(AY67, AY$67:AY$81)</f>
        <v>#N/A</v>
      </c>
      <c r="BA67" s="636" t="e">
        <f t="shared" ref="BA67" si="47">AVERAGE(AY67:AY81)</f>
        <v>#DIV/0!</v>
      </c>
    </row>
    <row r="68" spans="2:53">
      <c r="B68" s="635"/>
      <c r="C68" s="415">
        <v>2</v>
      </c>
      <c r="D68" s="225"/>
      <c r="E68" s="420"/>
      <c r="F68" s="500"/>
      <c r="G68" s="501"/>
      <c r="H68" s="672"/>
      <c r="I68" s="417" t="str">
        <f t="shared" si="43"/>
        <v>-</v>
      </c>
      <c r="J68" s="417" t="str">
        <f t="shared" si="44"/>
        <v>-</v>
      </c>
      <c r="K68" s="199" t="str">
        <f t="shared" si="45"/>
        <v>-</v>
      </c>
      <c r="L68" s="609"/>
      <c r="M68" s="421" t="e">
        <f>RANK(K68, K$67:$K$81)</f>
        <v>#VALUE!</v>
      </c>
      <c r="N68" s="627"/>
      <c r="O68" s="627"/>
      <c r="P68" s="488"/>
      <c r="Q68" s="490"/>
      <c r="R68" s="490"/>
      <c r="S68" s="487"/>
      <c r="T68" s="637"/>
      <c r="U68" s="488"/>
      <c r="V68" s="490"/>
      <c r="W68" s="490"/>
      <c r="X68" s="487"/>
      <c r="Y68" s="637"/>
      <c r="Z68" s="488"/>
      <c r="AA68" s="490"/>
      <c r="AB68" s="490"/>
      <c r="AC68" s="487"/>
      <c r="AD68" s="637"/>
      <c r="AE68" s="488"/>
      <c r="AF68" s="490"/>
      <c r="AG68" s="490"/>
      <c r="AH68" s="487"/>
      <c r="AI68" s="637"/>
      <c r="AJ68" s="488"/>
      <c r="AK68" s="490"/>
      <c r="AL68" s="490"/>
      <c r="AM68" s="487"/>
      <c r="AN68" s="637"/>
      <c r="AO68" s="488"/>
      <c r="AP68" s="490"/>
      <c r="AQ68" s="490"/>
      <c r="AR68" s="487"/>
      <c r="AS68" s="637"/>
      <c r="AT68" s="487"/>
      <c r="AU68" s="420"/>
      <c r="AV68" s="420"/>
      <c r="AW68" s="487"/>
      <c r="AX68" s="637"/>
      <c r="AZ68" s="402" t="e">
        <f t="shared" si="46"/>
        <v>#N/A</v>
      </c>
      <c r="BA68" s="637"/>
    </row>
    <row r="69" spans="2:53">
      <c r="B69" s="635"/>
      <c r="C69" s="415">
        <v>3</v>
      </c>
      <c r="D69" s="225"/>
      <c r="E69" s="420"/>
      <c r="F69" s="500"/>
      <c r="G69" s="501"/>
      <c r="H69" s="672"/>
      <c r="I69" s="417" t="str">
        <f t="shared" si="43"/>
        <v>-</v>
      </c>
      <c r="J69" s="417" t="str">
        <f t="shared" si="44"/>
        <v>-</v>
      </c>
      <c r="K69" s="199" t="str">
        <f t="shared" si="45"/>
        <v>-</v>
      </c>
      <c r="L69" s="609"/>
      <c r="M69" s="421" t="e">
        <f>RANK(K69, K$67:$K$81)</f>
        <v>#VALUE!</v>
      </c>
      <c r="N69" s="627"/>
      <c r="O69" s="627"/>
      <c r="P69" s="488"/>
      <c r="Q69" s="490"/>
      <c r="R69" s="490"/>
      <c r="S69" s="487"/>
      <c r="T69" s="637"/>
      <c r="U69" s="488"/>
      <c r="V69" s="490"/>
      <c r="W69" s="490"/>
      <c r="X69" s="487"/>
      <c r="Y69" s="637"/>
      <c r="Z69" s="488"/>
      <c r="AA69" s="490"/>
      <c r="AB69" s="490"/>
      <c r="AC69" s="487"/>
      <c r="AD69" s="637"/>
      <c r="AE69" s="488"/>
      <c r="AF69" s="490"/>
      <c r="AG69" s="490"/>
      <c r="AH69" s="487"/>
      <c r="AI69" s="637"/>
      <c r="AJ69" s="488"/>
      <c r="AK69" s="490"/>
      <c r="AL69" s="490"/>
      <c r="AM69" s="487"/>
      <c r="AN69" s="637"/>
      <c r="AO69" s="488"/>
      <c r="AP69" s="490"/>
      <c r="AQ69" s="490"/>
      <c r="AR69" s="487"/>
      <c r="AS69" s="637"/>
      <c r="AT69" s="487"/>
      <c r="AU69" s="420"/>
      <c r="AV69" s="420"/>
      <c r="AW69" s="487"/>
      <c r="AX69" s="637"/>
      <c r="AZ69" s="402" t="e">
        <f t="shared" si="46"/>
        <v>#N/A</v>
      </c>
      <c r="BA69" s="637"/>
    </row>
    <row r="70" spans="2:53">
      <c r="B70" s="635"/>
      <c r="C70" s="415">
        <v>4</v>
      </c>
      <c r="D70" s="225"/>
      <c r="E70" s="420"/>
      <c r="F70" s="500"/>
      <c r="G70" s="501"/>
      <c r="H70" s="672"/>
      <c r="I70" s="417" t="str">
        <f t="shared" si="43"/>
        <v>-</v>
      </c>
      <c r="J70" s="417" t="str">
        <f t="shared" si="44"/>
        <v>-</v>
      </c>
      <c r="K70" s="199" t="str">
        <f t="shared" si="45"/>
        <v>-</v>
      </c>
      <c r="L70" s="609"/>
      <c r="M70" s="421" t="e">
        <f>RANK(K70, K$67:$K$81)</f>
        <v>#VALUE!</v>
      </c>
      <c r="N70" s="627"/>
      <c r="O70" s="627"/>
      <c r="P70" s="488"/>
      <c r="Q70" s="490"/>
      <c r="R70" s="490"/>
      <c r="S70" s="487"/>
      <c r="T70" s="637"/>
      <c r="U70" s="488"/>
      <c r="V70" s="490"/>
      <c r="W70" s="490"/>
      <c r="X70" s="487"/>
      <c r="Y70" s="637"/>
      <c r="Z70" s="488"/>
      <c r="AA70" s="490"/>
      <c r="AB70" s="490"/>
      <c r="AC70" s="487"/>
      <c r="AD70" s="637"/>
      <c r="AE70" s="488"/>
      <c r="AF70" s="490"/>
      <c r="AG70" s="490"/>
      <c r="AH70" s="487"/>
      <c r="AI70" s="637"/>
      <c r="AJ70" s="488"/>
      <c r="AK70" s="490"/>
      <c r="AL70" s="490"/>
      <c r="AM70" s="487"/>
      <c r="AN70" s="637"/>
      <c r="AO70" s="488"/>
      <c r="AP70" s="490"/>
      <c r="AQ70" s="490"/>
      <c r="AR70" s="487"/>
      <c r="AS70" s="637"/>
      <c r="AT70" s="487"/>
      <c r="AU70" s="420"/>
      <c r="AV70" s="420"/>
      <c r="AW70" s="487"/>
      <c r="AX70" s="637"/>
      <c r="AZ70" s="402" t="e">
        <f t="shared" si="46"/>
        <v>#N/A</v>
      </c>
      <c r="BA70" s="637"/>
    </row>
    <row r="71" spans="2:53">
      <c r="B71" s="635"/>
      <c r="C71" s="415">
        <v>5</v>
      </c>
      <c r="D71" s="225"/>
      <c r="E71" s="420"/>
      <c r="F71" s="500"/>
      <c r="G71" s="501"/>
      <c r="H71" s="672"/>
      <c r="I71" s="417" t="str">
        <f t="shared" si="43"/>
        <v>-</v>
      </c>
      <c r="J71" s="417" t="str">
        <f t="shared" si="44"/>
        <v>-</v>
      </c>
      <c r="K71" s="199" t="str">
        <f t="shared" si="45"/>
        <v>-</v>
      </c>
      <c r="L71" s="609"/>
      <c r="M71" s="421" t="e">
        <f>RANK(K71, K$67:$K$81)</f>
        <v>#VALUE!</v>
      </c>
      <c r="N71" s="627"/>
      <c r="O71" s="627"/>
      <c r="P71" s="488"/>
      <c r="Q71" s="490"/>
      <c r="R71" s="490"/>
      <c r="S71" s="487"/>
      <c r="T71" s="637"/>
      <c r="U71" s="488"/>
      <c r="V71" s="490"/>
      <c r="W71" s="490"/>
      <c r="X71" s="487"/>
      <c r="Y71" s="637"/>
      <c r="Z71" s="488"/>
      <c r="AA71" s="490"/>
      <c r="AB71" s="490"/>
      <c r="AC71" s="487"/>
      <c r="AD71" s="637"/>
      <c r="AE71" s="488"/>
      <c r="AF71" s="490"/>
      <c r="AG71" s="490"/>
      <c r="AH71" s="487"/>
      <c r="AI71" s="637"/>
      <c r="AJ71" s="488"/>
      <c r="AK71" s="490"/>
      <c r="AL71" s="490"/>
      <c r="AM71" s="487"/>
      <c r="AN71" s="637"/>
      <c r="AO71" s="488"/>
      <c r="AP71" s="490"/>
      <c r="AQ71" s="490"/>
      <c r="AR71" s="487"/>
      <c r="AS71" s="637"/>
      <c r="AT71" s="487"/>
      <c r="AU71" s="420"/>
      <c r="AV71" s="420"/>
      <c r="AW71" s="487"/>
      <c r="AX71" s="637"/>
      <c r="AZ71" s="402" t="e">
        <f t="shared" si="46"/>
        <v>#N/A</v>
      </c>
      <c r="BA71" s="637"/>
    </row>
    <row r="72" spans="2:53">
      <c r="B72" s="635"/>
      <c r="C72" s="415">
        <v>6</v>
      </c>
      <c r="D72" s="225"/>
      <c r="E72" s="420"/>
      <c r="F72" s="500"/>
      <c r="G72" s="501"/>
      <c r="H72" s="672"/>
      <c r="I72" s="417" t="str">
        <f t="shared" si="43"/>
        <v>-</v>
      </c>
      <c r="J72" s="417" t="str">
        <f t="shared" si="44"/>
        <v>-</v>
      </c>
      <c r="K72" s="199" t="str">
        <f t="shared" si="45"/>
        <v>-</v>
      </c>
      <c r="L72" s="609"/>
      <c r="M72" s="421" t="e">
        <f>RANK(K72, K$67:$K$81)</f>
        <v>#VALUE!</v>
      </c>
      <c r="N72" s="627"/>
      <c r="O72" s="627"/>
      <c r="P72" s="488"/>
      <c r="Q72" s="490"/>
      <c r="R72" s="490"/>
      <c r="S72" s="487"/>
      <c r="T72" s="637"/>
      <c r="U72" s="488"/>
      <c r="V72" s="490"/>
      <c r="W72" s="490"/>
      <c r="X72" s="487"/>
      <c r="Y72" s="637"/>
      <c r="Z72" s="488"/>
      <c r="AA72" s="490"/>
      <c r="AB72" s="490"/>
      <c r="AC72" s="487"/>
      <c r="AD72" s="637"/>
      <c r="AE72" s="488"/>
      <c r="AF72" s="490"/>
      <c r="AG72" s="490"/>
      <c r="AH72" s="487"/>
      <c r="AI72" s="637"/>
      <c r="AJ72" s="488"/>
      <c r="AK72" s="490"/>
      <c r="AL72" s="490"/>
      <c r="AM72" s="487"/>
      <c r="AN72" s="637"/>
      <c r="AO72" s="488"/>
      <c r="AP72" s="490"/>
      <c r="AQ72" s="490"/>
      <c r="AR72" s="487"/>
      <c r="AS72" s="637"/>
      <c r="AT72" s="487"/>
      <c r="AU72" s="420"/>
      <c r="AV72" s="420"/>
      <c r="AW72" s="487"/>
      <c r="AX72" s="637"/>
      <c r="AZ72" s="402" t="e">
        <f t="shared" si="46"/>
        <v>#N/A</v>
      </c>
      <c r="BA72" s="637"/>
    </row>
    <row r="73" spans="2:53">
      <c r="B73" s="635"/>
      <c r="C73" s="415">
        <v>7</v>
      </c>
      <c r="D73" s="225"/>
      <c r="E73" s="420"/>
      <c r="F73" s="500"/>
      <c r="G73" s="501"/>
      <c r="H73" s="672"/>
      <c r="I73" s="417" t="str">
        <f t="shared" si="43"/>
        <v>-</v>
      </c>
      <c r="J73" s="417" t="str">
        <f t="shared" si="44"/>
        <v>-</v>
      </c>
      <c r="K73" s="199" t="str">
        <f t="shared" si="45"/>
        <v>-</v>
      </c>
      <c r="L73" s="609"/>
      <c r="M73" s="421" t="e">
        <f>RANK(K73, K$67:$K$81)</f>
        <v>#VALUE!</v>
      </c>
      <c r="N73" s="627"/>
      <c r="O73" s="627"/>
      <c r="P73" s="488"/>
      <c r="Q73" s="490"/>
      <c r="R73" s="490"/>
      <c r="S73" s="487"/>
      <c r="T73" s="637"/>
      <c r="U73" s="488"/>
      <c r="V73" s="490"/>
      <c r="W73" s="490"/>
      <c r="X73" s="487"/>
      <c r="Y73" s="637"/>
      <c r="Z73" s="488"/>
      <c r="AA73" s="490"/>
      <c r="AB73" s="490"/>
      <c r="AC73" s="487"/>
      <c r="AD73" s="637"/>
      <c r="AE73" s="488"/>
      <c r="AF73" s="490"/>
      <c r="AG73" s="490"/>
      <c r="AH73" s="487"/>
      <c r="AI73" s="637"/>
      <c r="AJ73" s="488"/>
      <c r="AK73" s="490"/>
      <c r="AL73" s="490"/>
      <c r="AM73" s="487"/>
      <c r="AN73" s="637"/>
      <c r="AO73" s="488"/>
      <c r="AP73" s="490"/>
      <c r="AQ73" s="490"/>
      <c r="AR73" s="487"/>
      <c r="AS73" s="637"/>
      <c r="AT73" s="487"/>
      <c r="AU73" s="420"/>
      <c r="AV73" s="420"/>
      <c r="AW73" s="487"/>
      <c r="AX73" s="637"/>
      <c r="AZ73" s="402" t="e">
        <f t="shared" si="46"/>
        <v>#N/A</v>
      </c>
      <c r="BA73" s="637"/>
    </row>
    <row r="74" spans="2:53">
      <c r="B74" s="635"/>
      <c r="C74" s="415">
        <v>8</v>
      </c>
      <c r="D74" s="225"/>
      <c r="E74" s="420"/>
      <c r="F74" s="500"/>
      <c r="G74" s="501"/>
      <c r="H74" s="672"/>
      <c r="I74" s="417" t="str">
        <f t="shared" si="43"/>
        <v>-</v>
      </c>
      <c r="J74" s="417" t="str">
        <f t="shared" si="44"/>
        <v>-</v>
      </c>
      <c r="K74" s="199" t="str">
        <f t="shared" si="45"/>
        <v>-</v>
      </c>
      <c r="L74" s="609"/>
      <c r="M74" s="421" t="e">
        <f>RANK(K74, K$67:$K$81)</f>
        <v>#VALUE!</v>
      </c>
      <c r="N74" s="627"/>
      <c r="O74" s="627"/>
      <c r="P74" s="488"/>
      <c r="Q74" s="490"/>
      <c r="R74" s="490"/>
      <c r="S74" s="487"/>
      <c r="T74" s="637"/>
      <c r="U74" s="488"/>
      <c r="V74" s="490"/>
      <c r="W74" s="490"/>
      <c r="X74" s="487"/>
      <c r="Y74" s="637"/>
      <c r="Z74" s="488"/>
      <c r="AA74" s="490"/>
      <c r="AB74" s="490"/>
      <c r="AC74" s="487"/>
      <c r="AD74" s="637"/>
      <c r="AE74" s="488"/>
      <c r="AF74" s="490"/>
      <c r="AG74" s="490"/>
      <c r="AH74" s="487"/>
      <c r="AI74" s="637"/>
      <c r="AJ74" s="488"/>
      <c r="AK74" s="490"/>
      <c r="AL74" s="490"/>
      <c r="AM74" s="487"/>
      <c r="AN74" s="637"/>
      <c r="AO74" s="488"/>
      <c r="AP74" s="490"/>
      <c r="AQ74" s="490"/>
      <c r="AR74" s="487"/>
      <c r="AS74" s="637"/>
      <c r="AT74" s="487"/>
      <c r="AU74" s="420"/>
      <c r="AV74" s="420"/>
      <c r="AW74" s="487"/>
      <c r="AX74" s="637"/>
      <c r="AZ74" s="402" t="e">
        <f t="shared" si="46"/>
        <v>#N/A</v>
      </c>
      <c r="BA74" s="637"/>
    </row>
    <row r="75" spans="2:53">
      <c r="B75" s="635"/>
      <c r="C75" s="415">
        <v>9</v>
      </c>
      <c r="D75" s="225"/>
      <c r="E75" s="420"/>
      <c r="F75" s="500"/>
      <c r="G75" s="501"/>
      <c r="H75" s="672"/>
      <c r="I75" s="417" t="str">
        <f t="shared" si="43"/>
        <v>-</v>
      </c>
      <c r="J75" s="417" t="str">
        <f t="shared" si="44"/>
        <v>-</v>
      </c>
      <c r="K75" s="199" t="str">
        <f t="shared" si="45"/>
        <v>-</v>
      </c>
      <c r="L75" s="609"/>
      <c r="M75" s="421" t="e">
        <f>RANK(K75, K$67:$K$81)</f>
        <v>#VALUE!</v>
      </c>
      <c r="N75" s="627"/>
      <c r="O75" s="627"/>
      <c r="P75" s="488"/>
      <c r="Q75" s="490"/>
      <c r="R75" s="490"/>
      <c r="S75" s="487"/>
      <c r="T75" s="637"/>
      <c r="U75" s="488"/>
      <c r="V75" s="490"/>
      <c r="W75" s="490"/>
      <c r="X75" s="487"/>
      <c r="Y75" s="637"/>
      <c r="Z75" s="488"/>
      <c r="AA75" s="490"/>
      <c r="AB75" s="490"/>
      <c r="AC75" s="487"/>
      <c r="AD75" s="637"/>
      <c r="AE75" s="488"/>
      <c r="AF75" s="490"/>
      <c r="AG75" s="490"/>
      <c r="AH75" s="487"/>
      <c r="AI75" s="637"/>
      <c r="AJ75" s="488"/>
      <c r="AK75" s="490"/>
      <c r="AL75" s="490"/>
      <c r="AM75" s="487"/>
      <c r="AN75" s="637"/>
      <c r="AO75" s="488"/>
      <c r="AP75" s="490"/>
      <c r="AQ75" s="490"/>
      <c r="AR75" s="487"/>
      <c r="AS75" s="637"/>
      <c r="AT75" s="487"/>
      <c r="AU75" s="420"/>
      <c r="AV75" s="420"/>
      <c r="AW75" s="487"/>
      <c r="AX75" s="637"/>
      <c r="AZ75" s="402" t="e">
        <f t="shared" si="46"/>
        <v>#N/A</v>
      </c>
      <c r="BA75" s="637"/>
    </row>
    <row r="76" spans="2:53">
      <c r="B76" s="635"/>
      <c r="C76" s="415">
        <v>10</v>
      </c>
      <c r="D76" s="225"/>
      <c r="E76" s="420"/>
      <c r="F76" s="500"/>
      <c r="G76" s="501"/>
      <c r="H76" s="672"/>
      <c r="I76" s="417" t="str">
        <f t="shared" si="43"/>
        <v>-</v>
      </c>
      <c r="J76" s="417" t="str">
        <f t="shared" si="44"/>
        <v>-</v>
      </c>
      <c r="K76" s="199" t="str">
        <f t="shared" si="45"/>
        <v>-</v>
      </c>
      <c r="L76" s="609"/>
      <c r="M76" s="421" t="e">
        <f>RANK(K76, K$67:$K$81)</f>
        <v>#VALUE!</v>
      </c>
      <c r="N76" s="627"/>
      <c r="O76" s="627"/>
      <c r="P76" s="488"/>
      <c r="Q76" s="490"/>
      <c r="R76" s="490"/>
      <c r="S76" s="487"/>
      <c r="T76" s="637"/>
      <c r="U76" s="488"/>
      <c r="V76" s="490"/>
      <c r="W76" s="490"/>
      <c r="X76" s="487"/>
      <c r="Y76" s="637"/>
      <c r="Z76" s="488"/>
      <c r="AA76" s="490"/>
      <c r="AB76" s="490"/>
      <c r="AC76" s="487"/>
      <c r="AD76" s="637"/>
      <c r="AE76" s="488"/>
      <c r="AF76" s="490"/>
      <c r="AG76" s="490"/>
      <c r="AH76" s="487"/>
      <c r="AI76" s="637"/>
      <c r="AJ76" s="488"/>
      <c r="AK76" s="490"/>
      <c r="AL76" s="490"/>
      <c r="AM76" s="487"/>
      <c r="AN76" s="637"/>
      <c r="AO76" s="488"/>
      <c r="AP76" s="490"/>
      <c r="AQ76" s="490"/>
      <c r="AR76" s="487"/>
      <c r="AS76" s="637"/>
      <c r="AT76" s="487"/>
      <c r="AU76" s="420"/>
      <c r="AV76" s="420"/>
      <c r="AW76" s="487"/>
      <c r="AX76" s="637"/>
      <c r="AZ76" s="402" t="e">
        <f t="shared" si="46"/>
        <v>#N/A</v>
      </c>
      <c r="BA76" s="637"/>
    </row>
    <row r="77" spans="2:53">
      <c r="B77" s="635"/>
      <c r="C77" s="415">
        <v>11</v>
      </c>
      <c r="D77" s="225"/>
      <c r="E77" s="420"/>
      <c r="F77" s="500"/>
      <c r="G77" s="501"/>
      <c r="H77" s="672"/>
      <c r="I77" s="417" t="str">
        <f t="shared" si="43"/>
        <v>-</v>
      </c>
      <c r="J77" s="417" t="str">
        <f t="shared" si="44"/>
        <v>-</v>
      </c>
      <c r="K77" s="199" t="str">
        <f t="shared" si="45"/>
        <v>-</v>
      </c>
      <c r="L77" s="609"/>
      <c r="M77" s="421" t="e">
        <f>RANK(K77, K$67:$K$81)</f>
        <v>#VALUE!</v>
      </c>
      <c r="N77" s="627"/>
      <c r="O77" s="627"/>
      <c r="P77" s="488"/>
      <c r="Q77" s="490"/>
      <c r="R77" s="490"/>
      <c r="S77" s="487"/>
      <c r="T77" s="637"/>
      <c r="U77" s="488"/>
      <c r="V77" s="490"/>
      <c r="W77" s="490"/>
      <c r="X77" s="487"/>
      <c r="Y77" s="637"/>
      <c r="Z77" s="488"/>
      <c r="AA77" s="490"/>
      <c r="AB77" s="490"/>
      <c r="AC77" s="487"/>
      <c r="AD77" s="637"/>
      <c r="AE77" s="488"/>
      <c r="AF77" s="490"/>
      <c r="AG77" s="490"/>
      <c r="AH77" s="487"/>
      <c r="AI77" s="637"/>
      <c r="AJ77" s="488"/>
      <c r="AK77" s="490"/>
      <c r="AL77" s="490"/>
      <c r="AM77" s="487"/>
      <c r="AN77" s="637"/>
      <c r="AO77" s="488"/>
      <c r="AP77" s="490"/>
      <c r="AQ77" s="490"/>
      <c r="AR77" s="487"/>
      <c r="AS77" s="637"/>
      <c r="AT77" s="487"/>
      <c r="AU77" s="420"/>
      <c r="AV77" s="420"/>
      <c r="AW77" s="487"/>
      <c r="AX77" s="637"/>
      <c r="AZ77" s="402" t="e">
        <f t="shared" si="46"/>
        <v>#N/A</v>
      </c>
      <c r="BA77" s="637"/>
    </row>
    <row r="78" spans="2:53">
      <c r="B78" s="635"/>
      <c r="C78" s="415">
        <v>12</v>
      </c>
      <c r="D78" s="225"/>
      <c r="E78" s="420"/>
      <c r="F78" s="500"/>
      <c r="G78" s="501"/>
      <c r="H78" s="672"/>
      <c r="I78" s="417" t="str">
        <f t="shared" si="43"/>
        <v>-</v>
      </c>
      <c r="J78" s="417" t="str">
        <f t="shared" si="44"/>
        <v>-</v>
      </c>
      <c r="K78" s="199" t="str">
        <f t="shared" si="45"/>
        <v>-</v>
      </c>
      <c r="L78" s="609"/>
      <c r="M78" s="421" t="e">
        <f>RANK(K78, K$67:$K$81)</f>
        <v>#VALUE!</v>
      </c>
      <c r="N78" s="627"/>
      <c r="O78" s="627"/>
      <c r="P78" s="488"/>
      <c r="Q78" s="490"/>
      <c r="R78" s="490"/>
      <c r="S78" s="487"/>
      <c r="T78" s="637"/>
      <c r="U78" s="488"/>
      <c r="V78" s="490"/>
      <c r="W78" s="490"/>
      <c r="X78" s="487"/>
      <c r="Y78" s="637"/>
      <c r="Z78" s="488"/>
      <c r="AA78" s="490"/>
      <c r="AB78" s="490"/>
      <c r="AC78" s="487"/>
      <c r="AD78" s="637"/>
      <c r="AE78" s="488"/>
      <c r="AF78" s="490"/>
      <c r="AG78" s="490"/>
      <c r="AH78" s="487"/>
      <c r="AI78" s="637"/>
      <c r="AJ78" s="488"/>
      <c r="AK78" s="490"/>
      <c r="AL78" s="490"/>
      <c r="AM78" s="487"/>
      <c r="AN78" s="637"/>
      <c r="AO78" s="488"/>
      <c r="AP78" s="490"/>
      <c r="AQ78" s="490"/>
      <c r="AR78" s="487"/>
      <c r="AS78" s="637"/>
      <c r="AT78" s="487"/>
      <c r="AU78" s="420"/>
      <c r="AV78" s="420"/>
      <c r="AW78" s="487"/>
      <c r="AX78" s="637"/>
      <c r="AZ78" s="402" t="e">
        <f t="shared" si="46"/>
        <v>#N/A</v>
      </c>
      <c r="BA78" s="637"/>
    </row>
    <row r="79" spans="2:53">
      <c r="B79" s="635"/>
      <c r="C79" s="415">
        <v>13</v>
      </c>
      <c r="D79" s="225"/>
      <c r="E79" s="420"/>
      <c r="F79" s="500"/>
      <c r="G79" s="501"/>
      <c r="H79" s="672"/>
      <c r="I79" s="417" t="str">
        <f t="shared" si="43"/>
        <v>-</v>
      </c>
      <c r="J79" s="417" t="str">
        <f t="shared" si="44"/>
        <v>-</v>
      </c>
      <c r="K79" s="199" t="str">
        <f t="shared" si="45"/>
        <v>-</v>
      </c>
      <c r="L79" s="609"/>
      <c r="M79" s="421" t="e">
        <f>RANK(K79, K$67:$K$81)</f>
        <v>#VALUE!</v>
      </c>
      <c r="N79" s="627"/>
      <c r="O79" s="627"/>
      <c r="P79" s="488"/>
      <c r="Q79" s="490"/>
      <c r="R79" s="490"/>
      <c r="S79" s="487"/>
      <c r="T79" s="637"/>
      <c r="U79" s="488"/>
      <c r="V79" s="490"/>
      <c r="W79" s="490"/>
      <c r="X79" s="487"/>
      <c r="Y79" s="637"/>
      <c r="Z79" s="488"/>
      <c r="AA79" s="490"/>
      <c r="AB79" s="490"/>
      <c r="AC79" s="487"/>
      <c r="AD79" s="637"/>
      <c r="AE79" s="488"/>
      <c r="AF79" s="490"/>
      <c r="AG79" s="490"/>
      <c r="AH79" s="487"/>
      <c r="AI79" s="637"/>
      <c r="AJ79" s="488"/>
      <c r="AK79" s="490"/>
      <c r="AL79" s="490"/>
      <c r="AM79" s="487"/>
      <c r="AN79" s="637"/>
      <c r="AO79" s="488"/>
      <c r="AP79" s="490"/>
      <c r="AQ79" s="490"/>
      <c r="AR79" s="487"/>
      <c r="AS79" s="637"/>
      <c r="AT79" s="487"/>
      <c r="AU79" s="420"/>
      <c r="AV79" s="420"/>
      <c r="AW79" s="487"/>
      <c r="AX79" s="637"/>
      <c r="AZ79" s="402" t="e">
        <f t="shared" si="46"/>
        <v>#N/A</v>
      </c>
      <c r="BA79" s="637"/>
    </row>
    <row r="80" spans="2:53">
      <c r="B80" s="635"/>
      <c r="C80" s="415">
        <v>14</v>
      </c>
      <c r="D80" s="225"/>
      <c r="E80" s="420"/>
      <c r="F80" s="500"/>
      <c r="G80" s="501"/>
      <c r="H80" s="672"/>
      <c r="I80" s="417" t="str">
        <f t="shared" si="43"/>
        <v>-</v>
      </c>
      <c r="J80" s="417" t="str">
        <f t="shared" si="44"/>
        <v>-</v>
      </c>
      <c r="K80" s="199" t="str">
        <f t="shared" si="45"/>
        <v>-</v>
      </c>
      <c r="L80" s="609"/>
      <c r="M80" s="421" t="e">
        <f>RANK(K80, K$67:$K$81)</f>
        <v>#VALUE!</v>
      </c>
      <c r="N80" s="627"/>
      <c r="O80" s="627"/>
      <c r="P80" s="488"/>
      <c r="Q80" s="490"/>
      <c r="R80" s="490"/>
      <c r="S80" s="487"/>
      <c r="T80" s="637"/>
      <c r="U80" s="488"/>
      <c r="V80" s="490"/>
      <c r="W80" s="490"/>
      <c r="X80" s="487"/>
      <c r="Y80" s="637"/>
      <c r="Z80" s="488"/>
      <c r="AA80" s="490"/>
      <c r="AB80" s="490"/>
      <c r="AC80" s="487"/>
      <c r="AD80" s="637"/>
      <c r="AE80" s="488"/>
      <c r="AF80" s="490"/>
      <c r="AG80" s="490"/>
      <c r="AH80" s="487"/>
      <c r="AI80" s="637"/>
      <c r="AJ80" s="488"/>
      <c r="AK80" s="490"/>
      <c r="AL80" s="490"/>
      <c r="AM80" s="487"/>
      <c r="AN80" s="637"/>
      <c r="AO80" s="488"/>
      <c r="AP80" s="490"/>
      <c r="AQ80" s="490"/>
      <c r="AR80" s="487"/>
      <c r="AS80" s="637"/>
      <c r="AT80" s="487"/>
      <c r="AU80" s="420"/>
      <c r="AV80" s="420"/>
      <c r="AW80" s="487"/>
      <c r="AX80" s="637"/>
      <c r="AZ80" s="402" t="e">
        <f t="shared" si="46"/>
        <v>#N/A</v>
      </c>
      <c r="BA80" s="637"/>
    </row>
    <row r="81" spans="2:53">
      <c r="B81" s="635"/>
      <c r="C81" s="415">
        <v>15</v>
      </c>
      <c r="D81" s="225"/>
      <c r="E81" s="420"/>
      <c r="F81" s="500"/>
      <c r="G81" s="501"/>
      <c r="H81" s="676"/>
      <c r="I81" s="492" t="str">
        <f t="shared" ref="I81" si="48">IFERROR(AVERAGE(P81,U81,Z81,AE81,AJ81,AO81,AT81),"-")</f>
        <v>-</v>
      </c>
      <c r="J81" s="492" t="str">
        <f t="shared" ref="J81" si="49">IFERROR(AVERAGE(Q81,V81,AA81,AF81,AK81,AP81,AU81),"-")</f>
        <v>-</v>
      </c>
      <c r="K81" s="199" t="str">
        <f t="shared" ref="K81" si="50">IFERROR(AVERAGE(R81,W81,AB81,AG81,AL81,AQ81,AV81),"-")</f>
        <v>-</v>
      </c>
      <c r="L81" s="610"/>
      <c r="M81" s="421" t="e">
        <f>RANK(K81, K$47:$K$61)</f>
        <v>#VALUE!</v>
      </c>
      <c r="N81" s="627"/>
      <c r="O81" s="627"/>
      <c r="P81" s="488"/>
      <c r="Q81" s="490"/>
      <c r="R81" s="490"/>
      <c r="S81" s="487"/>
      <c r="T81" s="638"/>
      <c r="U81" s="488"/>
      <c r="V81" s="490"/>
      <c r="W81" s="490"/>
      <c r="X81" s="487"/>
      <c r="Y81" s="638"/>
      <c r="Z81" s="488"/>
      <c r="AA81" s="490"/>
      <c r="AB81" s="490"/>
      <c r="AC81" s="487"/>
      <c r="AD81" s="638"/>
      <c r="AE81" s="488"/>
      <c r="AF81" s="490"/>
      <c r="AG81" s="490"/>
      <c r="AH81" s="487"/>
      <c r="AI81" s="638"/>
      <c r="AJ81" s="488"/>
      <c r="AK81" s="490"/>
      <c r="AL81" s="490"/>
      <c r="AM81" s="487"/>
      <c r="AN81" s="638"/>
      <c r="AO81" s="488"/>
      <c r="AP81" s="490"/>
      <c r="AQ81" s="490"/>
      <c r="AR81" s="487"/>
      <c r="AS81" s="638"/>
      <c r="AT81" s="487"/>
      <c r="AU81" s="420"/>
      <c r="AV81" s="420"/>
      <c r="AW81" s="487"/>
      <c r="AX81" s="638"/>
      <c r="AZ81" s="402" t="e">
        <f t="shared" si="46"/>
        <v>#N/A</v>
      </c>
      <c r="BA81" s="638"/>
    </row>
    <row r="82" spans="2:53" ht="15.75">
      <c r="B82" s="639" t="s">
        <v>163</v>
      </c>
      <c r="C82" s="640"/>
      <c r="D82" s="640"/>
      <c r="E82" s="640"/>
      <c r="F82" s="640"/>
      <c r="G82" s="640"/>
      <c r="H82" s="641"/>
      <c r="I82" s="207"/>
      <c r="J82" s="207"/>
      <c r="K82" s="207"/>
      <c r="L82" s="207"/>
      <c r="M82" s="206"/>
      <c r="N82" s="628" t="s">
        <v>156</v>
      </c>
      <c r="O82" s="628" t="s">
        <v>105</v>
      </c>
      <c r="P82" s="634">
        <f>P62+7</f>
        <v>46168</v>
      </c>
      <c r="Q82" s="635"/>
      <c r="R82" s="635"/>
      <c r="S82" s="635"/>
      <c r="T82" s="635"/>
      <c r="U82" s="631">
        <f>P82+1</f>
        <v>46169</v>
      </c>
      <c r="V82" s="632"/>
      <c r="W82" s="632"/>
      <c r="X82" s="632"/>
      <c r="Y82" s="633"/>
      <c r="Z82" s="631">
        <f>U82+1</f>
        <v>46170</v>
      </c>
      <c r="AA82" s="632"/>
      <c r="AB82" s="632"/>
      <c r="AC82" s="632"/>
      <c r="AD82" s="633"/>
      <c r="AE82" s="631">
        <f>Z82+1</f>
        <v>46171</v>
      </c>
      <c r="AF82" s="632"/>
      <c r="AG82" s="632"/>
      <c r="AH82" s="632"/>
      <c r="AI82" s="633"/>
      <c r="AJ82" s="631">
        <f>AE82+1</f>
        <v>46172</v>
      </c>
      <c r="AK82" s="632"/>
      <c r="AL82" s="632"/>
      <c r="AM82" s="632"/>
      <c r="AN82" s="633"/>
      <c r="AO82" s="631">
        <f>AJ82+1</f>
        <v>46173</v>
      </c>
      <c r="AP82" s="632"/>
      <c r="AQ82" s="632"/>
      <c r="AR82" s="632"/>
      <c r="AS82" s="633"/>
      <c r="AT82" s="631">
        <f>AO82+1</f>
        <v>46174</v>
      </c>
      <c r="AU82" s="632"/>
      <c r="AV82" s="632"/>
      <c r="AW82" s="632"/>
      <c r="AX82" s="633"/>
    </row>
    <row r="83" spans="2:53" ht="15.75">
      <c r="B83" s="642"/>
      <c r="C83" s="642"/>
      <c r="D83" s="642"/>
      <c r="E83" s="642"/>
      <c r="F83" s="642"/>
      <c r="G83" s="642"/>
      <c r="H83" s="642"/>
      <c r="I83" s="204"/>
      <c r="J83" s="204"/>
      <c r="K83" s="204"/>
      <c r="L83" s="204"/>
      <c r="M83" s="205"/>
      <c r="N83" s="630"/>
      <c r="O83" s="630"/>
      <c r="P83" s="634" t="s">
        <v>318</v>
      </c>
      <c r="Q83" s="635"/>
      <c r="R83" s="635"/>
      <c r="S83" s="635"/>
      <c r="T83" s="635"/>
      <c r="U83" s="634" t="s">
        <v>319</v>
      </c>
      <c r="V83" s="635"/>
      <c r="W83" s="635"/>
      <c r="X83" s="635"/>
      <c r="Y83" s="635"/>
      <c r="Z83" s="634" t="s">
        <v>320</v>
      </c>
      <c r="AA83" s="635"/>
      <c r="AB83" s="635"/>
      <c r="AC83" s="635"/>
      <c r="AD83" s="635"/>
      <c r="AE83" s="634" t="s">
        <v>321</v>
      </c>
      <c r="AF83" s="635"/>
      <c r="AG83" s="635"/>
      <c r="AH83" s="635"/>
      <c r="AI83" s="635"/>
      <c r="AJ83" s="634" t="s">
        <v>322</v>
      </c>
      <c r="AK83" s="635"/>
      <c r="AL83" s="635"/>
      <c r="AM83" s="635"/>
      <c r="AN83" s="635"/>
      <c r="AO83" s="634" t="s">
        <v>323</v>
      </c>
      <c r="AP83" s="635"/>
      <c r="AQ83" s="635"/>
      <c r="AR83" s="635"/>
      <c r="AS83" s="635"/>
      <c r="AT83" s="634" t="s">
        <v>324</v>
      </c>
      <c r="AU83" s="635"/>
      <c r="AV83" s="635"/>
      <c r="AW83" s="635"/>
      <c r="AX83" s="635"/>
    </row>
    <row r="84" spans="2:53">
      <c r="B84" s="627" t="s">
        <v>417</v>
      </c>
      <c r="C84" s="627" t="s">
        <v>551</v>
      </c>
      <c r="D84" s="627"/>
      <c r="E84" s="627" t="s">
        <v>552</v>
      </c>
      <c r="F84" s="627"/>
      <c r="G84" s="627"/>
      <c r="H84" s="643" t="s">
        <v>553</v>
      </c>
      <c r="I84" s="627" t="s">
        <v>554</v>
      </c>
      <c r="J84" s="627"/>
      <c r="K84" s="627"/>
      <c r="L84" s="643" t="s">
        <v>371</v>
      </c>
      <c r="M84" s="628" t="s">
        <v>555</v>
      </c>
      <c r="N84" s="627"/>
      <c r="O84" s="627" t="s">
        <v>377</v>
      </c>
      <c r="P84" s="624" t="s">
        <v>373</v>
      </c>
      <c r="Q84" s="625"/>
      <c r="R84" s="625"/>
      <c r="S84" s="626"/>
      <c r="T84" s="627" t="s">
        <v>371</v>
      </c>
      <c r="U84" s="624" t="s">
        <v>373</v>
      </c>
      <c r="V84" s="625"/>
      <c r="W84" s="625"/>
      <c r="X84" s="626"/>
      <c r="Y84" s="627" t="s">
        <v>371</v>
      </c>
      <c r="Z84" s="624" t="s">
        <v>373</v>
      </c>
      <c r="AA84" s="625"/>
      <c r="AB84" s="625"/>
      <c r="AC84" s="626"/>
      <c r="AD84" s="627" t="s">
        <v>371</v>
      </c>
      <c r="AE84" s="624" t="s">
        <v>373</v>
      </c>
      <c r="AF84" s="625"/>
      <c r="AG84" s="625"/>
      <c r="AH84" s="626"/>
      <c r="AI84" s="627" t="s">
        <v>371</v>
      </c>
      <c r="AJ84" s="624" t="s">
        <v>373</v>
      </c>
      <c r="AK84" s="625"/>
      <c r="AL84" s="625"/>
      <c r="AM84" s="626"/>
      <c r="AN84" s="627" t="s">
        <v>371</v>
      </c>
      <c r="AO84" s="624" t="s">
        <v>373</v>
      </c>
      <c r="AP84" s="625"/>
      <c r="AQ84" s="625"/>
      <c r="AR84" s="626"/>
      <c r="AS84" s="627" t="s">
        <v>371</v>
      </c>
      <c r="AT84" s="624" t="s">
        <v>373</v>
      </c>
      <c r="AU84" s="625"/>
      <c r="AV84" s="625"/>
      <c r="AW84" s="626"/>
      <c r="AX84" s="627" t="s">
        <v>371</v>
      </c>
      <c r="BA84" s="627" t="s">
        <v>371</v>
      </c>
    </row>
    <row r="85" spans="2:53">
      <c r="B85" s="627"/>
      <c r="C85" s="627"/>
      <c r="D85" s="627"/>
      <c r="E85" s="627" t="s">
        <v>557</v>
      </c>
      <c r="F85" s="627"/>
      <c r="G85" s="627"/>
      <c r="H85" s="644"/>
      <c r="I85" s="627" t="s">
        <v>557</v>
      </c>
      <c r="J85" s="627"/>
      <c r="K85" s="627"/>
      <c r="L85" s="644"/>
      <c r="M85" s="629"/>
      <c r="N85" s="627"/>
      <c r="O85" s="627"/>
      <c r="P85" s="624" t="s">
        <v>379</v>
      </c>
      <c r="Q85" s="625"/>
      <c r="R85" s="625"/>
      <c r="S85" s="626"/>
      <c r="T85" s="627"/>
      <c r="U85" s="624" t="s">
        <v>379</v>
      </c>
      <c r="V85" s="625"/>
      <c r="W85" s="625"/>
      <c r="X85" s="626"/>
      <c r="Y85" s="627"/>
      <c r="Z85" s="624" t="s">
        <v>379</v>
      </c>
      <c r="AA85" s="625"/>
      <c r="AB85" s="625"/>
      <c r="AC85" s="626"/>
      <c r="AD85" s="627"/>
      <c r="AE85" s="624" t="s">
        <v>379</v>
      </c>
      <c r="AF85" s="625"/>
      <c r="AG85" s="625"/>
      <c r="AH85" s="626"/>
      <c r="AI85" s="627"/>
      <c r="AJ85" s="624" t="s">
        <v>379</v>
      </c>
      <c r="AK85" s="625"/>
      <c r="AL85" s="625"/>
      <c r="AM85" s="626"/>
      <c r="AN85" s="627"/>
      <c r="AO85" s="624" t="s">
        <v>379</v>
      </c>
      <c r="AP85" s="625"/>
      <c r="AQ85" s="625"/>
      <c r="AR85" s="626"/>
      <c r="AS85" s="627"/>
      <c r="AT85" s="624" t="s">
        <v>379</v>
      </c>
      <c r="AU85" s="625"/>
      <c r="AV85" s="625"/>
      <c r="AW85" s="626"/>
      <c r="AX85" s="627"/>
      <c r="BA85" s="627"/>
    </row>
    <row r="86" spans="2:53">
      <c r="B86" s="627"/>
      <c r="C86" s="627"/>
      <c r="D86" s="627"/>
      <c r="E86" s="412" t="s">
        <v>558</v>
      </c>
      <c r="F86" s="412" t="s">
        <v>559</v>
      </c>
      <c r="G86" s="412" t="s">
        <v>560</v>
      </c>
      <c r="H86" s="645"/>
      <c r="I86" s="412" t="s">
        <v>558</v>
      </c>
      <c r="J86" s="412" t="s">
        <v>559</v>
      </c>
      <c r="K86" s="412" t="s">
        <v>560</v>
      </c>
      <c r="L86" s="645"/>
      <c r="M86" s="630"/>
      <c r="N86" s="627"/>
      <c r="O86" s="627"/>
      <c r="P86" s="412" t="s">
        <v>380</v>
      </c>
      <c r="Q86" s="412" t="s">
        <v>381</v>
      </c>
      <c r="R86" s="412" t="s">
        <v>382</v>
      </c>
      <c r="S86" s="412" t="s">
        <v>372</v>
      </c>
      <c r="T86" s="627"/>
      <c r="U86" s="412" t="s">
        <v>380</v>
      </c>
      <c r="V86" s="412" t="s">
        <v>381</v>
      </c>
      <c r="W86" s="412" t="s">
        <v>382</v>
      </c>
      <c r="X86" s="412" t="s">
        <v>372</v>
      </c>
      <c r="Y86" s="627"/>
      <c r="Z86" s="412" t="s">
        <v>380</v>
      </c>
      <c r="AA86" s="412" t="s">
        <v>381</v>
      </c>
      <c r="AB86" s="412" t="s">
        <v>382</v>
      </c>
      <c r="AC86" s="412" t="s">
        <v>372</v>
      </c>
      <c r="AD86" s="627"/>
      <c r="AE86" s="412" t="s">
        <v>380</v>
      </c>
      <c r="AF86" s="412" t="s">
        <v>381</v>
      </c>
      <c r="AG86" s="412" t="s">
        <v>382</v>
      </c>
      <c r="AH86" s="412" t="s">
        <v>372</v>
      </c>
      <c r="AI86" s="627"/>
      <c r="AJ86" s="412" t="s">
        <v>380</v>
      </c>
      <c r="AK86" s="412" t="s">
        <v>381</v>
      </c>
      <c r="AL86" s="412" t="s">
        <v>382</v>
      </c>
      <c r="AM86" s="412" t="s">
        <v>372</v>
      </c>
      <c r="AN86" s="627"/>
      <c r="AO86" s="412" t="s">
        <v>380</v>
      </c>
      <c r="AP86" s="412" t="s">
        <v>381</v>
      </c>
      <c r="AQ86" s="412" t="s">
        <v>382</v>
      </c>
      <c r="AR86" s="412" t="s">
        <v>372</v>
      </c>
      <c r="AS86" s="627"/>
      <c r="AT86" s="412" t="s">
        <v>380</v>
      </c>
      <c r="AU86" s="412" t="s">
        <v>381</v>
      </c>
      <c r="AV86" s="412" t="s">
        <v>382</v>
      </c>
      <c r="AW86" s="412" t="s">
        <v>372</v>
      </c>
      <c r="AX86" s="627"/>
      <c r="AZ86" s="401" t="s">
        <v>372</v>
      </c>
      <c r="BA86" s="627"/>
    </row>
    <row r="87" spans="2:53">
      <c r="B87" s="627" t="s">
        <v>434</v>
      </c>
      <c r="C87" s="415">
        <v>1</v>
      </c>
      <c r="D87" s="225"/>
      <c r="E87" s="420"/>
      <c r="F87" s="413"/>
      <c r="G87" s="414"/>
      <c r="H87" s="671" t="e">
        <f>AVERAGE(G87:G101)</f>
        <v>#DIV/0!</v>
      </c>
      <c r="I87" s="417" t="str">
        <f t="shared" ref="I87:I100" si="51">IFERROR(AVERAGE(P87,U87,Z87,AE87,AJ87,AO87,AT87),"-")</f>
        <v>-</v>
      </c>
      <c r="J87" s="417" t="str">
        <f t="shared" ref="J87:J100" si="52">IFERROR(AVERAGE(Q87,V87,AA87,AF87,AK87,AP87,AU87),"-")</f>
        <v>-</v>
      </c>
      <c r="K87" s="199" t="str">
        <f t="shared" ref="K87:K100" si="53">IFERROR(AVERAGE(R87,W87,AB87,AG87,AL87,AQ87,AV87),"-")</f>
        <v>-</v>
      </c>
      <c r="L87" s="608" t="str">
        <f>IFERROR(AVERAGE(K87:K101),"-")</f>
        <v>-</v>
      </c>
      <c r="M87" s="421" t="e">
        <f>RANK(K87, K$87:$K$101)</f>
        <v>#VALUE!</v>
      </c>
      <c r="N87" s="627"/>
      <c r="O87" s="627"/>
      <c r="P87" s="496"/>
      <c r="Q87" s="497"/>
      <c r="R87" s="497"/>
      <c r="S87" s="495"/>
      <c r="T87" s="649"/>
      <c r="U87" s="496"/>
      <c r="V87" s="497"/>
      <c r="W87" s="497"/>
      <c r="X87" s="495"/>
      <c r="Y87" s="649"/>
      <c r="Z87" s="496"/>
      <c r="AA87" s="497"/>
      <c r="AB87" s="497"/>
      <c r="AC87" s="495"/>
      <c r="AD87" s="649"/>
      <c r="AE87" s="496"/>
      <c r="AF87" s="497"/>
      <c r="AG87" s="497"/>
      <c r="AH87" s="495"/>
      <c r="AI87" s="649"/>
      <c r="AJ87" s="496"/>
      <c r="AK87" s="497"/>
      <c r="AL87" s="497"/>
      <c r="AM87" s="495"/>
      <c r="AN87" s="649"/>
      <c r="AO87" s="496"/>
      <c r="AP87" s="497"/>
      <c r="AQ87" s="497"/>
      <c r="AR87" s="495"/>
      <c r="AS87" s="649"/>
      <c r="AT87" s="495"/>
      <c r="AU87" s="420"/>
      <c r="AV87" s="420"/>
      <c r="AW87" s="495"/>
      <c r="AX87" s="649"/>
      <c r="AZ87" s="402" t="e">
        <f t="shared" ref="AZ87:AZ101" si="54">RANK(AY87, AY$87:AY$101)</f>
        <v>#N/A</v>
      </c>
      <c r="BA87" s="649" t="e">
        <f t="shared" ref="BA87" si="55">AVERAGE(AY87:AY101)</f>
        <v>#DIV/0!</v>
      </c>
    </row>
    <row r="88" spans="2:53">
      <c r="B88" s="635"/>
      <c r="C88" s="415">
        <v>2</v>
      </c>
      <c r="D88" s="225"/>
      <c r="E88" s="420"/>
      <c r="F88" s="413"/>
      <c r="G88" s="414"/>
      <c r="H88" s="672"/>
      <c r="I88" s="417" t="str">
        <f t="shared" si="51"/>
        <v>-</v>
      </c>
      <c r="J88" s="417" t="str">
        <f t="shared" si="52"/>
        <v>-</v>
      </c>
      <c r="K88" s="199" t="str">
        <f t="shared" si="53"/>
        <v>-</v>
      </c>
      <c r="L88" s="609"/>
      <c r="M88" s="497" t="e">
        <f>RANK(K88, K$87:$K$101)</f>
        <v>#VALUE!</v>
      </c>
      <c r="N88" s="627"/>
      <c r="O88" s="627"/>
      <c r="P88" s="496"/>
      <c r="Q88" s="497"/>
      <c r="R88" s="497"/>
      <c r="S88" s="495"/>
      <c r="T88" s="649"/>
      <c r="U88" s="496"/>
      <c r="V88" s="497"/>
      <c r="W88" s="497"/>
      <c r="X88" s="495"/>
      <c r="Y88" s="649"/>
      <c r="Z88" s="496"/>
      <c r="AA88" s="497"/>
      <c r="AB88" s="497"/>
      <c r="AC88" s="495"/>
      <c r="AD88" s="649"/>
      <c r="AE88" s="496"/>
      <c r="AF88" s="497"/>
      <c r="AG88" s="497"/>
      <c r="AH88" s="495"/>
      <c r="AI88" s="649"/>
      <c r="AJ88" s="496"/>
      <c r="AK88" s="497"/>
      <c r="AL88" s="497"/>
      <c r="AM88" s="495"/>
      <c r="AN88" s="649"/>
      <c r="AO88" s="496"/>
      <c r="AP88" s="497"/>
      <c r="AQ88" s="497"/>
      <c r="AR88" s="495"/>
      <c r="AS88" s="649"/>
      <c r="AT88" s="495"/>
      <c r="AU88" s="420"/>
      <c r="AV88" s="420"/>
      <c r="AW88" s="495"/>
      <c r="AX88" s="649"/>
      <c r="AZ88" s="402" t="e">
        <f t="shared" si="54"/>
        <v>#N/A</v>
      </c>
      <c r="BA88" s="649"/>
    </row>
    <row r="89" spans="2:53">
      <c r="B89" s="635"/>
      <c r="C89" s="415">
        <v>3</v>
      </c>
      <c r="D89" s="225"/>
      <c r="E89" s="420"/>
      <c r="F89" s="413"/>
      <c r="G89" s="414"/>
      <c r="H89" s="672"/>
      <c r="I89" s="417" t="str">
        <f t="shared" si="51"/>
        <v>-</v>
      </c>
      <c r="J89" s="417" t="str">
        <f t="shared" si="52"/>
        <v>-</v>
      </c>
      <c r="K89" s="199" t="str">
        <f t="shared" si="53"/>
        <v>-</v>
      </c>
      <c r="L89" s="609"/>
      <c r="M89" s="497" t="e">
        <f>RANK(K89, K$87:$K$101)</f>
        <v>#VALUE!</v>
      </c>
      <c r="N89" s="627"/>
      <c r="O89" s="627"/>
      <c r="P89" s="496"/>
      <c r="Q89" s="497"/>
      <c r="R89" s="497"/>
      <c r="S89" s="495"/>
      <c r="T89" s="649"/>
      <c r="U89" s="496"/>
      <c r="V89" s="497"/>
      <c r="W89" s="497"/>
      <c r="X89" s="495"/>
      <c r="Y89" s="649"/>
      <c r="Z89" s="496"/>
      <c r="AA89" s="497"/>
      <c r="AB89" s="497"/>
      <c r="AC89" s="495"/>
      <c r="AD89" s="649"/>
      <c r="AE89" s="496"/>
      <c r="AF89" s="497"/>
      <c r="AG89" s="497"/>
      <c r="AH89" s="495"/>
      <c r="AI89" s="649"/>
      <c r="AJ89" s="496"/>
      <c r="AK89" s="497"/>
      <c r="AL89" s="497"/>
      <c r="AM89" s="495"/>
      <c r="AN89" s="649"/>
      <c r="AO89" s="496"/>
      <c r="AP89" s="497"/>
      <c r="AQ89" s="497"/>
      <c r="AR89" s="495"/>
      <c r="AS89" s="649"/>
      <c r="AT89" s="495"/>
      <c r="AU89" s="420"/>
      <c r="AV89" s="420"/>
      <c r="AW89" s="495"/>
      <c r="AX89" s="649"/>
      <c r="AZ89" s="402" t="e">
        <f t="shared" si="54"/>
        <v>#N/A</v>
      </c>
      <c r="BA89" s="649"/>
    </row>
    <row r="90" spans="2:53">
      <c r="B90" s="635"/>
      <c r="C90" s="415">
        <v>4</v>
      </c>
      <c r="D90" s="225"/>
      <c r="E90" s="420"/>
      <c r="F90" s="413"/>
      <c r="G90" s="414"/>
      <c r="H90" s="672"/>
      <c r="I90" s="417" t="str">
        <f t="shared" si="51"/>
        <v>-</v>
      </c>
      <c r="J90" s="417" t="str">
        <f t="shared" si="52"/>
        <v>-</v>
      </c>
      <c r="K90" s="199" t="str">
        <f t="shared" si="53"/>
        <v>-</v>
      </c>
      <c r="L90" s="609"/>
      <c r="M90" s="497" t="e">
        <f>RANK(K90, K$87:$K$101)</f>
        <v>#VALUE!</v>
      </c>
      <c r="N90" s="627"/>
      <c r="O90" s="627"/>
      <c r="P90" s="496"/>
      <c r="Q90" s="497"/>
      <c r="R90" s="497"/>
      <c r="S90" s="495"/>
      <c r="T90" s="649"/>
      <c r="U90" s="496"/>
      <c r="V90" s="497"/>
      <c r="W90" s="497"/>
      <c r="X90" s="495"/>
      <c r="Y90" s="649"/>
      <c r="Z90" s="496"/>
      <c r="AA90" s="497"/>
      <c r="AB90" s="497"/>
      <c r="AC90" s="495"/>
      <c r="AD90" s="649"/>
      <c r="AE90" s="496"/>
      <c r="AF90" s="497"/>
      <c r="AG90" s="497"/>
      <c r="AH90" s="495"/>
      <c r="AI90" s="649"/>
      <c r="AJ90" s="496"/>
      <c r="AK90" s="497"/>
      <c r="AL90" s="497"/>
      <c r="AM90" s="495"/>
      <c r="AN90" s="649"/>
      <c r="AO90" s="496"/>
      <c r="AP90" s="497"/>
      <c r="AQ90" s="497"/>
      <c r="AR90" s="495"/>
      <c r="AS90" s="649"/>
      <c r="AT90" s="495"/>
      <c r="AU90" s="420"/>
      <c r="AV90" s="420"/>
      <c r="AW90" s="495"/>
      <c r="AX90" s="649"/>
      <c r="AZ90" s="402" t="e">
        <f t="shared" si="54"/>
        <v>#N/A</v>
      </c>
      <c r="BA90" s="649"/>
    </row>
    <row r="91" spans="2:53">
      <c r="B91" s="635"/>
      <c r="C91" s="415">
        <v>5</v>
      </c>
      <c r="D91" s="225"/>
      <c r="E91" s="420"/>
      <c r="F91" s="413"/>
      <c r="G91" s="414"/>
      <c r="H91" s="672"/>
      <c r="I91" s="417" t="str">
        <f t="shared" si="51"/>
        <v>-</v>
      </c>
      <c r="J91" s="417" t="str">
        <f t="shared" si="52"/>
        <v>-</v>
      </c>
      <c r="K91" s="199" t="str">
        <f t="shared" si="53"/>
        <v>-</v>
      </c>
      <c r="L91" s="609"/>
      <c r="M91" s="497" t="e">
        <f>RANK(K91, K$87:$K$101)</f>
        <v>#VALUE!</v>
      </c>
      <c r="N91" s="627"/>
      <c r="O91" s="627"/>
      <c r="P91" s="496"/>
      <c r="Q91" s="497"/>
      <c r="R91" s="497"/>
      <c r="S91" s="495"/>
      <c r="T91" s="649"/>
      <c r="U91" s="496"/>
      <c r="V91" s="497"/>
      <c r="W91" s="497"/>
      <c r="X91" s="495"/>
      <c r="Y91" s="649"/>
      <c r="Z91" s="496"/>
      <c r="AA91" s="497"/>
      <c r="AB91" s="497"/>
      <c r="AC91" s="495"/>
      <c r="AD91" s="649"/>
      <c r="AE91" s="496"/>
      <c r="AF91" s="497"/>
      <c r="AG91" s="497"/>
      <c r="AH91" s="495"/>
      <c r="AI91" s="649"/>
      <c r="AJ91" s="496"/>
      <c r="AK91" s="497"/>
      <c r="AL91" s="497"/>
      <c r="AM91" s="495"/>
      <c r="AN91" s="649"/>
      <c r="AO91" s="496"/>
      <c r="AP91" s="497"/>
      <c r="AQ91" s="497"/>
      <c r="AR91" s="495"/>
      <c r="AS91" s="649"/>
      <c r="AT91" s="495"/>
      <c r="AU91" s="420"/>
      <c r="AV91" s="420"/>
      <c r="AW91" s="495"/>
      <c r="AX91" s="649"/>
      <c r="AZ91" s="402" t="e">
        <f t="shared" si="54"/>
        <v>#N/A</v>
      </c>
      <c r="BA91" s="649"/>
    </row>
    <row r="92" spans="2:53">
      <c r="B92" s="635"/>
      <c r="C92" s="415">
        <v>6</v>
      </c>
      <c r="D92" s="225"/>
      <c r="E92" s="420"/>
      <c r="F92" s="413"/>
      <c r="G92" s="414"/>
      <c r="H92" s="672"/>
      <c r="I92" s="417" t="str">
        <f t="shared" si="51"/>
        <v>-</v>
      </c>
      <c r="J92" s="417" t="str">
        <f t="shared" si="52"/>
        <v>-</v>
      </c>
      <c r="K92" s="199" t="str">
        <f t="shared" si="53"/>
        <v>-</v>
      </c>
      <c r="L92" s="609"/>
      <c r="M92" s="497" t="e">
        <f>RANK(K92, K$87:$K$101)</f>
        <v>#VALUE!</v>
      </c>
      <c r="N92" s="627"/>
      <c r="O92" s="627"/>
      <c r="P92" s="496"/>
      <c r="Q92" s="497"/>
      <c r="R92" s="497"/>
      <c r="S92" s="495"/>
      <c r="T92" s="649"/>
      <c r="U92" s="496"/>
      <c r="V92" s="497"/>
      <c r="W92" s="497"/>
      <c r="X92" s="495"/>
      <c r="Y92" s="649"/>
      <c r="Z92" s="496"/>
      <c r="AA92" s="497"/>
      <c r="AB92" s="497"/>
      <c r="AC92" s="495"/>
      <c r="AD92" s="649"/>
      <c r="AE92" s="496"/>
      <c r="AF92" s="497"/>
      <c r="AG92" s="497"/>
      <c r="AH92" s="495"/>
      <c r="AI92" s="649"/>
      <c r="AJ92" s="496"/>
      <c r="AK92" s="497"/>
      <c r="AL92" s="497"/>
      <c r="AM92" s="495"/>
      <c r="AN92" s="649"/>
      <c r="AO92" s="496"/>
      <c r="AP92" s="497"/>
      <c r="AQ92" s="497"/>
      <c r="AR92" s="495"/>
      <c r="AS92" s="649"/>
      <c r="AT92" s="495"/>
      <c r="AU92" s="420"/>
      <c r="AV92" s="420"/>
      <c r="AW92" s="495"/>
      <c r="AX92" s="649"/>
      <c r="AZ92" s="402" t="e">
        <f t="shared" si="54"/>
        <v>#N/A</v>
      </c>
      <c r="BA92" s="649"/>
    </row>
    <row r="93" spans="2:53">
      <c r="B93" s="635"/>
      <c r="C93" s="415">
        <v>7</v>
      </c>
      <c r="D93" s="225"/>
      <c r="E93" s="420"/>
      <c r="F93" s="413"/>
      <c r="G93" s="414"/>
      <c r="H93" s="672"/>
      <c r="I93" s="417" t="str">
        <f t="shared" si="51"/>
        <v>-</v>
      </c>
      <c r="J93" s="417" t="str">
        <f t="shared" si="52"/>
        <v>-</v>
      </c>
      <c r="K93" s="199" t="str">
        <f t="shared" si="53"/>
        <v>-</v>
      </c>
      <c r="L93" s="609"/>
      <c r="M93" s="497" t="e">
        <f>RANK(K93, K$87:$K$101)</f>
        <v>#VALUE!</v>
      </c>
      <c r="N93" s="627"/>
      <c r="O93" s="627"/>
      <c r="P93" s="496"/>
      <c r="Q93" s="497"/>
      <c r="R93" s="497"/>
      <c r="S93" s="495"/>
      <c r="T93" s="649"/>
      <c r="U93" s="496"/>
      <c r="V93" s="497"/>
      <c r="W93" s="497"/>
      <c r="X93" s="495"/>
      <c r="Y93" s="649"/>
      <c r="Z93" s="496"/>
      <c r="AA93" s="497"/>
      <c r="AB93" s="497"/>
      <c r="AC93" s="495"/>
      <c r="AD93" s="649"/>
      <c r="AE93" s="496"/>
      <c r="AF93" s="497"/>
      <c r="AG93" s="497"/>
      <c r="AH93" s="495"/>
      <c r="AI93" s="649"/>
      <c r="AJ93" s="496"/>
      <c r="AK93" s="497"/>
      <c r="AL93" s="497"/>
      <c r="AM93" s="495"/>
      <c r="AN93" s="649"/>
      <c r="AO93" s="496"/>
      <c r="AP93" s="497"/>
      <c r="AQ93" s="497"/>
      <c r="AR93" s="495"/>
      <c r="AS93" s="649"/>
      <c r="AT93" s="495"/>
      <c r="AU93" s="420"/>
      <c r="AV93" s="420"/>
      <c r="AW93" s="495"/>
      <c r="AX93" s="649"/>
      <c r="AZ93" s="402" t="e">
        <f t="shared" si="54"/>
        <v>#N/A</v>
      </c>
      <c r="BA93" s="649"/>
    </row>
    <row r="94" spans="2:53">
      <c r="B94" s="635"/>
      <c r="C94" s="415">
        <v>8</v>
      </c>
      <c r="D94" s="225"/>
      <c r="E94" s="420"/>
      <c r="F94" s="413"/>
      <c r="G94" s="414"/>
      <c r="H94" s="672"/>
      <c r="I94" s="417" t="str">
        <f t="shared" si="51"/>
        <v>-</v>
      </c>
      <c r="J94" s="417" t="str">
        <f t="shared" si="52"/>
        <v>-</v>
      </c>
      <c r="K94" s="199" t="str">
        <f t="shared" si="53"/>
        <v>-</v>
      </c>
      <c r="L94" s="609"/>
      <c r="M94" s="497" t="e">
        <f>RANK(K94, K$87:$K$101)</f>
        <v>#VALUE!</v>
      </c>
      <c r="N94" s="627"/>
      <c r="O94" s="627"/>
      <c r="P94" s="496"/>
      <c r="Q94" s="497"/>
      <c r="R94" s="497"/>
      <c r="S94" s="495"/>
      <c r="T94" s="649"/>
      <c r="U94" s="496"/>
      <c r="V94" s="497"/>
      <c r="W94" s="497"/>
      <c r="X94" s="495"/>
      <c r="Y94" s="649"/>
      <c r="Z94" s="496"/>
      <c r="AA94" s="497"/>
      <c r="AB94" s="497"/>
      <c r="AC94" s="495"/>
      <c r="AD94" s="649"/>
      <c r="AE94" s="496"/>
      <c r="AF94" s="497"/>
      <c r="AG94" s="497"/>
      <c r="AH94" s="495"/>
      <c r="AI94" s="649"/>
      <c r="AJ94" s="496"/>
      <c r="AK94" s="497"/>
      <c r="AL94" s="497"/>
      <c r="AM94" s="495"/>
      <c r="AN94" s="649"/>
      <c r="AO94" s="496"/>
      <c r="AP94" s="497"/>
      <c r="AQ94" s="497"/>
      <c r="AR94" s="495"/>
      <c r="AS94" s="649"/>
      <c r="AT94" s="495"/>
      <c r="AU94" s="420"/>
      <c r="AV94" s="420"/>
      <c r="AW94" s="495"/>
      <c r="AX94" s="649"/>
      <c r="AZ94" s="402" t="e">
        <f t="shared" si="54"/>
        <v>#N/A</v>
      </c>
      <c r="BA94" s="649"/>
    </row>
    <row r="95" spans="2:53">
      <c r="B95" s="635"/>
      <c r="C95" s="415">
        <v>9</v>
      </c>
      <c r="D95" s="225"/>
      <c r="E95" s="420"/>
      <c r="F95" s="413"/>
      <c r="G95" s="414"/>
      <c r="H95" s="672"/>
      <c r="I95" s="417" t="str">
        <f t="shared" si="51"/>
        <v>-</v>
      </c>
      <c r="J95" s="417" t="str">
        <f t="shared" si="52"/>
        <v>-</v>
      </c>
      <c r="K95" s="199" t="str">
        <f t="shared" si="53"/>
        <v>-</v>
      </c>
      <c r="L95" s="609"/>
      <c r="M95" s="497" t="e">
        <f>RANK(K95, K$87:$K$101)</f>
        <v>#VALUE!</v>
      </c>
      <c r="N95" s="627"/>
      <c r="O95" s="627"/>
      <c r="P95" s="496"/>
      <c r="Q95" s="497"/>
      <c r="R95" s="497"/>
      <c r="S95" s="495"/>
      <c r="T95" s="649"/>
      <c r="U95" s="496"/>
      <c r="V95" s="497"/>
      <c r="W95" s="497"/>
      <c r="X95" s="495"/>
      <c r="Y95" s="649"/>
      <c r="Z95" s="496"/>
      <c r="AA95" s="497"/>
      <c r="AB95" s="497"/>
      <c r="AC95" s="495"/>
      <c r="AD95" s="649"/>
      <c r="AE95" s="496"/>
      <c r="AF95" s="497"/>
      <c r="AG95" s="497"/>
      <c r="AH95" s="495"/>
      <c r="AI95" s="649"/>
      <c r="AJ95" s="496"/>
      <c r="AK95" s="497"/>
      <c r="AL95" s="497"/>
      <c r="AM95" s="495"/>
      <c r="AN95" s="649"/>
      <c r="AO95" s="496"/>
      <c r="AP95" s="497"/>
      <c r="AQ95" s="497"/>
      <c r="AR95" s="495"/>
      <c r="AS95" s="649"/>
      <c r="AT95" s="495"/>
      <c r="AU95" s="420"/>
      <c r="AV95" s="420"/>
      <c r="AW95" s="495"/>
      <c r="AX95" s="649"/>
      <c r="AZ95" s="402" t="e">
        <f t="shared" si="54"/>
        <v>#N/A</v>
      </c>
      <c r="BA95" s="649"/>
    </row>
    <row r="96" spans="2:53">
      <c r="B96" s="635"/>
      <c r="C96" s="415">
        <v>10</v>
      </c>
      <c r="D96" s="225"/>
      <c r="E96" s="420"/>
      <c r="F96" s="413"/>
      <c r="G96" s="414"/>
      <c r="H96" s="672"/>
      <c r="I96" s="417" t="str">
        <f t="shared" si="51"/>
        <v>-</v>
      </c>
      <c r="J96" s="417" t="str">
        <f t="shared" si="52"/>
        <v>-</v>
      </c>
      <c r="K96" s="199" t="str">
        <f t="shared" si="53"/>
        <v>-</v>
      </c>
      <c r="L96" s="609"/>
      <c r="M96" s="497" t="e">
        <f>RANK(K96, K$87:$K$101)</f>
        <v>#VALUE!</v>
      </c>
      <c r="N96" s="627"/>
      <c r="O96" s="627"/>
      <c r="P96" s="496"/>
      <c r="Q96" s="497"/>
      <c r="R96" s="497"/>
      <c r="S96" s="495"/>
      <c r="T96" s="649"/>
      <c r="U96" s="496"/>
      <c r="V96" s="497"/>
      <c r="W96" s="497"/>
      <c r="X96" s="495"/>
      <c r="Y96" s="649"/>
      <c r="Z96" s="496"/>
      <c r="AA96" s="497"/>
      <c r="AB96" s="497"/>
      <c r="AC96" s="495"/>
      <c r="AD96" s="649"/>
      <c r="AE96" s="496"/>
      <c r="AF96" s="497"/>
      <c r="AG96" s="497"/>
      <c r="AH96" s="495"/>
      <c r="AI96" s="649"/>
      <c r="AJ96" s="496"/>
      <c r="AK96" s="497"/>
      <c r="AL96" s="497"/>
      <c r="AM96" s="495"/>
      <c r="AN96" s="649"/>
      <c r="AO96" s="496"/>
      <c r="AP96" s="497"/>
      <c r="AQ96" s="497"/>
      <c r="AR96" s="495"/>
      <c r="AS96" s="649"/>
      <c r="AT96" s="495"/>
      <c r="AU96" s="420"/>
      <c r="AV96" s="420"/>
      <c r="AW96" s="495"/>
      <c r="AX96" s="649"/>
      <c r="AZ96" s="402" t="e">
        <f t="shared" si="54"/>
        <v>#N/A</v>
      </c>
      <c r="BA96" s="649"/>
    </row>
    <row r="97" spans="2:53">
      <c r="B97" s="635"/>
      <c r="C97" s="415">
        <v>11</v>
      </c>
      <c r="D97" s="225"/>
      <c r="E97" s="420"/>
      <c r="F97" s="413"/>
      <c r="G97" s="414"/>
      <c r="H97" s="672"/>
      <c r="I97" s="417" t="str">
        <f t="shared" si="51"/>
        <v>-</v>
      </c>
      <c r="J97" s="417" t="str">
        <f t="shared" si="52"/>
        <v>-</v>
      </c>
      <c r="K97" s="199" t="str">
        <f t="shared" si="53"/>
        <v>-</v>
      </c>
      <c r="L97" s="609"/>
      <c r="M97" s="497" t="e">
        <f>RANK(K97, K$87:$K$101)</f>
        <v>#VALUE!</v>
      </c>
      <c r="N97" s="627"/>
      <c r="O97" s="627"/>
      <c r="P97" s="496"/>
      <c r="Q97" s="497"/>
      <c r="R97" s="497"/>
      <c r="S97" s="495"/>
      <c r="T97" s="649"/>
      <c r="U97" s="496"/>
      <c r="V97" s="497"/>
      <c r="W97" s="497"/>
      <c r="X97" s="495"/>
      <c r="Y97" s="649"/>
      <c r="Z97" s="496"/>
      <c r="AA97" s="497"/>
      <c r="AB97" s="497"/>
      <c r="AC97" s="495"/>
      <c r="AD97" s="649"/>
      <c r="AE97" s="496"/>
      <c r="AF97" s="497"/>
      <c r="AG97" s="497"/>
      <c r="AH97" s="495"/>
      <c r="AI97" s="649"/>
      <c r="AJ97" s="496"/>
      <c r="AK97" s="497"/>
      <c r="AL97" s="497"/>
      <c r="AM97" s="495"/>
      <c r="AN97" s="649"/>
      <c r="AO97" s="496"/>
      <c r="AP97" s="497"/>
      <c r="AQ97" s="497"/>
      <c r="AR97" s="495"/>
      <c r="AS97" s="649"/>
      <c r="AT97" s="495"/>
      <c r="AU97" s="420"/>
      <c r="AV97" s="420"/>
      <c r="AW97" s="495"/>
      <c r="AX97" s="649"/>
      <c r="AZ97" s="402" t="e">
        <f t="shared" si="54"/>
        <v>#N/A</v>
      </c>
      <c r="BA97" s="649"/>
    </row>
    <row r="98" spans="2:53">
      <c r="B98" s="635"/>
      <c r="C98" s="415">
        <v>12</v>
      </c>
      <c r="D98" s="225"/>
      <c r="E98" s="420"/>
      <c r="F98" s="413"/>
      <c r="G98" s="414"/>
      <c r="H98" s="672"/>
      <c r="I98" s="417" t="str">
        <f t="shared" si="51"/>
        <v>-</v>
      </c>
      <c r="J98" s="417" t="str">
        <f t="shared" si="52"/>
        <v>-</v>
      </c>
      <c r="K98" s="199" t="str">
        <f t="shared" si="53"/>
        <v>-</v>
      </c>
      <c r="L98" s="609"/>
      <c r="M98" s="497" t="e">
        <f>RANK(K98, K$87:$K$101)</f>
        <v>#VALUE!</v>
      </c>
      <c r="N98" s="627"/>
      <c r="O98" s="627"/>
      <c r="P98" s="496"/>
      <c r="Q98" s="497"/>
      <c r="R98" s="497"/>
      <c r="S98" s="495"/>
      <c r="T98" s="649"/>
      <c r="U98" s="496"/>
      <c r="V98" s="497"/>
      <c r="W98" s="497"/>
      <c r="X98" s="495"/>
      <c r="Y98" s="649"/>
      <c r="Z98" s="496"/>
      <c r="AA98" s="497"/>
      <c r="AB98" s="497"/>
      <c r="AC98" s="495"/>
      <c r="AD98" s="649"/>
      <c r="AE98" s="496"/>
      <c r="AF98" s="497"/>
      <c r="AG98" s="497"/>
      <c r="AH98" s="495"/>
      <c r="AI98" s="649"/>
      <c r="AJ98" s="496"/>
      <c r="AK98" s="497"/>
      <c r="AL98" s="497"/>
      <c r="AM98" s="495"/>
      <c r="AN98" s="649"/>
      <c r="AO98" s="496"/>
      <c r="AP98" s="497"/>
      <c r="AQ98" s="497"/>
      <c r="AR98" s="495"/>
      <c r="AS98" s="649"/>
      <c r="AT98" s="495"/>
      <c r="AU98" s="420"/>
      <c r="AV98" s="420"/>
      <c r="AW98" s="495"/>
      <c r="AX98" s="649"/>
      <c r="AZ98" s="402" t="e">
        <f t="shared" si="54"/>
        <v>#N/A</v>
      </c>
      <c r="BA98" s="649"/>
    </row>
    <row r="99" spans="2:53">
      <c r="B99" s="635"/>
      <c r="C99" s="415">
        <v>13</v>
      </c>
      <c r="D99" s="225"/>
      <c r="E99" s="420"/>
      <c r="F99" s="413"/>
      <c r="G99" s="414"/>
      <c r="H99" s="672"/>
      <c r="I99" s="417" t="str">
        <f t="shared" si="51"/>
        <v>-</v>
      </c>
      <c r="J99" s="417" t="str">
        <f t="shared" si="52"/>
        <v>-</v>
      </c>
      <c r="K99" s="199" t="str">
        <f t="shared" si="53"/>
        <v>-</v>
      </c>
      <c r="L99" s="609"/>
      <c r="M99" s="497" t="e">
        <f>RANK(K99, K$87:$K$101)</f>
        <v>#VALUE!</v>
      </c>
      <c r="N99" s="627"/>
      <c r="O99" s="627"/>
      <c r="P99" s="496"/>
      <c r="Q99" s="497"/>
      <c r="R99" s="497"/>
      <c r="S99" s="495"/>
      <c r="T99" s="649"/>
      <c r="U99" s="496"/>
      <c r="V99" s="497"/>
      <c r="W99" s="497"/>
      <c r="X99" s="495"/>
      <c r="Y99" s="649"/>
      <c r="Z99" s="496"/>
      <c r="AA99" s="497"/>
      <c r="AB99" s="497"/>
      <c r="AC99" s="495"/>
      <c r="AD99" s="649"/>
      <c r="AE99" s="496"/>
      <c r="AF99" s="497"/>
      <c r="AG99" s="497"/>
      <c r="AH99" s="495"/>
      <c r="AI99" s="649"/>
      <c r="AJ99" s="496"/>
      <c r="AK99" s="497"/>
      <c r="AL99" s="497"/>
      <c r="AM99" s="495"/>
      <c r="AN99" s="649"/>
      <c r="AO99" s="496"/>
      <c r="AP99" s="497"/>
      <c r="AQ99" s="497"/>
      <c r="AR99" s="495"/>
      <c r="AS99" s="649"/>
      <c r="AT99" s="495"/>
      <c r="AU99" s="420"/>
      <c r="AV99" s="420"/>
      <c r="AW99" s="495"/>
      <c r="AX99" s="649"/>
      <c r="AZ99" s="402" t="e">
        <f t="shared" si="54"/>
        <v>#N/A</v>
      </c>
      <c r="BA99" s="649"/>
    </row>
    <row r="100" spans="2:53">
      <c r="B100" s="635"/>
      <c r="C100" s="415">
        <v>14</v>
      </c>
      <c r="D100" s="225"/>
      <c r="E100" s="420"/>
      <c r="F100" s="413"/>
      <c r="G100" s="414"/>
      <c r="H100" s="672"/>
      <c r="I100" s="417" t="str">
        <f t="shared" si="51"/>
        <v>-</v>
      </c>
      <c r="J100" s="417" t="str">
        <f t="shared" si="52"/>
        <v>-</v>
      </c>
      <c r="K100" s="199" t="str">
        <f t="shared" si="53"/>
        <v>-</v>
      </c>
      <c r="L100" s="609"/>
      <c r="M100" s="497" t="e">
        <f>RANK(K100, K$87:$K$101)</f>
        <v>#VALUE!</v>
      </c>
      <c r="N100" s="627"/>
      <c r="O100" s="627"/>
      <c r="P100" s="496"/>
      <c r="Q100" s="497"/>
      <c r="R100" s="497"/>
      <c r="S100" s="495"/>
      <c r="T100" s="649"/>
      <c r="U100" s="496"/>
      <c r="V100" s="497"/>
      <c r="W100" s="497"/>
      <c r="X100" s="495"/>
      <c r="Y100" s="649"/>
      <c r="Z100" s="496"/>
      <c r="AA100" s="497"/>
      <c r="AB100" s="497"/>
      <c r="AC100" s="495"/>
      <c r="AD100" s="649"/>
      <c r="AE100" s="496"/>
      <c r="AF100" s="497"/>
      <c r="AG100" s="497"/>
      <c r="AH100" s="495"/>
      <c r="AI100" s="649"/>
      <c r="AJ100" s="496"/>
      <c r="AK100" s="497"/>
      <c r="AL100" s="497"/>
      <c r="AM100" s="495"/>
      <c r="AN100" s="649"/>
      <c r="AO100" s="496"/>
      <c r="AP100" s="497"/>
      <c r="AQ100" s="497"/>
      <c r="AR100" s="495"/>
      <c r="AS100" s="649"/>
      <c r="AT100" s="495"/>
      <c r="AU100" s="420"/>
      <c r="AV100" s="420"/>
      <c r="AW100" s="495"/>
      <c r="AX100" s="649"/>
      <c r="AZ100" s="402" t="e">
        <f t="shared" si="54"/>
        <v>#N/A</v>
      </c>
      <c r="BA100" s="649"/>
    </row>
    <row r="101" spans="2:53">
      <c r="B101" s="635"/>
      <c r="C101" s="415">
        <v>15</v>
      </c>
      <c r="D101" s="225"/>
      <c r="E101" s="420"/>
      <c r="F101" s="413"/>
      <c r="G101" s="414"/>
      <c r="H101" s="676"/>
      <c r="I101" s="415"/>
      <c r="J101" s="415"/>
      <c r="K101" s="415"/>
      <c r="L101" s="610"/>
      <c r="M101" s="497" t="e">
        <f>RANK(K101, K$87:$K$101)</f>
        <v>#N/A</v>
      </c>
      <c r="N101" s="627"/>
      <c r="O101" s="627"/>
      <c r="P101" s="496"/>
      <c r="Q101" s="497"/>
      <c r="R101" s="497"/>
      <c r="S101" s="495"/>
      <c r="T101" s="649"/>
      <c r="U101" s="496"/>
      <c r="V101" s="497"/>
      <c r="W101" s="497"/>
      <c r="X101" s="495"/>
      <c r="Y101" s="649"/>
      <c r="Z101" s="496"/>
      <c r="AA101" s="497"/>
      <c r="AB101" s="497"/>
      <c r="AC101" s="495"/>
      <c r="AD101" s="649"/>
      <c r="AE101" s="496"/>
      <c r="AF101" s="497"/>
      <c r="AG101" s="497"/>
      <c r="AH101" s="495"/>
      <c r="AI101" s="649"/>
      <c r="AJ101" s="496"/>
      <c r="AK101" s="497"/>
      <c r="AL101" s="497"/>
      <c r="AM101" s="495"/>
      <c r="AN101" s="649"/>
      <c r="AO101" s="496"/>
      <c r="AP101" s="497"/>
      <c r="AQ101" s="497"/>
      <c r="AR101" s="495"/>
      <c r="AS101" s="649"/>
      <c r="AT101" s="495"/>
      <c r="AU101" s="420"/>
      <c r="AV101" s="420"/>
      <c r="AW101" s="495"/>
      <c r="AX101" s="649"/>
      <c r="AZ101" s="402" t="e">
        <f t="shared" si="54"/>
        <v>#N/A</v>
      </c>
      <c r="BA101" s="649"/>
    </row>
    <row r="102" spans="2:53" ht="15.75">
      <c r="B102" s="639" t="s">
        <v>163</v>
      </c>
      <c r="C102" s="640"/>
      <c r="D102" s="640"/>
      <c r="E102" s="640"/>
      <c r="F102" s="640"/>
      <c r="G102" s="640"/>
      <c r="H102" s="641"/>
      <c r="I102" s="207"/>
      <c r="J102" s="207"/>
      <c r="K102" s="207"/>
      <c r="L102" s="207"/>
      <c r="M102" s="206"/>
      <c r="N102" s="628" t="s">
        <v>156</v>
      </c>
      <c r="O102" s="628" t="s">
        <v>105</v>
      </c>
      <c r="P102" s="634">
        <f>P82+7</f>
        <v>46175</v>
      </c>
      <c r="Q102" s="635"/>
      <c r="R102" s="635"/>
      <c r="S102" s="635"/>
      <c r="T102" s="635"/>
      <c r="U102" s="631">
        <f>P102+1</f>
        <v>46176</v>
      </c>
      <c r="V102" s="632"/>
      <c r="W102" s="632"/>
      <c r="X102" s="632"/>
      <c r="Y102" s="633"/>
      <c r="Z102" s="631">
        <f>U102+1</f>
        <v>46177</v>
      </c>
      <c r="AA102" s="632"/>
      <c r="AB102" s="632"/>
      <c r="AC102" s="632"/>
      <c r="AD102" s="633"/>
      <c r="AE102" s="631">
        <f>Z102+1</f>
        <v>46178</v>
      </c>
      <c r="AF102" s="632"/>
      <c r="AG102" s="632"/>
      <c r="AH102" s="632"/>
      <c r="AI102" s="633"/>
      <c r="AJ102" s="631">
        <f>AE102+1</f>
        <v>46179</v>
      </c>
      <c r="AK102" s="632"/>
      <c r="AL102" s="632"/>
      <c r="AM102" s="632"/>
      <c r="AN102" s="633"/>
      <c r="AO102" s="631">
        <f>AJ102+1</f>
        <v>46180</v>
      </c>
      <c r="AP102" s="632"/>
      <c r="AQ102" s="632"/>
      <c r="AR102" s="632"/>
      <c r="AS102" s="633"/>
      <c r="AT102" s="631">
        <f>AO102+1</f>
        <v>46181</v>
      </c>
      <c r="AU102" s="632"/>
      <c r="AV102" s="632"/>
      <c r="AW102" s="632"/>
      <c r="AX102" s="633"/>
    </row>
    <row r="103" spans="2:53" ht="15.75">
      <c r="B103" s="642"/>
      <c r="C103" s="642"/>
      <c r="D103" s="642"/>
      <c r="E103" s="642"/>
      <c r="F103" s="642"/>
      <c r="G103" s="642"/>
      <c r="H103" s="642"/>
      <c r="I103" s="204"/>
      <c r="J103" s="204"/>
      <c r="K103" s="204"/>
      <c r="L103" s="204"/>
      <c r="M103" s="205"/>
      <c r="N103" s="630"/>
      <c r="O103" s="630"/>
      <c r="P103" s="634" t="s">
        <v>158</v>
      </c>
      <c r="Q103" s="635"/>
      <c r="R103" s="635"/>
      <c r="S103" s="635"/>
      <c r="T103" s="635"/>
      <c r="U103" s="634" t="s">
        <v>114</v>
      </c>
      <c r="V103" s="635"/>
      <c r="W103" s="635"/>
      <c r="X103" s="635"/>
      <c r="Y103" s="635"/>
      <c r="Z103" s="634" t="s">
        <v>159</v>
      </c>
      <c r="AA103" s="635"/>
      <c r="AB103" s="635"/>
      <c r="AC103" s="635"/>
      <c r="AD103" s="635"/>
      <c r="AE103" s="634" t="s">
        <v>157</v>
      </c>
      <c r="AF103" s="635"/>
      <c r="AG103" s="635"/>
      <c r="AH103" s="635"/>
      <c r="AI103" s="635"/>
      <c r="AJ103" s="634" t="s">
        <v>160</v>
      </c>
      <c r="AK103" s="635"/>
      <c r="AL103" s="635"/>
      <c r="AM103" s="635"/>
      <c r="AN103" s="635"/>
      <c r="AO103" s="634" t="s">
        <v>115</v>
      </c>
      <c r="AP103" s="635"/>
      <c r="AQ103" s="635"/>
      <c r="AR103" s="635"/>
      <c r="AS103" s="635"/>
      <c r="AT103" s="634" t="s">
        <v>162</v>
      </c>
      <c r="AU103" s="635"/>
      <c r="AV103" s="635"/>
      <c r="AW103" s="635"/>
      <c r="AX103" s="635"/>
    </row>
    <row r="104" spans="2:53">
      <c r="B104" s="627" t="s">
        <v>550</v>
      </c>
      <c r="C104" s="627" t="s">
        <v>551</v>
      </c>
      <c r="D104" s="627"/>
      <c r="E104" s="627" t="s">
        <v>552</v>
      </c>
      <c r="F104" s="627"/>
      <c r="G104" s="627"/>
      <c r="H104" s="643" t="s">
        <v>553</v>
      </c>
      <c r="I104" s="627" t="s">
        <v>554</v>
      </c>
      <c r="J104" s="627"/>
      <c r="K104" s="627"/>
      <c r="L104" s="643" t="s">
        <v>371</v>
      </c>
      <c r="M104" s="628" t="s">
        <v>555</v>
      </c>
      <c r="N104" s="627"/>
      <c r="O104" s="627" t="s">
        <v>541</v>
      </c>
      <c r="P104" s="624" t="s">
        <v>542</v>
      </c>
      <c r="Q104" s="625"/>
      <c r="R104" s="625"/>
      <c r="S104" s="626"/>
      <c r="T104" s="627" t="s">
        <v>538</v>
      </c>
      <c r="U104" s="624" t="s">
        <v>542</v>
      </c>
      <c r="V104" s="625"/>
      <c r="W104" s="625"/>
      <c r="X104" s="626"/>
      <c r="Y104" s="627" t="s">
        <v>538</v>
      </c>
      <c r="Z104" s="624" t="s">
        <v>542</v>
      </c>
      <c r="AA104" s="625"/>
      <c r="AB104" s="625"/>
      <c r="AC104" s="626"/>
      <c r="AD104" s="627" t="s">
        <v>538</v>
      </c>
      <c r="AE104" s="624" t="s">
        <v>542</v>
      </c>
      <c r="AF104" s="625"/>
      <c r="AG104" s="625"/>
      <c r="AH104" s="626"/>
      <c r="AI104" s="627" t="s">
        <v>538</v>
      </c>
      <c r="AJ104" s="624" t="s">
        <v>542</v>
      </c>
      <c r="AK104" s="625"/>
      <c r="AL104" s="625"/>
      <c r="AM104" s="626"/>
      <c r="AN104" s="627" t="s">
        <v>538</v>
      </c>
      <c r="AO104" s="624" t="s">
        <v>542</v>
      </c>
      <c r="AP104" s="625"/>
      <c r="AQ104" s="625"/>
      <c r="AR104" s="626"/>
      <c r="AS104" s="627" t="s">
        <v>538</v>
      </c>
      <c r="AT104" s="624" t="s">
        <v>542</v>
      </c>
      <c r="AU104" s="625"/>
      <c r="AV104" s="625"/>
      <c r="AW104" s="626"/>
      <c r="AX104" s="627" t="s">
        <v>538</v>
      </c>
      <c r="BA104" s="627" t="s">
        <v>371</v>
      </c>
    </row>
    <row r="105" spans="2:53">
      <c r="B105" s="627"/>
      <c r="C105" s="627"/>
      <c r="D105" s="627"/>
      <c r="E105" s="627" t="s">
        <v>557</v>
      </c>
      <c r="F105" s="627"/>
      <c r="G105" s="627"/>
      <c r="H105" s="644"/>
      <c r="I105" s="627" t="s">
        <v>557</v>
      </c>
      <c r="J105" s="627"/>
      <c r="K105" s="627"/>
      <c r="L105" s="644"/>
      <c r="M105" s="629"/>
      <c r="N105" s="627"/>
      <c r="O105" s="627"/>
      <c r="P105" s="624" t="s">
        <v>544</v>
      </c>
      <c r="Q105" s="625"/>
      <c r="R105" s="625"/>
      <c r="S105" s="626"/>
      <c r="T105" s="627"/>
      <c r="U105" s="624" t="s">
        <v>544</v>
      </c>
      <c r="V105" s="625"/>
      <c r="W105" s="625"/>
      <c r="X105" s="626"/>
      <c r="Y105" s="627"/>
      <c r="Z105" s="624" t="s">
        <v>544</v>
      </c>
      <c r="AA105" s="625"/>
      <c r="AB105" s="625"/>
      <c r="AC105" s="626"/>
      <c r="AD105" s="627"/>
      <c r="AE105" s="624" t="s">
        <v>544</v>
      </c>
      <c r="AF105" s="625"/>
      <c r="AG105" s="625"/>
      <c r="AH105" s="626"/>
      <c r="AI105" s="627"/>
      <c r="AJ105" s="624" t="s">
        <v>544</v>
      </c>
      <c r="AK105" s="625"/>
      <c r="AL105" s="625"/>
      <c r="AM105" s="626"/>
      <c r="AN105" s="627"/>
      <c r="AO105" s="624" t="s">
        <v>544</v>
      </c>
      <c r="AP105" s="625"/>
      <c r="AQ105" s="625"/>
      <c r="AR105" s="626"/>
      <c r="AS105" s="627"/>
      <c r="AT105" s="624" t="s">
        <v>544</v>
      </c>
      <c r="AU105" s="625"/>
      <c r="AV105" s="625"/>
      <c r="AW105" s="626"/>
      <c r="AX105" s="627"/>
      <c r="BA105" s="627"/>
    </row>
    <row r="106" spans="2:53">
      <c r="B106" s="627"/>
      <c r="C106" s="627"/>
      <c r="D106" s="627"/>
      <c r="E106" s="361" t="s">
        <v>558</v>
      </c>
      <c r="F106" s="361" t="s">
        <v>559</v>
      </c>
      <c r="G106" s="361" t="s">
        <v>560</v>
      </c>
      <c r="H106" s="645"/>
      <c r="I106" s="361" t="s">
        <v>558</v>
      </c>
      <c r="J106" s="361" t="s">
        <v>559</v>
      </c>
      <c r="K106" s="361" t="s">
        <v>560</v>
      </c>
      <c r="L106" s="645"/>
      <c r="M106" s="630"/>
      <c r="N106" s="627"/>
      <c r="O106" s="627"/>
      <c r="P106" s="361" t="s">
        <v>545</v>
      </c>
      <c r="Q106" s="361" t="s">
        <v>546</v>
      </c>
      <c r="R106" s="361" t="s">
        <v>547</v>
      </c>
      <c r="S106" s="361" t="s">
        <v>540</v>
      </c>
      <c r="T106" s="627"/>
      <c r="U106" s="361" t="s">
        <v>545</v>
      </c>
      <c r="V106" s="361" t="s">
        <v>546</v>
      </c>
      <c r="W106" s="361" t="s">
        <v>547</v>
      </c>
      <c r="X106" s="361" t="s">
        <v>540</v>
      </c>
      <c r="Y106" s="627"/>
      <c r="Z106" s="361" t="s">
        <v>545</v>
      </c>
      <c r="AA106" s="361" t="s">
        <v>546</v>
      </c>
      <c r="AB106" s="361" t="s">
        <v>547</v>
      </c>
      <c r="AC106" s="361" t="s">
        <v>540</v>
      </c>
      <c r="AD106" s="627"/>
      <c r="AE106" s="361" t="s">
        <v>545</v>
      </c>
      <c r="AF106" s="361" t="s">
        <v>546</v>
      </c>
      <c r="AG106" s="361" t="s">
        <v>547</v>
      </c>
      <c r="AH106" s="361" t="s">
        <v>540</v>
      </c>
      <c r="AI106" s="627"/>
      <c r="AJ106" s="361" t="s">
        <v>545</v>
      </c>
      <c r="AK106" s="361" t="s">
        <v>546</v>
      </c>
      <c r="AL106" s="361" t="s">
        <v>547</v>
      </c>
      <c r="AM106" s="361" t="s">
        <v>540</v>
      </c>
      <c r="AN106" s="627"/>
      <c r="AO106" s="361" t="s">
        <v>545</v>
      </c>
      <c r="AP106" s="361" t="s">
        <v>546</v>
      </c>
      <c r="AQ106" s="361" t="s">
        <v>547</v>
      </c>
      <c r="AR106" s="361" t="s">
        <v>540</v>
      </c>
      <c r="AS106" s="627"/>
      <c r="AT106" s="361" t="s">
        <v>545</v>
      </c>
      <c r="AU106" s="361" t="s">
        <v>546</v>
      </c>
      <c r="AV106" s="361" t="s">
        <v>547</v>
      </c>
      <c r="AW106" s="361" t="s">
        <v>540</v>
      </c>
      <c r="AX106" s="627"/>
      <c r="AZ106" s="401" t="s">
        <v>540</v>
      </c>
      <c r="BA106" s="627"/>
    </row>
    <row r="107" spans="2:53">
      <c r="B107" s="627" t="s">
        <v>136</v>
      </c>
      <c r="C107" s="366">
        <v>1</v>
      </c>
      <c r="D107" s="225"/>
      <c r="E107" s="181"/>
      <c r="F107" s="374"/>
      <c r="G107" s="375"/>
      <c r="H107" s="697" t="e">
        <f>AVERAGE(G107:G121)</f>
        <v>#DIV/0!</v>
      </c>
      <c r="I107" s="395" t="str">
        <f t="shared" ref="I107:I120" si="56">IFERROR(AVERAGE(P107,U107,Z107,AE107,AJ107,AO107,AT107),"-")</f>
        <v>-</v>
      </c>
      <c r="J107" s="395" t="str">
        <f t="shared" ref="J107:J120" si="57">IFERROR(AVERAGE(Q107,V107,AA107,AF107,AK107,AP107,AU107),"-")</f>
        <v>-</v>
      </c>
      <c r="K107" s="199" t="str">
        <f t="shared" ref="K107:K120" si="58">IFERROR(AVERAGE(R107,W107,AB107,AG107,AL107,AQ107,AV107),"-")</f>
        <v>-</v>
      </c>
      <c r="L107" s="608" t="str">
        <f>IFERROR(AVERAGE(K107:K121),"-")</f>
        <v>-</v>
      </c>
      <c r="M107" s="367" t="e">
        <f>RANK(K107, K$67:$K$81)</f>
        <v>#VALUE!</v>
      </c>
      <c r="N107" s="627"/>
      <c r="O107" s="627"/>
      <c r="P107" s="366"/>
      <c r="Q107" s="367"/>
      <c r="R107" s="367"/>
      <c r="S107" s="366" t="e">
        <f>RANK(R107, R$67:R$81)</f>
        <v>#N/A</v>
      </c>
      <c r="T107" s="674" t="e">
        <f>AVERAGE(R107:R121)</f>
        <v>#DIV/0!</v>
      </c>
      <c r="U107" s="376"/>
      <c r="V107" s="377"/>
      <c r="W107" s="377"/>
      <c r="X107" s="366" t="e">
        <f>RANK(W107, W$67:W$81)</f>
        <v>#N/A</v>
      </c>
      <c r="Y107" s="674" t="e">
        <f>AVERAGE(W107:W121)</f>
        <v>#DIV/0!</v>
      </c>
      <c r="Z107" s="376"/>
      <c r="AA107" s="377"/>
      <c r="AB107" s="377"/>
      <c r="AC107" s="366" t="e">
        <f>RANK(AB107, AB$67:AB$81)</f>
        <v>#N/A</v>
      </c>
      <c r="AD107" s="674" t="e">
        <f>AVERAGE(AB107:AB121)</f>
        <v>#DIV/0!</v>
      </c>
      <c r="AE107" s="376"/>
      <c r="AF107" s="377"/>
      <c r="AG107" s="377"/>
      <c r="AH107" s="366" t="e">
        <f>RANK(AG107, AG$67:AG$81)</f>
        <v>#N/A</v>
      </c>
      <c r="AI107" s="674" t="e">
        <f>AVERAGE(AG107:AG121)</f>
        <v>#DIV/0!</v>
      </c>
      <c r="AJ107" s="376"/>
      <c r="AK107" s="377"/>
      <c r="AL107" s="377"/>
      <c r="AM107" s="366" t="e">
        <f>RANK(AL107, AL$67:AL$81)</f>
        <v>#N/A</v>
      </c>
      <c r="AN107" s="674" t="e">
        <f>AVERAGE(AL107:AL121)</f>
        <v>#DIV/0!</v>
      </c>
      <c r="AO107" s="376"/>
      <c r="AP107" s="377"/>
      <c r="AQ107" s="377"/>
      <c r="AR107" s="366" t="e">
        <f>RANK(AQ107, AQ$67:AQ$81)</f>
        <v>#N/A</v>
      </c>
      <c r="AS107" s="674" t="e">
        <f>AVERAGE(AQ107:AQ121)</f>
        <v>#DIV/0!</v>
      </c>
      <c r="AT107" s="181"/>
      <c r="AU107" s="375"/>
      <c r="AV107" s="375"/>
      <c r="AW107" s="366" t="e">
        <f>RANK(AV107, AV$67:AV$81)</f>
        <v>#N/A</v>
      </c>
      <c r="AX107" s="674" t="e">
        <f>AVERAGE(AV107:AV121)</f>
        <v>#DIV/0!</v>
      </c>
      <c r="AZ107" s="403" t="e">
        <f>RANK(AY107, AY$67:AY$81)</f>
        <v>#N/A</v>
      </c>
      <c r="BA107" s="674" t="e">
        <f>AVERAGE(AY107:AY121)</f>
        <v>#DIV/0!</v>
      </c>
    </row>
    <row r="108" spans="2:53">
      <c r="B108" s="660"/>
      <c r="C108" s="366">
        <v>2</v>
      </c>
      <c r="D108" s="225"/>
      <c r="E108" s="181"/>
      <c r="F108" s="374"/>
      <c r="G108" s="375"/>
      <c r="H108" s="698"/>
      <c r="I108" s="395" t="str">
        <f t="shared" si="56"/>
        <v>-</v>
      </c>
      <c r="J108" s="395" t="str">
        <f t="shared" si="57"/>
        <v>-</v>
      </c>
      <c r="K108" s="199" t="str">
        <f t="shared" si="58"/>
        <v>-</v>
      </c>
      <c r="L108" s="609"/>
      <c r="M108" s="367" t="e">
        <f>RANK(K108, K$67:$K$81)</f>
        <v>#VALUE!</v>
      </c>
      <c r="N108" s="627"/>
      <c r="O108" s="627"/>
      <c r="P108" s="366"/>
      <c r="Q108" s="367"/>
      <c r="R108" s="367"/>
      <c r="S108" s="366" t="e">
        <f t="shared" ref="S108:S121" si="59">RANK(R108, R$67:R$81)</f>
        <v>#N/A</v>
      </c>
      <c r="T108" s="674"/>
      <c r="U108" s="376"/>
      <c r="V108" s="377"/>
      <c r="W108" s="377"/>
      <c r="X108" s="366" t="e">
        <f t="shared" ref="X108:X121" si="60">RANK(W108, W$67:W$81)</f>
        <v>#N/A</v>
      </c>
      <c r="Y108" s="674"/>
      <c r="Z108" s="376"/>
      <c r="AA108" s="377"/>
      <c r="AB108" s="377"/>
      <c r="AC108" s="366" t="e">
        <f t="shared" ref="AC108:AC121" si="61">RANK(AB108, AB$67:AB$81)</f>
        <v>#N/A</v>
      </c>
      <c r="AD108" s="674"/>
      <c r="AE108" s="376"/>
      <c r="AF108" s="377"/>
      <c r="AG108" s="377"/>
      <c r="AH108" s="366" t="e">
        <f t="shared" ref="AH108:AH121" si="62">RANK(AG108, AG$67:AG$81)</f>
        <v>#N/A</v>
      </c>
      <c r="AI108" s="674"/>
      <c r="AJ108" s="376"/>
      <c r="AK108" s="377"/>
      <c r="AL108" s="377"/>
      <c r="AM108" s="366" t="e">
        <f t="shared" ref="AM108:AM121" si="63">RANK(AL108, AL$67:AL$81)</f>
        <v>#N/A</v>
      </c>
      <c r="AN108" s="674"/>
      <c r="AO108" s="376"/>
      <c r="AP108" s="377"/>
      <c r="AQ108" s="377"/>
      <c r="AR108" s="366" t="e">
        <f t="shared" ref="AR108:AR121" si="64">RANK(AQ108, AQ$67:AQ$81)</f>
        <v>#N/A</v>
      </c>
      <c r="AS108" s="674"/>
      <c r="AT108" s="374"/>
      <c r="AU108" s="375"/>
      <c r="AV108" s="375"/>
      <c r="AW108" s="366" t="e">
        <f t="shared" ref="AW108:AW121" si="65">RANK(AV108, AV$67:AV$81)</f>
        <v>#N/A</v>
      </c>
      <c r="AX108" s="674"/>
      <c r="AZ108" s="403" t="e">
        <f t="shared" ref="AZ108:AZ121" si="66">RANK(AY108, AY$67:AY$81)</f>
        <v>#N/A</v>
      </c>
      <c r="BA108" s="674"/>
    </row>
    <row r="109" spans="2:53">
      <c r="B109" s="660"/>
      <c r="C109" s="366">
        <v>3</v>
      </c>
      <c r="D109" s="225"/>
      <c r="E109" s="181"/>
      <c r="F109" s="374"/>
      <c r="G109" s="375"/>
      <c r="H109" s="698"/>
      <c r="I109" s="395" t="str">
        <f t="shared" si="56"/>
        <v>-</v>
      </c>
      <c r="J109" s="395" t="str">
        <f t="shared" si="57"/>
        <v>-</v>
      </c>
      <c r="K109" s="199" t="str">
        <f t="shared" si="58"/>
        <v>-</v>
      </c>
      <c r="L109" s="609"/>
      <c r="M109" s="367" t="e">
        <f>RANK(K109, K$67:$K$81)</f>
        <v>#VALUE!</v>
      </c>
      <c r="N109" s="627"/>
      <c r="O109" s="627"/>
      <c r="P109" s="366"/>
      <c r="Q109" s="367"/>
      <c r="R109" s="367"/>
      <c r="S109" s="366" t="e">
        <f t="shared" si="59"/>
        <v>#N/A</v>
      </c>
      <c r="T109" s="674"/>
      <c r="U109" s="376"/>
      <c r="V109" s="377"/>
      <c r="W109" s="377"/>
      <c r="X109" s="366" t="e">
        <f t="shared" si="60"/>
        <v>#N/A</v>
      </c>
      <c r="Y109" s="674"/>
      <c r="Z109" s="376"/>
      <c r="AA109" s="377"/>
      <c r="AB109" s="377"/>
      <c r="AC109" s="366" t="e">
        <f t="shared" si="61"/>
        <v>#N/A</v>
      </c>
      <c r="AD109" s="674"/>
      <c r="AE109" s="376"/>
      <c r="AF109" s="377"/>
      <c r="AG109" s="377"/>
      <c r="AH109" s="366" t="e">
        <f t="shared" si="62"/>
        <v>#N/A</v>
      </c>
      <c r="AI109" s="674"/>
      <c r="AJ109" s="376"/>
      <c r="AK109" s="377"/>
      <c r="AL109" s="377"/>
      <c r="AM109" s="366" t="e">
        <f t="shared" si="63"/>
        <v>#N/A</v>
      </c>
      <c r="AN109" s="674"/>
      <c r="AO109" s="376"/>
      <c r="AP109" s="377"/>
      <c r="AQ109" s="377"/>
      <c r="AR109" s="366" t="e">
        <f t="shared" si="64"/>
        <v>#N/A</v>
      </c>
      <c r="AS109" s="674"/>
      <c r="AT109" s="374"/>
      <c r="AU109" s="375"/>
      <c r="AV109" s="375"/>
      <c r="AW109" s="366" t="e">
        <f t="shared" si="65"/>
        <v>#N/A</v>
      </c>
      <c r="AX109" s="674"/>
      <c r="AZ109" s="403" t="e">
        <f t="shared" si="66"/>
        <v>#N/A</v>
      </c>
      <c r="BA109" s="674"/>
    </row>
    <row r="110" spans="2:53">
      <c r="B110" s="660"/>
      <c r="C110" s="366">
        <v>4</v>
      </c>
      <c r="D110" s="225"/>
      <c r="E110" s="181"/>
      <c r="F110" s="374"/>
      <c r="G110" s="375"/>
      <c r="H110" s="698"/>
      <c r="I110" s="395" t="str">
        <f t="shared" si="56"/>
        <v>-</v>
      </c>
      <c r="J110" s="395" t="str">
        <f t="shared" si="57"/>
        <v>-</v>
      </c>
      <c r="K110" s="199" t="str">
        <f t="shared" si="58"/>
        <v>-</v>
      </c>
      <c r="L110" s="609"/>
      <c r="M110" s="367" t="e">
        <f>RANK(K110, K$67:$K$81)</f>
        <v>#VALUE!</v>
      </c>
      <c r="N110" s="627"/>
      <c r="O110" s="627"/>
      <c r="P110" s="366"/>
      <c r="Q110" s="367"/>
      <c r="R110" s="367"/>
      <c r="S110" s="366" t="e">
        <f t="shared" si="59"/>
        <v>#N/A</v>
      </c>
      <c r="T110" s="674"/>
      <c r="U110" s="376"/>
      <c r="V110" s="377"/>
      <c r="W110" s="377"/>
      <c r="X110" s="366" t="e">
        <f t="shared" si="60"/>
        <v>#N/A</v>
      </c>
      <c r="Y110" s="674"/>
      <c r="Z110" s="376"/>
      <c r="AA110" s="377"/>
      <c r="AB110" s="377"/>
      <c r="AC110" s="366" t="e">
        <f t="shared" si="61"/>
        <v>#N/A</v>
      </c>
      <c r="AD110" s="674"/>
      <c r="AE110" s="376"/>
      <c r="AF110" s="377"/>
      <c r="AG110" s="377"/>
      <c r="AH110" s="366" t="e">
        <f t="shared" si="62"/>
        <v>#N/A</v>
      </c>
      <c r="AI110" s="674"/>
      <c r="AJ110" s="376"/>
      <c r="AK110" s="377"/>
      <c r="AL110" s="377"/>
      <c r="AM110" s="366" t="e">
        <f t="shared" si="63"/>
        <v>#N/A</v>
      </c>
      <c r="AN110" s="674"/>
      <c r="AO110" s="376"/>
      <c r="AP110" s="377"/>
      <c r="AQ110" s="377"/>
      <c r="AR110" s="366" t="e">
        <f t="shared" si="64"/>
        <v>#N/A</v>
      </c>
      <c r="AS110" s="674"/>
      <c r="AT110" s="374"/>
      <c r="AU110" s="375"/>
      <c r="AV110" s="375"/>
      <c r="AW110" s="366" t="e">
        <f t="shared" si="65"/>
        <v>#N/A</v>
      </c>
      <c r="AX110" s="674"/>
      <c r="AZ110" s="403" t="e">
        <f t="shared" si="66"/>
        <v>#N/A</v>
      </c>
      <c r="BA110" s="674"/>
    </row>
    <row r="111" spans="2:53">
      <c r="B111" s="660"/>
      <c r="C111" s="366">
        <v>5</v>
      </c>
      <c r="D111" s="225"/>
      <c r="E111" s="181"/>
      <c r="F111" s="374"/>
      <c r="G111" s="375"/>
      <c r="H111" s="698"/>
      <c r="I111" s="395" t="str">
        <f t="shared" si="56"/>
        <v>-</v>
      </c>
      <c r="J111" s="395" t="str">
        <f t="shared" si="57"/>
        <v>-</v>
      </c>
      <c r="K111" s="199" t="str">
        <f t="shared" si="58"/>
        <v>-</v>
      </c>
      <c r="L111" s="609"/>
      <c r="M111" s="367" t="e">
        <f>RANK(K111, K$67:$K$81)</f>
        <v>#VALUE!</v>
      </c>
      <c r="N111" s="627"/>
      <c r="O111" s="627"/>
      <c r="P111" s="366"/>
      <c r="Q111" s="367"/>
      <c r="R111" s="367"/>
      <c r="S111" s="366" t="e">
        <f t="shared" si="59"/>
        <v>#N/A</v>
      </c>
      <c r="T111" s="674"/>
      <c r="U111" s="376"/>
      <c r="V111" s="377"/>
      <c r="W111" s="377"/>
      <c r="X111" s="366" t="e">
        <f t="shared" si="60"/>
        <v>#N/A</v>
      </c>
      <c r="Y111" s="674"/>
      <c r="Z111" s="376"/>
      <c r="AA111" s="377"/>
      <c r="AB111" s="377"/>
      <c r="AC111" s="366" t="e">
        <f t="shared" si="61"/>
        <v>#N/A</v>
      </c>
      <c r="AD111" s="674"/>
      <c r="AE111" s="376"/>
      <c r="AF111" s="377"/>
      <c r="AG111" s="377"/>
      <c r="AH111" s="366" t="e">
        <f t="shared" si="62"/>
        <v>#N/A</v>
      </c>
      <c r="AI111" s="674"/>
      <c r="AJ111" s="376"/>
      <c r="AK111" s="377"/>
      <c r="AL111" s="377"/>
      <c r="AM111" s="366" t="e">
        <f t="shared" si="63"/>
        <v>#N/A</v>
      </c>
      <c r="AN111" s="674"/>
      <c r="AO111" s="376"/>
      <c r="AP111" s="377"/>
      <c r="AQ111" s="377"/>
      <c r="AR111" s="366" t="e">
        <f t="shared" si="64"/>
        <v>#N/A</v>
      </c>
      <c r="AS111" s="674"/>
      <c r="AT111" s="374"/>
      <c r="AU111" s="375"/>
      <c r="AV111" s="375"/>
      <c r="AW111" s="366" t="e">
        <f t="shared" si="65"/>
        <v>#N/A</v>
      </c>
      <c r="AX111" s="674"/>
      <c r="AZ111" s="403" t="e">
        <f t="shared" si="66"/>
        <v>#N/A</v>
      </c>
      <c r="BA111" s="674"/>
    </row>
    <row r="112" spans="2:53">
      <c r="B112" s="660"/>
      <c r="C112" s="366">
        <v>6</v>
      </c>
      <c r="D112" s="225"/>
      <c r="E112" s="181"/>
      <c r="F112" s="374"/>
      <c r="G112" s="375"/>
      <c r="H112" s="698"/>
      <c r="I112" s="395" t="str">
        <f t="shared" si="56"/>
        <v>-</v>
      </c>
      <c r="J112" s="395" t="str">
        <f t="shared" si="57"/>
        <v>-</v>
      </c>
      <c r="K112" s="199" t="str">
        <f t="shared" si="58"/>
        <v>-</v>
      </c>
      <c r="L112" s="609"/>
      <c r="M112" s="367" t="e">
        <f>RANK(K112, K$67:$K$81)</f>
        <v>#VALUE!</v>
      </c>
      <c r="N112" s="627"/>
      <c r="O112" s="627"/>
      <c r="P112" s="366"/>
      <c r="Q112" s="367"/>
      <c r="R112" s="367"/>
      <c r="S112" s="366" t="e">
        <f t="shared" si="59"/>
        <v>#N/A</v>
      </c>
      <c r="T112" s="674"/>
      <c r="U112" s="376"/>
      <c r="V112" s="377"/>
      <c r="W112" s="377"/>
      <c r="X112" s="366" t="e">
        <f t="shared" si="60"/>
        <v>#N/A</v>
      </c>
      <c r="Y112" s="674"/>
      <c r="Z112" s="376"/>
      <c r="AA112" s="377"/>
      <c r="AB112" s="377"/>
      <c r="AC112" s="366" t="e">
        <f t="shared" si="61"/>
        <v>#N/A</v>
      </c>
      <c r="AD112" s="674"/>
      <c r="AE112" s="376"/>
      <c r="AF112" s="377"/>
      <c r="AG112" s="377"/>
      <c r="AH112" s="366" t="e">
        <f t="shared" si="62"/>
        <v>#N/A</v>
      </c>
      <c r="AI112" s="674"/>
      <c r="AJ112" s="376"/>
      <c r="AK112" s="377"/>
      <c r="AL112" s="377"/>
      <c r="AM112" s="366" t="e">
        <f t="shared" si="63"/>
        <v>#N/A</v>
      </c>
      <c r="AN112" s="674"/>
      <c r="AO112" s="376"/>
      <c r="AP112" s="377"/>
      <c r="AQ112" s="377"/>
      <c r="AR112" s="366" t="e">
        <f t="shared" si="64"/>
        <v>#N/A</v>
      </c>
      <c r="AS112" s="674"/>
      <c r="AT112" s="374"/>
      <c r="AU112" s="375"/>
      <c r="AV112" s="375"/>
      <c r="AW112" s="366" t="e">
        <f t="shared" si="65"/>
        <v>#N/A</v>
      </c>
      <c r="AX112" s="674"/>
      <c r="AZ112" s="403" t="e">
        <f t="shared" si="66"/>
        <v>#N/A</v>
      </c>
      <c r="BA112" s="674"/>
    </row>
    <row r="113" spans="2:53">
      <c r="B113" s="660"/>
      <c r="C113" s="366">
        <v>7</v>
      </c>
      <c r="D113" s="225"/>
      <c r="E113" s="181"/>
      <c r="F113" s="374"/>
      <c r="G113" s="375"/>
      <c r="H113" s="698"/>
      <c r="I113" s="395" t="str">
        <f t="shared" si="56"/>
        <v>-</v>
      </c>
      <c r="J113" s="395" t="str">
        <f t="shared" si="57"/>
        <v>-</v>
      </c>
      <c r="K113" s="199" t="str">
        <f t="shared" si="58"/>
        <v>-</v>
      </c>
      <c r="L113" s="609"/>
      <c r="M113" s="367" t="e">
        <f>RANK(K113, K$67:$K$81)</f>
        <v>#VALUE!</v>
      </c>
      <c r="N113" s="627"/>
      <c r="O113" s="627"/>
      <c r="P113" s="366"/>
      <c r="Q113" s="367"/>
      <c r="R113" s="367"/>
      <c r="S113" s="366" t="e">
        <f t="shared" si="59"/>
        <v>#N/A</v>
      </c>
      <c r="T113" s="674"/>
      <c r="U113" s="376"/>
      <c r="V113" s="377"/>
      <c r="W113" s="377"/>
      <c r="X113" s="366" t="e">
        <f t="shared" si="60"/>
        <v>#N/A</v>
      </c>
      <c r="Y113" s="674"/>
      <c r="Z113" s="376"/>
      <c r="AA113" s="377"/>
      <c r="AB113" s="377"/>
      <c r="AC113" s="366" t="e">
        <f t="shared" si="61"/>
        <v>#N/A</v>
      </c>
      <c r="AD113" s="674"/>
      <c r="AE113" s="376"/>
      <c r="AF113" s="377"/>
      <c r="AG113" s="377"/>
      <c r="AH113" s="366" t="e">
        <f t="shared" si="62"/>
        <v>#N/A</v>
      </c>
      <c r="AI113" s="674"/>
      <c r="AJ113" s="376"/>
      <c r="AK113" s="377"/>
      <c r="AL113" s="377"/>
      <c r="AM113" s="366" t="e">
        <f t="shared" si="63"/>
        <v>#N/A</v>
      </c>
      <c r="AN113" s="674"/>
      <c r="AO113" s="376"/>
      <c r="AP113" s="377"/>
      <c r="AQ113" s="377"/>
      <c r="AR113" s="366" t="e">
        <f t="shared" si="64"/>
        <v>#N/A</v>
      </c>
      <c r="AS113" s="674"/>
      <c r="AT113" s="374"/>
      <c r="AU113" s="375"/>
      <c r="AV113" s="375"/>
      <c r="AW113" s="366" t="e">
        <f t="shared" si="65"/>
        <v>#N/A</v>
      </c>
      <c r="AX113" s="674"/>
      <c r="AZ113" s="403" t="e">
        <f t="shared" si="66"/>
        <v>#N/A</v>
      </c>
      <c r="BA113" s="674"/>
    </row>
    <row r="114" spans="2:53">
      <c r="B114" s="660"/>
      <c r="C114" s="366">
        <v>8</v>
      </c>
      <c r="D114" s="225"/>
      <c r="E114" s="181"/>
      <c r="F114" s="374"/>
      <c r="G114" s="375"/>
      <c r="H114" s="698"/>
      <c r="I114" s="395" t="str">
        <f t="shared" si="56"/>
        <v>-</v>
      </c>
      <c r="J114" s="395" t="str">
        <f t="shared" si="57"/>
        <v>-</v>
      </c>
      <c r="K114" s="199" t="str">
        <f t="shared" si="58"/>
        <v>-</v>
      </c>
      <c r="L114" s="609"/>
      <c r="M114" s="367" t="e">
        <f>RANK(K114, K$67:$K$81)</f>
        <v>#VALUE!</v>
      </c>
      <c r="N114" s="627"/>
      <c r="O114" s="627"/>
      <c r="P114" s="366"/>
      <c r="Q114" s="367"/>
      <c r="R114" s="367"/>
      <c r="S114" s="366" t="e">
        <f t="shared" si="59"/>
        <v>#N/A</v>
      </c>
      <c r="T114" s="674"/>
      <c r="U114" s="376"/>
      <c r="V114" s="377"/>
      <c r="W114" s="377"/>
      <c r="X114" s="366" t="e">
        <f t="shared" si="60"/>
        <v>#N/A</v>
      </c>
      <c r="Y114" s="674"/>
      <c r="Z114" s="376"/>
      <c r="AA114" s="377"/>
      <c r="AB114" s="377"/>
      <c r="AC114" s="366" t="e">
        <f t="shared" si="61"/>
        <v>#N/A</v>
      </c>
      <c r="AD114" s="674"/>
      <c r="AE114" s="376"/>
      <c r="AF114" s="377"/>
      <c r="AG114" s="377"/>
      <c r="AH114" s="366" t="e">
        <f t="shared" si="62"/>
        <v>#N/A</v>
      </c>
      <c r="AI114" s="674"/>
      <c r="AJ114" s="376"/>
      <c r="AK114" s="377"/>
      <c r="AL114" s="377"/>
      <c r="AM114" s="366" t="e">
        <f t="shared" si="63"/>
        <v>#N/A</v>
      </c>
      <c r="AN114" s="674"/>
      <c r="AO114" s="376"/>
      <c r="AP114" s="377"/>
      <c r="AQ114" s="377"/>
      <c r="AR114" s="366" t="e">
        <f t="shared" si="64"/>
        <v>#N/A</v>
      </c>
      <c r="AS114" s="674"/>
      <c r="AT114" s="374"/>
      <c r="AU114" s="375"/>
      <c r="AV114" s="375"/>
      <c r="AW114" s="366" t="e">
        <f t="shared" si="65"/>
        <v>#N/A</v>
      </c>
      <c r="AX114" s="674"/>
      <c r="AZ114" s="403" t="e">
        <f t="shared" si="66"/>
        <v>#N/A</v>
      </c>
      <c r="BA114" s="674"/>
    </row>
    <row r="115" spans="2:53">
      <c r="B115" s="660"/>
      <c r="C115" s="366">
        <v>9</v>
      </c>
      <c r="D115" s="225"/>
      <c r="E115" s="181"/>
      <c r="F115" s="374"/>
      <c r="G115" s="375"/>
      <c r="H115" s="698"/>
      <c r="I115" s="395" t="str">
        <f t="shared" si="56"/>
        <v>-</v>
      </c>
      <c r="J115" s="395" t="str">
        <f t="shared" si="57"/>
        <v>-</v>
      </c>
      <c r="K115" s="199" t="str">
        <f t="shared" si="58"/>
        <v>-</v>
      </c>
      <c r="L115" s="609"/>
      <c r="M115" s="367" t="e">
        <f>RANK(K115, K$67:$K$81)</f>
        <v>#VALUE!</v>
      </c>
      <c r="N115" s="627"/>
      <c r="O115" s="627"/>
      <c r="P115" s="366"/>
      <c r="Q115" s="367"/>
      <c r="R115" s="367"/>
      <c r="S115" s="366" t="e">
        <f t="shared" si="59"/>
        <v>#N/A</v>
      </c>
      <c r="T115" s="674"/>
      <c r="U115" s="376"/>
      <c r="V115" s="377"/>
      <c r="W115" s="377"/>
      <c r="X115" s="366" t="e">
        <f t="shared" si="60"/>
        <v>#N/A</v>
      </c>
      <c r="Y115" s="674"/>
      <c r="Z115" s="376"/>
      <c r="AA115" s="377"/>
      <c r="AB115" s="377"/>
      <c r="AC115" s="366" t="e">
        <f t="shared" si="61"/>
        <v>#N/A</v>
      </c>
      <c r="AD115" s="674"/>
      <c r="AE115" s="376"/>
      <c r="AF115" s="377"/>
      <c r="AG115" s="377"/>
      <c r="AH115" s="366" t="e">
        <f t="shared" si="62"/>
        <v>#N/A</v>
      </c>
      <c r="AI115" s="674"/>
      <c r="AJ115" s="376"/>
      <c r="AK115" s="377"/>
      <c r="AL115" s="377"/>
      <c r="AM115" s="366" t="e">
        <f t="shared" si="63"/>
        <v>#N/A</v>
      </c>
      <c r="AN115" s="674"/>
      <c r="AO115" s="376"/>
      <c r="AP115" s="377"/>
      <c r="AQ115" s="377"/>
      <c r="AR115" s="366" t="e">
        <f t="shared" si="64"/>
        <v>#N/A</v>
      </c>
      <c r="AS115" s="674"/>
      <c r="AT115" s="374"/>
      <c r="AU115" s="375"/>
      <c r="AV115" s="375"/>
      <c r="AW115" s="366" t="e">
        <f t="shared" si="65"/>
        <v>#N/A</v>
      </c>
      <c r="AX115" s="674"/>
      <c r="AZ115" s="403" t="e">
        <f t="shared" si="66"/>
        <v>#N/A</v>
      </c>
      <c r="BA115" s="674"/>
    </row>
    <row r="116" spans="2:53">
      <c r="B116" s="660"/>
      <c r="C116" s="366">
        <v>10</v>
      </c>
      <c r="D116" s="225"/>
      <c r="E116" s="181"/>
      <c r="F116" s="374"/>
      <c r="G116" s="375"/>
      <c r="H116" s="698"/>
      <c r="I116" s="395" t="str">
        <f t="shared" si="56"/>
        <v>-</v>
      </c>
      <c r="J116" s="395" t="str">
        <f t="shared" si="57"/>
        <v>-</v>
      </c>
      <c r="K116" s="199" t="str">
        <f t="shared" si="58"/>
        <v>-</v>
      </c>
      <c r="L116" s="609"/>
      <c r="M116" s="367" t="e">
        <f>RANK(K116, K$67:$K$81)</f>
        <v>#VALUE!</v>
      </c>
      <c r="N116" s="627"/>
      <c r="O116" s="627"/>
      <c r="P116" s="366"/>
      <c r="Q116" s="367"/>
      <c r="R116" s="367"/>
      <c r="S116" s="366" t="e">
        <f t="shared" si="59"/>
        <v>#N/A</v>
      </c>
      <c r="T116" s="674"/>
      <c r="U116" s="376"/>
      <c r="V116" s="377"/>
      <c r="W116" s="377"/>
      <c r="X116" s="366" t="e">
        <f t="shared" si="60"/>
        <v>#N/A</v>
      </c>
      <c r="Y116" s="674"/>
      <c r="Z116" s="376"/>
      <c r="AA116" s="377"/>
      <c r="AB116" s="377"/>
      <c r="AC116" s="366" t="e">
        <f t="shared" si="61"/>
        <v>#N/A</v>
      </c>
      <c r="AD116" s="674"/>
      <c r="AE116" s="376"/>
      <c r="AF116" s="377"/>
      <c r="AG116" s="377"/>
      <c r="AH116" s="366" t="e">
        <f t="shared" si="62"/>
        <v>#N/A</v>
      </c>
      <c r="AI116" s="674"/>
      <c r="AJ116" s="376"/>
      <c r="AK116" s="377"/>
      <c r="AL116" s="377"/>
      <c r="AM116" s="366" t="e">
        <f t="shared" si="63"/>
        <v>#N/A</v>
      </c>
      <c r="AN116" s="674"/>
      <c r="AO116" s="376"/>
      <c r="AP116" s="377"/>
      <c r="AQ116" s="377"/>
      <c r="AR116" s="366" t="e">
        <f t="shared" si="64"/>
        <v>#N/A</v>
      </c>
      <c r="AS116" s="674"/>
      <c r="AT116" s="374"/>
      <c r="AU116" s="374"/>
      <c r="AV116" s="375"/>
      <c r="AW116" s="366" t="e">
        <f t="shared" si="65"/>
        <v>#N/A</v>
      </c>
      <c r="AX116" s="674"/>
      <c r="AZ116" s="403" t="e">
        <f t="shared" si="66"/>
        <v>#N/A</v>
      </c>
      <c r="BA116" s="674"/>
    </row>
    <row r="117" spans="2:53">
      <c r="B117" s="660"/>
      <c r="C117" s="366">
        <v>11</v>
      </c>
      <c r="D117" s="225"/>
      <c r="E117" s="181"/>
      <c r="F117" s="374"/>
      <c r="G117" s="375"/>
      <c r="H117" s="698"/>
      <c r="I117" s="395" t="str">
        <f t="shared" si="56"/>
        <v>-</v>
      </c>
      <c r="J117" s="395" t="str">
        <f t="shared" si="57"/>
        <v>-</v>
      </c>
      <c r="K117" s="199" t="str">
        <f t="shared" si="58"/>
        <v>-</v>
      </c>
      <c r="L117" s="609"/>
      <c r="M117" s="367" t="e">
        <f>RANK(K117, K$67:$K$81)</f>
        <v>#VALUE!</v>
      </c>
      <c r="N117" s="627"/>
      <c r="O117" s="627"/>
      <c r="P117" s="366"/>
      <c r="Q117" s="367"/>
      <c r="R117" s="367"/>
      <c r="S117" s="366" t="e">
        <f t="shared" si="59"/>
        <v>#N/A</v>
      </c>
      <c r="T117" s="674"/>
      <c r="U117" s="376"/>
      <c r="V117" s="377"/>
      <c r="W117" s="377"/>
      <c r="X117" s="366" t="e">
        <f t="shared" si="60"/>
        <v>#N/A</v>
      </c>
      <c r="Y117" s="674"/>
      <c r="Z117" s="376"/>
      <c r="AA117" s="377"/>
      <c r="AB117" s="377"/>
      <c r="AC117" s="366" t="e">
        <f t="shared" si="61"/>
        <v>#N/A</v>
      </c>
      <c r="AD117" s="674"/>
      <c r="AE117" s="376"/>
      <c r="AF117" s="377"/>
      <c r="AG117" s="377"/>
      <c r="AH117" s="366" t="e">
        <f t="shared" si="62"/>
        <v>#N/A</v>
      </c>
      <c r="AI117" s="674"/>
      <c r="AJ117" s="376"/>
      <c r="AK117" s="377"/>
      <c r="AL117" s="377"/>
      <c r="AM117" s="366" t="e">
        <f t="shared" si="63"/>
        <v>#N/A</v>
      </c>
      <c r="AN117" s="674"/>
      <c r="AO117" s="376"/>
      <c r="AP117" s="377"/>
      <c r="AQ117" s="377"/>
      <c r="AR117" s="366" t="e">
        <f t="shared" si="64"/>
        <v>#N/A</v>
      </c>
      <c r="AS117" s="674"/>
      <c r="AT117" s="374"/>
      <c r="AU117" s="374"/>
      <c r="AV117" s="374"/>
      <c r="AW117" s="366" t="e">
        <f t="shared" si="65"/>
        <v>#N/A</v>
      </c>
      <c r="AX117" s="674"/>
      <c r="AZ117" s="403" t="e">
        <f t="shared" si="66"/>
        <v>#N/A</v>
      </c>
      <c r="BA117" s="674"/>
    </row>
    <row r="118" spans="2:53">
      <c r="B118" s="660"/>
      <c r="C118" s="366">
        <v>12</v>
      </c>
      <c r="D118" s="225"/>
      <c r="E118" s="181"/>
      <c r="F118" s="374"/>
      <c r="G118" s="375"/>
      <c r="H118" s="698"/>
      <c r="I118" s="395" t="str">
        <f t="shared" si="56"/>
        <v>-</v>
      </c>
      <c r="J118" s="395" t="str">
        <f t="shared" si="57"/>
        <v>-</v>
      </c>
      <c r="K118" s="199" t="str">
        <f t="shared" si="58"/>
        <v>-</v>
      </c>
      <c r="L118" s="609"/>
      <c r="M118" s="367" t="e">
        <f>RANK(K118, K$67:$K$81)</f>
        <v>#VALUE!</v>
      </c>
      <c r="N118" s="627"/>
      <c r="O118" s="627"/>
      <c r="P118" s="366"/>
      <c r="Q118" s="367"/>
      <c r="R118" s="367"/>
      <c r="S118" s="366" t="e">
        <f t="shared" si="59"/>
        <v>#N/A</v>
      </c>
      <c r="T118" s="674"/>
      <c r="U118" s="376"/>
      <c r="V118" s="377"/>
      <c r="W118" s="377"/>
      <c r="X118" s="366" t="e">
        <f t="shared" si="60"/>
        <v>#N/A</v>
      </c>
      <c r="Y118" s="674"/>
      <c r="Z118" s="376"/>
      <c r="AA118" s="377"/>
      <c r="AB118" s="377"/>
      <c r="AC118" s="366" t="e">
        <f t="shared" si="61"/>
        <v>#N/A</v>
      </c>
      <c r="AD118" s="674"/>
      <c r="AE118" s="376"/>
      <c r="AF118" s="377"/>
      <c r="AG118" s="377"/>
      <c r="AH118" s="366" t="e">
        <f t="shared" si="62"/>
        <v>#N/A</v>
      </c>
      <c r="AI118" s="674"/>
      <c r="AJ118" s="376"/>
      <c r="AK118" s="377"/>
      <c r="AL118" s="377"/>
      <c r="AM118" s="366" t="e">
        <f t="shared" si="63"/>
        <v>#N/A</v>
      </c>
      <c r="AN118" s="674"/>
      <c r="AO118" s="376"/>
      <c r="AP118" s="377"/>
      <c r="AQ118" s="377"/>
      <c r="AR118" s="366" t="e">
        <f t="shared" si="64"/>
        <v>#N/A</v>
      </c>
      <c r="AS118" s="674"/>
      <c r="AT118" s="374"/>
      <c r="AU118" s="374"/>
      <c r="AV118" s="374"/>
      <c r="AW118" s="366" t="e">
        <f t="shared" si="65"/>
        <v>#N/A</v>
      </c>
      <c r="AX118" s="674"/>
      <c r="AZ118" s="403" t="e">
        <f t="shared" si="66"/>
        <v>#N/A</v>
      </c>
      <c r="BA118" s="674"/>
    </row>
    <row r="119" spans="2:53">
      <c r="B119" s="660"/>
      <c r="C119" s="366">
        <v>13</v>
      </c>
      <c r="D119" s="225"/>
      <c r="E119" s="181"/>
      <c r="F119" s="374"/>
      <c r="G119" s="375"/>
      <c r="H119" s="698"/>
      <c r="I119" s="395" t="str">
        <f t="shared" si="56"/>
        <v>-</v>
      </c>
      <c r="J119" s="395" t="str">
        <f t="shared" si="57"/>
        <v>-</v>
      </c>
      <c r="K119" s="199" t="str">
        <f t="shared" si="58"/>
        <v>-</v>
      </c>
      <c r="L119" s="609"/>
      <c r="M119" s="367" t="e">
        <f>RANK(K119, K$67:$K$81)</f>
        <v>#VALUE!</v>
      </c>
      <c r="N119" s="627"/>
      <c r="O119" s="627"/>
      <c r="P119" s="366"/>
      <c r="Q119" s="367"/>
      <c r="R119" s="367"/>
      <c r="S119" s="366" t="e">
        <f t="shared" si="59"/>
        <v>#N/A</v>
      </c>
      <c r="T119" s="674"/>
      <c r="U119" s="376"/>
      <c r="V119" s="377"/>
      <c r="W119" s="377"/>
      <c r="X119" s="366" t="e">
        <f t="shared" si="60"/>
        <v>#N/A</v>
      </c>
      <c r="Y119" s="674"/>
      <c r="Z119" s="376"/>
      <c r="AA119" s="377"/>
      <c r="AB119" s="377"/>
      <c r="AC119" s="366" t="e">
        <f t="shared" si="61"/>
        <v>#N/A</v>
      </c>
      <c r="AD119" s="674"/>
      <c r="AE119" s="376"/>
      <c r="AF119" s="377"/>
      <c r="AG119" s="377"/>
      <c r="AH119" s="366" t="e">
        <f t="shared" si="62"/>
        <v>#N/A</v>
      </c>
      <c r="AI119" s="674"/>
      <c r="AJ119" s="376"/>
      <c r="AK119" s="377"/>
      <c r="AL119" s="377"/>
      <c r="AM119" s="366" t="e">
        <f t="shared" si="63"/>
        <v>#N/A</v>
      </c>
      <c r="AN119" s="674"/>
      <c r="AO119" s="376"/>
      <c r="AP119" s="377"/>
      <c r="AQ119" s="377"/>
      <c r="AR119" s="366" t="e">
        <f t="shared" si="64"/>
        <v>#N/A</v>
      </c>
      <c r="AS119" s="674"/>
      <c r="AT119" s="374"/>
      <c r="AU119" s="374"/>
      <c r="AV119" s="374"/>
      <c r="AW119" s="366" t="e">
        <f t="shared" si="65"/>
        <v>#N/A</v>
      </c>
      <c r="AX119" s="674"/>
      <c r="AZ119" s="403" t="e">
        <f t="shared" si="66"/>
        <v>#N/A</v>
      </c>
      <c r="BA119" s="674"/>
    </row>
    <row r="120" spans="2:53">
      <c r="B120" s="660"/>
      <c r="C120" s="366">
        <v>14</v>
      </c>
      <c r="D120" s="225"/>
      <c r="E120" s="181"/>
      <c r="F120" s="374"/>
      <c r="G120" s="375"/>
      <c r="H120" s="698"/>
      <c r="I120" s="395" t="str">
        <f t="shared" si="56"/>
        <v>-</v>
      </c>
      <c r="J120" s="395" t="str">
        <f t="shared" si="57"/>
        <v>-</v>
      </c>
      <c r="K120" s="199" t="str">
        <f t="shared" si="58"/>
        <v>-</v>
      </c>
      <c r="L120" s="609"/>
      <c r="M120" s="367" t="e">
        <f>RANK(K120, K$67:$K$81)</f>
        <v>#VALUE!</v>
      </c>
      <c r="N120" s="627"/>
      <c r="O120" s="627"/>
      <c r="P120" s="366"/>
      <c r="Q120" s="367"/>
      <c r="R120" s="367"/>
      <c r="S120" s="366" t="e">
        <f t="shared" si="59"/>
        <v>#N/A</v>
      </c>
      <c r="T120" s="674"/>
      <c r="U120" s="376"/>
      <c r="V120" s="377"/>
      <c r="W120" s="377"/>
      <c r="X120" s="366" t="e">
        <f t="shared" si="60"/>
        <v>#N/A</v>
      </c>
      <c r="Y120" s="674"/>
      <c r="Z120" s="376"/>
      <c r="AA120" s="377"/>
      <c r="AB120" s="377"/>
      <c r="AC120" s="366" t="e">
        <f t="shared" si="61"/>
        <v>#N/A</v>
      </c>
      <c r="AD120" s="674"/>
      <c r="AE120" s="376"/>
      <c r="AF120" s="377"/>
      <c r="AG120" s="377"/>
      <c r="AH120" s="366" t="e">
        <f t="shared" si="62"/>
        <v>#N/A</v>
      </c>
      <c r="AI120" s="674"/>
      <c r="AJ120" s="376"/>
      <c r="AK120" s="377"/>
      <c r="AL120" s="377"/>
      <c r="AM120" s="366" t="e">
        <f t="shared" si="63"/>
        <v>#N/A</v>
      </c>
      <c r="AN120" s="674"/>
      <c r="AO120" s="376"/>
      <c r="AP120" s="377"/>
      <c r="AQ120" s="377"/>
      <c r="AR120" s="366" t="e">
        <f t="shared" si="64"/>
        <v>#N/A</v>
      </c>
      <c r="AS120" s="674"/>
      <c r="AT120" s="374"/>
      <c r="AU120" s="374"/>
      <c r="AV120" s="374"/>
      <c r="AW120" s="366" t="e">
        <f t="shared" si="65"/>
        <v>#N/A</v>
      </c>
      <c r="AX120" s="674"/>
      <c r="AZ120" s="403" t="e">
        <f t="shared" si="66"/>
        <v>#N/A</v>
      </c>
      <c r="BA120" s="674"/>
    </row>
    <row r="121" spans="2:53">
      <c r="B121" s="660"/>
      <c r="C121" s="366">
        <v>15</v>
      </c>
      <c r="D121" s="225"/>
      <c r="E121" s="181"/>
      <c r="F121" s="374"/>
      <c r="G121" s="375"/>
      <c r="H121" s="699"/>
      <c r="I121" s="399"/>
      <c r="J121" s="399"/>
      <c r="K121" s="399"/>
      <c r="L121" s="610"/>
      <c r="M121" s="367" t="e">
        <f>RANK(K121, K$47:$K$61)</f>
        <v>#N/A</v>
      </c>
      <c r="N121" s="627"/>
      <c r="O121" s="627"/>
      <c r="P121" s="366"/>
      <c r="Q121" s="367"/>
      <c r="R121" s="367"/>
      <c r="S121" s="366" t="e">
        <f t="shared" si="59"/>
        <v>#N/A</v>
      </c>
      <c r="T121" s="674"/>
      <c r="U121" s="376"/>
      <c r="V121" s="377"/>
      <c r="W121" s="377"/>
      <c r="X121" s="366" t="e">
        <f t="shared" si="60"/>
        <v>#N/A</v>
      </c>
      <c r="Y121" s="674"/>
      <c r="Z121" s="376"/>
      <c r="AA121" s="377"/>
      <c r="AB121" s="377"/>
      <c r="AC121" s="366" t="e">
        <f t="shared" si="61"/>
        <v>#N/A</v>
      </c>
      <c r="AD121" s="674"/>
      <c r="AE121" s="376"/>
      <c r="AF121" s="377"/>
      <c r="AG121" s="377"/>
      <c r="AH121" s="366" t="e">
        <f t="shared" si="62"/>
        <v>#N/A</v>
      </c>
      <c r="AI121" s="674"/>
      <c r="AJ121" s="376"/>
      <c r="AK121" s="377"/>
      <c r="AL121" s="377"/>
      <c r="AM121" s="366" t="e">
        <f t="shared" si="63"/>
        <v>#N/A</v>
      </c>
      <c r="AN121" s="674"/>
      <c r="AO121" s="376"/>
      <c r="AP121" s="377"/>
      <c r="AQ121" s="377"/>
      <c r="AR121" s="366" t="e">
        <f t="shared" si="64"/>
        <v>#N/A</v>
      </c>
      <c r="AS121" s="674"/>
      <c r="AT121" s="374"/>
      <c r="AU121" s="374"/>
      <c r="AV121" s="374"/>
      <c r="AW121" s="366" t="e">
        <f t="shared" si="65"/>
        <v>#N/A</v>
      </c>
      <c r="AX121" s="674"/>
      <c r="AZ121" s="403" t="e">
        <f t="shared" si="66"/>
        <v>#N/A</v>
      </c>
      <c r="BA121" s="674"/>
    </row>
    <row r="123" spans="2:53" ht="15.75">
      <c r="B123" s="666" t="s">
        <v>484</v>
      </c>
      <c r="C123" s="667"/>
      <c r="D123" s="667"/>
      <c r="E123" s="667"/>
      <c r="F123" s="667"/>
      <c r="G123" s="667"/>
      <c r="H123" s="668"/>
      <c r="I123" s="316"/>
      <c r="J123" s="316"/>
      <c r="K123" s="316"/>
      <c r="L123" s="316"/>
      <c r="M123" s="317"/>
    </row>
    <row r="124" spans="2:53" ht="15.75">
      <c r="B124" s="669"/>
      <c r="C124" s="669"/>
      <c r="D124" s="669"/>
      <c r="E124" s="669"/>
      <c r="F124" s="669"/>
      <c r="G124" s="669"/>
      <c r="H124" s="669"/>
      <c r="I124" s="318"/>
      <c r="J124" s="318"/>
      <c r="K124" s="318"/>
      <c r="L124" s="318"/>
      <c r="M124" s="319"/>
    </row>
    <row r="125" spans="2:53">
      <c r="B125" s="627" t="s">
        <v>485</v>
      </c>
      <c r="C125" s="627" t="s">
        <v>486</v>
      </c>
      <c r="D125" s="627"/>
      <c r="E125" s="627" t="s">
        <v>487</v>
      </c>
      <c r="F125" s="627"/>
      <c r="G125" s="627"/>
      <c r="H125" s="643" t="s">
        <v>488</v>
      </c>
      <c r="I125" s="670" t="s">
        <v>489</v>
      </c>
      <c r="J125" s="670"/>
      <c r="K125" s="670"/>
      <c r="L125" s="683" t="s">
        <v>488</v>
      </c>
      <c r="M125" s="686" t="s">
        <v>490</v>
      </c>
    </row>
    <row r="126" spans="2:53">
      <c r="B126" s="627"/>
      <c r="C126" s="627"/>
      <c r="D126" s="627"/>
      <c r="E126" s="627" t="s">
        <v>491</v>
      </c>
      <c r="F126" s="627"/>
      <c r="G126" s="627"/>
      <c r="H126" s="644"/>
      <c r="I126" s="670" t="s">
        <v>491</v>
      </c>
      <c r="J126" s="670"/>
      <c r="K126" s="670"/>
      <c r="L126" s="684"/>
      <c r="M126" s="687"/>
    </row>
    <row r="127" spans="2:53">
      <c r="B127" s="627"/>
      <c r="C127" s="627"/>
      <c r="D127" s="627"/>
      <c r="E127" s="313" t="s">
        <v>492</v>
      </c>
      <c r="F127" s="313" t="s">
        <v>493</v>
      </c>
      <c r="G127" s="313" t="s">
        <v>494</v>
      </c>
      <c r="H127" s="645"/>
      <c r="I127" s="320" t="s">
        <v>492</v>
      </c>
      <c r="J127" s="320" t="s">
        <v>493</v>
      </c>
      <c r="K127" s="320" t="s">
        <v>494</v>
      </c>
      <c r="L127" s="685"/>
      <c r="M127" s="688"/>
    </row>
    <row r="128" spans="2:53">
      <c r="B128" s="627" t="s">
        <v>501</v>
      </c>
      <c r="C128" s="312">
        <v>1</v>
      </c>
      <c r="D128" s="225"/>
      <c r="E128" s="181"/>
      <c r="F128" s="312"/>
      <c r="G128" s="315"/>
      <c r="H128" s="677" t="e">
        <f>AVERAGE(G128:G142)</f>
        <v>#DIV/0!</v>
      </c>
      <c r="I128" s="198" t="e">
        <f t="shared" ref="I128:J132" si="67">AVERAGEIF($D$7:$D$121,$D128,I$7:I$121)</f>
        <v>#DIV/0!</v>
      </c>
      <c r="J128" s="198" t="e">
        <f t="shared" si="67"/>
        <v>#DIV/0!</v>
      </c>
      <c r="K128" s="198" t="e">
        <f>AVERAGEIF($D$7:$D$121,$D128,K$7:K$121)</f>
        <v>#DIV/0!</v>
      </c>
      <c r="L128" s="680" t="e">
        <f>AVERAGE(K128:K142)</f>
        <v>#DIV/0!</v>
      </c>
      <c r="M128" s="198" t="e">
        <f>RANK(K128, K$128:$K$142)</f>
        <v>#DIV/0!</v>
      </c>
    </row>
    <row r="129" spans="2:39">
      <c r="B129" s="635"/>
      <c r="C129" s="312">
        <v>2</v>
      </c>
      <c r="D129" s="225"/>
      <c r="E129" s="181"/>
      <c r="F129" s="312"/>
      <c r="G129" s="315"/>
      <c r="H129" s="678"/>
      <c r="I129" s="198" t="e">
        <f t="shared" si="67"/>
        <v>#DIV/0!</v>
      </c>
      <c r="J129" s="198" t="e">
        <f t="shared" si="67"/>
        <v>#DIV/0!</v>
      </c>
      <c r="K129" s="198" t="e">
        <f>AVERAGEIF($D$7:$D$121,$D129,K$7:K$121)</f>
        <v>#DIV/0!</v>
      </c>
      <c r="L129" s="681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35"/>
      <c r="C130" s="312">
        <v>3</v>
      </c>
      <c r="D130" s="225"/>
      <c r="E130" s="181"/>
      <c r="F130" s="312"/>
      <c r="G130" s="315"/>
      <c r="H130" s="678"/>
      <c r="I130" s="198" t="e">
        <f t="shared" si="67"/>
        <v>#DIV/0!</v>
      </c>
      <c r="J130" s="198" t="e">
        <f t="shared" si="67"/>
        <v>#DIV/0!</v>
      </c>
      <c r="K130" s="198" t="e">
        <f>AVERAGEIF($D$7:$D$121,$D130,K$7:K$121)</f>
        <v>#DIV/0!</v>
      </c>
      <c r="L130" s="681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35"/>
      <c r="C131" s="312">
        <v>4</v>
      </c>
      <c r="D131" s="225"/>
      <c r="E131" s="181"/>
      <c r="F131" s="312"/>
      <c r="G131" s="315"/>
      <c r="H131" s="678"/>
      <c r="I131" s="198" t="e">
        <f t="shared" si="67"/>
        <v>#DIV/0!</v>
      </c>
      <c r="J131" s="198" t="e">
        <f t="shared" si="67"/>
        <v>#DIV/0!</v>
      </c>
      <c r="K131" s="198" t="e">
        <f>AVERAGEIF($D$7:$D$121,$D131,K$7:K$121)</f>
        <v>#DIV/0!</v>
      </c>
      <c r="L131" s="681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35"/>
      <c r="C132" s="312">
        <v>5</v>
      </c>
      <c r="D132" s="225"/>
      <c r="E132" s="181"/>
      <c r="F132" s="312"/>
      <c r="G132" s="315"/>
      <c r="H132" s="678"/>
      <c r="I132" s="198" t="e">
        <f t="shared" si="67"/>
        <v>#DIV/0!</v>
      </c>
      <c r="J132" s="198" t="e">
        <f t="shared" si="67"/>
        <v>#DIV/0!</v>
      </c>
      <c r="K132" s="198" t="e">
        <f>AVERAGEIF($D$7:$D$121,$D132,K$7:K$121)</f>
        <v>#DIV/0!</v>
      </c>
      <c r="L132" s="681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35"/>
      <c r="C133" s="312">
        <v>6</v>
      </c>
      <c r="D133" s="321"/>
      <c r="E133" s="181"/>
      <c r="F133" s="312"/>
      <c r="G133" s="315"/>
      <c r="H133" s="678"/>
      <c r="I133" s="198"/>
      <c r="J133" s="198"/>
      <c r="K133" s="198"/>
      <c r="L133" s="681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35"/>
      <c r="C134" s="312">
        <v>7</v>
      </c>
      <c r="D134" s="225"/>
      <c r="E134" s="181"/>
      <c r="F134" s="312"/>
      <c r="G134" s="315"/>
      <c r="H134" s="678"/>
      <c r="I134" s="198"/>
      <c r="J134" s="198"/>
      <c r="K134" s="198"/>
      <c r="L134" s="681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35"/>
      <c r="C135" s="312">
        <v>8</v>
      </c>
      <c r="D135" s="225"/>
      <c r="E135" s="181"/>
      <c r="F135" s="312"/>
      <c r="G135" s="315"/>
      <c r="H135" s="678"/>
      <c r="I135" s="198"/>
      <c r="J135" s="198"/>
      <c r="K135" s="198"/>
      <c r="L135" s="681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35"/>
      <c r="C136" s="312">
        <v>9</v>
      </c>
      <c r="D136" s="225"/>
      <c r="E136" s="312"/>
      <c r="F136" s="312"/>
      <c r="G136" s="312"/>
      <c r="H136" s="678"/>
      <c r="I136" s="198"/>
      <c r="J136" s="198"/>
      <c r="K136" s="198"/>
      <c r="L136" s="681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35"/>
      <c r="C137" s="312">
        <v>10</v>
      </c>
      <c r="D137" s="225"/>
      <c r="E137" s="312"/>
      <c r="F137" s="312"/>
      <c r="G137" s="312"/>
      <c r="H137" s="678"/>
      <c r="I137" s="198"/>
      <c r="J137" s="198"/>
      <c r="K137" s="198"/>
      <c r="L137" s="681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35"/>
      <c r="C138" s="312">
        <v>11</v>
      </c>
      <c r="D138" s="225"/>
      <c r="E138" s="312"/>
      <c r="F138" s="312"/>
      <c r="G138" s="312"/>
      <c r="H138" s="678"/>
      <c r="I138" s="198"/>
      <c r="J138" s="198"/>
      <c r="K138" s="198"/>
      <c r="L138" s="681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35"/>
      <c r="C139" s="312">
        <v>12</v>
      </c>
      <c r="D139" s="225"/>
      <c r="E139" s="312"/>
      <c r="F139" s="312"/>
      <c r="G139" s="312"/>
      <c r="H139" s="678"/>
      <c r="I139" s="198"/>
      <c r="J139" s="198"/>
      <c r="K139" s="198"/>
      <c r="L139" s="681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35"/>
      <c r="C140" s="312">
        <v>13</v>
      </c>
      <c r="D140" s="225"/>
      <c r="E140" s="312"/>
      <c r="F140" s="312"/>
      <c r="G140" s="312"/>
      <c r="H140" s="678"/>
      <c r="I140" s="198"/>
      <c r="J140" s="198"/>
      <c r="K140" s="198"/>
      <c r="L140" s="681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35"/>
      <c r="C141" s="312">
        <v>14</v>
      </c>
      <c r="D141" s="225"/>
      <c r="E141" s="312"/>
      <c r="F141" s="312"/>
      <c r="G141" s="312"/>
      <c r="H141" s="678"/>
      <c r="I141" s="198"/>
      <c r="J141" s="198"/>
      <c r="K141" s="198"/>
      <c r="L141" s="681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35"/>
      <c r="C142" s="312">
        <v>15</v>
      </c>
      <c r="D142" s="225"/>
      <c r="E142" s="312"/>
      <c r="F142" s="312"/>
      <c r="G142" s="312"/>
      <c r="H142" s="679"/>
      <c r="I142" s="198"/>
      <c r="J142" s="198"/>
      <c r="K142" s="198"/>
      <c r="L142" s="682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70" zoomScaleNormal="70" workbookViewId="0">
      <pane xSplit="15" topLeftCell="P1" activePane="topRight" state="frozen"/>
      <selection activeCell="G101" sqref="D87:G101"/>
      <selection pane="topRight" activeCell="T27" sqref="S27:T4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314</v>
      </c>
      <c r="C1" s="219">
        <f>AVERAGE(L7,L27,L47,L67,L87,L107)</f>
        <v>146.11324523480693</v>
      </c>
    </row>
    <row r="2" spans="1:53" ht="15.75">
      <c r="A2" s="81"/>
      <c r="B2" s="639" t="s">
        <v>163</v>
      </c>
      <c r="C2" s="639"/>
      <c r="D2" s="639"/>
      <c r="E2" s="639"/>
      <c r="F2" s="639"/>
      <c r="G2" s="639"/>
      <c r="H2" s="639"/>
      <c r="I2" s="293"/>
      <c r="J2" s="293"/>
      <c r="K2" s="293"/>
      <c r="L2" s="293"/>
      <c r="M2" s="196"/>
      <c r="N2" s="628" t="s">
        <v>156</v>
      </c>
      <c r="O2" s="628" t="s">
        <v>155</v>
      </c>
      <c r="P2" s="655">
        <v>46140</v>
      </c>
      <c r="Q2" s="656"/>
      <c r="R2" s="656"/>
      <c r="S2" s="656"/>
      <c r="T2" s="657"/>
      <c r="U2" s="634">
        <f>P2+1</f>
        <v>46141</v>
      </c>
      <c r="V2" s="635"/>
      <c r="W2" s="635"/>
      <c r="X2" s="635"/>
      <c r="Y2" s="635"/>
      <c r="Z2" s="634">
        <f>U2+1</f>
        <v>46142</v>
      </c>
      <c r="AA2" s="635"/>
      <c r="AB2" s="635"/>
      <c r="AC2" s="635"/>
      <c r="AD2" s="635"/>
      <c r="AE2" s="634">
        <f>Z2+1</f>
        <v>46143</v>
      </c>
      <c r="AF2" s="635"/>
      <c r="AG2" s="635"/>
      <c r="AH2" s="635"/>
      <c r="AI2" s="635"/>
      <c r="AJ2" s="634">
        <f>AE2+1</f>
        <v>46144</v>
      </c>
      <c r="AK2" s="635"/>
      <c r="AL2" s="635"/>
      <c r="AM2" s="635"/>
      <c r="AN2" s="635"/>
      <c r="AO2" s="634">
        <f>AJ2+1</f>
        <v>46145</v>
      </c>
      <c r="AP2" s="635"/>
      <c r="AQ2" s="635"/>
      <c r="AR2" s="635"/>
      <c r="AS2" s="635"/>
      <c r="AT2" s="631">
        <f>AO2+1</f>
        <v>46146</v>
      </c>
      <c r="AU2" s="632"/>
      <c r="AV2" s="632"/>
      <c r="AW2" s="632"/>
      <c r="AX2" s="633"/>
    </row>
    <row r="3" spans="1:53" ht="15.75">
      <c r="A3" s="81"/>
      <c r="B3" s="658"/>
      <c r="C3" s="658"/>
      <c r="D3" s="658"/>
      <c r="E3" s="658"/>
      <c r="F3" s="658"/>
      <c r="G3" s="658"/>
      <c r="H3" s="658"/>
      <c r="I3" s="294"/>
      <c r="J3" s="294"/>
      <c r="K3" s="294"/>
      <c r="L3" s="294"/>
      <c r="M3" s="197"/>
      <c r="N3" s="630"/>
      <c r="O3" s="630"/>
      <c r="P3" s="631" t="s">
        <v>158</v>
      </c>
      <c r="Q3" s="632"/>
      <c r="R3" s="632"/>
      <c r="S3" s="632"/>
      <c r="T3" s="633"/>
      <c r="U3" s="631" t="s">
        <v>114</v>
      </c>
      <c r="V3" s="632"/>
      <c r="W3" s="632"/>
      <c r="X3" s="632"/>
      <c r="Y3" s="633"/>
      <c r="Z3" s="631" t="s">
        <v>159</v>
      </c>
      <c r="AA3" s="632"/>
      <c r="AB3" s="632"/>
      <c r="AC3" s="632"/>
      <c r="AD3" s="633"/>
      <c r="AE3" s="631" t="s">
        <v>157</v>
      </c>
      <c r="AF3" s="632"/>
      <c r="AG3" s="632"/>
      <c r="AH3" s="632"/>
      <c r="AI3" s="633"/>
      <c r="AJ3" s="631" t="s">
        <v>160</v>
      </c>
      <c r="AK3" s="632"/>
      <c r="AL3" s="632"/>
      <c r="AM3" s="632"/>
      <c r="AN3" s="633"/>
      <c r="AO3" s="631" t="s">
        <v>161</v>
      </c>
      <c r="AP3" s="632"/>
      <c r="AQ3" s="632"/>
      <c r="AR3" s="632"/>
      <c r="AS3" s="633"/>
      <c r="AT3" s="631" t="s">
        <v>162</v>
      </c>
      <c r="AU3" s="632"/>
      <c r="AV3" s="632"/>
      <c r="AW3" s="632"/>
      <c r="AX3" s="633"/>
    </row>
    <row r="4" spans="1:53" ht="14.25">
      <c r="A4" s="81"/>
      <c r="B4" s="627" t="s">
        <v>550</v>
      </c>
      <c r="C4" s="627" t="s">
        <v>384</v>
      </c>
      <c r="D4" s="627"/>
      <c r="E4" s="627" t="s">
        <v>375</v>
      </c>
      <c r="F4" s="627"/>
      <c r="G4" s="627"/>
      <c r="H4" s="643" t="s">
        <v>371</v>
      </c>
      <c r="I4" s="611" t="s">
        <v>376</v>
      </c>
      <c r="J4" s="611"/>
      <c r="K4" s="611"/>
      <c r="L4" s="612" t="s">
        <v>371</v>
      </c>
      <c r="M4" s="618" t="s">
        <v>372</v>
      </c>
      <c r="N4" s="627"/>
      <c r="O4" s="627" t="s">
        <v>377</v>
      </c>
      <c r="P4" s="624" t="s">
        <v>373</v>
      </c>
      <c r="Q4" s="625"/>
      <c r="R4" s="625"/>
      <c r="S4" s="626"/>
      <c r="T4" s="627" t="s">
        <v>371</v>
      </c>
      <c r="U4" s="624" t="s">
        <v>373</v>
      </c>
      <c r="V4" s="625"/>
      <c r="W4" s="625"/>
      <c r="X4" s="626"/>
      <c r="Y4" s="627" t="s">
        <v>371</v>
      </c>
      <c r="Z4" s="624" t="s">
        <v>373</v>
      </c>
      <c r="AA4" s="625"/>
      <c r="AB4" s="625"/>
      <c r="AC4" s="626"/>
      <c r="AD4" s="627" t="s">
        <v>371</v>
      </c>
      <c r="AE4" s="624" t="s">
        <v>373</v>
      </c>
      <c r="AF4" s="625"/>
      <c r="AG4" s="625"/>
      <c r="AH4" s="626"/>
      <c r="AI4" s="627" t="s">
        <v>371</v>
      </c>
      <c r="AJ4" s="624" t="s">
        <v>373</v>
      </c>
      <c r="AK4" s="625"/>
      <c r="AL4" s="625"/>
      <c r="AM4" s="626"/>
      <c r="AN4" s="627" t="s">
        <v>371</v>
      </c>
      <c r="AO4" s="624" t="s">
        <v>373</v>
      </c>
      <c r="AP4" s="625"/>
      <c r="AQ4" s="625"/>
      <c r="AR4" s="626"/>
      <c r="AS4" s="627" t="s">
        <v>371</v>
      </c>
      <c r="AT4" s="624" t="s">
        <v>373</v>
      </c>
      <c r="AU4" s="625"/>
      <c r="AV4" s="625"/>
      <c r="AW4" s="626"/>
      <c r="AX4" s="627" t="s">
        <v>371</v>
      </c>
      <c r="BA4" s="627" t="s">
        <v>371</v>
      </c>
    </row>
    <row r="5" spans="1:53" ht="14.25">
      <c r="A5" s="81"/>
      <c r="B5" s="627"/>
      <c r="C5" s="627"/>
      <c r="D5" s="627"/>
      <c r="E5" s="627" t="s">
        <v>378</v>
      </c>
      <c r="F5" s="627"/>
      <c r="G5" s="627"/>
      <c r="H5" s="644"/>
      <c r="I5" s="611" t="s">
        <v>378</v>
      </c>
      <c r="J5" s="611"/>
      <c r="K5" s="611"/>
      <c r="L5" s="613"/>
      <c r="M5" s="619"/>
      <c r="N5" s="627"/>
      <c r="O5" s="627"/>
      <c r="P5" s="624" t="s">
        <v>379</v>
      </c>
      <c r="Q5" s="625"/>
      <c r="R5" s="625"/>
      <c r="S5" s="626"/>
      <c r="T5" s="627"/>
      <c r="U5" s="624" t="s">
        <v>379</v>
      </c>
      <c r="V5" s="625"/>
      <c r="W5" s="625"/>
      <c r="X5" s="626"/>
      <c r="Y5" s="627"/>
      <c r="Z5" s="624" t="s">
        <v>379</v>
      </c>
      <c r="AA5" s="625"/>
      <c r="AB5" s="625"/>
      <c r="AC5" s="626"/>
      <c r="AD5" s="627"/>
      <c r="AE5" s="624" t="s">
        <v>379</v>
      </c>
      <c r="AF5" s="625"/>
      <c r="AG5" s="625"/>
      <c r="AH5" s="626"/>
      <c r="AI5" s="627"/>
      <c r="AJ5" s="624" t="s">
        <v>379</v>
      </c>
      <c r="AK5" s="625"/>
      <c r="AL5" s="625"/>
      <c r="AM5" s="626"/>
      <c r="AN5" s="627"/>
      <c r="AO5" s="624" t="s">
        <v>379</v>
      </c>
      <c r="AP5" s="625"/>
      <c r="AQ5" s="625"/>
      <c r="AR5" s="626"/>
      <c r="AS5" s="627"/>
      <c r="AT5" s="624" t="s">
        <v>379</v>
      </c>
      <c r="AU5" s="625"/>
      <c r="AV5" s="625"/>
      <c r="AW5" s="626"/>
      <c r="AX5" s="627"/>
      <c r="BA5" s="627"/>
    </row>
    <row r="6" spans="1:53" ht="14.25">
      <c r="A6" s="79"/>
      <c r="B6" s="627"/>
      <c r="C6" s="627"/>
      <c r="D6" s="627"/>
      <c r="E6" s="412" t="s">
        <v>380</v>
      </c>
      <c r="F6" s="412" t="s">
        <v>381</v>
      </c>
      <c r="G6" s="412" t="s">
        <v>382</v>
      </c>
      <c r="H6" s="645"/>
      <c r="I6" s="411" t="s">
        <v>380</v>
      </c>
      <c r="J6" s="411" t="s">
        <v>381</v>
      </c>
      <c r="K6" s="411" t="s">
        <v>382</v>
      </c>
      <c r="L6" s="614"/>
      <c r="M6" s="620"/>
      <c r="N6" s="627"/>
      <c r="O6" s="627"/>
      <c r="P6" s="412" t="s">
        <v>380</v>
      </c>
      <c r="Q6" s="412" t="s">
        <v>381</v>
      </c>
      <c r="R6" s="412" t="s">
        <v>382</v>
      </c>
      <c r="S6" s="412" t="s">
        <v>372</v>
      </c>
      <c r="T6" s="627"/>
      <c r="U6" s="412" t="s">
        <v>380</v>
      </c>
      <c r="V6" s="412" t="s">
        <v>381</v>
      </c>
      <c r="W6" s="412" t="s">
        <v>382</v>
      </c>
      <c r="X6" s="412" t="s">
        <v>372</v>
      </c>
      <c r="Y6" s="627"/>
      <c r="Z6" s="412" t="s">
        <v>380</v>
      </c>
      <c r="AA6" s="412" t="s">
        <v>381</v>
      </c>
      <c r="AB6" s="412" t="s">
        <v>382</v>
      </c>
      <c r="AC6" s="412" t="s">
        <v>372</v>
      </c>
      <c r="AD6" s="627"/>
      <c r="AE6" s="412" t="s">
        <v>380</v>
      </c>
      <c r="AF6" s="412" t="s">
        <v>381</v>
      </c>
      <c r="AG6" s="412" t="s">
        <v>382</v>
      </c>
      <c r="AH6" s="412" t="s">
        <v>372</v>
      </c>
      <c r="AI6" s="627"/>
      <c r="AJ6" s="412" t="s">
        <v>380</v>
      </c>
      <c r="AK6" s="412" t="s">
        <v>381</v>
      </c>
      <c r="AL6" s="412" t="s">
        <v>382</v>
      </c>
      <c r="AM6" s="412" t="s">
        <v>372</v>
      </c>
      <c r="AN6" s="627"/>
      <c r="AO6" s="412" t="s">
        <v>380</v>
      </c>
      <c r="AP6" s="412" t="s">
        <v>381</v>
      </c>
      <c r="AQ6" s="412" t="s">
        <v>382</v>
      </c>
      <c r="AR6" s="412" t="s">
        <v>372</v>
      </c>
      <c r="AS6" s="627"/>
      <c r="AT6" s="412" t="s">
        <v>380</v>
      </c>
      <c r="AU6" s="412" t="s">
        <v>381</v>
      </c>
      <c r="AV6" s="412" t="s">
        <v>382</v>
      </c>
      <c r="AW6" s="412" t="s">
        <v>372</v>
      </c>
      <c r="AX6" s="627"/>
      <c r="AZ6" s="401" t="s">
        <v>372</v>
      </c>
      <c r="BA6" s="627"/>
    </row>
    <row r="7" spans="1:53" ht="14.25">
      <c r="A7" s="81"/>
      <c r="B7" s="627" t="s">
        <v>136</v>
      </c>
      <c r="C7" s="413">
        <v>1</v>
      </c>
      <c r="D7" s="225" t="s">
        <v>358</v>
      </c>
      <c r="E7" s="420">
        <v>7</v>
      </c>
      <c r="F7" s="500">
        <v>1500</v>
      </c>
      <c r="G7" s="501">
        <v>214.28571428571428</v>
      </c>
      <c r="H7" s="677">
        <f>AVERAGE(G7:G21)</f>
        <v>161.21428571428572</v>
      </c>
      <c r="I7" s="417">
        <f t="shared" ref="I7:I20" si="0">IFERROR(AVERAGE(P7,U7,Z7,AE7,AJ7,AO7,AT7),"-")</f>
        <v>7</v>
      </c>
      <c r="J7" s="417">
        <f t="shared" ref="J7:J20" si="1">IFERROR(AVERAGE(Q7,V7,AA7,AF7,AK7,AP7,AU7),"-")</f>
        <v>1465.1354114700464</v>
      </c>
      <c r="K7" s="199">
        <f t="shared" ref="K7:K20" si="2">IFERROR(AVERAGE(R7,W7,AB7,AG7,AL7,AQ7,AV7),"-")</f>
        <v>209.30505878143524</v>
      </c>
      <c r="L7" s="608">
        <f>IFERROR(AVERAGE(K7:K21),"-")</f>
        <v>143.41592809295065</v>
      </c>
      <c r="M7" s="419">
        <f>RANK(K7, K$7:$K$21)</f>
        <v>3</v>
      </c>
      <c r="N7" s="627"/>
      <c r="O7" s="627"/>
      <c r="P7" s="502">
        <v>7</v>
      </c>
      <c r="Q7" s="504">
        <v>1492.6530612244901</v>
      </c>
      <c r="R7" s="504">
        <v>213.2361516034986</v>
      </c>
      <c r="S7" s="502">
        <f t="shared" ref="S7:S21" si="3">RANK(R7, R$7:R$21)</f>
        <v>1</v>
      </c>
      <c r="T7" s="674">
        <f t="shared" ref="T7" si="4">AVERAGE(R7:R21)</f>
        <v>144.11107497700237</v>
      </c>
      <c r="U7" s="502">
        <v>7</v>
      </c>
      <c r="V7" s="504">
        <v>1485.8823529411759</v>
      </c>
      <c r="W7" s="504">
        <v>212.26890756302512</v>
      </c>
      <c r="X7" s="502">
        <f t="shared" ref="X7:X21" si="5">RANK(W7, W$7:W$21)</f>
        <v>1</v>
      </c>
      <c r="Y7" s="674">
        <f t="shared" ref="Y7" si="6">AVERAGE(W7:W21)</f>
        <v>143.82320142476038</v>
      </c>
      <c r="Z7" s="502">
        <v>7</v>
      </c>
      <c r="AA7" s="504">
        <v>1469.9999999999993</v>
      </c>
      <c r="AB7" s="504">
        <v>209.99999999999991</v>
      </c>
      <c r="AC7" s="502">
        <f t="shared" ref="AC7:AC21" si="7">RANK(AB7, AB$7:AB$21)</f>
        <v>3</v>
      </c>
      <c r="AD7" s="674">
        <f t="shared" ref="AD7" si="8">AVERAGE(AB7:AB21)</f>
        <v>143.08047539534527</v>
      </c>
      <c r="AE7" s="502">
        <v>7</v>
      </c>
      <c r="AF7" s="504">
        <v>1444.3902439024384</v>
      </c>
      <c r="AG7" s="504">
        <v>206.34146341463406</v>
      </c>
      <c r="AH7" s="502">
        <f t="shared" ref="AH7:AH21" si="9">RANK(AG7, AG$7:AG$21)</f>
        <v>3</v>
      </c>
      <c r="AI7" s="674">
        <f t="shared" ref="AI7" si="10">AVERAGE(AG7:AG21)</f>
        <v>143.12580255586298</v>
      </c>
      <c r="AJ7" s="502">
        <v>7</v>
      </c>
      <c r="AK7" s="504">
        <v>1457.3333333333333</v>
      </c>
      <c r="AL7" s="504">
        <v>208.19047619047618</v>
      </c>
      <c r="AM7" s="502">
        <f t="shared" ref="AM7:AM21" si="11">RANK(AL7, AL$7:AL$21)</f>
        <v>3</v>
      </c>
      <c r="AN7" s="674">
        <f t="shared" ref="AN7" si="12">AVERAGE(AL7:AL21)</f>
        <v>143.65322532437719</v>
      </c>
      <c r="AO7" s="502">
        <v>7</v>
      </c>
      <c r="AP7" s="504">
        <v>1456.7999999999995</v>
      </c>
      <c r="AQ7" s="504">
        <v>208.11428571428564</v>
      </c>
      <c r="AR7" s="502">
        <f t="shared" ref="AR7:AR21" si="13">RANK(AQ7, AQ$7:AQ$21)</f>
        <v>2</v>
      </c>
      <c r="AS7" s="674">
        <f t="shared" ref="AS7" si="14">AVERAGE(AQ7:AQ21)</f>
        <v>143.02447388160959</v>
      </c>
      <c r="AT7" s="500">
        <v>7</v>
      </c>
      <c r="AU7" s="420">
        <v>1448.8888888888887</v>
      </c>
      <c r="AV7" s="420">
        <v>206.98412698412696</v>
      </c>
      <c r="AW7" s="502">
        <f t="shared" ref="AW7:AW21" si="15">RANK(AV7, AV$7:AV$21)</f>
        <v>3</v>
      </c>
      <c r="AX7" s="674">
        <f t="shared" ref="AX7" si="16">AVERAGE(AV7:AV21)</f>
        <v>143.09324309169671</v>
      </c>
      <c r="AZ7" s="403" t="e">
        <f t="shared" ref="AZ7:AZ21" si="17">RANK(AY7, AY$7:AY$21)</f>
        <v>#N/A</v>
      </c>
      <c r="BA7" s="674" t="e">
        <f t="shared" ref="BA7" si="18">AVERAGE(AY7:AY21)</f>
        <v>#DIV/0!</v>
      </c>
    </row>
    <row r="8" spans="1:53" ht="15" customHeight="1">
      <c r="A8" s="81"/>
      <c r="B8" s="660"/>
      <c r="C8" s="413">
        <v>2</v>
      </c>
      <c r="D8" s="225" t="s">
        <v>359</v>
      </c>
      <c r="E8" s="420">
        <v>7</v>
      </c>
      <c r="F8" s="500">
        <v>1500</v>
      </c>
      <c r="G8" s="501">
        <v>214.28571428571428</v>
      </c>
      <c r="H8" s="678"/>
      <c r="I8" s="417">
        <f t="shared" si="0"/>
        <v>7</v>
      </c>
      <c r="J8" s="417">
        <f t="shared" si="1"/>
        <v>1455.2109629417921</v>
      </c>
      <c r="K8" s="199">
        <f t="shared" si="2"/>
        <v>207.88728042025605</v>
      </c>
      <c r="L8" s="609"/>
      <c r="M8" s="419">
        <f>RANK(K8, K$7:$K$21)</f>
        <v>4</v>
      </c>
      <c r="N8" s="627"/>
      <c r="O8" s="627"/>
      <c r="P8" s="502">
        <v>7</v>
      </c>
      <c r="Q8" s="504">
        <v>1472.6865671641792</v>
      </c>
      <c r="R8" s="504">
        <v>210.38379530916845</v>
      </c>
      <c r="S8" s="502">
        <f t="shared" si="3"/>
        <v>3</v>
      </c>
      <c r="T8" s="674"/>
      <c r="U8" s="502">
        <v>7</v>
      </c>
      <c r="V8" s="504">
        <v>1448.6330935251792</v>
      </c>
      <c r="W8" s="504">
        <v>206.94758478931132</v>
      </c>
      <c r="X8" s="502">
        <f t="shared" si="5"/>
        <v>4</v>
      </c>
      <c r="Y8" s="674"/>
      <c r="Z8" s="502">
        <v>7</v>
      </c>
      <c r="AA8" s="504">
        <v>1471.1278195488721</v>
      </c>
      <c r="AB8" s="504">
        <v>210.16111707841031</v>
      </c>
      <c r="AC8" s="502">
        <f t="shared" si="7"/>
        <v>2</v>
      </c>
      <c r="AD8" s="674"/>
      <c r="AE8" s="502">
        <v>7</v>
      </c>
      <c r="AF8" s="504">
        <v>1442.6315789473686</v>
      </c>
      <c r="AG8" s="504">
        <v>206.0902255639098</v>
      </c>
      <c r="AH8" s="502">
        <f t="shared" si="9"/>
        <v>4</v>
      </c>
      <c r="AI8" s="674"/>
      <c r="AJ8" s="502">
        <v>7</v>
      </c>
      <c r="AK8" s="504">
        <v>1466.3157894736842</v>
      </c>
      <c r="AL8" s="504">
        <v>209.4736842105263</v>
      </c>
      <c r="AM8" s="502">
        <f t="shared" si="11"/>
        <v>2</v>
      </c>
      <c r="AN8" s="674"/>
      <c r="AO8" s="502">
        <v>7</v>
      </c>
      <c r="AP8" s="504">
        <v>1438.2733812949641</v>
      </c>
      <c r="AQ8" s="504">
        <v>205.46762589928059</v>
      </c>
      <c r="AR8" s="502">
        <f t="shared" si="13"/>
        <v>4</v>
      </c>
      <c r="AS8" s="674"/>
      <c r="AT8" s="500">
        <v>7</v>
      </c>
      <c r="AU8" s="420">
        <v>1446.8085106382982</v>
      </c>
      <c r="AV8" s="420">
        <v>206.68693009118547</v>
      </c>
      <c r="AW8" s="502">
        <f t="shared" si="15"/>
        <v>4</v>
      </c>
      <c r="AX8" s="674"/>
      <c r="AZ8" s="403" t="e">
        <f t="shared" si="17"/>
        <v>#N/A</v>
      </c>
      <c r="BA8" s="674"/>
    </row>
    <row r="9" spans="1:53" ht="14.25">
      <c r="A9" s="81"/>
      <c r="B9" s="660"/>
      <c r="C9" s="413">
        <v>3</v>
      </c>
      <c r="D9" s="225" t="s">
        <v>330</v>
      </c>
      <c r="E9" s="420">
        <v>20</v>
      </c>
      <c r="F9" s="500">
        <v>1500</v>
      </c>
      <c r="G9" s="501">
        <v>75</v>
      </c>
      <c r="H9" s="678"/>
      <c r="I9" s="417">
        <f t="shared" si="0"/>
        <v>18.857142857142858</v>
      </c>
      <c r="J9" s="417">
        <f t="shared" si="1"/>
        <v>1302.109380369277</v>
      </c>
      <c r="K9" s="199">
        <f t="shared" si="2"/>
        <v>69.118965216305597</v>
      </c>
      <c r="L9" s="609"/>
      <c r="M9" s="419">
        <f>RANK(K9, K$7:$K$21)</f>
        <v>10</v>
      </c>
      <c r="N9" s="627"/>
      <c r="O9" s="627"/>
      <c r="P9" s="502">
        <v>20</v>
      </c>
      <c r="Q9" s="504">
        <v>1412.0547945205483</v>
      </c>
      <c r="R9" s="504">
        <v>70.602739726027409</v>
      </c>
      <c r="S9" s="502">
        <f t="shared" si="3"/>
        <v>9</v>
      </c>
      <c r="T9" s="674"/>
      <c r="U9" s="502">
        <v>20</v>
      </c>
      <c r="V9" s="504">
        <v>1335.783783783784</v>
      </c>
      <c r="W9" s="504">
        <v>66.789189189189202</v>
      </c>
      <c r="X9" s="502">
        <f t="shared" si="5"/>
        <v>10</v>
      </c>
      <c r="Y9" s="674"/>
      <c r="Z9" s="502">
        <v>20</v>
      </c>
      <c r="AA9" s="504">
        <v>1309.9218749999998</v>
      </c>
      <c r="AB9" s="504">
        <v>65.496093749999986</v>
      </c>
      <c r="AC9" s="502">
        <f t="shared" si="7"/>
        <v>10</v>
      </c>
      <c r="AD9" s="674"/>
      <c r="AE9" s="502">
        <v>18</v>
      </c>
      <c r="AF9" s="504">
        <v>1255.217391304348</v>
      </c>
      <c r="AG9" s="504">
        <v>69.734299516908223</v>
      </c>
      <c r="AH9" s="502">
        <f t="shared" si="9"/>
        <v>9</v>
      </c>
      <c r="AI9" s="674"/>
      <c r="AJ9" s="502">
        <v>18</v>
      </c>
      <c r="AK9" s="504">
        <v>1250.0689655172416</v>
      </c>
      <c r="AL9" s="504">
        <v>69.448275862068982</v>
      </c>
      <c r="AM9" s="502">
        <f t="shared" si="11"/>
        <v>10</v>
      </c>
      <c r="AN9" s="674"/>
      <c r="AO9" s="502">
        <v>18</v>
      </c>
      <c r="AP9" s="504">
        <v>1278.3688524590166</v>
      </c>
      <c r="AQ9" s="504">
        <v>71.020491803278702</v>
      </c>
      <c r="AR9" s="502">
        <f t="shared" si="13"/>
        <v>9</v>
      </c>
      <c r="AS9" s="674"/>
      <c r="AT9" s="500">
        <v>18</v>
      </c>
      <c r="AU9" s="420">
        <v>1273.3500000000004</v>
      </c>
      <c r="AV9" s="420">
        <v>70.741666666666688</v>
      </c>
      <c r="AW9" s="502">
        <f t="shared" si="15"/>
        <v>9</v>
      </c>
      <c r="AX9" s="674"/>
      <c r="AZ9" s="403" t="e">
        <f t="shared" si="17"/>
        <v>#N/A</v>
      </c>
      <c r="BA9" s="674"/>
    </row>
    <row r="10" spans="1:53" ht="14.25">
      <c r="A10" s="81"/>
      <c r="B10" s="660"/>
      <c r="C10" s="413">
        <v>4</v>
      </c>
      <c r="D10" s="225" t="s">
        <v>360</v>
      </c>
      <c r="E10" s="420">
        <v>16</v>
      </c>
      <c r="F10" s="500">
        <v>1440</v>
      </c>
      <c r="G10" s="501">
        <v>90</v>
      </c>
      <c r="H10" s="678"/>
      <c r="I10" s="417">
        <f t="shared" si="0"/>
        <v>16.285714285714285</v>
      </c>
      <c r="J10" s="417">
        <f t="shared" si="1"/>
        <v>1390.3373280377916</v>
      </c>
      <c r="K10" s="199">
        <f t="shared" si="2"/>
        <v>85.425330520317388</v>
      </c>
      <c r="L10" s="609"/>
      <c r="M10" s="419">
        <f>RANK(K10, K$7:$K$21)</f>
        <v>8</v>
      </c>
      <c r="N10" s="627"/>
      <c r="O10" s="627"/>
      <c r="P10" s="502">
        <v>17</v>
      </c>
      <c r="Q10" s="504">
        <v>1379.7169811320762</v>
      </c>
      <c r="R10" s="504">
        <v>81.159822419533896</v>
      </c>
      <c r="S10" s="502">
        <f t="shared" si="3"/>
        <v>8</v>
      </c>
      <c r="T10" s="674"/>
      <c r="U10" s="502">
        <v>16</v>
      </c>
      <c r="V10" s="504">
        <v>1392.7333333333331</v>
      </c>
      <c r="W10" s="504">
        <v>87.04583333333332</v>
      </c>
      <c r="X10" s="502">
        <f t="shared" si="5"/>
        <v>8</v>
      </c>
      <c r="Y10" s="674"/>
      <c r="Z10" s="502">
        <v>17</v>
      </c>
      <c r="AA10" s="504">
        <v>1420.5957446808511</v>
      </c>
      <c r="AB10" s="504">
        <v>83.564455569461828</v>
      </c>
      <c r="AC10" s="502">
        <f t="shared" si="7"/>
        <v>8</v>
      </c>
      <c r="AD10" s="674"/>
      <c r="AE10" s="502">
        <v>16</v>
      </c>
      <c r="AF10" s="504">
        <v>1370.1315789473674</v>
      </c>
      <c r="AG10" s="504">
        <v>85.633223684210463</v>
      </c>
      <c r="AH10" s="502">
        <f t="shared" si="9"/>
        <v>8</v>
      </c>
      <c r="AI10" s="674"/>
      <c r="AJ10" s="502">
        <v>16</v>
      </c>
      <c r="AK10" s="504">
        <v>1382.804347826087</v>
      </c>
      <c r="AL10" s="504">
        <v>86.425271739130437</v>
      </c>
      <c r="AM10" s="502">
        <f t="shared" si="11"/>
        <v>8</v>
      </c>
      <c r="AN10" s="674"/>
      <c r="AO10" s="502">
        <v>16</v>
      </c>
      <c r="AP10" s="504">
        <v>1377.0000000000009</v>
      </c>
      <c r="AQ10" s="504">
        <v>86.062500000000057</v>
      </c>
      <c r="AR10" s="502">
        <f t="shared" si="13"/>
        <v>8</v>
      </c>
      <c r="AS10" s="674"/>
      <c r="AT10" s="500">
        <v>16</v>
      </c>
      <c r="AU10" s="420">
        <v>1409.3793103448268</v>
      </c>
      <c r="AV10" s="420">
        <v>88.086206896551673</v>
      </c>
      <c r="AW10" s="502">
        <f t="shared" si="15"/>
        <v>8</v>
      </c>
      <c r="AX10" s="674"/>
      <c r="AZ10" s="403" t="e">
        <f t="shared" si="17"/>
        <v>#N/A</v>
      </c>
      <c r="BA10" s="674"/>
    </row>
    <row r="11" spans="1:53" ht="14.25">
      <c r="A11" s="81"/>
      <c r="B11" s="660"/>
      <c r="C11" s="413">
        <v>5</v>
      </c>
      <c r="D11" s="225" t="s">
        <v>398</v>
      </c>
      <c r="E11" s="420">
        <v>7</v>
      </c>
      <c r="F11" s="500">
        <v>1500</v>
      </c>
      <c r="G11" s="501">
        <v>214.28571428571428</v>
      </c>
      <c r="H11" s="678"/>
      <c r="I11" s="417">
        <f t="shared" si="0"/>
        <v>7</v>
      </c>
      <c r="J11" s="417">
        <f t="shared" si="1"/>
        <v>1465.9025444104332</v>
      </c>
      <c r="K11" s="199">
        <f t="shared" si="2"/>
        <v>209.41464920149045</v>
      </c>
      <c r="L11" s="609"/>
      <c r="M11" s="419">
        <f>RANK(K11, K$7:$K$21)</f>
        <v>2</v>
      </c>
      <c r="N11" s="627"/>
      <c r="O11" s="627"/>
      <c r="P11" s="502">
        <v>7</v>
      </c>
      <c r="Q11" s="504">
        <v>1466.5217391304348</v>
      </c>
      <c r="R11" s="504">
        <v>209.50310559006212</v>
      </c>
      <c r="S11" s="502">
        <f t="shared" si="3"/>
        <v>4</v>
      </c>
      <c r="T11" s="674"/>
      <c r="U11" s="502">
        <v>7</v>
      </c>
      <c r="V11" s="504">
        <v>1483.7142857142856</v>
      </c>
      <c r="W11" s="504">
        <v>211.95918367346937</v>
      </c>
      <c r="X11" s="502">
        <f t="shared" si="5"/>
        <v>2</v>
      </c>
      <c r="Y11" s="674"/>
      <c r="Z11" s="502">
        <v>7</v>
      </c>
      <c r="AA11" s="504">
        <v>1465.2631578947362</v>
      </c>
      <c r="AB11" s="504">
        <v>209.32330827067659</v>
      </c>
      <c r="AC11" s="502">
        <f t="shared" si="7"/>
        <v>4</v>
      </c>
      <c r="AD11" s="674"/>
      <c r="AE11" s="502">
        <v>7</v>
      </c>
      <c r="AF11" s="504">
        <v>1462.6890756302525</v>
      </c>
      <c r="AG11" s="504">
        <v>208.95558223289322</v>
      </c>
      <c r="AH11" s="502">
        <f t="shared" si="9"/>
        <v>2</v>
      </c>
      <c r="AI11" s="674"/>
      <c r="AJ11" s="502">
        <v>7</v>
      </c>
      <c r="AK11" s="504">
        <v>1470.9836065573772</v>
      </c>
      <c r="AL11" s="504">
        <v>210.14051522248246</v>
      </c>
      <c r="AM11" s="502">
        <f t="shared" si="11"/>
        <v>1</v>
      </c>
      <c r="AN11" s="674"/>
      <c r="AO11" s="502">
        <v>7</v>
      </c>
      <c r="AP11" s="504">
        <v>1461.1999999999998</v>
      </c>
      <c r="AQ11" s="504">
        <v>208.7428571428571</v>
      </c>
      <c r="AR11" s="502">
        <f t="shared" si="13"/>
        <v>1</v>
      </c>
      <c r="AS11" s="674"/>
      <c r="AT11" s="500">
        <v>7</v>
      </c>
      <c r="AU11" s="420">
        <v>1450.9459459459458</v>
      </c>
      <c r="AV11" s="420">
        <v>207.27799227799227</v>
      </c>
      <c r="AW11" s="502">
        <f t="shared" si="15"/>
        <v>2</v>
      </c>
      <c r="AX11" s="674"/>
      <c r="AZ11" s="403" t="e">
        <f t="shared" si="17"/>
        <v>#N/A</v>
      </c>
      <c r="BA11" s="674"/>
    </row>
    <row r="12" spans="1:53" ht="14.25">
      <c r="A12" s="81"/>
      <c r="B12" s="660"/>
      <c r="C12" s="413">
        <v>6</v>
      </c>
      <c r="D12" s="225" t="s">
        <v>606</v>
      </c>
      <c r="E12" s="420">
        <v>12</v>
      </c>
      <c r="F12" s="500">
        <v>2000</v>
      </c>
      <c r="G12" s="501">
        <v>166.66666666666666</v>
      </c>
      <c r="H12" s="678"/>
      <c r="I12" s="417">
        <f t="shared" si="0"/>
        <v>12</v>
      </c>
      <c r="J12" s="417">
        <f t="shared" si="1"/>
        <v>1505.6729817877583</v>
      </c>
      <c r="K12" s="199">
        <f t="shared" si="2"/>
        <v>125.47274848231316</v>
      </c>
      <c r="L12" s="609"/>
      <c r="M12" s="419">
        <f>RANK(K12, K$7:$K$21)</f>
        <v>6</v>
      </c>
      <c r="N12" s="627"/>
      <c r="O12" s="627"/>
      <c r="P12" s="502">
        <v>12</v>
      </c>
      <c r="Q12" s="504">
        <v>1556.2105263157882</v>
      </c>
      <c r="R12" s="504">
        <v>129.6842105263157</v>
      </c>
      <c r="S12" s="502">
        <f t="shared" si="3"/>
        <v>5</v>
      </c>
      <c r="T12" s="674"/>
      <c r="U12" s="502">
        <v>12</v>
      </c>
      <c r="V12" s="504">
        <v>1526.1749999999995</v>
      </c>
      <c r="W12" s="504">
        <v>127.18124999999996</v>
      </c>
      <c r="X12" s="502">
        <f t="shared" si="5"/>
        <v>6</v>
      </c>
      <c r="Y12" s="674"/>
      <c r="Z12" s="502">
        <v>12</v>
      </c>
      <c r="AA12" s="504">
        <v>1456.533333333336</v>
      </c>
      <c r="AB12" s="504">
        <v>121.37777777777801</v>
      </c>
      <c r="AC12" s="502">
        <f t="shared" si="7"/>
        <v>6</v>
      </c>
      <c r="AD12" s="674"/>
      <c r="AE12" s="502">
        <v>12</v>
      </c>
      <c r="AF12" s="504">
        <v>1511.9414634146337</v>
      </c>
      <c r="AG12" s="504">
        <v>125.99512195121947</v>
      </c>
      <c r="AH12" s="502">
        <f t="shared" si="9"/>
        <v>6</v>
      </c>
      <c r="AI12" s="674"/>
      <c r="AJ12" s="502">
        <v>12</v>
      </c>
      <c r="AK12" s="504">
        <v>1512.6000000000001</v>
      </c>
      <c r="AL12" s="504">
        <v>126.05000000000001</v>
      </c>
      <c r="AM12" s="502">
        <f t="shared" si="11"/>
        <v>6</v>
      </c>
      <c r="AN12" s="674"/>
      <c r="AO12" s="502">
        <v>12</v>
      </c>
      <c r="AP12" s="504">
        <v>1502.6076923076932</v>
      </c>
      <c r="AQ12" s="504">
        <v>125.21730769230777</v>
      </c>
      <c r="AR12" s="502">
        <f t="shared" si="13"/>
        <v>6</v>
      </c>
      <c r="AS12" s="674"/>
      <c r="AT12" s="500">
        <v>12</v>
      </c>
      <c r="AU12" s="420">
        <v>1473.6428571428562</v>
      </c>
      <c r="AV12" s="420">
        <v>122.80357142857135</v>
      </c>
      <c r="AW12" s="502">
        <f t="shared" si="15"/>
        <v>6</v>
      </c>
      <c r="AX12" s="674"/>
      <c r="AZ12" s="403" t="e">
        <f t="shared" si="17"/>
        <v>#N/A</v>
      </c>
      <c r="BA12" s="674"/>
    </row>
    <row r="13" spans="1:53" ht="14.25">
      <c r="A13" s="81"/>
      <c r="B13" s="660"/>
      <c r="C13" s="413">
        <v>7</v>
      </c>
      <c r="D13" s="225" t="s">
        <v>589</v>
      </c>
      <c r="E13" s="420">
        <v>7</v>
      </c>
      <c r="F13" s="500">
        <v>1500</v>
      </c>
      <c r="G13" s="501">
        <v>214.28571428571428</v>
      </c>
      <c r="H13" s="678"/>
      <c r="I13" s="417">
        <f t="shared" si="0"/>
        <v>7</v>
      </c>
      <c r="J13" s="417">
        <f t="shared" si="1"/>
        <v>1466.2197974459607</v>
      </c>
      <c r="K13" s="199">
        <f t="shared" si="2"/>
        <v>209.45997106370868</v>
      </c>
      <c r="L13" s="609"/>
      <c r="M13" s="419">
        <f>RANK(K13, K$7:$K$21)</f>
        <v>1</v>
      </c>
      <c r="N13" s="627"/>
      <c r="O13" s="627"/>
      <c r="P13" s="502">
        <v>7</v>
      </c>
      <c r="Q13" s="504">
        <v>1484.21052631579</v>
      </c>
      <c r="R13" s="504">
        <v>212.03007518797</v>
      </c>
      <c r="S13" s="502">
        <f t="shared" si="3"/>
        <v>2</v>
      </c>
      <c r="T13" s="674"/>
      <c r="U13" s="502">
        <v>7</v>
      </c>
      <c r="V13" s="504">
        <v>1478.7341772151906</v>
      </c>
      <c r="W13" s="504">
        <v>211.24773960217007</v>
      </c>
      <c r="X13" s="502">
        <f t="shared" si="5"/>
        <v>3</v>
      </c>
      <c r="Y13" s="674"/>
      <c r="Z13" s="502">
        <v>7</v>
      </c>
      <c r="AA13" s="504">
        <v>1477.9746835443048</v>
      </c>
      <c r="AB13" s="504">
        <v>211.13924050632926</v>
      </c>
      <c r="AC13" s="502">
        <f t="shared" si="7"/>
        <v>1</v>
      </c>
      <c r="AD13" s="674"/>
      <c r="AE13" s="502">
        <v>7</v>
      </c>
      <c r="AF13" s="504">
        <v>1466.9999999999993</v>
      </c>
      <c r="AG13" s="504">
        <v>209.57142857142847</v>
      </c>
      <c r="AH13" s="502">
        <f t="shared" si="9"/>
        <v>1</v>
      </c>
      <c r="AI13" s="674"/>
      <c r="AJ13" s="502">
        <v>7</v>
      </c>
      <c r="AK13" s="504">
        <v>1444.4117647058824</v>
      </c>
      <c r="AL13" s="504">
        <v>206.34453781512607</v>
      </c>
      <c r="AM13" s="502">
        <f t="shared" si="11"/>
        <v>4</v>
      </c>
      <c r="AN13" s="674"/>
      <c r="AO13" s="502">
        <v>7</v>
      </c>
      <c r="AP13" s="504">
        <v>1451.4705882352941</v>
      </c>
      <c r="AQ13" s="504">
        <v>207.35294117647058</v>
      </c>
      <c r="AR13" s="502">
        <f t="shared" si="13"/>
        <v>3</v>
      </c>
      <c r="AS13" s="674"/>
      <c r="AT13" s="500">
        <v>7</v>
      </c>
      <c r="AU13" s="420">
        <v>1459.7368421052638</v>
      </c>
      <c r="AV13" s="420">
        <v>208.53383458646627</v>
      </c>
      <c r="AW13" s="502">
        <f t="shared" si="15"/>
        <v>1</v>
      </c>
      <c r="AX13" s="674"/>
      <c r="AZ13" s="403" t="e">
        <f t="shared" si="17"/>
        <v>#N/A</v>
      </c>
      <c r="BA13" s="674"/>
    </row>
    <row r="14" spans="1:53" ht="14.25">
      <c r="A14" s="81"/>
      <c r="B14" s="660"/>
      <c r="C14" s="413">
        <v>8</v>
      </c>
      <c r="D14" s="225" t="s">
        <v>717</v>
      </c>
      <c r="E14" s="420">
        <v>12</v>
      </c>
      <c r="F14" s="500">
        <v>2000</v>
      </c>
      <c r="G14" s="501">
        <v>166.66666666666666</v>
      </c>
      <c r="H14" s="678"/>
      <c r="I14" s="417">
        <f t="shared" si="0"/>
        <v>12</v>
      </c>
      <c r="J14" s="417">
        <f t="shared" si="1"/>
        <v>1423.1407496014394</v>
      </c>
      <c r="K14" s="199">
        <f t="shared" si="2"/>
        <v>118.59506246678659</v>
      </c>
      <c r="L14" s="609"/>
      <c r="M14" s="419">
        <f>RANK(K14, K$7:$K$21)</f>
        <v>7</v>
      </c>
      <c r="N14" s="627"/>
      <c r="O14" s="627"/>
      <c r="P14" s="502">
        <v>12</v>
      </c>
      <c r="Q14" s="504">
        <v>1416.2238805970151</v>
      </c>
      <c r="R14" s="504">
        <v>118.01865671641792</v>
      </c>
      <c r="S14" s="502">
        <f t="shared" si="3"/>
        <v>7</v>
      </c>
      <c r="T14" s="674"/>
      <c r="U14" s="502">
        <v>12</v>
      </c>
      <c r="V14" s="504">
        <v>1409.9583333333337</v>
      </c>
      <c r="W14" s="504">
        <v>117.49652777777781</v>
      </c>
      <c r="X14" s="502">
        <f t="shared" si="5"/>
        <v>7</v>
      </c>
      <c r="Y14" s="674"/>
      <c r="Z14" s="502">
        <v>12</v>
      </c>
      <c r="AA14" s="504">
        <v>1413.2083333333337</v>
      </c>
      <c r="AB14" s="504">
        <v>117.76736111111114</v>
      </c>
      <c r="AC14" s="502">
        <f t="shared" si="7"/>
        <v>7</v>
      </c>
      <c r="AD14" s="674"/>
      <c r="AE14" s="502">
        <v>12</v>
      </c>
      <c r="AF14" s="504">
        <v>1434.1747572815534</v>
      </c>
      <c r="AG14" s="504">
        <v>119.51456310679612</v>
      </c>
      <c r="AH14" s="502">
        <f t="shared" si="9"/>
        <v>7</v>
      </c>
      <c r="AI14" s="674"/>
      <c r="AJ14" s="502">
        <v>12</v>
      </c>
      <c r="AK14" s="504">
        <v>1430.4424778761061</v>
      </c>
      <c r="AL14" s="504">
        <v>119.20353982300884</v>
      </c>
      <c r="AM14" s="502">
        <f t="shared" si="11"/>
        <v>7</v>
      </c>
      <c r="AN14" s="674"/>
      <c r="AO14" s="502">
        <v>12</v>
      </c>
      <c r="AP14" s="504">
        <v>1419.6</v>
      </c>
      <c r="AQ14" s="504">
        <v>118.3</v>
      </c>
      <c r="AR14" s="502">
        <f t="shared" si="13"/>
        <v>7</v>
      </c>
      <c r="AS14" s="674"/>
      <c r="AT14" s="500">
        <v>12</v>
      </c>
      <c r="AU14" s="420">
        <v>1438.3774647887326</v>
      </c>
      <c r="AV14" s="420">
        <v>119.86478873239439</v>
      </c>
      <c r="AW14" s="502">
        <f t="shared" si="15"/>
        <v>7</v>
      </c>
      <c r="AX14" s="674"/>
      <c r="AZ14" s="403" t="e">
        <f t="shared" si="17"/>
        <v>#N/A</v>
      </c>
      <c r="BA14" s="674"/>
    </row>
    <row r="15" spans="1:53" ht="14.25">
      <c r="A15" s="81"/>
      <c r="B15" s="660"/>
      <c r="C15" s="413">
        <v>9</v>
      </c>
      <c r="D15" s="225" t="s">
        <v>718</v>
      </c>
      <c r="E15" s="420">
        <v>12</v>
      </c>
      <c r="F15" s="500">
        <v>2000</v>
      </c>
      <c r="G15" s="501">
        <v>166.66666666666666</v>
      </c>
      <c r="H15" s="678"/>
      <c r="I15" s="417">
        <f t="shared" si="0"/>
        <v>12</v>
      </c>
      <c r="J15" s="417">
        <f t="shared" si="1"/>
        <v>1553.0617094433421</v>
      </c>
      <c r="K15" s="199">
        <f t="shared" si="2"/>
        <v>129.42180912027851</v>
      </c>
      <c r="L15" s="609"/>
      <c r="M15" s="419">
        <f>RANK(K15, K$7:$K$21)</f>
        <v>5</v>
      </c>
      <c r="N15" s="627"/>
      <c r="O15" s="627"/>
      <c r="P15" s="502">
        <v>12</v>
      </c>
      <c r="Q15" s="504">
        <v>1518.7714285714289</v>
      </c>
      <c r="R15" s="504">
        <v>126.56428571428575</v>
      </c>
      <c r="S15" s="502">
        <f t="shared" si="3"/>
        <v>6</v>
      </c>
      <c r="T15" s="674"/>
      <c r="U15" s="502">
        <v>12</v>
      </c>
      <c r="V15" s="504">
        <v>1529.9142857142861</v>
      </c>
      <c r="W15" s="504">
        <v>127.49285714285718</v>
      </c>
      <c r="X15" s="502">
        <f t="shared" si="5"/>
        <v>5</v>
      </c>
      <c r="Y15" s="674"/>
      <c r="Z15" s="502">
        <v>12</v>
      </c>
      <c r="AA15" s="504">
        <v>1595.5102040816332</v>
      </c>
      <c r="AB15" s="504">
        <v>132.95918367346943</v>
      </c>
      <c r="AC15" s="502">
        <f t="shared" si="7"/>
        <v>5</v>
      </c>
      <c r="AD15" s="674"/>
      <c r="AE15" s="502">
        <v>12</v>
      </c>
      <c r="AF15" s="504">
        <v>1557.2727272727273</v>
      </c>
      <c r="AG15" s="504">
        <v>129.77272727272728</v>
      </c>
      <c r="AH15" s="502">
        <f t="shared" si="9"/>
        <v>5</v>
      </c>
      <c r="AI15" s="674"/>
      <c r="AJ15" s="502">
        <v>12</v>
      </c>
      <c r="AK15" s="504">
        <v>1553.5714285714284</v>
      </c>
      <c r="AL15" s="504">
        <v>129.46428571428569</v>
      </c>
      <c r="AM15" s="502">
        <f t="shared" si="11"/>
        <v>5</v>
      </c>
      <c r="AN15" s="674"/>
      <c r="AO15" s="502">
        <v>12</v>
      </c>
      <c r="AP15" s="504">
        <v>1551.8918918918923</v>
      </c>
      <c r="AQ15" s="504">
        <v>129.32432432432435</v>
      </c>
      <c r="AR15" s="502">
        <f t="shared" si="13"/>
        <v>5</v>
      </c>
      <c r="AS15" s="674"/>
      <c r="AT15" s="500">
        <v>12</v>
      </c>
      <c r="AU15" s="420">
        <v>1564.5</v>
      </c>
      <c r="AV15" s="420">
        <v>130.375</v>
      </c>
      <c r="AW15" s="502">
        <f t="shared" si="15"/>
        <v>5</v>
      </c>
      <c r="AX15" s="674"/>
      <c r="AZ15" s="403" t="e">
        <f t="shared" si="17"/>
        <v>#N/A</v>
      </c>
      <c r="BA15" s="674"/>
    </row>
    <row r="16" spans="1:53" ht="14.25">
      <c r="A16" s="81"/>
      <c r="B16" s="660"/>
      <c r="C16" s="413">
        <v>10</v>
      </c>
      <c r="D16" s="225" t="s">
        <v>737</v>
      </c>
      <c r="E16" s="420">
        <v>16</v>
      </c>
      <c r="F16" s="500">
        <v>1440</v>
      </c>
      <c r="G16" s="501">
        <v>90</v>
      </c>
      <c r="H16" s="678"/>
      <c r="I16" s="417">
        <f t="shared" si="0"/>
        <v>16</v>
      </c>
      <c r="J16" s="417">
        <f t="shared" si="1"/>
        <v>1120.9344905058363</v>
      </c>
      <c r="K16" s="199">
        <f t="shared" si="2"/>
        <v>70.058405656614767</v>
      </c>
      <c r="L16" s="609"/>
      <c r="M16" s="419">
        <f>RANK(K16, K$7:$K$21)</f>
        <v>9</v>
      </c>
      <c r="N16" s="627"/>
      <c r="O16" s="627"/>
      <c r="P16" s="502">
        <v>16</v>
      </c>
      <c r="Q16" s="504">
        <v>1118.8465116279069</v>
      </c>
      <c r="R16" s="504">
        <v>69.927906976744183</v>
      </c>
      <c r="S16" s="502">
        <f t="shared" si="3"/>
        <v>10</v>
      </c>
      <c r="T16" s="674"/>
      <c r="U16" s="502">
        <v>16</v>
      </c>
      <c r="V16" s="504">
        <v>1116.8470588235291</v>
      </c>
      <c r="W16" s="504">
        <v>69.802941176470569</v>
      </c>
      <c r="X16" s="502">
        <f t="shared" si="5"/>
        <v>9</v>
      </c>
      <c r="Y16" s="674"/>
      <c r="Z16" s="502">
        <v>16</v>
      </c>
      <c r="AA16" s="504">
        <v>1104.25945945946</v>
      </c>
      <c r="AB16" s="504">
        <v>69.01621621621625</v>
      </c>
      <c r="AC16" s="502">
        <f t="shared" si="7"/>
        <v>9</v>
      </c>
      <c r="AD16" s="674"/>
      <c r="AE16" s="502">
        <v>16</v>
      </c>
      <c r="AF16" s="504">
        <v>1114.3902439024387</v>
      </c>
      <c r="AG16" s="504">
        <v>69.649390243902417</v>
      </c>
      <c r="AH16" s="502">
        <f t="shared" si="9"/>
        <v>10</v>
      </c>
      <c r="AI16" s="674"/>
      <c r="AJ16" s="502">
        <v>16</v>
      </c>
      <c r="AK16" s="504">
        <v>1148.6666666666667</v>
      </c>
      <c r="AL16" s="504">
        <v>71.791666666666671</v>
      </c>
      <c r="AM16" s="502">
        <f t="shared" si="11"/>
        <v>9</v>
      </c>
      <c r="AN16" s="674"/>
      <c r="AO16" s="502">
        <v>16</v>
      </c>
      <c r="AP16" s="504">
        <v>1130.2784810126586</v>
      </c>
      <c r="AQ16" s="504">
        <v>70.642405063291164</v>
      </c>
      <c r="AR16" s="502">
        <f t="shared" si="13"/>
        <v>10</v>
      </c>
      <c r="AS16" s="674"/>
      <c r="AT16" s="500">
        <v>16</v>
      </c>
      <c r="AU16" s="420">
        <v>1113.2530120481924</v>
      </c>
      <c r="AV16" s="420">
        <v>69.578313253012027</v>
      </c>
      <c r="AW16" s="502">
        <f t="shared" si="15"/>
        <v>10</v>
      </c>
      <c r="AX16" s="674"/>
      <c r="AZ16" s="403" t="e">
        <f t="shared" si="17"/>
        <v>#N/A</v>
      </c>
      <c r="BA16" s="674"/>
    </row>
    <row r="17" spans="2:53">
      <c r="B17" s="660"/>
      <c r="C17" s="413">
        <v>11</v>
      </c>
      <c r="D17" s="225"/>
      <c r="E17" s="420"/>
      <c r="F17" s="500"/>
      <c r="G17" s="501"/>
      <c r="H17" s="678"/>
      <c r="I17" s="417" t="str">
        <f t="shared" si="0"/>
        <v>-</v>
      </c>
      <c r="J17" s="417" t="str">
        <f t="shared" si="1"/>
        <v>-</v>
      </c>
      <c r="K17" s="199" t="str">
        <f t="shared" si="2"/>
        <v>-</v>
      </c>
      <c r="L17" s="609"/>
      <c r="M17" s="419" t="e">
        <f>RANK(K17, K$7:$K$21)</f>
        <v>#VALUE!</v>
      </c>
      <c r="N17" s="627"/>
      <c r="O17" s="627"/>
      <c r="P17" s="502"/>
      <c r="Q17" s="504"/>
      <c r="R17" s="504"/>
      <c r="S17" s="502" t="e">
        <f t="shared" si="3"/>
        <v>#N/A</v>
      </c>
      <c r="T17" s="674"/>
      <c r="U17" s="502"/>
      <c r="V17" s="504"/>
      <c r="W17" s="504"/>
      <c r="X17" s="502" t="e">
        <f t="shared" si="5"/>
        <v>#N/A</v>
      </c>
      <c r="Y17" s="674"/>
      <c r="Z17" s="502"/>
      <c r="AA17" s="504"/>
      <c r="AB17" s="504"/>
      <c r="AC17" s="502" t="e">
        <f t="shared" si="7"/>
        <v>#N/A</v>
      </c>
      <c r="AD17" s="674"/>
      <c r="AE17" s="502"/>
      <c r="AF17" s="504"/>
      <c r="AG17" s="504"/>
      <c r="AH17" s="502" t="e">
        <f t="shared" si="9"/>
        <v>#N/A</v>
      </c>
      <c r="AI17" s="674"/>
      <c r="AJ17" s="502"/>
      <c r="AK17" s="504"/>
      <c r="AL17" s="504"/>
      <c r="AM17" s="502" t="e">
        <f t="shared" si="11"/>
        <v>#N/A</v>
      </c>
      <c r="AN17" s="674"/>
      <c r="AO17" s="502"/>
      <c r="AP17" s="504"/>
      <c r="AQ17" s="504"/>
      <c r="AR17" s="502" t="e">
        <f t="shared" si="13"/>
        <v>#N/A</v>
      </c>
      <c r="AS17" s="674"/>
      <c r="AT17" s="500"/>
      <c r="AU17" s="420"/>
      <c r="AV17" s="420"/>
      <c r="AW17" s="502" t="e">
        <f t="shared" si="15"/>
        <v>#N/A</v>
      </c>
      <c r="AX17" s="674"/>
      <c r="AZ17" s="403" t="e">
        <f t="shared" si="17"/>
        <v>#N/A</v>
      </c>
      <c r="BA17" s="674"/>
    </row>
    <row r="18" spans="2:53">
      <c r="B18" s="660"/>
      <c r="C18" s="413">
        <v>12</v>
      </c>
      <c r="D18" s="225"/>
      <c r="E18" s="420"/>
      <c r="F18" s="500"/>
      <c r="G18" s="501"/>
      <c r="H18" s="678"/>
      <c r="I18" s="417" t="str">
        <f t="shared" si="0"/>
        <v>-</v>
      </c>
      <c r="J18" s="417" t="str">
        <f t="shared" si="1"/>
        <v>-</v>
      </c>
      <c r="K18" s="199" t="str">
        <f t="shared" si="2"/>
        <v>-</v>
      </c>
      <c r="L18" s="609"/>
      <c r="M18" s="419" t="e">
        <f>RANK(K18, K$7:$K$21)</f>
        <v>#VALUE!</v>
      </c>
      <c r="N18" s="627"/>
      <c r="O18" s="627"/>
      <c r="P18" s="502"/>
      <c r="Q18" s="504"/>
      <c r="R18" s="504"/>
      <c r="S18" s="502" t="e">
        <f t="shared" si="3"/>
        <v>#N/A</v>
      </c>
      <c r="T18" s="674"/>
      <c r="U18" s="502"/>
      <c r="V18" s="504"/>
      <c r="W18" s="504"/>
      <c r="X18" s="502" t="e">
        <f t="shared" si="5"/>
        <v>#N/A</v>
      </c>
      <c r="Y18" s="674"/>
      <c r="Z18" s="502"/>
      <c r="AA18" s="504"/>
      <c r="AB18" s="504"/>
      <c r="AC18" s="502" t="e">
        <f t="shared" si="7"/>
        <v>#N/A</v>
      </c>
      <c r="AD18" s="674"/>
      <c r="AE18" s="502"/>
      <c r="AF18" s="504"/>
      <c r="AG18" s="504"/>
      <c r="AH18" s="502" t="e">
        <f t="shared" si="9"/>
        <v>#N/A</v>
      </c>
      <c r="AI18" s="674"/>
      <c r="AJ18" s="502"/>
      <c r="AK18" s="504"/>
      <c r="AL18" s="504"/>
      <c r="AM18" s="502" t="e">
        <f t="shared" si="11"/>
        <v>#N/A</v>
      </c>
      <c r="AN18" s="674"/>
      <c r="AO18" s="502"/>
      <c r="AP18" s="504"/>
      <c r="AQ18" s="504"/>
      <c r="AR18" s="502" t="e">
        <f t="shared" si="13"/>
        <v>#N/A</v>
      </c>
      <c r="AS18" s="674"/>
      <c r="AT18" s="500"/>
      <c r="AU18" s="420"/>
      <c r="AV18" s="420"/>
      <c r="AW18" s="502" t="e">
        <f t="shared" si="15"/>
        <v>#N/A</v>
      </c>
      <c r="AX18" s="674"/>
      <c r="AZ18" s="403" t="e">
        <f t="shared" si="17"/>
        <v>#N/A</v>
      </c>
      <c r="BA18" s="674"/>
    </row>
    <row r="19" spans="2:53">
      <c r="B19" s="660"/>
      <c r="C19" s="413">
        <v>13</v>
      </c>
      <c r="D19" s="225"/>
      <c r="E19" s="420"/>
      <c r="F19" s="500"/>
      <c r="G19" s="501"/>
      <c r="H19" s="678"/>
      <c r="I19" s="417" t="str">
        <f t="shared" si="0"/>
        <v>-</v>
      </c>
      <c r="J19" s="417" t="str">
        <f t="shared" si="1"/>
        <v>-</v>
      </c>
      <c r="K19" s="199" t="str">
        <f t="shared" si="2"/>
        <v>-</v>
      </c>
      <c r="L19" s="609"/>
      <c r="M19" s="419" t="e">
        <f>RANK(K19, K$7:$K$21)</f>
        <v>#VALUE!</v>
      </c>
      <c r="N19" s="627"/>
      <c r="O19" s="627"/>
      <c r="P19" s="502"/>
      <c r="Q19" s="504"/>
      <c r="R19" s="504"/>
      <c r="S19" s="502" t="e">
        <f t="shared" si="3"/>
        <v>#N/A</v>
      </c>
      <c r="T19" s="674"/>
      <c r="U19" s="502"/>
      <c r="V19" s="504"/>
      <c r="W19" s="504"/>
      <c r="X19" s="502" t="e">
        <f t="shared" si="5"/>
        <v>#N/A</v>
      </c>
      <c r="Y19" s="674"/>
      <c r="Z19" s="502"/>
      <c r="AA19" s="504"/>
      <c r="AB19" s="504"/>
      <c r="AC19" s="502" t="e">
        <f t="shared" si="7"/>
        <v>#N/A</v>
      </c>
      <c r="AD19" s="674"/>
      <c r="AE19" s="502"/>
      <c r="AF19" s="504"/>
      <c r="AG19" s="504"/>
      <c r="AH19" s="502" t="e">
        <f t="shared" si="9"/>
        <v>#N/A</v>
      </c>
      <c r="AI19" s="674"/>
      <c r="AJ19" s="502"/>
      <c r="AK19" s="504"/>
      <c r="AL19" s="504"/>
      <c r="AM19" s="502" t="e">
        <f t="shared" si="11"/>
        <v>#N/A</v>
      </c>
      <c r="AN19" s="674"/>
      <c r="AO19" s="502"/>
      <c r="AP19" s="504"/>
      <c r="AQ19" s="504"/>
      <c r="AR19" s="502" t="e">
        <f t="shared" si="13"/>
        <v>#N/A</v>
      </c>
      <c r="AS19" s="674"/>
      <c r="AT19" s="500"/>
      <c r="AU19" s="420"/>
      <c r="AV19" s="420"/>
      <c r="AW19" s="502" t="e">
        <f t="shared" si="15"/>
        <v>#N/A</v>
      </c>
      <c r="AX19" s="674"/>
      <c r="AZ19" s="403" t="e">
        <f t="shared" si="17"/>
        <v>#N/A</v>
      </c>
      <c r="BA19" s="674"/>
    </row>
    <row r="20" spans="2:53">
      <c r="B20" s="660"/>
      <c r="C20" s="413">
        <v>14</v>
      </c>
      <c r="D20" s="225"/>
      <c r="E20" s="420"/>
      <c r="F20" s="500"/>
      <c r="G20" s="501"/>
      <c r="H20" s="678"/>
      <c r="I20" s="417" t="str">
        <f t="shared" si="0"/>
        <v>-</v>
      </c>
      <c r="J20" s="417" t="str">
        <f t="shared" si="1"/>
        <v>-</v>
      </c>
      <c r="K20" s="199" t="str">
        <f t="shared" si="2"/>
        <v>-</v>
      </c>
      <c r="L20" s="609"/>
      <c r="M20" s="419" t="e">
        <f>RANK(K20, K$7:$K$21)</f>
        <v>#VALUE!</v>
      </c>
      <c r="N20" s="627"/>
      <c r="O20" s="627"/>
      <c r="P20" s="502"/>
      <c r="Q20" s="504"/>
      <c r="R20" s="504"/>
      <c r="S20" s="502" t="e">
        <f t="shared" si="3"/>
        <v>#N/A</v>
      </c>
      <c r="T20" s="674"/>
      <c r="U20" s="502"/>
      <c r="V20" s="504"/>
      <c r="W20" s="504"/>
      <c r="X20" s="502" t="e">
        <f t="shared" si="5"/>
        <v>#N/A</v>
      </c>
      <c r="Y20" s="674"/>
      <c r="Z20" s="502"/>
      <c r="AA20" s="504"/>
      <c r="AB20" s="504"/>
      <c r="AC20" s="502" t="e">
        <f t="shared" si="7"/>
        <v>#N/A</v>
      </c>
      <c r="AD20" s="674"/>
      <c r="AE20" s="502"/>
      <c r="AF20" s="504"/>
      <c r="AG20" s="504"/>
      <c r="AH20" s="502" t="e">
        <f t="shared" si="9"/>
        <v>#N/A</v>
      </c>
      <c r="AI20" s="674"/>
      <c r="AJ20" s="502"/>
      <c r="AK20" s="504"/>
      <c r="AL20" s="504"/>
      <c r="AM20" s="502" t="e">
        <f t="shared" si="11"/>
        <v>#N/A</v>
      </c>
      <c r="AN20" s="674"/>
      <c r="AO20" s="502"/>
      <c r="AP20" s="504"/>
      <c r="AQ20" s="504"/>
      <c r="AR20" s="502" t="e">
        <f t="shared" si="13"/>
        <v>#N/A</v>
      </c>
      <c r="AS20" s="674"/>
      <c r="AT20" s="500"/>
      <c r="AU20" s="420"/>
      <c r="AV20" s="420"/>
      <c r="AW20" s="502" t="e">
        <f t="shared" si="15"/>
        <v>#N/A</v>
      </c>
      <c r="AX20" s="674"/>
      <c r="AZ20" s="403" t="e">
        <f t="shared" si="17"/>
        <v>#N/A</v>
      </c>
      <c r="BA20" s="674"/>
    </row>
    <row r="21" spans="2:53">
      <c r="B21" s="660"/>
      <c r="C21" s="413">
        <v>15</v>
      </c>
      <c r="D21" s="225"/>
      <c r="E21" s="420"/>
      <c r="F21" s="500"/>
      <c r="G21" s="501"/>
      <c r="H21" s="679"/>
      <c r="I21" s="415"/>
      <c r="J21" s="415"/>
      <c r="K21" s="415"/>
      <c r="L21" s="610"/>
      <c r="M21" s="419" t="e">
        <f>RANK(K21, K$7:$K$21)</f>
        <v>#N/A</v>
      </c>
      <c r="N21" s="627"/>
      <c r="O21" s="627"/>
      <c r="P21" s="502"/>
      <c r="Q21" s="504"/>
      <c r="R21" s="504"/>
      <c r="S21" s="502" t="e">
        <f t="shared" si="3"/>
        <v>#N/A</v>
      </c>
      <c r="T21" s="674"/>
      <c r="U21" s="502"/>
      <c r="V21" s="504"/>
      <c r="W21" s="504"/>
      <c r="X21" s="502" t="e">
        <f t="shared" si="5"/>
        <v>#N/A</v>
      </c>
      <c r="Y21" s="674"/>
      <c r="Z21" s="502"/>
      <c r="AA21" s="504"/>
      <c r="AB21" s="504"/>
      <c r="AC21" s="502" t="e">
        <f t="shared" si="7"/>
        <v>#N/A</v>
      </c>
      <c r="AD21" s="674"/>
      <c r="AE21" s="502"/>
      <c r="AF21" s="504"/>
      <c r="AG21" s="504"/>
      <c r="AH21" s="502" t="e">
        <f t="shared" si="9"/>
        <v>#N/A</v>
      </c>
      <c r="AI21" s="674"/>
      <c r="AJ21" s="502"/>
      <c r="AK21" s="504"/>
      <c r="AL21" s="504"/>
      <c r="AM21" s="502" t="e">
        <f t="shared" si="11"/>
        <v>#N/A</v>
      </c>
      <c r="AN21" s="674"/>
      <c r="AO21" s="502"/>
      <c r="AP21" s="504"/>
      <c r="AQ21" s="504"/>
      <c r="AR21" s="502" t="e">
        <f t="shared" si="13"/>
        <v>#N/A</v>
      </c>
      <c r="AS21" s="674"/>
      <c r="AT21" s="500"/>
      <c r="AU21" s="420"/>
      <c r="AV21" s="420"/>
      <c r="AW21" s="502" t="e">
        <f t="shared" si="15"/>
        <v>#N/A</v>
      </c>
      <c r="AX21" s="674"/>
      <c r="AZ21" s="403" t="e">
        <f t="shared" si="17"/>
        <v>#N/A</v>
      </c>
      <c r="BA21" s="674"/>
    </row>
    <row r="22" spans="2:53" ht="15.75">
      <c r="B22" s="653" t="s">
        <v>163</v>
      </c>
      <c r="C22" s="654"/>
      <c r="D22" s="654"/>
      <c r="E22" s="654"/>
      <c r="F22" s="654"/>
      <c r="G22" s="654"/>
      <c r="H22" s="654"/>
      <c r="I22" s="202"/>
      <c r="J22" s="202"/>
      <c r="K22" s="202"/>
      <c r="L22" s="202"/>
      <c r="M22" s="203"/>
      <c r="N22" s="628" t="s">
        <v>156</v>
      </c>
      <c r="O22" s="628" t="s">
        <v>105</v>
      </c>
      <c r="P22" s="634">
        <f>P2+7</f>
        <v>46147</v>
      </c>
      <c r="Q22" s="635"/>
      <c r="R22" s="635"/>
      <c r="S22" s="635"/>
      <c r="T22" s="635"/>
      <c r="U22" s="631">
        <f>P22+1</f>
        <v>46148</v>
      </c>
      <c r="V22" s="632"/>
      <c r="W22" s="632"/>
      <c r="X22" s="632"/>
      <c r="Y22" s="633"/>
      <c r="Z22" s="631">
        <f>U22+1</f>
        <v>46149</v>
      </c>
      <c r="AA22" s="632"/>
      <c r="AB22" s="632"/>
      <c r="AC22" s="632"/>
      <c r="AD22" s="633"/>
      <c r="AE22" s="631">
        <f>Z22+1</f>
        <v>46150</v>
      </c>
      <c r="AF22" s="632"/>
      <c r="AG22" s="632"/>
      <c r="AH22" s="632"/>
      <c r="AI22" s="633"/>
      <c r="AJ22" s="631">
        <f>AE22+1</f>
        <v>46151</v>
      </c>
      <c r="AK22" s="632"/>
      <c r="AL22" s="632"/>
      <c r="AM22" s="632"/>
      <c r="AN22" s="633"/>
      <c r="AO22" s="631">
        <f>AJ22+1</f>
        <v>46152</v>
      </c>
      <c r="AP22" s="632"/>
      <c r="AQ22" s="632"/>
      <c r="AR22" s="632"/>
      <c r="AS22" s="633"/>
      <c r="AT22" s="631">
        <f>AO22+1</f>
        <v>46153</v>
      </c>
      <c r="AU22" s="632"/>
      <c r="AV22" s="632"/>
      <c r="AW22" s="632"/>
      <c r="AX22" s="633"/>
    </row>
    <row r="23" spans="2:53" ht="15.75">
      <c r="B23" s="642"/>
      <c r="C23" s="642"/>
      <c r="D23" s="642"/>
      <c r="E23" s="642"/>
      <c r="F23" s="642"/>
      <c r="G23" s="642"/>
      <c r="H23" s="642"/>
      <c r="I23" s="204"/>
      <c r="J23" s="204"/>
      <c r="K23" s="204"/>
      <c r="L23" s="204"/>
      <c r="M23" s="205"/>
      <c r="N23" s="630"/>
      <c r="O23" s="630"/>
      <c r="P23" s="634" t="s">
        <v>318</v>
      </c>
      <c r="Q23" s="635"/>
      <c r="R23" s="635"/>
      <c r="S23" s="635"/>
      <c r="T23" s="635"/>
      <c r="U23" s="634" t="s">
        <v>319</v>
      </c>
      <c r="V23" s="635"/>
      <c r="W23" s="635"/>
      <c r="X23" s="635"/>
      <c r="Y23" s="635"/>
      <c r="Z23" s="634" t="s">
        <v>320</v>
      </c>
      <c r="AA23" s="635"/>
      <c r="AB23" s="635"/>
      <c r="AC23" s="635"/>
      <c r="AD23" s="635"/>
      <c r="AE23" s="634" t="s">
        <v>321</v>
      </c>
      <c r="AF23" s="635"/>
      <c r="AG23" s="635"/>
      <c r="AH23" s="635"/>
      <c r="AI23" s="635"/>
      <c r="AJ23" s="634" t="s">
        <v>322</v>
      </c>
      <c r="AK23" s="635"/>
      <c r="AL23" s="635"/>
      <c r="AM23" s="635"/>
      <c r="AN23" s="635"/>
      <c r="AO23" s="634" t="s">
        <v>323</v>
      </c>
      <c r="AP23" s="635"/>
      <c r="AQ23" s="635"/>
      <c r="AR23" s="635"/>
      <c r="AS23" s="635"/>
      <c r="AT23" s="634" t="s">
        <v>324</v>
      </c>
      <c r="AU23" s="635"/>
      <c r="AV23" s="635"/>
      <c r="AW23" s="635"/>
      <c r="AX23" s="635"/>
    </row>
    <row r="24" spans="2:53">
      <c r="B24" s="627" t="s">
        <v>453</v>
      </c>
      <c r="C24" s="627" t="s">
        <v>551</v>
      </c>
      <c r="D24" s="627"/>
      <c r="E24" s="627" t="s">
        <v>552</v>
      </c>
      <c r="F24" s="627"/>
      <c r="G24" s="627"/>
      <c r="H24" s="643" t="s">
        <v>553</v>
      </c>
      <c r="I24" s="627" t="s">
        <v>554</v>
      </c>
      <c r="J24" s="627"/>
      <c r="K24" s="627"/>
      <c r="L24" s="643" t="s">
        <v>371</v>
      </c>
      <c r="M24" s="628" t="s">
        <v>555</v>
      </c>
      <c r="N24" s="627"/>
      <c r="O24" s="627" t="s">
        <v>377</v>
      </c>
      <c r="P24" s="624" t="s">
        <v>373</v>
      </c>
      <c r="Q24" s="625"/>
      <c r="R24" s="625"/>
      <c r="S24" s="626"/>
      <c r="T24" s="627" t="s">
        <v>371</v>
      </c>
      <c r="U24" s="624" t="s">
        <v>373</v>
      </c>
      <c r="V24" s="625"/>
      <c r="W24" s="625"/>
      <c r="X24" s="626"/>
      <c r="Y24" s="627" t="s">
        <v>371</v>
      </c>
      <c r="Z24" s="624" t="s">
        <v>373</v>
      </c>
      <c r="AA24" s="625"/>
      <c r="AB24" s="625"/>
      <c r="AC24" s="626"/>
      <c r="AD24" s="627" t="s">
        <v>371</v>
      </c>
      <c r="AE24" s="624" t="s">
        <v>373</v>
      </c>
      <c r="AF24" s="625"/>
      <c r="AG24" s="625"/>
      <c r="AH24" s="626"/>
      <c r="AI24" s="627" t="s">
        <v>371</v>
      </c>
      <c r="AJ24" s="624" t="s">
        <v>373</v>
      </c>
      <c r="AK24" s="625"/>
      <c r="AL24" s="625"/>
      <c r="AM24" s="626"/>
      <c r="AN24" s="627" t="s">
        <v>371</v>
      </c>
      <c r="AO24" s="624" t="s">
        <v>373</v>
      </c>
      <c r="AP24" s="625"/>
      <c r="AQ24" s="625"/>
      <c r="AR24" s="626"/>
      <c r="AS24" s="627" t="s">
        <v>371</v>
      </c>
      <c r="AT24" s="624" t="s">
        <v>373</v>
      </c>
      <c r="AU24" s="625"/>
      <c r="AV24" s="625"/>
      <c r="AW24" s="626"/>
      <c r="AX24" s="627" t="s">
        <v>371</v>
      </c>
      <c r="BA24" s="627" t="s">
        <v>371</v>
      </c>
    </row>
    <row r="25" spans="2:53">
      <c r="B25" s="627"/>
      <c r="C25" s="627"/>
      <c r="D25" s="627"/>
      <c r="E25" s="627" t="s">
        <v>557</v>
      </c>
      <c r="F25" s="627"/>
      <c r="G25" s="627"/>
      <c r="H25" s="644"/>
      <c r="I25" s="627" t="s">
        <v>557</v>
      </c>
      <c r="J25" s="627"/>
      <c r="K25" s="627"/>
      <c r="L25" s="644"/>
      <c r="M25" s="629"/>
      <c r="N25" s="627"/>
      <c r="O25" s="627"/>
      <c r="P25" s="624" t="s">
        <v>379</v>
      </c>
      <c r="Q25" s="625"/>
      <c r="R25" s="625"/>
      <c r="S25" s="626"/>
      <c r="T25" s="627"/>
      <c r="U25" s="624" t="s">
        <v>379</v>
      </c>
      <c r="V25" s="625"/>
      <c r="W25" s="625"/>
      <c r="X25" s="626"/>
      <c r="Y25" s="627"/>
      <c r="Z25" s="624" t="s">
        <v>379</v>
      </c>
      <c r="AA25" s="625"/>
      <c r="AB25" s="625"/>
      <c r="AC25" s="626"/>
      <c r="AD25" s="627"/>
      <c r="AE25" s="624" t="s">
        <v>379</v>
      </c>
      <c r="AF25" s="625"/>
      <c r="AG25" s="625"/>
      <c r="AH25" s="626"/>
      <c r="AI25" s="627"/>
      <c r="AJ25" s="624" t="s">
        <v>379</v>
      </c>
      <c r="AK25" s="625"/>
      <c r="AL25" s="625"/>
      <c r="AM25" s="626"/>
      <c r="AN25" s="627"/>
      <c r="AO25" s="624" t="s">
        <v>379</v>
      </c>
      <c r="AP25" s="625"/>
      <c r="AQ25" s="625"/>
      <c r="AR25" s="626"/>
      <c r="AS25" s="627"/>
      <c r="AT25" s="624" t="s">
        <v>379</v>
      </c>
      <c r="AU25" s="625"/>
      <c r="AV25" s="625"/>
      <c r="AW25" s="626"/>
      <c r="AX25" s="627"/>
      <c r="BA25" s="627"/>
    </row>
    <row r="26" spans="2:53">
      <c r="B26" s="627"/>
      <c r="C26" s="627"/>
      <c r="D26" s="627"/>
      <c r="E26" s="412" t="s">
        <v>558</v>
      </c>
      <c r="F26" s="412" t="s">
        <v>559</v>
      </c>
      <c r="G26" s="412" t="s">
        <v>560</v>
      </c>
      <c r="H26" s="645"/>
      <c r="I26" s="412" t="s">
        <v>558</v>
      </c>
      <c r="J26" s="412" t="s">
        <v>559</v>
      </c>
      <c r="K26" s="412" t="s">
        <v>560</v>
      </c>
      <c r="L26" s="645"/>
      <c r="M26" s="630"/>
      <c r="N26" s="627"/>
      <c r="O26" s="627"/>
      <c r="P26" s="412" t="s">
        <v>380</v>
      </c>
      <c r="Q26" s="412" t="s">
        <v>381</v>
      </c>
      <c r="R26" s="412" t="s">
        <v>382</v>
      </c>
      <c r="S26" s="412" t="s">
        <v>372</v>
      </c>
      <c r="T26" s="627"/>
      <c r="U26" s="412" t="s">
        <v>380</v>
      </c>
      <c r="V26" s="412" t="s">
        <v>381</v>
      </c>
      <c r="W26" s="412" t="s">
        <v>382</v>
      </c>
      <c r="X26" s="412" t="s">
        <v>372</v>
      </c>
      <c r="Y26" s="627"/>
      <c r="Z26" s="412" t="s">
        <v>380</v>
      </c>
      <c r="AA26" s="412" t="s">
        <v>381</v>
      </c>
      <c r="AB26" s="412" t="s">
        <v>382</v>
      </c>
      <c r="AC26" s="412" t="s">
        <v>372</v>
      </c>
      <c r="AD26" s="627"/>
      <c r="AE26" s="412" t="s">
        <v>380</v>
      </c>
      <c r="AF26" s="412" t="s">
        <v>381</v>
      </c>
      <c r="AG26" s="412" t="s">
        <v>382</v>
      </c>
      <c r="AH26" s="412" t="s">
        <v>372</v>
      </c>
      <c r="AI26" s="627"/>
      <c r="AJ26" s="412" t="s">
        <v>380</v>
      </c>
      <c r="AK26" s="412" t="s">
        <v>381</v>
      </c>
      <c r="AL26" s="412" t="s">
        <v>382</v>
      </c>
      <c r="AM26" s="412" t="s">
        <v>372</v>
      </c>
      <c r="AN26" s="627"/>
      <c r="AO26" s="412" t="s">
        <v>380</v>
      </c>
      <c r="AP26" s="412" t="s">
        <v>381</v>
      </c>
      <c r="AQ26" s="412" t="s">
        <v>382</v>
      </c>
      <c r="AR26" s="412" t="s">
        <v>372</v>
      </c>
      <c r="AS26" s="627"/>
      <c r="AT26" s="412" t="s">
        <v>380</v>
      </c>
      <c r="AU26" s="412" t="s">
        <v>381</v>
      </c>
      <c r="AV26" s="412" t="s">
        <v>382</v>
      </c>
      <c r="AW26" s="412" t="s">
        <v>372</v>
      </c>
      <c r="AX26" s="627"/>
      <c r="AZ26" s="401" t="s">
        <v>372</v>
      </c>
      <c r="BA26" s="627"/>
    </row>
    <row r="27" spans="2:53">
      <c r="B27" s="627" t="s">
        <v>454</v>
      </c>
      <c r="C27" s="415">
        <v>1</v>
      </c>
      <c r="D27" s="225" t="s">
        <v>358</v>
      </c>
      <c r="E27" s="420">
        <v>7</v>
      </c>
      <c r="F27" s="413">
        <v>1500</v>
      </c>
      <c r="G27" s="414">
        <v>214.28571428571428</v>
      </c>
      <c r="H27" s="671">
        <f>AVERAGE(G27:G41)</f>
        <v>166.03896103896105</v>
      </c>
      <c r="I27" s="417">
        <f t="shared" ref="I27:I40" si="19">IFERROR(AVERAGE(P27,U27,Z27,AE27,AJ27,AO27,AT27),"-")</f>
        <v>7</v>
      </c>
      <c r="J27" s="417">
        <f t="shared" ref="J27:J40" si="20">IFERROR(AVERAGE(Q27,V27,AA27,AF27,AK27,AP27,AU27),"-")</f>
        <v>1443.8793414575005</v>
      </c>
      <c r="K27" s="199">
        <f t="shared" ref="K27:K40" si="21">IFERROR(AVERAGE(R27,W27,AB27,AG27,AL27,AQ27,AV27),"-")</f>
        <v>206.26847735107145</v>
      </c>
      <c r="L27" s="608">
        <f>IFERROR(AVERAGE(K27:K41),"-")</f>
        <v>148.81056237666323</v>
      </c>
      <c r="M27" s="421">
        <f>RANK(K27, K$24:$K$41)</f>
        <v>5</v>
      </c>
      <c r="N27" s="627"/>
      <c r="O27" s="627"/>
      <c r="P27" s="550">
        <v>7</v>
      </c>
      <c r="Q27" s="420">
        <v>1459.5918367346944</v>
      </c>
      <c r="R27" s="420">
        <v>208.51311953352777</v>
      </c>
      <c r="S27" s="550">
        <f t="shared" ref="S27:S41" si="22">RANK(R27, R$27:R$41)</f>
        <v>3</v>
      </c>
      <c r="T27" s="636">
        <f t="shared" ref="T27" si="23">AVERAGE(R27:R41)</f>
        <v>149.53734304010098</v>
      </c>
      <c r="U27" s="550">
        <v>7</v>
      </c>
      <c r="V27" s="420">
        <v>1429.090909090909</v>
      </c>
      <c r="W27" s="420">
        <v>204.15584415584414</v>
      </c>
      <c r="X27" s="550">
        <f t="shared" ref="X27:X41" si="24">RANK(W27, W$27:W$41)</f>
        <v>5</v>
      </c>
      <c r="Y27" s="636">
        <f t="shared" ref="Y27" si="25">AVERAGE(W27:W41)</f>
        <v>150.03586280544465</v>
      </c>
      <c r="Z27" s="550">
        <v>7</v>
      </c>
      <c r="AA27" s="420">
        <v>1440.0000000000002</v>
      </c>
      <c r="AB27" s="420">
        <v>205.71428571428575</v>
      </c>
      <c r="AC27" s="550">
        <f t="shared" ref="AC27:AC41" si="26">RANK(AB27, AB$27:AB$41)</f>
        <v>4</v>
      </c>
      <c r="AD27" s="636">
        <f t="shared" ref="AD27" si="27">AVERAGE(AB27:AB41)</f>
        <v>149.892239307907</v>
      </c>
      <c r="AE27" s="550">
        <v>7</v>
      </c>
      <c r="AF27" s="420">
        <v>1414.2857142857138</v>
      </c>
      <c r="AG27" s="420">
        <v>202.04081632653055</v>
      </c>
      <c r="AH27" s="550">
        <f t="shared" ref="AH27:AH41" si="28">RANK(AG27, AG$27:AG$41)</f>
        <v>5</v>
      </c>
      <c r="AI27" s="636">
        <f t="shared" ref="AI27" si="29">AVERAGE(AG27:AG41)</f>
        <v>147.85021480645312</v>
      </c>
      <c r="AJ27" s="550">
        <v>7</v>
      </c>
      <c r="AK27" s="420">
        <v>1443.8297872340427</v>
      </c>
      <c r="AL27" s="420">
        <v>206.26139817629181</v>
      </c>
      <c r="AM27" s="550">
        <f t="shared" ref="AM27:AM41" si="30">RANK(AL27, AL$27:AL$41)</f>
        <v>4</v>
      </c>
      <c r="AN27" s="636">
        <f t="shared" ref="AN27" si="31">AVERAGE(AL27:AL41)</f>
        <v>148.47154802266957</v>
      </c>
      <c r="AO27" s="550">
        <v>7</v>
      </c>
      <c r="AP27" s="420">
        <v>1459.9999999999998</v>
      </c>
      <c r="AQ27" s="420">
        <v>208.57142857142853</v>
      </c>
      <c r="AR27" s="550">
        <f t="shared" ref="AR27:AR41" si="32">RANK(AQ27, AQ$27:AQ$41)</f>
        <v>2</v>
      </c>
      <c r="AS27" s="636">
        <f t="shared" ref="AS27" si="33">AVERAGE(AQ27:AQ41)</f>
        <v>148.67770902121396</v>
      </c>
      <c r="AT27" s="550">
        <v>7</v>
      </c>
      <c r="AU27" s="420">
        <v>1460.3571428571429</v>
      </c>
      <c r="AV27" s="420">
        <v>208.62244897959184</v>
      </c>
      <c r="AW27" s="550">
        <f t="shared" ref="AW27:AW41" si="34">RANK(AV27, AV$27:AV$41)</f>
        <v>2</v>
      </c>
      <c r="AX27" s="636">
        <f t="shared" ref="AX27" si="35">AVERAGE(AV27:AV41)</f>
        <v>147.20901963285317</v>
      </c>
      <c r="AZ27" s="402" t="e">
        <f t="shared" ref="AZ27:AZ41" si="36">RANK(AY27, AY$27:AY$41)</f>
        <v>#N/A</v>
      </c>
      <c r="BA27" s="636" t="e">
        <f t="shared" ref="BA27" si="37">AVERAGE(AY27:AY41)</f>
        <v>#DIV/0!</v>
      </c>
    </row>
    <row r="28" spans="2:53">
      <c r="B28" s="635"/>
      <c r="C28" s="415">
        <v>2</v>
      </c>
      <c r="D28" s="225" t="s">
        <v>359</v>
      </c>
      <c r="E28" s="420">
        <v>7</v>
      </c>
      <c r="F28" s="413">
        <v>1500</v>
      </c>
      <c r="G28" s="414">
        <v>214.28571428571428</v>
      </c>
      <c r="H28" s="672"/>
      <c r="I28" s="417">
        <f t="shared" si="19"/>
        <v>7</v>
      </c>
      <c r="J28" s="417">
        <f t="shared" si="20"/>
        <v>1456.3862519307766</v>
      </c>
      <c r="K28" s="199">
        <f t="shared" si="21"/>
        <v>208.05517884725379</v>
      </c>
      <c r="L28" s="609"/>
      <c r="M28" s="424">
        <f>RANK(K28, K$24:$K$41)</f>
        <v>1</v>
      </c>
      <c r="N28" s="627"/>
      <c r="O28" s="627"/>
      <c r="P28" s="550">
        <v>7</v>
      </c>
      <c r="Q28" s="420">
        <v>1462.1739130434783</v>
      </c>
      <c r="R28" s="420">
        <v>208.88198757763976</v>
      </c>
      <c r="S28" s="550">
        <f t="shared" si="22"/>
        <v>2</v>
      </c>
      <c r="T28" s="637"/>
      <c r="U28" s="550">
        <v>7</v>
      </c>
      <c r="V28" s="420">
        <v>1454.4360902255639</v>
      </c>
      <c r="W28" s="420">
        <v>207.7765843179377</v>
      </c>
      <c r="X28" s="550">
        <f t="shared" si="24"/>
        <v>3</v>
      </c>
      <c r="Y28" s="637"/>
      <c r="Z28" s="550">
        <v>7</v>
      </c>
      <c r="AA28" s="420">
        <v>1476.2903225806456</v>
      </c>
      <c r="AB28" s="420">
        <v>210.8986175115208</v>
      </c>
      <c r="AC28" s="550">
        <f t="shared" si="26"/>
        <v>1</v>
      </c>
      <c r="AD28" s="637"/>
      <c r="AE28" s="550">
        <v>7</v>
      </c>
      <c r="AF28" s="420">
        <v>1477.9816513761466</v>
      </c>
      <c r="AG28" s="420">
        <v>211.14023591087809</v>
      </c>
      <c r="AH28" s="550">
        <f t="shared" si="28"/>
        <v>1</v>
      </c>
      <c r="AI28" s="637"/>
      <c r="AJ28" s="550">
        <v>7</v>
      </c>
      <c r="AK28" s="420">
        <v>1443.3600000000006</v>
      </c>
      <c r="AL28" s="420">
        <v>206.1942857142858</v>
      </c>
      <c r="AM28" s="550">
        <f t="shared" si="30"/>
        <v>5</v>
      </c>
      <c r="AN28" s="637"/>
      <c r="AO28" s="550">
        <v>7</v>
      </c>
      <c r="AP28" s="420">
        <v>1443.2432432432429</v>
      </c>
      <c r="AQ28" s="420">
        <v>206.17760617760612</v>
      </c>
      <c r="AR28" s="550">
        <f t="shared" si="32"/>
        <v>3</v>
      </c>
      <c r="AS28" s="637"/>
      <c r="AT28" s="550">
        <v>7</v>
      </c>
      <c r="AU28" s="420">
        <v>1437.2185430463574</v>
      </c>
      <c r="AV28" s="420">
        <v>205.31693472090819</v>
      </c>
      <c r="AW28" s="550">
        <f t="shared" si="34"/>
        <v>4</v>
      </c>
      <c r="AX28" s="637"/>
      <c r="AZ28" s="402" t="e">
        <f t="shared" si="36"/>
        <v>#N/A</v>
      </c>
      <c r="BA28" s="637"/>
    </row>
    <row r="29" spans="2:53">
      <c r="B29" s="635"/>
      <c r="C29" s="415">
        <v>3</v>
      </c>
      <c r="D29" s="225" t="s">
        <v>330</v>
      </c>
      <c r="E29" s="420">
        <v>20</v>
      </c>
      <c r="F29" s="413">
        <v>1500</v>
      </c>
      <c r="G29" s="414">
        <v>75</v>
      </c>
      <c r="H29" s="672"/>
      <c r="I29" s="417">
        <f t="shared" si="19"/>
        <v>19.142857142857142</v>
      </c>
      <c r="J29" s="417">
        <f t="shared" si="20"/>
        <v>1325.869322790925</v>
      </c>
      <c r="K29" s="199">
        <f t="shared" si="21"/>
        <v>69.412907689981054</v>
      </c>
      <c r="L29" s="609"/>
      <c r="M29" s="424">
        <f>RANK(K29, K$24:$K$41)</f>
        <v>11</v>
      </c>
      <c r="N29" s="627"/>
      <c r="O29" s="627"/>
      <c r="P29" s="550">
        <v>18</v>
      </c>
      <c r="Q29" s="420">
        <v>1292.5714285714291</v>
      </c>
      <c r="R29" s="420">
        <v>71.809523809523839</v>
      </c>
      <c r="S29" s="550">
        <f t="shared" si="22"/>
        <v>10</v>
      </c>
      <c r="T29" s="637"/>
      <c r="U29" s="550">
        <v>18</v>
      </c>
      <c r="V29" s="420">
        <v>1319.7084112149532</v>
      </c>
      <c r="W29" s="420">
        <v>73.317133956386286</v>
      </c>
      <c r="X29" s="550">
        <f t="shared" si="24"/>
        <v>10</v>
      </c>
      <c r="Y29" s="637"/>
      <c r="Z29" s="550">
        <v>18</v>
      </c>
      <c r="AA29" s="420">
        <v>1318.2165137614677</v>
      </c>
      <c r="AB29" s="420">
        <v>73.234250764525981</v>
      </c>
      <c r="AC29" s="550">
        <f t="shared" si="26"/>
        <v>10</v>
      </c>
      <c r="AD29" s="637"/>
      <c r="AE29" s="550">
        <v>20</v>
      </c>
      <c r="AF29" s="420">
        <v>1334.2857142857147</v>
      </c>
      <c r="AG29" s="420">
        <v>66.714285714285737</v>
      </c>
      <c r="AH29" s="550">
        <f t="shared" si="28"/>
        <v>11</v>
      </c>
      <c r="AI29" s="637"/>
      <c r="AJ29" s="550">
        <v>20</v>
      </c>
      <c r="AK29" s="420">
        <v>1333.0612244897964</v>
      </c>
      <c r="AL29" s="420">
        <v>66.653061224489818</v>
      </c>
      <c r="AM29" s="550">
        <f t="shared" si="30"/>
        <v>11</v>
      </c>
      <c r="AN29" s="637"/>
      <c r="AO29" s="550">
        <v>20</v>
      </c>
      <c r="AP29" s="420">
        <v>1351.0819672131151</v>
      </c>
      <c r="AQ29" s="420">
        <v>67.554098360655757</v>
      </c>
      <c r="AR29" s="550">
        <f t="shared" si="32"/>
        <v>11</v>
      </c>
      <c r="AS29" s="637"/>
      <c r="AT29" s="550">
        <v>20</v>
      </c>
      <c r="AU29" s="420">
        <v>1332.1599999999999</v>
      </c>
      <c r="AV29" s="420">
        <v>66.60799999999999</v>
      </c>
      <c r="AW29" s="550">
        <f t="shared" si="34"/>
        <v>11</v>
      </c>
      <c r="AX29" s="637"/>
      <c r="AZ29" s="402" t="e">
        <f t="shared" si="36"/>
        <v>#N/A</v>
      </c>
      <c r="BA29" s="637"/>
    </row>
    <row r="30" spans="2:53">
      <c r="B30" s="635"/>
      <c r="C30" s="415">
        <v>4</v>
      </c>
      <c r="D30" s="225" t="s">
        <v>360</v>
      </c>
      <c r="E30" s="420">
        <v>16</v>
      </c>
      <c r="F30" s="413">
        <v>1440</v>
      </c>
      <c r="G30" s="414">
        <v>90</v>
      </c>
      <c r="H30" s="672"/>
      <c r="I30" s="417">
        <f t="shared" si="19"/>
        <v>16.428571428571427</v>
      </c>
      <c r="J30" s="417">
        <f t="shared" si="20"/>
        <v>1371.2245934015734</v>
      </c>
      <c r="K30" s="199">
        <f t="shared" si="21"/>
        <v>83.53333988462272</v>
      </c>
      <c r="L30" s="609"/>
      <c r="M30" s="424">
        <f>RANK(K30, K$24:$K$41)</f>
        <v>9</v>
      </c>
      <c r="N30" s="627"/>
      <c r="O30" s="627"/>
      <c r="P30" s="550">
        <v>17</v>
      </c>
      <c r="Q30" s="420">
        <v>1401.947368421052</v>
      </c>
      <c r="R30" s="420">
        <v>82.467492260061888</v>
      </c>
      <c r="S30" s="550">
        <f t="shared" si="22"/>
        <v>9</v>
      </c>
      <c r="T30" s="637"/>
      <c r="U30" s="550">
        <v>16</v>
      </c>
      <c r="V30" s="420">
        <v>1400.1000000000004</v>
      </c>
      <c r="W30" s="420">
        <v>87.506250000000023</v>
      </c>
      <c r="X30" s="550">
        <f t="shared" si="24"/>
        <v>9</v>
      </c>
      <c r="Y30" s="637"/>
      <c r="Z30" s="550">
        <v>16</v>
      </c>
      <c r="AA30" s="420">
        <v>1370.5714285714289</v>
      </c>
      <c r="AB30" s="420">
        <v>85.660714285714306</v>
      </c>
      <c r="AC30" s="550">
        <f t="shared" si="26"/>
        <v>9</v>
      </c>
      <c r="AD30" s="637"/>
      <c r="AE30" s="550">
        <v>17</v>
      </c>
      <c r="AF30" s="420">
        <v>1334.5609756097556</v>
      </c>
      <c r="AG30" s="420">
        <v>78.503586800573856</v>
      </c>
      <c r="AH30" s="550">
        <f t="shared" si="28"/>
        <v>9</v>
      </c>
      <c r="AI30" s="637"/>
      <c r="AJ30" s="550">
        <v>16</v>
      </c>
      <c r="AK30" s="420">
        <v>1349.7058823529417</v>
      </c>
      <c r="AL30" s="420">
        <v>84.356617647058854</v>
      </c>
      <c r="AM30" s="550">
        <f t="shared" si="30"/>
        <v>9</v>
      </c>
      <c r="AN30" s="637"/>
      <c r="AO30" s="550">
        <v>16</v>
      </c>
      <c r="AP30" s="420">
        <v>1349.9473684210536</v>
      </c>
      <c r="AQ30" s="420">
        <v>84.371710526315852</v>
      </c>
      <c r="AR30" s="550">
        <f t="shared" si="32"/>
        <v>9</v>
      </c>
      <c r="AS30" s="637"/>
      <c r="AT30" s="550">
        <v>17</v>
      </c>
      <c r="AU30" s="420">
        <v>1391.7391304347825</v>
      </c>
      <c r="AV30" s="420">
        <v>81.867007672634259</v>
      </c>
      <c r="AW30" s="550">
        <f t="shared" si="34"/>
        <v>9</v>
      </c>
      <c r="AX30" s="637"/>
      <c r="AZ30" s="402" t="e">
        <f t="shared" si="36"/>
        <v>#N/A</v>
      </c>
      <c r="BA30" s="637"/>
    </row>
    <row r="31" spans="2:53">
      <c r="B31" s="635"/>
      <c r="C31" s="415">
        <v>5</v>
      </c>
      <c r="D31" s="225" t="s">
        <v>398</v>
      </c>
      <c r="E31" s="420">
        <v>7</v>
      </c>
      <c r="F31" s="413">
        <v>1500</v>
      </c>
      <c r="G31" s="414">
        <v>214.28571428571428</v>
      </c>
      <c r="H31" s="672"/>
      <c r="I31" s="417">
        <f t="shared" si="19"/>
        <v>7</v>
      </c>
      <c r="J31" s="417">
        <f t="shared" si="20"/>
        <v>1456.0326896787424</v>
      </c>
      <c r="K31" s="199">
        <f t="shared" si="21"/>
        <v>208.00466995410605</v>
      </c>
      <c r="L31" s="609"/>
      <c r="M31" s="424">
        <f>RANK(K31, K$24:$K$41)</f>
        <v>2</v>
      </c>
      <c r="N31" s="627"/>
      <c r="O31" s="627"/>
      <c r="P31" s="550">
        <v>7</v>
      </c>
      <c r="Q31" s="420">
        <v>1464.9999999999995</v>
      </c>
      <c r="R31" s="420">
        <v>209.28571428571422</v>
      </c>
      <c r="S31" s="550">
        <f t="shared" si="22"/>
        <v>1</v>
      </c>
      <c r="T31" s="637"/>
      <c r="U31" s="550">
        <v>7</v>
      </c>
      <c r="V31" s="420">
        <v>1443.3600000000004</v>
      </c>
      <c r="W31" s="420">
        <v>206.19428571428577</v>
      </c>
      <c r="X31" s="550">
        <f t="shared" si="24"/>
        <v>4</v>
      </c>
      <c r="Y31" s="637"/>
      <c r="Z31" s="550">
        <v>7</v>
      </c>
      <c r="AA31" s="420">
        <v>1465.4400000000003</v>
      </c>
      <c r="AB31" s="420">
        <v>209.34857142857146</v>
      </c>
      <c r="AC31" s="550">
        <f t="shared" si="26"/>
        <v>2</v>
      </c>
      <c r="AD31" s="637"/>
      <c r="AE31" s="550">
        <v>7</v>
      </c>
      <c r="AF31" s="420">
        <v>1467.8947368421052</v>
      </c>
      <c r="AG31" s="420">
        <v>209.69924812030075</v>
      </c>
      <c r="AH31" s="550">
        <f t="shared" si="28"/>
        <v>3</v>
      </c>
      <c r="AI31" s="637"/>
      <c r="AJ31" s="550">
        <v>7</v>
      </c>
      <c r="AK31" s="420">
        <v>1445.6250000000005</v>
      </c>
      <c r="AL31" s="420">
        <v>206.5178571428572</v>
      </c>
      <c r="AM31" s="550">
        <f t="shared" si="30"/>
        <v>3</v>
      </c>
      <c r="AN31" s="637"/>
      <c r="AO31" s="550">
        <v>7</v>
      </c>
      <c r="AP31" s="420">
        <v>1464.5454545454545</v>
      </c>
      <c r="AQ31" s="420">
        <v>209.22077922077921</v>
      </c>
      <c r="AR31" s="550">
        <f t="shared" si="32"/>
        <v>1</v>
      </c>
      <c r="AS31" s="637"/>
      <c r="AT31" s="550">
        <v>7</v>
      </c>
      <c r="AU31" s="420">
        <v>1440.3636363636367</v>
      </c>
      <c r="AV31" s="420">
        <v>205.76623376623382</v>
      </c>
      <c r="AW31" s="550">
        <f t="shared" si="34"/>
        <v>3</v>
      </c>
      <c r="AX31" s="637"/>
      <c r="AZ31" s="402" t="e">
        <f t="shared" si="36"/>
        <v>#N/A</v>
      </c>
      <c r="BA31" s="637"/>
    </row>
    <row r="32" spans="2:53">
      <c r="B32" s="635"/>
      <c r="C32" s="415">
        <v>6</v>
      </c>
      <c r="D32" s="225" t="s">
        <v>606</v>
      </c>
      <c r="E32" s="420">
        <v>12</v>
      </c>
      <c r="F32" s="413">
        <v>2000</v>
      </c>
      <c r="G32" s="414">
        <v>166.66666666666666</v>
      </c>
      <c r="H32" s="672"/>
      <c r="I32" s="417">
        <f t="shared" si="19"/>
        <v>12</v>
      </c>
      <c r="J32" s="417">
        <f t="shared" si="20"/>
        <v>1544.4541456895438</v>
      </c>
      <c r="K32" s="199">
        <f t="shared" si="21"/>
        <v>128.70451214079532</v>
      </c>
      <c r="L32" s="609"/>
      <c r="M32" s="424">
        <f>RANK(K32, K$24:$K$41)</f>
        <v>6</v>
      </c>
      <c r="N32" s="627"/>
      <c r="O32" s="627"/>
      <c r="P32" s="550">
        <v>12</v>
      </c>
      <c r="Q32" s="420">
        <v>1561.73076923077</v>
      </c>
      <c r="R32" s="420">
        <v>130.14423076923083</v>
      </c>
      <c r="S32" s="550">
        <f t="shared" si="22"/>
        <v>6</v>
      </c>
      <c r="T32" s="637"/>
      <c r="U32" s="550">
        <v>12</v>
      </c>
      <c r="V32" s="420">
        <v>1571.6666666666674</v>
      </c>
      <c r="W32" s="420">
        <v>130.97222222222229</v>
      </c>
      <c r="X32" s="550">
        <f t="shared" si="24"/>
        <v>6</v>
      </c>
      <c r="Y32" s="637"/>
      <c r="Z32" s="550">
        <v>12</v>
      </c>
      <c r="AA32" s="420">
        <v>1613.8775510204086</v>
      </c>
      <c r="AB32" s="420">
        <v>134.48979591836738</v>
      </c>
      <c r="AC32" s="550">
        <f t="shared" si="26"/>
        <v>6</v>
      </c>
      <c r="AD32" s="637"/>
      <c r="AE32" s="550">
        <v>12</v>
      </c>
      <c r="AF32" s="420">
        <v>1476.0000000000007</v>
      </c>
      <c r="AG32" s="420">
        <v>123.00000000000006</v>
      </c>
      <c r="AH32" s="550">
        <f t="shared" si="28"/>
        <v>7</v>
      </c>
      <c r="AI32" s="637"/>
      <c r="AJ32" s="550">
        <v>12</v>
      </c>
      <c r="AK32" s="420">
        <v>1532.9032258064531</v>
      </c>
      <c r="AL32" s="420">
        <v>127.74193548387109</v>
      </c>
      <c r="AM32" s="550">
        <f t="shared" si="30"/>
        <v>7</v>
      </c>
      <c r="AN32" s="637"/>
      <c r="AO32" s="550">
        <v>12</v>
      </c>
      <c r="AP32" s="420">
        <v>1578.238095238097</v>
      </c>
      <c r="AQ32" s="420">
        <v>131.51984126984141</v>
      </c>
      <c r="AR32" s="550">
        <f t="shared" si="32"/>
        <v>6</v>
      </c>
      <c r="AS32" s="637"/>
      <c r="AT32" s="550">
        <v>12</v>
      </c>
      <c r="AU32" s="420">
        <v>1476.7627118644082</v>
      </c>
      <c r="AV32" s="420">
        <v>123.06355932203401</v>
      </c>
      <c r="AW32" s="550">
        <f t="shared" si="34"/>
        <v>7</v>
      </c>
      <c r="AX32" s="637"/>
      <c r="AZ32" s="402" t="e">
        <f t="shared" si="36"/>
        <v>#N/A</v>
      </c>
      <c r="BA32" s="637"/>
    </row>
    <row r="33" spans="2:53">
      <c r="B33" s="635"/>
      <c r="C33" s="415">
        <v>7</v>
      </c>
      <c r="D33" s="225" t="s">
        <v>589</v>
      </c>
      <c r="E33" s="420">
        <v>7</v>
      </c>
      <c r="F33" s="413">
        <v>1500</v>
      </c>
      <c r="G33" s="414">
        <v>214.28571428571428</v>
      </c>
      <c r="H33" s="672"/>
      <c r="I33" s="417">
        <f t="shared" si="19"/>
        <v>7</v>
      </c>
      <c r="J33" s="417">
        <f t="shared" si="20"/>
        <v>1449.169509354731</v>
      </c>
      <c r="K33" s="199">
        <f t="shared" si="21"/>
        <v>207.02421562210446</v>
      </c>
      <c r="L33" s="609"/>
      <c r="M33" s="424">
        <f>RANK(K33, K$24:$K$41)</f>
        <v>4</v>
      </c>
      <c r="N33" s="627"/>
      <c r="O33" s="627"/>
      <c r="P33" s="550">
        <v>7</v>
      </c>
      <c r="Q33" s="420">
        <v>1447.8947368421057</v>
      </c>
      <c r="R33" s="420">
        <v>206.84210526315795</v>
      </c>
      <c r="S33" s="550">
        <f t="shared" si="22"/>
        <v>5</v>
      </c>
      <c r="T33" s="637"/>
      <c r="U33" s="550">
        <v>7</v>
      </c>
      <c r="V33" s="420">
        <v>1478.9610389610395</v>
      </c>
      <c r="W33" s="420">
        <v>211.28014842300564</v>
      </c>
      <c r="X33" s="550">
        <f t="shared" si="24"/>
        <v>1</v>
      </c>
      <c r="Y33" s="637"/>
      <c r="Z33" s="550">
        <v>7</v>
      </c>
      <c r="AA33" s="420">
        <v>1438.4615384615392</v>
      </c>
      <c r="AB33" s="420">
        <v>205.4945054945056</v>
      </c>
      <c r="AC33" s="550">
        <f t="shared" si="26"/>
        <v>5</v>
      </c>
      <c r="AD33" s="637"/>
      <c r="AE33" s="550">
        <v>7</v>
      </c>
      <c r="AF33" s="420">
        <v>1460.6557377049176</v>
      </c>
      <c r="AG33" s="420">
        <v>208.6651053864168</v>
      </c>
      <c r="AH33" s="550">
        <f t="shared" si="28"/>
        <v>4</v>
      </c>
      <c r="AI33" s="637"/>
      <c r="AJ33" s="550">
        <v>7</v>
      </c>
      <c r="AK33" s="420">
        <v>1455.2000000000005</v>
      </c>
      <c r="AL33" s="420">
        <v>207.88571428571436</v>
      </c>
      <c r="AM33" s="550">
        <f t="shared" si="30"/>
        <v>1</v>
      </c>
      <c r="AN33" s="637"/>
      <c r="AO33" s="550">
        <v>7</v>
      </c>
      <c r="AP33" s="420">
        <v>1433.5135135135142</v>
      </c>
      <c r="AQ33" s="420">
        <v>204.78764478764489</v>
      </c>
      <c r="AR33" s="550">
        <f t="shared" si="32"/>
        <v>5</v>
      </c>
      <c r="AS33" s="637"/>
      <c r="AT33" s="550">
        <v>7</v>
      </c>
      <c r="AU33" s="420">
        <v>1429.5000000000009</v>
      </c>
      <c r="AV33" s="420">
        <v>204.21428571428584</v>
      </c>
      <c r="AW33" s="550">
        <f t="shared" si="34"/>
        <v>5</v>
      </c>
      <c r="AX33" s="637"/>
      <c r="AZ33" s="402" t="e">
        <f t="shared" si="36"/>
        <v>#N/A</v>
      </c>
      <c r="BA33" s="637"/>
    </row>
    <row r="34" spans="2:53">
      <c r="B34" s="635"/>
      <c r="C34" s="415">
        <v>8</v>
      </c>
      <c r="D34" s="225" t="s">
        <v>717</v>
      </c>
      <c r="E34" s="420">
        <v>12</v>
      </c>
      <c r="F34" s="413">
        <v>2000</v>
      </c>
      <c r="G34" s="414">
        <v>166.66666666666666</v>
      </c>
      <c r="H34" s="672"/>
      <c r="I34" s="417">
        <f t="shared" si="19"/>
        <v>12</v>
      </c>
      <c r="J34" s="417">
        <f t="shared" si="20"/>
        <v>1426.3922766325561</v>
      </c>
      <c r="K34" s="199">
        <f t="shared" si="21"/>
        <v>118.866023052713</v>
      </c>
      <c r="L34" s="609"/>
      <c r="M34" s="424">
        <f>RANK(K34, K$24:$K$41)</f>
        <v>8</v>
      </c>
      <c r="N34" s="627"/>
      <c r="O34" s="627"/>
      <c r="P34" s="550">
        <v>12</v>
      </c>
      <c r="Q34" s="420">
        <v>1425.1956521739132</v>
      </c>
      <c r="R34" s="420">
        <v>118.76630434782611</v>
      </c>
      <c r="S34" s="550">
        <f t="shared" si="22"/>
        <v>8</v>
      </c>
      <c r="T34" s="637"/>
      <c r="U34" s="550">
        <v>12</v>
      </c>
      <c r="V34" s="420">
        <v>1432.5697674418602</v>
      </c>
      <c r="W34" s="420">
        <v>119.38081395348836</v>
      </c>
      <c r="X34" s="550">
        <f t="shared" si="24"/>
        <v>8</v>
      </c>
      <c r="Y34" s="637"/>
      <c r="Z34" s="550">
        <v>12</v>
      </c>
      <c r="AA34" s="420">
        <v>1438.0632911392406</v>
      </c>
      <c r="AB34" s="420">
        <v>119.83860759493672</v>
      </c>
      <c r="AC34" s="550">
        <f t="shared" si="26"/>
        <v>8</v>
      </c>
      <c r="AD34" s="637"/>
      <c r="AE34" s="550">
        <v>12</v>
      </c>
      <c r="AF34" s="420">
        <v>1420.0952380952378</v>
      </c>
      <c r="AG34" s="420">
        <v>118.34126984126982</v>
      </c>
      <c r="AH34" s="550">
        <f t="shared" si="28"/>
        <v>8</v>
      </c>
      <c r="AI34" s="637"/>
      <c r="AJ34" s="550">
        <v>12</v>
      </c>
      <c r="AK34" s="420">
        <v>1428.8695652173913</v>
      </c>
      <c r="AL34" s="420">
        <v>119.07246376811594</v>
      </c>
      <c r="AM34" s="550">
        <f t="shared" si="30"/>
        <v>8</v>
      </c>
      <c r="AN34" s="637"/>
      <c r="AO34" s="550">
        <v>12</v>
      </c>
      <c r="AP34" s="420">
        <v>1426.6695652173914</v>
      </c>
      <c r="AQ34" s="420">
        <v>118.88913043478261</v>
      </c>
      <c r="AR34" s="550">
        <f t="shared" si="32"/>
        <v>8</v>
      </c>
      <c r="AS34" s="637"/>
      <c r="AT34" s="550">
        <v>12</v>
      </c>
      <c r="AU34" s="420">
        <v>1413.2828571428574</v>
      </c>
      <c r="AV34" s="420">
        <v>117.77357142857146</v>
      </c>
      <c r="AW34" s="550">
        <f t="shared" si="34"/>
        <v>8</v>
      </c>
      <c r="AX34" s="637"/>
      <c r="AZ34" s="402" t="e">
        <f t="shared" si="36"/>
        <v>#N/A</v>
      </c>
      <c r="BA34" s="637"/>
    </row>
    <row r="35" spans="2:53">
      <c r="B35" s="635"/>
      <c r="C35" s="415">
        <v>9</v>
      </c>
      <c r="D35" s="225" t="s">
        <v>718</v>
      </c>
      <c r="E35" s="420">
        <v>12</v>
      </c>
      <c r="F35" s="413">
        <v>2000</v>
      </c>
      <c r="G35" s="414">
        <v>166.66666666666666</v>
      </c>
      <c r="H35" s="672"/>
      <c r="I35" s="417">
        <f t="shared" si="19"/>
        <v>12</v>
      </c>
      <c r="J35" s="417">
        <f t="shared" si="20"/>
        <v>1541.5763312476454</v>
      </c>
      <c r="K35" s="199">
        <f t="shared" si="21"/>
        <v>128.46469427063715</v>
      </c>
      <c r="L35" s="609"/>
      <c r="M35" s="424">
        <f>RANK(K35, K$24:$K$41)</f>
        <v>7</v>
      </c>
      <c r="N35" s="627"/>
      <c r="O35" s="627"/>
      <c r="P35" s="550">
        <v>12</v>
      </c>
      <c r="Q35" s="420">
        <v>1558.2857142857144</v>
      </c>
      <c r="R35" s="420">
        <v>129.85714285714286</v>
      </c>
      <c r="S35" s="550">
        <f t="shared" si="22"/>
        <v>7</v>
      </c>
      <c r="T35" s="637"/>
      <c r="U35" s="550">
        <v>12</v>
      </c>
      <c r="V35" s="420">
        <v>1555.5882352941176</v>
      </c>
      <c r="W35" s="420">
        <v>129.63235294117646</v>
      </c>
      <c r="X35" s="550">
        <f t="shared" si="24"/>
        <v>7</v>
      </c>
      <c r="Y35" s="637"/>
      <c r="Z35" s="550">
        <v>12</v>
      </c>
      <c r="AA35" s="420">
        <v>1529.5081967213109</v>
      </c>
      <c r="AB35" s="420">
        <v>127.45901639344258</v>
      </c>
      <c r="AC35" s="550">
        <f t="shared" si="26"/>
        <v>7</v>
      </c>
      <c r="AD35" s="637"/>
      <c r="AE35" s="550">
        <v>12</v>
      </c>
      <c r="AF35" s="420">
        <v>1520.9302325581393</v>
      </c>
      <c r="AG35" s="420">
        <v>126.74418604651162</v>
      </c>
      <c r="AH35" s="550">
        <f t="shared" si="28"/>
        <v>6</v>
      </c>
      <c r="AI35" s="637"/>
      <c r="AJ35" s="550">
        <v>12</v>
      </c>
      <c r="AK35" s="420">
        <v>1561.2765957446811</v>
      </c>
      <c r="AL35" s="420">
        <v>130.10638297872342</v>
      </c>
      <c r="AM35" s="550">
        <f t="shared" si="30"/>
        <v>6</v>
      </c>
      <c r="AN35" s="637"/>
      <c r="AO35" s="550">
        <v>12</v>
      </c>
      <c r="AP35" s="420">
        <v>1538.0769230769238</v>
      </c>
      <c r="AQ35" s="420">
        <v>128.17307692307699</v>
      </c>
      <c r="AR35" s="550">
        <f t="shared" si="32"/>
        <v>7</v>
      </c>
      <c r="AS35" s="637"/>
      <c r="AT35" s="550">
        <v>12</v>
      </c>
      <c r="AU35" s="420">
        <v>1527.3684210526314</v>
      </c>
      <c r="AV35" s="420">
        <v>127.28070175438596</v>
      </c>
      <c r="AW35" s="550">
        <f t="shared" si="34"/>
        <v>6</v>
      </c>
      <c r="AX35" s="637"/>
      <c r="AZ35" s="402" t="e">
        <f t="shared" si="36"/>
        <v>#N/A</v>
      </c>
      <c r="BA35" s="637"/>
    </row>
    <row r="36" spans="2:53">
      <c r="B36" s="635"/>
      <c r="C36" s="415">
        <v>10</v>
      </c>
      <c r="D36" s="225" t="s">
        <v>737</v>
      </c>
      <c r="E36" s="420">
        <v>16</v>
      </c>
      <c r="F36" s="413">
        <v>1440</v>
      </c>
      <c r="G36" s="414">
        <v>90</v>
      </c>
      <c r="H36" s="672"/>
      <c r="I36" s="417">
        <f t="shared" si="19"/>
        <v>16</v>
      </c>
      <c r="J36" s="417">
        <f t="shared" si="20"/>
        <v>1132.3182244400844</v>
      </c>
      <c r="K36" s="199">
        <f t="shared" si="21"/>
        <v>70.769889027505272</v>
      </c>
      <c r="L36" s="609"/>
      <c r="M36" s="424">
        <f>RANK(K36, K$24:$K$41)</f>
        <v>10</v>
      </c>
      <c r="N36" s="627"/>
      <c r="O36" s="627"/>
      <c r="P36" s="550">
        <v>16</v>
      </c>
      <c r="Q36" s="420">
        <v>1137.2222222222222</v>
      </c>
      <c r="R36" s="420">
        <v>71.076388888888886</v>
      </c>
      <c r="S36" s="550">
        <f t="shared" si="22"/>
        <v>11</v>
      </c>
      <c r="T36" s="637"/>
      <c r="U36" s="550">
        <v>16</v>
      </c>
      <c r="V36" s="420">
        <v>1119.3750000000005</v>
      </c>
      <c r="W36" s="420">
        <v>69.960937500000028</v>
      </c>
      <c r="X36" s="550">
        <f t="shared" si="24"/>
        <v>11</v>
      </c>
      <c r="Y36" s="637"/>
      <c r="Z36" s="550">
        <v>16</v>
      </c>
      <c r="AA36" s="420">
        <v>1129.677419354839</v>
      </c>
      <c r="AB36" s="420">
        <v>70.604838709677438</v>
      </c>
      <c r="AC36" s="550">
        <f t="shared" si="26"/>
        <v>11</v>
      </c>
      <c r="AD36" s="637"/>
      <c r="AE36" s="550">
        <v>16</v>
      </c>
      <c r="AF36" s="420">
        <v>1143.1168831168836</v>
      </c>
      <c r="AG36" s="420">
        <v>71.444805194805227</v>
      </c>
      <c r="AH36" s="550">
        <f t="shared" si="28"/>
        <v>10</v>
      </c>
      <c r="AI36" s="637"/>
      <c r="AJ36" s="550">
        <v>16</v>
      </c>
      <c r="AK36" s="420">
        <v>1141.2903225806454</v>
      </c>
      <c r="AL36" s="420">
        <v>71.330645161290334</v>
      </c>
      <c r="AM36" s="550">
        <f t="shared" si="30"/>
        <v>10</v>
      </c>
      <c r="AN36" s="637"/>
      <c r="AO36" s="550">
        <v>16</v>
      </c>
      <c r="AP36" s="420">
        <v>1134.1621621621625</v>
      </c>
      <c r="AQ36" s="420">
        <v>70.885135135135158</v>
      </c>
      <c r="AR36" s="550">
        <f t="shared" si="32"/>
        <v>10</v>
      </c>
      <c r="AS36" s="637"/>
      <c r="AT36" s="550">
        <v>16</v>
      </c>
      <c r="AU36" s="420">
        <v>1121.3835616438359</v>
      </c>
      <c r="AV36" s="420">
        <v>70.086472602739747</v>
      </c>
      <c r="AW36" s="550">
        <f t="shared" si="34"/>
        <v>10</v>
      </c>
      <c r="AX36" s="637"/>
      <c r="AZ36" s="402" t="e">
        <f t="shared" si="36"/>
        <v>#N/A</v>
      </c>
      <c r="BA36" s="637"/>
    </row>
    <row r="37" spans="2:53">
      <c r="B37" s="635"/>
      <c r="C37" s="415">
        <v>11</v>
      </c>
      <c r="D37" s="225" t="s">
        <v>812</v>
      </c>
      <c r="E37" s="420">
        <v>7</v>
      </c>
      <c r="F37" s="413">
        <v>1500</v>
      </c>
      <c r="G37" s="414">
        <v>214.28571428571428</v>
      </c>
      <c r="H37" s="672"/>
      <c r="I37" s="417">
        <f t="shared" si="19"/>
        <v>7</v>
      </c>
      <c r="J37" s="417">
        <f t="shared" si="20"/>
        <v>1454.6859481175354</v>
      </c>
      <c r="K37" s="199">
        <f t="shared" si="21"/>
        <v>207.81227830250504</v>
      </c>
      <c r="L37" s="609"/>
      <c r="M37" s="424">
        <f>RANK(K37, K$24:$K$41)</f>
        <v>3</v>
      </c>
      <c r="N37" s="627"/>
      <c r="O37" s="627"/>
      <c r="P37" s="550">
        <v>7</v>
      </c>
      <c r="Q37" s="420">
        <v>1450.8673469387761</v>
      </c>
      <c r="R37" s="420">
        <v>207.26676384839658</v>
      </c>
      <c r="S37" s="550">
        <f t="shared" si="22"/>
        <v>4</v>
      </c>
      <c r="T37" s="637"/>
      <c r="U37" s="550">
        <v>7</v>
      </c>
      <c r="V37" s="420">
        <v>1471.5254237288127</v>
      </c>
      <c r="W37" s="420">
        <v>210.21791767554467</v>
      </c>
      <c r="X37" s="550">
        <f t="shared" si="24"/>
        <v>2</v>
      </c>
      <c r="Y37" s="637"/>
      <c r="Z37" s="550">
        <v>7</v>
      </c>
      <c r="AA37" s="420">
        <v>1442.5000000000007</v>
      </c>
      <c r="AB37" s="420">
        <v>206.07142857142867</v>
      </c>
      <c r="AC37" s="550">
        <f t="shared" si="26"/>
        <v>3</v>
      </c>
      <c r="AD37" s="637"/>
      <c r="AE37" s="550">
        <v>7</v>
      </c>
      <c r="AF37" s="420">
        <v>1470.4117647058829</v>
      </c>
      <c r="AG37" s="420">
        <v>210.05882352941185</v>
      </c>
      <c r="AH37" s="550">
        <f t="shared" si="28"/>
        <v>2</v>
      </c>
      <c r="AI37" s="637"/>
      <c r="AJ37" s="550">
        <v>7</v>
      </c>
      <c r="AK37" s="420">
        <v>1449.4666666666665</v>
      </c>
      <c r="AL37" s="420">
        <v>207.06666666666663</v>
      </c>
      <c r="AM37" s="550">
        <f t="shared" si="30"/>
        <v>2</v>
      </c>
      <c r="AN37" s="637"/>
      <c r="AO37" s="550">
        <v>7</v>
      </c>
      <c r="AP37" s="420">
        <v>1437.1304347826087</v>
      </c>
      <c r="AQ37" s="420">
        <v>205.30434782608697</v>
      </c>
      <c r="AR37" s="550">
        <f t="shared" si="32"/>
        <v>4</v>
      </c>
      <c r="AS37" s="637"/>
      <c r="AT37" s="550">
        <v>7</v>
      </c>
      <c r="AU37" s="420">
        <v>1460.8999999999992</v>
      </c>
      <c r="AV37" s="420">
        <v>208.69999999999987</v>
      </c>
      <c r="AW37" s="550">
        <f t="shared" si="34"/>
        <v>1</v>
      </c>
      <c r="AX37" s="637"/>
      <c r="AZ37" s="402" t="e">
        <f t="shared" si="36"/>
        <v>#N/A</v>
      </c>
      <c r="BA37" s="637"/>
    </row>
    <row r="38" spans="2:53">
      <c r="B38" s="635"/>
      <c r="C38" s="415">
        <v>12</v>
      </c>
      <c r="D38" s="225"/>
      <c r="E38" s="420"/>
      <c r="F38" s="413"/>
      <c r="G38" s="414"/>
      <c r="H38" s="672"/>
      <c r="I38" s="417" t="str">
        <f t="shared" si="19"/>
        <v>-</v>
      </c>
      <c r="J38" s="417" t="str">
        <f t="shared" si="20"/>
        <v>-</v>
      </c>
      <c r="K38" s="199" t="str">
        <f t="shared" si="21"/>
        <v>-</v>
      </c>
      <c r="L38" s="609"/>
      <c r="M38" s="424" t="e">
        <f>RANK(K38, K$24:$K$41)</f>
        <v>#VALUE!</v>
      </c>
      <c r="N38" s="627"/>
      <c r="O38" s="627"/>
      <c r="P38" s="550" t="s">
        <v>623</v>
      </c>
      <c r="Q38" s="420" t="s">
        <v>623</v>
      </c>
      <c r="R38" s="420" t="s">
        <v>623</v>
      </c>
      <c r="S38" s="550" t="e">
        <f t="shared" si="22"/>
        <v>#VALUE!</v>
      </c>
      <c r="T38" s="637"/>
      <c r="U38" s="550" t="s">
        <v>623</v>
      </c>
      <c r="V38" s="420" t="s">
        <v>623</v>
      </c>
      <c r="W38" s="420" t="s">
        <v>623</v>
      </c>
      <c r="X38" s="550" t="e">
        <f t="shared" si="24"/>
        <v>#VALUE!</v>
      </c>
      <c r="Y38" s="637"/>
      <c r="Z38" s="550" t="s">
        <v>623</v>
      </c>
      <c r="AA38" s="420" t="s">
        <v>623</v>
      </c>
      <c r="AB38" s="420" t="s">
        <v>623</v>
      </c>
      <c r="AC38" s="550" t="e">
        <f t="shared" si="26"/>
        <v>#VALUE!</v>
      </c>
      <c r="AD38" s="637"/>
      <c r="AE38" s="550" t="s">
        <v>623</v>
      </c>
      <c r="AF38" s="420" t="s">
        <v>623</v>
      </c>
      <c r="AG38" s="420" t="s">
        <v>623</v>
      </c>
      <c r="AH38" s="550" t="e">
        <f t="shared" si="28"/>
        <v>#VALUE!</v>
      </c>
      <c r="AI38" s="637"/>
      <c r="AJ38" s="550" t="s">
        <v>623</v>
      </c>
      <c r="AK38" s="420" t="s">
        <v>623</v>
      </c>
      <c r="AL38" s="420" t="s">
        <v>623</v>
      </c>
      <c r="AM38" s="550" t="e">
        <f t="shared" si="30"/>
        <v>#VALUE!</v>
      </c>
      <c r="AN38" s="637"/>
      <c r="AO38" s="550" t="s">
        <v>623</v>
      </c>
      <c r="AP38" s="420" t="s">
        <v>623</v>
      </c>
      <c r="AQ38" s="420" t="s">
        <v>623</v>
      </c>
      <c r="AR38" s="550" t="e">
        <f t="shared" si="32"/>
        <v>#VALUE!</v>
      </c>
      <c r="AS38" s="637"/>
      <c r="AT38" s="550" t="s">
        <v>623</v>
      </c>
      <c r="AU38" s="420" t="s">
        <v>623</v>
      </c>
      <c r="AV38" s="420" t="s">
        <v>623</v>
      </c>
      <c r="AW38" s="550" t="e">
        <f t="shared" si="34"/>
        <v>#VALUE!</v>
      </c>
      <c r="AX38" s="637"/>
      <c r="AZ38" s="402" t="e">
        <f t="shared" si="36"/>
        <v>#N/A</v>
      </c>
      <c r="BA38" s="637"/>
    </row>
    <row r="39" spans="2:53">
      <c r="B39" s="635"/>
      <c r="C39" s="415">
        <v>13</v>
      </c>
      <c r="D39" s="225"/>
      <c r="E39" s="420"/>
      <c r="F39" s="413"/>
      <c r="G39" s="414"/>
      <c r="H39" s="672"/>
      <c r="I39" s="417" t="str">
        <f t="shared" si="19"/>
        <v>-</v>
      </c>
      <c r="J39" s="417" t="str">
        <f t="shared" si="20"/>
        <v>-</v>
      </c>
      <c r="K39" s="199" t="str">
        <f t="shared" si="21"/>
        <v>-</v>
      </c>
      <c r="L39" s="609"/>
      <c r="M39" s="424" t="e">
        <f>RANK(K39, K$24:$K$41)</f>
        <v>#VALUE!</v>
      </c>
      <c r="N39" s="627"/>
      <c r="O39" s="627"/>
      <c r="P39" s="550" t="s">
        <v>623</v>
      </c>
      <c r="Q39" s="420" t="s">
        <v>623</v>
      </c>
      <c r="R39" s="420" t="s">
        <v>623</v>
      </c>
      <c r="S39" s="550" t="e">
        <f t="shared" si="22"/>
        <v>#VALUE!</v>
      </c>
      <c r="T39" s="637"/>
      <c r="U39" s="550" t="s">
        <v>623</v>
      </c>
      <c r="V39" s="420" t="s">
        <v>623</v>
      </c>
      <c r="W39" s="420" t="s">
        <v>623</v>
      </c>
      <c r="X39" s="550" t="e">
        <f t="shared" si="24"/>
        <v>#VALUE!</v>
      </c>
      <c r="Y39" s="637"/>
      <c r="Z39" s="550" t="s">
        <v>623</v>
      </c>
      <c r="AA39" s="420" t="s">
        <v>623</v>
      </c>
      <c r="AB39" s="420" t="s">
        <v>623</v>
      </c>
      <c r="AC39" s="550" t="e">
        <f t="shared" si="26"/>
        <v>#VALUE!</v>
      </c>
      <c r="AD39" s="637"/>
      <c r="AE39" s="550" t="s">
        <v>623</v>
      </c>
      <c r="AF39" s="420" t="s">
        <v>623</v>
      </c>
      <c r="AG39" s="420" t="s">
        <v>623</v>
      </c>
      <c r="AH39" s="550" t="e">
        <f t="shared" si="28"/>
        <v>#VALUE!</v>
      </c>
      <c r="AI39" s="637"/>
      <c r="AJ39" s="550" t="s">
        <v>623</v>
      </c>
      <c r="AK39" s="420" t="s">
        <v>623</v>
      </c>
      <c r="AL39" s="420" t="s">
        <v>623</v>
      </c>
      <c r="AM39" s="550" t="e">
        <f t="shared" si="30"/>
        <v>#VALUE!</v>
      </c>
      <c r="AN39" s="637"/>
      <c r="AO39" s="550" t="s">
        <v>623</v>
      </c>
      <c r="AP39" s="420" t="s">
        <v>623</v>
      </c>
      <c r="AQ39" s="420" t="s">
        <v>623</v>
      </c>
      <c r="AR39" s="550" t="e">
        <f t="shared" si="32"/>
        <v>#VALUE!</v>
      </c>
      <c r="AS39" s="637"/>
      <c r="AT39" s="550" t="s">
        <v>623</v>
      </c>
      <c r="AU39" s="420" t="s">
        <v>623</v>
      </c>
      <c r="AV39" s="420" t="s">
        <v>623</v>
      </c>
      <c r="AW39" s="550" t="e">
        <f t="shared" si="34"/>
        <v>#VALUE!</v>
      </c>
      <c r="AX39" s="637"/>
      <c r="AZ39" s="402" t="e">
        <f t="shared" si="36"/>
        <v>#N/A</v>
      </c>
      <c r="BA39" s="637"/>
    </row>
    <row r="40" spans="2:53">
      <c r="B40" s="635"/>
      <c r="C40" s="415">
        <v>14</v>
      </c>
      <c r="D40" s="225"/>
      <c r="E40" s="420"/>
      <c r="F40" s="413"/>
      <c r="G40" s="414"/>
      <c r="H40" s="672"/>
      <c r="I40" s="417" t="str">
        <f t="shared" si="19"/>
        <v>-</v>
      </c>
      <c r="J40" s="417" t="str">
        <f t="shared" si="20"/>
        <v>-</v>
      </c>
      <c r="K40" s="199" t="str">
        <f t="shared" si="21"/>
        <v>-</v>
      </c>
      <c r="L40" s="609"/>
      <c r="M40" s="424" t="e">
        <f>RANK(K40, K$24:$K$41)</f>
        <v>#VALUE!</v>
      </c>
      <c r="N40" s="627"/>
      <c r="O40" s="627"/>
      <c r="P40" s="550" t="s">
        <v>623</v>
      </c>
      <c r="Q40" s="420" t="s">
        <v>623</v>
      </c>
      <c r="R40" s="420" t="s">
        <v>623</v>
      </c>
      <c r="S40" s="550" t="e">
        <f t="shared" si="22"/>
        <v>#VALUE!</v>
      </c>
      <c r="T40" s="637"/>
      <c r="U40" s="550" t="s">
        <v>623</v>
      </c>
      <c r="V40" s="420" t="s">
        <v>623</v>
      </c>
      <c r="W40" s="420" t="s">
        <v>623</v>
      </c>
      <c r="X40" s="550" t="e">
        <f t="shared" si="24"/>
        <v>#VALUE!</v>
      </c>
      <c r="Y40" s="637"/>
      <c r="Z40" s="550" t="s">
        <v>623</v>
      </c>
      <c r="AA40" s="420" t="s">
        <v>623</v>
      </c>
      <c r="AB40" s="420" t="s">
        <v>623</v>
      </c>
      <c r="AC40" s="550" t="e">
        <f t="shared" si="26"/>
        <v>#VALUE!</v>
      </c>
      <c r="AD40" s="637"/>
      <c r="AE40" s="550" t="s">
        <v>623</v>
      </c>
      <c r="AF40" s="420" t="s">
        <v>623</v>
      </c>
      <c r="AG40" s="420" t="s">
        <v>623</v>
      </c>
      <c r="AH40" s="550" t="e">
        <f t="shared" si="28"/>
        <v>#VALUE!</v>
      </c>
      <c r="AI40" s="637"/>
      <c r="AJ40" s="550" t="s">
        <v>623</v>
      </c>
      <c r="AK40" s="420" t="s">
        <v>623</v>
      </c>
      <c r="AL40" s="420" t="s">
        <v>623</v>
      </c>
      <c r="AM40" s="550" t="e">
        <f t="shared" si="30"/>
        <v>#VALUE!</v>
      </c>
      <c r="AN40" s="637"/>
      <c r="AO40" s="550" t="s">
        <v>623</v>
      </c>
      <c r="AP40" s="420" t="s">
        <v>623</v>
      </c>
      <c r="AQ40" s="420" t="s">
        <v>623</v>
      </c>
      <c r="AR40" s="550" t="e">
        <f t="shared" si="32"/>
        <v>#VALUE!</v>
      </c>
      <c r="AS40" s="637"/>
      <c r="AT40" s="550" t="s">
        <v>623</v>
      </c>
      <c r="AU40" s="420" t="s">
        <v>623</v>
      </c>
      <c r="AV40" s="420" t="s">
        <v>623</v>
      </c>
      <c r="AW40" s="550" t="e">
        <f t="shared" si="34"/>
        <v>#VALUE!</v>
      </c>
      <c r="AX40" s="637"/>
      <c r="AZ40" s="402" t="e">
        <f t="shared" si="36"/>
        <v>#N/A</v>
      </c>
      <c r="BA40" s="637"/>
    </row>
    <row r="41" spans="2:53">
      <c r="B41" s="635"/>
      <c r="C41" s="415">
        <v>15</v>
      </c>
      <c r="D41" s="225"/>
      <c r="E41" s="420"/>
      <c r="F41" s="413"/>
      <c r="G41" s="414"/>
      <c r="H41" s="676"/>
      <c r="I41" s="415"/>
      <c r="J41" s="415"/>
      <c r="K41" s="415"/>
      <c r="L41" s="610"/>
      <c r="M41" s="424" t="e">
        <f>RANK(K41, K$24:$K$41)</f>
        <v>#N/A</v>
      </c>
      <c r="N41" s="627"/>
      <c r="O41" s="627"/>
      <c r="P41" s="550" t="s">
        <v>623</v>
      </c>
      <c r="Q41" s="420" t="s">
        <v>623</v>
      </c>
      <c r="R41" s="420" t="s">
        <v>623</v>
      </c>
      <c r="S41" s="550" t="e">
        <f t="shared" si="22"/>
        <v>#VALUE!</v>
      </c>
      <c r="T41" s="638"/>
      <c r="U41" s="550" t="s">
        <v>623</v>
      </c>
      <c r="V41" s="420" t="s">
        <v>623</v>
      </c>
      <c r="W41" s="420" t="s">
        <v>623</v>
      </c>
      <c r="X41" s="550" t="e">
        <f t="shared" si="24"/>
        <v>#VALUE!</v>
      </c>
      <c r="Y41" s="638"/>
      <c r="Z41" s="550" t="s">
        <v>623</v>
      </c>
      <c r="AA41" s="420" t="s">
        <v>623</v>
      </c>
      <c r="AB41" s="420" t="s">
        <v>623</v>
      </c>
      <c r="AC41" s="550" t="e">
        <f t="shared" si="26"/>
        <v>#VALUE!</v>
      </c>
      <c r="AD41" s="638"/>
      <c r="AE41" s="550" t="s">
        <v>623</v>
      </c>
      <c r="AF41" s="420" t="s">
        <v>623</v>
      </c>
      <c r="AG41" s="420" t="s">
        <v>623</v>
      </c>
      <c r="AH41" s="550" t="e">
        <f t="shared" si="28"/>
        <v>#VALUE!</v>
      </c>
      <c r="AI41" s="638"/>
      <c r="AJ41" s="550" t="s">
        <v>623</v>
      </c>
      <c r="AK41" s="420" t="s">
        <v>623</v>
      </c>
      <c r="AL41" s="420" t="s">
        <v>623</v>
      </c>
      <c r="AM41" s="550" t="e">
        <f t="shared" si="30"/>
        <v>#VALUE!</v>
      </c>
      <c r="AN41" s="638"/>
      <c r="AO41" s="550" t="s">
        <v>623</v>
      </c>
      <c r="AP41" s="420" t="s">
        <v>623</v>
      </c>
      <c r="AQ41" s="420" t="s">
        <v>623</v>
      </c>
      <c r="AR41" s="550" t="e">
        <f t="shared" si="32"/>
        <v>#VALUE!</v>
      </c>
      <c r="AS41" s="638"/>
      <c r="AT41" s="550" t="s">
        <v>623</v>
      </c>
      <c r="AU41" s="420" t="s">
        <v>623</v>
      </c>
      <c r="AV41" s="420" t="s">
        <v>623</v>
      </c>
      <c r="AW41" s="550" t="e">
        <f t="shared" si="34"/>
        <v>#VALUE!</v>
      </c>
      <c r="AX41" s="638"/>
      <c r="AZ41" s="402" t="e">
        <f t="shared" si="36"/>
        <v>#N/A</v>
      </c>
      <c r="BA41" s="638"/>
    </row>
    <row r="42" spans="2:53" ht="15.75">
      <c r="B42" s="653" t="s">
        <v>163</v>
      </c>
      <c r="C42" s="654"/>
      <c r="D42" s="654"/>
      <c r="E42" s="654"/>
      <c r="F42" s="654"/>
      <c r="G42" s="654"/>
      <c r="H42" s="654"/>
      <c r="I42" s="207"/>
      <c r="J42" s="202"/>
      <c r="K42" s="207"/>
      <c r="L42" s="207"/>
      <c r="M42" s="203"/>
      <c r="N42" s="628" t="s">
        <v>156</v>
      </c>
      <c r="O42" s="628" t="s">
        <v>105</v>
      </c>
      <c r="P42" s="634">
        <f>P22+7</f>
        <v>46154</v>
      </c>
      <c r="Q42" s="635"/>
      <c r="R42" s="635"/>
      <c r="S42" s="635"/>
      <c r="T42" s="635"/>
      <c r="U42" s="631">
        <f>P42+1</f>
        <v>46155</v>
      </c>
      <c r="V42" s="632"/>
      <c r="W42" s="632"/>
      <c r="X42" s="632"/>
      <c r="Y42" s="633"/>
      <c r="Z42" s="631">
        <f>U42+1</f>
        <v>46156</v>
      </c>
      <c r="AA42" s="632"/>
      <c r="AB42" s="632"/>
      <c r="AC42" s="632"/>
      <c r="AD42" s="633"/>
      <c r="AE42" s="631">
        <f>Z42+1</f>
        <v>46157</v>
      </c>
      <c r="AF42" s="632"/>
      <c r="AG42" s="632"/>
      <c r="AH42" s="632"/>
      <c r="AI42" s="633"/>
      <c r="AJ42" s="631">
        <f>AE42+1</f>
        <v>46158</v>
      </c>
      <c r="AK42" s="632"/>
      <c r="AL42" s="632"/>
      <c r="AM42" s="632"/>
      <c r="AN42" s="633"/>
      <c r="AO42" s="631">
        <f>AJ42+1</f>
        <v>46159</v>
      </c>
      <c r="AP42" s="632"/>
      <c r="AQ42" s="632"/>
      <c r="AR42" s="632"/>
      <c r="AS42" s="633"/>
      <c r="AT42" s="631">
        <f>AO42+1</f>
        <v>46160</v>
      </c>
      <c r="AU42" s="632"/>
      <c r="AV42" s="632"/>
      <c r="AW42" s="632"/>
      <c r="AX42" s="633"/>
    </row>
    <row r="43" spans="2:53" ht="15.75">
      <c r="B43" s="642"/>
      <c r="C43" s="642"/>
      <c r="D43" s="642"/>
      <c r="E43" s="642"/>
      <c r="F43" s="642"/>
      <c r="G43" s="642"/>
      <c r="H43" s="642"/>
      <c r="I43" s="204"/>
      <c r="J43" s="204"/>
      <c r="K43" s="204"/>
      <c r="L43" s="204"/>
      <c r="M43" s="205"/>
      <c r="N43" s="630"/>
      <c r="O43" s="630"/>
      <c r="P43" s="634" t="s">
        <v>318</v>
      </c>
      <c r="Q43" s="635"/>
      <c r="R43" s="635"/>
      <c r="S43" s="635"/>
      <c r="T43" s="635"/>
      <c r="U43" s="634" t="s">
        <v>319</v>
      </c>
      <c r="V43" s="635"/>
      <c r="W43" s="635"/>
      <c r="X43" s="635"/>
      <c r="Y43" s="635"/>
      <c r="Z43" s="634" t="s">
        <v>320</v>
      </c>
      <c r="AA43" s="635"/>
      <c r="AB43" s="635"/>
      <c r="AC43" s="635"/>
      <c r="AD43" s="635"/>
      <c r="AE43" s="634" t="s">
        <v>321</v>
      </c>
      <c r="AF43" s="635"/>
      <c r="AG43" s="635"/>
      <c r="AH43" s="635"/>
      <c r="AI43" s="635"/>
      <c r="AJ43" s="634" t="s">
        <v>322</v>
      </c>
      <c r="AK43" s="635"/>
      <c r="AL43" s="635"/>
      <c r="AM43" s="635"/>
      <c r="AN43" s="635"/>
      <c r="AO43" s="634" t="s">
        <v>323</v>
      </c>
      <c r="AP43" s="635"/>
      <c r="AQ43" s="635"/>
      <c r="AR43" s="635"/>
      <c r="AS43" s="635"/>
      <c r="AT43" s="634" t="s">
        <v>324</v>
      </c>
      <c r="AU43" s="635"/>
      <c r="AV43" s="635"/>
      <c r="AW43" s="635"/>
      <c r="AX43" s="635"/>
    </row>
    <row r="44" spans="2:53">
      <c r="B44" s="627" t="s">
        <v>465</v>
      </c>
      <c r="C44" s="627" t="s">
        <v>551</v>
      </c>
      <c r="D44" s="627"/>
      <c r="E44" s="627" t="s">
        <v>552</v>
      </c>
      <c r="F44" s="627"/>
      <c r="G44" s="627"/>
      <c r="H44" s="643" t="s">
        <v>553</v>
      </c>
      <c r="I44" s="627" t="s">
        <v>554</v>
      </c>
      <c r="J44" s="627"/>
      <c r="K44" s="627"/>
      <c r="L44" s="643" t="s">
        <v>371</v>
      </c>
      <c r="M44" s="628" t="s">
        <v>555</v>
      </c>
      <c r="N44" s="627"/>
      <c r="O44" s="627" t="s">
        <v>377</v>
      </c>
      <c r="P44" s="624" t="s">
        <v>373</v>
      </c>
      <c r="Q44" s="625"/>
      <c r="R44" s="625"/>
      <c r="S44" s="626"/>
      <c r="T44" s="627" t="s">
        <v>371</v>
      </c>
      <c r="U44" s="624" t="s">
        <v>373</v>
      </c>
      <c r="V44" s="625"/>
      <c r="W44" s="625"/>
      <c r="X44" s="626"/>
      <c r="Y44" s="627" t="s">
        <v>371</v>
      </c>
      <c r="Z44" s="624" t="s">
        <v>373</v>
      </c>
      <c r="AA44" s="625"/>
      <c r="AB44" s="625"/>
      <c r="AC44" s="626"/>
      <c r="AD44" s="627" t="s">
        <v>371</v>
      </c>
      <c r="AE44" s="624" t="s">
        <v>373</v>
      </c>
      <c r="AF44" s="625"/>
      <c r="AG44" s="625"/>
      <c r="AH44" s="626"/>
      <c r="AI44" s="627" t="s">
        <v>371</v>
      </c>
      <c r="AJ44" s="624" t="s">
        <v>373</v>
      </c>
      <c r="AK44" s="625"/>
      <c r="AL44" s="625"/>
      <c r="AM44" s="626"/>
      <c r="AN44" s="627" t="s">
        <v>371</v>
      </c>
      <c r="AO44" s="624" t="s">
        <v>373</v>
      </c>
      <c r="AP44" s="625"/>
      <c r="AQ44" s="625"/>
      <c r="AR44" s="626"/>
      <c r="AS44" s="627" t="s">
        <v>371</v>
      </c>
      <c r="AT44" s="624" t="s">
        <v>373</v>
      </c>
      <c r="AU44" s="625"/>
      <c r="AV44" s="625"/>
      <c r="AW44" s="626"/>
      <c r="AX44" s="627" t="s">
        <v>371</v>
      </c>
      <c r="BA44" s="627" t="s">
        <v>371</v>
      </c>
    </row>
    <row r="45" spans="2:53">
      <c r="B45" s="627"/>
      <c r="C45" s="627"/>
      <c r="D45" s="627"/>
      <c r="E45" s="627" t="s">
        <v>557</v>
      </c>
      <c r="F45" s="627"/>
      <c r="G45" s="627"/>
      <c r="H45" s="644"/>
      <c r="I45" s="627" t="s">
        <v>557</v>
      </c>
      <c r="J45" s="627"/>
      <c r="K45" s="627"/>
      <c r="L45" s="644"/>
      <c r="M45" s="629"/>
      <c r="N45" s="627"/>
      <c r="O45" s="627"/>
      <c r="P45" s="624" t="s">
        <v>379</v>
      </c>
      <c r="Q45" s="625"/>
      <c r="R45" s="625"/>
      <c r="S45" s="626"/>
      <c r="T45" s="627"/>
      <c r="U45" s="624" t="s">
        <v>379</v>
      </c>
      <c r="V45" s="625"/>
      <c r="W45" s="625"/>
      <c r="X45" s="626"/>
      <c r="Y45" s="627"/>
      <c r="Z45" s="624" t="s">
        <v>379</v>
      </c>
      <c r="AA45" s="625"/>
      <c r="AB45" s="625"/>
      <c r="AC45" s="626"/>
      <c r="AD45" s="627"/>
      <c r="AE45" s="624" t="s">
        <v>379</v>
      </c>
      <c r="AF45" s="625"/>
      <c r="AG45" s="625"/>
      <c r="AH45" s="626"/>
      <c r="AI45" s="627"/>
      <c r="AJ45" s="624" t="s">
        <v>379</v>
      </c>
      <c r="AK45" s="625"/>
      <c r="AL45" s="625"/>
      <c r="AM45" s="626"/>
      <c r="AN45" s="627"/>
      <c r="AO45" s="624" t="s">
        <v>379</v>
      </c>
      <c r="AP45" s="625"/>
      <c r="AQ45" s="625"/>
      <c r="AR45" s="626"/>
      <c r="AS45" s="627"/>
      <c r="AT45" s="624" t="s">
        <v>379</v>
      </c>
      <c r="AU45" s="625"/>
      <c r="AV45" s="625"/>
      <c r="AW45" s="626"/>
      <c r="AX45" s="627"/>
      <c r="BA45" s="627"/>
    </row>
    <row r="46" spans="2:53">
      <c r="B46" s="627"/>
      <c r="C46" s="627"/>
      <c r="D46" s="627"/>
      <c r="E46" s="412" t="s">
        <v>558</v>
      </c>
      <c r="F46" s="412" t="s">
        <v>559</v>
      </c>
      <c r="G46" s="412" t="s">
        <v>560</v>
      </c>
      <c r="H46" s="645"/>
      <c r="I46" s="412" t="s">
        <v>558</v>
      </c>
      <c r="J46" s="412" t="s">
        <v>559</v>
      </c>
      <c r="K46" s="412" t="s">
        <v>560</v>
      </c>
      <c r="L46" s="645"/>
      <c r="M46" s="630"/>
      <c r="N46" s="627"/>
      <c r="O46" s="627"/>
      <c r="P46" s="412" t="s">
        <v>380</v>
      </c>
      <c r="Q46" s="412" t="s">
        <v>381</v>
      </c>
      <c r="R46" s="412" t="s">
        <v>382</v>
      </c>
      <c r="S46" s="412" t="s">
        <v>372</v>
      </c>
      <c r="T46" s="627"/>
      <c r="U46" s="412" t="s">
        <v>380</v>
      </c>
      <c r="V46" s="412" t="s">
        <v>381</v>
      </c>
      <c r="W46" s="412" t="s">
        <v>382</v>
      </c>
      <c r="X46" s="412" t="s">
        <v>372</v>
      </c>
      <c r="Y46" s="627"/>
      <c r="Z46" s="412" t="s">
        <v>380</v>
      </c>
      <c r="AA46" s="412" t="s">
        <v>381</v>
      </c>
      <c r="AB46" s="412" t="s">
        <v>382</v>
      </c>
      <c r="AC46" s="412" t="s">
        <v>372</v>
      </c>
      <c r="AD46" s="627"/>
      <c r="AE46" s="412" t="s">
        <v>380</v>
      </c>
      <c r="AF46" s="412" t="s">
        <v>381</v>
      </c>
      <c r="AG46" s="412" t="s">
        <v>382</v>
      </c>
      <c r="AH46" s="412" t="s">
        <v>372</v>
      </c>
      <c r="AI46" s="627"/>
      <c r="AJ46" s="412" t="s">
        <v>380</v>
      </c>
      <c r="AK46" s="412" t="s">
        <v>381</v>
      </c>
      <c r="AL46" s="412" t="s">
        <v>382</v>
      </c>
      <c r="AM46" s="412" t="s">
        <v>372</v>
      </c>
      <c r="AN46" s="627"/>
      <c r="AO46" s="412" t="s">
        <v>380</v>
      </c>
      <c r="AP46" s="412" t="s">
        <v>381</v>
      </c>
      <c r="AQ46" s="412" t="s">
        <v>382</v>
      </c>
      <c r="AR46" s="412" t="s">
        <v>372</v>
      </c>
      <c r="AS46" s="627"/>
      <c r="AT46" s="412" t="s">
        <v>380</v>
      </c>
      <c r="AU46" s="412" t="s">
        <v>381</v>
      </c>
      <c r="AV46" s="412" t="s">
        <v>382</v>
      </c>
      <c r="AW46" s="412" t="s">
        <v>372</v>
      </c>
      <c r="AX46" s="627"/>
      <c r="AZ46" s="401" t="s">
        <v>586</v>
      </c>
      <c r="BA46" s="627"/>
    </row>
    <row r="47" spans="2:53">
      <c r="B47" s="627" t="s">
        <v>481</v>
      </c>
      <c r="C47" s="415">
        <v>1</v>
      </c>
      <c r="D47" s="225"/>
      <c r="E47" s="420"/>
      <c r="F47" s="500"/>
      <c r="G47" s="501"/>
      <c r="H47" s="671" t="e">
        <f>AVERAGE(G47:G61)</f>
        <v>#DIV/0!</v>
      </c>
      <c r="I47" s="417" t="str">
        <f t="shared" ref="I47:I60" si="38">IFERROR(AVERAGE(P47,U47,Z47,AE47,AJ47,AO47,AT47),"-")</f>
        <v>-</v>
      </c>
      <c r="J47" s="417" t="str">
        <f t="shared" ref="J47:J60" si="39">IFERROR(AVERAGE(Q47,V47,AA47,AF47,AK47,AP47,AU47),"-")</f>
        <v>-</v>
      </c>
      <c r="K47" s="199" t="str">
        <f t="shared" ref="K47:K60" si="40">IFERROR(AVERAGE(R47,W47,AB47,AG47,AL47,AQ47,AV47),"-")</f>
        <v>-</v>
      </c>
      <c r="L47" s="608" t="str">
        <f>IFERROR(AVERAGE(K47:K61),"-")</f>
        <v>-</v>
      </c>
      <c r="M47" s="421" t="e">
        <f>RANK(K47, K$47:$K$61)</f>
        <v>#VALUE!</v>
      </c>
      <c r="N47" s="627"/>
      <c r="O47" s="627"/>
      <c r="P47" s="483"/>
      <c r="Q47" s="420"/>
      <c r="R47" s="420"/>
      <c r="S47" s="483"/>
      <c r="T47" s="636"/>
      <c r="U47" s="483"/>
      <c r="V47" s="420"/>
      <c r="W47" s="420"/>
      <c r="X47" s="483"/>
      <c r="Y47" s="636"/>
      <c r="Z47" s="483"/>
      <c r="AA47" s="420"/>
      <c r="AB47" s="420"/>
      <c r="AC47" s="483"/>
      <c r="AD47" s="636"/>
      <c r="AE47" s="483"/>
      <c r="AF47" s="420"/>
      <c r="AG47" s="420"/>
      <c r="AH47" s="483"/>
      <c r="AI47" s="636"/>
      <c r="AJ47" s="483"/>
      <c r="AK47" s="420"/>
      <c r="AL47" s="420"/>
      <c r="AM47" s="483"/>
      <c r="AN47" s="636"/>
      <c r="AO47" s="483"/>
      <c r="AP47" s="420"/>
      <c r="AQ47" s="420"/>
      <c r="AR47" s="483"/>
      <c r="AS47" s="636"/>
      <c r="AT47" s="483"/>
      <c r="AU47" s="420"/>
      <c r="AV47" s="420"/>
      <c r="AW47" s="483"/>
      <c r="AX47" s="636"/>
      <c r="AZ47" s="402" t="e">
        <f t="shared" ref="AZ47:AZ61" si="41">RANK(AY47, AY$47:AY$61)</f>
        <v>#N/A</v>
      </c>
      <c r="BA47" s="636" t="e">
        <f t="shared" ref="BA47" si="42">AVERAGE(AY47:AY61)</f>
        <v>#DIV/0!</v>
      </c>
    </row>
    <row r="48" spans="2:53">
      <c r="B48" s="635"/>
      <c r="C48" s="415">
        <v>2</v>
      </c>
      <c r="D48" s="225"/>
      <c r="E48" s="420"/>
      <c r="F48" s="500"/>
      <c r="G48" s="501"/>
      <c r="H48" s="672"/>
      <c r="I48" s="417" t="str">
        <f t="shared" si="38"/>
        <v>-</v>
      </c>
      <c r="J48" s="417" t="str">
        <f t="shared" si="39"/>
        <v>-</v>
      </c>
      <c r="K48" s="199" t="str">
        <f t="shared" si="40"/>
        <v>-</v>
      </c>
      <c r="L48" s="609"/>
      <c r="M48" s="486" t="e">
        <f>RANK(K48, K$47:$K$61)</f>
        <v>#VALUE!</v>
      </c>
      <c r="N48" s="627"/>
      <c r="O48" s="627"/>
      <c r="P48" s="483"/>
      <c r="Q48" s="420"/>
      <c r="R48" s="420"/>
      <c r="S48" s="483"/>
      <c r="T48" s="637"/>
      <c r="U48" s="483"/>
      <c r="V48" s="420"/>
      <c r="W48" s="420"/>
      <c r="X48" s="483"/>
      <c r="Y48" s="637"/>
      <c r="Z48" s="483"/>
      <c r="AA48" s="420"/>
      <c r="AB48" s="420"/>
      <c r="AC48" s="483"/>
      <c r="AD48" s="637"/>
      <c r="AE48" s="483"/>
      <c r="AF48" s="420"/>
      <c r="AG48" s="420"/>
      <c r="AH48" s="483"/>
      <c r="AI48" s="637"/>
      <c r="AJ48" s="483"/>
      <c r="AK48" s="420"/>
      <c r="AL48" s="420"/>
      <c r="AM48" s="483"/>
      <c r="AN48" s="637"/>
      <c r="AO48" s="483"/>
      <c r="AP48" s="420"/>
      <c r="AQ48" s="420"/>
      <c r="AR48" s="483"/>
      <c r="AS48" s="637"/>
      <c r="AT48" s="483"/>
      <c r="AU48" s="420"/>
      <c r="AV48" s="420"/>
      <c r="AW48" s="483"/>
      <c r="AX48" s="637"/>
      <c r="AZ48" s="402" t="e">
        <f t="shared" si="41"/>
        <v>#N/A</v>
      </c>
      <c r="BA48" s="637"/>
    </row>
    <row r="49" spans="2:53">
      <c r="B49" s="635"/>
      <c r="C49" s="415">
        <v>3</v>
      </c>
      <c r="D49" s="225"/>
      <c r="E49" s="420"/>
      <c r="F49" s="500"/>
      <c r="G49" s="501"/>
      <c r="H49" s="672"/>
      <c r="I49" s="417" t="str">
        <f t="shared" si="38"/>
        <v>-</v>
      </c>
      <c r="J49" s="417" t="str">
        <f t="shared" si="39"/>
        <v>-</v>
      </c>
      <c r="K49" s="199" t="str">
        <f t="shared" si="40"/>
        <v>-</v>
      </c>
      <c r="L49" s="609"/>
      <c r="M49" s="486" t="e">
        <f>RANK(K49, K$47:$K$61)</f>
        <v>#VALUE!</v>
      </c>
      <c r="N49" s="627"/>
      <c r="O49" s="627"/>
      <c r="P49" s="483"/>
      <c r="Q49" s="420"/>
      <c r="R49" s="420"/>
      <c r="S49" s="483"/>
      <c r="T49" s="637"/>
      <c r="U49" s="483"/>
      <c r="V49" s="420"/>
      <c r="W49" s="420"/>
      <c r="X49" s="483"/>
      <c r="Y49" s="637"/>
      <c r="Z49" s="483"/>
      <c r="AA49" s="420"/>
      <c r="AB49" s="420"/>
      <c r="AC49" s="483"/>
      <c r="AD49" s="637"/>
      <c r="AE49" s="483"/>
      <c r="AF49" s="420"/>
      <c r="AG49" s="420"/>
      <c r="AH49" s="483"/>
      <c r="AI49" s="637"/>
      <c r="AJ49" s="483"/>
      <c r="AK49" s="420"/>
      <c r="AL49" s="420"/>
      <c r="AM49" s="483"/>
      <c r="AN49" s="637"/>
      <c r="AO49" s="483"/>
      <c r="AP49" s="420"/>
      <c r="AQ49" s="420"/>
      <c r="AR49" s="483"/>
      <c r="AS49" s="637"/>
      <c r="AT49" s="483"/>
      <c r="AU49" s="420"/>
      <c r="AV49" s="420"/>
      <c r="AW49" s="483"/>
      <c r="AX49" s="637"/>
      <c r="AZ49" s="402" t="e">
        <f t="shared" si="41"/>
        <v>#N/A</v>
      </c>
      <c r="BA49" s="637"/>
    </row>
    <row r="50" spans="2:53">
      <c r="B50" s="635"/>
      <c r="C50" s="415">
        <v>4</v>
      </c>
      <c r="D50" s="225"/>
      <c r="E50" s="420"/>
      <c r="F50" s="500"/>
      <c r="G50" s="501"/>
      <c r="H50" s="672"/>
      <c r="I50" s="417" t="str">
        <f t="shared" si="38"/>
        <v>-</v>
      </c>
      <c r="J50" s="417" t="str">
        <f t="shared" si="39"/>
        <v>-</v>
      </c>
      <c r="K50" s="199" t="str">
        <f t="shared" si="40"/>
        <v>-</v>
      </c>
      <c r="L50" s="609"/>
      <c r="M50" s="486" t="e">
        <f>RANK(K50, K$47:$K$61)</f>
        <v>#VALUE!</v>
      </c>
      <c r="N50" s="627"/>
      <c r="O50" s="627"/>
      <c r="P50" s="483"/>
      <c r="Q50" s="420"/>
      <c r="R50" s="420"/>
      <c r="S50" s="483"/>
      <c r="T50" s="637"/>
      <c r="U50" s="483"/>
      <c r="V50" s="420"/>
      <c r="W50" s="420"/>
      <c r="X50" s="483"/>
      <c r="Y50" s="637"/>
      <c r="Z50" s="483"/>
      <c r="AA50" s="420"/>
      <c r="AB50" s="420"/>
      <c r="AC50" s="483"/>
      <c r="AD50" s="637"/>
      <c r="AE50" s="483"/>
      <c r="AF50" s="420"/>
      <c r="AG50" s="420"/>
      <c r="AH50" s="483"/>
      <c r="AI50" s="637"/>
      <c r="AJ50" s="483"/>
      <c r="AK50" s="420"/>
      <c r="AL50" s="420"/>
      <c r="AM50" s="483"/>
      <c r="AN50" s="637"/>
      <c r="AO50" s="483"/>
      <c r="AP50" s="420"/>
      <c r="AQ50" s="420"/>
      <c r="AR50" s="483"/>
      <c r="AS50" s="637"/>
      <c r="AT50" s="483"/>
      <c r="AU50" s="420"/>
      <c r="AV50" s="420"/>
      <c r="AW50" s="483"/>
      <c r="AX50" s="637"/>
      <c r="AZ50" s="402" t="e">
        <f t="shared" si="41"/>
        <v>#N/A</v>
      </c>
      <c r="BA50" s="637"/>
    </row>
    <row r="51" spans="2:53">
      <c r="B51" s="635"/>
      <c r="C51" s="415">
        <v>5</v>
      </c>
      <c r="D51" s="225"/>
      <c r="E51" s="420"/>
      <c r="F51" s="500"/>
      <c r="G51" s="501"/>
      <c r="H51" s="672"/>
      <c r="I51" s="417" t="str">
        <f t="shared" si="38"/>
        <v>-</v>
      </c>
      <c r="J51" s="417" t="str">
        <f t="shared" si="39"/>
        <v>-</v>
      </c>
      <c r="K51" s="199" t="str">
        <f t="shared" si="40"/>
        <v>-</v>
      </c>
      <c r="L51" s="609"/>
      <c r="M51" s="486" t="e">
        <f>RANK(K51, K$47:$K$61)</f>
        <v>#VALUE!</v>
      </c>
      <c r="N51" s="627"/>
      <c r="O51" s="627"/>
      <c r="P51" s="483"/>
      <c r="Q51" s="420"/>
      <c r="R51" s="420"/>
      <c r="S51" s="483"/>
      <c r="T51" s="637"/>
      <c r="U51" s="483"/>
      <c r="V51" s="420"/>
      <c r="W51" s="420"/>
      <c r="X51" s="483"/>
      <c r="Y51" s="637"/>
      <c r="Z51" s="483"/>
      <c r="AA51" s="420"/>
      <c r="AB51" s="420"/>
      <c r="AC51" s="483"/>
      <c r="AD51" s="637"/>
      <c r="AE51" s="483"/>
      <c r="AF51" s="420"/>
      <c r="AG51" s="420"/>
      <c r="AH51" s="483"/>
      <c r="AI51" s="637"/>
      <c r="AJ51" s="483"/>
      <c r="AK51" s="420"/>
      <c r="AL51" s="420"/>
      <c r="AM51" s="483"/>
      <c r="AN51" s="637"/>
      <c r="AO51" s="483"/>
      <c r="AP51" s="420"/>
      <c r="AQ51" s="420"/>
      <c r="AR51" s="483"/>
      <c r="AS51" s="637"/>
      <c r="AT51" s="483"/>
      <c r="AU51" s="420"/>
      <c r="AV51" s="420"/>
      <c r="AW51" s="483"/>
      <c r="AX51" s="637"/>
      <c r="AZ51" s="402" t="e">
        <f t="shared" si="41"/>
        <v>#N/A</v>
      </c>
      <c r="BA51" s="637"/>
    </row>
    <row r="52" spans="2:53">
      <c r="B52" s="635"/>
      <c r="C52" s="415">
        <v>6</v>
      </c>
      <c r="D52" s="225"/>
      <c r="E52" s="420"/>
      <c r="F52" s="500"/>
      <c r="G52" s="501"/>
      <c r="H52" s="672"/>
      <c r="I52" s="417" t="str">
        <f t="shared" si="38"/>
        <v>-</v>
      </c>
      <c r="J52" s="417" t="str">
        <f t="shared" si="39"/>
        <v>-</v>
      </c>
      <c r="K52" s="199" t="str">
        <f t="shared" si="40"/>
        <v>-</v>
      </c>
      <c r="L52" s="609"/>
      <c r="M52" s="486" t="e">
        <f>RANK(K52, K$47:$K$61)</f>
        <v>#VALUE!</v>
      </c>
      <c r="N52" s="627"/>
      <c r="O52" s="627"/>
      <c r="P52" s="483"/>
      <c r="Q52" s="420"/>
      <c r="R52" s="420"/>
      <c r="S52" s="483"/>
      <c r="T52" s="637"/>
      <c r="U52" s="483"/>
      <c r="V52" s="420"/>
      <c r="W52" s="420"/>
      <c r="X52" s="483"/>
      <c r="Y52" s="637"/>
      <c r="Z52" s="483"/>
      <c r="AA52" s="420"/>
      <c r="AB52" s="420"/>
      <c r="AC52" s="483"/>
      <c r="AD52" s="637"/>
      <c r="AE52" s="483"/>
      <c r="AF52" s="420"/>
      <c r="AG52" s="420"/>
      <c r="AH52" s="483"/>
      <c r="AI52" s="637"/>
      <c r="AJ52" s="483"/>
      <c r="AK52" s="420"/>
      <c r="AL52" s="420"/>
      <c r="AM52" s="483"/>
      <c r="AN52" s="637"/>
      <c r="AO52" s="483"/>
      <c r="AP52" s="420"/>
      <c r="AQ52" s="420"/>
      <c r="AR52" s="483"/>
      <c r="AS52" s="637"/>
      <c r="AT52" s="483"/>
      <c r="AU52" s="420"/>
      <c r="AV52" s="420"/>
      <c r="AW52" s="483"/>
      <c r="AX52" s="637"/>
      <c r="AZ52" s="402" t="e">
        <f t="shared" si="41"/>
        <v>#N/A</v>
      </c>
      <c r="BA52" s="637"/>
    </row>
    <row r="53" spans="2:53">
      <c r="B53" s="635"/>
      <c r="C53" s="415">
        <v>7</v>
      </c>
      <c r="D53" s="225"/>
      <c r="E53" s="420"/>
      <c r="F53" s="500"/>
      <c r="G53" s="501"/>
      <c r="H53" s="672"/>
      <c r="I53" s="417" t="str">
        <f t="shared" si="38"/>
        <v>-</v>
      </c>
      <c r="J53" s="417" t="str">
        <f t="shared" si="39"/>
        <v>-</v>
      </c>
      <c r="K53" s="199" t="str">
        <f t="shared" si="40"/>
        <v>-</v>
      </c>
      <c r="L53" s="609"/>
      <c r="M53" s="486" t="e">
        <f>RANK(K53, K$47:$K$61)</f>
        <v>#VALUE!</v>
      </c>
      <c r="N53" s="627"/>
      <c r="O53" s="627"/>
      <c r="P53" s="483"/>
      <c r="Q53" s="420"/>
      <c r="R53" s="420"/>
      <c r="S53" s="483"/>
      <c r="T53" s="637"/>
      <c r="U53" s="483"/>
      <c r="V53" s="420"/>
      <c r="W53" s="420"/>
      <c r="X53" s="483"/>
      <c r="Y53" s="637"/>
      <c r="Z53" s="483"/>
      <c r="AA53" s="420"/>
      <c r="AB53" s="420"/>
      <c r="AC53" s="483"/>
      <c r="AD53" s="637"/>
      <c r="AE53" s="483"/>
      <c r="AF53" s="420"/>
      <c r="AG53" s="420"/>
      <c r="AH53" s="483"/>
      <c r="AI53" s="637"/>
      <c r="AJ53" s="483"/>
      <c r="AK53" s="420"/>
      <c r="AL53" s="420"/>
      <c r="AM53" s="483"/>
      <c r="AN53" s="637"/>
      <c r="AO53" s="483"/>
      <c r="AP53" s="420"/>
      <c r="AQ53" s="420"/>
      <c r="AR53" s="483"/>
      <c r="AS53" s="637"/>
      <c r="AT53" s="483"/>
      <c r="AU53" s="420"/>
      <c r="AV53" s="420"/>
      <c r="AW53" s="483"/>
      <c r="AX53" s="637"/>
      <c r="AZ53" s="402" t="e">
        <f t="shared" si="41"/>
        <v>#N/A</v>
      </c>
      <c r="BA53" s="637"/>
    </row>
    <row r="54" spans="2:53">
      <c r="B54" s="635"/>
      <c r="C54" s="415">
        <v>8</v>
      </c>
      <c r="D54" s="225"/>
      <c r="E54" s="420"/>
      <c r="F54" s="500"/>
      <c r="G54" s="501"/>
      <c r="H54" s="672"/>
      <c r="I54" s="417" t="str">
        <f t="shared" si="38"/>
        <v>-</v>
      </c>
      <c r="J54" s="417" t="str">
        <f t="shared" si="39"/>
        <v>-</v>
      </c>
      <c r="K54" s="199" t="str">
        <f t="shared" si="40"/>
        <v>-</v>
      </c>
      <c r="L54" s="609"/>
      <c r="M54" s="486" t="e">
        <f>RANK(K54, K$47:$K$61)</f>
        <v>#VALUE!</v>
      </c>
      <c r="N54" s="627"/>
      <c r="O54" s="627"/>
      <c r="P54" s="483"/>
      <c r="Q54" s="420"/>
      <c r="R54" s="420"/>
      <c r="S54" s="483"/>
      <c r="T54" s="637"/>
      <c r="U54" s="483"/>
      <c r="V54" s="420"/>
      <c r="W54" s="420"/>
      <c r="X54" s="483"/>
      <c r="Y54" s="637"/>
      <c r="Z54" s="483"/>
      <c r="AA54" s="420"/>
      <c r="AB54" s="420"/>
      <c r="AC54" s="483"/>
      <c r="AD54" s="637"/>
      <c r="AE54" s="483"/>
      <c r="AF54" s="420"/>
      <c r="AG54" s="420"/>
      <c r="AH54" s="483"/>
      <c r="AI54" s="637"/>
      <c r="AJ54" s="483"/>
      <c r="AK54" s="420"/>
      <c r="AL54" s="420"/>
      <c r="AM54" s="483"/>
      <c r="AN54" s="637"/>
      <c r="AO54" s="483"/>
      <c r="AP54" s="420"/>
      <c r="AQ54" s="420"/>
      <c r="AR54" s="483"/>
      <c r="AS54" s="637"/>
      <c r="AT54" s="483"/>
      <c r="AU54" s="420"/>
      <c r="AV54" s="420"/>
      <c r="AW54" s="483"/>
      <c r="AX54" s="637"/>
      <c r="AZ54" s="402" t="e">
        <f t="shared" si="41"/>
        <v>#N/A</v>
      </c>
      <c r="BA54" s="637"/>
    </row>
    <row r="55" spans="2:53">
      <c r="B55" s="635"/>
      <c r="C55" s="415">
        <v>9</v>
      </c>
      <c r="D55" s="225"/>
      <c r="E55" s="420"/>
      <c r="F55" s="500"/>
      <c r="G55" s="501"/>
      <c r="H55" s="672"/>
      <c r="I55" s="417" t="str">
        <f t="shared" si="38"/>
        <v>-</v>
      </c>
      <c r="J55" s="417" t="str">
        <f t="shared" si="39"/>
        <v>-</v>
      </c>
      <c r="K55" s="199" t="str">
        <f t="shared" si="40"/>
        <v>-</v>
      </c>
      <c r="L55" s="609"/>
      <c r="M55" s="486" t="e">
        <f>RANK(K55, K$47:$K$61)</f>
        <v>#VALUE!</v>
      </c>
      <c r="N55" s="627"/>
      <c r="O55" s="627"/>
      <c r="P55" s="483"/>
      <c r="Q55" s="420"/>
      <c r="R55" s="420"/>
      <c r="S55" s="483"/>
      <c r="T55" s="637"/>
      <c r="U55" s="483"/>
      <c r="V55" s="420"/>
      <c r="W55" s="420"/>
      <c r="X55" s="483"/>
      <c r="Y55" s="637"/>
      <c r="Z55" s="483"/>
      <c r="AA55" s="420"/>
      <c r="AB55" s="420"/>
      <c r="AC55" s="483"/>
      <c r="AD55" s="637"/>
      <c r="AE55" s="483"/>
      <c r="AF55" s="420"/>
      <c r="AG55" s="420"/>
      <c r="AH55" s="483"/>
      <c r="AI55" s="637"/>
      <c r="AJ55" s="483"/>
      <c r="AK55" s="420"/>
      <c r="AL55" s="420"/>
      <c r="AM55" s="483"/>
      <c r="AN55" s="637"/>
      <c r="AO55" s="483"/>
      <c r="AP55" s="420"/>
      <c r="AQ55" s="420"/>
      <c r="AR55" s="483"/>
      <c r="AS55" s="637"/>
      <c r="AT55" s="483"/>
      <c r="AU55" s="420"/>
      <c r="AV55" s="420"/>
      <c r="AW55" s="483"/>
      <c r="AX55" s="637"/>
      <c r="AZ55" s="483" t="e">
        <f t="shared" si="41"/>
        <v>#N/A</v>
      </c>
      <c r="BA55" s="637"/>
    </row>
    <row r="56" spans="2:53">
      <c r="B56" s="635"/>
      <c r="C56" s="415">
        <v>10</v>
      </c>
      <c r="D56" s="225"/>
      <c r="E56" s="420"/>
      <c r="F56" s="500"/>
      <c r="G56" s="501"/>
      <c r="H56" s="672"/>
      <c r="I56" s="417" t="str">
        <f t="shared" si="38"/>
        <v>-</v>
      </c>
      <c r="J56" s="417" t="str">
        <f t="shared" si="39"/>
        <v>-</v>
      </c>
      <c r="K56" s="199" t="str">
        <f t="shared" si="40"/>
        <v>-</v>
      </c>
      <c r="L56" s="609"/>
      <c r="M56" s="486" t="e">
        <f>RANK(K56, K$47:$K$61)</f>
        <v>#VALUE!</v>
      </c>
      <c r="N56" s="627"/>
      <c r="O56" s="627"/>
      <c r="P56" s="483"/>
      <c r="Q56" s="420"/>
      <c r="R56" s="420"/>
      <c r="S56" s="483"/>
      <c r="T56" s="637"/>
      <c r="U56" s="483"/>
      <c r="V56" s="420"/>
      <c r="W56" s="420"/>
      <c r="X56" s="483"/>
      <c r="Y56" s="637"/>
      <c r="Z56" s="483"/>
      <c r="AA56" s="420"/>
      <c r="AB56" s="420"/>
      <c r="AC56" s="483"/>
      <c r="AD56" s="637"/>
      <c r="AE56" s="483"/>
      <c r="AF56" s="420"/>
      <c r="AG56" s="420"/>
      <c r="AH56" s="483"/>
      <c r="AI56" s="637"/>
      <c r="AJ56" s="483"/>
      <c r="AK56" s="420"/>
      <c r="AL56" s="420"/>
      <c r="AM56" s="483"/>
      <c r="AN56" s="637"/>
      <c r="AO56" s="483"/>
      <c r="AP56" s="420"/>
      <c r="AQ56" s="420"/>
      <c r="AR56" s="483"/>
      <c r="AS56" s="637"/>
      <c r="AT56" s="483"/>
      <c r="AU56" s="420"/>
      <c r="AV56" s="420"/>
      <c r="AW56" s="483"/>
      <c r="AX56" s="637"/>
      <c r="AZ56" s="483" t="e">
        <f t="shared" si="41"/>
        <v>#N/A</v>
      </c>
      <c r="BA56" s="637"/>
    </row>
    <row r="57" spans="2:53">
      <c r="B57" s="635"/>
      <c r="C57" s="415">
        <v>11</v>
      </c>
      <c r="D57" s="225"/>
      <c r="E57" s="420"/>
      <c r="F57" s="500"/>
      <c r="G57" s="501"/>
      <c r="H57" s="672"/>
      <c r="I57" s="417" t="str">
        <f t="shared" si="38"/>
        <v>-</v>
      </c>
      <c r="J57" s="417" t="str">
        <f t="shared" si="39"/>
        <v>-</v>
      </c>
      <c r="K57" s="199" t="str">
        <f t="shared" si="40"/>
        <v>-</v>
      </c>
      <c r="L57" s="609"/>
      <c r="M57" s="486" t="e">
        <f>RANK(K57, K$47:$K$61)</f>
        <v>#VALUE!</v>
      </c>
      <c r="N57" s="627"/>
      <c r="O57" s="627"/>
      <c r="P57" s="483"/>
      <c r="Q57" s="420"/>
      <c r="R57" s="420"/>
      <c r="S57" s="483"/>
      <c r="T57" s="637"/>
      <c r="U57" s="483"/>
      <c r="V57" s="420"/>
      <c r="W57" s="420"/>
      <c r="X57" s="483"/>
      <c r="Y57" s="637"/>
      <c r="Z57" s="483"/>
      <c r="AA57" s="420"/>
      <c r="AB57" s="420"/>
      <c r="AC57" s="483"/>
      <c r="AD57" s="637"/>
      <c r="AE57" s="483"/>
      <c r="AF57" s="420"/>
      <c r="AG57" s="420"/>
      <c r="AH57" s="483"/>
      <c r="AI57" s="637"/>
      <c r="AJ57" s="483"/>
      <c r="AK57" s="420"/>
      <c r="AL57" s="420"/>
      <c r="AM57" s="483"/>
      <c r="AN57" s="637"/>
      <c r="AO57" s="483"/>
      <c r="AP57" s="420"/>
      <c r="AQ57" s="420"/>
      <c r="AR57" s="483"/>
      <c r="AS57" s="637"/>
      <c r="AT57" s="483"/>
      <c r="AU57" s="420"/>
      <c r="AV57" s="420"/>
      <c r="AW57" s="483"/>
      <c r="AX57" s="637"/>
      <c r="AZ57" s="483" t="e">
        <f t="shared" si="41"/>
        <v>#N/A</v>
      </c>
      <c r="BA57" s="637"/>
    </row>
    <row r="58" spans="2:53">
      <c r="B58" s="635"/>
      <c r="C58" s="415">
        <v>12</v>
      </c>
      <c r="D58" s="225"/>
      <c r="E58" s="420"/>
      <c r="F58" s="500"/>
      <c r="G58" s="501"/>
      <c r="H58" s="672"/>
      <c r="I58" s="417" t="str">
        <f t="shared" si="38"/>
        <v>-</v>
      </c>
      <c r="J58" s="417" t="str">
        <f t="shared" si="39"/>
        <v>-</v>
      </c>
      <c r="K58" s="199" t="str">
        <f t="shared" si="40"/>
        <v>-</v>
      </c>
      <c r="L58" s="609"/>
      <c r="M58" s="486" t="e">
        <f>RANK(K58, K$47:$K$61)</f>
        <v>#VALUE!</v>
      </c>
      <c r="N58" s="627"/>
      <c r="O58" s="627"/>
      <c r="P58" s="483"/>
      <c r="Q58" s="420"/>
      <c r="R58" s="420"/>
      <c r="S58" s="483"/>
      <c r="T58" s="637"/>
      <c r="U58" s="483"/>
      <c r="V58" s="420"/>
      <c r="W58" s="420"/>
      <c r="X58" s="483"/>
      <c r="Y58" s="637"/>
      <c r="Z58" s="483"/>
      <c r="AA58" s="420"/>
      <c r="AB58" s="420"/>
      <c r="AC58" s="483"/>
      <c r="AD58" s="637"/>
      <c r="AE58" s="483"/>
      <c r="AF58" s="420"/>
      <c r="AG58" s="420"/>
      <c r="AH58" s="483"/>
      <c r="AI58" s="637"/>
      <c r="AJ58" s="483"/>
      <c r="AK58" s="420"/>
      <c r="AL58" s="420"/>
      <c r="AM58" s="483"/>
      <c r="AN58" s="637"/>
      <c r="AO58" s="483"/>
      <c r="AP58" s="420"/>
      <c r="AQ58" s="420"/>
      <c r="AR58" s="483"/>
      <c r="AS58" s="637"/>
      <c r="AT58" s="483"/>
      <c r="AU58" s="420"/>
      <c r="AV58" s="420"/>
      <c r="AW58" s="483"/>
      <c r="AX58" s="637"/>
      <c r="AZ58" s="483" t="e">
        <f t="shared" si="41"/>
        <v>#N/A</v>
      </c>
      <c r="BA58" s="637"/>
    </row>
    <row r="59" spans="2:53">
      <c r="B59" s="635"/>
      <c r="C59" s="415">
        <v>13</v>
      </c>
      <c r="D59" s="225"/>
      <c r="E59" s="420"/>
      <c r="F59" s="500"/>
      <c r="G59" s="501"/>
      <c r="H59" s="672"/>
      <c r="I59" s="417" t="str">
        <f t="shared" si="38"/>
        <v>-</v>
      </c>
      <c r="J59" s="417" t="str">
        <f t="shared" si="39"/>
        <v>-</v>
      </c>
      <c r="K59" s="199" t="str">
        <f t="shared" si="40"/>
        <v>-</v>
      </c>
      <c r="L59" s="609"/>
      <c r="M59" s="486" t="e">
        <f>RANK(K59, K$47:$K$61)</f>
        <v>#VALUE!</v>
      </c>
      <c r="N59" s="627"/>
      <c r="O59" s="627"/>
      <c r="P59" s="483"/>
      <c r="Q59" s="420"/>
      <c r="R59" s="420"/>
      <c r="S59" s="483"/>
      <c r="T59" s="637"/>
      <c r="U59" s="483"/>
      <c r="V59" s="420"/>
      <c r="W59" s="420"/>
      <c r="X59" s="483"/>
      <c r="Y59" s="637"/>
      <c r="Z59" s="483"/>
      <c r="AA59" s="420"/>
      <c r="AB59" s="420"/>
      <c r="AC59" s="483"/>
      <c r="AD59" s="637"/>
      <c r="AE59" s="483"/>
      <c r="AF59" s="420"/>
      <c r="AG59" s="420"/>
      <c r="AH59" s="483"/>
      <c r="AI59" s="637"/>
      <c r="AJ59" s="483"/>
      <c r="AK59" s="420"/>
      <c r="AL59" s="420"/>
      <c r="AM59" s="483"/>
      <c r="AN59" s="637"/>
      <c r="AO59" s="483"/>
      <c r="AP59" s="420"/>
      <c r="AQ59" s="420"/>
      <c r="AR59" s="483"/>
      <c r="AS59" s="637"/>
      <c r="AT59" s="483"/>
      <c r="AU59" s="420"/>
      <c r="AV59" s="420"/>
      <c r="AW59" s="483"/>
      <c r="AX59" s="637"/>
      <c r="AZ59" s="483" t="e">
        <f t="shared" si="41"/>
        <v>#N/A</v>
      </c>
      <c r="BA59" s="637"/>
    </row>
    <row r="60" spans="2:53">
      <c r="B60" s="635"/>
      <c r="C60" s="415">
        <v>14</v>
      </c>
      <c r="D60" s="225"/>
      <c r="E60" s="420"/>
      <c r="F60" s="500"/>
      <c r="G60" s="501"/>
      <c r="H60" s="672"/>
      <c r="I60" s="417" t="str">
        <f t="shared" si="38"/>
        <v>-</v>
      </c>
      <c r="J60" s="417" t="str">
        <f t="shared" si="39"/>
        <v>-</v>
      </c>
      <c r="K60" s="199" t="str">
        <f t="shared" si="40"/>
        <v>-</v>
      </c>
      <c r="L60" s="609"/>
      <c r="M60" s="486" t="e">
        <f>RANK(K60, K$47:$K$61)</f>
        <v>#VALUE!</v>
      </c>
      <c r="N60" s="627"/>
      <c r="O60" s="627"/>
      <c r="P60" s="483"/>
      <c r="Q60" s="420"/>
      <c r="R60" s="420"/>
      <c r="S60" s="483"/>
      <c r="T60" s="637"/>
      <c r="U60" s="483"/>
      <c r="V60" s="420"/>
      <c r="W60" s="420"/>
      <c r="X60" s="483"/>
      <c r="Y60" s="637"/>
      <c r="Z60" s="483"/>
      <c r="AA60" s="420"/>
      <c r="AB60" s="420"/>
      <c r="AC60" s="483"/>
      <c r="AD60" s="637"/>
      <c r="AE60" s="483"/>
      <c r="AF60" s="420"/>
      <c r="AG60" s="420"/>
      <c r="AH60" s="483"/>
      <c r="AI60" s="637"/>
      <c r="AJ60" s="483"/>
      <c r="AK60" s="420"/>
      <c r="AL60" s="420"/>
      <c r="AM60" s="483"/>
      <c r="AN60" s="637"/>
      <c r="AO60" s="483"/>
      <c r="AP60" s="420"/>
      <c r="AQ60" s="420"/>
      <c r="AR60" s="483"/>
      <c r="AS60" s="637"/>
      <c r="AT60" s="483"/>
      <c r="AU60" s="420"/>
      <c r="AV60" s="420"/>
      <c r="AW60" s="483"/>
      <c r="AX60" s="637"/>
      <c r="AZ60" s="483" t="e">
        <f t="shared" si="41"/>
        <v>#N/A</v>
      </c>
      <c r="BA60" s="637"/>
    </row>
    <row r="61" spans="2:53">
      <c r="B61" s="635"/>
      <c r="C61" s="415">
        <v>15</v>
      </c>
      <c r="D61" s="225"/>
      <c r="E61" s="420"/>
      <c r="F61" s="500"/>
      <c r="G61" s="501"/>
      <c r="H61" s="676"/>
      <c r="I61" s="415"/>
      <c r="J61" s="415"/>
      <c r="K61" s="415"/>
      <c r="L61" s="610"/>
      <c r="M61" s="486" t="e">
        <f>RANK(K61, K$47:$K$61)</f>
        <v>#N/A</v>
      </c>
      <c r="N61" s="627"/>
      <c r="O61" s="627"/>
      <c r="P61" s="483"/>
      <c r="Q61" s="420"/>
      <c r="R61" s="420"/>
      <c r="S61" s="483"/>
      <c r="T61" s="638"/>
      <c r="U61" s="483"/>
      <c r="V61" s="420"/>
      <c r="W61" s="420"/>
      <c r="X61" s="483"/>
      <c r="Y61" s="638"/>
      <c r="Z61" s="483"/>
      <c r="AA61" s="420"/>
      <c r="AB61" s="420"/>
      <c r="AC61" s="483"/>
      <c r="AD61" s="638"/>
      <c r="AE61" s="483"/>
      <c r="AF61" s="420"/>
      <c r="AG61" s="420"/>
      <c r="AH61" s="483"/>
      <c r="AI61" s="638"/>
      <c r="AJ61" s="483"/>
      <c r="AK61" s="420"/>
      <c r="AL61" s="420"/>
      <c r="AM61" s="483"/>
      <c r="AN61" s="638"/>
      <c r="AO61" s="483"/>
      <c r="AP61" s="420"/>
      <c r="AQ61" s="420"/>
      <c r="AR61" s="483"/>
      <c r="AS61" s="638"/>
      <c r="AT61" s="483"/>
      <c r="AU61" s="420"/>
      <c r="AV61" s="420"/>
      <c r="AW61" s="483"/>
      <c r="AX61" s="638"/>
      <c r="AZ61" s="483" t="e">
        <f t="shared" si="41"/>
        <v>#N/A</v>
      </c>
      <c r="BA61" s="638"/>
    </row>
    <row r="62" spans="2:53" ht="15.75">
      <c r="B62" s="639" t="s">
        <v>163</v>
      </c>
      <c r="C62" s="640"/>
      <c r="D62" s="640"/>
      <c r="E62" s="640"/>
      <c r="F62" s="640"/>
      <c r="G62" s="640"/>
      <c r="H62" s="641"/>
      <c r="I62" s="207"/>
      <c r="J62" s="207"/>
      <c r="K62" s="207"/>
      <c r="L62" s="207"/>
      <c r="M62" s="206"/>
      <c r="N62" s="628" t="s">
        <v>156</v>
      </c>
      <c r="O62" s="628" t="s">
        <v>105</v>
      </c>
      <c r="P62" s="634">
        <f>P42+7</f>
        <v>46161</v>
      </c>
      <c r="Q62" s="635"/>
      <c r="R62" s="635"/>
      <c r="S62" s="635"/>
      <c r="T62" s="635"/>
      <c r="U62" s="631">
        <f>P62+1</f>
        <v>46162</v>
      </c>
      <c r="V62" s="632"/>
      <c r="W62" s="632"/>
      <c r="X62" s="632"/>
      <c r="Y62" s="633"/>
      <c r="Z62" s="631">
        <f>U62+1</f>
        <v>46163</v>
      </c>
      <c r="AA62" s="632"/>
      <c r="AB62" s="632"/>
      <c r="AC62" s="632"/>
      <c r="AD62" s="633"/>
      <c r="AE62" s="631">
        <f>Z62+1</f>
        <v>46164</v>
      </c>
      <c r="AF62" s="632"/>
      <c r="AG62" s="632"/>
      <c r="AH62" s="632"/>
      <c r="AI62" s="633"/>
      <c r="AJ62" s="631">
        <f>AE62+1</f>
        <v>46165</v>
      </c>
      <c r="AK62" s="632"/>
      <c r="AL62" s="632"/>
      <c r="AM62" s="632"/>
      <c r="AN62" s="633"/>
      <c r="AO62" s="631">
        <f>AJ62+1</f>
        <v>46166</v>
      </c>
      <c r="AP62" s="632"/>
      <c r="AQ62" s="632"/>
      <c r="AR62" s="632"/>
      <c r="AS62" s="633"/>
      <c r="AT62" s="631">
        <f>AO62+1</f>
        <v>46167</v>
      </c>
      <c r="AU62" s="632"/>
      <c r="AV62" s="632"/>
      <c r="AW62" s="632"/>
      <c r="AX62" s="633"/>
    </row>
    <row r="63" spans="2:53" ht="15.75">
      <c r="B63" s="642"/>
      <c r="C63" s="642"/>
      <c r="D63" s="642"/>
      <c r="E63" s="642"/>
      <c r="F63" s="642"/>
      <c r="G63" s="642"/>
      <c r="H63" s="642"/>
      <c r="I63" s="204"/>
      <c r="J63" s="204"/>
      <c r="K63" s="204"/>
      <c r="L63" s="204"/>
      <c r="M63" s="205"/>
      <c r="N63" s="630"/>
      <c r="O63" s="630"/>
      <c r="P63" s="634" t="s">
        <v>318</v>
      </c>
      <c r="Q63" s="635"/>
      <c r="R63" s="635"/>
      <c r="S63" s="635"/>
      <c r="T63" s="635"/>
      <c r="U63" s="634" t="s">
        <v>319</v>
      </c>
      <c r="V63" s="635"/>
      <c r="W63" s="635"/>
      <c r="X63" s="635"/>
      <c r="Y63" s="635"/>
      <c r="Z63" s="634" t="s">
        <v>320</v>
      </c>
      <c r="AA63" s="635"/>
      <c r="AB63" s="635"/>
      <c r="AC63" s="635"/>
      <c r="AD63" s="635"/>
      <c r="AE63" s="634" t="s">
        <v>321</v>
      </c>
      <c r="AF63" s="635"/>
      <c r="AG63" s="635"/>
      <c r="AH63" s="635"/>
      <c r="AI63" s="635"/>
      <c r="AJ63" s="634" t="s">
        <v>322</v>
      </c>
      <c r="AK63" s="635"/>
      <c r="AL63" s="635"/>
      <c r="AM63" s="635"/>
      <c r="AN63" s="635"/>
      <c r="AO63" s="634" t="s">
        <v>323</v>
      </c>
      <c r="AP63" s="635"/>
      <c r="AQ63" s="635"/>
      <c r="AR63" s="635"/>
      <c r="AS63" s="635"/>
      <c r="AT63" s="634" t="s">
        <v>324</v>
      </c>
      <c r="AU63" s="635"/>
      <c r="AV63" s="635"/>
      <c r="AW63" s="635"/>
      <c r="AX63" s="635"/>
    </row>
    <row r="64" spans="2:53">
      <c r="B64" s="627" t="s">
        <v>417</v>
      </c>
      <c r="C64" s="627" t="s">
        <v>551</v>
      </c>
      <c r="D64" s="627"/>
      <c r="E64" s="627" t="s">
        <v>552</v>
      </c>
      <c r="F64" s="627"/>
      <c r="G64" s="627"/>
      <c r="H64" s="643" t="s">
        <v>553</v>
      </c>
      <c r="I64" s="627" t="s">
        <v>554</v>
      </c>
      <c r="J64" s="627"/>
      <c r="K64" s="627"/>
      <c r="L64" s="643" t="s">
        <v>371</v>
      </c>
      <c r="M64" s="628" t="s">
        <v>555</v>
      </c>
      <c r="N64" s="627"/>
      <c r="O64" s="627" t="s">
        <v>377</v>
      </c>
      <c r="P64" s="624" t="s">
        <v>373</v>
      </c>
      <c r="Q64" s="625"/>
      <c r="R64" s="625"/>
      <c r="S64" s="626"/>
      <c r="T64" s="627" t="s">
        <v>371</v>
      </c>
      <c r="U64" s="624" t="s">
        <v>373</v>
      </c>
      <c r="V64" s="625"/>
      <c r="W64" s="625"/>
      <c r="X64" s="626"/>
      <c r="Y64" s="627" t="s">
        <v>371</v>
      </c>
      <c r="Z64" s="624" t="s">
        <v>373</v>
      </c>
      <c r="AA64" s="625"/>
      <c r="AB64" s="625"/>
      <c r="AC64" s="626"/>
      <c r="AD64" s="627" t="s">
        <v>371</v>
      </c>
      <c r="AE64" s="624" t="s">
        <v>373</v>
      </c>
      <c r="AF64" s="625"/>
      <c r="AG64" s="625"/>
      <c r="AH64" s="626"/>
      <c r="AI64" s="627" t="s">
        <v>371</v>
      </c>
      <c r="AJ64" s="624" t="s">
        <v>373</v>
      </c>
      <c r="AK64" s="625"/>
      <c r="AL64" s="625"/>
      <c r="AM64" s="626"/>
      <c r="AN64" s="627" t="s">
        <v>371</v>
      </c>
      <c r="AO64" s="624" t="s">
        <v>373</v>
      </c>
      <c r="AP64" s="625"/>
      <c r="AQ64" s="625"/>
      <c r="AR64" s="626"/>
      <c r="AS64" s="627" t="s">
        <v>371</v>
      </c>
      <c r="AT64" s="624" t="s">
        <v>373</v>
      </c>
      <c r="AU64" s="625"/>
      <c r="AV64" s="625"/>
      <c r="AW64" s="626"/>
      <c r="AX64" s="627" t="s">
        <v>371</v>
      </c>
      <c r="BA64" s="627" t="s">
        <v>371</v>
      </c>
    </row>
    <row r="65" spans="2:53">
      <c r="B65" s="627"/>
      <c r="C65" s="627"/>
      <c r="D65" s="627"/>
      <c r="E65" s="627" t="s">
        <v>557</v>
      </c>
      <c r="F65" s="627"/>
      <c r="G65" s="627"/>
      <c r="H65" s="644"/>
      <c r="I65" s="627" t="s">
        <v>557</v>
      </c>
      <c r="J65" s="627"/>
      <c r="K65" s="627"/>
      <c r="L65" s="644"/>
      <c r="M65" s="629"/>
      <c r="N65" s="627"/>
      <c r="O65" s="627"/>
      <c r="P65" s="624" t="s">
        <v>379</v>
      </c>
      <c r="Q65" s="625"/>
      <c r="R65" s="625"/>
      <c r="S65" s="626"/>
      <c r="T65" s="627"/>
      <c r="U65" s="624" t="s">
        <v>379</v>
      </c>
      <c r="V65" s="625"/>
      <c r="W65" s="625"/>
      <c r="X65" s="626"/>
      <c r="Y65" s="627"/>
      <c r="Z65" s="624" t="s">
        <v>379</v>
      </c>
      <c r="AA65" s="625"/>
      <c r="AB65" s="625"/>
      <c r="AC65" s="626"/>
      <c r="AD65" s="627"/>
      <c r="AE65" s="624" t="s">
        <v>379</v>
      </c>
      <c r="AF65" s="625"/>
      <c r="AG65" s="625"/>
      <c r="AH65" s="626"/>
      <c r="AI65" s="627"/>
      <c r="AJ65" s="624" t="s">
        <v>379</v>
      </c>
      <c r="AK65" s="625"/>
      <c r="AL65" s="625"/>
      <c r="AM65" s="626"/>
      <c r="AN65" s="627"/>
      <c r="AO65" s="624" t="s">
        <v>379</v>
      </c>
      <c r="AP65" s="625"/>
      <c r="AQ65" s="625"/>
      <c r="AR65" s="626"/>
      <c r="AS65" s="627"/>
      <c r="AT65" s="624" t="s">
        <v>379</v>
      </c>
      <c r="AU65" s="625"/>
      <c r="AV65" s="625"/>
      <c r="AW65" s="626"/>
      <c r="AX65" s="627"/>
      <c r="BA65" s="627"/>
    </row>
    <row r="66" spans="2:53">
      <c r="B66" s="627"/>
      <c r="C66" s="627"/>
      <c r="D66" s="627"/>
      <c r="E66" s="412" t="s">
        <v>558</v>
      </c>
      <c r="F66" s="412" t="s">
        <v>559</v>
      </c>
      <c r="G66" s="412" t="s">
        <v>560</v>
      </c>
      <c r="H66" s="645"/>
      <c r="I66" s="412" t="s">
        <v>558</v>
      </c>
      <c r="J66" s="412" t="s">
        <v>559</v>
      </c>
      <c r="K66" s="412" t="s">
        <v>560</v>
      </c>
      <c r="L66" s="645"/>
      <c r="M66" s="630"/>
      <c r="N66" s="627"/>
      <c r="O66" s="627"/>
      <c r="P66" s="412" t="s">
        <v>380</v>
      </c>
      <c r="Q66" s="412" t="s">
        <v>381</v>
      </c>
      <c r="R66" s="412" t="s">
        <v>382</v>
      </c>
      <c r="S66" s="412" t="s">
        <v>372</v>
      </c>
      <c r="T66" s="627"/>
      <c r="U66" s="412" t="s">
        <v>380</v>
      </c>
      <c r="V66" s="412" t="s">
        <v>381</v>
      </c>
      <c r="W66" s="412" t="s">
        <v>382</v>
      </c>
      <c r="X66" s="412" t="s">
        <v>372</v>
      </c>
      <c r="Y66" s="627"/>
      <c r="Z66" s="412" t="s">
        <v>380</v>
      </c>
      <c r="AA66" s="412" t="s">
        <v>381</v>
      </c>
      <c r="AB66" s="412" t="s">
        <v>382</v>
      </c>
      <c r="AC66" s="412" t="s">
        <v>372</v>
      </c>
      <c r="AD66" s="627"/>
      <c r="AE66" s="412" t="s">
        <v>380</v>
      </c>
      <c r="AF66" s="412" t="s">
        <v>381</v>
      </c>
      <c r="AG66" s="412" t="s">
        <v>382</v>
      </c>
      <c r="AH66" s="412" t="s">
        <v>372</v>
      </c>
      <c r="AI66" s="627"/>
      <c r="AJ66" s="412" t="s">
        <v>380</v>
      </c>
      <c r="AK66" s="412" t="s">
        <v>381</v>
      </c>
      <c r="AL66" s="412" t="s">
        <v>382</v>
      </c>
      <c r="AM66" s="412" t="s">
        <v>372</v>
      </c>
      <c r="AN66" s="627"/>
      <c r="AO66" s="412" t="s">
        <v>380</v>
      </c>
      <c r="AP66" s="412" t="s">
        <v>381</v>
      </c>
      <c r="AQ66" s="412" t="s">
        <v>382</v>
      </c>
      <c r="AR66" s="412" t="s">
        <v>372</v>
      </c>
      <c r="AS66" s="627"/>
      <c r="AT66" s="412" t="s">
        <v>380</v>
      </c>
      <c r="AU66" s="412" t="s">
        <v>381</v>
      </c>
      <c r="AV66" s="412" t="s">
        <v>382</v>
      </c>
      <c r="AW66" s="412" t="s">
        <v>372</v>
      </c>
      <c r="AX66" s="627"/>
      <c r="AZ66" s="401" t="s">
        <v>372</v>
      </c>
      <c r="BA66" s="627"/>
    </row>
    <row r="67" spans="2:53">
      <c r="B67" s="627" t="s">
        <v>431</v>
      </c>
      <c r="C67" s="415">
        <v>1</v>
      </c>
      <c r="D67" s="225"/>
      <c r="E67" s="420"/>
      <c r="F67" s="500"/>
      <c r="G67" s="501"/>
      <c r="H67" s="671" t="e">
        <f>AVERAGE(G67:G81)</f>
        <v>#DIV/0!</v>
      </c>
      <c r="I67" s="417" t="str">
        <f t="shared" ref="I67:I80" si="43">IFERROR(AVERAGE(P67,U67,Z67,AE67,AJ67,AO67,AT67),"-")</f>
        <v>-</v>
      </c>
      <c r="J67" s="417" t="str">
        <f t="shared" ref="J67:J80" si="44">IFERROR(AVERAGE(Q67,V67,AA67,AF67,AK67,AP67,AU67),"-")</f>
        <v>-</v>
      </c>
      <c r="K67" s="199" t="str">
        <f t="shared" ref="K67:K80" si="45">IFERROR(AVERAGE(R67,W67,AB67,AG67,AL67,AQ67,AV67),"-")</f>
        <v>-</v>
      </c>
      <c r="L67" s="608" t="str">
        <f>IFERROR(AVERAGE(K67:K81),"-")</f>
        <v>-</v>
      </c>
      <c r="M67" s="421" t="e">
        <f>RANK(K67, K$67:$K$81)</f>
        <v>#VALUE!</v>
      </c>
      <c r="N67" s="627"/>
      <c r="O67" s="627"/>
      <c r="P67" s="488"/>
      <c r="Q67" s="490"/>
      <c r="R67" s="490"/>
      <c r="S67" s="487"/>
      <c r="T67" s="636"/>
      <c r="U67" s="488"/>
      <c r="V67" s="490"/>
      <c r="W67" s="490"/>
      <c r="X67" s="487"/>
      <c r="Y67" s="636"/>
      <c r="Z67" s="488"/>
      <c r="AA67" s="490"/>
      <c r="AB67" s="490"/>
      <c r="AC67" s="487"/>
      <c r="AD67" s="636"/>
      <c r="AE67" s="488"/>
      <c r="AF67" s="490"/>
      <c r="AG67" s="490"/>
      <c r="AH67" s="487"/>
      <c r="AI67" s="636"/>
      <c r="AJ67" s="488"/>
      <c r="AK67" s="490"/>
      <c r="AL67" s="490"/>
      <c r="AM67" s="487"/>
      <c r="AN67" s="636"/>
      <c r="AO67" s="488"/>
      <c r="AP67" s="490"/>
      <c r="AQ67" s="490"/>
      <c r="AR67" s="487"/>
      <c r="AS67" s="636"/>
      <c r="AT67" s="487"/>
      <c r="AU67" s="420"/>
      <c r="AV67" s="420"/>
      <c r="AW67" s="487"/>
      <c r="AX67" s="636"/>
      <c r="AZ67" s="402" t="e">
        <f t="shared" ref="AZ67:AZ81" si="46">RANK(AY67, AY$67:AY$81)</f>
        <v>#N/A</v>
      </c>
      <c r="BA67" s="636" t="e">
        <f t="shared" ref="BA67" si="47">AVERAGE(AY67:AY81)</f>
        <v>#DIV/0!</v>
      </c>
    </row>
    <row r="68" spans="2:53">
      <c r="B68" s="635"/>
      <c r="C68" s="415">
        <v>2</v>
      </c>
      <c r="D68" s="225"/>
      <c r="E68" s="420"/>
      <c r="F68" s="500"/>
      <c r="G68" s="501"/>
      <c r="H68" s="672"/>
      <c r="I68" s="417" t="str">
        <f t="shared" si="43"/>
        <v>-</v>
      </c>
      <c r="J68" s="417" t="str">
        <f t="shared" si="44"/>
        <v>-</v>
      </c>
      <c r="K68" s="199" t="str">
        <f t="shared" si="45"/>
        <v>-</v>
      </c>
      <c r="L68" s="609"/>
      <c r="M68" s="421" t="e">
        <f>RANK(K68, K$67:$K$81)</f>
        <v>#VALUE!</v>
      </c>
      <c r="N68" s="627"/>
      <c r="O68" s="627"/>
      <c r="P68" s="488"/>
      <c r="Q68" s="490"/>
      <c r="R68" s="490"/>
      <c r="S68" s="487"/>
      <c r="T68" s="637"/>
      <c r="U68" s="488"/>
      <c r="V68" s="490"/>
      <c r="W68" s="490"/>
      <c r="X68" s="487"/>
      <c r="Y68" s="637"/>
      <c r="Z68" s="488"/>
      <c r="AA68" s="490"/>
      <c r="AB68" s="490"/>
      <c r="AC68" s="487"/>
      <c r="AD68" s="637"/>
      <c r="AE68" s="488"/>
      <c r="AF68" s="490"/>
      <c r="AG68" s="490"/>
      <c r="AH68" s="487"/>
      <c r="AI68" s="637"/>
      <c r="AJ68" s="488"/>
      <c r="AK68" s="490"/>
      <c r="AL68" s="490"/>
      <c r="AM68" s="487"/>
      <c r="AN68" s="637"/>
      <c r="AO68" s="488"/>
      <c r="AP68" s="490"/>
      <c r="AQ68" s="490"/>
      <c r="AR68" s="487"/>
      <c r="AS68" s="637"/>
      <c r="AT68" s="487"/>
      <c r="AU68" s="420"/>
      <c r="AV68" s="420"/>
      <c r="AW68" s="487"/>
      <c r="AX68" s="637"/>
      <c r="AZ68" s="402" t="e">
        <f t="shared" si="46"/>
        <v>#N/A</v>
      </c>
      <c r="BA68" s="637"/>
    </row>
    <row r="69" spans="2:53">
      <c r="B69" s="635"/>
      <c r="C69" s="415">
        <v>3</v>
      </c>
      <c r="D69" s="225"/>
      <c r="E69" s="420"/>
      <c r="F69" s="500"/>
      <c r="G69" s="501"/>
      <c r="H69" s="672"/>
      <c r="I69" s="417" t="str">
        <f t="shared" si="43"/>
        <v>-</v>
      </c>
      <c r="J69" s="417" t="str">
        <f t="shared" si="44"/>
        <v>-</v>
      </c>
      <c r="K69" s="199" t="str">
        <f t="shared" si="45"/>
        <v>-</v>
      </c>
      <c r="L69" s="609"/>
      <c r="M69" s="421" t="e">
        <f>RANK(K69, K$67:$K$81)</f>
        <v>#VALUE!</v>
      </c>
      <c r="N69" s="627"/>
      <c r="O69" s="627"/>
      <c r="P69" s="488"/>
      <c r="Q69" s="490"/>
      <c r="R69" s="490"/>
      <c r="S69" s="487"/>
      <c r="T69" s="637"/>
      <c r="U69" s="488"/>
      <c r="V69" s="490"/>
      <c r="W69" s="490"/>
      <c r="X69" s="487"/>
      <c r="Y69" s="637"/>
      <c r="Z69" s="488"/>
      <c r="AA69" s="490"/>
      <c r="AB69" s="490"/>
      <c r="AC69" s="487"/>
      <c r="AD69" s="637"/>
      <c r="AE69" s="488"/>
      <c r="AF69" s="490"/>
      <c r="AG69" s="490"/>
      <c r="AH69" s="487"/>
      <c r="AI69" s="637"/>
      <c r="AJ69" s="488"/>
      <c r="AK69" s="490"/>
      <c r="AL69" s="490"/>
      <c r="AM69" s="487"/>
      <c r="AN69" s="637"/>
      <c r="AO69" s="488"/>
      <c r="AP69" s="490"/>
      <c r="AQ69" s="490"/>
      <c r="AR69" s="487"/>
      <c r="AS69" s="637"/>
      <c r="AT69" s="487"/>
      <c r="AU69" s="420"/>
      <c r="AV69" s="420"/>
      <c r="AW69" s="487"/>
      <c r="AX69" s="637"/>
      <c r="AZ69" s="402" t="e">
        <f t="shared" si="46"/>
        <v>#N/A</v>
      </c>
      <c r="BA69" s="637"/>
    </row>
    <row r="70" spans="2:53">
      <c r="B70" s="635"/>
      <c r="C70" s="415">
        <v>4</v>
      </c>
      <c r="D70" s="225"/>
      <c r="E70" s="420"/>
      <c r="F70" s="500"/>
      <c r="G70" s="501"/>
      <c r="H70" s="672"/>
      <c r="I70" s="417" t="str">
        <f t="shared" si="43"/>
        <v>-</v>
      </c>
      <c r="J70" s="417" t="str">
        <f t="shared" si="44"/>
        <v>-</v>
      </c>
      <c r="K70" s="199" t="str">
        <f t="shared" si="45"/>
        <v>-</v>
      </c>
      <c r="L70" s="609"/>
      <c r="M70" s="421" t="e">
        <f>RANK(K70, K$67:$K$81)</f>
        <v>#VALUE!</v>
      </c>
      <c r="N70" s="627"/>
      <c r="O70" s="627"/>
      <c r="P70" s="488"/>
      <c r="Q70" s="490"/>
      <c r="R70" s="490"/>
      <c r="S70" s="487"/>
      <c r="T70" s="637"/>
      <c r="U70" s="488"/>
      <c r="V70" s="490"/>
      <c r="W70" s="490"/>
      <c r="X70" s="487"/>
      <c r="Y70" s="637"/>
      <c r="Z70" s="488"/>
      <c r="AA70" s="490"/>
      <c r="AB70" s="490"/>
      <c r="AC70" s="487"/>
      <c r="AD70" s="637"/>
      <c r="AE70" s="488"/>
      <c r="AF70" s="490"/>
      <c r="AG70" s="490"/>
      <c r="AH70" s="487"/>
      <c r="AI70" s="637"/>
      <c r="AJ70" s="488"/>
      <c r="AK70" s="490"/>
      <c r="AL70" s="490"/>
      <c r="AM70" s="487"/>
      <c r="AN70" s="637"/>
      <c r="AO70" s="488"/>
      <c r="AP70" s="490"/>
      <c r="AQ70" s="490"/>
      <c r="AR70" s="487"/>
      <c r="AS70" s="637"/>
      <c r="AT70" s="487"/>
      <c r="AU70" s="420"/>
      <c r="AV70" s="420"/>
      <c r="AW70" s="487"/>
      <c r="AX70" s="637"/>
      <c r="AZ70" s="402" t="e">
        <f t="shared" si="46"/>
        <v>#N/A</v>
      </c>
      <c r="BA70" s="637"/>
    </row>
    <row r="71" spans="2:53">
      <c r="B71" s="635"/>
      <c r="C71" s="415">
        <v>5</v>
      </c>
      <c r="D71" s="225"/>
      <c r="E71" s="420"/>
      <c r="F71" s="500"/>
      <c r="G71" s="501"/>
      <c r="H71" s="672"/>
      <c r="I71" s="417" t="str">
        <f t="shared" si="43"/>
        <v>-</v>
      </c>
      <c r="J71" s="417" t="str">
        <f t="shared" si="44"/>
        <v>-</v>
      </c>
      <c r="K71" s="199" t="str">
        <f t="shared" si="45"/>
        <v>-</v>
      </c>
      <c r="L71" s="609"/>
      <c r="M71" s="421" t="e">
        <f>RANK(K71, K$67:$K$81)</f>
        <v>#VALUE!</v>
      </c>
      <c r="N71" s="627"/>
      <c r="O71" s="627"/>
      <c r="P71" s="488"/>
      <c r="Q71" s="490"/>
      <c r="R71" s="490"/>
      <c r="S71" s="487"/>
      <c r="T71" s="637"/>
      <c r="U71" s="488"/>
      <c r="V71" s="490"/>
      <c r="W71" s="490"/>
      <c r="X71" s="487"/>
      <c r="Y71" s="637"/>
      <c r="Z71" s="488"/>
      <c r="AA71" s="490"/>
      <c r="AB71" s="490"/>
      <c r="AC71" s="487"/>
      <c r="AD71" s="637"/>
      <c r="AE71" s="488"/>
      <c r="AF71" s="490"/>
      <c r="AG71" s="490"/>
      <c r="AH71" s="487"/>
      <c r="AI71" s="637"/>
      <c r="AJ71" s="488"/>
      <c r="AK71" s="490"/>
      <c r="AL71" s="490"/>
      <c r="AM71" s="487"/>
      <c r="AN71" s="637"/>
      <c r="AO71" s="488"/>
      <c r="AP71" s="490"/>
      <c r="AQ71" s="490"/>
      <c r="AR71" s="487"/>
      <c r="AS71" s="637"/>
      <c r="AT71" s="487"/>
      <c r="AU71" s="420"/>
      <c r="AV71" s="420"/>
      <c r="AW71" s="487"/>
      <c r="AX71" s="637"/>
      <c r="AZ71" s="402" t="e">
        <f t="shared" si="46"/>
        <v>#N/A</v>
      </c>
      <c r="BA71" s="637"/>
    </row>
    <row r="72" spans="2:53">
      <c r="B72" s="635"/>
      <c r="C72" s="415">
        <v>6</v>
      </c>
      <c r="D72" s="225"/>
      <c r="E72" s="420"/>
      <c r="F72" s="500"/>
      <c r="G72" s="501"/>
      <c r="H72" s="672"/>
      <c r="I72" s="417" t="str">
        <f t="shared" si="43"/>
        <v>-</v>
      </c>
      <c r="J72" s="417" t="str">
        <f t="shared" si="44"/>
        <v>-</v>
      </c>
      <c r="K72" s="199" t="str">
        <f t="shared" si="45"/>
        <v>-</v>
      </c>
      <c r="L72" s="609"/>
      <c r="M72" s="421" t="e">
        <f>RANK(K72, K$67:$K$81)</f>
        <v>#VALUE!</v>
      </c>
      <c r="N72" s="627"/>
      <c r="O72" s="627"/>
      <c r="P72" s="488"/>
      <c r="Q72" s="490"/>
      <c r="R72" s="490"/>
      <c r="S72" s="487"/>
      <c r="T72" s="637"/>
      <c r="U72" s="488"/>
      <c r="V72" s="490"/>
      <c r="W72" s="490"/>
      <c r="X72" s="487"/>
      <c r="Y72" s="637"/>
      <c r="Z72" s="488"/>
      <c r="AA72" s="490"/>
      <c r="AB72" s="490"/>
      <c r="AC72" s="487"/>
      <c r="AD72" s="637"/>
      <c r="AE72" s="488"/>
      <c r="AF72" s="490"/>
      <c r="AG72" s="490"/>
      <c r="AH72" s="487"/>
      <c r="AI72" s="637"/>
      <c r="AJ72" s="488"/>
      <c r="AK72" s="490"/>
      <c r="AL72" s="490"/>
      <c r="AM72" s="487"/>
      <c r="AN72" s="637"/>
      <c r="AO72" s="488"/>
      <c r="AP72" s="490"/>
      <c r="AQ72" s="490"/>
      <c r="AR72" s="487"/>
      <c r="AS72" s="637"/>
      <c r="AT72" s="487"/>
      <c r="AU72" s="420"/>
      <c r="AV72" s="420"/>
      <c r="AW72" s="487"/>
      <c r="AX72" s="637"/>
      <c r="AZ72" s="402" t="e">
        <f t="shared" si="46"/>
        <v>#N/A</v>
      </c>
      <c r="BA72" s="637"/>
    </row>
    <row r="73" spans="2:53">
      <c r="B73" s="635"/>
      <c r="C73" s="415">
        <v>7</v>
      </c>
      <c r="D73" s="225"/>
      <c r="E73" s="420"/>
      <c r="F73" s="500"/>
      <c r="G73" s="501"/>
      <c r="H73" s="672"/>
      <c r="I73" s="417" t="str">
        <f t="shared" si="43"/>
        <v>-</v>
      </c>
      <c r="J73" s="417" t="str">
        <f t="shared" si="44"/>
        <v>-</v>
      </c>
      <c r="K73" s="199" t="str">
        <f t="shared" si="45"/>
        <v>-</v>
      </c>
      <c r="L73" s="609"/>
      <c r="M73" s="421" t="e">
        <f>RANK(K73, K$67:$K$81)</f>
        <v>#VALUE!</v>
      </c>
      <c r="N73" s="627"/>
      <c r="O73" s="627"/>
      <c r="P73" s="488"/>
      <c r="Q73" s="490"/>
      <c r="R73" s="490"/>
      <c r="S73" s="487"/>
      <c r="T73" s="637"/>
      <c r="U73" s="488"/>
      <c r="V73" s="490"/>
      <c r="W73" s="490"/>
      <c r="X73" s="487"/>
      <c r="Y73" s="637"/>
      <c r="Z73" s="488"/>
      <c r="AA73" s="490"/>
      <c r="AB73" s="490"/>
      <c r="AC73" s="487"/>
      <c r="AD73" s="637"/>
      <c r="AE73" s="488"/>
      <c r="AF73" s="490"/>
      <c r="AG73" s="490"/>
      <c r="AH73" s="487"/>
      <c r="AI73" s="637"/>
      <c r="AJ73" s="488"/>
      <c r="AK73" s="490"/>
      <c r="AL73" s="490"/>
      <c r="AM73" s="487"/>
      <c r="AN73" s="637"/>
      <c r="AO73" s="488"/>
      <c r="AP73" s="490"/>
      <c r="AQ73" s="490"/>
      <c r="AR73" s="487"/>
      <c r="AS73" s="637"/>
      <c r="AT73" s="487"/>
      <c r="AU73" s="420"/>
      <c r="AV73" s="420"/>
      <c r="AW73" s="487"/>
      <c r="AX73" s="637"/>
      <c r="AZ73" s="402" t="e">
        <f t="shared" si="46"/>
        <v>#N/A</v>
      </c>
      <c r="BA73" s="637"/>
    </row>
    <row r="74" spans="2:53">
      <c r="B74" s="635"/>
      <c r="C74" s="415">
        <v>8</v>
      </c>
      <c r="D74" s="225"/>
      <c r="E74" s="420"/>
      <c r="F74" s="500"/>
      <c r="G74" s="501"/>
      <c r="H74" s="672"/>
      <c r="I74" s="417" t="str">
        <f t="shared" si="43"/>
        <v>-</v>
      </c>
      <c r="J74" s="417" t="str">
        <f t="shared" si="44"/>
        <v>-</v>
      </c>
      <c r="K74" s="199" t="str">
        <f t="shared" si="45"/>
        <v>-</v>
      </c>
      <c r="L74" s="609"/>
      <c r="M74" s="421" t="e">
        <f>RANK(K74, K$67:$K$81)</f>
        <v>#VALUE!</v>
      </c>
      <c r="N74" s="627"/>
      <c r="O74" s="627"/>
      <c r="P74" s="488"/>
      <c r="Q74" s="490"/>
      <c r="R74" s="490"/>
      <c r="S74" s="487"/>
      <c r="T74" s="637"/>
      <c r="U74" s="488"/>
      <c r="V74" s="490"/>
      <c r="W74" s="490"/>
      <c r="X74" s="487"/>
      <c r="Y74" s="637"/>
      <c r="Z74" s="488"/>
      <c r="AA74" s="490"/>
      <c r="AB74" s="490"/>
      <c r="AC74" s="487"/>
      <c r="AD74" s="637"/>
      <c r="AE74" s="488"/>
      <c r="AF74" s="490"/>
      <c r="AG74" s="490"/>
      <c r="AH74" s="487"/>
      <c r="AI74" s="637"/>
      <c r="AJ74" s="488"/>
      <c r="AK74" s="490"/>
      <c r="AL74" s="490"/>
      <c r="AM74" s="487"/>
      <c r="AN74" s="637"/>
      <c r="AO74" s="488"/>
      <c r="AP74" s="490"/>
      <c r="AQ74" s="490"/>
      <c r="AR74" s="487"/>
      <c r="AS74" s="637"/>
      <c r="AT74" s="487"/>
      <c r="AU74" s="420"/>
      <c r="AV74" s="420"/>
      <c r="AW74" s="487"/>
      <c r="AX74" s="637"/>
      <c r="AZ74" s="402" t="e">
        <f t="shared" si="46"/>
        <v>#N/A</v>
      </c>
      <c r="BA74" s="637"/>
    </row>
    <row r="75" spans="2:53">
      <c r="B75" s="635"/>
      <c r="C75" s="415">
        <v>9</v>
      </c>
      <c r="D75" s="225"/>
      <c r="E75" s="420"/>
      <c r="F75" s="500"/>
      <c r="G75" s="501"/>
      <c r="H75" s="672"/>
      <c r="I75" s="417" t="str">
        <f t="shared" si="43"/>
        <v>-</v>
      </c>
      <c r="J75" s="417" t="str">
        <f t="shared" si="44"/>
        <v>-</v>
      </c>
      <c r="K75" s="199" t="str">
        <f t="shared" si="45"/>
        <v>-</v>
      </c>
      <c r="L75" s="609"/>
      <c r="M75" s="421" t="e">
        <f>RANK(K75, K$67:$K$81)</f>
        <v>#VALUE!</v>
      </c>
      <c r="N75" s="627"/>
      <c r="O75" s="627"/>
      <c r="P75" s="488"/>
      <c r="Q75" s="490"/>
      <c r="R75" s="490"/>
      <c r="S75" s="487"/>
      <c r="T75" s="637"/>
      <c r="U75" s="488"/>
      <c r="V75" s="490"/>
      <c r="W75" s="490"/>
      <c r="X75" s="487"/>
      <c r="Y75" s="637"/>
      <c r="Z75" s="488"/>
      <c r="AA75" s="490"/>
      <c r="AB75" s="490"/>
      <c r="AC75" s="487"/>
      <c r="AD75" s="637"/>
      <c r="AE75" s="488"/>
      <c r="AF75" s="490"/>
      <c r="AG75" s="490"/>
      <c r="AH75" s="487"/>
      <c r="AI75" s="637"/>
      <c r="AJ75" s="488"/>
      <c r="AK75" s="490"/>
      <c r="AL75" s="490"/>
      <c r="AM75" s="487"/>
      <c r="AN75" s="637"/>
      <c r="AO75" s="488"/>
      <c r="AP75" s="490"/>
      <c r="AQ75" s="490"/>
      <c r="AR75" s="487"/>
      <c r="AS75" s="637"/>
      <c r="AT75" s="487"/>
      <c r="AU75" s="420"/>
      <c r="AV75" s="420"/>
      <c r="AW75" s="487"/>
      <c r="AX75" s="637"/>
      <c r="AZ75" s="402" t="e">
        <f t="shared" si="46"/>
        <v>#N/A</v>
      </c>
      <c r="BA75" s="637"/>
    </row>
    <row r="76" spans="2:53">
      <c r="B76" s="635"/>
      <c r="C76" s="415">
        <v>10</v>
      </c>
      <c r="D76" s="225"/>
      <c r="E76" s="420"/>
      <c r="F76" s="500"/>
      <c r="G76" s="501"/>
      <c r="H76" s="672"/>
      <c r="I76" s="417" t="str">
        <f t="shared" si="43"/>
        <v>-</v>
      </c>
      <c r="J76" s="417" t="str">
        <f t="shared" si="44"/>
        <v>-</v>
      </c>
      <c r="K76" s="199" t="str">
        <f t="shared" si="45"/>
        <v>-</v>
      </c>
      <c r="L76" s="609"/>
      <c r="M76" s="421" t="e">
        <f>RANK(K76, K$67:$K$81)</f>
        <v>#VALUE!</v>
      </c>
      <c r="N76" s="627"/>
      <c r="O76" s="627"/>
      <c r="P76" s="488"/>
      <c r="Q76" s="490"/>
      <c r="R76" s="490"/>
      <c r="S76" s="487"/>
      <c r="T76" s="637"/>
      <c r="U76" s="488"/>
      <c r="V76" s="490"/>
      <c r="W76" s="490"/>
      <c r="X76" s="487"/>
      <c r="Y76" s="637"/>
      <c r="Z76" s="488"/>
      <c r="AA76" s="490"/>
      <c r="AB76" s="490"/>
      <c r="AC76" s="487"/>
      <c r="AD76" s="637"/>
      <c r="AE76" s="488"/>
      <c r="AF76" s="490"/>
      <c r="AG76" s="490"/>
      <c r="AH76" s="487"/>
      <c r="AI76" s="637"/>
      <c r="AJ76" s="488"/>
      <c r="AK76" s="490"/>
      <c r="AL76" s="490"/>
      <c r="AM76" s="487"/>
      <c r="AN76" s="637"/>
      <c r="AO76" s="488"/>
      <c r="AP76" s="490"/>
      <c r="AQ76" s="490"/>
      <c r="AR76" s="487"/>
      <c r="AS76" s="637"/>
      <c r="AT76" s="487"/>
      <c r="AU76" s="420"/>
      <c r="AV76" s="420"/>
      <c r="AW76" s="487"/>
      <c r="AX76" s="637"/>
      <c r="AZ76" s="402" t="e">
        <f t="shared" si="46"/>
        <v>#N/A</v>
      </c>
      <c r="BA76" s="637"/>
    </row>
    <row r="77" spans="2:53">
      <c r="B77" s="635"/>
      <c r="C77" s="415">
        <v>11</v>
      </c>
      <c r="D77" s="225"/>
      <c r="E77" s="420"/>
      <c r="F77" s="500"/>
      <c r="G77" s="501"/>
      <c r="H77" s="672"/>
      <c r="I77" s="417" t="str">
        <f t="shared" si="43"/>
        <v>-</v>
      </c>
      <c r="J77" s="417" t="str">
        <f t="shared" si="44"/>
        <v>-</v>
      </c>
      <c r="K77" s="199" t="str">
        <f t="shared" si="45"/>
        <v>-</v>
      </c>
      <c r="L77" s="609"/>
      <c r="M77" s="421" t="e">
        <f>RANK(K77, K$67:$K$81)</f>
        <v>#VALUE!</v>
      </c>
      <c r="N77" s="627"/>
      <c r="O77" s="627"/>
      <c r="P77" s="488"/>
      <c r="Q77" s="490"/>
      <c r="R77" s="490"/>
      <c r="S77" s="487"/>
      <c r="T77" s="637"/>
      <c r="U77" s="488"/>
      <c r="V77" s="490"/>
      <c r="W77" s="490"/>
      <c r="X77" s="487"/>
      <c r="Y77" s="637"/>
      <c r="Z77" s="488"/>
      <c r="AA77" s="490"/>
      <c r="AB77" s="490"/>
      <c r="AC77" s="487"/>
      <c r="AD77" s="637"/>
      <c r="AE77" s="488"/>
      <c r="AF77" s="490"/>
      <c r="AG77" s="490"/>
      <c r="AH77" s="487"/>
      <c r="AI77" s="637"/>
      <c r="AJ77" s="488"/>
      <c r="AK77" s="490"/>
      <c r="AL77" s="490"/>
      <c r="AM77" s="487"/>
      <c r="AN77" s="637"/>
      <c r="AO77" s="488"/>
      <c r="AP77" s="490"/>
      <c r="AQ77" s="490"/>
      <c r="AR77" s="487"/>
      <c r="AS77" s="637"/>
      <c r="AT77" s="487"/>
      <c r="AU77" s="420"/>
      <c r="AV77" s="420"/>
      <c r="AW77" s="487"/>
      <c r="AX77" s="637"/>
      <c r="AZ77" s="402" t="e">
        <f t="shared" si="46"/>
        <v>#N/A</v>
      </c>
      <c r="BA77" s="637"/>
    </row>
    <row r="78" spans="2:53">
      <c r="B78" s="635"/>
      <c r="C78" s="415">
        <v>12</v>
      </c>
      <c r="D78" s="225"/>
      <c r="E78" s="420"/>
      <c r="F78" s="500"/>
      <c r="G78" s="501"/>
      <c r="H78" s="672"/>
      <c r="I78" s="417" t="str">
        <f t="shared" si="43"/>
        <v>-</v>
      </c>
      <c r="J78" s="417" t="str">
        <f t="shared" si="44"/>
        <v>-</v>
      </c>
      <c r="K78" s="199" t="str">
        <f t="shared" si="45"/>
        <v>-</v>
      </c>
      <c r="L78" s="609"/>
      <c r="M78" s="421" t="e">
        <f>RANK(K78, K$67:$K$81)</f>
        <v>#VALUE!</v>
      </c>
      <c r="N78" s="627"/>
      <c r="O78" s="627"/>
      <c r="P78" s="488"/>
      <c r="Q78" s="490"/>
      <c r="R78" s="490"/>
      <c r="S78" s="487"/>
      <c r="T78" s="637"/>
      <c r="U78" s="488"/>
      <c r="V78" s="490"/>
      <c r="W78" s="490"/>
      <c r="X78" s="487"/>
      <c r="Y78" s="637"/>
      <c r="Z78" s="488"/>
      <c r="AA78" s="490"/>
      <c r="AB78" s="490"/>
      <c r="AC78" s="487"/>
      <c r="AD78" s="637"/>
      <c r="AE78" s="488"/>
      <c r="AF78" s="490"/>
      <c r="AG78" s="490"/>
      <c r="AH78" s="487"/>
      <c r="AI78" s="637"/>
      <c r="AJ78" s="488"/>
      <c r="AK78" s="490"/>
      <c r="AL78" s="490"/>
      <c r="AM78" s="487"/>
      <c r="AN78" s="637"/>
      <c r="AO78" s="488"/>
      <c r="AP78" s="490"/>
      <c r="AQ78" s="490"/>
      <c r="AR78" s="487"/>
      <c r="AS78" s="637"/>
      <c r="AT78" s="487"/>
      <c r="AU78" s="420"/>
      <c r="AV78" s="420"/>
      <c r="AW78" s="487"/>
      <c r="AX78" s="637"/>
      <c r="AZ78" s="402" t="e">
        <f t="shared" si="46"/>
        <v>#N/A</v>
      </c>
      <c r="BA78" s="637"/>
    </row>
    <row r="79" spans="2:53">
      <c r="B79" s="635"/>
      <c r="C79" s="415">
        <v>13</v>
      </c>
      <c r="D79" s="225"/>
      <c r="E79" s="420"/>
      <c r="F79" s="500"/>
      <c r="G79" s="501"/>
      <c r="H79" s="672"/>
      <c r="I79" s="417" t="str">
        <f t="shared" si="43"/>
        <v>-</v>
      </c>
      <c r="J79" s="417" t="str">
        <f t="shared" si="44"/>
        <v>-</v>
      </c>
      <c r="K79" s="199" t="str">
        <f t="shared" si="45"/>
        <v>-</v>
      </c>
      <c r="L79" s="609"/>
      <c r="M79" s="421" t="e">
        <f>RANK(K79, K$67:$K$81)</f>
        <v>#VALUE!</v>
      </c>
      <c r="N79" s="627"/>
      <c r="O79" s="627"/>
      <c r="P79" s="488"/>
      <c r="Q79" s="490"/>
      <c r="R79" s="490"/>
      <c r="S79" s="487"/>
      <c r="T79" s="637"/>
      <c r="U79" s="488"/>
      <c r="V79" s="490"/>
      <c r="W79" s="490"/>
      <c r="X79" s="487"/>
      <c r="Y79" s="637"/>
      <c r="Z79" s="488"/>
      <c r="AA79" s="490"/>
      <c r="AB79" s="490"/>
      <c r="AC79" s="487"/>
      <c r="AD79" s="637"/>
      <c r="AE79" s="488"/>
      <c r="AF79" s="490"/>
      <c r="AG79" s="490"/>
      <c r="AH79" s="487"/>
      <c r="AI79" s="637"/>
      <c r="AJ79" s="488"/>
      <c r="AK79" s="490"/>
      <c r="AL79" s="490"/>
      <c r="AM79" s="487"/>
      <c r="AN79" s="637"/>
      <c r="AO79" s="488"/>
      <c r="AP79" s="490"/>
      <c r="AQ79" s="490"/>
      <c r="AR79" s="487"/>
      <c r="AS79" s="637"/>
      <c r="AT79" s="487"/>
      <c r="AU79" s="420"/>
      <c r="AV79" s="420"/>
      <c r="AW79" s="487"/>
      <c r="AX79" s="637"/>
      <c r="AZ79" s="402" t="e">
        <f t="shared" si="46"/>
        <v>#N/A</v>
      </c>
      <c r="BA79" s="637"/>
    </row>
    <row r="80" spans="2:53">
      <c r="B80" s="635"/>
      <c r="C80" s="415">
        <v>14</v>
      </c>
      <c r="D80" s="225"/>
      <c r="E80" s="420"/>
      <c r="F80" s="500"/>
      <c r="G80" s="501"/>
      <c r="H80" s="672"/>
      <c r="I80" s="417" t="str">
        <f t="shared" si="43"/>
        <v>-</v>
      </c>
      <c r="J80" s="417" t="str">
        <f t="shared" si="44"/>
        <v>-</v>
      </c>
      <c r="K80" s="199" t="str">
        <f t="shared" si="45"/>
        <v>-</v>
      </c>
      <c r="L80" s="609"/>
      <c r="M80" s="421" t="e">
        <f>RANK(K80, K$67:$K$81)</f>
        <v>#VALUE!</v>
      </c>
      <c r="N80" s="627"/>
      <c r="O80" s="627"/>
      <c r="P80" s="488"/>
      <c r="Q80" s="490"/>
      <c r="R80" s="490"/>
      <c r="S80" s="487"/>
      <c r="T80" s="637"/>
      <c r="U80" s="488"/>
      <c r="V80" s="490"/>
      <c r="W80" s="490"/>
      <c r="X80" s="487"/>
      <c r="Y80" s="637"/>
      <c r="Z80" s="488"/>
      <c r="AA80" s="490"/>
      <c r="AB80" s="490"/>
      <c r="AC80" s="487"/>
      <c r="AD80" s="637"/>
      <c r="AE80" s="488"/>
      <c r="AF80" s="490"/>
      <c r="AG80" s="490"/>
      <c r="AH80" s="487"/>
      <c r="AI80" s="637"/>
      <c r="AJ80" s="488"/>
      <c r="AK80" s="490"/>
      <c r="AL80" s="490"/>
      <c r="AM80" s="487"/>
      <c r="AN80" s="637"/>
      <c r="AO80" s="488"/>
      <c r="AP80" s="490"/>
      <c r="AQ80" s="490"/>
      <c r="AR80" s="487"/>
      <c r="AS80" s="637"/>
      <c r="AT80" s="487"/>
      <c r="AU80" s="420"/>
      <c r="AV80" s="420"/>
      <c r="AW80" s="487"/>
      <c r="AX80" s="637"/>
      <c r="AZ80" s="402" t="e">
        <f t="shared" si="46"/>
        <v>#N/A</v>
      </c>
      <c r="BA80" s="637"/>
    </row>
    <row r="81" spans="2:53">
      <c r="B81" s="635"/>
      <c r="C81" s="415">
        <v>15</v>
      </c>
      <c r="D81" s="225"/>
      <c r="E81" s="420"/>
      <c r="F81" s="500"/>
      <c r="G81" s="501"/>
      <c r="H81" s="676"/>
      <c r="I81" s="415"/>
      <c r="J81" s="415"/>
      <c r="K81" s="415"/>
      <c r="L81" s="610"/>
      <c r="M81" s="421" t="e">
        <f>RANK(K81, K$47:$K$61)</f>
        <v>#N/A</v>
      </c>
      <c r="N81" s="627"/>
      <c r="O81" s="627"/>
      <c r="P81" s="488"/>
      <c r="Q81" s="490"/>
      <c r="R81" s="490"/>
      <c r="S81" s="487"/>
      <c r="T81" s="638"/>
      <c r="U81" s="488"/>
      <c r="V81" s="490"/>
      <c r="W81" s="490"/>
      <c r="X81" s="487"/>
      <c r="Y81" s="638"/>
      <c r="Z81" s="488"/>
      <c r="AA81" s="490"/>
      <c r="AB81" s="490"/>
      <c r="AC81" s="487"/>
      <c r="AD81" s="638"/>
      <c r="AE81" s="488"/>
      <c r="AF81" s="490"/>
      <c r="AG81" s="490"/>
      <c r="AH81" s="487"/>
      <c r="AI81" s="638"/>
      <c r="AJ81" s="488"/>
      <c r="AK81" s="490"/>
      <c r="AL81" s="490"/>
      <c r="AM81" s="487"/>
      <c r="AN81" s="638"/>
      <c r="AO81" s="488"/>
      <c r="AP81" s="490"/>
      <c r="AQ81" s="490"/>
      <c r="AR81" s="487"/>
      <c r="AS81" s="638"/>
      <c r="AT81" s="487"/>
      <c r="AU81" s="420"/>
      <c r="AV81" s="420"/>
      <c r="AW81" s="487"/>
      <c r="AX81" s="638"/>
      <c r="AZ81" s="402" t="e">
        <f t="shared" si="46"/>
        <v>#N/A</v>
      </c>
      <c r="BA81" s="638"/>
    </row>
    <row r="82" spans="2:53" ht="15.75">
      <c r="B82" s="639" t="s">
        <v>163</v>
      </c>
      <c r="C82" s="640"/>
      <c r="D82" s="640"/>
      <c r="E82" s="640"/>
      <c r="F82" s="640"/>
      <c r="G82" s="640"/>
      <c r="H82" s="641"/>
      <c r="I82" s="207"/>
      <c r="J82" s="207"/>
      <c r="K82" s="207"/>
      <c r="L82" s="207"/>
      <c r="M82" s="206"/>
      <c r="N82" s="628" t="s">
        <v>156</v>
      </c>
      <c r="O82" s="628" t="s">
        <v>105</v>
      </c>
      <c r="P82" s="634">
        <f>P62+7</f>
        <v>46168</v>
      </c>
      <c r="Q82" s="635"/>
      <c r="R82" s="635"/>
      <c r="S82" s="635"/>
      <c r="T82" s="635"/>
      <c r="U82" s="631">
        <f>P82+1</f>
        <v>46169</v>
      </c>
      <c r="V82" s="632"/>
      <c r="W82" s="632"/>
      <c r="X82" s="632"/>
      <c r="Y82" s="633"/>
      <c r="Z82" s="631">
        <f>U82+1</f>
        <v>46170</v>
      </c>
      <c r="AA82" s="632"/>
      <c r="AB82" s="632"/>
      <c r="AC82" s="632"/>
      <c r="AD82" s="633"/>
      <c r="AE82" s="631">
        <f>Z82+1</f>
        <v>46171</v>
      </c>
      <c r="AF82" s="632"/>
      <c r="AG82" s="632"/>
      <c r="AH82" s="632"/>
      <c r="AI82" s="633"/>
      <c r="AJ82" s="631">
        <f>AE82+1</f>
        <v>46172</v>
      </c>
      <c r="AK82" s="632"/>
      <c r="AL82" s="632"/>
      <c r="AM82" s="632"/>
      <c r="AN82" s="633"/>
      <c r="AO82" s="631">
        <f>AJ82+1</f>
        <v>46173</v>
      </c>
      <c r="AP82" s="632"/>
      <c r="AQ82" s="632"/>
      <c r="AR82" s="632"/>
      <c r="AS82" s="633"/>
      <c r="AT82" s="631">
        <f>AO82+1</f>
        <v>46174</v>
      </c>
      <c r="AU82" s="632"/>
      <c r="AV82" s="632"/>
      <c r="AW82" s="632"/>
      <c r="AX82" s="633"/>
    </row>
    <row r="83" spans="2:53" ht="15.75">
      <c r="B83" s="642"/>
      <c r="C83" s="642"/>
      <c r="D83" s="642"/>
      <c r="E83" s="642"/>
      <c r="F83" s="642"/>
      <c r="G83" s="642"/>
      <c r="H83" s="642"/>
      <c r="I83" s="204"/>
      <c r="J83" s="204"/>
      <c r="K83" s="204"/>
      <c r="L83" s="204"/>
      <c r="M83" s="205"/>
      <c r="N83" s="630"/>
      <c r="O83" s="630"/>
      <c r="P83" s="634" t="s">
        <v>318</v>
      </c>
      <c r="Q83" s="635"/>
      <c r="R83" s="635"/>
      <c r="S83" s="635"/>
      <c r="T83" s="635"/>
      <c r="U83" s="634" t="s">
        <v>319</v>
      </c>
      <c r="V83" s="635"/>
      <c r="W83" s="635"/>
      <c r="X83" s="635"/>
      <c r="Y83" s="635"/>
      <c r="Z83" s="634" t="s">
        <v>320</v>
      </c>
      <c r="AA83" s="635"/>
      <c r="AB83" s="635"/>
      <c r="AC83" s="635"/>
      <c r="AD83" s="635"/>
      <c r="AE83" s="634" t="s">
        <v>321</v>
      </c>
      <c r="AF83" s="635"/>
      <c r="AG83" s="635"/>
      <c r="AH83" s="635"/>
      <c r="AI83" s="635"/>
      <c r="AJ83" s="634" t="s">
        <v>322</v>
      </c>
      <c r="AK83" s="635"/>
      <c r="AL83" s="635"/>
      <c r="AM83" s="635"/>
      <c r="AN83" s="635"/>
      <c r="AO83" s="634" t="s">
        <v>323</v>
      </c>
      <c r="AP83" s="635"/>
      <c r="AQ83" s="635"/>
      <c r="AR83" s="635"/>
      <c r="AS83" s="635"/>
      <c r="AT83" s="634" t="s">
        <v>324</v>
      </c>
      <c r="AU83" s="635"/>
      <c r="AV83" s="635"/>
      <c r="AW83" s="635"/>
      <c r="AX83" s="635"/>
    </row>
    <row r="84" spans="2:53">
      <c r="B84" s="627" t="s">
        <v>417</v>
      </c>
      <c r="C84" s="627" t="s">
        <v>551</v>
      </c>
      <c r="D84" s="627"/>
      <c r="E84" s="627" t="s">
        <v>552</v>
      </c>
      <c r="F84" s="627"/>
      <c r="G84" s="627"/>
      <c r="H84" s="643" t="s">
        <v>553</v>
      </c>
      <c r="I84" s="627" t="s">
        <v>554</v>
      </c>
      <c r="J84" s="627"/>
      <c r="K84" s="627"/>
      <c r="L84" s="643" t="s">
        <v>371</v>
      </c>
      <c r="M84" s="628" t="s">
        <v>555</v>
      </c>
      <c r="N84" s="627"/>
      <c r="O84" s="627" t="s">
        <v>377</v>
      </c>
      <c r="P84" s="624" t="s">
        <v>373</v>
      </c>
      <c r="Q84" s="625"/>
      <c r="R84" s="625"/>
      <c r="S84" s="626"/>
      <c r="T84" s="627" t="s">
        <v>371</v>
      </c>
      <c r="U84" s="624" t="s">
        <v>373</v>
      </c>
      <c r="V84" s="625"/>
      <c r="W84" s="625"/>
      <c r="X84" s="626"/>
      <c r="Y84" s="627" t="s">
        <v>371</v>
      </c>
      <c r="Z84" s="624" t="s">
        <v>373</v>
      </c>
      <c r="AA84" s="625"/>
      <c r="AB84" s="625"/>
      <c r="AC84" s="626"/>
      <c r="AD84" s="627" t="s">
        <v>371</v>
      </c>
      <c r="AE84" s="624" t="s">
        <v>373</v>
      </c>
      <c r="AF84" s="625"/>
      <c r="AG84" s="625"/>
      <c r="AH84" s="626"/>
      <c r="AI84" s="627" t="s">
        <v>371</v>
      </c>
      <c r="AJ84" s="624" t="s">
        <v>373</v>
      </c>
      <c r="AK84" s="625"/>
      <c r="AL84" s="625"/>
      <c r="AM84" s="626"/>
      <c r="AN84" s="627" t="s">
        <v>371</v>
      </c>
      <c r="AO84" s="624" t="s">
        <v>373</v>
      </c>
      <c r="AP84" s="625"/>
      <c r="AQ84" s="625"/>
      <c r="AR84" s="626"/>
      <c r="AS84" s="627" t="s">
        <v>371</v>
      </c>
      <c r="AT84" s="624" t="s">
        <v>373</v>
      </c>
      <c r="AU84" s="625"/>
      <c r="AV84" s="625"/>
      <c r="AW84" s="626"/>
      <c r="AX84" s="627" t="s">
        <v>371</v>
      </c>
      <c r="BA84" s="627" t="s">
        <v>371</v>
      </c>
    </row>
    <row r="85" spans="2:53">
      <c r="B85" s="627"/>
      <c r="C85" s="627"/>
      <c r="D85" s="627"/>
      <c r="E85" s="627" t="s">
        <v>557</v>
      </c>
      <c r="F85" s="627"/>
      <c r="G85" s="627"/>
      <c r="H85" s="644"/>
      <c r="I85" s="627" t="s">
        <v>557</v>
      </c>
      <c r="J85" s="627"/>
      <c r="K85" s="627"/>
      <c r="L85" s="644"/>
      <c r="M85" s="629"/>
      <c r="N85" s="627"/>
      <c r="O85" s="627"/>
      <c r="P85" s="624" t="s">
        <v>379</v>
      </c>
      <c r="Q85" s="625"/>
      <c r="R85" s="625"/>
      <c r="S85" s="626"/>
      <c r="T85" s="627"/>
      <c r="U85" s="624" t="s">
        <v>379</v>
      </c>
      <c r="V85" s="625"/>
      <c r="W85" s="625"/>
      <c r="X85" s="626"/>
      <c r="Y85" s="627"/>
      <c r="Z85" s="624" t="s">
        <v>379</v>
      </c>
      <c r="AA85" s="625"/>
      <c r="AB85" s="625"/>
      <c r="AC85" s="626"/>
      <c r="AD85" s="627"/>
      <c r="AE85" s="624" t="s">
        <v>379</v>
      </c>
      <c r="AF85" s="625"/>
      <c r="AG85" s="625"/>
      <c r="AH85" s="626"/>
      <c r="AI85" s="627"/>
      <c r="AJ85" s="624" t="s">
        <v>379</v>
      </c>
      <c r="AK85" s="625"/>
      <c r="AL85" s="625"/>
      <c r="AM85" s="626"/>
      <c r="AN85" s="627"/>
      <c r="AO85" s="624" t="s">
        <v>379</v>
      </c>
      <c r="AP85" s="625"/>
      <c r="AQ85" s="625"/>
      <c r="AR85" s="626"/>
      <c r="AS85" s="627"/>
      <c r="AT85" s="624" t="s">
        <v>379</v>
      </c>
      <c r="AU85" s="625"/>
      <c r="AV85" s="625"/>
      <c r="AW85" s="626"/>
      <c r="AX85" s="627"/>
      <c r="BA85" s="627"/>
    </row>
    <row r="86" spans="2:53">
      <c r="B86" s="627"/>
      <c r="C86" s="627"/>
      <c r="D86" s="627"/>
      <c r="E86" s="412" t="s">
        <v>558</v>
      </c>
      <c r="F86" s="412" t="s">
        <v>559</v>
      </c>
      <c r="G86" s="412" t="s">
        <v>560</v>
      </c>
      <c r="H86" s="645"/>
      <c r="I86" s="412" t="s">
        <v>558</v>
      </c>
      <c r="J86" s="412" t="s">
        <v>559</v>
      </c>
      <c r="K86" s="412" t="s">
        <v>560</v>
      </c>
      <c r="L86" s="645"/>
      <c r="M86" s="630"/>
      <c r="N86" s="627"/>
      <c r="O86" s="627"/>
      <c r="P86" s="412" t="s">
        <v>380</v>
      </c>
      <c r="Q86" s="412" t="s">
        <v>381</v>
      </c>
      <c r="R86" s="412" t="s">
        <v>382</v>
      </c>
      <c r="S86" s="412" t="s">
        <v>372</v>
      </c>
      <c r="T86" s="627"/>
      <c r="U86" s="412" t="s">
        <v>380</v>
      </c>
      <c r="V86" s="412" t="s">
        <v>381</v>
      </c>
      <c r="W86" s="412" t="s">
        <v>382</v>
      </c>
      <c r="X86" s="412" t="s">
        <v>372</v>
      </c>
      <c r="Y86" s="627"/>
      <c r="Z86" s="412" t="s">
        <v>380</v>
      </c>
      <c r="AA86" s="412" t="s">
        <v>381</v>
      </c>
      <c r="AB86" s="412" t="s">
        <v>382</v>
      </c>
      <c r="AC86" s="412" t="s">
        <v>372</v>
      </c>
      <c r="AD86" s="627"/>
      <c r="AE86" s="412" t="s">
        <v>380</v>
      </c>
      <c r="AF86" s="412" t="s">
        <v>381</v>
      </c>
      <c r="AG86" s="412" t="s">
        <v>382</v>
      </c>
      <c r="AH86" s="412" t="s">
        <v>372</v>
      </c>
      <c r="AI86" s="627"/>
      <c r="AJ86" s="412" t="s">
        <v>380</v>
      </c>
      <c r="AK86" s="412" t="s">
        <v>381</v>
      </c>
      <c r="AL86" s="412" t="s">
        <v>382</v>
      </c>
      <c r="AM86" s="412" t="s">
        <v>372</v>
      </c>
      <c r="AN86" s="627"/>
      <c r="AO86" s="412" t="s">
        <v>380</v>
      </c>
      <c r="AP86" s="412" t="s">
        <v>381</v>
      </c>
      <c r="AQ86" s="412" t="s">
        <v>382</v>
      </c>
      <c r="AR86" s="412" t="s">
        <v>372</v>
      </c>
      <c r="AS86" s="627"/>
      <c r="AT86" s="412" t="s">
        <v>380</v>
      </c>
      <c r="AU86" s="412" t="s">
        <v>381</v>
      </c>
      <c r="AV86" s="412" t="s">
        <v>382</v>
      </c>
      <c r="AW86" s="412" t="s">
        <v>372</v>
      </c>
      <c r="AX86" s="627"/>
      <c r="AZ86" s="401" t="s">
        <v>372</v>
      </c>
      <c r="BA86" s="627"/>
    </row>
    <row r="87" spans="2:53">
      <c r="B87" s="627" t="s">
        <v>431</v>
      </c>
      <c r="C87" s="415">
        <v>1</v>
      </c>
      <c r="D87" s="225"/>
      <c r="E87" s="420"/>
      <c r="F87" s="413"/>
      <c r="G87" s="414"/>
      <c r="H87" s="671" t="e">
        <f>AVERAGE(G87:G101)</f>
        <v>#DIV/0!</v>
      </c>
      <c r="I87" s="417" t="str">
        <f t="shared" ref="I87:I100" si="48">IFERROR(AVERAGE(P87,U87,Z87,AE87,AJ87,AO87,AT87),"-")</f>
        <v>-</v>
      </c>
      <c r="J87" s="417" t="str">
        <f t="shared" ref="J87:J100" si="49">IFERROR(AVERAGE(Q87,V87,AA87,AF87,AK87,AP87,AU87),"-")</f>
        <v>-</v>
      </c>
      <c r="K87" s="199" t="str">
        <f t="shared" ref="K87:K100" si="50">IFERROR(AVERAGE(R87,W87,AB87,AG87,AL87,AQ87,AV87),"-")</f>
        <v>-</v>
      </c>
      <c r="L87" s="608" t="str">
        <f>IFERROR(AVERAGE(K87:K101),"-")</f>
        <v>-</v>
      </c>
      <c r="M87" s="421" t="e">
        <f>RANK(K87, K$67:$K$81)</f>
        <v>#VALUE!</v>
      </c>
      <c r="N87" s="627"/>
      <c r="O87" s="627"/>
      <c r="P87" s="496"/>
      <c r="Q87" s="497"/>
      <c r="R87" s="497"/>
      <c r="S87" s="495"/>
      <c r="T87" s="649"/>
      <c r="U87" s="496"/>
      <c r="V87" s="497"/>
      <c r="W87" s="497"/>
      <c r="X87" s="495"/>
      <c r="Y87" s="649"/>
      <c r="Z87" s="496"/>
      <c r="AA87" s="497"/>
      <c r="AB87" s="497"/>
      <c r="AC87" s="495"/>
      <c r="AD87" s="649"/>
      <c r="AE87" s="496"/>
      <c r="AF87" s="497"/>
      <c r="AG87" s="497"/>
      <c r="AH87" s="495"/>
      <c r="AI87" s="649"/>
      <c r="AJ87" s="496"/>
      <c r="AK87" s="497"/>
      <c r="AL87" s="497"/>
      <c r="AM87" s="495"/>
      <c r="AN87" s="649"/>
      <c r="AO87" s="496"/>
      <c r="AP87" s="497"/>
      <c r="AQ87" s="497"/>
      <c r="AR87" s="495"/>
      <c r="AS87" s="649"/>
      <c r="AT87" s="495"/>
      <c r="AU87" s="420"/>
      <c r="AV87" s="420"/>
      <c r="AW87" s="495"/>
      <c r="AX87" s="649"/>
      <c r="AZ87" s="402" t="e">
        <f t="shared" ref="AZ87:AZ101" si="51">RANK(AY87, AY$87:AY$101)</f>
        <v>#N/A</v>
      </c>
      <c r="BA87" s="649" t="e">
        <f t="shared" ref="BA87" si="52">AVERAGE(AY87:AY101)</f>
        <v>#DIV/0!</v>
      </c>
    </row>
    <row r="88" spans="2:53">
      <c r="B88" s="635"/>
      <c r="C88" s="415">
        <v>2</v>
      </c>
      <c r="D88" s="225"/>
      <c r="E88" s="420"/>
      <c r="F88" s="413"/>
      <c r="G88" s="414"/>
      <c r="H88" s="672"/>
      <c r="I88" s="417" t="str">
        <f t="shared" si="48"/>
        <v>-</v>
      </c>
      <c r="J88" s="417" t="str">
        <f t="shared" si="49"/>
        <v>-</v>
      </c>
      <c r="K88" s="199" t="str">
        <f t="shared" si="50"/>
        <v>-</v>
      </c>
      <c r="L88" s="609"/>
      <c r="M88" s="421" t="e">
        <f>RANK(K88, K$67:$K$81)</f>
        <v>#VALUE!</v>
      </c>
      <c r="N88" s="627"/>
      <c r="O88" s="627"/>
      <c r="P88" s="496"/>
      <c r="Q88" s="497"/>
      <c r="R88" s="497"/>
      <c r="S88" s="495"/>
      <c r="T88" s="649"/>
      <c r="U88" s="496"/>
      <c r="V88" s="497"/>
      <c r="W88" s="497"/>
      <c r="X88" s="495"/>
      <c r="Y88" s="649"/>
      <c r="Z88" s="496"/>
      <c r="AA88" s="497"/>
      <c r="AB88" s="497"/>
      <c r="AC88" s="495"/>
      <c r="AD88" s="649"/>
      <c r="AE88" s="496"/>
      <c r="AF88" s="497"/>
      <c r="AG88" s="497"/>
      <c r="AH88" s="495"/>
      <c r="AI88" s="649"/>
      <c r="AJ88" s="496"/>
      <c r="AK88" s="497"/>
      <c r="AL88" s="497"/>
      <c r="AM88" s="495"/>
      <c r="AN88" s="649"/>
      <c r="AO88" s="496"/>
      <c r="AP88" s="497"/>
      <c r="AQ88" s="497"/>
      <c r="AR88" s="495"/>
      <c r="AS88" s="649"/>
      <c r="AT88" s="495"/>
      <c r="AU88" s="420"/>
      <c r="AV88" s="420"/>
      <c r="AW88" s="495"/>
      <c r="AX88" s="649"/>
      <c r="AZ88" s="402" t="e">
        <f t="shared" si="51"/>
        <v>#N/A</v>
      </c>
      <c r="BA88" s="649"/>
    </row>
    <row r="89" spans="2:53">
      <c r="B89" s="635"/>
      <c r="C89" s="415">
        <v>3</v>
      </c>
      <c r="D89" s="225"/>
      <c r="E89" s="420"/>
      <c r="F89" s="413"/>
      <c r="G89" s="414"/>
      <c r="H89" s="672"/>
      <c r="I89" s="417" t="str">
        <f t="shared" si="48"/>
        <v>-</v>
      </c>
      <c r="J89" s="417" t="str">
        <f t="shared" si="49"/>
        <v>-</v>
      </c>
      <c r="K89" s="199" t="str">
        <f t="shared" si="50"/>
        <v>-</v>
      </c>
      <c r="L89" s="609"/>
      <c r="M89" s="421" t="e">
        <f>RANK(K89, K$67:$K$81)</f>
        <v>#VALUE!</v>
      </c>
      <c r="N89" s="627"/>
      <c r="O89" s="627"/>
      <c r="P89" s="496"/>
      <c r="Q89" s="497"/>
      <c r="R89" s="497"/>
      <c r="S89" s="495"/>
      <c r="T89" s="649"/>
      <c r="U89" s="496"/>
      <c r="V89" s="497"/>
      <c r="W89" s="497"/>
      <c r="X89" s="495"/>
      <c r="Y89" s="649"/>
      <c r="Z89" s="496"/>
      <c r="AA89" s="497"/>
      <c r="AB89" s="497"/>
      <c r="AC89" s="495"/>
      <c r="AD89" s="649"/>
      <c r="AE89" s="496"/>
      <c r="AF89" s="497"/>
      <c r="AG89" s="497"/>
      <c r="AH89" s="495"/>
      <c r="AI89" s="649"/>
      <c r="AJ89" s="496"/>
      <c r="AK89" s="497"/>
      <c r="AL89" s="497"/>
      <c r="AM89" s="495"/>
      <c r="AN89" s="649"/>
      <c r="AO89" s="496"/>
      <c r="AP89" s="497"/>
      <c r="AQ89" s="497"/>
      <c r="AR89" s="495"/>
      <c r="AS89" s="649"/>
      <c r="AT89" s="495"/>
      <c r="AU89" s="420"/>
      <c r="AV89" s="420"/>
      <c r="AW89" s="495"/>
      <c r="AX89" s="649"/>
      <c r="AZ89" s="402" t="e">
        <f t="shared" si="51"/>
        <v>#N/A</v>
      </c>
      <c r="BA89" s="649"/>
    </row>
    <row r="90" spans="2:53">
      <c r="B90" s="635"/>
      <c r="C90" s="415">
        <v>4</v>
      </c>
      <c r="D90" s="225"/>
      <c r="E90" s="420"/>
      <c r="F90" s="413"/>
      <c r="G90" s="414"/>
      <c r="H90" s="672"/>
      <c r="I90" s="417" t="str">
        <f t="shared" si="48"/>
        <v>-</v>
      </c>
      <c r="J90" s="417" t="str">
        <f t="shared" si="49"/>
        <v>-</v>
      </c>
      <c r="K90" s="199" t="str">
        <f t="shared" si="50"/>
        <v>-</v>
      </c>
      <c r="L90" s="609"/>
      <c r="M90" s="421" t="e">
        <f>RANK(K90, K$67:$K$81)</f>
        <v>#VALUE!</v>
      </c>
      <c r="N90" s="627"/>
      <c r="O90" s="627"/>
      <c r="P90" s="496"/>
      <c r="Q90" s="497"/>
      <c r="R90" s="497"/>
      <c r="S90" s="495"/>
      <c r="T90" s="649"/>
      <c r="U90" s="496"/>
      <c r="V90" s="497"/>
      <c r="W90" s="497"/>
      <c r="X90" s="495"/>
      <c r="Y90" s="649"/>
      <c r="Z90" s="496"/>
      <c r="AA90" s="497"/>
      <c r="AB90" s="497"/>
      <c r="AC90" s="495"/>
      <c r="AD90" s="649"/>
      <c r="AE90" s="496"/>
      <c r="AF90" s="497"/>
      <c r="AG90" s="497"/>
      <c r="AH90" s="495"/>
      <c r="AI90" s="649"/>
      <c r="AJ90" s="496"/>
      <c r="AK90" s="497"/>
      <c r="AL90" s="497"/>
      <c r="AM90" s="495"/>
      <c r="AN90" s="649"/>
      <c r="AO90" s="496"/>
      <c r="AP90" s="497"/>
      <c r="AQ90" s="497"/>
      <c r="AR90" s="495"/>
      <c r="AS90" s="649"/>
      <c r="AT90" s="495"/>
      <c r="AU90" s="420"/>
      <c r="AV90" s="420"/>
      <c r="AW90" s="495"/>
      <c r="AX90" s="649"/>
      <c r="AZ90" s="402" t="e">
        <f t="shared" si="51"/>
        <v>#N/A</v>
      </c>
      <c r="BA90" s="649"/>
    </row>
    <row r="91" spans="2:53">
      <c r="B91" s="635"/>
      <c r="C91" s="415">
        <v>5</v>
      </c>
      <c r="D91" s="225"/>
      <c r="E91" s="420"/>
      <c r="F91" s="413"/>
      <c r="G91" s="414"/>
      <c r="H91" s="672"/>
      <c r="I91" s="417" t="str">
        <f t="shared" si="48"/>
        <v>-</v>
      </c>
      <c r="J91" s="417" t="str">
        <f t="shared" si="49"/>
        <v>-</v>
      </c>
      <c r="K91" s="199" t="str">
        <f t="shared" si="50"/>
        <v>-</v>
      </c>
      <c r="L91" s="609"/>
      <c r="M91" s="421" t="e">
        <f>RANK(K91, K$67:$K$81)</f>
        <v>#VALUE!</v>
      </c>
      <c r="N91" s="627"/>
      <c r="O91" s="627"/>
      <c r="P91" s="496"/>
      <c r="Q91" s="497"/>
      <c r="R91" s="497"/>
      <c r="S91" s="495"/>
      <c r="T91" s="649"/>
      <c r="U91" s="496"/>
      <c r="V91" s="497"/>
      <c r="W91" s="497"/>
      <c r="X91" s="495"/>
      <c r="Y91" s="649"/>
      <c r="Z91" s="496"/>
      <c r="AA91" s="497"/>
      <c r="AB91" s="497"/>
      <c r="AC91" s="495"/>
      <c r="AD91" s="649"/>
      <c r="AE91" s="496"/>
      <c r="AF91" s="497"/>
      <c r="AG91" s="497"/>
      <c r="AH91" s="495"/>
      <c r="AI91" s="649"/>
      <c r="AJ91" s="496"/>
      <c r="AK91" s="497"/>
      <c r="AL91" s="497"/>
      <c r="AM91" s="495"/>
      <c r="AN91" s="649"/>
      <c r="AO91" s="496"/>
      <c r="AP91" s="497"/>
      <c r="AQ91" s="497"/>
      <c r="AR91" s="495"/>
      <c r="AS91" s="649"/>
      <c r="AT91" s="495"/>
      <c r="AU91" s="420"/>
      <c r="AV91" s="420"/>
      <c r="AW91" s="495"/>
      <c r="AX91" s="649"/>
      <c r="AZ91" s="402" t="e">
        <f t="shared" si="51"/>
        <v>#N/A</v>
      </c>
      <c r="BA91" s="649"/>
    </row>
    <row r="92" spans="2:53">
      <c r="B92" s="635"/>
      <c r="C92" s="415">
        <v>6</v>
      </c>
      <c r="D92" s="225"/>
      <c r="E92" s="420"/>
      <c r="F92" s="413"/>
      <c r="G92" s="414"/>
      <c r="H92" s="672"/>
      <c r="I92" s="417" t="str">
        <f t="shared" si="48"/>
        <v>-</v>
      </c>
      <c r="J92" s="417" t="str">
        <f t="shared" si="49"/>
        <v>-</v>
      </c>
      <c r="K92" s="199" t="str">
        <f t="shared" si="50"/>
        <v>-</v>
      </c>
      <c r="L92" s="609"/>
      <c r="M92" s="421" t="e">
        <f>RANK(K92, K$67:$K$81)</f>
        <v>#VALUE!</v>
      </c>
      <c r="N92" s="627"/>
      <c r="O92" s="627"/>
      <c r="P92" s="496"/>
      <c r="Q92" s="497"/>
      <c r="R92" s="497"/>
      <c r="S92" s="495"/>
      <c r="T92" s="649"/>
      <c r="U92" s="496"/>
      <c r="V92" s="497"/>
      <c r="W92" s="497"/>
      <c r="X92" s="495"/>
      <c r="Y92" s="649"/>
      <c r="Z92" s="496"/>
      <c r="AA92" s="497"/>
      <c r="AB92" s="497"/>
      <c r="AC92" s="495"/>
      <c r="AD92" s="649"/>
      <c r="AE92" s="496"/>
      <c r="AF92" s="497"/>
      <c r="AG92" s="497"/>
      <c r="AH92" s="495"/>
      <c r="AI92" s="649"/>
      <c r="AJ92" s="496"/>
      <c r="AK92" s="497"/>
      <c r="AL92" s="497"/>
      <c r="AM92" s="495"/>
      <c r="AN92" s="649"/>
      <c r="AO92" s="496"/>
      <c r="AP92" s="497"/>
      <c r="AQ92" s="497"/>
      <c r="AR92" s="495"/>
      <c r="AS92" s="649"/>
      <c r="AT92" s="495"/>
      <c r="AU92" s="420"/>
      <c r="AV92" s="420"/>
      <c r="AW92" s="495"/>
      <c r="AX92" s="649"/>
      <c r="AZ92" s="402" t="e">
        <f t="shared" si="51"/>
        <v>#N/A</v>
      </c>
      <c r="BA92" s="649"/>
    </row>
    <row r="93" spans="2:53">
      <c r="B93" s="635"/>
      <c r="C93" s="415">
        <v>7</v>
      </c>
      <c r="D93" s="225"/>
      <c r="E93" s="420"/>
      <c r="F93" s="413"/>
      <c r="G93" s="414"/>
      <c r="H93" s="672"/>
      <c r="I93" s="417" t="str">
        <f t="shared" si="48"/>
        <v>-</v>
      </c>
      <c r="J93" s="417" t="str">
        <f t="shared" si="49"/>
        <v>-</v>
      </c>
      <c r="K93" s="199" t="str">
        <f t="shared" si="50"/>
        <v>-</v>
      </c>
      <c r="L93" s="609"/>
      <c r="M93" s="421" t="e">
        <f>RANK(K93, K$67:$K$81)</f>
        <v>#VALUE!</v>
      </c>
      <c r="N93" s="627"/>
      <c r="O93" s="627"/>
      <c r="P93" s="496"/>
      <c r="Q93" s="497"/>
      <c r="R93" s="497"/>
      <c r="S93" s="495"/>
      <c r="T93" s="649"/>
      <c r="U93" s="496"/>
      <c r="V93" s="497"/>
      <c r="W93" s="497"/>
      <c r="X93" s="495"/>
      <c r="Y93" s="649"/>
      <c r="Z93" s="496"/>
      <c r="AA93" s="497"/>
      <c r="AB93" s="497"/>
      <c r="AC93" s="495"/>
      <c r="AD93" s="649"/>
      <c r="AE93" s="496"/>
      <c r="AF93" s="497"/>
      <c r="AG93" s="497"/>
      <c r="AH93" s="495"/>
      <c r="AI93" s="649"/>
      <c r="AJ93" s="496"/>
      <c r="AK93" s="497"/>
      <c r="AL93" s="497"/>
      <c r="AM93" s="495"/>
      <c r="AN93" s="649"/>
      <c r="AO93" s="496"/>
      <c r="AP93" s="497"/>
      <c r="AQ93" s="497"/>
      <c r="AR93" s="495"/>
      <c r="AS93" s="649"/>
      <c r="AT93" s="495"/>
      <c r="AU93" s="420"/>
      <c r="AV93" s="420"/>
      <c r="AW93" s="495"/>
      <c r="AX93" s="649"/>
      <c r="AZ93" s="402" t="e">
        <f t="shared" si="51"/>
        <v>#N/A</v>
      </c>
      <c r="BA93" s="649"/>
    </row>
    <row r="94" spans="2:53">
      <c r="B94" s="635"/>
      <c r="C94" s="415">
        <v>8</v>
      </c>
      <c r="D94" s="225"/>
      <c r="E94" s="420"/>
      <c r="F94" s="413"/>
      <c r="G94" s="414"/>
      <c r="H94" s="672"/>
      <c r="I94" s="417" t="str">
        <f t="shared" si="48"/>
        <v>-</v>
      </c>
      <c r="J94" s="417" t="str">
        <f t="shared" si="49"/>
        <v>-</v>
      </c>
      <c r="K94" s="199" t="str">
        <f t="shared" si="50"/>
        <v>-</v>
      </c>
      <c r="L94" s="609"/>
      <c r="M94" s="421" t="e">
        <f>RANK(K94, K$67:$K$81)</f>
        <v>#VALUE!</v>
      </c>
      <c r="N94" s="627"/>
      <c r="O94" s="627"/>
      <c r="P94" s="496"/>
      <c r="Q94" s="497"/>
      <c r="R94" s="497"/>
      <c r="S94" s="495"/>
      <c r="T94" s="649"/>
      <c r="U94" s="496"/>
      <c r="V94" s="497"/>
      <c r="W94" s="497"/>
      <c r="X94" s="495"/>
      <c r="Y94" s="649"/>
      <c r="Z94" s="496"/>
      <c r="AA94" s="497"/>
      <c r="AB94" s="497"/>
      <c r="AC94" s="495"/>
      <c r="AD94" s="649"/>
      <c r="AE94" s="496"/>
      <c r="AF94" s="497"/>
      <c r="AG94" s="497"/>
      <c r="AH94" s="495"/>
      <c r="AI94" s="649"/>
      <c r="AJ94" s="496"/>
      <c r="AK94" s="497"/>
      <c r="AL94" s="497"/>
      <c r="AM94" s="495"/>
      <c r="AN94" s="649"/>
      <c r="AO94" s="496"/>
      <c r="AP94" s="497"/>
      <c r="AQ94" s="497"/>
      <c r="AR94" s="495"/>
      <c r="AS94" s="649"/>
      <c r="AT94" s="495"/>
      <c r="AU94" s="420"/>
      <c r="AV94" s="420"/>
      <c r="AW94" s="495"/>
      <c r="AX94" s="649"/>
      <c r="AZ94" s="402" t="e">
        <f t="shared" si="51"/>
        <v>#N/A</v>
      </c>
      <c r="BA94" s="649"/>
    </row>
    <row r="95" spans="2:53">
      <c r="B95" s="635"/>
      <c r="C95" s="415">
        <v>9</v>
      </c>
      <c r="D95" s="225"/>
      <c r="E95" s="420"/>
      <c r="F95" s="413"/>
      <c r="G95" s="414"/>
      <c r="H95" s="672"/>
      <c r="I95" s="417" t="str">
        <f t="shared" si="48"/>
        <v>-</v>
      </c>
      <c r="J95" s="417" t="str">
        <f t="shared" si="49"/>
        <v>-</v>
      </c>
      <c r="K95" s="199" t="str">
        <f t="shared" si="50"/>
        <v>-</v>
      </c>
      <c r="L95" s="609"/>
      <c r="M95" s="421" t="e">
        <f>RANK(K95, K$67:$K$81)</f>
        <v>#VALUE!</v>
      </c>
      <c r="N95" s="627"/>
      <c r="O95" s="627"/>
      <c r="P95" s="496"/>
      <c r="Q95" s="497"/>
      <c r="R95" s="497"/>
      <c r="S95" s="495"/>
      <c r="T95" s="649"/>
      <c r="U95" s="496"/>
      <c r="V95" s="497"/>
      <c r="W95" s="497"/>
      <c r="X95" s="495"/>
      <c r="Y95" s="649"/>
      <c r="Z95" s="496"/>
      <c r="AA95" s="497"/>
      <c r="AB95" s="497"/>
      <c r="AC95" s="495"/>
      <c r="AD95" s="649"/>
      <c r="AE95" s="496"/>
      <c r="AF95" s="497"/>
      <c r="AG95" s="497"/>
      <c r="AH95" s="495"/>
      <c r="AI95" s="649"/>
      <c r="AJ95" s="496"/>
      <c r="AK95" s="497"/>
      <c r="AL95" s="497"/>
      <c r="AM95" s="495"/>
      <c r="AN95" s="649"/>
      <c r="AO95" s="496"/>
      <c r="AP95" s="497"/>
      <c r="AQ95" s="497"/>
      <c r="AR95" s="495"/>
      <c r="AS95" s="649"/>
      <c r="AT95" s="495"/>
      <c r="AU95" s="420"/>
      <c r="AV95" s="420"/>
      <c r="AW95" s="495"/>
      <c r="AX95" s="649"/>
      <c r="AZ95" s="402" t="e">
        <f t="shared" si="51"/>
        <v>#N/A</v>
      </c>
      <c r="BA95" s="649"/>
    </row>
    <row r="96" spans="2:53">
      <c r="B96" s="635"/>
      <c r="C96" s="415">
        <v>10</v>
      </c>
      <c r="D96" s="225"/>
      <c r="E96" s="420"/>
      <c r="F96" s="413"/>
      <c r="G96" s="414"/>
      <c r="H96" s="672"/>
      <c r="I96" s="417" t="str">
        <f t="shared" si="48"/>
        <v>-</v>
      </c>
      <c r="J96" s="417" t="str">
        <f t="shared" si="49"/>
        <v>-</v>
      </c>
      <c r="K96" s="199" t="str">
        <f t="shared" si="50"/>
        <v>-</v>
      </c>
      <c r="L96" s="609"/>
      <c r="M96" s="421" t="e">
        <f>RANK(K96, K$67:$K$81)</f>
        <v>#VALUE!</v>
      </c>
      <c r="N96" s="627"/>
      <c r="O96" s="627"/>
      <c r="P96" s="496"/>
      <c r="Q96" s="497"/>
      <c r="R96" s="497"/>
      <c r="S96" s="495"/>
      <c r="T96" s="649"/>
      <c r="U96" s="496"/>
      <c r="V96" s="497"/>
      <c r="W96" s="497"/>
      <c r="X96" s="495"/>
      <c r="Y96" s="649"/>
      <c r="Z96" s="496"/>
      <c r="AA96" s="497"/>
      <c r="AB96" s="497"/>
      <c r="AC96" s="495"/>
      <c r="AD96" s="649"/>
      <c r="AE96" s="496"/>
      <c r="AF96" s="497"/>
      <c r="AG96" s="497"/>
      <c r="AH96" s="495"/>
      <c r="AI96" s="649"/>
      <c r="AJ96" s="496"/>
      <c r="AK96" s="497"/>
      <c r="AL96" s="497"/>
      <c r="AM96" s="495"/>
      <c r="AN96" s="649"/>
      <c r="AO96" s="496"/>
      <c r="AP96" s="497"/>
      <c r="AQ96" s="497"/>
      <c r="AR96" s="495"/>
      <c r="AS96" s="649"/>
      <c r="AT96" s="495"/>
      <c r="AU96" s="420"/>
      <c r="AV96" s="420"/>
      <c r="AW96" s="495"/>
      <c r="AX96" s="649"/>
      <c r="AZ96" s="402" t="e">
        <f t="shared" si="51"/>
        <v>#N/A</v>
      </c>
      <c r="BA96" s="649"/>
    </row>
    <row r="97" spans="2:53">
      <c r="B97" s="635"/>
      <c r="C97" s="415">
        <v>11</v>
      </c>
      <c r="D97" s="225"/>
      <c r="E97" s="420"/>
      <c r="F97" s="413"/>
      <c r="G97" s="414"/>
      <c r="H97" s="672"/>
      <c r="I97" s="417" t="str">
        <f t="shared" si="48"/>
        <v>-</v>
      </c>
      <c r="J97" s="417" t="str">
        <f t="shared" si="49"/>
        <v>-</v>
      </c>
      <c r="K97" s="199" t="str">
        <f t="shared" si="50"/>
        <v>-</v>
      </c>
      <c r="L97" s="609"/>
      <c r="M97" s="421" t="e">
        <f>RANK(K97, K$67:$K$81)</f>
        <v>#VALUE!</v>
      </c>
      <c r="N97" s="627"/>
      <c r="O97" s="627"/>
      <c r="P97" s="496"/>
      <c r="Q97" s="497"/>
      <c r="R97" s="497"/>
      <c r="S97" s="495"/>
      <c r="T97" s="649"/>
      <c r="U97" s="496"/>
      <c r="V97" s="497"/>
      <c r="W97" s="497"/>
      <c r="X97" s="495"/>
      <c r="Y97" s="649"/>
      <c r="Z97" s="496"/>
      <c r="AA97" s="497"/>
      <c r="AB97" s="497"/>
      <c r="AC97" s="495"/>
      <c r="AD97" s="649"/>
      <c r="AE97" s="496"/>
      <c r="AF97" s="497"/>
      <c r="AG97" s="497"/>
      <c r="AH97" s="495"/>
      <c r="AI97" s="649"/>
      <c r="AJ97" s="496"/>
      <c r="AK97" s="497"/>
      <c r="AL97" s="497"/>
      <c r="AM97" s="495"/>
      <c r="AN97" s="649"/>
      <c r="AO97" s="496"/>
      <c r="AP97" s="497"/>
      <c r="AQ97" s="497"/>
      <c r="AR97" s="495"/>
      <c r="AS97" s="649"/>
      <c r="AT97" s="495"/>
      <c r="AU97" s="420"/>
      <c r="AV97" s="420"/>
      <c r="AW97" s="495"/>
      <c r="AX97" s="649"/>
      <c r="AZ97" s="402" t="e">
        <f t="shared" si="51"/>
        <v>#N/A</v>
      </c>
      <c r="BA97" s="649"/>
    </row>
    <row r="98" spans="2:53">
      <c r="B98" s="635"/>
      <c r="C98" s="415">
        <v>12</v>
      </c>
      <c r="D98" s="225"/>
      <c r="E98" s="420"/>
      <c r="F98" s="413"/>
      <c r="G98" s="414"/>
      <c r="H98" s="672"/>
      <c r="I98" s="417" t="str">
        <f t="shared" si="48"/>
        <v>-</v>
      </c>
      <c r="J98" s="417" t="str">
        <f t="shared" si="49"/>
        <v>-</v>
      </c>
      <c r="K98" s="199" t="str">
        <f t="shared" si="50"/>
        <v>-</v>
      </c>
      <c r="L98" s="609"/>
      <c r="M98" s="421" t="e">
        <f>RANK(K98, K$67:$K$81)</f>
        <v>#VALUE!</v>
      </c>
      <c r="N98" s="627"/>
      <c r="O98" s="627"/>
      <c r="P98" s="496"/>
      <c r="Q98" s="497"/>
      <c r="R98" s="497"/>
      <c r="S98" s="495"/>
      <c r="T98" s="649"/>
      <c r="U98" s="496"/>
      <c r="V98" s="497"/>
      <c r="W98" s="497"/>
      <c r="X98" s="495"/>
      <c r="Y98" s="649"/>
      <c r="Z98" s="496"/>
      <c r="AA98" s="497"/>
      <c r="AB98" s="497"/>
      <c r="AC98" s="495"/>
      <c r="AD98" s="649"/>
      <c r="AE98" s="496"/>
      <c r="AF98" s="497"/>
      <c r="AG98" s="497"/>
      <c r="AH98" s="495"/>
      <c r="AI98" s="649"/>
      <c r="AJ98" s="496"/>
      <c r="AK98" s="497"/>
      <c r="AL98" s="497"/>
      <c r="AM98" s="495"/>
      <c r="AN98" s="649"/>
      <c r="AO98" s="496"/>
      <c r="AP98" s="497"/>
      <c r="AQ98" s="497"/>
      <c r="AR98" s="495"/>
      <c r="AS98" s="649"/>
      <c r="AT98" s="495"/>
      <c r="AU98" s="420"/>
      <c r="AV98" s="420"/>
      <c r="AW98" s="495"/>
      <c r="AX98" s="649"/>
      <c r="AZ98" s="402" t="e">
        <f t="shared" si="51"/>
        <v>#N/A</v>
      </c>
      <c r="BA98" s="649"/>
    </row>
    <row r="99" spans="2:53">
      <c r="B99" s="635"/>
      <c r="C99" s="415">
        <v>13</v>
      </c>
      <c r="D99" s="225"/>
      <c r="E99" s="420"/>
      <c r="F99" s="413"/>
      <c r="G99" s="414"/>
      <c r="H99" s="672"/>
      <c r="I99" s="417" t="str">
        <f t="shared" si="48"/>
        <v>-</v>
      </c>
      <c r="J99" s="417" t="str">
        <f t="shared" si="49"/>
        <v>-</v>
      </c>
      <c r="K99" s="199" t="str">
        <f t="shared" si="50"/>
        <v>-</v>
      </c>
      <c r="L99" s="609"/>
      <c r="M99" s="421" t="e">
        <f>RANK(K99, K$67:$K$81)</f>
        <v>#VALUE!</v>
      </c>
      <c r="N99" s="627"/>
      <c r="O99" s="627"/>
      <c r="P99" s="496"/>
      <c r="Q99" s="497"/>
      <c r="R99" s="497"/>
      <c r="S99" s="495"/>
      <c r="T99" s="649"/>
      <c r="U99" s="496"/>
      <c r="V99" s="497"/>
      <c r="W99" s="497"/>
      <c r="X99" s="495"/>
      <c r="Y99" s="649"/>
      <c r="Z99" s="496"/>
      <c r="AA99" s="497"/>
      <c r="AB99" s="497"/>
      <c r="AC99" s="495"/>
      <c r="AD99" s="649"/>
      <c r="AE99" s="496"/>
      <c r="AF99" s="497"/>
      <c r="AG99" s="497"/>
      <c r="AH99" s="495"/>
      <c r="AI99" s="649"/>
      <c r="AJ99" s="496"/>
      <c r="AK99" s="497"/>
      <c r="AL99" s="497"/>
      <c r="AM99" s="495"/>
      <c r="AN99" s="649"/>
      <c r="AO99" s="496"/>
      <c r="AP99" s="497"/>
      <c r="AQ99" s="497"/>
      <c r="AR99" s="495"/>
      <c r="AS99" s="649"/>
      <c r="AT99" s="495"/>
      <c r="AU99" s="420"/>
      <c r="AV99" s="420"/>
      <c r="AW99" s="495"/>
      <c r="AX99" s="649"/>
      <c r="AZ99" s="402" t="e">
        <f t="shared" si="51"/>
        <v>#N/A</v>
      </c>
      <c r="BA99" s="649"/>
    </row>
    <row r="100" spans="2:53">
      <c r="B100" s="635"/>
      <c r="C100" s="415">
        <v>14</v>
      </c>
      <c r="D100" s="225"/>
      <c r="E100" s="420"/>
      <c r="F100" s="413"/>
      <c r="G100" s="414"/>
      <c r="H100" s="672"/>
      <c r="I100" s="417" t="str">
        <f t="shared" si="48"/>
        <v>-</v>
      </c>
      <c r="J100" s="417" t="str">
        <f t="shared" si="49"/>
        <v>-</v>
      </c>
      <c r="K100" s="199" t="str">
        <f t="shared" si="50"/>
        <v>-</v>
      </c>
      <c r="L100" s="609"/>
      <c r="M100" s="421" t="e">
        <f>RANK(K100, K$67:$K$81)</f>
        <v>#VALUE!</v>
      </c>
      <c r="N100" s="627"/>
      <c r="O100" s="627"/>
      <c r="P100" s="496"/>
      <c r="Q100" s="497"/>
      <c r="R100" s="497"/>
      <c r="S100" s="495"/>
      <c r="T100" s="649"/>
      <c r="U100" s="496"/>
      <c r="V100" s="497"/>
      <c r="W100" s="497"/>
      <c r="X100" s="495"/>
      <c r="Y100" s="649"/>
      <c r="Z100" s="496"/>
      <c r="AA100" s="497"/>
      <c r="AB100" s="497"/>
      <c r="AC100" s="495"/>
      <c r="AD100" s="649"/>
      <c r="AE100" s="496"/>
      <c r="AF100" s="497"/>
      <c r="AG100" s="497"/>
      <c r="AH100" s="495"/>
      <c r="AI100" s="649"/>
      <c r="AJ100" s="496"/>
      <c r="AK100" s="497"/>
      <c r="AL100" s="497"/>
      <c r="AM100" s="495"/>
      <c r="AN100" s="649"/>
      <c r="AO100" s="496"/>
      <c r="AP100" s="497"/>
      <c r="AQ100" s="497"/>
      <c r="AR100" s="495"/>
      <c r="AS100" s="649"/>
      <c r="AT100" s="495"/>
      <c r="AU100" s="420"/>
      <c r="AV100" s="420"/>
      <c r="AW100" s="495"/>
      <c r="AX100" s="649"/>
      <c r="AZ100" s="402" t="e">
        <f t="shared" si="51"/>
        <v>#N/A</v>
      </c>
      <c r="BA100" s="649"/>
    </row>
    <row r="101" spans="2:53">
      <c r="B101" s="635"/>
      <c r="C101" s="415">
        <v>15</v>
      </c>
      <c r="D101" s="225"/>
      <c r="E101" s="420"/>
      <c r="F101" s="413"/>
      <c r="G101" s="414"/>
      <c r="H101" s="676"/>
      <c r="I101" s="415"/>
      <c r="J101" s="415"/>
      <c r="K101" s="415"/>
      <c r="L101" s="610"/>
      <c r="M101" s="421" t="e">
        <f>RANK(K101, K$47:$K$61)</f>
        <v>#N/A</v>
      </c>
      <c r="N101" s="627"/>
      <c r="O101" s="627"/>
      <c r="P101" s="496"/>
      <c r="Q101" s="497"/>
      <c r="R101" s="497"/>
      <c r="S101" s="495"/>
      <c r="T101" s="649"/>
      <c r="U101" s="496"/>
      <c r="V101" s="497"/>
      <c r="W101" s="497"/>
      <c r="X101" s="495"/>
      <c r="Y101" s="649"/>
      <c r="Z101" s="496"/>
      <c r="AA101" s="497"/>
      <c r="AB101" s="497"/>
      <c r="AC101" s="495"/>
      <c r="AD101" s="649"/>
      <c r="AE101" s="496"/>
      <c r="AF101" s="497"/>
      <c r="AG101" s="497"/>
      <c r="AH101" s="495"/>
      <c r="AI101" s="649"/>
      <c r="AJ101" s="496"/>
      <c r="AK101" s="497"/>
      <c r="AL101" s="497"/>
      <c r="AM101" s="495"/>
      <c r="AN101" s="649"/>
      <c r="AO101" s="496"/>
      <c r="AP101" s="497"/>
      <c r="AQ101" s="497"/>
      <c r="AR101" s="495"/>
      <c r="AS101" s="649"/>
      <c r="AT101" s="495"/>
      <c r="AU101" s="420"/>
      <c r="AV101" s="420"/>
      <c r="AW101" s="495"/>
      <c r="AX101" s="649"/>
      <c r="AZ101" s="402" t="e">
        <f t="shared" si="51"/>
        <v>#N/A</v>
      </c>
      <c r="BA101" s="649"/>
    </row>
    <row r="102" spans="2:53" ht="15.75">
      <c r="B102" s="639" t="s">
        <v>163</v>
      </c>
      <c r="C102" s="640"/>
      <c r="D102" s="640"/>
      <c r="E102" s="640"/>
      <c r="F102" s="640"/>
      <c r="G102" s="640"/>
      <c r="H102" s="641"/>
      <c r="I102" s="207"/>
      <c r="J102" s="207"/>
      <c r="K102" s="207"/>
      <c r="L102" s="207"/>
      <c r="M102" s="206"/>
      <c r="N102" s="628" t="s">
        <v>156</v>
      </c>
      <c r="O102" s="628" t="s">
        <v>105</v>
      </c>
      <c r="P102" s="634">
        <f>P82+7</f>
        <v>46175</v>
      </c>
      <c r="Q102" s="635"/>
      <c r="R102" s="635"/>
      <c r="S102" s="635"/>
      <c r="T102" s="635"/>
      <c r="U102" s="631">
        <f>P102+1</f>
        <v>46176</v>
      </c>
      <c r="V102" s="632"/>
      <c r="W102" s="632"/>
      <c r="X102" s="632"/>
      <c r="Y102" s="633"/>
      <c r="Z102" s="631">
        <f>U102+1</f>
        <v>46177</v>
      </c>
      <c r="AA102" s="632"/>
      <c r="AB102" s="632"/>
      <c r="AC102" s="632"/>
      <c r="AD102" s="633"/>
      <c r="AE102" s="631">
        <f>Z102+1</f>
        <v>46178</v>
      </c>
      <c r="AF102" s="632"/>
      <c r="AG102" s="632"/>
      <c r="AH102" s="632"/>
      <c r="AI102" s="633"/>
      <c r="AJ102" s="631">
        <f>AE102+1</f>
        <v>46179</v>
      </c>
      <c r="AK102" s="632"/>
      <c r="AL102" s="632"/>
      <c r="AM102" s="632"/>
      <c r="AN102" s="633"/>
      <c r="AO102" s="631">
        <f>AJ102+1</f>
        <v>46180</v>
      </c>
      <c r="AP102" s="632"/>
      <c r="AQ102" s="632"/>
      <c r="AR102" s="632"/>
      <c r="AS102" s="633"/>
      <c r="AT102" s="631">
        <f>AO102+1</f>
        <v>46181</v>
      </c>
      <c r="AU102" s="632"/>
      <c r="AV102" s="632"/>
      <c r="AW102" s="632"/>
      <c r="AX102" s="633"/>
    </row>
    <row r="103" spans="2:53" ht="15.75">
      <c r="B103" s="642"/>
      <c r="C103" s="642"/>
      <c r="D103" s="642"/>
      <c r="E103" s="642"/>
      <c r="F103" s="642"/>
      <c r="G103" s="642"/>
      <c r="H103" s="642"/>
      <c r="I103" s="204"/>
      <c r="J103" s="204"/>
      <c r="K103" s="204"/>
      <c r="L103" s="204"/>
      <c r="M103" s="205"/>
      <c r="N103" s="630"/>
      <c r="O103" s="630"/>
      <c r="P103" s="634" t="s">
        <v>158</v>
      </c>
      <c r="Q103" s="635"/>
      <c r="R103" s="635"/>
      <c r="S103" s="635"/>
      <c r="T103" s="635"/>
      <c r="U103" s="634" t="s">
        <v>114</v>
      </c>
      <c r="V103" s="635"/>
      <c r="W103" s="635"/>
      <c r="X103" s="635"/>
      <c r="Y103" s="635"/>
      <c r="Z103" s="634" t="s">
        <v>159</v>
      </c>
      <c r="AA103" s="635"/>
      <c r="AB103" s="635"/>
      <c r="AC103" s="635"/>
      <c r="AD103" s="635"/>
      <c r="AE103" s="634" t="s">
        <v>157</v>
      </c>
      <c r="AF103" s="635"/>
      <c r="AG103" s="635"/>
      <c r="AH103" s="635"/>
      <c r="AI103" s="635"/>
      <c r="AJ103" s="634" t="s">
        <v>160</v>
      </c>
      <c r="AK103" s="635"/>
      <c r="AL103" s="635"/>
      <c r="AM103" s="635"/>
      <c r="AN103" s="635"/>
      <c r="AO103" s="634" t="s">
        <v>115</v>
      </c>
      <c r="AP103" s="635"/>
      <c r="AQ103" s="635"/>
      <c r="AR103" s="635"/>
      <c r="AS103" s="635"/>
      <c r="AT103" s="634" t="s">
        <v>162</v>
      </c>
      <c r="AU103" s="635"/>
      <c r="AV103" s="635"/>
      <c r="AW103" s="635"/>
      <c r="AX103" s="635"/>
    </row>
    <row r="104" spans="2:53">
      <c r="B104" s="627" t="s">
        <v>550</v>
      </c>
      <c r="C104" s="627" t="s">
        <v>551</v>
      </c>
      <c r="D104" s="627"/>
      <c r="E104" s="627" t="s">
        <v>552</v>
      </c>
      <c r="F104" s="627"/>
      <c r="G104" s="627"/>
      <c r="H104" s="643" t="s">
        <v>553</v>
      </c>
      <c r="I104" s="627" t="s">
        <v>554</v>
      </c>
      <c r="J104" s="627"/>
      <c r="K104" s="627"/>
      <c r="L104" s="643" t="s">
        <v>371</v>
      </c>
      <c r="M104" s="628" t="s">
        <v>555</v>
      </c>
      <c r="N104" s="627"/>
      <c r="O104" s="627" t="s">
        <v>541</v>
      </c>
      <c r="P104" s="624" t="s">
        <v>542</v>
      </c>
      <c r="Q104" s="625"/>
      <c r="R104" s="625"/>
      <c r="S104" s="626"/>
      <c r="T104" s="627" t="s">
        <v>538</v>
      </c>
      <c r="U104" s="624" t="s">
        <v>542</v>
      </c>
      <c r="V104" s="625"/>
      <c r="W104" s="625"/>
      <c r="X104" s="626"/>
      <c r="Y104" s="627" t="s">
        <v>538</v>
      </c>
      <c r="Z104" s="624" t="s">
        <v>542</v>
      </c>
      <c r="AA104" s="625"/>
      <c r="AB104" s="625"/>
      <c r="AC104" s="626"/>
      <c r="AD104" s="627" t="s">
        <v>538</v>
      </c>
      <c r="AE104" s="624" t="s">
        <v>542</v>
      </c>
      <c r="AF104" s="625"/>
      <c r="AG104" s="625"/>
      <c r="AH104" s="626"/>
      <c r="AI104" s="627" t="s">
        <v>538</v>
      </c>
      <c r="AJ104" s="624" t="s">
        <v>542</v>
      </c>
      <c r="AK104" s="625"/>
      <c r="AL104" s="625"/>
      <c r="AM104" s="626"/>
      <c r="AN104" s="627" t="s">
        <v>538</v>
      </c>
      <c r="AO104" s="624" t="s">
        <v>542</v>
      </c>
      <c r="AP104" s="625"/>
      <c r="AQ104" s="625"/>
      <c r="AR104" s="626"/>
      <c r="AS104" s="627" t="s">
        <v>538</v>
      </c>
      <c r="AT104" s="624" t="s">
        <v>542</v>
      </c>
      <c r="AU104" s="625"/>
      <c r="AV104" s="625"/>
      <c r="AW104" s="626"/>
      <c r="AX104" s="627" t="s">
        <v>538</v>
      </c>
      <c r="BA104" s="627" t="s">
        <v>371</v>
      </c>
    </row>
    <row r="105" spans="2:53">
      <c r="B105" s="627"/>
      <c r="C105" s="627"/>
      <c r="D105" s="627"/>
      <c r="E105" s="627" t="s">
        <v>557</v>
      </c>
      <c r="F105" s="627"/>
      <c r="G105" s="627"/>
      <c r="H105" s="644"/>
      <c r="I105" s="627" t="s">
        <v>557</v>
      </c>
      <c r="J105" s="627"/>
      <c r="K105" s="627"/>
      <c r="L105" s="644"/>
      <c r="M105" s="629"/>
      <c r="N105" s="627"/>
      <c r="O105" s="627"/>
      <c r="P105" s="624" t="s">
        <v>544</v>
      </c>
      <c r="Q105" s="625"/>
      <c r="R105" s="625"/>
      <c r="S105" s="626"/>
      <c r="T105" s="627"/>
      <c r="U105" s="624" t="s">
        <v>544</v>
      </c>
      <c r="V105" s="625"/>
      <c r="W105" s="625"/>
      <c r="X105" s="626"/>
      <c r="Y105" s="627"/>
      <c r="Z105" s="624" t="s">
        <v>544</v>
      </c>
      <c r="AA105" s="625"/>
      <c r="AB105" s="625"/>
      <c r="AC105" s="626"/>
      <c r="AD105" s="627"/>
      <c r="AE105" s="624" t="s">
        <v>544</v>
      </c>
      <c r="AF105" s="625"/>
      <c r="AG105" s="625"/>
      <c r="AH105" s="626"/>
      <c r="AI105" s="627"/>
      <c r="AJ105" s="624" t="s">
        <v>544</v>
      </c>
      <c r="AK105" s="625"/>
      <c r="AL105" s="625"/>
      <c r="AM105" s="626"/>
      <c r="AN105" s="627"/>
      <c r="AO105" s="624" t="s">
        <v>544</v>
      </c>
      <c r="AP105" s="625"/>
      <c r="AQ105" s="625"/>
      <c r="AR105" s="626"/>
      <c r="AS105" s="627"/>
      <c r="AT105" s="624" t="s">
        <v>544</v>
      </c>
      <c r="AU105" s="625"/>
      <c r="AV105" s="625"/>
      <c r="AW105" s="626"/>
      <c r="AX105" s="627"/>
      <c r="BA105" s="627"/>
    </row>
    <row r="106" spans="2:53">
      <c r="B106" s="627"/>
      <c r="C106" s="627"/>
      <c r="D106" s="627"/>
      <c r="E106" s="361" t="s">
        <v>558</v>
      </c>
      <c r="F106" s="361" t="s">
        <v>559</v>
      </c>
      <c r="G106" s="361" t="s">
        <v>560</v>
      </c>
      <c r="H106" s="645"/>
      <c r="I106" s="361" t="s">
        <v>558</v>
      </c>
      <c r="J106" s="361" t="s">
        <v>559</v>
      </c>
      <c r="K106" s="361" t="s">
        <v>560</v>
      </c>
      <c r="L106" s="645"/>
      <c r="M106" s="630"/>
      <c r="N106" s="627"/>
      <c r="O106" s="627"/>
      <c r="P106" s="361" t="s">
        <v>545</v>
      </c>
      <c r="Q106" s="361" t="s">
        <v>546</v>
      </c>
      <c r="R106" s="361" t="s">
        <v>547</v>
      </c>
      <c r="S106" s="361" t="s">
        <v>540</v>
      </c>
      <c r="T106" s="627"/>
      <c r="U106" s="361" t="s">
        <v>545</v>
      </c>
      <c r="V106" s="361" t="s">
        <v>546</v>
      </c>
      <c r="W106" s="361" t="s">
        <v>547</v>
      </c>
      <c r="X106" s="361" t="s">
        <v>540</v>
      </c>
      <c r="Y106" s="627"/>
      <c r="Z106" s="361" t="s">
        <v>545</v>
      </c>
      <c r="AA106" s="361" t="s">
        <v>546</v>
      </c>
      <c r="AB106" s="361" t="s">
        <v>547</v>
      </c>
      <c r="AC106" s="361" t="s">
        <v>540</v>
      </c>
      <c r="AD106" s="627"/>
      <c r="AE106" s="361" t="s">
        <v>545</v>
      </c>
      <c r="AF106" s="361" t="s">
        <v>546</v>
      </c>
      <c r="AG106" s="361" t="s">
        <v>547</v>
      </c>
      <c r="AH106" s="361" t="s">
        <v>540</v>
      </c>
      <c r="AI106" s="627"/>
      <c r="AJ106" s="361" t="s">
        <v>545</v>
      </c>
      <c r="AK106" s="361" t="s">
        <v>546</v>
      </c>
      <c r="AL106" s="361" t="s">
        <v>547</v>
      </c>
      <c r="AM106" s="361" t="s">
        <v>540</v>
      </c>
      <c r="AN106" s="627"/>
      <c r="AO106" s="361" t="s">
        <v>545</v>
      </c>
      <c r="AP106" s="361" t="s">
        <v>546</v>
      </c>
      <c r="AQ106" s="361" t="s">
        <v>547</v>
      </c>
      <c r="AR106" s="361" t="s">
        <v>540</v>
      </c>
      <c r="AS106" s="627"/>
      <c r="AT106" s="361" t="s">
        <v>545</v>
      </c>
      <c r="AU106" s="361" t="s">
        <v>546</v>
      </c>
      <c r="AV106" s="361" t="s">
        <v>547</v>
      </c>
      <c r="AW106" s="361" t="s">
        <v>540</v>
      </c>
      <c r="AX106" s="627"/>
      <c r="AZ106" s="401" t="s">
        <v>540</v>
      </c>
      <c r="BA106" s="627"/>
    </row>
    <row r="107" spans="2:53">
      <c r="B107" s="627" t="s">
        <v>136</v>
      </c>
      <c r="C107" s="366">
        <v>1</v>
      </c>
      <c r="D107" s="225"/>
      <c r="E107" s="181"/>
      <c r="F107" s="374"/>
      <c r="G107" s="375"/>
      <c r="H107" s="671" t="e">
        <f>AVERAGE(G107:G121)</f>
        <v>#DIV/0!</v>
      </c>
      <c r="I107" s="395" t="str">
        <f t="shared" ref="I107:I120" si="53">IFERROR(AVERAGE(P107,U107,Z107,AE107,AJ107,AO107,AT107),"-")</f>
        <v>-</v>
      </c>
      <c r="J107" s="395" t="str">
        <f t="shared" ref="J107:J120" si="54">IFERROR(AVERAGE(Q107,V107,AA107,AF107,AK107,AP107,AU107),"-")</f>
        <v>-</v>
      </c>
      <c r="K107" s="199" t="str">
        <f t="shared" ref="K107:K120" si="55">IFERROR(AVERAGE(R107,W107,AB107,AG107,AL107,AQ107,AV107),"-")</f>
        <v>-</v>
      </c>
      <c r="L107" s="608" t="str">
        <f>IFERROR(AVERAGE(K107:K121),"-")</f>
        <v>-</v>
      </c>
      <c r="M107" s="367" t="e">
        <f>RANK(K107, K$67:$K$81)</f>
        <v>#VALUE!</v>
      </c>
      <c r="N107" s="627"/>
      <c r="O107" s="627"/>
      <c r="P107" s="366"/>
      <c r="Q107" s="367"/>
      <c r="R107" s="367"/>
      <c r="S107" s="366" t="e">
        <f>RANK(R107, R$67:R$81)</f>
        <v>#N/A</v>
      </c>
      <c r="T107" s="674" t="e">
        <f>AVERAGE(R107:R121)</f>
        <v>#DIV/0!</v>
      </c>
      <c r="U107" s="376"/>
      <c r="V107" s="377"/>
      <c r="W107" s="377"/>
      <c r="X107" s="366" t="e">
        <f>RANK(W107, W$67:W$81)</f>
        <v>#N/A</v>
      </c>
      <c r="Y107" s="674" t="e">
        <f>AVERAGE(W107:W121)</f>
        <v>#DIV/0!</v>
      </c>
      <c r="Z107" s="376"/>
      <c r="AA107" s="377"/>
      <c r="AB107" s="377"/>
      <c r="AC107" s="366" t="e">
        <f>RANK(AB107, AB$67:AB$81)</f>
        <v>#N/A</v>
      </c>
      <c r="AD107" s="674" t="e">
        <f>AVERAGE(AB107:AB121)</f>
        <v>#DIV/0!</v>
      </c>
      <c r="AE107" s="376"/>
      <c r="AF107" s="377"/>
      <c r="AG107" s="377"/>
      <c r="AH107" s="366" t="e">
        <f>RANK(AG107, AG$67:AG$81)</f>
        <v>#N/A</v>
      </c>
      <c r="AI107" s="674" t="e">
        <f>AVERAGE(AG107:AG121)</f>
        <v>#DIV/0!</v>
      </c>
      <c r="AJ107" s="376"/>
      <c r="AK107" s="377"/>
      <c r="AL107" s="377"/>
      <c r="AM107" s="366" t="e">
        <f>RANK(AL107, AL$67:AL$81)</f>
        <v>#N/A</v>
      </c>
      <c r="AN107" s="674" t="e">
        <f>AVERAGE(AL107:AL121)</f>
        <v>#DIV/0!</v>
      </c>
      <c r="AO107" s="376"/>
      <c r="AP107" s="377"/>
      <c r="AQ107" s="377"/>
      <c r="AR107" s="366" t="e">
        <f>RANK(AQ107, AQ$67:AQ$81)</f>
        <v>#N/A</v>
      </c>
      <c r="AS107" s="674" t="e">
        <f>AVERAGE(AQ107:AQ121)</f>
        <v>#DIV/0!</v>
      </c>
      <c r="AT107" s="181"/>
      <c r="AU107" s="181"/>
      <c r="AV107" s="375"/>
      <c r="AW107" s="366" t="e">
        <f>RANK(AV107, AV$67:AV$81)</f>
        <v>#N/A</v>
      </c>
      <c r="AX107" s="674" t="e">
        <f>AVERAGE(AV107:AV121)</f>
        <v>#DIV/0!</v>
      </c>
      <c r="AZ107" s="403" t="e">
        <f>RANK(AY107, AY$67:AY$81)</f>
        <v>#N/A</v>
      </c>
      <c r="BA107" s="674" t="e">
        <f>AVERAGE(AY107:AY121)</f>
        <v>#DIV/0!</v>
      </c>
    </row>
    <row r="108" spans="2:53">
      <c r="B108" s="660"/>
      <c r="C108" s="366">
        <v>2</v>
      </c>
      <c r="D108" s="225"/>
      <c r="E108" s="181"/>
      <c r="F108" s="374"/>
      <c r="G108" s="375"/>
      <c r="H108" s="672"/>
      <c r="I108" s="395" t="str">
        <f t="shared" si="53"/>
        <v>-</v>
      </c>
      <c r="J108" s="395" t="str">
        <f t="shared" si="54"/>
        <v>-</v>
      </c>
      <c r="K108" s="199" t="str">
        <f t="shared" si="55"/>
        <v>-</v>
      </c>
      <c r="L108" s="609"/>
      <c r="M108" s="367" t="e">
        <f>RANK(K108, K$67:$K$81)</f>
        <v>#VALUE!</v>
      </c>
      <c r="N108" s="627"/>
      <c r="O108" s="627"/>
      <c r="P108" s="366"/>
      <c r="Q108" s="367"/>
      <c r="R108" s="367"/>
      <c r="S108" s="366" t="e">
        <f t="shared" ref="S108:S121" si="56">RANK(R108, R$67:R$81)</f>
        <v>#N/A</v>
      </c>
      <c r="T108" s="674"/>
      <c r="U108" s="376"/>
      <c r="V108" s="377"/>
      <c r="W108" s="377"/>
      <c r="X108" s="366" t="e">
        <f t="shared" ref="X108:X121" si="57">RANK(W108, W$67:W$81)</f>
        <v>#N/A</v>
      </c>
      <c r="Y108" s="674"/>
      <c r="Z108" s="376"/>
      <c r="AA108" s="377"/>
      <c r="AB108" s="377"/>
      <c r="AC108" s="366" t="e">
        <f t="shared" ref="AC108:AC121" si="58">RANK(AB108, AB$67:AB$81)</f>
        <v>#N/A</v>
      </c>
      <c r="AD108" s="674"/>
      <c r="AE108" s="376"/>
      <c r="AF108" s="377"/>
      <c r="AG108" s="377"/>
      <c r="AH108" s="366" t="e">
        <f t="shared" ref="AH108:AH121" si="59">RANK(AG108, AG$67:AG$81)</f>
        <v>#N/A</v>
      </c>
      <c r="AI108" s="674"/>
      <c r="AJ108" s="376"/>
      <c r="AK108" s="377"/>
      <c r="AL108" s="377"/>
      <c r="AM108" s="366" t="e">
        <f t="shared" ref="AM108:AM121" si="60">RANK(AL108, AL$67:AL$81)</f>
        <v>#N/A</v>
      </c>
      <c r="AN108" s="674"/>
      <c r="AO108" s="376"/>
      <c r="AP108" s="377"/>
      <c r="AQ108" s="377"/>
      <c r="AR108" s="366" t="e">
        <f t="shared" ref="AR108:AR121" si="61">RANK(AQ108, AQ$67:AQ$81)</f>
        <v>#N/A</v>
      </c>
      <c r="AS108" s="674"/>
      <c r="AT108" s="374"/>
      <c r="AU108" s="181"/>
      <c r="AV108" s="375"/>
      <c r="AW108" s="366" t="e">
        <f t="shared" ref="AW108:AW121" si="62">RANK(AV108, AV$67:AV$81)</f>
        <v>#N/A</v>
      </c>
      <c r="AX108" s="674"/>
      <c r="AZ108" s="403" t="e">
        <f t="shared" ref="AZ108:AZ121" si="63">RANK(AY108, AY$67:AY$81)</f>
        <v>#N/A</v>
      </c>
      <c r="BA108" s="674"/>
    </row>
    <row r="109" spans="2:53">
      <c r="B109" s="660"/>
      <c r="C109" s="366">
        <v>3</v>
      </c>
      <c r="D109" s="225"/>
      <c r="E109" s="181"/>
      <c r="F109" s="374"/>
      <c r="G109" s="375"/>
      <c r="H109" s="672"/>
      <c r="I109" s="395" t="str">
        <f t="shared" si="53"/>
        <v>-</v>
      </c>
      <c r="J109" s="395" t="str">
        <f t="shared" si="54"/>
        <v>-</v>
      </c>
      <c r="K109" s="199" t="str">
        <f t="shared" si="55"/>
        <v>-</v>
      </c>
      <c r="L109" s="609"/>
      <c r="M109" s="367" t="e">
        <f>RANK(K109, K$67:$K$81)</f>
        <v>#VALUE!</v>
      </c>
      <c r="N109" s="627"/>
      <c r="O109" s="627"/>
      <c r="P109" s="366"/>
      <c r="Q109" s="367"/>
      <c r="R109" s="367"/>
      <c r="S109" s="366" t="e">
        <f t="shared" si="56"/>
        <v>#N/A</v>
      </c>
      <c r="T109" s="674"/>
      <c r="U109" s="376"/>
      <c r="V109" s="377"/>
      <c r="W109" s="377"/>
      <c r="X109" s="366" t="e">
        <f t="shared" si="57"/>
        <v>#N/A</v>
      </c>
      <c r="Y109" s="674"/>
      <c r="Z109" s="376"/>
      <c r="AA109" s="377"/>
      <c r="AB109" s="377"/>
      <c r="AC109" s="366" t="e">
        <f t="shared" si="58"/>
        <v>#N/A</v>
      </c>
      <c r="AD109" s="674"/>
      <c r="AE109" s="376"/>
      <c r="AF109" s="377"/>
      <c r="AG109" s="377"/>
      <c r="AH109" s="366" t="e">
        <f t="shared" si="59"/>
        <v>#N/A</v>
      </c>
      <c r="AI109" s="674"/>
      <c r="AJ109" s="376"/>
      <c r="AK109" s="377"/>
      <c r="AL109" s="377"/>
      <c r="AM109" s="366" t="e">
        <f t="shared" si="60"/>
        <v>#N/A</v>
      </c>
      <c r="AN109" s="674"/>
      <c r="AO109" s="376"/>
      <c r="AP109" s="377"/>
      <c r="AQ109" s="377"/>
      <c r="AR109" s="366" t="e">
        <f t="shared" si="61"/>
        <v>#N/A</v>
      </c>
      <c r="AS109" s="674"/>
      <c r="AT109" s="374"/>
      <c r="AU109" s="181"/>
      <c r="AV109" s="375"/>
      <c r="AW109" s="366" t="e">
        <f t="shared" si="62"/>
        <v>#N/A</v>
      </c>
      <c r="AX109" s="674"/>
      <c r="AZ109" s="403" t="e">
        <f t="shared" si="63"/>
        <v>#N/A</v>
      </c>
      <c r="BA109" s="674"/>
    </row>
    <row r="110" spans="2:53">
      <c r="B110" s="660"/>
      <c r="C110" s="366">
        <v>4</v>
      </c>
      <c r="D110" s="225"/>
      <c r="E110" s="181"/>
      <c r="F110" s="374"/>
      <c r="G110" s="375"/>
      <c r="H110" s="672"/>
      <c r="I110" s="395" t="str">
        <f t="shared" si="53"/>
        <v>-</v>
      </c>
      <c r="J110" s="395" t="str">
        <f t="shared" si="54"/>
        <v>-</v>
      </c>
      <c r="K110" s="199" t="str">
        <f t="shared" si="55"/>
        <v>-</v>
      </c>
      <c r="L110" s="609"/>
      <c r="M110" s="367" t="e">
        <f>RANK(K110, K$67:$K$81)</f>
        <v>#VALUE!</v>
      </c>
      <c r="N110" s="627"/>
      <c r="O110" s="627"/>
      <c r="P110" s="366"/>
      <c r="Q110" s="367"/>
      <c r="R110" s="367"/>
      <c r="S110" s="366" t="e">
        <f t="shared" si="56"/>
        <v>#N/A</v>
      </c>
      <c r="T110" s="674"/>
      <c r="U110" s="376"/>
      <c r="V110" s="377"/>
      <c r="W110" s="377"/>
      <c r="X110" s="366" t="e">
        <f t="shared" si="57"/>
        <v>#N/A</v>
      </c>
      <c r="Y110" s="674"/>
      <c r="Z110" s="376"/>
      <c r="AA110" s="377"/>
      <c r="AB110" s="377"/>
      <c r="AC110" s="366" t="e">
        <f t="shared" si="58"/>
        <v>#N/A</v>
      </c>
      <c r="AD110" s="674"/>
      <c r="AE110" s="376"/>
      <c r="AF110" s="377"/>
      <c r="AG110" s="377"/>
      <c r="AH110" s="366" t="e">
        <f t="shared" si="59"/>
        <v>#N/A</v>
      </c>
      <c r="AI110" s="674"/>
      <c r="AJ110" s="376"/>
      <c r="AK110" s="377"/>
      <c r="AL110" s="377"/>
      <c r="AM110" s="366" t="e">
        <f t="shared" si="60"/>
        <v>#N/A</v>
      </c>
      <c r="AN110" s="674"/>
      <c r="AO110" s="376"/>
      <c r="AP110" s="377"/>
      <c r="AQ110" s="377"/>
      <c r="AR110" s="366" t="e">
        <f t="shared" si="61"/>
        <v>#N/A</v>
      </c>
      <c r="AS110" s="674"/>
      <c r="AT110" s="374"/>
      <c r="AU110" s="181"/>
      <c r="AV110" s="375"/>
      <c r="AW110" s="366" t="e">
        <f t="shared" si="62"/>
        <v>#N/A</v>
      </c>
      <c r="AX110" s="674"/>
      <c r="AZ110" s="403" t="e">
        <f t="shared" si="63"/>
        <v>#N/A</v>
      </c>
      <c r="BA110" s="674"/>
    </row>
    <row r="111" spans="2:53">
      <c r="B111" s="660"/>
      <c r="C111" s="366">
        <v>5</v>
      </c>
      <c r="D111" s="225"/>
      <c r="E111" s="181"/>
      <c r="F111" s="374"/>
      <c r="G111" s="375"/>
      <c r="H111" s="672"/>
      <c r="I111" s="395" t="str">
        <f t="shared" si="53"/>
        <v>-</v>
      </c>
      <c r="J111" s="395" t="str">
        <f t="shared" si="54"/>
        <v>-</v>
      </c>
      <c r="K111" s="199" t="str">
        <f t="shared" si="55"/>
        <v>-</v>
      </c>
      <c r="L111" s="609"/>
      <c r="M111" s="367" t="e">
        <f>RANK(K111, K$67:$K$81)</f>
        <v>#VALUE!</v>
      </c>
      <c r="N111" s="627"/>
      <c r="O111" s="627"/>
      <c r="P111" s="366"/>
      <c r="Q111" s="367"/>
      <c r="R111" s="367"/>
      <c r="S111" s="366" t="e">
        <f t="shared" si="56"/>
        <v>#N/A</v>
      </c>
      <c r="T111" s="674"/>
      <c r="U111" s="376"/>
      <c r="V111" s="377"/>
      <c r="W111" s="377"/>
      <c r="X111" s="366" t="e">
        <f t="shared" si="57"/>
        <v>#N/A</v>
      </c>
      <c r="Y111" s="674"/>
      <c r="Z111" s="376"/>
      <c r="AA111" s="377"/>
      <c r="AB111" s="377"/>
      <c r="AC111" s="366" t="e">
        <f t="shared" si="58"/>
        <v>#N/A</v>
      </c>
      <c r="AD111" s="674"/>
      <c r="AE111" s="376"/>
      <c r="AF111" s="377"/>
      <c r="AG111" s="377"/>
      <c r="AH111" s="366" t="e">
        <f t="shared" si="59"/>
        <v>#N/A</v>
      </c>
      <c r="AI111" s="674"/>
      <c r="AJ111" s="376"/>
      <c r="AK111" s="377"/>
      <c r="AL111" s="377"/>
      <c r="AM111" s="366" t="e">
        <f t="shared" si="60"/>
        <v>#N/A</v>
      </c>
      <c r="AN111" s="674"/>
      <c r="AO111" s="376"/>
      <c r="AP111" s="377"/>
      <c r="AQ111" s="377"/>
      <c r="AR111" s="366" t="e">
        <f t="shared" si="61"/>
        <v>#N/A</v>
      </c>
      <c r="AS111" s="674"/>
      <c r="AT111" s="374"/>
      <c r="AU111" s="181"/>
      <c r="AV111" s="375"/>
      <c r="AW111" s="366" t="e">
        <f t="shared" si="62"/>
        <v>#N/A</v>
      </c>
      <c r="AX111" s="674"/>
      <c r="AZ111" s="403" t="e">
        <f t="shared" si="63"/>
        <v>#N/A</v>
      </c>
      <c r="BA111" s="674"/>
    </row>
    <row r="112" spans="2:53">
      <c r="B112" s="660"/>
      <c r="C112" s="366">
        <v>6</v>
      </c>
      <c r="D112" s="225"/>
      <c r="E112" s="181"/>
      <c r="F112" s="374"/>
      <c r="G112" s="375"/>
      <c r="H112" s="672"/>
      <c r="I112" s="395" t="str">
        <f t="shared" si="53"/>
        <v>-</v>
      </c>
      <c r="J112" s="395" t="str">
        <f t="shared" si="54"/>
        <v>-</v>
      </c>
      <c r="K112" s="199" t="str">
        <f t="shared" si="55"/>
        <v>-</v>
      </c>
      <c r="L112" s="609"/>
      <c r="M112" s="367" t="e">
        <f>RANK(K112, K$67:$K$81)</f>
        <v>#VALUE!</v>
      </c>
      <c r="N112" s="627"/>
      <c r="O112" s="627"/>
      <c r="P112" s="366"/>
      <c r="Q112" s="367"/>
      <c r="R112" s="367"/>
      <c r="S112" s="366" t="e">
        <f t="shared" si="56"/>
        <v>#N/A</v>
      </c>
      <c r="T112" s="674"/>
      <c r="U112" s="376"/>
      <c r="V112" s="377"/>
      <c r="W112" s="377"/>
      <c r="X112" s="366" t="e">
        <f t="shared" si="57"/>
        <v>#N/A</v>
      </c>
      <c r="Y112" s="674"/>
      <c r="Z112" s="376"/>
      <c r="AA112" s="377"/>
      <c r="AB112" s="377"/>
      <c r="AC112" s="366" t="e">
        <f t="shared" si="58"/>
        <v>#N/A</v>
      </c>
      <c r="AD112" s="674"/>
      <c r="AE112" s="376"/>
      <c r="AF112" s="377"/>
      <c r="AG112" s="377"/>
      <c r="AH112" s="366" t="e">
        <f t="shared" si="59"/>
        <v>#N/A</v>
      </c>
      <c r="AI112" s="674"/>
      <c r="AJ112" s="376"/>
      <c r="AK112" s="377"/>
      <c r="AL112" s="377"/>
      <c r="AM112" s="366" t="e">
        <f t="shared" si="60"/>
        <v>#N/A</v>
      </c>
      <c r="AN112" s="674"/>
      <c r="AO112" s="376"/>
      <c r="AP112" s="377"/>
      <c r="AQ112" s="377"/>
      <c r="AR112" s="366" t="e">
        <f t="shared" si="61"/>
        <v>#N/A</v>
      </c>
      <c r="AS112" s="674"/>
      <c r="AT112" s="374"/>
      <c r="AU112" s="181"/>
      <c r="AV112" s="375"/>
      <c r="AW112" s="366" t="e">
        <f t="shared" si="62"/>
        <v>#N/A</v>
      </c>
      <c r="AX112" s="674"/>
      <c r="AZ112" s="403" t="e">
        <f t="shared" si="63"/>
        <v>#N/A</v>
      </c>
      <c r="BA112" s="674"/>
    </row>
    <row r="113" spans="2:53">
      <c r="B113" s="660"/>
      <c r="C113" s="366">
        <v>7</v>
      </c>
      <c r="D113" s="225"/>
      <c r="E113" s="181"/>
      <c r="F113" s="374"/>
      <c r="G113" s="375"/>
      <c r="H113" s="672"/>
      <c r="I113" s="395" t="str">
        <f t="shared" si="53"/>
        <v>-</v>
      </c>
      <c r="J113" s="395" t="str">
        <f t="shared" si="54"/>
        <v>-</v>
      </c>
      <c r="K113" s="199" t="str">
        <f t="shared" si="55"/>
        <v>-</v>
      </c>
      <c r="L113" s="609"/>
      <c r="M113" s="367" t="e">
        <f>RANK(K113, K$67:$K$81)</f>
        <v>#VALUE!</v>
      </c>
      <c r="N113" s="627"/>
      <c r="O113" s="627"/>
      <c r="P113" s="366"/>
      <c r="Q113" s="367"/>
      <c r="R113" s="367"/>
      <c r="S113" s="366" t="e">
        <f t="shared" si="56"/>
        <v>#N/A</v>
      </c>
      <c r="T113" s="674"/>
      <c r="U113" s="376"/>
      <c r="V113" s="377"/>
      <c r="W113" s="377"/>
      <c r="X113" s="366" t="e">
        <f t="shared" si="57"/>
        <v>#N/A</v>
      </c>
      <c r="Y113" s="674"/>
      <c r="Z113" s="376"/>
      <c r="AA113" s="377"/>
      <c r="AB113" s="377"/>
      <c r="AC113" s="366" t="e">
        <f t="shared" si="58"/>
        <v>#N/A</v>
      </c>
      <c r="AD113" s="674"/>
      <c r="AE113" s="376"/>
      <c r="AF113" s="377"/>
      <c r="AG113" s="377"/>
      <c r="AH113" s="366" t="e">
        <f t="shared" si="59"/>
        <v>#N/A</v>
      </c>
      <c r="AI113" s="674"/>
      <c r="AJ113" s="376"/>
      <c r="AK113" s="377"/>
      <c r="AL113" s="377"/>
      <c r="AM113" s="366" t="e">
        <f t="shared" si="60"/>
        <v>#N/A</v>
      </c>
      <c r="AN113" s="674"/>
      <c r="AO113" s="376"/>
      <c r="AP113" s="377"/>
      <c r="AQ113" s="377"/>
      <c r="AR113" s="366" t="e">
        <f t="shared" si="61"/>
        <v>#N/A</v>
      </c>
      <c r="AS113" s="674"/>
      <c r="AT113" s="374"/>
      <c r="AU113" s="181"/>
      <c r="AV113" s="375"/>
      <c r="AW113" s="366" t="e">
        <f t="shared" si="62"/>
        <v>#N/A</v>
      </c>
      <c r="AX113" s="674"/>
      <c r="AZ113" s="403" t="e">
        <f t="shared" si="63"/>
        <v>#N/A</v>
      </c>
      <c r="BA113" s="674"/>
    </row>
    <row r="114" spans="2:53">
      <c r="B114" s="660"/>
      <c r="C114" s="366">
        <v>8</v>
      </c>
      <c r="D114" s="225"/>
      <c r="E114" s="181"/>
      <c r="F114" s="374"/>
      <c r="G114" s="375"/>
      <c r="H114" s="672"/>
      <c r="I114" s="395" t="str">
        <f t="shared" si="53"/>
        <v>-</v>
      </c>
      <c r="J114" s="395" t="str">
        <f t="shared" si="54"/>
        <v>-</v>
      </c>
      <c r="K114" s="199" t="str">
        <f t="shared" si="55"/>
        <v>-</v>
      </c>
      <c r="L114" s="609"/>
      <c r="M114" s="367" t="e">
        <f>RANK(K114, K$67:$K$81)</f>
        <v>#VALUE!</v>
      </c>
      <c r="N114" s="627"/>
      <c r="O114" s="627"/>
      <c r="P114" s="366"/>
      <c r="Q114" s="367"/>
      <c r="R114" s="367"/>
      <c r="S114" s="366" t="e">
        <f t="shared" si="56"/>
        <v>#N/A</v>
      </c>
      <c r="T114" s="674"/>
      <c r="U114" s="376"/>
      <c r="V114" s="377"/>
      <c r="W114" s="377"/>
      <c r="X114" s="366" t="e">
        <f t="shared" si="57"/>
        <v>#N/A</v>
      </c>
      <c r="Y114" s="674"/>
      <c r="Z114" s="376"/>
      <c r="AA114" s="377"/>
      <c r="AB114" s="377"/>
      <c r="AC114" s="366" t="e">
        <f t="shared" si="58"/>
        <v>#N/A</v>
      </c>
      <c r="AD114" s="674"/>
      <c r="AE114" s="376"/>
      <c r="AF114" s="377"/>
      <c r="AG114" s="377"/>
      <c r="AH114" s="366" t="e">
        <f t="shared" si="59"/>
        <v>#N/A</v>
      </c>
      <c r="AI114" s="674"/>
      <c r="AJ114" s="376"/>
      <c r="AK114" s="377"/>
      <c r="AL114" s="377"/>
      <c r="AM114" s="366" t="e">
        <f t="shared" si="60"/>
        <v>#N/A</v>
      </c>
      <c r="AN114" s="674"/>
      <c r="AO114" s="376"/>
      <c r="AP114" s="377"/>
      <c r="AQ114" s="377"/>
      <c r="AR114" s="366" t="e">
        <f t="shared" si="61"/>
        <v>#N/A</v>
      </c>
      <c r="AS114" s="674"/>
      <c r="AT114" s="374"/>
      <c r="AU114" s="181"/>
      <c r="AV114" s="375"/>
      <c r="AW114" s="366" t="e">
        <f t="shared" si="62"/>
        <v>#N/A</v>
      </c>
      <c r="AX114" s="674"/>
      <c r="AZ114" s="403" t="e">
        <f t="shared" si="63"/>
        <v>#N/A</v>
      </c>
      <c r="BA114" s="674"/>
    </row>
    <row r="115" spans="2:53">
      <c r="B115" s="660"/>
      <c r="C115" s="366">
        <v>9</v>
      </c>
      <c r="D115" s="225"/>
      <c r="E115" s="181"/>
      <c r="F115" s="374"/>
      <c r="G115" s="375"/>
      <c r="H115" s="672"/>
      <c r="I115" s="395" t="str">
        <f t="shared" si="53"/>
        <v>-</v>
      </c>
      <c r="J115" s="395" t="str">
        <f t="shared" si="54"/>
        <v>-</v>
      </c>
      <c r="K115" s="199" t="str">
        <f t="shared" si="55"/>
        <v>-</v>
      </c>
      <c r="L115" s="609"/>
      <c r="M115" s="367" t="e">
        <f>RANK(K115, K$67:$K$81)</f>
        <v>#VALUE!</v>
      </c>
      <c r="N115" s="627"/>
      <c r="O115" s="627"/>
      <c r="P115" s="366"/>
      <c r="Q115" s="367"/>
      <c r="R115" s="367"/>
      <c r="S115" s="366" t="e">
        <f t="shared" si="56"/>
        <v>#N/A</v>
      </c>
      <c r="T115" s="674"/>
      <c r="U115" s="376"/>
      <c r="V115" s="377"/>
      <c r="W115" s="377"/>
      <c r="X115" s="366" t="e">
        <f t="shared" si="57"/>
        <v>#N/A</v>
      </c>
      <c r="Y115" s="674"/>
      <c r="Z115" s="376"/>
      <c r="AA115" s="377"/>
      <c r="AB115" s="377"/>
      <c r="AC115" s="366" t="e">
        <f t="shared" si="58"/>
        <v>#N/A</v>
      </c>
      <c r="AD115" s="674"/>
      <c r="AE115" s="376"/>
      <c r="AF115" s="377"/>
      <c r="AG115" s="377"/>
      <c r="AH115" s="366" t="e">
        <f t="shared" si="59"/>
        <v>#N/A</v>
      </c>
      <c r="AI115" s="674"/>
      <c r="AJ115" s="376"/>
      <c r="AK115" s="377"/>
      <c r="AL115" s="377"/>
      <c r="AM115" s="366" t="e">
        <f t="shared" si="60"/>
        <v>#N/A</v>
      </c>
      <c r="AN115" s="674"/>
      <c r="AO115" s="376"/>
      <c r="AP115" s="377"/>
      <c r="AQ115" s="377"/>
      <c r="AR115" s="366" t="e">
        <f t="shared" si="61"/>
        <v>#N/A</v>
      </c>
      <c r="AS115" s="674"/>
      <c r="AT115" s="374"/>
      <c r="AU115" s="181"/>
      <c r="AV115" s="375"/>
      <c r="AW115" s="366" t="e">
        <f t="shared" si="62"/>
        <v>#N/A</v>
      </c>
      <c r="AX115" s="674"/>
      <c r="AZ115" s="403" t="e">
        <f t="shared" si="63"/>
        <v>#N/A</v>
      </c>
      <c r="BA115" s="674"/>
    </row>
    <row r="116" spans="2:53">
      <c r="B116" s="660"/>
      <c r="C116" s="366">
        <v>10</v>
      </c>
      <c r="D116" s="225"/>
      <c r="E116" s="181"/>
      <c r="F116" s="374"/>
      <c r="G116" s="375"/>
      <c r="H116" s="672"/>
      <c r="I116" s="395" t="str">
        <f t="shared" si="53"/>
        <v>-</v>
      </c>
      <c r="J116" s="395" t="str">
        <f t="shared" si="54"/>
        <v>-</v>
      </c>
      <c r="K116" s="199" t="str">
        <f t="shared" si="55"/>
        <v>-</v>
      </c>
      <c r="L116" s="609"/>
      <c r="M116" s="367" t="e">
        <f>RANK(K116, K$67:$K$81)</f>
        <v>#VALUE!</v>
      </c>
      <c r="N116" s="627"/>
      <c r="O116" s="627"/>
      <c r="P116" s="366"/>
      <c r="Q116" s="367"/>
      <c r="R116" s="367"/>
      <c r="S116" s="366" t="e">
        <f t="shared" si="56"/>
        <v>#N/A</v>
      </c>
      <c r="T116" s="674"/>
      <c r="U116" s="376"/>
      <c r="V116" s="377"/>
      <c r="W116" s="377"/>
      <c r="X116" s="366" t="e">
        <f t="shared" si="57"/>
        <v>#N/A</v>
      </c>
      <c r="Y116" s="674"/>
      <c r="Z116" s="376"/>
      <c r="AA116" s="377"/>
      <c r="AB116" s="377"/>
      <c r="AC116" s="366" t="e">
        <f t="shared" si="58"/>
        <v>#N/A</v>
      </c>
      <c r="AD116" s="674"/>
      <c r="AE116" s="376"/>
      <c r="AF116" s="377"/>
      <c r="AG116" s="377"/>
      <c r="AH116" s="366" t="e">
        <f t="shared" si="59"/>
        <v>#N/A</v>
      </c>
      <c r="AI116" s="674"/>
      <c r="AJ116" s="376"/>
      <c r="AK116" s="377"/>
      <c r="AL116" s="377"/>
      <c r="AM116" s="366" t="e">
        <f t="shared" si="60"/>
        <v>#N/A</v>
      </c>
      <c r="AN116" s="674"/>
      <c r="AO116" s="376"/>
      <c r="AP116" s="377"/>
      <c r="AQ116" s="377"/>
      <c r="AR116" s="366" t="e">
        <f t="shared" si="61"/>
        <v>#N/A</v>
      </c>
      <c r="AS116" s="674"/>
      <c r="AT116" s="374"/>
      <c r="AU116" s="181"/>
      <c r="AV116" s="375"/>
      <c r="AW116" s="366" t="e">
        <f t="shared" si="62"/>
        <v>#N/A</v>
      </c>
      <c r="AX116" s="674"/>
      <c r="AZ116" s="403" t="e">
        <f t="shared" si="63"/>
        <v>#N/A</v>
      </c>
      <c r="BA116" s="674"/>
    </row>
    <row r="117" spans="2:53">
      <c r="B117" s="660"/>
      <c r="C117" s="366">
        <v>11</v>
      </c>
      <c r="D117" s="225"/>
      <c r="E117" s="181"/>
      <c r="F117" s="374"/>
      <c r="G117" s="375"/>
      <c r="H117" s="672"/>
      <c r="I117" s="395" t="str">
        <f t="shared" si="53"/>
        <v>-</v>
      </c>
      <c r="J117" s="395" t="str">
        <f t="shared" si="54"/>
        <v>-</v>
      </c>
      <c r="K117" s="199" t="str">
        <f t="shared" si="55"/>
        <v>-</v>
      </c>
      <c r="L117" s="609"/>
      <c r="M117" s="367" t="e">
        <f>RANK(K117, K$67:$K$81)</f>
        <v>#VALUE!</v>
      </c>
      <c r="N117" s="627"/>
      <c r="O117" s="627"/>
      <c r="P117" s="366"/>
      <c r="Q117" s="367"/>
      <c r="R117" s="367"/>
      <c r="S117" s="366" t="e">
        <f t="shared" si="56"/>
        <v>#N/A</v>
      </c>
      <c r="T117" s="674"/>
      <c r="U117" s="376"/>
      <c r="V117" s="377"/>
      <c r="W117" s="377"/>
      <c r="X117" s="366" t="e">
        <f t="shared" si="57"/>
        <v>#N/A</v>
      </c>
      <c r="Y117" s="674"/>
      <c r="Z117" s="376"/>
      <c r="AA117" s="377"/>
      <c r="AB117" s="377"/>
      <c r="AC117" s="366" t="e">
        <f t="shared" si="58"/>
        <v>#N/A</v>
      </c>
      <c r="AD117" s="674"/>
      <c r="AE117" s="376"/>
      <c r="AF117" s="377"/>
      <c r="AG117" s="377"/>
      <c r="AH117" s="366" t="e">
        <f t="shared" si="59"/>
        <v>#N/A</v>
      </c>
      <c r="AI117" s="674"/>
      <c r="AJ117" s="376"/>
      <c r="AK117" s="377"/>
      <c r="AL117" s="377"/>
      <c r="AM117" s="366" t="e">
        <f t="shared" si="60"/>
        <v>#N/A</v>
      </c>
      <c r="AN117" s="674"/>
      <c r="AO117" s="376"/>
      <c r="AP117" s="377"/>
      <c r="AQ117" s="377"/>
      <c r="AR117" s="366" t="e">
        <f t="shared" si="61"/>
        <v>#N/A</v>
      </c>
      <c r="AS117" s="674"/>
      <c r="AT117" s="374"/>
      <c r="AU117" s="181"/>
      <c r="AV117" s="375"/>
      <c r="AW117" s="366" t="e">
        <f t="shared" si="62"/>
        <v>#N/A</v>
      </c>
      <c r="AX117" s="674"/>
      <c r="AZ117" s="403" t="e">
        <f t="shared" si="63"/>
        <v>#N/A</v>
      </c>
      <c r="BA117" s="674"/>
    </row>
    <row r="118" spans="2:53">
      <c r="B118" s="660"/>
      <c r="C118" s="366">
        <v>12</v>
      </c>
      <c r="D118" s="225"/>
      <c r="E118" s="181"/>
      <c r="F118" s="374"/>
      <c r="G118" s="375"/>
      <c r="H118" s="672"/>
      <c r="I118" s="395" t="str">
        <f t="shared" si="53"/>
        <v>-</v>
      </c>
      <c r="J118" s="395" t="str">
        <f t="shared" si="54"/>
        <v>-</v>
      </c>
      <c r="K118" s="199" t="str">
        <f t="shared" si="55"/>
        <v>-</v>
      </c>
      <c r="L118" s="609"/>
      <c r="M118" s="367" t="e">
        <f>RANK(K118, K$67:$K$81)</f>
        <v>#VALUE!</v>
      </c>
      <c r="N118" s="627"/>
      <c r="O118" s="627"/>
      <c r="P118" s="366"/>
      <c r="Q118" s="367"/>
      <c r="R118" s="367"/>
      <c r="S118" s="366" t="e">
        <f t="shared" si="56"/>
        <v>#N/A</v>
      </c>
      <c r="T118" s="674"/>
      <c r="U118" s="376"/>
      <c r="V118" s="377"/>
      <c r="W118" s="377"/>
      <c r="X118" s="366" t="e">
        <f t="shared" si="57"/>
        <v>#N/A</v>
      </c>
      <c r="Y118" s="674"/>
      <c r="Z118" s="376"/>
      <c r="AA118" s="377"/>
      <c r="AB118" s="377"/>
      <c r="AC118" s="366" t="e">
        <f t="shared" si="58"/>
        <v>#N/A</v>
      </c>
      <c r="AD118" s="674"/>
      <c r="AE118" s="376"/>
      <c r="AF118" s="377"/>
      <c r="AG118" s="377"/>
      <c r="AH118" s="366" t="e">
        <f t="shared" si="59"/>
        <v>#N/A</v>
      </c>
      <c r="AI118" s="674"/>
      <c r="AJ118" s="376"/>
      <c r="AK118" s="377"/>
      <c r="AL118" s="377"/>
      <c r="AM118" s="366" t="e">
        <f t="shared" si="60"/>
        <v>#N/A</v>
      </c>
      <c r="AN118" s="674"/>
      <c r="AO118" s="376"/>
      <c r="AP118" s="377"/>
      <c r="AQ118" s="377"/>
      <c r="AR118" s="366" t="e">
        <f t="shared" si="61"/>
        <v>#N/A</v>
      </c>
      <c r="AS118" s="674"/>
      <c r="AT118" s="374"/>
      <c r="AU118" s="181"/>
      <c r="AV118" s="375"/>
      <c r="AW118" s="366" t="e">
        <f t="shared" si="62"/>
        <v>#N/A</v>
      </c>
      <c r="AX118" s="674"/>
      <c r="AZ118" s="403" t="e">
        <f t="shared" si="63"/>
        <v>#N/A</v>
      </c>
      <c r="BA118" s="674"/>
    </row>
    <row r="119" spans="2:53">
      <c r="B119" s="660"/>
      <c r="C119" s="366">
        <v>13</v>
      </c>
      <c r="D119" s="225"/>
      <c r="E119" s="181"/>
      <c r="F119" s="374"/>
      <c r="G119" s="375"/>
      <c r="H119" s="672"/>
      <c r="I119" s="395" t="str">
        <f t="shared" si="53"/>
        <v>-</v>
      </c>
      <c r="J119" s="395" t="str">
        <f t="shared" si="54"/>
        <v>-</v>
      </c>
      <c r="K119" s="199" t="str">
        <f t="shared" si="55"/>
        <v>-</v>
      </c>
      <c r="L119" s="609"/>
      <c r="M119" s="367" t="e">
        <f>RANK(K119, K$67:$K$81)</f>
        <v>#VALUE!</v>
      </c>
      <c r="N119" s="627"/>
      <c r="O119" s="627"/>
      <c r="P119" s="366"/>
      <c r="Q119" s="367"/>
      <c r="R119" s="367"/>
      <c r="S119" s="366" t="e">
        <f t="shared" si="56"/>
        <v>#N/A</v>
      </c>
      <c r="T119" s="674"/>
      <c r="U119" s="376"/>
      <c r="V119" s="377"/>
      <c r="W119" s="377"/>
      <c r="X119" s="366" t="e">
        <f t="shared" si="57"/>
        <v>#N/A</v>
      </c>
      <c r="Y119" s="674"/>
      <c r="Z119" s="376"/>
      <c r="AA119" s="377"/>
      <c r="AB119" s="377"/>
      <c r="AC119" s="366" t="e">
        <f t="shared" si="58"/>
        <v>#N/A</v>
      </c>
      <c r="AD119" s="674"/>
      <c r="AE119" s="376"/>
      <c r="AF119" s="377"/>
      <c r="AG119" s="377"/>
      <c r="AH119" s="366" t="e">
        <f t="shared" si="59"/>
        <v>#N/A</v>
      </c>
      <c r="AI119" s="674"/>
      <c r="AJ119" s="376"/>
      <c r="AK119" s="377"/>
      <c r="AL119" s="377"/>
      <c r="AM119" s="366" t="e">
        <f t="shared" si="60"/>
        <v>#N/A</v>
      </c>
      <c r="AN119" s="674"/>
      <c r="AO119" s="376"/>
      <c r="AP119" s="377"/>
      <c r="AQ119" s="377"/>
      <c r="AR119" s="366" t="e">
        <f t="shared" si="61"/>
        <v>#N/A</v>
      </c>
      <c r="AS119" s="674"/>
      <c r="AT119" s="374"/>
      <c r="AU119" s="181"/>
      <c r="AV119" s="375"/>
      <c r="AW119" s="366" t="e">
        <f t="shared" si="62"/>
        <v>#N/A</v>
      </c>
      <c r="AX119" s="674"/>
      <c r="AZ119" s="403" t="e">
        <f t="shared" si="63"/>
        <v>#N/A</v>
      </c>
      <c r="BA119" s="674"/>
    </row>
    <row r="120" spans="2:53">
      <c r="B120" s="660"/>
      <c r="C120" s="366">
        <v>14</v>
      </c>
      <c r="D120" s="225"/>
      <c r="E120" s="181"/>
      <c r="F120" s="374"/>
      <c r="G120" s="375"/>
      <c r="H120" s="672"/>
      <c r="I120" s="395" t="str">
        <f t="shared" si="53"/>
        <v>-</v>
      </c>
      <c r="J120" s="395" t="str">
        <f t="shared" si="54"/>
        <v>-</v>
      </c>
      <c r="K120" s="199" t="str">
        <f t="shared" si="55"/>
        <v>-</v>
      </c>
      <c r="L120" s="609"/>
      <c r="M120" s="367" t="e">
        <f>RANK(K120, K$67:$K$81)</f>
        <v>#VALUE!</v>
      </c>
      <c r="N120" s="627"/>
      <c r="O120" s="627"/>
      <c r="P120" s="366"/>
      <c r="Q120" s="367"/>
      <c r="R120" s="367"/>
      <c r="S120" s="366" t="e">
        <f t="shared" si="56"/>
        <v>#N/A</v>
      </c>
      <c r="T120" s="674"/>
      <c r="U120" s="376"/>
      <c r="V120" s="377"/>
      <c r="W120" s="377"/>
      <c r="X120" s="366" t="e">
        <f t="shared" si="57"/>
        <v>#N/A</v>
      </c>
      <c r="Y120" s="674"/>
      <c r="Z120" s="376"/>
      <c r="AA120" s="377"/>
      <c r="AB120" s="377"/>
      <c r="AC120" s="366" t="e">
        <f t="shared" si="58"/>
        <v>#N/A</v>
      </c>
      <c r="AD120" s="674"/>
      <c r="AE120" s="376"/>
      <c r="AF120" s="377"/>
      <c r="AG120" s="377"/>
      <c r="AH120" s="366" t="e">
        <f t="shared" si="59"/>
        <v>#N/A</v>
      </c>
      <c r="AI120" s="674"/>
      <c r="AJ120" s="376"/>
      <c r="AK120" s="377"/>
      <c r="AL120" s="377"/>
      <c r="AM120" s="366" t="e">
        <f t="shared" si="60"/>
        <v>#N/A</v>
      </c>
      <c r="AN120" s="674"/>
      <c r="AO120" s="376"/>
      <c r="AP120" s="377"/>
      <c r="AQ120" s="377"/>
      <c r="AR120" s="366" t="e">
        <f t="shared" si="61"/>
        <v>#N/A</v>
      </c>
      <c r="AS120" s="674"/>
      <c r="AT120" s="374"/>
      <c r="AU120" s="181"/>
      <c r="AV120" s="375"/>
      <c r="AW120" s="366" t="e">
        <f t="shared" si="62"/>
        <v>#N/A</v>
      </c>
      <c r="AX120" s="674"/>
      <c r="AZ120" s="403" t="e">
        <f t="shared" si="63"/>
        <v>#N/A</v>
      </c>
      <c r="BA120" s="674"/>
    </row>
    <row r="121" spans="2:53">
      <c r="B121" s="660"/>
      <c r="C121" s="366">
        <v>15</v>
      </c>
      <c r="D121" s="225"/>
      <c r="E121" s="181"/>
      <c r="F121" s="374"/>
      <c r="G121" s="375"/>
      <c r="H121" s="676"/>
      <c r="I121" s="399"/>
      <c r="J121" s="399"/>
      <c r="K121" s="399"/>
      <c r="L121" s="610"/>
      <c r="M121" s="367" t="e">
        <f>RANK(K121, K$47:$K$61)</f>
        <v>#N/A</v>
      </c>
      <c r="N121" s="627"/>
      <c r="O121" s="627"/>
      <c r="P121" s="366"/>
      <c r="Q121" s="367"/>
      <c r="R121" s="367"/>
      <c r="S121" s="366" t="e">
        <f t="shared" si="56"/>
        <v>#N/A</v>
      </c>
      <c r="T121" s="674"/>
      <c r="U121" s="376"/>
      <c r="V121" s="377"/>
      <c r="W121" s="377"/>
      <c r="X121" s="366" t="e">
        <f t="shared" si="57"/>
        <v>#N/A</v>
      </c>
      <c r="Y121" s="674"/>
      <c r="Z121" s="376"/>
      <c r="AA121" s="377"/>
      <c r="AB121" s="377"/>
      <c r="AC121" s="366" t="e">
        <f t="shared" si="58"/>
        <v>#N/A</v>
      </c>
      <c r="AD121" s="674"/>
      <c r="AE121" s="376"/>
      <c r="AF121" s="377"/>
      <c r="AG121" s="377"/>
      <c r="AH121" s="366" t="e">
        <f t="shared" si="59"/>
        <v>#N/A</v>
      </c>
      <c r="AI121" s="674"/>
      <c r="AJ121" s="376"/>
      <c r="AK121" s="377"/>
      <c r="AL121" s="377"/>
      <c r="AM121" s="366" t="e">
        <f t="shared" si="60"/>
        <v>#N/A</v>
      </c>
      <c r="AN121" s="674"/>
      <c r="AO121" s="376"/>
      <c r="AP121" s="377"/>
      <c r="AQ121" s="377"/>
      <c r="AR121" s="366" t="e">
        <f t="shared" si="61"/>
        <v>#N/A</v>
      </c>
      <c r="AS121" s="674"/>
      <c r="AT121" s="374"/>
      <c r="AU121" s="181"/>
      <c r="AV121" s="375"/>
      <c r="AW121" s="366" t="e">
        <f t="shared" si="62"/>
        <v>#N/A</v>
      </c>
      <c r="AX121" s="674"/>
      <c r="AZ121" s="403" t="e">
        <f t="shared" si="63"/>
        <v>#N/A</v>
      </c>
      <c r="BA121" s="674"/>
    </row>
    <row r="123" spans="2:53" ht="15.75">
      <c r="B123" s="666" t="s">
        <v>484</v>
      </c>
      <c r="C123" s="667"/>
      <c r="D123" s="667"/>
      <c r="E123" s="667"/>
      <c r="F123" s="667"/>
      <c r="G123" s="667"/>
      <c r="H123" s="668"/>
      <c r="I123" s="316"/>
      <c r="J123" s="316"/>
      <c r="K123" s="316"/>
      <c r="L123" s="316"/>
      <c r="M123" s="317"/>
    </row>
    <row r="124" spans="2:53" ht="15.75">
      <c r="B124" s="669"/>
      <c r="C124" s="669"/>
      <c r="D124" s="669"/>
      <c r="E124" s="669"/>
      <c r="F124" s="669"/>
      <c r="G124" s="669"/>
      <c r="H124" s="669"/>
      <c r="I124" s="318"/>
      <c r="J124" s="318"/>
      <c r="K124" s="318"/>
      <c r="L124" s="318"/>
      <c r="M124" s="319"/>
    </row>
    <row r="125" spans="2:53">
      <c r="B125" s="627" t="s">
        <v>485</v>
      </c>
      <c r="C125" s="627" t="s">
        <v>486</v>
      </c>
      <c r="D125" s="627"/>
      <c r="E125" s="627" t="s">
        <v>487</v>
      </c>
      <c r="F125" s="627"/>
      <c r="G125" s="627"/>
      <c r="H125" s="643" t="s">
        <v>488</v>
      </c>
      <c r="I125" s="670" t="s">
        <v>489</v>
      </c>
      <c r="J125" s="670"/>
      <c r="K125" s="670"/>
      <c r="L125" s="683" t="s">
        <v>488</v>
      </c>
      <c r="M125" s="686" t="s">
        <v>490</v>
      </c>
    </row>
    <row r="126" spans="2:53">
      <c r="B126" s="627"/>
      <c r="C126" s="627"/>
      <c r="D126" s="627"/>
      <c r="E126" s="627" t="s">
        <v>491</v>
      </c>
      <c r="F126" s="627"/>
      <c r="G126" s="627"/>
      <c r="H126" s="644"/>
      <c r="I126" s="670" t="s">
        <v>491</v>
      </c>
      <c r="J126" s="670"/>
      <c r="K126" s="670"/>
      <c r="L126" s="684"/>
      <c r="M126" s="687"/>
    </row>
    <row r="127" spans="2:53">
      <c r="B127" s="627"/>
      <c r="C127" s="627"/>
      <c r="D127" s="627"/>
      <c r="E127" s="313" t="s">
        <v>492</v>
      </c>
      <c r="F127" s="313" t="s">
        <v>493</v>
      </c>
      <c r="G127" s="313" t="s">
        <v>494</v>
      </c>
      <c r="H127" s="645"/>
      <c r="I127" s="320" t="s">
        <v>492</v>
      </c>
      <c r="J127" s="320" t="s">
        <v>493</v>
      </c>
      <c r="K127" s="320" t="s">
        <v>494</v>
      </c>
      <c r="L127" s="685"/>
      <c r="M127" s="688"/>
    </row>
    <row r="128" spans="2:53">
      <c r="B128" s="627" t="s">
        <v>502</v>
      </c>
      <c r="C128" s="312">
        <v>1</v>
      </c>
      <c r="D128" s="225"/>
      <c r="E128" s="181"/>
      <c r="F128" s="312"/>
      <c r="G128" s="315"/>
      <c r="H128" s="677" t="e">
        <f>AVERAGE(G128:G142)</f>
        <v>#DIV/0!</v>
      </c>
      <c r="I128" s="198" t="e">
        <f t="shared" ref="I128:J133" si="64">AVERAGEIF($D$7:$D$121,$D128,I$7:I$121)</f>
        <v>#DIV/0!</v>
      </c>
      <c r="J128" s="198" t="e">
        <f t="shared" si="64"/>
        <v>#DIV/0!</v>
      </c>
      <c r="K128" s="198" t="e">
        <f t="shared" ref="K128:K133" si="65">AVERAGEIF($D$7:$D$121,$D128,K$7:K$121)</f>
        <v>#DIV/0!</v>
      </c>
      <c r="L128" s="680" t="e">
        <f>AVERAGE(K128:K142)</f>
        <v>#DIV/0!</v>
      </c>
      <c r="M128" s="198" t="e">
        <f>RANK(K128, K$128:$K$142)</f>
        <v>#DIV/0!</v>
      </c>
    </row>
    <row r="129" spans="2:13">
      <c r="B129" s="635"/>
      <c r="C129" s="312">
        <v>2</v>
      </c>
      <c r="D129" s="225"/>
      <c r="E129" s="181"/>
      <c r="F129" s="312"/>
      <c r="G129" s="315"/>
      <c r="H129" s="678"/>
      <c r="I129" s="198" t="e">
        <f t="shared" si="64"/>
        <v>#DIV/0!</v>
      </c>
      <c r="J129" s="198" t="e">
        <f t="shared" si="64"/>
        <v>#DIV/0!</v>
      </c>
      <c r="K129" s="198" t="e">
        <f t="shared" si="65"/>
        <v>#DIV/0!</v>
      </c>
      <c r="L129" s="681"/>
      <c r="M129" s="198" t="e">
        <f>RANK(K129, K$128:$K$142)</f>
        <v>#DIV/0!</v>
      </c>
    </row>
    <row r="130" spans="2:13">
      <c r="B130" s="635"/>
      <c r="C130" s="312">
        <v>3</v>
      </c>
      <c r="D130" s="225"/>
      <c r="E130" s="181"/>
      <c r="F130" s="312"/>
      <c r="G130" s="315"/>
      <c r="H130" s="678"/>
      <c r="I130" s="198" t="e">
        <f t="shared" si="64"/>
        <v>#DIV/0!</v>
      </c>
      <c r="J130" s="198" t="e">
        <f t="shared" si="64"/>
        <v>#DIV/0!</v>
      </c>
      <c r="K130" s="198" t="e">
        <f t="shared" si="65"/>
        <v>#DIV/0!</v>
      </c>
      <c r="L130" s="681"/>
      <c r="M130" s="198" t="e">
        <f>RANK(K130, K$128:$K$142)</f>
        <v>#DIV/0!</v>
      </c>
    </row>
    <row r="131" spans="2:13">
      <c r="B131" s="635"/>
      <c r="C131" s="312">
        <v>4</v>
      </c>
      <c r="D131" s="225"/>
      <c r="E131" s="181"/>
      <c r="F131" s="312"/>
      <c r="G131" s="315"/>
      <c r="H131" s="678"/>
      <c r="I131" s="198" t="e">
        <f t="shared" si="64"/>
        <v>#DIV/0!</v>
      </c>
      <c r="J131" s="198" t="e">
        <f t="shared" si="64"/>
        <v>#DIV/0!</v>
      </c>
      <c r="K131" s="198" t="e">
        <f t="shared" si="65"/>
        <v>#DIV/0!</v>
      </c>
      <c r="L131" s="681"/>
      <c r="M131" s="198" t="e">
        <f>RANK(K131, K$128:$K$142)</f>
        <v>#DIV/0!</v>
      </c>
    </row>
    <row r="132" spans="2:13">
      <c r="B132" s="635"/>
      <c r="C132" s="312">
        <v>5</v>
      </c>
      <c r="D132" s="225"/>
      <c r="E132" s="181"/>
      <c r="F132" s="312"/>
      <c r="G132" s="315"/>
      <c r="H132" s="678"/>
      <c r="I132" s="198" t="e">
        <f t="shared" si="64"/>
        <v>#DIV/0!</v>
      </c>
      <c r="J132" s="198" t="e">
        <f t="shared" si="64"/>
        <v>#DIV/0!</v>
      </c>
      <c r="K132" s="198" t="e">
        <f t="shared" si="65"/>
        <v>#DIV/0!</v>
      </c>
      <c r="L132" s="681"/>
      <c r="M132" s="198" t="e">
        <f>RANK(K132, K$128:$K$142)</f>
        <v>#DIV/0!</v>
      </c>
    </row>
    <row r="133" spans="2:13">
      <c r="B133" s="635"/>
      <c r="C133" s="312">
        <v>6</v>
      </c>
      <c r="D133" s="321"/>
      <c r="E133" s="181"/>
      <c r="F133" s="312"/>
      <c r="G133" s="315"/>
      <c r="H133" s="678"/>
      <c r="I133" s="198" t="e">
        <f t="shared" si="64"/>
        <v>#DIV/0!</v>
      </c>
      <c r="J133" s="198" t="e">
        <f t="shared" si="64"/>
        <v>#DIV/0!</v>
      </c>
      <c r="K133" s="198" t="e">
        <f t="shared" si="65"/>
        <v>#DIV/0!</v>
      </c>
      <c r="L133" s="681"/>
      <c r="M133" s="198" t="e">
        <f>RANK(K133, K$128:$K$142)</f>
        <v>#DIV/0!</v>
      </c>
    </row>
    <row r="134" spans="2:13">
      <c r="B134" s="635"/>
      <c r="C134" s="312">
        <v>7</v>
      </c>
      <c r="D134" s="225"/>
      <c r="E134" s="181"/>
      <c r="F134" s="312"/>
      <c r="G134" s="315"/>
      <c r="H134" s="678"/>
      <c r="I134" s="198"/>
      <c r="J134" s="198"/>
      <c r="K134" s="198"/>
      <c r="L134" s="681"/>
      <c r="M134" s="198" t="e">
        <f>RANK(K134, K$128:$K$142)</f>
        <v>#DIV/0!</v>
      </c>
    </row>
    <row r="135" spans="2:13">
      <c r="B135" s="635"/>
      <c r="C135" s="312">
        <v>8</v>
      </c>
      <c r="D135" s="225"/>
      <c r="E135" s="181"/>
      <c r="F135" s="312"/>
      <c r="G135" s="315"/>
      <c r="H135" s="678"/>
      <c r="I135" s="198"/>
      <c r="J135" s="198"/>
      <c r="K135" s="198"/>
      <c r="L135" s="681"/>
      <c r="M135" s="198" t="e">
        <f>RANK(K135, K$128:$K$142)</f>
        <v>#DIV/0!</v>
      </c>
    </row>
    <row r="136" spans="2:13">
      <c r="B136" s="635"/>
      <c r="C136" s="312">
        <v>9</v>
      </c>
      <c r="D136" s="225"/>
      <c r="E136" s="312"/>
      <c r="F136" s="312"/>
      <c r="G136" s="312"/>
      <c r="H136" s="678"/>
      <c r="I136" s="198"/>
      <c r="J136" s="198"/>
      <c r="K136" s="198"/>
      <c r="L136" s="681"/>
      <c r="M136" s="198" t="e">
        <f>RANK(K136, K$128:$K$142)</f>
        <v>#DIV/0!</v>
      </c>
    </row>
    <row r="137" spans="2:13">
      <c r="B137" s="635"/>
      <c r="C137" s="312">
        <v>10</v>
      </c>
      <c r="D137" s="225"/>
      <c r="E137" s="312"/>
      <c r="F137" s="312"/>
      <c r="G137" s="312"/>
      <c r="H137" s="678"/>
      <c r="I137" s="198"/>
      <c r="J137" s="198"/>
      <c r="K137" s="198"/>
      <c r="L137" s="681"/>
      <c r="M137" s="198" t="e">
        <f>RANK(K137, K$128:$K$142)</f>
        <v>#DIV/0!</v>
      </c>
    </row>
    <row r="138" spans="2:13">
      <c r="B138" s="635"/>
      <c r="C138" s="312">
        <v>11</v>
      </c>
      <c r="D138" s="225"/>
      <c r="E138" s="312"/>
      <c r="F138" s="312"/>
      <c r="G138" s="312"/>
      <c r="H138" s="678"/>
      <c r="I138" s="198"/>
      <c r="J138" s="198"/>
      <c r="K138" s="198"/>
      <c r="L138" s="681"/>
      <c r="M138" s="198" t="e">
        <f>RANK(K138, K$128:$K$142)</f>
        <v>#DIV/0!</v>
      </c>
    </row>
    <row r="139" spans="2:13">
      <c r="B139" s="635"/>
      <c r="C139" s="312">
        <v>12</v>
      </c>
      <c r="D139" s="225"/>
      <c r="E139" s="312"/>
      <c r="F139" s="312"/>
      <c r="G139" s="312"/>
      <c r="H139" s="678"/>
      <c r="I139" s="198"/>
      <c r="J139" s="198"/>
      <c r="K139" s="198"/>
      <c r="L139" s="681"/>
      <c r="M139" s="198" t="e">
        <f>RANK(K139, K$128:$K$142)</f>
        <v>#DIV/0!</v>
      </c>
    </row>
    <row r="140" spans="2:13">
      <c r="B140" s="635"/>
      <c r="C140" s="312">
        <v>13</v>
      </c>
      <c r="D140" s="225"/>
      <c r="E140" s="312"/>
      <c r="F140" s="312"/>
      <c r="G140" s="312"/>
      <c r="H140" s="678"/>
      <c r="I140" s="198"/>
      <c r="J140" s="198"/>
      <c r="K140" s="198"/>
      <c r="L140" s="681"/>
      <c r="M140" s="198" t="e">
        <f>RANK(K140, K$128:$K$142)</f>
        <v>#DIV/0!</v>
      </c>
    </row>
    <row r="141" spans="2:13">
      <c r="B141" s="635"/>
      <c r="C141" s="312">
        <v>14</v>
      </c>
      <c r="D141" s="225"/>
      <c r="E141" s="312"/>
      <c r="F141" s="312"/>
      <c r="G141" s="312"/>
      <c r="H141" s="678"/>
      <c r="I141" s="198"/>
      <c r="J141" s="198"/>
      <c r="K141" s="198"/>
      <c r="L141" s="681"/>
      <c r="M141" s="198" t="e">
        <f>RANK(K141, K$128:$K$142)</f>
        <v>#DIV/0!</v>
      </c>
    </row>
    <row r="142" spans="2:13">
      <c r="B142" s="635"/>
      <c r="C142" s="312">
        <v>15</v>
      </c>
      <c r="D142" s="225"/>
      <c r="E142" s="312"/>
      <c r="F142" s="312"/>
      <c r="G142" s="312"/>
      <c r="H142" s="679"/>
      <c r="I142" s="198"/>
      <c r="J142" s="198"/>
      <c r="K142" s="198"/>
      <c r="L142" s="682"/>
      <c r="M142" s="198" t="e">
        <f>RANK(K142, K$128:$K$142)</f>
        <v>#DIV/0!</v>
      </c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85" zoomScaleNormal="85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13" ht="15.75" customHeight="1">
      <c r="A1" s="580" t="s">
        <v>186</v>
      </c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119"/>
    </row>
    <row r="2" spans="1:13" s="120" customFormat="1" ht="15.75" customHeight="1">
      <c r="A2" s="580"/>
      <c r="B2" s="580"/>
      <c r="C2" s="580"/>
      <c r="D2" s="580"/>
      <c r="E2" s="580"/>
      <c r="F2" s="580"/>
      <c r="G2" s="580"/>
      <c r="H2" s="580"/>
      <c r="I2" s="580"/>
      <c r="J2" s="580"/>
      <c r="K2" s="580"/>
      <c r="L2" s="580"/>
    </row>
    <row r="3" spans="1:13" ht="15.75" customHeight="1">
      <c r="A3" s="716" t="s">
        <v>187</v>
      </c>
      <c r="B3" s="717"/>
      <c r="C3" s="717"/>
      <c r="D3" s="717"/>
      <c r="E3" s="717"/>
      <c r="F3" s="717"/>
      <c r="G3" s="717"/>
      <c r="H3" s="717"/>
      <c r="I3" s="717"/>
      <c r="J3" s="717"/>
      <c r="K3" s="717"/>
      <c r="L3" s="717"/>
      <c r="M3" s="151"/>
    </row>
    <row r="4" spans="1:13" s="120" customFormat="1" ht="15.75" customHeight="1">
      <c r="A4" s="717"/>
      <c r="B4" s="717"/>
      <c r="C4" s="717"/>
      <c r="D4" s="717"/>
      <c r="E4" s="717"/>
      <c r="F4" s="717"/>
      <c r="G4" s="717"/>
      <c r="H4" s="717"/>
      <c r="I4" s="717"/>
      <c r="J4" s="717"/>
      <c r="K4" s="717"/>
      <c r="L4" s="717"/>
      <c r="M4" s="130"/>
    </row>
    <row r="5" spans="1:13" s="153" customFormat="1" ht="16.350000000000001" customHeight="1">
      <c r="A5" s="704" t="s">
        <v>154</v>
      </c>
      <c r="B5" s="165">
        <v>1</v>
      </c>
      <c r="C5" s="165">
        <v>2</v>
      </c>
      <c r="D5" s="155">
        <v>3</v>
      </c>
      <c r="E5" s="155">
        <v>4</v>
      </c>
      <c r="F5" s="155">
        <v>5</v>
      </c>
      <c r="G5" s="155">
        <v>6</v>
      </c>
      <c r="H5" s="155">
        <v>7</v>
      </c>
      <c r="I5" s="155">
        <v>8</v>
      </c>
      <c r="J5" s="155">
        <v>9</v>
      </c>
      <c r="K5" s="152"/>
      <c r="L5" s="152"/>
      <c r="M5" s="152"/>
    </row>
    <row r="6" spans="1:13" ht="16.350000000000001" customHeight="1">
      <c r="A6" s="704"/>
      <c r="B6" s="166" t="s">
        <v>188</v>
      </c>
      <c r="C6" s="166" t="s">
        <v>151</v>
      </c>
      <c r="D6" s="156" t="s">
        <v>189</v>
      </c>
      <c r="E6" s="156" t="s">
        <v>153</v>
      </c>
      <c r="F6" s="157" t="s">
        <v>133</v>
      </c>
      <c r="G6" s="158" t="s">
        <v>131</v>
      </c>
      <c r="H6" s="159" t="s">
        <v>190</v>
      </c>
      <c r="I6" s="158" t="s">
        <v>191</v>
      </c>
      <c r="J6" s="158" t="s">
        <v>137</v>
      </c>
      <c r="K6" s="154"/>
      <c r="L6" s="154"/>
      <c r="M6" s="130"/>
    </row>
    <row r="7" spans="1:13" s="153" customFormat="1" ht="15.75" customHeight="1">
      <c r="A7" s="705" t="s">
        <v>169</v>
      </c>
      <c r="B7" s="705"/>
      <c r="C7" s="362" t="s">
        <v>390</v>
      </c>
      <c r="D7" s="705" t="s">
        <v>12</v>
      </c>
      <c r="E7" s="708"/>
      <c r="F7" s="708"/>
      <c r="G7" s="362" t="s">
        <v>46</v>
      </c>
      <c r="H7" s="362" t="s">
        <v>521</v>
      </c>
      <c r="I7" s="362" t="s">
        <v>387</v>
      </c>
      <c r="J7" s="221" t="s">
        <v>388</v>
      </c>
      <c r="K7" s="705" t="s">
        <v>389</v>
      </c>
      <c r="L7" s="708"/>
      <c r="M7" s="152"/>
    </row>
    <row r="8" spans="1:13" ht="15.75" customHeight="1">
      <c r="A8" s="704">
        <v>1</v>
      </c>
      <c r="B8" s="705" t="s">
        <v>150</v>
      </c>
      <c r="C8" s="363">
        <v>1</v>
      </c>
      <c r="D8" s="385" t="s">
        <v>339</v>
      </c>
      <c r="E8" s="359"/>
      <c r="F8" s="360"/>
      <c r="G8" s="380">
        <v>3</v>
      </c>
      <c r="H8" s="380">
        <v>3195.2426019765157</v>
      </c>
      <c r="I8" s="380">
        <v>1065.0808673255056</v>
      </c>
      <c r="J8" s="240" t="s">
        <v>813</v>
      </c>
      <c r="K8" s="710" t="s">
        <v>814</v>
      </c>
      <c r="L8" s="711"/>
      <c r="M8" s="130"/>
    </row>
    <row r="9" spans="1:13" ht="15.75" customHeight="1">
      <c r="A9" s="704"/>
      <c r="B9" s="705"/>
      <c r="C9" s="363">
        <v>2</v>
      </c>
      <c r="D9" s="379" t="s">
        <v>714</v>
      </c>
      <c r="E9" s="359"/>
      <c r="F9" s="360"/>
      <c r="G9" s="380">
        <v>3</v>
      </c>
      <c r="H9" s="380">
        <v>3186.8804187562337</v>
      </c>
      <c r="I9" s="380">
        <v>1062.2934729187446</v>
      </c>
      <c r="J9" s="240" t="s">
        <v>813</v>
      </c>
      <c r="K9" s="712"/>
      <c r="L9" s="713"/>
      <c r="M9" s="130"/>
    </row>
    <row r="10" spans="1:13" ht="15.75" customHeight="1">
      <c r="A10" s="704"/>
      <c r="B10" s="705"/>
      <c r="C10" s="363">
        <v>3</v>
      </c>
      <c r="D10" s="385" t="s">
        <v>719</v>
      </c>
      <c r="E10" s="359"/>
      <c r="F10" s="360"/>
      <c r="G10" s="380">
        <v>3</v>
      </c>
      <c r="H10" s="380">
        <v>3184.6083148139405</v>
      </c>
      <c r="I10" s="380">
        <v>1061.5361049379801</v>
      </c>
      <c r="J10" s="240" t="s">
        <v>813</v>
      </c>
      <c r="K10" s="712"/>
      <c r="L10" s="713"/>
      <c r="M10" s="130"/>
    </row>
    <row r="11" spans="1:13" ht="15.75" customHeight="1">
      <c r="A11" s="704"/>
      <c r="B11" s="705"/>
      <c r="C11" s="363">
        <v>4</v>
      </c>
      <c r="D11" s="379" t="s">
        <v>337</v>
      </c>
      <c r="E11" s="359"/>
      <c r="F11" s="360"/>
      <c r="G11" s="380">
        <v>3</v>
      </c>
      <c r="H11" s="380">
        <v>3176.4206011041888</v>
      </c>
      <c r="I11" s="380">
        <v>1058.8068670347295</v>
      </c>
      <c r="J11" s="241" t="s">
        <v>815</v>
      </c>
      <c r="K11" s="712"/>
      <c r="L11" s="713"/>
      <c r="M11" s="130"/>
    </row>
    <row r="12" spans="1:13" ht="15.75" customHeight="1">
      <c r="A12" s="704"/>
      <c r="B12" s="705"/>
      <c r="C12" s="363">
        <v>5</v>
      </c>
      <c r="D12" s="385" t="s">
        <v>342</v>
      </c>
      <c r="E12" s="359"/>
      <c r="F12" s="360"/>
      <c r="G12" s="380">
        <v>3</v>
      </c>
      <c r="H12" s="380">
        <v>3160.0483244499474</v>
      </c>
      <c r="I12" s="380">
        <v>1053.3494414833158</v>
      </c>
      <c r="J12" s="241" t="s">
        <v>815</v>
      </c>
      <c r="K12" s="714"/>
      <c r="L12" s="715"/>
      <c r="M12" s="130"/>
    </row>
    <row r="13" spans="1:13" ht="15.75" customHeight="1">
      <c r="A13" s="704"/>
      <c r="B13" s="705"/>
      <c r="C13" s="164" t="s">
        <v>391</v>
      </c>
      <c r="D13" s="379" t="s">
        <v>614</v>
      </c>
      <c r="E13" s="359"/>
      <c r="F13" s="360"/>
      <c r="G13" s="380">
        <v>12</v>
      </c>
      <c r="H13" s="380">
        <v>1300.1690645489011</v>
      </c>
      <c r="I13" s="380">
        <v>108.34742204574175</v>
      </c>
      <c r="J13" s="410" t="s">
        <v>816</v>
      </c>
      <c r="K13" s="707"/>
      <c r="L13" s="708"/>
      <c r="M13" s="130"/>
    </row>
    <row r="14" spans="1:13" ht="15.75" customHeight="1">
      <c r="A14" s="704"/>
      <c r="B14" s="705"/>
      <c r="C14" s="164" t="s">
        <v>392</v>
      </c>
      <c r="D14" s="379" t="s">
        <v>646</v>
      </c>
      <c r="E14" s="359"/>
      <c r="F14" s="360"/>
      <c r="G14" s="380">
        <v>12</v>
      </c>
      <c r="H14" s="380">
        <v>1428.5532904282645</v>
      </c>
      <c r="I14" s="380">
        <v>119.04610753568871</v>
      </c>
      <c r="J14" s="239" t="s">
        <v>816</v>
      </c>
      <c r="K14" s="709"/>
      <c r="L14" s="709"/>
      <c r="M14" s="130"/>
    </row>
    <row r="15" spans="1:13" ht="15.75" customHeight="1">
      <c r="A15" s="704"/>
      <c r="B15" s="705"/>
      <c r="C15" s="164" t="s">
        <v>432</v>
      </c>
      <c r="D15" s="379" t="s">
        <v>592</v>
      </c>
      <c r="E15" s="359"/>
      <c r="F15" s="360"/>
      <c r="G15" s="380">
        <v>4</v>
      </c>
      <c r="H15" s="380">
        <v>2564.1499633211897</v>
      </c>
      <c r="I15" s="380">
        <v>641.03749083029743</v>
      </c>
      <c r="J15" s="241" t="s">
        <v>815</v>
      </c>
      <c r="K15" s="748" t="s">
        <v>817</v>
      </c>
      <c r="L15" s="749"/>
      <c r="M15" s="130"/>
    </row>
    <row r="16" spans="1:13" ht="15.75" customHeight="1">
      <c r="A16" s="704"/>
      <c r="B16" s="705"/>
      <c r="C16" s="164" t="s">
        <v>394</v>
      </c>
      <c r="D16" s="379" t="s">
        <v>597</v>
      </c>
      <c r="E16" s="359"/>
      <c r="F16" s="360"/>
      <c r="G16" s="380">
        <v>4</v>
      </c>
      <c r="H16" s="380">
        <v>2775.8772150155614</v>
      </c>
      <c r="I16" s="380">
        <v>693.96930375389036</v>
      </c>
      <c r="J16" s="240" t="s">
        <v>813</v>
      </c>
      <c r="K16" s="750"/>
      <c r="L16" s="751"/>
      <c r="M16" s="151"/>
    </row>
    <row r="17" spans="1:13" ht="15.75" customHeight="1">
      <c r="A17" s="704"/>
      <c r="B17" s="705"/>
      <c r="C17" s="164" t="s">
        <v>433</v>
      </c>
      <c r="D17" s="385" t="s">
        <v>593</v>
      </c>
      <c r="E17" s="359"/>
      <c r="F17" s="360"/>
      <c r="G17" s="380">
        <v>4</v>
      </c>
      <c r="H17" s="380">
        <v>2819.8285714285889</v>
      </c>
      <c r="I17" s="380">
        <v>704.95714285714723</v>
      </c>
      <c r="J17" s="239" t="s">
        <v>816</v>
      </c>
      <c r="K17" s="707"/>
      <c r="L17" s="708"/>
      <c r="M17" s="151"/>
    </row>
    <row r="18" spans="1:13" s="161" customFormat="1" ht="15.75" customHeight="1">
      <c r="A18" s="702" t="s">
        <v>169</v>
      </c>
      <c r="B18" s="702"/>
      <c r="C18" s="364" t="s">
        <v>390</v>
      </c>
      <c r="D18" s="702" t="s">
        <v>12</v>
      </c>
      <c r="E18" s="703"/>
      <c r="F18" s="703"/>
      <c r="G18" s="551" t="s">
        <v>818</v>
      </c>
      <c r="H18" s="551" t="s">
        <v>819</v>
      </c>
      <c r="I18" s="551" t="s">
        <v>820</v>
      </c>
      <c r="J18" s="221" t="s">
        <v>821</v>
      </c>
      <c r="K18" s="702" t="s">
        <v>822</v>
      </c>
      <c r="L18" s="703"/>
      <c r="M18" s="154"/>
    </row>
    <row r="19" spans="1:13" ht="15.75" customHeight="1">
      <c r="A19" s="704">
        <v>2</v>
      </c>
      <c r="B19" s="705" t="s">
        <v>151</v>
      </c>
      <c r="C19" s="363">
        <v>1</v>
      </c>
      <c r="D19" s="358" t="s">
        <v>598</v>
      </c>
      <c r="E19" s="359"/>
      <c r="F19" s="360"/>
      <c r="G19" s="380">
        <v>10</v>
      </c>
      <c r="H19" s="380">
        <v>1602.8571428571429</v>
      </c>
      <c r="I19" s="380">
        <v>160.28571428571431</v>
      </c>
      <c r="J19" s="239" t="s">
        <v>816</v>
      </c>
      <c r="K19" s="706"/>
      <c r="L19" s="701"/>
      <c r="M19" s="151"/>
    </row>
    <row r="20" spans="1:13" ht="15.75" customHeight="1">
      <c r="A20" s="704"/>
      <c r="B20" s="705"/>
      <c r="C20" s="363">
        <v>2</v>
      </c>
      <c r="D20" s="358" t="s">
        <v>632</v>
      </c>
      <c r="E20" s="359"/>
      <c r="F20" s="360"/>
      <c r="G20" s="380">
        <v>12.857142857142858</v>
      </c>
      <c r="H20" s="380">
        <v>1805.4945054945069</v>
      </c>
      <c r="I20" s="380">
        <v>141.32171637885935</v>
      </c>
      <c r="J20" s="239" t="s">
        <v>816</v>
      </c>
      <c r="K20" s="706"/>
      <c r="L20" s="701"/>
      <c r="M20" s="151"/>
    </row>
    <row r="21" spans="1:13" ht="15.75" customHeight="1">
      <c r="A21" s="704"/>
      <c r="B21" s="705"/>
      <c r="C21" s="363">
        <v>3</v>
      </c>
      <c r="D21" s="381" t="s">
        <v>631</v>
      </c>
      <c r="E21" s="359"/>
      <c r="F21" s="360"/>
      <c r="G21" s="380">
        <v>12.857142857142858</v>
      </c>
      <c r="H21" s="380">
        <v>1799.4395604395618</v>
      </c>
      <c r="I21" s="380">
        <v>140.80720172684468</v>
      </c>
      <c r="J21" s="239" t="s">
        <v>816</v>
      </c>
      <c r="K21" s="706"/>
      <c r="L21" s="701"/>
      <c r="M21" s="151"/>
    </row>
    <row r="22" spans="1:13" ht="15.75" customHeight="1">
      <c r="A22" s="704"/>
      <c r="B22" s="705"/>
      <c r="C22" s="363">
        <v>4</v>
      </c>
      <c r="D22" s="381"/>
      <c r="E22" s="359"/>
      <c r="F22" s="360"/>
      <c r="G22" s="380"/>
      <c r="H22" s="380"/>
      <c r="I22" s="380"/>
      <c r="J22" s="239"/>
      <c r="K22" s="700"/>
      <c r="L22" s="701"/>
      <c r="M22" s="151"/>
    </row>
    <row r="23" spans="1:13" ht="15.75" customHeight="1">
      <c r="A23" s="704"/>
      <c r="B23" s="705"/>
      <c r="C23" s="363">
        <v>5</v>
      </c>
      <c r="D23" s="381"/>
      <c r="E23" s="359"/>
      <c r="F23" s="360"/>
      <c r="G23" s="380"/>
      <c r="H23" s="380"/>
      <c r="I23" s="380"/>
      <c r="J23" s="239"/>
      <c r="K23" s="700"/>
      <c r="L23" s="701"/>
      <c r="M23" s="151"/>
    </row>
    <row r="24" spans="1:13" ht="15.75" customHeight="1">
      <c r="A24" s="704"/>
      <c r="B24" s="705"/>
      <c r="C24" s="164" t="s">
        <v>391</v>
      </c>
      <c r="D24" s="358"/>
      <c r="E24" s="359"/>
      <c r="F24" s="360"/>
      <c r="G24" s="380"/>
      <c r="H24" s="380"/>
      <c r="I24" s="380"/>
      <c r="J24" s="239"/>
      <c r="K24" s="706"/>
      <c r="L24" s="701"/>
      <c r="M24" s="151"/>
    </row>
    <row r="25" spans="1:13" ht="15.75" customHeight="1">
      <c r="A25" s="704"/>
      <c r="B25" s="705"/>
      <c r="C25" s="164" t="s">
        <v>392</v>
      </c>
      <c r="D25" s="358"/>
      <c r="E25" s="359"/>
      <c r="F25" s="360"/>
      <c r="G25" s="380"/>
      <c r="H25" s="380"/>
      <c r="I25" s="380"/>
      <c r="J25" s="239"/>
      <c r="K25" s="700"/>
      <c r="L25" s="701"/>
      <c r="M25" s="151"/>
    </row>
    <row r="26" spans="1:13" ht="15.75" customHeight="1">
      <c r="A26" s="704"/>
      <c r="B26" s="705"/>
      <c r="C26" s="164" t="s">
        <v>432</v>
      </c>
      <c r="E26" s="359"/>
      <c r="F26" s="360"/>
      <c r="G26" s="380"/>
      <c r="H26" s="380"/>
      <c r="I26" s="380"/>
      <c r="J26" s="552"/>
      <c r="K26" s="700"/>
      <c r="L26" s="701"/>
      <c r="M26" s="151"/>
    </row>
    <row r="27" spans="1:13" ht="15.75" customHeight="1">
      <c r="A27" s="704"/>
      <c r="B27" s="705"/>
      <c r="C27" s="164" t="s">
        <v>394</v>
      </c>
      <c r="D27" s="358"/>
      <c r="E27" s="359"/>
      <c r="F27" s="360"/>
      <c r="G27" s="380"/>
      <c r="H27" s="380"/>
      <c r="I27" s="380"/>
      <c r="J27" s="552"/>
      <c r="K27" s="700"/>
      <c r="L27" s="701"/>
      <c r="M27" s="151"/>
    </row>
    <row r="28" spans="1:13" ht="15.75" customHeight="1">
      <c r="A28" s="704"/>
      <c r="B28" s="705"/>
      <c r="C28" s="164" t="s">
        <v>433</v>
      </c>
      <c r="D28" s="358"/>
      <c r="E28" s="359"/>
      <c r="F28" s="360"/>
      <c r="G28" s="552"/>
      <c r="H28" s="552"/>
      <c r="I28" s="552"/>
      <c r="J28" s="552"/>
      <c r="K28" s="700"/>
      <c r="L28" s="701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28">
    <mergeCell ref="A1:L2"/>
    <mergeCell ref="A5:A6"/>
    <mergeCell ref="A7:B7"/>
    <mergeCell ref="D7:F7"/>
    <mergeCell ref="K7:L7"/>
    <mergeCell ref="A3:L4"/>
    <mergeCell ref="K13:L13"/>
    <mergeCell ref="A8:A17"/>
    <mergeCell ref="B8:B17"/>
    <mergeCell ref="K14:L14"/>
    <mergeCell ref="K17:L17"/>
    <mergeCell ref="K8:L12"/>
    <mergeCell ref="K15:L16"/>
    <mergeCell ref="K23:L23"/>
    <mergeCell ref="A18:B18"/>
    <mergeCell ref="D18:F18"/>
    <mergeCell ref="K18:L18"/>
    <mergeCell ref="A19:A28"/>
    <mergeCell ref="K28:L28"/>
    <mergeCell ref="B19:B28"/>
    <mergeCell ref="K27:L27"/>
    <mergeCell ref="K26:L26"/>
    <mergeCell ref="K24:L24"/>
    <mergeCell ref="K25:L25"/>
    <mergeCell ref="K22:L22"/>
    <mergeCell ref="K19:L19"/>
    <mergeCell ref="K20:L20"/>
    <mergeCell ref="K21:L21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85" zoomScaleNormal="85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13" ht="15.75" customHeight="1">
      <c r="A1" s="580" t="s">
        <v>186</v>
      </c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119"/>
    </row>
    <row r="2" spans="1:13" s="120" customFormat="1" ht="15.75" customHeight="1">
      <c r="A2" s="580"/>
      <c r="B2" s="580"/>
      <c r="C2" s="580"/>
      <c r="D2" s="580"/>
      <c r="E2" s="580"/>
      <c r="F2" s="580"/>
      <c r="G2" s="580"/>
      <c r="H2" s="580"/>
      <c r="I2" s="580"/>
      <c r="J2" s="580"/>
      <c r="K2" s="580"/>
      <c r="L2" s="580"/>
    </row>
    <row r="3" spans="1:13" ht="15.75" customHeight="1">
      <c r="A3" s="716" t="s">
        <v>187</v>
      </c>
      <c r="B3" s="717"/>
      <c r="C3" s="717"/>
      <c r="D3" s="717"/>
      <c r="E3" s="717"/>
      <c r="F3" s="717"/>
      <c r="G3" s="717"/>
      <c r="H3" s="717"/>
      <c r="I3" s="717"/>
      <c r="J3" s="717"/>
      <c r="K3" s="717"/>
      <c r="L3" s="717"/>
      <c r="M3" s="151"/>
    </row>
    <row r="4" spans="1:13" s="120" customFormat="1" ht="15.75" customHeight="1">
      <c r="A4" s="717"/>
      <c r="B4" s="717"/>
      <c r="C4" s="717"/>
      <c r="D4" s="717"/>
      <c r="E4" s="717"/>
      <c r="F4" s="717"/>
      <c r="G4" s="717"/>
      <c r="H4" s="717"/>
      <c r="I4" s="717"/>
      <c r="J4" s="717"/>
      <c r="K4" s="717"/>
      <c r="L4" s="717"/>
      <c r="M4" s="130"/>
    </row>
    <row r="5" spans="1:13" s="153" customFormat="1" ht="16.350000000000001" customHeight="1">
      <c r="A5" s="704" t="s">
        <v>154</v>
      </c>
      <c r="B5" s="155">
        <v>1</v>
      </c>
      <c r="C5" s="155">
        <v>2</v>
      </c>
      <c r="D5" s="165">
        <v>3</v>
      </c>
      <c r="E5" s="165">
        <v>4</v>
      </c>
      <c r="F5" s="155">
        <v>5</v>
      </c>
      <c r="G5" s="155">
        <v>6</v>
      </c>
      <c r="H5" s="155">
        <v>7</v>
      </c>
      <c r="I5" s="155">
        <v>8</v>
      </c>
      <c r="J5" s="155">
        <v>9</v>
      </c>
      <c r="K5" s="152"/>
      <c r="L5" s="152"/>
      <c r="M5" s="152"/>
    </row>
    <row r="6" spans="1:13" ht="16.350000000000001" customHeight="1">
      <c r="A6" s="704"/>
      <c r="B6" s="156" t="s">
        <v>188</v>
      </c>
      <c r="C6" s="156" t="s">
        <v>151</v>
      </c>
      <c r="D6" s="166" t="s">
        <v>189</v>
      </c>
      <c r="E6" s="166" t="s">
        <v>153</v>
      </c>
      <c r="F6" s="157" t="s">
        <v>133</v>
      </c>
      <c r="G6" s="158" t="s">
        <v>131</v>
      </c>
      <c r="H6" s="159" t="s">
        <v>190</v>
      </c>
      <c r="I6" s="158" t="s">
        <v>191</v>
      </c>
      <c r="J6" s="158" t="s">
        <v>137</v>
      </c>
      <c r="K6" s="154"/>
      <c r="L6" s="154"/>
      <c r="M6" s="130"/>
    </row>
    <row r="7" spans="1:13" s="153" customFormat="1" ht="15.75" customHeight="1">
      <c r="A7" s="705" t="s">
        <v>169</v>
      </c>
      <c r="B7" s="705"/>
      <c r="C7" s="362" t="s">
        <v>390</v>
      </c>
      <c r="D7" s="705" t="s">
        <v>12</v>
      </c>
      <c r="E7" s="708"/>
      <c r="F7" s="708"/>
      <c r="G7" s="384" t="s">
        <v>578</v>
      </c>
      <c r="H7" s="384" t="s">
        <v>579</v>
      </c>
      <c r="I7" s="384" t="s">
        <v>580</v>
      </c>
      <c r="J7" s="221" t="s">
        <v>581</v>
      </c>
      <c r="K7" s="705" t="s">
        <v>582</v>
      </c>
      <c r="L7" s="708"/>
      <c r="M7" s="152"/>
    </row>
    <row r="8" spans="1:13" ht="15.75" customHeight="1">
      <c r="A8" s="704">
        <v>3</v>
      </c>
      <c r="B8" s="705" t="s">
        <v>152</v>
      </c>
      <c r="C8" s="363">
        <v>1</v>
      </c>
      <c r="D8" s="358" t="s">
        <v>440</v>
      </c>
      <c r="E8" s="359"/>
      <c r="F8" s="360"/>
      <c r="G8" s="380">
        <v>5</v>
      </c>
      <c r="H8" s="380">
        <v>2118.6463662899355</v>
      </c>
      <c r="I8" s="380">
        <v>423.72927325798707</v>
      </c>
      <c r="J8" s="240" t="s">
        <v>813</v>
      </c>
      <c r="K8" s="722" t="s">
        <v>823</v>
      </c>
      <c r="L8" s="723"/>
      <c r="M8" s="130"/>
    </row>
    <row r="9" spans="1:13" ht="15.75" customHeight="1">
      <c r="A9" s="704"/>
      <c r="B9" s="705"/>
      <c r="C9" s="363">
        <v>2</v>
      </c>
      <c r="D9" s="358" t="s">
        <v>362</v>
      </c>
      <c r="E9" s="359"/>
      <c r="F9" s="360"/>
      <c r="G9" s="380">
        <v>5</v>
      </c>
      <c r="H9" s="380">
        <v>2114.1394458951909</v>
      </c>
      <c r="I9" s="380">
        <v>422.82788917903821</v>
      </c>
      <c r="J9" s="241" t="s">
        <v>815</v>
      </c>
      <c r="K9" s="724"/>
      <c r="L9" s="725"/>
      <c r="M9" s="130"/>
    </row>
    <row r="10" spans="1:13" ht="15.75" customHeight="1">
      <c r="A10" s="704"/>
      <c r="B10" s="705"/>
      <c r="C10" s="363">
        <v>3</v>
      </c>
      <c r="D10" s="358" t="s">
        <v>365</v>
      </c>
      <c r="E10" s="359"/>
      <c r="F10" s="360"/>
      <c r="G10" s="380">
        <v>10</v>
      </c>
      <c r="H10" s="380">
        <v>2431.7904243428784</v>
      </c>
      <c r="I10" s="380">
        <v>243.17904243428782</v>
      </c>
      <c r="J10" s="239" t="s">
        <v>816</v>
      </c>
      <c r="K10" s="718"/>
      <c r="L10" s="703"/>
      <c r="M10" s="130"/>
    </row>
    <row r="11" spans="1:13" ht="15.75" customHeight="1">
      <c r="A11" s="704"/>
      <c r="B11" s="705"/>
      <c r="C11" s="363">
        <v>4</v>
      </c>
      <c r="D11" s="358" t="s">
        <v>364</v>
      </c>
      <c r="E11" s="359"/>
      <c r="F11" s="360"/>
      <c r="G11" s="380">
        <v>13</v>
      </c>
      <c r="H11" s="380">
        <v>2185.0190200502552</v>
      </c>
      <c r="I11" s="380">
        <v>168.07838615771192</v>
      </c>
      <c r="J11" s="239" t="s">
        <v>816</v>
      </c>
      <c r="K11" s="718"/>
      <c r="L11" s="703"/>
      <c r="M11" s="130"/>
    </row>
    <row r="12" spans="1:13" ht="15.75" customHeight="1">
      <c r="A12" s="704"/>
      <c r="B12" s="705"/>
      <c r="C12" s="363">
        <v>5</v>
      </c>
      <c r="D12" s="358" t="s">
        <v>599</v>
      </c>
      <c r="E12" s="359"/>
      <c r="F12" s="360"/>
      <c r="G12" s="380">
        <v>13</v>
      </c>
      <c r="H12" s="380">
        <v>2184.4289443170774</v>
      </c>
      <c r="I12" s="380">
        <v>168.03299571669825</v>
      </c>
      <c r="J12" s="239" t="s">
        <v>816</v>
      </c>
      <c r="K12" s="718"/>
      <c r="L12" s="703"/>
      <c r="M12" s="130"/>
    </row>
    <row r="13" spans="1:13" ht="15.75" customHeight="1">
      <c r="A13" s="704"/>
      <c r="B13" s="705"/>
      <c r="C13" s="164" t="s">
        <v>391</v>
      </c>
      <c r="D13" s="358" t="s">
        <v>361</v>
      </c>
      <c r="E13" s="359"/>
      <c r="F13" s="360"/>
      <c r="G13" s="380">
        <v>13</v>
      </c>
      <c r="H13" s="380">
        <v>1226.1063551736486</v>
      </c>
      <c r="I13" s="380">
        <v>94.315873474896051</v>
      </c>
      <c r="J13" s="239" t="s">
        <v>816</v>
      </c>
      <c r="K13" s="718"/>
      <c r="L13" s="703"/>
      <c r="M13" s="130"/>
    </row>
    <row r="14" spans="1:13" ht="15.75" customHeight="1">
      <c r="A14" s="704"/>
      <c r="B14" s="705"/>
      <c r="C14" s="164" t="s">
        <v>392</v>
      </c>
      <c r="D14" s="358" t="s">
        <v>533</v>
      </c>
      <c r="E14" s="359"/>
      <c r="F14" s="360"/>
      <c r="G14" s="380">
        <v>12</v>
      </c>
      <c r="H14" s="380">
        <v>1873.5651626539741</v>
      </c>
      <c r="I14" s="380">
        <v>156.13043022116452</v>
      </c>
      <c r="J14" s="239" t="s">
        <v>816</v>
      </c>
      <c r="K14" s="719"/>
      <c r="L14" s="703"/>
      <c r="M14" s="130"/>
    </row>
    <row r="15" spans="1:13" ht="15.75" customHeight="1">
      <c r="A15" s="704"/>
      <c r="B15" s="705"/>
      <c r="C15" s="164" t="s">
        <v>432</v>
      </c>
      <c r="D15" s="358" t="s">
        <v>363</v>
      </c>
      <c r="E15" s="359"/>
      <c r="F15" s="360"/>
      <c r="G15" s="380">
        <v>12</v>
      </c>
      <c r="H15" s="380">
        <v>1891.9425165467978</v>
      </c>
      <c r="I15" s="380">
        <v>157.66187637889976</v>
      </c>
      <c r="J15" s="239" t="s">
        <v>816</v>
      </c>
      <c r="K15" s="719"/>
      <c r="L15" s="703"/>
      <c r="M15" s="130"/>
    </row>
    <row r="16" spans="1:13" ht="15.75" customHeight="1">
      <c r="A16" s="704"/>
      <c r="B16" s="705"/>
      <c r="C16" s="164" t="s">
        <v>394</v>
      </c>
      <c r="D16" s="358"/>
      <c r="E16" s="359"/>
      <c r="F16" s="360"/>
      <c r="G16" s="380"/>
      <c r="H16" s="380"/>
      <c r="I16" s="380"/>
      <c r="J16" s="239"/>
      <c r="K16" s="719"/>
      <c r="L16" s="703"/>
      <c r="M16" s="151"/>
    </row>
    <row r="17" spans="1:13" ht="15.75" customHeight="1">
      <c r="A17" s="704"/>
      <c r="B17" s="705"/>
      <c r="C17" s="164" t="s">
        <v>433</v>
      </c>
      <c r="D17" s="358"/>
      <c r="E17" s="359"/>
      <c r="F17" s="360"/>
      <c r="G17" s="380"/>
      <c r="H17" s="380"/>
      <c r="I17" s="380"/>
      <c r="J17" s="239"/>
      <c r="K17" s="718"/>
      <c r="L17" s="703"/>
      <c r="M17" s="151"/>
    </row>
    <row r="18" spans="1:13" s="161" customFormat="1" ht="15.75" customHeight="1">
      <c r="A18" s="702" t="s">
        <v>169</v>
      </c>
      <c r="B18" s="702"/>
      <c r="C18" s="364" t="s">
        <v>390</v>
      </c>
      <c r="D18" s="702" t="s">
        <v>12</v>
      </c>
      <c r="E18" s="703"/>
      <c r="F18" s="703"/>
      <c r="G18" s="551" t="s">
        <v>818</v>
      </c>
      <c r="H18" s="551" t="s">
        <v>819</v>
      </c>
      <c r="I18" s="551" t="s">
        <v>820</v>
      </c>
      <c r="J18" s="221" t="s">
        <v>821</v>
      </c>
      <c r="K18" s="702" t="s">
        <v>822</v>
      </c>
      <c r="L18" s="703"/>
      <c r="M18" s="154"/>
    </row>
    <row r="19" spans="1:13" ht="15.75" customHeight="1">
      <c r="A19" s="704">
        <v>4</v>
      </c>
      <c r="B19" s="705" t="s">
        <v>153</v>
      </c>
      <c r="C19" s="363">
        <v>1</v>
      </c>
      <c r="D19" s="381" t="s">
        <v>642</v>
      </c>
      <c r="E19" s="359"/>
      <c r="F19" s="360"/>
      <c r="G19" s="380">
        <v>12.571428571428571</v>
      </c>
      <c r="H19" s="380">
        <v>1479.0336734693876</v>
      </c>
      <c r="I19" s="380">
        <v>117.78207744636315</v>
      </c>
      <c r="J19" s="239" t="s">
        <v>816</v>
      </c>
      <c r="K19" s="721"/>
      <c r="L19" s="701"/>
      <c r="M19" s="151"/>
    </row>
    <row r="20" spans="1:13" ht="15.75" customHeight="1">
      <c r="A20" s="704"/>
      <c r="B20" s="705"/>
      <c r="C20" s="363">
        <v>2</v>
      </c>
      <c r="D20" s="358"/>
      <c r="E20" s="359"/>
      <c r="F20" s="360"/>
      <c r="G20" s="380"/>
      <c r="H20" s="380"/>
      <c r="I20" s="380"/>
      <c r="J20" s="240"/>
      <c r="K20" s="700"/>
      <c r="L20" s="701"/>
      <c r="M20" s="151"/>
    </row>
    <row r="21" spans="1:13" ht="15.75" customHeight="1">
      <c r="A21" s="704"/>
      <c r="B21" s="705"/>
      <c r="C21" s="363">
        <v>3</v>
      </c>
      <c r="D21" s="381"/>
      <c r="E21" s="359"/>
      <c r="F21" s="360"/>
      <c r="G21" s="380"/>
      <c r="H21" s="380"/>
      <c r="I21" s="380"/>
      <c r="J21" s="241"/>
      <c r="K21" s="700"/>
      <c r="L21" s="701"/>
      <c r="M21" s="151"/>
    </row>
    <row r="22" spans="1:13" ht="15.75" customHeight="1">
      <c r="A22" s="704"/>
      <c r="B22" s="705"/>
      <c r="C22" s="363">
        <v>4</v>
      </c>
      <c r="D22" s="381"/>
      <c r="E22" s="359"/>
      <c r="F22" s="360"/>
      <c r="G22" s="552"/>
      <c r="H22" s="380"/>
      <c r="I22" s="380"/>
      <c r="J22" s="239"/>
      <c r="K22" s="700"/>
      <c r="L22" s="701"/>
      <c r="M22" s="151"/>
    </row>
    <row r="23" spans="1:13" ht="15.75" customHeight="1">
      <c r="A23" s="704"/>
      <c r="B23" s="705"/>
      <c r="C23" s="363">
        <v>5</v>
      </c>
      <c r="D23" s="358"/>
      <c r="E23" s="359"/>
      <c r="F23" s="360"/>
      <c r="G23" s="552"/>
      <c r="H23" s="552"/>
      <c r="I23" s="552"/>
      <c r="J23" s="552"/>
      <c r="K23" s="700"/>
      <c r="L23" s="701"/>
      <c r="M23" s="151"/>
    </row>
    <row r="24" spans="1:13" ht="15.75" customHeight="1">
      <c r="A24" s="704"/>
      <c r="B24" s="705"/>
      <c r="C24" s="164" t="s">
        <v>391</v>
      </c>
      <c r="D24" s="381"/>
      <c r="E24" s="359"/>
      <c r="F24" s="360"/>
      <c r="G24" s="380"/>
      <c r="H24" s="380"/>
      <c r="I24" s="380"/>
      <c r="J24" s="239"/>
      <c r="K24" s="720"/>
      <c r="L24" s="701"/>
      <c r="M24" s="151"/>
    </row>
    <row r="25" spans="1:13" ht="15.75" customHeight="1">
      <c r="A25" s="704"/>
      <c r="B25" s="705"/>
      <c r="C25" s="164" t="s">
        <v>392</v>
      </c>
      <c r="D25" s="358"/>
      <c r="E25" s="359"/>
      <c r="F25" s="360"/>
      <c r="G25" s="552"/>
      <c r="H25" s="552"/>
      <c r="I25" s="552"/>
      <c r="J25" s="552"/>
      <c r="K25" s="700"/>
      <c r="L25" s="701"/>
      <c r="M25" s="151"/>
    </row>
    <row r="26" spans="1:13" ht="15.75" customHeight="1">
      <c r="A26" s="704"/>
      <c r="B26" s="705"/>
      <c r="C26" s="164" t="s">
        <v>432</v>
      </c>
      <c r="D26" s="358"/>
      <c r="E26" s="359"/>
      <c r="F26" s="360"/>
      <c r="G26" s="552"/>
      <c r="H26" s="552"/>
      <c r="I26" s="552"/>
      <c r="J26" s="552"/>
      <c r="K26" s="700"/>
      <c r="L26" s="701"/>
      <c r="M26" s="151"/>
    </row>
    <row r="27" spans="1:13" ht="15.75" customHeight="1">
      <c r="A27" s="704"/>
      <c r="B27" s="705"/>
      <c r="C27" s="164" t="s">
        <v>394</v>
      </c>
      <c r="D27" s="358"/>
      <c r="E27" s="359"/>
      <c r="F27" s="360"/>
      <c r="G27" s="552"/>
      <c r="H27" s="552"/>
      <c r="I27" s="552"/>
      <c r="J27" s="552"/>
      <c r="K27" s="700"/>
      <c r="L27" s="701"/>
      <c r="M27" s="151"/>
    </row>
    <row r="28" spans="1:13" ht="15.75" customHeight="1">
      <c r="A28" s="704"/>
      <c r="B28" s="705"/>
      <c r="C28" s="164" t="s">
        <v>433</v>
      </c>
      <c r="D28" s="358"/>
      <c r="E28" s="359"/>
      <c r="F28" s="360"/>
      <c r="G28" s="552"/>
      <c r="H28" s="552"/>
      <c r="I28" s="552"/>
      <c r="J28" s="552"/>
      <c r="K28" s="700"/>
      <c r="L28" s="701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32">
    <mergeCell ref="D18:F18"/>
    <mergeCell ref="K18:L18"/>
    <mergeCell ref="K11:L11"/>
    <mergeCell ref="K12:L12"/>
    <mergeCell ref="A1:L2"/>
    <mergeCell ref="A3:L4"/>
    <mergeCell ref="K10:L10"/>
    <mergeCell ref="K8:L9"/>
    <mergeCell ref="A5:A6"/>
    <mergeCell ref="A7:B7"/>
    <mergeCell ref="D7:F7"/>
    <mergeCell ref="K7:L7"/>
    <mergeCell ref="A8:A17"/>
    <mergeCell ref="K14:L14"/>
    <mergeCell ref="K15:L15"/>
    <mergeCell ref="B8:B17"/>
    <mergeCell ref="A18:B18"/>
    <mergeCell ref="B19:B28"/>
    <mergeCell ref="K13:L13"/>
    <mergeCell ref="K20:L20"/>
    <mergeCell ref="K21:L21"/>
    <mergeCell ref="A19:A28"/>
    <mergeCell ref="K25:L25"/>
    <mergeCell ref="K26:L26"/>
    <mergeCell ref="K16:L16"/>
    <mergeCell ref="K17:L17"/>
    <mergeCell ref="K28:L28"/>
    <mergeCell ref="K22:L22"/>
    <mergeCell ref="K23:L23"/>
    <mergeCell ref="K27:L27"/>
    <mergeCell ref="K24:L24"/>
    <mergeCell ref="K19:L1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5"/>
  <sheetViews>
    <sheetView zoomScale="90" zoomScaleNormal="90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18" ht="15.75" customHeight="1">
      <c r="A1" s="580" t="s">
        <v>186</v>
      </c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119"/>
    </row>
    <row r="2" spans="1:18" s="120" customFormat="1" ht="15.75" customHeight="1">
      <c r="A2" s="580"/>
      <c r="B2" s="580"/>
      <c r="C2" s="580"/>
      <c r="D2" s="580"/>
      <c r="E2" s="580"/>
      <c r="F2" s="580"/>
      <c r="G2" s="580"/>
      <c r="H2" s="580"/>
      <c r="I2" s="580"/>
      <c r="J2" s="580"/>
      <c r="K2" s="580"/>
      <c r="L2" s="580"/>
    </row>
    <row r="3" spans="1:18" ht="15.75" customHeight="1">
      <c r="A3" s="716" t="s">
        <v>187</v>
      </c>
      <c r="B3" s="717"/>
      <c r="C3" s="717"/>
      <c r="D3" s="717"/>
      <c r="E3" s="717"/>
      <c r="F3" s="717"/>
      <c r="G3" s="717"/>
      <c r="H3" s="717"/>
      <c r="I3" s="717"/>
      <c r="J3" s="717"/>
      <c r="K3" s="717"/>
      <c r="L3" s="717"/>
      <c r="M3" s="151"/>
    </row>
    <row r="4" spans="1:18" s="120" customFormat="1" ht="15.75" customHeight="1">
      <c r="A4" s="717"/>
      <c r="B4" s="717"/>
      <c r="C4" s="717"/>
      <c r="D4" s="717"/>
      <c r="E4" s="717"/>
      <c r="F4" s="717"/>
      <c r="G4" s="717"/>
      <c r="H4" s="717"/>
      <c r="I4" s="717"/>
      <c r="J4" s="717"/>
      <c r="K4" s="717"/>
      <c r="L4" s="717"/>
      <c r="M4" s="130"/>
    </row>
    <row r="5" spans="1:18" s="153" customFormat="1" ht="16.350000000000001" customHeight="1">
      <c r="A5" s="704" t="s">
        <v>154</v>
      </c>
      <c r="B5" s="155">
        <v>1</v>
      </c>
      <c r="C5" s="155">
        <v>2</v>
      </c>
      <c r="D5" s="155">
        <v>3</v>
      </c>
      <c r="E5" s="155">
        <v>4</v>
      </c>
      <c r="F5" s="165">
        <v>5</v>
      </c>
      <c r="G5" s="165">
        <v>6</v>
      </c>
      <c r="H5" s="155">
        <v>7</v>
      </c>
      <c r="I5" s="155">
        <v>8</v>
      </c>
      <c r="J5" s="155">
        <v>9</v>
      </c>
      <c r="K5" s="152"/>
      <c r="L5" s="152"/>
      <c r="M5" s="152"/>
    </row>
    <row r="6" spans="1:18" ht="16.350000000000001" customHeight="1">
      <c r="A6" s="704"/>
      <c r="B6" s="156" t="s">
        <v>188</v>
      </c>
      <c r="C6" s="156" t="s">
        <v>151</v>
      </c>
      <c r="D6" s="156" t="s">
        <v>189</v>
      </c>
      <c r="E6" s="156" t="s">
        <v>153</v>
      </c>
      <c r="F6" s="167" t="s">
        <v>133</v>
      </c>
      <c r="G6" s="168" t="s">
        <v>131</v>
      </c>
      <c r="H6" s="159" t="s">
        <v>190</v>
      </c>
      <c r="I6" s="158" t="s">
        <v>191</v>
      </c>
      <c r="J6" s="158" t="s">
        <v>137</v>
      </c>
      <c r="K6" s="154"/>
      <c r="L6" s="154"/>
      <c r="M6" s="130"/>
    </row>
    <row r="7" spans="1:18" s="153" customFormat="1" ht="15.75" customHeight="1">
      <c r="A7" s="705" t="s">
        <v>561</v>
      </c>
      <c r="B7" s="705"/>
      <c r="C7" s="362" t="s">
        <v>562</v>
      </c>
      <c r="D7" s="705" t="s">
        <v>12</v>
      </c>
      <c r="E7" s="708"/>
      <c r="F7" s="708"/>
      <c r="G7" s="384" t="s">
        <v>578</v>
      </c>
      <c r="H7" s="384" t="s">
        <v>579</v>
      </c>
      <c r="I7" s="384" t="s">
        <v>580</v>
      </c>
      <c r="J7" s="221" t="s">
        <v>581</v>
      </c>
      <c r="K7" s="705" t="s">
        <v>582</v>
      </c>
      <c r="L7" s="708"/>
      <c r="M7" s="152"/>
    </row>
    <row r="8" spans="1:18" ht="15.75" customHeight="1">
      <c r="A8" s="704">
        <v>5</v>
      </c>
      <c r="B8" s="705" t="s">
        <v>133</v>
      </c>
      <c r="C8" s="363">
        <v>1</v>
      </c>
      <c r="D8" s="405" t="s">
        <v>624</v>
      </c>
      <c r="E8" s="359"/>
      <c r="F8" s="360"/>
      <c r="G8" s="380">
        <v>6</v>
      </c>
      <c r="H8" s="380">
        <v>1451.7513158155439</v>
      </c>
      <c r="I8" s="380">
        <v>241.95855263592401</v>
      </c>
      <c r="J8" s="239" t="s">
        <v>816</v>
      </c>
      <c r="K8" s="730"/>
      <c r="L8" s="708"/>
      <c r="M8" s="130"/>
      <c r="P8" s="250"/>
      <c r="Q8" s="250"/>
      <c r="R8" s="250"/>
    </row>
    <row r="9" spans="1:18" ht="15.75" customHeight="1">
      <c r="A9" s="704"/>
      <c r="B9" s="705"/>
      <c r="C9" s="363">
        <v>2</v>
      </c>
      <c r="D9" s="381" t="s">
        <v>344</v>
      </c>
      <c r="E9" s="359"/>
      <c r="F9" s="360"/>
      <c r="G9" s="380">
        <v>6</v>
      </c>
      <c r="H9" s="380">
        <v>1424.4741996885007</v>
      </c>
      <c r="I9" s="380">
        <v>237.41236661475014</v>
      </c>
      <c r="J9" s="239" t="s">
        <v>816</v>
      </c>
      <c r="K9" s="730"/>
      <c r="L9" s="708"/>
      <c r="M9" s="130"/>
      <c r="P9" s="250"/>
      <c r="Q9" s="250"/>
      <c r="R9" s="250"/>
    </row>
    <row r="10" spans="1:18" ht="15.75" customHeight="1">
      <c r="A10" s="704"/>
      <c r="B10" s="705"/>
      <c r="C10" s="363">
        <v>3</v>
      </c>
      <c r="D10" s="358" t="s">
        <v>347</v>
      </c>
      <c r="E10" s="359"/>
      <c r="F10" s="360"/>
      <c r="G10" s="380">
        <v>14.714285714285714</v>
      </c>
      <c r="H10" s="380">
        <v>1342.3087280195098</v>
      </c>
      <c r="I10" s="380">
        <v>91.278530783382536</v>
      </c>
      <c r="J10" s="239" t="s">
        <v>816</v>
      </c>
      <c r="K10" s="730"/>
      <c r="L10" s="708"/>
      <c r="M10" s="130"/>
      <c r="P10" s="250"/>
      <c r="Q10" s="250"/>
      <c r="R10" s="250"/>
    </row>
    <row r="11" spans="1:18" ht="15.75" customHeight="1">
      <c r="A11" s="704"/>
      <c r="B11" s="705"/>
      <c r="C11" s="363">
        <v>4</v>
      </c>
      <c r="D11" s="358" t="s">
        <v>346</v>
      </c>
      <c r="E11" s="359"/>
      <c r="F11" s="360"/>
      <c r="G11" s="380">
        <v>16</v>
      </c>
      <c r="H11" s="380">
        <v>1386.196182647092</v>
      </c>
      <c r="I11" s="380">
        <v>86.637261415443248</v>
      </c>
      <c r="J11" s="240" t="s">
        <v>813</v>
      </c>
      <c r="K11" s="730" t="s">
        <v>817</v>
      </c>
      <c r="L11" s="708"/>
      <c r="M11" s="130"/>
      <c r="P11" s="250"/>
      <c r="Q11" s="250"/>
      <c r="R11" s="250"/>
    </row>
    <row r="12" spans="1:18" ht="15.75" customHeight="1">
      <c r="A12" s="704"/>
      <c r="B12" s="705"/>
      <c r="C12" s="363">
        <v>5</v>
      </c>
      <c r="D12" s="358" t="s">
        <v>715</v>
      </c>
      <c r="E12" s="359"/>
      <c r="F12" s="360"/>
      <c r="G12" s="380">
        <v>16</v>
      </c>
      <c r="H12" s="380">
        <v>1375.6424801514879</v>
      </c>
      <c r="I12" s="380">
        <v>85.977655009467995</v>
      </c>
      <c r="J12" s="239" t="s">
        <v>816</v>
      </c>
      <c r="K12" s="730"/>
      <c r="L12" s="708"/>
      <c r="M12" s="130"/>
      <c r="P12" s="250"/>
      <c r="Q12" s="250"/>
      <c r="R12" s="250"/>
    </row>
    <row r="13" spans="1:18" ht="15.75" customHeight="1">
      <c r="A13" s="704"/>
      <c r="B13" s="705"/>
      <c r="C13" s="164" t="s">
        <v>563</v>
      </c>
      <c r="D13" s="358" t="s">
        <v>645</v>
      </c>
      <c r="E13" s="359"/>
      <c r="F13" s="360"/>
      <c r="G13" s="380">
        <v>20</v>
      </c>
      <c r="H13" s="380">
        <v>1075.343649008785</v>
      </c>
      <c r="I13" s="380">
        <v>53.767182450439243</v>
      </c>
      <c r="J13" s="239" t="s">
        <v>816</v>
      </c>
      <c r="K13" s="730"/>
      <c r="L13" s="708"/>
      <c r="M13" s="130"/>
      <c r="P13" s="250"/>
      <c r="Q13" s="250"/>
      <c r="R13" s="250"/>
    </row>
    <row r="14" spans="1:18" ht="15.75" customHeight="1">
      <c r="A14" s="704"/>
      <c r="B14" s="705"/>
      <c r="C14" s="164" t="s">
        <v>564</v>
      </c>
      <c r="D14" s="358" t="s">
        <v>574</v>
      </c>
      <c r="E14" s="359"/>
      <c r="F14" s="360"/>
      <c r="G14" s="380">
        <v>21</v>
      </c>
      <c r="H14" s="380">
        <v>1274.8214652744475</v>
      </c>
      <c r="I14" s="380">
        <v>60.705784060687975</v>
      </c>
      <c r="J14" s="239" t="s">
        <v>816</v>
      </c>
      <c r="K14" s="730"/>
      <c r="L14" s="708"/>
      <c r="M14" s="130"/>
      <c r="P14" s="250"/>
      <c r="Q14" s="250"/>
      <c r="R14" s="250"/>
    </row>
    <row r="15" spans="1:18" ht="15.75" customHeight="1">
      <c r="A15" s="704"/>
      <c r="B15" s="705"/>
      <c r="C15" s="164" t="s">
        <v>565</v>
      </c>
      <c r="D15" s="358" t="s">
        <v>528</v>
      </c>
      <c r="E15" s="359"/>
      <c r="F15" s="360"/>
      <c r="G15" s="380">
        <v>20</v>
      </c>
      <c r="H15" s="380">
        <v>1217.4277085363308</v>
      </c>
      <c r="I15" s="380">
        <v>60.871385426816538</v>
      </c>
      <c r="J15" s="239" t="s">
        <v>816</v>
      </c>
      <c r="K15" s="730"/>
      <c r="L15" s="708"/>
      <c r="M15" s="130"/>
      <c r="P15" s="250"/>
      <c r="Q15" s="250"/>
      <c r="R15" s="250"/>
    </row>
    <row r="16" spans="1:18" ht="15.75" customHeight="1">
      <c r="A16" s="704"/>
      <c r="B16" s="705"/>
      <c r="C16" s="164" t="s">
        <v>566</v>
      </c>
      <c r="D16" s="381" t="s">
        <v>604</v>
      </c>
      <c r="E16" s="359"/>
      <c r="F16" s="360"/>
      <c r="G16" s="380">
        <v>19</v>
      </c>
      <c r="H16" s="380">
        <v>1238.0048251427575</v>
      </c>
      <c r="I16" s="380">
        <v>65.15814869172408</v>
      </c>
      <c r="J16" s="239" t="s">
        <v>816</v>
      </c>
      <c r="K16" s="730"/>
      <c r="L16" s="708"/>
      <c r="M16" s="151"/>
      <c r="P16" s="250"/>
      <c r="Q16" s="250"/>
      <c r="R16" s="250"/>
    </row>
    <row r="17" spans="1:18" ht="15.75" customHeight="1">
      <c r="A17" s="704"/>
      <c r="B17" s="705"/>
      <c r="C17" s="164" t="s">
        <v>567</v>
      </c>
      <c r="D17" s="381" t="s">
        <v>527</v>
      </c>
      <c r="E17" s="359"/>
      <c r="F17" s="360"/>
      <c r="G17" s="380">
        <v>20</v>
      </c>
      <c r="H17" s="380">
        <v>1337.5275434753196</v>
      </c>
      <c r="I17" s="380">
        <v>66.876377173765974</v>
      </c>
      <c r="J17" s="239" t="s">
        <v>816</v>
      </c>
      <c r="K17" s="730"/>
      <c r="L17" s="708"/>
      <c r="M17" s="151"/>
      <c r="P17" s="250"/>
      <c r="Q17" s="250"/>
      <c r="R17" s="250"/>
    </row>
    <row r="18" spans="1:18" s="161" customFormat="1" ht="15.75" customHeight="1">
      <c r="A18" s="702" t="s">
        <v>561</v>
      </c>
      <c r="B18" s="702"/>
      <c r="C18" s="364" t="s">
        <v>562</v>
      </c>
      <c r="D18" s="702" t="s">
        <v>12</v>
      </c>
      <c r="E18" s="703"/>
      <c r="F18" s="703"/>
      <c r="G18" s="551" t="s">
        <v>818</v>
      </c>
      <c r="H18" s="551" t="s">
        <v>819</v>
      </c>
      <c r="I18" s="551" t="s">
        <v>820</v>
      </c>
      <c r="J18" s="221" t="s">
        <v>821</v>
      </c>
      <c r="K18" s="702" t="s">
        <v>822</v>
      </c>
      <c r="L18" s="703"/>
      <c r="M18" s="154"/>
    </row>
    <row r="19" spans="1:18" ht="15.75" customHeight="1">
      <c r="A19" s="704">
        <v>6</v>
      </c>
      <c r="B19" s="705" t="s">
        <v>131</v>
      </c>
      <c r="C19" s="363">
        <v>1</v>
      </c>
      <c r="D19" s="358" t="s">
        <v>525</v>
      </c>
      <c r="E19" s="359"/>
      <c r="F19" s="360"/>
      <c r="G19" s="380">
        <v>16.142857142857142</v>
      </c>
      <c r="H19" s="380">
        <v>1331.0474413095692</v>
      </c>
      <c r="I19" s="380">
        <v>82.497187770923702</v>
      </c>
      <c r="J19" s="239" t="s">
        <v>816</v>
      </c>
      <c r="K19" s="733"/>
      <c r="L19" s="708"/>
      <c r="M19" s="151"/>
      <c r="P19" s="250"/>
      <c r="Q19" s="250"/>
      <c r="R19" s="250"/>
    </row>
    <row r="20" spans="1:18" ht="15.75" customHeight="1">
      <c r="A20" s="704"/>
      <c r="B20" s="705"/>
      <c r="C20" s="363">
        <v>2</v>
      </c>
      <c r="D20" s="358" t="s">
        <v>627</v>
      </c>
      <c r="E20" s="359"/>
      <c r="F20" s="360"/>
      <c r="G20" s="380">
        <v>17</v>
      </c>
      <c r="H20" s="380">
        <v>1353.3429317615207</v>
      </c>
      <c r="I20" s="380">
        <v>79.608407750677685</v>
      </c>
      <c r="J20" s="239" t="s">
        <v>816</v>
      </c>
      <c r="K20" s="733"/>
      <c r="L20" s="708"/>
      <c r="M20" s="151"/>
      <c r="P20" s="250"/>
      <c r="Q20" s="250"/>
      <c r="R20" s="250"/>
    </row>
    <row r="21" spans="1:18" ht="15.75" customHeight="1">
      <c r="A21" s="704"/>
      <c r="B21" s="705"/>
      <c r="C21" s="363">
        <v>3</v>
      </c>
      <c r="D21" s="358" t="s">
        <v>350</v>
      </c>
      <c r="E21" s="359"/>
      <c r="F21" s="360"/>
      <c r="G21" s="380">
        <v>17</v>
      </c>
      <c r="H21" s="380">
        <v>1346.8101406647036</v>
      </c>
      <c r="I21" s="380">
        <v>79.224125921453151</v>
      </c>
      <c r="J21" s="239" t="s">
        <v>816</v>
      </c>
      <c r="K21" s="733"/>
      <c r="L21" s="708"/>
      <c r="M21" s="151"/>
      <c r="P21" s="250"/>
      <c r="Q21" s="250"/>
      <c r="R21" s="250"/>
    </row>
    <row r="22" spans="1:18" ht="15.75" customHeight="1">
      <c r="A22" s="704"/>
      <c r="B22" s="705"/>
      <c r="C22" s="363">
        <v>4</v>
      </c>
      <c r="D22" s="358" t="s">
        <v>716</v>
      </c>
      <c r="E22" s="359"/>
      <c r="F22" s="360"/>
      <c r="G22" s="380">
        <v>17</v>
      </c>
      <c r="H22" s="380">
        <v>1280.228336174825</v>
      </c>
      <c r="I22" s="380">
        <v>75.307549186754414</v>
      </c>
      <c r="J22" s="239" t="s">
        <v>816</v>
      </c>
      <c r="K22" s="733"/>
      <c r="L22" s="708"/>
      <c r="M22" s="151"/>
      <c r="P22" s="250"/>
      <c r="Q22" s="250"/>
      <c r="R22" s="250"/>
    </row>
    <row r="23" spans="1:18" ht="15.75" customHeight="1">
      <c r="A23" s="704"/>
      <c r="B23" s="705"/>
      <c r="C23" s="363">
        <v>5</v>
      </c>
      <c r="D23" s="358" t="s">
        <v>348</v>
      </c>
      <c r="E23" s="359"/>
      <c r="F23" s="360"/>
      <c r="G23" s="380">
        <v>18</v>
      </c>
      <c r="H23" s="380">
        <v>1338.9675078921766</v>
      </c>
      <c r="I23" s="380">
        <v>74.387083771787587</v>
      </c>
      <c r="J23" s="239" t="s">
        <v>816</v>
      </c>
      <c r="K23" s="733"/>
      <c r="L23" s="708"/>
      <c r="M23" s="151"/>
      <c r="P23" s="250"/>
      <c r="Q23" s="250"/>
      <c r="R23" s="250"/>
    </row>
    <row r="24" spans="1:18" ht="15.75" customHeight="1">
      <c r="A24" s="704"/>
      <c r="B24" s="705"/>
      <c r="C24" s="164" t="s">
        <v>563</v>
      </c>
      <c r="D24" s="381" t="s">
        <v>352</v>
      </c>
      <c r="E24" s="359"/>
      <c r="F24" s="360"/>
      <c r="G24" s="380">
        <v>21</v>
      </c>
      <c r="H24" s="380">
        <v>1249.9451267201891</v>
      </c>
      <c r="I24" s="380">
        <v>59.521196510485197</v>
      </c>
      <c r="J24" s="241" t="s">
        <v>815</v>
      </c>
      <c r="K24" s="726" t="s">
        <v>817</v>
      </c>
      <c r="L24" s="727"/>
      <c r="M24" s="151"/>
      <c r="P24" s="250"/>
      <c r="Q24" s="250"/>
      <c r="R24" s="250"/>
    </row>
    <row r="25" spans="1:18" ht="15.75" customHeight="1">
      <c r="A25" s="704"/>
      <c r="B25" s="705"/>
      <c r="C25" s="164" t="s">
        <v>564</v>
      </c>
      <c r="D25" s="358" t="s">
        <v>620</v>
      </c>
      <c r="E25" s="359"/>
      <c r="F25" s="360"/>
      <c r="G25" s="380">
        <v>18</v>
      </c>
      <c r="H25" s="380">
        <v>1100.1761530030069</v>
      </c>
      <c r="I25" s="380">
        <v>61.120897389055941</v>
      </c>
      <c r="J25" s="240" t="s">
        <v>813</v>
      </c>
      <c r="K25" s="731"/>
      <c r="L25" s="732"/>
      <c r="M25" s="151"/>
      <c r="P25" s="250"/>
      <c r="Q25" s="250"/>
      <c r="R25" s="250"/>
    </row>
    <row r="26" spans="1:18" ht="15.75" customHeight="1">
      <c r="A26" s="704"/>
      <c r="B26" s="705"/>
      <c r="C26" s="164" t="s">
        <v>565</v>
      </c>
      <c r="D26" s="358" t="s">
        <v>353</v>
      </c>
      <c r="E26" s="359"/>
      <c r="F26" s="360"/>
      <c r="G26" s="380">
        <v>19</v>
      </c>
      <c r="H26" s="380">
        <v>1289.6506750607207</v>
      </c>
      <c r="I26" s="380">
        <v>67.876351318985286</v>
      </c>
      <c r="J26" s="241" t="s">
        <v>815</v>
      </c>
      <c r="K26" s="731"/>
      <c r="L26" s="732"/>
      <c r="M26" s="151"/>
      <c r="P26" s="250"/>
      <c r="Q26" s="250"/>
      <c r="R26" s="250"/>
    </row>
    <row r="27" spans="1:18" ht="15.75" customHeight="1">
      <c r="A27" s="704"/>
      <c r="B27" s="705"/>
      <c r="C27" s="164" t="s">
        <v>566</v>
      </c>
      <c r="D27" s="358" t="s">
        <v>505</v>
      </c>
      <c r="E27" s="359"/>
      <c r="F27" s="360"/>
      <c r="G27" s="380">
        <v>18</v>
      </c>
      <c r="H27" s="380">
        <v>1233.0362195330995</v>
      </c>
      <c r="I27" s="380">
        <v>68.502012196283289</v>
      </c>
      <c r="J27" s="240" t="s">
        <v>813</v>
      </c>
      <c r="K27" s="728"/>
      <c r="L27" s="729"/>
      <c r="M27" s="151"/>
      <c r="P27" s="250"/>
      <c r="Q27" s="250"/>
      <c r="R27" s="250"/>
    </row>
    <row r="28" spans="1:18" ht="15.75" customHeight="1">
      <c r="A28" s="704"/>
      <c r="B28" s="705"/>
      <c r="C28" s="164" t="s">
        <v>567</v>
      </c>
      <c r="D28" s="358" t="s">
        <v>503</v>
      </c>
      <c r="E28" s="359"/>
      <c r="F28" s="360"/>
      <c r="G28" s="380">
        <v>18</v>
      </c>
      <c r="H28" s="380">
        <v>1275.8258999499762</v>
      </c>
      <c r="I28" s="380">
        <v>70.879216663887576</v>
      </c>
      <c r="J28" s="239" t="s">
        <v>816</v>
      </c>
      <c r="K28" s="733"/>
      <c r="L28" s="708"/>
      <c r="M28" s="151"/>
      <c r="P28" s="250"/>
      <c r="Q28" s="250"/>
      <c r="R28" s="250"/>
    </row>
    <row r="29" spans="1:18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8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8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8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30">
    <mergeCell ref="K28:L28"/>
    <mergeCell ref="K8:L8"/>
    <mergeCell ref="K9:L9"/>
    <mergeCell ref="K14:L14"/>
    <mergeCell ref="K15:L15"/>
    <mergeCell ref="K24:L27"/>
    <mergeCell ref="K16:L16"/>
    <mergeCell ref="K22:L22"/>
    <mergeCell ref="K23:L23"/>
    <mergeCell ref="K17:L17"/>
    <mergeCell ref="K21:L21"/>
    <mergeCell ref="K18:L18"/>
    <mergeCell ref="A1:L2"/>
    <mergeCell ref="A3:L4"/>
    <mergeCell ref="A5:A6"/>
    <mergeCell ref="A7:B7"/>
    <mergeCell ref="D7:F7"/>
    <mergeCell ref="K7:L7"/>
    <mergeCell ref="K13:L13"/>
    <mergeCell ref="K10:L10"/>
    <mergeCell ref="A19:A28"/>
    <mergeCell ref="A8:A17"/>
    <mergeCell ref="B8:B17"/>
    <mergeCell ref="A18:B18"/>
    <mergeCell ref="D18:F18"/>
    <mergeCell ref="B19:B28"/>
    <mergeCell ref="K11:L11"/>
    <mergeCell ref="K12:L12"/>
    <mergeCell ref="K19:L19"/>
    <mergeCell ref="K20:L20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90" zoomScaleNormal="90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13" ht="15.75" customHeight="1">
      <c r="A1" s="580" t="s">
        <v>186</v>
      </c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119"/>
    </row>
    <row r="2" spans="1:13" s="120" customFormat="1" ht="15.75" customHeight="1">
      <c r="A2" s="580"/>
      <c r="B2" s="580"/>
      <c r="C2" s="580"/>
      <c r="D2" s="580"/>
      <c r="E2" s="580"/>
      <c r="F2" s="580"/>
      <c r="G2" s="580"/>
      <c r="H2" s="580"/>
      <c r="I2" s="580"/>
      <c r="J2" s="580"/>
      <c r="K2" s="580"/>
      <c r="L2" s="580"/>
    </row>
    <row r="3" spans="1:13" ht="15.75" customHeight="1">
      <c r="A3" s="716" t="s">
        <v>187</v>
      </c>
      <c r="B3" s="716"/>
      <c r="C3" s="716"/>
      <c r="D3" s="716"/>
      <c r="E3" s="716"/>
      <c r="F3" s="716"/>
      <c r="G3" s="716"/>
      <c r="H3" s="716"/>
      <c r="I3" s="716"/>
      <c r="J3" s="716"/>
      <c r="K3" s="716"/>
      <c r="L3" s="716"/>
      <c r="M3" s="151"/>
    </row>
    <row r="4" spans="1:13" s="120" customFormat="1" ht="15.75" customHeight="1">
      <c r="A4" s="716"/>
      <c r="B4" s="716"/>
      <c r="C4" s="716"/>
      <c r="D4" s="716"/>
      <c r="E4" s="716"/>
      <c r="F4" s="716"/>
      <c r="G4" s="716"/>
      <c r="H4" s="716"/>
      <c r="I4" s="716"/>
      <c r="J4" s="716"/>
      <c r="K4" s="716"/>
      <c r="L4" s="716"/>
      <c r="M4" s="130"/>
    </row>
    <row r="5" spans="1:13" s="153" customFormat="1" ht="16.350000000000001" customHeight="1">
      <c r="A5" s="736" t="s">
        <v>154</v>
      </c>
      <c r="B5" s="155">
        <v>1</v>
      </c>
      <c r="C5" s="155">
        <v>2</v>
      </c>
      <c r="D5" s="155">
        <v>3</v>
      </c>
      <c r="E5" s="155">
        <v>4</v>
      </c>
      <c r="F5" s="155">
        <v>5</v>
      </c>
      <c r="G5" s="155">
        <v>6</v>
      </c>
      <c r="H5" s="165">
        <v>7</v>
      </c>
      <c r="I5" s="165">
        <v>8</v>
      </c>
      <c r="J5" s="155">
        <v>9</v>
      </c>
      <c r="K5" s="152"/>
      <c r="L5" s="152"/>
      <c r="M5" s="152"/>
    </row>
    <row r="6" spans="1:13" ht="16.350000000000001" customHeight="1">
      <c r="A6" s="737"/>
      <c r="B6" s="156" t="s">
        <v>188</v>
      </c>
      <c r="C6" s="156" t="s">
        <v>151</v>
      </c>
      <c r="D6" s="156" t="s">
        <v>189</v>
      </c>
      <c r="E6" s="156" t="s">
        <v>153</v>
      </c>
      <c r="F6" s="157" t="s">
        <v>133</v>
      </c>
      <c r="G6" s="158" t="s">
        <v>131</v>
      </c>
      <c r="H6" s="166" t="s">
        <v>190</v>
      </c>
      <c r="I6" s="168" t="s">
        <v>191</v>
      </c>
      <c r="J6" s="158" t="s">
        <v>137</v>
      </c>
      <c r="K6" s="154"/>
      <c r="L6" s="154"/>
      <c r="M6" s="130"/>
    </row>
    <row r="7" spans="1:13" s="153" customFormat="1" ht="15.75" customHeight="1">
      <c r="A7" s="738" t="s">
        <v>561</v>
      </c>
      <c r="B7" s="739"/>
      <c r="C7" s="362" t="s">
        <v>562</v>
      </c>
      <c r="D7" s="738" t="s">
        <v>12</v>
      </c>
      <c r="E7" s="740"/>
      <c r="F7" s="739"/>
      <c r="G7" s="384" t="s">
        <v>46</v>
      </c>
      <c r="H7" s="384" t="s">
        <v>583</v>
      </c>
      <c r="I7" s="384" t="s">
        <v>584</v>
      </c>
      <c r="J7" s="221" t="s">
        <v>585</v>
      </c>
      <c r="K7" s="738" t="s">
        <v>51</v>
      </c>
      <c r="L7" s="739"/>
      <c r="M7" s="152"/>
    </row>
    <row r="8" spans="1:13" ht="15.75" customHeight="1">
      <c r="A8" s="736">
        <v>7</v>
      </c>
      <c r="B8" s="742" t="s">
        <v>135</v>
      </c>
      <c r="C8" s="363">
        <v>1</v>
      </c>
      <c r="D8" s="358" t="s">
        <v>648</v>
      </c>
      <c r="E8" s="359"/>
      <c r="F8" s="360"/>
      <c r="G8" s="380">
        <v>14</v>
      </c>
      <c r="H8" s="380">
        <v>1389.9606017797698</v>
      </c>
      <c r="I8" s="380">
        <v>99.28290012712641</v>
      </c>
      <c r="J8" s="239" t="s">
        <v>816</v>
      </c>
      <c r="K8" s="734"/>
      <c r="L8" s="735"/>
      <c r="M8" s="130"/>
    </row>
    <row r="9" spans="1:13" ht="15.75" customHeight="1">
      <c r="A9" s="741"/>
      <c r="B9" s="743"/>
      <c r="C9" s="363">
        <v>2</v>
      </c>
      <c r="D9" s="381" t="s">
        <v>636</v>
      </c>
      <c r="E9" s="359"/>
      <c r="F9" s="360"/>
      <c r="G9" s="380">
        <v>16.25</v>
      </c>
      <c r="H9" s="380">
        <v>1392.4127930734151</v>
      </c>
      <c r="I9" s="380">
        <v>85.742041466390532</v>
      </c>
      <c r="J9" s="240" t="s">
        <v>813</v>
      </c>
      <c r="K9" s="734"/>
      <c r="L9" s="735"/>
      <c r="M9" s="130"/>
    </row>
    <row r="10" spans="1:13" ht="15.75" customHeight="1">
      <c r="A10" s="741"/>
      <c r="B10" s="743"/>
      <c r="C10" s="363">
        <v>3</v>
      </c>
      <c r="D10" s="358" t="s">
        <v>626</v>
      </c>
      <c r="E10" s="359"/>
      <c r="F10" s="360"/>
      <c r="G10" s="380">
        <v>15.571428571428571</v>
      </c>
      <c r="H10" s="380">
        <v>1313.1724721105759</v>
      </c>
      <c r="I10" s="380">
        <v>84.429985143051908</v>
      </c>
      <c r="J10" s="241" t="s">
        <v>815</v>
      </c>
      <c r="K10" s="903" t="s">
        <v>824</v>
      </c>
      <c r="L10" s="904"/>
      <c r="M10" s="130"/>
    </row>
    <row r="11" spans="1:13" ht="15.75" customHeight="1">
      <c r="A11" s="741"/>
      <c r="B11" s="743"/>
      <c r="C11" s="363">
        <v>4</v>
      </c>
      <c r="D11" s="381" t="s">
        <v>534</v>
      </c>
      <c r="E11" s="359"/>
      <c r="F11" s="360"/>
      <c r="G11" s="380">
        <v>16.714285714285715</v>
      </c>
      <c r="H11" s="380">
        <v>1395.8186248905113</v>
      </c>
      <c r="I11" s="380">
        <v>83.561951187367612</v>
      </c>
      <c r="J11" s="241" t="s">
        <v>815</v>
      </c>
      <c r="K11" s="905"/>
      <c r="L11" s="906"/>
      <c r="M11" s="130"/>
    </row>
    <row r="12" spans="1:13" ht="15.75" customHeight="1">
      <c r="A12" s="741"/>
      <c r="B12" s="743"/>
      <c r="C12" s="363">
        <v>5</v>
      </c>
      <c r="D12" s="358" t="s">
        <v>735</v>
      </c>
      <c r="E12" s="359"/>
      <c r="F12" s="360"/>
      <c r="G12" s="380">
        <v>17</v>
      </c>
      <c r="H12" s="380">
        <v>1414.282835339473</v>
      </c>
      <c r="I12" s="380">
        <v>83.193107961145486</v>
      </c>
      <c r="J12" s="241" t="s">
        <v>815</v>
      </c>
      <c r="K12" s="907"/>
      <c r="L12" s="908"/>
      <c r="M12" s="130"/>
    </row>
    <row r="13" spans="1:13" ht="15.75" customHeight="1">
      <c r="A13" s="741"/>
      <c r="B13" s="743"/>
      <c r="C13" s="164" t="s">
        <v>563</v>
      </c>
      <c r="D13" s="381" t="s">
        <v>720</v>
      </c>
      <c r="E13" s="359"/>
      <c r="F13" s="360"/>
      <c r="G13" s="380">
        <v>18</v>
      </c>
      <c r="H13" s="380">
        <v>1374.8859138097887</v>
      </c>
      <c r="I13" s="380">
        <v>76.382550767210503</v>
      </c>
      <c r="J13" s="239" t="s">
        <v>816</v>
      </c>
      <c r="K13" s="747"/>
      <c r="L13" s="746"/>
      <c r="M13" s="130"/>
    </row>
    <row r="14" spans="1:13" ht="15.75" customHeight="1">
      <c r="A14" s="741"/>
      <c r="B14" s="743"/>
      <c r="C14" s="164" t="s">
        <v>564</v>
      </c>
      <c r="D14" s="358" t="s">
        <v>641</v>
      </c>
      <c r="E14" s="359"/>
      <c r="F14" s="360"/>
      <c r="G14" s="380">
        <v>17</v>
      </c>
      <c r="H14" s="380">
        <v>1314.9749415238723</v>
      </c>
      <c r="I14" s="380">
        <v>77.351467148463072</v>
      </c>
      <c r="J14" s="239"/>
      <c r="K14" s="745"/>
      <c r="L14" s="746"/>
      <c r="M14" s="130"/>
    </row>
    <row r="15" spans="1:13" ht="15.75" customHeight="1">
      <c r="A15" s="741"/>
      <c r="B15" s="743"/>
      <c r="C15" s="164" t="s">
        <v>565</v>
      </c>
      <c r="D15" s="358"/>
      <c r="E15" s="359"/>
      <c r="F15" s="360"/>
      <c r="G15" s="380"/>
      <c r="H15" s="380"/>
      <c r="I15" s="380"/>
      <c r="J15" s="239"/>
      <c r="K15" s="745"/>
      <c r="L15" s="746"/>
      <c r="M15" s="130"/>
    </row>
    <row r="16" spans="1:13" ht="15.75" customHeight="1">
      <c r="A16" s="741"/>
      <c r="B16" s="743"/>
      <c r="C16" s="164" t="s">
        <v>566</v>
      </c>
      <c r="D16" s="358"/>
      <c r="E16" s="359"/>
      <c r="F16" s="360"/>
      <c r="G16" s="380"/>
      <c r="H16" s="380"/>
      <c r="I16" s="380"/>
      <c r="J16" s="239"/>
      <c r="K16" s="745"/>
      <c r="L16" s="746"/>
      <c r="M16" s="151"/>
    </row>
    <row r="17" spans="1:13" ht="15.75" customHeight="1">
      <c r="A17" s="737"/>
      <c r="B17" s="744"/>
      <c r="C17" s="164" t="s">
        <v>567</v>
      </c>
      <c r="D17" s="358"/>
      <c r="E17" s="359"/>
      <c r="F17" s="360"/>
      <c r="G17" s="552"/>
      <c r="H17" s="552"/>
      <c r="I17" s="552"/>
      <c r="J17" s="552"/>
      <c r="K17" s="745"/>
      <c r="L17" s="746"/>
      <c r="M17" s="151"/>
    </row>
    <row r="18" spans="1:13" s="161" customFormat="1" ht="15.75" customHeight="1">
      <c r="A18" s="754" t="s">
        <v>561</v>
      </c>
      <c r="B18" s="755"/>
      <c r="C18" s="364" t="s">
        <v>562</v>
      </c>
      <c r="D18" s="754" t="s">
        <v>12</v>
      </c>
      <c r="E18" s="756"/>
      <c r="F18" s="755"/>
      <c r="G18" s="551" t="s">
        <v>818</v>
      </c>
      <c r="H18" s="551" t="s">
        <v>819</v>
      </c>
      <c r="I18" s="551" t="s">
        <v>820</v>
      </c>
      <c r="J18" s="221" t="s">
        <v>821</v>
      </c>
      <c r="K18" s="754" t="s">
        <v>822</v>
      </c>
      <c r="L18" s="755"/>
      <c r="M18" s="154"/>
    </row>
    <row r="19" spans="1:13" ht="15.75" customHeight="1">
      <c r="A19" s="736">
        <v>8</v>
      </c>
      <c r="B19" s="742" t="s">
        <v>136</v>
      </c>
      <c r="C19" s="363">
        <v>1</v>
      </c>
      <c r="D19" s="358" t="s">
        <v>647</v>
      </c>
      <c r="E19" s="359"/>
      <c r="F19" s="360"/>
      <c r="G19" s="380">
        <v>17</v>
      </c>
      <c r="H19" s="380">
        <v>2416.3151524950295</v>
      </c>
      <c r="I19" s="380">
        <v>142.13618544088408</v>
      </c>
      <c r="J19" s="239" t="s">
        <v>816</v>
      </c>
      <c r="K19" s="752"/>
      <c r="L19" s="753"/>
      <c r="M19" s="151"/>
    </row>
    <row r="20" spans="1:13" ht="15.75" customHeight="1">
      <c r="A20" s="741"/>
      <c r="B20" s="743"/>
      <c r="C20" s="363">
        <v>2</v>
      </c>
      <c r="D20" s="358" t="s">
        <v>736</v>
      </c>
      <c r="E20" s="359"/>
      <c r="F20" s="360"/>
      <c r="G20" s="380">
        <v>17</v>
      </c>
      <c r="H20" s="380">
        <v>2416.1835466580974</v>
      </c>
      <c r="I20" s="380">
        <v>142.12844392106456</v>
      </c>
      <c r="J20" s="240" t="s">
        <v>813</v>
      </c>
      <c r="K20" s="909" t="s">
        <v>825</v>
      </c>
      <c r="L20" s="910"/>
      <c r="M20" s="151"/>
    </row>
    <row r="21" spans="1:13" ht="15.75" customHeight="1">
      <c r="A21" s="741"/>
      <c r="B21" s="743"/>
      <c r="C21" s="363">
        <v>3</v>
      </c>
      <c r="D21" s="358" t="s">
        <v>633</v>
      </c>
      <c r="E21" s="359"/>
      <c r="F21" s="360"/>
      <c r="G21" s="380">
        <v>17.142857142857142</v>
      </c>
      <c r="H21" s="380">
        <v>2417.3197412566296</v>
      </c>
      <c r="I21" s="380">
        <v>141.06243231619337</v>
      </c>
      <c r="J21" s="241" t="s">
        <v>815</v>
      </c>
      <c r="K21" s="911"/>
      <c r="L21" s="912"/>
      <c r="M21" s="151"/>
    </row>
    <row r="22" spans="1:13" ht="15.75" customHeight="1">
      <c r="A22" s="741"/>
      <c r="B22" s="743"/>
      <c r="C22" s="363">
        <v>4</v>
      </c>
      <c r="D22" s="358" t="s">
        <v>355</v>
      </c>
      <c r="E22" s="359"/>
      <c r="F22" s="360"/>
      <c r="G22" s="380">
        <v>19</v>
      </c>
      <c r="H22" s="380">
        <v>2621.0536369859715</v>
      </c>
      <c r="I22" s="380">
        <v>137.95019142031427</v>
      </c>
      <c r="J22" s="239" t="s">
        <v>816</v>
      </c>
      <c r="K22" s="752"/>
      <c r="L22" s="753"/>
      <c r="M22" s="151"/>
    </row>
    <row r="23" spans="1:13" ht="15.75" customHeight="1">
      <c r="A23" s="741"/>
      <c r="B23" s="743"/>
      <c r="C23" s="363">
        <v>5</v>
      </c>
      <c r="D23" s="358" t="s">
        <v>356</v>
      </c>
      <c r="E23" s="359"/>
      <c r="F23" s="360"/>
      <c r="G23" s="380">
        <v>18.857142857142858</v>
      </c>
      <c r="H23" s="380">
        <v>2441.516798202495</v>
      </c>
      <c r="I23" s="380">
        <v>129.49433997779772</v>
      </c>
      <c r="J23" s="239" t="s">
        <v>816</v>
      </c>
      <c r="K23" s="752"/>
      <c r="L23" s="753"/>
      <c r="M23" s="151"/>
    </row>
    <row r="24" spans="1:13" ht="15.75" customHeight="1">
      <c r="A24" s="741"/>
      <c r="B24" s="743"/>
      <c r="C24" s="164" t="s">
        <v>563</v>
      </c>
      <c r="D24" s="358" t="s">
        <v>801</v>
      </c>
      <c r="E24" s="359"/>
      <c r="F24" s="360"/>
      <c r="G24" s="552">
        <v>20</v>
      </c>
      <c r="H24" s="380">
        <v>2326.6982517808697</v>
      </c>
      <c r="I24" s="380">
        <v>116.33491258904348</v>
      </c>
      <c r="J24" s="239" t="s">
        <v>816</v>
      </c>
      <c r="K24" s="913" t="s">
        <v>826</v>
      </c>
      <c r="L24" s="914"/>
      <c r="M24" s="151"/>
    </row>
    <row r="25" spans="1:13" ht="15.75" customHeight="1">
      <c r="A25" s="741"/>
      <c r="B25" s="743"/>
      <c r="C25" s="164" t="s">
        <v>564</v>
      </c>
      <c r="D25" s="358" t="s">
        <v>354</v>
      </c>
      <c r="E25" s="359"/>
      <c r="F25" s="360"/>
      <c r="G25" s="380">
        <v>20</v>
      </c>
      <c r="H25" s="380">
        <v>2348.7786677014124</v>
      </c>
      <c r="I25" s="380">
        <v>117.43893338507063</v>
      </c>
      <c r="J25" s="239" t="s">
        <v>816</v>
      </c>
      <c r="K25" s="757"/>
      <c r="L25" s="758"/>
      <c r="M25" s="151"/>
    </row>
    <row r="26" spans="1:13" ht="15.75" customHeight="1">
      <c r="A26" s="741"/>
      <c r="B26" s="743"/>
      <c r="C26" s="164" t="s">
        <v>565</v>
      </c>
      <c r="D26" s="358" t="s">
        <v>526</v>
      </c>
      <c r="E26" s="359"/>
      <c r="F26" s="360"/>
      <c r="G26" s="552">
        <v>18</v>
      </c>
      <c r="H26" s="380">
        <v>2169.101015265278</v>
      </c>
      <c r="I26" s="380">
        <v>120.50561195918213</v>
      </c>
      <c r="J26" s="239" t="s">
        <v>816</v>
      </c>
      <c r="K26" s="757"/>
      <c r="L26" s="758"/>
      <c r="M26" s="151"/>
    </row>
    <row r="27" spans="1:13" ht="15.75" customHeight="1">
      <c r="A27" s="741"/>
      <c r="B27" s="743"/>
      <c r="C27" s="164" t="s">
        <v>566</v>
      </c>
      <c r="D27" s="358" t="s">
        <v>724</v>
      </c>
      <c r="E27" s="359"/>
      <c r="F27" s="360"/>
      <c r="G27" s="380">
        <v>18</v>
      </c>
      <c r="H27" s="380">
        <v>2170.3106926207715</v>
      </c>
      <c r="I27" s="380">
        <v>120.57281625670953</v>
      </c>
      <c r="J27" s="239" t="s">
        <v>816</v>
      </c>
      <c r="K27" s="757"/>
      <c r="L27" s="758"/>
      <c r="M27" s="151"/>
    </row>
    <row r="28" spans="1:13" ht="15.75" customHeight="1">
      <c r="A28" s="737"/>
      <c r="B28" s="744"/>
      <c r="C28" s="164" t="s">
        <v>567</v>
      </c>
      <c r="D28" s="358" t="s">
        <v>357</v>
      </c>
      <c r="E28" s="359"/>
      <c r="F28" s="360"/>
      <c r="G28" s="380">
        <v>19.142857142857142</v>
      </c>
      <c r="H28" s="380">
        <v>2425.2870825029399</v>
      </c>
      <c r="I28" s="380">
        <v>126.65613775719272</v>
      </c>
      <c r="J28" s="552"/>
      <c r="K28" s="757"/>
      <c r="L28" s="758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30">
    <mergeCell ref="K9:L9"/>
    <mergeCell ref="K10:L12"/>
    <mergeCell ref="K19:L19"/>
    <mergeCell ref="K20:L21"/>
    <mergeCell ref="K13:L13"/>
    <mergeCell ref="K22:L22"/>
    <mergeCell ref="A18:B18"/>
    <mergeCell ref="D18:F18"/>
    <mergeCell ref="K18:L18"/>
    <mergeCell ref="A19:A28"/>
    <mergeCell ref="B19:B28"/>
    <mergeCell ref="K28:L28"/>
    <mergeCell ref="K24:L24"/>
    <mergeCell ref="K25:L25"/>
    <mergeCell ref="K27:L27"/>
    <mergeCell ref="K26:L26"/>
    <mergeCell ref="K23:L23"/>
    <mergeCell ref="A1:L2"/>
    <mergeCell ref="K8:L8"/>
    <mergeCell ref="A3:L4"/>
    <mergeCell ref="A5:A6"/>
    <mergeCell ref="A7:B7"/>
    <mergeCell ref="D7:F7"/>
    <mergeCell ref="K7:L7"/>
    <mergeCell ref="A8:A17"/>
    <mergeCell ref="B8:B17"/>
    <mergeCell ref="K17:L17"/>
    <mergeCell ref="K16:L16"/>
    <mergeCell ref="K14:L14"/>
    <mergeCell ref="K15:L15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V35"/>
  <sheetViews>
    <sheetView zoomScale="70" zoomScaleNormal="70" zoomScaleSheetLayoutView="100" workbookViewId="0">
      <selection activeCell="N44" sqref="N44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22" ht="15.75" customHeight="1">
      <c r="A1" s="580" t="s">
        <v>186</v>
      </c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119"/>
    </row>
    <row r="2" spans="1:22" s="120" customFormat="1" ht="15.75" customHeight="1">
      <c r="A2" s="580"/>
      <c r="B2" s="580"/>
      <c r="C2" s="580"/>
      <c r="D2" s="580"/>
      <c r="E2" s="580"/>
      <c r="F2" s="580"/>
      <c r="G2" s="580"/>
      <c r="H2" s="580"/>
      <c r="I2" s="580"/>
      <c r="J2" s="580"/>
      <c r="K2" s="580"/>
      <c r="L2" s="580"/>
    </row>
    <row r="3" spans="1:22" ht="15.75" customHeight="1">
      <c r="A3" s="716" t="s">
        <v>187</v>
      </c>
      <c r="B3" s="716"/>
      <c r="C3" s="716"/>
      <c r="D3" s="716"/>
      <c r="E3" s="716"/>
      <c r="F3" s="716"/>
      <c r="G3" s="716"/>
      <c r="H3" s="716"/>
      <c r="I3" s="716"/>
      <c r="J3" s="716"/>
      <c r="K3" s="716"/>
      <c r="L3" s="716"/>
      <c r="M3" s="151"/>
    </row>
    <row r="4" spans="1:22" s="120" customFormat="1" ht="15.75" customHeight="1">
      <c r="A4" s="716"/>
      <c r="B4" s="716"/>
      <c r="C4" s="716"/>
      <c r="D4" s="716"/>
      <c r="E4" s="716"/>
      <c r="F4" s="716"/>
      <c r="G4" s="716"/>
      <c r="H4" s="716"/>
      <c r="I4" s="716"/>
      <c r="J4" s="716"/>
      <c r="K4" s="716"/>
      <c r="L4" s="716"/>
      <c r="M4" s="130"/>
    </row>
    <row r="5" spans="1:22" s="153" customFormat="1" ht="16.350000000000001" customHeight="1">
      <c r="A5" s="736" t="s">
        <v>154</v>
      </c>
      <c r="B5" s="155">
        <v>1</v>
      </c>
      <c r="C5" s="155">
        <v>2</v>
      </c>
      <c r="D5" s="155">
        <v>3</v>
      </c>
      <c r="E5" s="155">
        <v>4</v>
      </c>
      <c r="F5" s="155">
        <v>5</v>
      </c>
      <c r="G5" s="155">
        <v>6</v>
      </c>
      <c r="H5" s="155">
        <v>7</v>
      </c>
      <c r="I5" s="155">
        <v>8</v>
      </c>
      <c r="J5" s="165">
        <v>9</v>
      </c>
      <c r="K5" s="152"/>
      <c r="L5" s="152"/>
      <c r="M5" s="152"/>
      <c r="U5" s="915"/>
      <c r="V5" s="916"/>
    </row>
    <row r="6" spans="1:22" ht="16.350000000000001" customHeight="1">
      <c r="A6" s="737"/>
      <c r="B6" s="156" t="s">
        <v>188</v>
      </c>
      <c r="C6" s="156" t="s">
        <v>151</v>
      </c>
      <c r="D6" s="156" t="s">
        <v>189</v>
      </c>
      <c r="E6" s="156" t="s">
        <v>153</v>
      </c>
      <c r="F6" s="157" t="s">
        <v>133</v>
      </c>
      <c r="G6" s="158" t="s">
        <v>131</v>
      </c>
      <c r="H6" s="159" t="s">
        <v>190</v>
      </c>
      <c r="I6" s="158" t="s">
        <v>191</v>
      </c>
      <c r="J6" s="168" t="s">
        <v>137</v>
      </c>
      <c r="K6" s="154"/>
      <c r="L6" s="154"/>
      <c r="M6" s="130"/>
      <c r="U6" s="250"/>
      <c r="V6" s="917"/>
    </row>
    <row r="7" spans="1:22" s="153" customFormat="1" ht="15.75" customHeight="1">
      <c r="A7" s="738" t="s">
        <v>561</v>
      </c>
      <c r="B7" s="739"/>
      <c r="C7" s="362" t="s">
        <v>562</v>
      </c>
      <c r="D7" s="738" t="s">
        <v>12</v>
      </c>
      <c r="E7" s="740"/>
      <c r="F7" s="739"/>
      <c r="G7" s="384" t="s">
        <v>578</v>
      </c>
      <c r="H7" s="384" t="s">
        <v>579</v>
      </c>
      <c r="I7" s="384" t="s">
        <v>580</v>
      </c>
      <c r="J7" s="221" t="s">
        <v>581</v>
      </c>
      <c r="K7" s="738" t="s">
        <v>582</v>
      </c>
      <c r="L7" s="739"/>
      <c r="M7" s="152"/>
      <c r="U7" s="915"/>
      <c r="V7" s="916"/>
    </row>
    <row r="8" spans="1:22" ht="15.75" customHeight="1">
      <c r="A8" s="736">
        <v>9</v>
      </c>
      <c r="B8" s="742" t="s">
        <v>137</v>
      </c>
      <c r="C8" s="363">
        <v>1</v>
      </c>
      <c r="D8" s="358" t="s">
        <v>359</v>
      </c>
      <c r="E8" s="359"/>
      <c r="F8" s="360"/>
      <c r="G8" s="498">
        <v>7</v>
      </c>
      <c r="H8" s="498">
        <v>1456.3862519307766</v>
      </c>
      <c r="I8" s="498">
        <v>208.05517884725379</v>
      </c>
      <c r="J8" s="240" t="s">
        <v>813</v>
      </c>
      <c r="K8" s="710" t="s">
        <v>827</v>
      </c>
      <c r="L8" s="711"/>
      <c r="M8" s="130"/>
      <c r="U8" s="250"/>
      <c r="V8" s="917"/>
    </row>
    <row r="9" spans="1:22" ht="15.75" customHeight="1">
      <c r="A9" s="741"/>
      <c r="B9" s="743"/>
      <c r="C9" s="363">
        <v>2</v>
      </c>
      <c r="D9" s="358" t="s">
        <v>398</v>
      </c>
      <c r="E9" s="359"/>
      <c r="F9" s="360"/>
      <c r="G9" s="498">
        <v>7</v>
      </c>
      <c r="H9" s="498">
        <v>1456.0326896787424</v>
      </c>
      <c r="I9" s="498">
        <v>208.00466995410605</v>
      </c>
      <c r="J9" s="239" t="s">
        <v>816</v>
      </c>
      <c r="K9" s="712"/>
      <c r="L9" s="713"/>
      <c r="M9" s="130"/>
      <c r="U9" s="250"/>
      <c r="V9" s="917"/>
    </row>
    <row r="10" spans="1:22" ht="15.75" customHeight="1">
      <c r="A10" s="741"/>
      <c r="B10" s="743"/>
      <c r="C10" s="363">
        <v>3</v>
      </c>
      <c r="D10" s="358" t="s">
        <v>812</v>
      </c>
      <c r="E10" s="359"/>
      <c r="F10" s="360"/>
      <c r="G10" s="498">
        <v>7</v>
      </c>
      <c r="H10" s="498">
        <v>1454.6859481175354</v>
      </c>
      <c r="I10" s="498">
        <v>207.81227830250504</v>
      </c>
      <c r="J10" s="239" t="s">
        <v>816</v>
      </c>
      <c r="K10" s="712"/>
      <c r="L10" s="713"/>
      <c r="M10" s="130"/>
      <c r="U10" s="250"/>
      <c r="V10" s="917"/>
    </row>
    <row r="11" spans="1:22" ht="15.75" customHeight="1">
      <c r="A11" s="741"/>
      <c r="B11" s="743"/>
      <c r="C11" s="363">
        <v>4</v>
      </c>
      <c r="D11" s="381" t="s">
        <v>589</v>
      </c>
      <c r="E11" s="359"/>
      <c r="F11" s="360"/>
      <c r="G11" s="498">
        <v>7</v>
      </c>
      <c r="H11" s="498">
        <v>1449.169509354731</v>
      </c>
      <c r="I11" s="498">
        <v>207.02421562210446</v>
      </c>
      <c r="J11" s="241" t="s">
        <v>815</v>
      </c>
      <c r="K11" s="712"/>
      <c r="L11" s="713"/>
      <c r="M11" s="130"/>
      <c r="U11" s="250"/>
      <c r="V11" s="917"/>
    </row>
    <row r="12" spans="1:22" ht="15.75" customHeight="1">
      <c r="A12" s="741"/>
      <c r="B12" s="743"/>
      <c r="C12" s="363">
        <v>5</v>
      </c>
      <c r="D12" s="381" t="s">
        <v>358</v>
      </c>
      <c r="E12" s="359"/>
      <c r="F12" s="360"/>
      <c r="G12" s="498">
        <v>7</v>
      </c>
      <c r="H12" s="498">
        <v>1443.8793414575005</v>
      </c>
      <c r="I12" s="498">
        <v>206.26847735107145</v>
      </c>
      <c r="J12" s="241" t="s">
        <v>815</v>
      </c>
      <c r="K12" s="714"/>
      <c r="L12" s="715"/>
      <c r="M12" s="130"/>
    </row>
    <row r="13" spans="1:22" ht="15.75" customHeight="1">
      <c r="A13" s="741"/>
      <c r="B13" s="743"/>
      <c r="C13" s="164" t="s">
        <v>563</v>
      </c>
      <c r="D13" s="381" t="s">
        <v>330</v>
      </c>
      <c r="E13" s="359"/>
      <c r="F13" s="360"/>
      <c r="G13" s="498">
        <v>19.142857142857142</v>
      </c>
      <c r="H13" s="498">
        <v>1325.869322790925</v>
      </c>
      <c r="I13" s="498">
        <v>69.412907689981054</v>
      </c>
      <c r="J13" s="239" t="s">
        <v>816</v>
      </c>
      <c r="K13" s="761"/>
      <c r="L13" s="761"/>
      <c r="M13" s="130"/>
    </row>
    <row r="14" spans="1:22" ht="15.75" customHeight="1">
      <c r="A14" s="741"/>
      <c r="B14" s="743"/>
      <c r="C14" s="164" t="s">
        <v>564</v>
      </c>
      <c r="D14" s="358" t="s">
        <v>737</v>
      </c>
      <c r="E14" s="359"/>
      <c r="F14" s="360"/>
      <c r="G14" s="498">
        <v>16</v>
      </c>
      <c r="H14" s="498">
        <v>1132.3182244400844</v>
      </c>
      <c r="I14" s="498">
        <v>70.769889027505272</v>
      </c>
      <c r="J14" s="239" t="s">
        <v>816</v>
      </c>
      <c r="K14" s="759"/>
      <c r="L14" s="760"/>
      <c r="M14" s="130"/>
    </row>
    <row r="15" spans="1:22" ht="15.75" customHeight="1">
      <c r="A15" s="741"/>
      <c r="B15" s="743"/>
      <c r="C15" s="164" t="s">
        <v>565</v>
      </c>
      <c r="D15" s="358" t="s">
        <v>360</v>
      </c>
      <c r="E15" s="359"/>
      <c r="F15" s="360"/>
      <c r="G15" s="380">
        <v>16.428571428571427</v>
      </c>
      <c r="H15" s="380">
        <v>1371.2245934015734</v>
      </c>
      <c r="I15" s="380">
        <v>83.53333988462272</v>
      </c>
      <c r="J15" s="239" t="s">
        <v>816</v>
      </c>
      <c r="K15" s="759"/>
      <c r="L15" s="762"/>
      <c r="M15" s="130"/>
    </row>
    <row r="16" spans="1:22" ht="15.75" customHeight="1">
      <c r="A16" s="741"/>
      <c r="B16" s="743"/>
      <c r="C16" s="164" t="s">
        <v>566</v>
      </c>
      <c r="D16" s="381" t="s">
        <v>717</v>
      </c>
      <c r="E16" s="359"/>
      <c r="F16" s="360"/>
      <c r="G16" s="380">
        <v>12</v>
      </c>
      <c r="H16" s="380">
        <v>1426.3922766325561</v>
      </c>
      <c r="I16" s="380">
        <v>118.866023052713</v>
      </c>
      <c r="J16" s="239" t="s">
        <v>816</v>
      </c>
      <c r="K16" s="759"/>
      <c r="L16" s="762"/>
      <c r="M16" s="151"/>
    </row>
    <row r="17" spans="1:13" ht="15.75" customHeight="1">
      <c r="A17" s="737"/>
      <c r="B17" s="744"/>
      <c r="C17" s="164" t="s">
        <v>567</v>
      </c>
      <c r="D17" s="381" t="s">
        <v>718</v>
      </c>
      <c r="E17" s="359"/>
      <c r="F17" s="360"/>
      <c r="G17" s="552">
        <v>12</v>
      </c>
      <c r="H17" s="380">
        <v>1541.5763312476454</v>
      </c>
      <c r="I17" s="380">
        <v>128.46469427063715</v>
      </c>
      <c r="J17" s="239" t="s">
        <v>816</v>
      </c>
      <c r="K17" s="759"/>
      <c r="L17" s="762"/>
      <c r="M17" s="151"/>
    </row>
    <row r="18" spans="1:13" s="161" customFormat="1" ht="15.75" customHeight="1">
      <c r="A18" s="754" t="s">
        <v>169</v>
      </c>
      <c r="B18" s="755"/>
      <c r="C18" s="271" t="s">
        <v>390</v>
      </c>
      <c r="D18" s="754" t="s">
        <v>12</v>
      </c>
      <c r="E18" s="756"/>
      <c r="F18" s="755"/>
      <c r="G18" s="392" t="s">
        <v>615</v>
      </c>
      <c r="H18" s="392" t="s">
        <v>616</v>
      </c>
      <c r="I18" s="392" t="s">
        <v>617</v>
      </c>
      <c r="J18" s="221" t="s">
        <v>618</v>
      </c>
      <c r="K18" s="754" t="s">
        <v>619</v>
      </c>
      <c r="L18" s="755"/>
      <c r="M18" s="154"/>
    </row>
    <row r="19" spans="1:13" ht="15.75" customHeight="1">
      <c r="A19" s="736"/>
      <c r="B19" s="742"/>
      <c r="C19" s="270">
        <v>1</v>
      </c>
      <c r="D19" s="358"/>
      <c r="E19" s="359"/>
      <c r="F19" s="360"/>
      <c r="G19" s="391"/>
      <c r="H19" s="391"/>
      <c r="I19" s="391"/>
      <c r="J19" s="391"/>
      <c r="K19" s="763"/>
      <c r="L19" s="764"/>
      <c r="M19" s="151"/>
    </row>
    <row r="20" spans="1:13" ht="15.75" customHeight="1">
      <c r="A20" s="741"/>
      <c r="B20" s="743"/>
      <c r="C20" s="270">
        <v>2</v>
      </c>
      <c r="D20" s="358"/>
      <c r="E20" s="359"/>
      <c r="F20" s="360"/>
      <c r="G20" s="391"/>
      <c r="H20" s="391"/>
      <c r="I20" s="391"/>
      <c r="J20" s="391"/>
      <c r="K20" s="765"/>
      <c r="L20" s="766"/>
      <c r="M20" s="151"/>
    </row>
    <row r="21" spans="1:13" ht="15.75" customHeight="1">
      <c r="A21" s="741"/>
      <c r="B21" s="743"/>
      <c r="C21" s="270">
        <v>3</v>
      </c>
      <c r="D21" s="358"/>
      <c r="E21" s="359"/>
      <c r="F21" s="360"/>
      <c r="G21" s="391"/>
      <c r="H21" s="391"/>
      <c r="I21" s="391"/>
      <c r="J21" s="391"/>
      <c r="K21" s="765"/>
      <c r="L21" s="766"/>
      <c r="M21" s="151"/>
    </row>
    <row r="22" spans="1:13" ht="15.75" customHeight="1">
      <c r="A22" s="741"/>
      <c r="B22" s="743"/>
      <c r="C22" s="270">
        <v>4</v>
      </c>
      <c r="D22" s="765"/>
      <c r="E22" s="767"/>
      <c r="F22" s="766"/>
      <c r="G22" s="269"/>
      <c r="H22" s="269"/>
      <c r="I22" s="269"/>
      <c r="J22" s="269"/>
      <c r="K22" s="765"/>
      <c r="L22" s="766"/>
      <c r="M22" s="151"/>
    </row>
    <row r="23" spans="1:13" ht="15.75" customHeight="1">
      <c r="A23" s="741"/>
      <c r="B23" s="743"/>
      <c r="C23" s="270">
        <v>5</v>
      </c>
      <c r="D23" s="765"/>
      <c r="E23" s="767"/>
      <c r="F23" s="766"/>
      <c r="G23" s="269"/>
      <c r="H23" s="269"/>
      <c r="I23" s="269"/>
      <c r="J23" s="269"/>
      <c r="K23" s="765"/>
      <c r="L23" s="766"/>
      <c r="M23" s="151"/>
    </row>
    <row r="24" spans="1:13" ht="15.75" customHeight="1">
      <c r="A24" s="741"/>
      <c r="B24" s="743"/>
      <c r="C24" s="164" t="s">
        <v>391</v>
      </c>
      <c r="D24" s="763"/>
      <c r="E24" s="768"/>
      <c r="F24" s="764"/>
      <c r="G24" s="269"/>
      <c r="H24" s="269"/>
      <c r="I24" s="269"/>
      <c r="J24" s="269"/>
      <c r="K24" s="763"/>
      <c r="L24" s="764"/>
      <c r="M24" s="151"/>
    </row>
    <row r="25" spans="1:13" ht="15.75" customHeight="1">
      <c r="A25" s="741"/>
      <c r="B25" s="743"/>
      <c r="C25" s="164" t="s">
        <v>392</v>
      </c>
      <c r="D25" s="765"/>
      <c r="E25" s="767"/>
      <c r="F25" s="766"/>
      <c r="G25" s="269"/>
      <c r="H25" s="269"/>
      <c r="I25" s="269"/>
      <c r="J25" s="269"/>
      <c r="K25" s="765"/>
      <c r="L25" s="766"/>
      <c r="M25" s="151"/>
    </row>
    <row r="26" spans="1:13" ht="15.75" customHeight="1">
      <c r="A26" s="741"/>
      <c r="B26" s="743"/>
      <c r="C26" s="164" t="s">
        <v>393</v>
      </c>
      <c r="D26" s="765"/>
      <c r="E26" s="767"/>
      <c r="F26" s="766"/>
      <c r="G26" s="269"/>
      <c r="H26" s="269"/>
      <c r="I26" s="269"/>
      <c r="J26" s="269"/>
      <c r="K26" s="765"/>
      <c r="L26" s="766"/>
      <c r="M26" s="151"/>
    </row>
    <row r="27" spans="1:13" ht="15.75" customHeight="1">
      <c r="A27" s="741"/>
      <c r="B27" s="743"/>
      <c r="C27" s="164" t="s">
        <v>394</v>
      </c>
      <c r="D27" s="765"/>
      <c r="E27" s="767"/>
      <c r="F27" s="766"/>
      <c r="G27" s="269"/>
      <c r="H27" s="269"/>
      <c r="I27" s="269"/>
      <c r="J27" s="269"/>
      <c r="K27" s="765"/>
      <c r="L27" s="766"/>
      <c r="M27" s="151"/>
    </row>
    <row r="28" spans="1:13" ht="15.75" customHeight="1">
      <c r="A28" s="737"/>
      <c r="B28" s="744"/>
      <c r="C28" s="164" t="s">
        <v>395</v>
      </c>
      <c r="D28" s="765"/>
      <c r="E28" s="767"/>
      <c r="F28" s="766"/>
      <c r="G28" s="269"/>
      <c r="H28" s="269"/>
      <c r="I28" s="269"/>
      <c r="J28" s="269"/>
      <c r="K28" s="765"/>
      <c r="L28" s="766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36">
    <mergeCell ref="K17:L17"/>
    <mergeCell ref="K25:L25"/>
    <mergeCell ref="K22:L22"/>
    <mergeCell ref="D23:F23"/>
    <mergeCell ref="K24:L24"/>
    <mergeCell ref="K23:L23"/>
    <mergeCell ref="D24:F24"/>
    <mergeCell ref="A18:B18"/>
    <mergeCell ref="D18:F18"/>
    <mergeCell ref="K18:L18"/>
    <mergeCell ref="A19:A28"/>
    <mergeCell ref="B19:B28"/>
    <mergeCell ref="K19:L19"/>
    <mergeCell ref="K20:L20"/>
    <mergeCell ref="D28:F28"/>
    <mergeCell ref="K28:L28"/>
    <mergeCell ref="D25:F25"/>
    <mergeCell ref="D26:F26"/>
    <mergeCell ref="K26:L26"/>
    <mergeCell ref="K21:L21"/>
    <mergeCell ref="D27:F27"/>
    <mergeCell ref="K27:L27"/>
    <mergeCell ref="D22:F22"/>
    <mergeCell ref="A1:L2"/>
    <mergeCell ref="K14:L14"/>
    <mergeCell ref="A3:L4"/>
    <mergeCell ref="A5:A6"/>
    <mergeCell ref="A7:B7"/>
    <mergeCell ref="D7:F7"/>
    <mergeCell ref="K7:L7"/>
    <mergeCell ref="A8:A17"/>
    <mergeCell ref="B8:B17"/>
    <mergeCell ref="K13:L13"/>
    <mergeCell ref="K15:L15"/>
    <mergeCell ref="K8:L12"/>
    <mergeCell ref="K16:L1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82" customWidth="1"/>
    <col min="2" max="2" width="14.85546875" style="182" customWidth="1"/>
    <col min="3" max="3" width="12.85546875" style="182" customWidth="1"/>
    <col min="4" max="4" width="2.5703125" style="182" customWidth="1"/>
    <col min="5" max="5" width="7.5703125" style="182" customWidth="1"/>
    <col min="6" max="6" width="12.85546875" style="182" customWidth="1"/>
    <col min="7" max="7" width="9.42578125" style="182" customWidth="1"/>
    <col min="8" max="8" width="12.85546875" style="182" customWidth="1"/>
    <col min="9" max="9" width="9.42578125" style="182" customWidth="1"/>
    <col min="10" max="10" width="12.85546875" style="182" customWidth="1"/>
    <col min="11" max="11" width="9.42578125" style="182" customWidth="1"/>
    <col min="12" max="12" width="12.85546875" style="182" customWidth="1"/>
    <col min="13" max="13" width="9.42578125" style="182" customWidth="1"/>
    <col min="14" max="16384" width="12.5703125" style="182"/>
  </cols>
  <sheetData>
    <row r="1" spans="1:14" ht="15.75" customHeight="1">
      <c r="A1" s="771" t="s">
        <v>218</v>
      </c>
      <c r="B1" s="771"/>
      <c r="C1" s="771"/>
      <c r="D1" s="771"/>
      <c r="E1" s="771"/>
      <c r="F1" s="771"/>
      <c r="G1" s="771"/>
      <c r="H1" s="771"/>
      <c r="I1" s="771"/>
      <c r="J1" s="771"/>
      <c r="K1" s="771"/>
      <c r="L1" s="771"/>
      <c r="M1" s="771"/>
    </row>
    <row r="2" spans="1:14" s="183" customFormat="1" ht="15.75" customHeight="1">
      <c r="A2" s="771"/>
      <c r="B2" s="771"/>
      <c r="C2" s="771"/>
      <c r="D2" s="771"/>
      <c r="E2" s="771"/>
      <c r="F2" s="771"/>
      <c r="G2" s="771"/>
      <c r="H2" s="771"/>
      <c r="I2" s="771"/>
      <c r="J2" s="771"/>
      <c r="K2" s="771"/>
      <c r="L2" s="771"/>
      <c r="M2" s="771"/>
    </row>
    <row r="3" spans="1:14" ht="15.75" customHeight="1">
      <c r="A3" s="772" t="s">
        <v>219</v>
      </c>
      <c r="B3" s="772"/>
      <c r="C3" s="772"/>
      <c r="D3" s="772"/>
      <c r="E3" s="772"/>
      <c r="F3" s="772"/>
      <c r="G3" s="772"/>
      <c r="H3" s="772"/>
      <c r="I3" s="772"/>
      <c r="J3" s="772"/>
      <c r="K3" s="772"/>
      <c r="L3" s="772"/>
      <c r="M3" s="772"/>
      <c r="N3" s="184"/>
    </row>
    <row r="4" spans="1:14" s="183" customFormat="1" ht="15.75" customHeight="1">
      <c r="A4" s="772"/>
      <c r="B4" s="772"/>
      <c r="C4" s="772"/>
      <c r="D4" s="772"/>
      <c r="E4" s="772"/>
      <c r="F4" s="772"/>
      <c r="G4" s="772"/>
      <c r="H4" s="772"/>
      <c r="I4" s="772"/>
      <c r="J4" s="772"/>
      <c r="K4" s="772"/>
      <c r="L4" s="772"/>
      <c r="M4" s="772"/>
      <c r="N4" s="185"/>
    </row>
    <row r="5" spans="1:14" ht="15.75" customHeight="1">
      <c r="A5" s="186" t="s">
        <v>220</v>
      </c>
      <c r="B5" s="187">
        <v>212376150</v>
      </c>
    </row>
    <row r="6" spans="1:14" ht="15.75" customHeight="1">
      <c r="A6" s="773" t="s">
        <v>221</v>
      </c>
      <c r="B6" s="774" t="s">
        <v>10</v>
      </c>
      <c r="C6" s="774"/>
      <c r="D6" s="775"/>
      <c r="E6" s="773" t="s">
        <v>221</v>
      </c>
      <c r="F6" s="777">
        <v>1</v>
      </c>
      <c r="G6" s="777"/>
      <c r="H6" s="777">
        <v>2</v>
      </c>
      <c r="I6" s="777"/>
      <c r="J6" s="777">
        <v>3</v>
      </c>
      <c r="K6" s="777"/>
      <c r="L6" s="777">
        <v>4</v>
      </c>
      <c r="M6" s="777"/>
    </row>
    <row r="7" spans="1:14" ht="31.35" customHeight="1">
      <c r="A7" s="773"/>
      <c r="B7" s="774"/>
      <c r="C7" s="774"/>
      <c r="D7" s="776"/>
      <c r="E7" s="773"/>
      <c r="F7" s="769" t="s">
        <v>232</v>
      </c>
      <c r="G7" s="769"/>
      <c r="H7" s="769" t="s">
        <v>222</v>
      </c>
      <c r="I7" s="769"/>
      <c r="J7" s="769" t="s">
        <v>223</v>
      </c>
      <c r="K7" s="769"/>
      <c r="L7" s="769" t="s">
        <v>224</v>
      </c>
      <c r="M7" s="769"/>
    </row>
    <row r="8" spans="1:14" ht="15.75" customHeight="1">
      <c r="A8" s="773"/>
      <c r="B8" s="215" t="s">
        <v>11</v>
      </c>
      <c r="C8" s="215" t="s">
        <v>225</v>
      </c>
      <c r="D8" s="776"/>
      <c r="E8" s="773"/>
      <c r="F8" s="215" t="s">
        <v>11</v>
      </c>
      <c r="G8" s="215" t="s">
        <v>225</v>
      </c>
      <c r="H8" s="215" t="s">
        <v>11</v>
      </c>
      <c r="I8" s="215" t="s">
        <v>225</v>
      </c>
      <c r="J8" s="215" t="s">
        <v>11</v>
      </c>
      <c r="K8" s="215" t="s">
        <v>225</v>
      </c>
      <c r="L8" s="215" t="s">
        <v>11</v>
      </c>
      <c r="M8" s="215" t="s">
        <v>225</v>
      </c>
    </row>
    <row r="9" spans="1:14" s="193" customFormat="1" ht="19.350000000000001" customHeight="1">
      <c r="A9" s="188" t="s">
        <v>226</v>
      </c>
      <c r="B9" s="189">
        <v>47927.00699999994</v>
      </c>
      <c r="C9" s="190">
        <f>B9/$B$5</f>
        <v>2.256703824793883E-4</v>
      </c>
      <c r="D9" s="776"/>
      <c r="E9" s="188" t="s">
        <v>226</v>
      </c>
      <c r="F9" s="191">
        <v>1423.9050000000002</v>
      </c>
      <c r="G9" s="192">
        <f>IFERROR(F9/$B$9,"")</f>
        <v>2.9709866923256903E-2</v>
      </c>
      <c r="H9" s="191">
        <v>5535.9419999999991</v>
      </c>
      <c r="I9" s="192">
        <f>IFERROR(H9/$B$9,"")</f>
        <v>0.11550777623146812</v>
      </c>
      <c r="J9" s="191">
        <v>6691.5360000000019</v>
      </c>
      <c r="K9" s="192">
        <f>IFERROR(J9/$B$9,"")</f>
        <v>0.13961931735065389</v>
      </c>
      <c r="L9" s="191">
        <v>17258.763000000006</v>
      </c>
      <c r="M9" s="192">
        <f>IFERROR(L9/$B$9,"")</f>
        <v>0.36010516993059943</v>
      </c>
    </row>
    <row r="10" spans="1:14" s="193" customFormat="1" ht="19.350000000000001" customHeight="1">
      <c r="A10" s="194" t="s">
        <v>227</v>
      </c>
      <c r="B10" s="195">
        <v>69974.579191980054</v>
      </c>
      <c r="C10" s="190">
        <f>B10/$B$5</f>
        <v>3.2948416849999424E-4</v>
      </c>
      <c r="D10" s="776"/>
      <c r="E10" s="194" t="s">
        <v>227</v>
      </c>
      <c r="F10" s="191">
        <v>1179.8078200000007</v>
      </c>
      <c r="G10" s="192">
        <f>IFERROR(F10/$B$10,"")</f>
        <v>1.6860520400746062E-2</v>
      </c>
      <c r="H10" s="191">
        <v>3563.9139100000007</v>
      </c>
      <c r="I10" s="192">
        <f>IFERROR(H10/$B$10,"")</f>
        <v>5.0931551874319365E-2</v>
      </c>
      <c r="J10" s="191">
        <v>3130.998689999999</v>
      </c>
      <c r="K10" s="192">
        <f>IFERROR(J10/$B$10,"")</f>
        <v>4.4744801986016804E-2</v>
      </c>
      <c r="L10" s="191">
        <v>14381.948886699534</v>
      </c>
      <c r="M10" s="192">
        <f>IFERROR(L10/$B$10,"")</f>
        <v>0.20553105217312806</v>
      </c>
    </row>
    <row r="11" spans="1:14" ht="15.75" customHeight="1">
      <c r="D11" s="776"/>
      <c r="E11" s="773" t="s">
        <v>221</v>
      </c>
      <c r="F11" s="777">
        <v>5</v>
      </c>
      <c r="G11" s="777"/>
      <c r="H11" s="777">
        <v>6</v>
      </c>
      <c r="I11" s="777"/>
      <c r="J11" s="777">
        <v>7</v>
      </c>
      <c r="K11" s="777"/>
      <c r="L11" s="778">
        <v>8</v>
      </c>
      <c r="M11" s="778"/>
    </row>
    <row r="12" spans="1:14" ht="31.35" customHeight="1">
      <c r="D12" s="776"/>
      <c r="E12" s="773"/>
      <c r="F12" s="769" t="s">
        <v>228</v>
      </c>
      <c r="G12" s="769"/>
      <c r="H12" s="769" t="s">
        <v>229</v>
      </c>
      <c r="I12" s="769"/>
      <c r="J12" s="769" t="s">
        <v>230</v>
      </c>
      <c r="K12" s="769"/>
      <c r="L12" s="770" t="s">
        <v>231</v>
      </c>
      <c r="M12" s="770"/>
    </row>
    <row r="13" spans="1:14" ht="15.75" customHeight="1">
      <c r="D13" s="776"/>
      <c r="E13" s="773"/>
      <c r="F13" s="215" t="s">
        <v>11</v>
      </c>
      <c r="G13" s="215" t="s">
        <v>225</v>
      </c>
      <c r="H13" s="215" t="s">
        <v>11</v>
      </c>
      <c r="I13" s="215" t="s">
        <v>225</v>
      </c>
      <c r="J13" s="215" t="s">
        <v>11</v>
      </c>
      <c r="K13" s="215" t="s">
        <v>225</v>
      </c>
      <c r="L13" s="215" t="s">
        <v>11</v>
      </c>
      <c r="M13" s="215" t="s">
        <v>225</v>
      </c>
    </row>
    <row r="14" spans="1:14" s="193" customFormat="1" ht="19.350000000000001" customHeight="1">
      <c r="D14" s="776"/>
      <c r="E14" s="188" t="s">
        <v>226</v>
      </c>
      <c r="F14" s="191">
        <v>12460.915000000001</v>
      </c>
      <c r="G14" s="192">
        <f>IFERROR(F14/$B$9,"")</f>
        <v>0.25999777119401629</v>
      </c>
      <c r="H14" s="191">
        <v>1494.27</v>
      </c>
      <c r="I14" s="192">
        <f>IFERROR(H14/$B$9,"")</f>
        <v>3.1178037051218365E-2</v>
      </c>
      <c r="J14" s="191">
        <v>3061.675999999999</v>
      </c>
      <c r="K14" s="192">
        <f>IFERROR(J14/$B$9,"")</f>
        <v>6.3882061318788444E-2</v>
      </c>
      <c r="L14" s="191">
        <v>0</v>
      </c>
      <c r="M14" s="192">
        <f>IFERROR(L14/$B$9,"")</f>
        <v>0</v>
      </c>
    </row>
    <row r="15" spans="1:14" s="193" customFormat="1" ht="19.350000000000001" customHeight="1">
      <c r="D15" s="776"/>
      <c r="E15" s="194" t="s">
        <v>227</v>
      </c>
      <c r="F15" s="191">
        <v>30846.731825280494</v>
      </c>
      <c r="G15" s="192">
        <f>IFERROR(F15/$B$10,"")</f>
        <v>0.44082768601795191</v>
      </c>
      <c r="H15" s="191">
        <v>12704.309300000044</v>
      </c>
      <c r="I15" s="192">
        <f>IFERROR(H15/$B$10,"")</f>
        <v>0.18155606574131589</v>
      </c>
      <c r="J15" s="191">
        <v>3994.7131600000112</v>
      </c>
      <c r="K15" s="192">
        <f>IFERROR(J15/$B$10,"")</f>
        <v>5.7088062638293857E-2</v>
      </c>
      <c r="L15" s="191">
        <v>0</v>
      </c>
      <c r="M15" s="192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S16"/>
  <sheetViews>
    <sheetView zoomScale="110" zoomScaleNormal="110" zoomScaleSheetLayoutView="115" workbookViewId="0">
      <selection activeCell="K35" sqref="K35"/>
    </sheetView>
  </sheetViews>
  <sheetFormatPr defaultColWidth="12.5703125" defaultRowHeight="15.75" customHeight="1"/>
  <cols>
    <col min="1" max="1" width="7.5703125" style="182" customWidth="1"/>
    <col min="2" max="2" width="14.85546875" style="182" customWidth="1"/>
    <col min="3" max="3" width="12.85546875" style="182" customWidth="1"/>
    <col min="4" max="4" width="2.5703125" style="182" customWidth="1"/>
    <col min="5" max="5" width="7.5703125" style="182" customWidth="1"/>
    <col min="6" max="6" width="12.85546875" style="182" customWidth="1"/>
    <col min="7" max="7" width="9.42578125" style="182" customWidth="1"/>
    <col min="8" max="8" width="12.85546875" style="182" customWidth="1"/>
    <col min="9" max="9" width="9.42578125" style="182" customWidth="1"/>
    <col min="10" max="10" width="12.85546875" style="182" customWidth="1"/>
    <col min="11" max="11" width="9.42578125" style="182" customWidth="1"/>
    <col min="12" max="12" width="12.85546875" style="182" customWidth="1"/>
    <col min="13" max="13" width="9.42578125" style="182" customWidth="1"/>
    <col min="14" max="16384" width="12.5703125" style="182"/>
  </cols>
  <sheetData>
    <row r="1" spans="1:19" ht="15.75" customHeight="1">
      <c r="A1" s="771" t="s">
        <v>218</v>
      </c>
      <c r="B1" s="771"/>
      <c r="C1" s="771"/>
      <c r="D1" s="771"/>
      <c r="E1" s="771"/>
      <c r="F1" s="771"/>
      <c r="G1" s="771"/>
      <c r="H1" s="771"/>
      <c r="I1" s="771"/>
      <c r="J1" s="771"/>
      <c r="K1" s="771"/>
      <c r="L1" s="771"/>
      <c r="M1" s="771"/>
    </row>
    <row r="2" spans="1:19" s="183" customFormat="1" ht="15.75" customHeight="1">
      <c r="A2" s="771"/>
      <c r="B2" s="771"/>
      <c r="C2" s="771"/>
      <c r="D2" s="771"/>
      <c r="E2" s="771"/>
      <c r="F2" s="771"/>
      <c r="G2" s="771"/>
      <c r="H2" s="771"/>
      <c r="I2" s="771"/>
      <c r="J2" s="771"/>
      <c r="K2" s="771"/>
      <c r="L2" s="771"/>
      <c r="M2" s="771"/>
    </row>
    <row r="3" spans="1:19" ht="15.75" customHeight="1">
      <c r="A3" s="772" t="s">
        <v>649</v>
      </c>
      <c r="B3" s="772"/>
      <c r="C3" s="772"/>
      <c r="D3" s="772"/>
      <c r="E3" s="772"/>
      <c r="F3" s="772"/>
      <c r="G3" s="772"/>
      <c r="H3" s="772"/>
      <c r="I3" s="772"/>
      <c r="J3" s="772"/>
      <c r="K3" s="772"/>
      <c r="L3" s="772"/>
      <c r="M3" s="772"/>
    </row>
    <row r="4" spans="1:19" s="183" customFormat="1" ht="15.75" customHeight="1">
      <c r="A4" s="772"/>
      <c r="B4" s="772"/>
      <c r="C4" s="772"/>
      <c r="D4" s="772"/>
      <c r="E4" s="772"/>
      <c r="F4" s="772"/>
      <c r="G4" s="772"/>
      <c r="H4" s="772"/>
      <c r="I4" s="772"/>
      <c r="J4" s="772"/>
      <c r="K4" s="772"/>
      <c r="L4" s="772"/>
      <c r="M4" s="772"/>
    </row>
    <row r="5" spans="1:19" ht="15.75" customHeight="1" thickBot="1"/>
    <row r="6" spans="1:19" ht="15.75" customHeight="1" thickBot="1">
      <c r="A6" s="427" t="s">
        <v>753</v>
      </c>
      <c r="B6" s="428">
        <v>65024924</v>
      </c>
      <c r="C6" s="429" t="s">
        <v>754</v>
      </c>
      <c r="E6" s="781" t="s">
        <v>755</v>
      </c>
      <c r="F6" s="782"/>
      <c r="G6" s="782"/>
      <c r="H6" s="782"/>
      <c r="I6" s="782"/>
      <c r="J6" s="782"/>
      <c r="K6" s="782"/>
      <c r="L6" s="782"/>
      <c r="M6" s="782"/>
      <c r="N6" s="782"/>
      <c r="O6" s="782"/>
      <c r="P6" s="782"/>
      <c r="Q6" s="782"/>
      <c r="R6" s="782"/>
      <c r="S6" s="783"/>
    </row>
    <row r="7" spans="1:19" ht="15.75" customHeight="1">
      <c r="A7" s="784" t="s">
        <v>756</v>
      </c>
      <c r="B7" s="787" t="s">
        <v>10</v>
      </c>
      <c r="C7" s="788"/>
      <c r="D7" s="776"/>
      <c r="E7" s="791" t="s">
        <v>756</v>
      </c>
      <c r="F7" s="794">
        <v>1</v>
      </c>
      <c r="G7" s="795"/>
      <c r="H7" s="794">
        <v>2</v>
      </c>
      <c r="I7" s="796"/>
      <c r="J7" s="797">
        <v>3</v>
      </c>
      <c r="K7" s="795"/>
      <c r="L7" s="794">
        <v>4</v>
      </c>
      <c r="M7" s="795"/>
      <c r="N7" s="794">
        <v>5</v>
      </c>
      <c r="O7" s="795"/>
      <c r="P7" s="794">
        <v>6</v>
      </c>
      <c r="Q7" s="796"/>
      <c r="R7" s="797">
        <v>7</v>
      </c>
      <c r="S7" s="795"/>
    </row>
    <row r="8" spans="1:19" ht="15.75" customHeight="1">
      <c r="A8" s="785"/>
      <c r="B8" s="789"/>
      <c r="C8" s="790"/>
      <c r="D8" s="776"/>
      <c r="E8" s="792"/>
      <c r="F8" s="798" t="s">
        <v>757</v>
      </c>
      <c r="G8" s="780"/>
      <c r="H8" s="798" t="s">
        <v>758</v>
      </c>
      <c r="I8" s="799"/>
      <c r="J8" s="779" t="s">
        <v>759</v>
      </c>
      <c r="K8" s="780"/>
      <c r="L8" s="798" t="s">
        <v>760</v>
      </c>
      <c r="M8" s="780"/>
      <c r="N8" s="798" t="s">
        <v>761</v>
      </c>
      <c r="O8" s="780"/>
      <c r="P8" s="798" t="s">
        <v>762</v>
      </c>
      <c r="Q8" s="799"/>
      <c r="R8" s="779" t="s">
        <v>763</v>
      </c>
      <c r="S8" s="780"/>
    </row>
    <row r="9" spans="1:19" ht="15.75" customHeight="1">
      <c r="A9" s="786"/>
      <c r="B9" s="542" t="s">
        <v>11</v>
      </c>
      <c r="C9" s="543" t="s">
        <v>764</v>
      </c>
      <c r="D9" s="776"/>
      <c r="E9" s="793"/>
      <c r="F9" s="430" t="s">
        <v>11</v>
      </c>
      <c r="G9" s="543" t="s">
        <v>764</v>
      </c>
      <c r="H9" s="431" t="s">
        <v>11</v>
      </c>
      <c r="I9" s="542" t="s">
        <v>764</v>
      </c>
      <c r="J9" s="542" t="s">
        <v>11</v>
      </c>
      <c r="K9" s="432" t="s">
        <v>764</v>
      </c>
      <c r="L9" s="430" t="s">
        <v>11</v>
      </c>
      <c r="M9" s="543" t="s">
        <v>764</v>
      </c>
      <c r="N9" s="430" t="s">
        <v>11</v>
      </c>
      <c r="O9" s="543" t="s">
        <v>764</v>
      </c>
      <c r="P9" s="431" t="s">
        <v>11</v>
      </c>
      <c r="Q9" s="542" t="s">
        <v>764</v>
      </c>
      <c r="R9" s="542" t="s">
        <v>11</v>
      </c>
      <c r="S9" s="543" t="s">
        <v>764</v>
      </c>
    </row>
    <row r="10" spans="1:19" ht="15.75" customHeight="1">
      <c r="A10" s="263" t="s">
        <v>765</v>
      </c>
      <c r="B10" s="264">
        <v>157249.84899999999</v>
      </c>
      <c r="C10" s="433">
        <v>2.4183011578760168E-3</v>
      </c>
      <c r="D10" s="776"/>
      <c r="E10" s="434" t="s">
        <v>765</v>
      </c>
      <c r="F10" s="435">
        <v>0</v>
      </c>
      <c r="G10" s="266">
        <v>0</v>
      </c>
      <c r="H10" s="436">
        <v>0</v>
      </c>
      <c r="I10" s="192">
        <v>0</v>
      </c>
      <c r="J10" s="265">
        <v>1011.558</v>
      </c>
      <c r="K10" s="437">
        <v>6.4328074489915727E-3</v>
      </c>
      <c r="L10" s="435">
        <v>11403.776000000002</v>
      </c>
      <c r="M10" s="266">
        <v>7.2520107793553445E-2</v>
      </c>
      <c r="N10" s="435">
        <v>5455.1110000000017</v>
      </c>
      <c r="O10" s="266">
        <v>3.4690723296020479E-2</v>
      </c>
      <c r="P10" s="436">
        <v>2278.1679999999997</v>
      </c>
      <c r="Q10" s="192">
        <v>1.4487568760717854E-2</v>
      </c>
      <c r="R10" s="265">
        <v>941.49999999999977</v>
      </c>
      <c r="S10" s="266">
        <v>5.9872871483647649E-3</v>
      </c>
    </row>
    <row r="11" spans="1:19" ht="15.75" customHeight="1" thickBot="1">
      <c r="A11" s="438" t="s">
        <v>766</v>
      </c>
      <c r="B11" s="439">
        <v>263724.2477329949</v>
      </c>
      <c r="C11" s="440">
        <v>4.0557409606967769E-3</v>
      </c>
      <c r="D11" s="776"/>
      <c r="E11" s="441" t="s">
        <v>766</v>
      </c>
      <c r="F11" s="442">
        <v>0</v>
      </c>
      <c r="G11" s="268">
        <v>0</v>
      </c>
      <c r="H11" s="442">
        <v>1428.5286699999986</v>
      </c>
      <c r="I11" s="267">
        <v>5.4167513312856188E-3</v>
      </c>
      <c r="J11" s="442">
        <v>0</v>
      </c>
      <c r="K11" s="443">
        <v>0</v>
      </c>
      <c r="L11" s="442">
        <v>14821.205247455817</v>
      </c>
      <c r="M11" s="268">
        <v>5.6199630389926848E-2</v>
      </c>
      <c r="N11" s="442">
        <v>10421.85065000006</v>
      </c>
      <c r="O11" s="268">
        <v>3.9517984180777961E-2</v>
      </c>
      <c r="P11" s="442">
        <v>3474.5560000000064</v>
      </c>
      <c r="Q11" s="267">
        <v>1.3174958426719213E-2</v>
      </c>
      <c r="R11" s="442">
        <v>3422.5379200000198</v>
      </c>
      <c r="S11" s="268">
        <v>1.2977714220139271E-2</v>
      </c>
    </row>
    <row r="12" spans="1:19" ht="15.75" customHeight="1">
      <c r="A12" s="480"/>
      <c r="B12" s="184"/>
      <c r="C12" s="184"/>
      <c r="D12" s="776"/>
    </row>
    <row r="13" spans="1:19" ht="15.75" customHeight="1">
      <c r="A13" s="480"/>
      <c r="B13" s="184"/>
      <c r="C13" s="184"/>
      <c r="D13" s="776"/>
    </row>
    <row r="14" spans="1:19" ht="15.75" customHeight="1">
      <c r="A14" s="480"/>
      <c r="B14" s="184"/>
      <c r="C14" s="184"/>
      <c r="D14" s="776"/>
    </row>
    <row r="15" spans="1:19" ht="15.75" customHeight="1">
      <c r="A15" s="481"/>
      <c r="B15" s="482"/>
      <c r="C15" s="482"/>
      <c r="D15" s="776"/>
    </row>
    <row r="16" spans="1:19" ht="15.75" customHeight="1">
      <c r="A16" s="481"/>
      <c r="B16" s="482"/>
      <c r="C16" s="482"/>
      <c r="D16" s="776"/>
    </row>
  </sheetData>
  <mergeCells count="21">
    <mergeCell ref="J8:K8"/>
    <mergeCell ref="L8:M8"/>
    <mergeCell ref="A1:M2"/>
    <mergeCell ref="N8:O8"/>
    <mergeCell ref="P8:Q8"/>
    <mergeCell ref="R8:S8"/>
    <mergeCell ref="A3:M4"/>
    <mergeCell ref="E6:S6"/>
    <mergeCell ref="A7:A9"/>
    <mergeCell ref="B7:C8"/>
    <mergeCell ref="E7:E9"/>
    <mergeCell ref="F7:G7"/>
    <mergeCell ref="H7:I7"/>
    <mergeCell ref="J7:K7"/>
    <mergeCell ref="L7:M7"/>
    <mergeCell ref="N7:O7"/>
    <mergeCell ref="P7:Q7"/>
    <mergeCell ref="R7:S7"/>
    <mergeCell ref="F8:G8"/>
    <mergeCell ref="H8:I8"/>
    <mergeCell ref="D7:D1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19" customWidth="1"/>
    <col min="2" max="2" width="11.42578125" style="174" customWidth="1"/>
    <col min="3" max="3" width="4" style="160" customWidth="1"/>
    <col min="4" max="17" width="9.5703125" style="119" customWidth="1"/>
    <col min="18" max="16384" width="12.5703125" style="119"/>
  </cols>
  <sheetData>
    <row r="1" spans="1:17" ht="15.75" customHeight="1">
      <c r="A1" s="580" t="s">
        <v>186</v>
      </c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0"/>
      <c r="N1" s="580"/>
      <c r="O1" s="580"/>
      <c r="P1" s="580"/>
      <c r="Q1" s="580"/>
    </row>
    <row r="2" spans="1:17" s="120" customFormat="1" ht="15.75" customHeight="1">
      <c r="A2" s="580"/>
      <c r="B2" s="580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0"/>
      <c r="N2" s="580"/>
      <c r="O2" s="580"/>
      <c r="P2" s="580"/>
      <c r="Q2" s="580"/>
    </row>
    <row r="3" spans="1:17" ht="15.75" customHeight="1">
      <c r="A3" s="716" t="s">
        <v>192</v>
      </c>
      <c r="B3" s="717"/>
      <c r="C3" s="717"/>
      <c r="D3" s="717"/>
      <c r="E3" s="717"/>
      <c r="F3" s="717"/>
      <c r="G3" s="717"/>
      <c r="H3" s="717"/>
      <c r="I3" s="717"/>
      <c r="J3" s="717"/>
      <c r="K3" s="717"/>
      <c r="L3" s="717"/>
      <c r="M3" s="717"/>
      <c r="N3" s="151"/>
    </row>
    <row r="4" spans="1:17" s="120" customFormat="1" ht="15.75" customHeight="1">
      <c r="A4" s="717"/>
      <c r="B4" s="717"/>
      <c r="C4" s="717"/>
      <c r="D4" s="717"/>
      <c r="E4" s="717"/>
      <c r="F4" s="717"/>
      <c r="G4" s="717"/>
      <c r="H4" s="717"/>
      <c r="I4" s="717"/>
      <c r="J4" s="717"/>
      <c r="K4" s="717"/>
      <c r="L4" s="717"/>
      <c r="M4" s="717"/>
      <c r="N4" s="130"/>
    </row>
    <row r="5" spans="1:17" ht="15.75" customHeight="1">
      <c r="A5" s="599" t="s">
        <v>172</v>
      </c>
      <c r="B5" s="825">
        <v>1</v>
      </c>
      <c r="C5" s="825"/>
      <c r="D5" s="825">
        <v>2</v>
      </c>
      <c r="E5" s="825"/>
      <c r="F5" s="825">
        <v>3</v>
      </c>
      <c r="G5" s="825"/>
      <c r="H5" s="823">
        <v>4</v>
      </c>
      <c r="I5" s="823"/>
      <c r="J5" s="823">
        <v>5</v>
      </c>
      <c r="K5" s="823"/>
      <c r="L5" s="823">
        <v>6</v>
      </c>
      <c r="M5" s="823"/>
      <c r="N5" s="823">
        <v>7</v>
      </c>
      <c r="O5" s="823"/>
      <c r="P5" s="823">
        <v>8</v>
      </c>
      <c r="Q5" s="823"/>
    </row>
    <row r="6" spans="1:17" ht="15.75" customHeight="1">
      <c r="A6" s="599"/>
      <c r="B6" s="826" t="s">
        <v>303</v>
      </c>
      <c r="C6" s="826"/>
      <c r="D6" s="826" t="s">
        <v>193</v>
      </c>
      <c r="E6" s="826"/>
      <c r="F6" s="826" t="s">
        <v>164</v>
      </c>
      <c r="G6" s="826"/>
      <c r="H6" s="599" t="s">
        <v>504</v>
      </c>
      <c r="I6" s="599"/>
      <c r="J6" s="599" t="s">
        <v>170</v>
      </c>
      <c r="K6" s="599"/>
      <c r="L6" s="599" t="s">
        <v>165</v>
      </c>
      <c r="M6" s="599"/>
      <c r="N6" s="599" t="s">
        <v>171</v>
      </c>
      <c r="O6" s="599"/>
      <c r="P6" s="824" t="s">
        <v>196</v>
      </c>
      <c r="Q6" s="599"/>
    </row>
    <row r="8" spans="1:17" s="153" customFormat="1" ht="15.75" customHeight="1">
      <c r="A8" s="816" t="s">
        <v>767</v>
      </c>
      <c r="B8" s="817"/>
      <c r="C8" s="546" t="s">
        <v>768</v>
      </c>
      <c r="D8" s="818" t="s">
        <v>12</v>
      </c>
      <c r="E8" s="819"/>
      <c r="F8" s="820"/>
      <c r="G8" s="544" t="s">
        <v>769</v>
      </c>
      <c r="H8" s="545"/>
      <c r="I8" s="546"/>
      <c r="J8" s="169" t="s">
        <v>770</v>
      </c>
      <c r="K8" s="169" t="s">
        <v>771</v>
      </c>
      <c r="L8" s="169" t="s">
        <v>772</v>
      </c>
      <c r="M8" s="169" t="s">
        <v>11</v>
      </c>
      <c r="N8" s="332" t="s">
        <v>773</v>
      </c>
      <c r="O8" s="821" t="s">
        <v>774</v>
      </c>
      <c r="P8" s="822"/>
    </row>
    <row r="9" spans="1:17" ht="15.75" customHeight="1">
      <c r="A9" s="736">
        <v>1</v>
      </c>
      <c r="B9" s="806" t="s">
        <v>775</v>
      </c>
      <c r="C9" s="170">
        <v>1</v>
      </c>
      <c r="D9" s="553">
        <v>0</v>
      </c>
      <c r="E9" s="809"/>
      <c r="F9" s="810"/>
      <c r="G9" s="553">
        <v>0</v>
      </c>
      <c r="H9" s="809"/>
      <c r="I9" s="810"/>
      <c r="J9" s="4">
        <v>0</v>
      </c>
      <c r="K9" s="14">
        <v>0</v>
      </c>
      <c r="L9" s="4">
        <v>0</v>
      </c>
      <c r="M9" s="444">
        <v>0</v>
      </c>
      <c r="N9" s="171"/>
      <c r="O9" s="814"/>
      <c r="P9" s="815"/>
    </row>
    <row r="10" spans="1:17" ht="15.75" customHeight="1">
      <c r="A10" s="741"/>
      <c r="B10" s="807"/>
      <c r="C10" s="170">
        <v>2</v>
      </c>
      <c r="D10" s="553">
        <v>0</v>
      </c>
      <c r="E10" s="809"/>
      <c r="F10" s="810"/>
      <c r="G10" s="553">
        <v>0</v>
      </c>
      <c r="H10" s="809"/>
      <c r="I10" s="810"/>
      <c r="J10" s="4">
        <v>0</v>
      </c>
      <c r="K10" s="14">
        <v>0</v>
      </c>
      <c r="L10" s="4">
        <v>0</v>
      </c>
      <c r="M10" s="444">
        <v>0</v>
      </c>
      <c r="N10" s="171"/>
      <c r="O10" s="814"/>
      <c r="P10" s="815"/>
    </row>
    <row r="11" spans="1:17" ht="15.75" customHeight="1">
      <c r="A11" s="741"/>
      <c r="B11" s="807"/>
      <c r="C11" s="170">
        <v>3</v>
      </c>
      <c r="D11" s="553">
        <v>0</v>
      </c>
      <c r="E11" s="809"/>
      <c r="F11" s="810"/>
      <c r="G11" s="553">
        <v>0</v>
      </c>
      <c r="H11" s="809"/>
      <c r="I11" s="810"/>
      <c r="J11" s="4">
        <v>0</v>
      </c>
      <c r="K11" s="14">
        <v>0</v>
      </c>
      <c r="L11" s="4">
        <v>0</v>
      </c>
      <c r="M11" s="444">
        <v>0</v>
      </c>
      <c r="N11" s="171"/>
      <c r="O11" s="814"/>
      <c r="P11" s="815"/>
    </row>
    <row r="12" spans="1:17" ht="15.75" customHeight="1">
      <c r="A12" s="741"/>
      <c r="B12" s="807"/>
      <c r="C12" s="170">
        <v>4</v>
      </c>
      <c r="D12" s="553">
        <v>0</v>
      </c>
      <c r="E12" s="809"/>
      <c r="F12" s="810"/>
      <c r="G12" s="553">
        <v>0</v>
      </c>
      <c r="H12" s="809"/>
      <c r="I12" s="810"/>
      <c r="J12" s="4">
        <v>0</v>
      </c>
      <c r="K12" s="14">
        <v>0</v>
      </c>
      <c r="L12" s="4">
        <v>0</v>
      </c>
      <c r="M12" s="444">
        <v>0</v>
      </c>
      <c r="N12" s="171"/>
      <c r="O12" s="814"/>
      <c r="P12" s="815"/>
    </row>
    <row r="13" spans="1:17" ht="15.75" customHeight="1" thickBot="1">
      <c r="A13" s="741"/>
      <c r="B13" s="807"/>
      <c r="C13" s="172">
        <v>5</v>
      </c>
      <c r="D13" s="553">
        <v>0</v>
      </c>
      <c r="E13" s="809"/>
      <c r="F13" s="810"/>
      <c r="G13" s="553">
        <v>0</v>
      </c>
      <c r="H13" s="809"/>
      <c r="I13" s="810"/>
      <c r="J13" s="4">
        <v>0</v>
      </c>
      <c r="K13" s="14">
        <v>0</v>
      </c>
      <c r="L13" s="4">
        <v>0</v>
      </c>
      <c r="M13" s="444">
        <v>0</v>
      </c>
      <c r="N13" s="171"/>
      <c r="O13" s="814"/>
      <c r="P13" s="815"/>
    </row>
    <row r="14" spans="1:17" ht="15.75" customHeight="1" thickTop="1" thickBot="1">
      <c r="A14" s="737"/>
      <c r="B14" s="808"/>
      <c r="C14" s="800"/>
      <c r="D14" s="801"/>
      <c r="E14" s="801"/>
      <c r="F14" s="801"/>
      <c r="G14" s="801"/>
      <c r="H14" s="801"/>
      <c r="I14" s="802"/>
      <c r="J14" s="331" t="s">
        <v>776</v>
      </c>
      <c r="K14" s="244">
        <v>0</v>
      </c>
      <c r="L14" s="331" t="s">
        <v>777</v>
      </c>
      <c r="M14" s="445">
        <v>0</v>
      </c>
      <c r="N14" s="803"/>
      <c r="O14" s="804"/>
      <c r="P14" s="805"/>
    </row>
    <row r="15" spans="1:17" ht="15.75" customHeight="1" thickTop="1"/>
    <row r="16" spans="1:17" ht="15.75" customHeight="1">
      <c r="A16" s="816" t="s">
        <v>767</v>
      </c>
      <c r="B16" s="817"/>
      <c r="C16" s="546" t="s">
        <v>768</v>
      </c>
      <c r="D16" s="818" t="s">
        <v>12</v>
      </c>
      <c r="E16" s="819"/>
      <c r="F16" s="820"/>
      <c r="G16" s="544" t="s">
        <v>769</v>
      </c>
      <c r="H16" s="545"/>
      <c r="I16" s="546"/>
      <c r="J16" s="169" t="s">
        <v>770</v>
      </c>
      <c r="K16" s="169" t="s">
        <v>771</v>
      </c>
      <c r="L16" s="169" t="s">
        <v>772</v>
      </c>
      <c r="M16" s="169" t="s">
        <v>11</v>
      </c>
      <c r="N16" s="332" t="s">
        <v>773</v>
      </c>
      <c r="O16" s="821" t="s">
        <v>774</v>
      </c>
      <c r="P16" s="822"/>
    </row>
    <row r="17" spans="1:16" ht="15.75" customHeight="1">
      <c r="A17" s="736">
        <v>2</v>
      </c>
      <c r="B17" s="806" t="s">
        <v>778</v>
      </c>
      <c r="C17" s="170">
        <v>1</v>
      </c>
      <c r="D17" s="553" t="s">
        <v>634</v>
      </c>
      <c r="E17" s="809"/>
      <c r="F17" s="810"/>
      <c r="G17" s="553" t="s">
        <v>739</v>
      </c>
      <c r="H17" s="809"/>
      <c r="I17" s="810"/>
      <c r="J17" s="4">
        <v>238.65</v>
      </c>
      <c r="K17" s="14">
        <v>7.2700836059614693E-2</v>
      </c>
      <c r="L17" s="4">
        <v>0.8</v>
      </c>
      <c r="M17" s="444">
        <v>190.92000000000002</v>
      </c>
      <c r="N17" s="171"/>
      <c r="O17" s="827" t="s">
        <v>779</v>
      </c>
      <c r="P17" s="815"/>
    </row>
    <row r="18" spans="1:16" ht="15.75" customHeight="1">
      <c r="A18" s="741"/>
      <c r="B18" s="807"/>
      <c r="C18" s="170">
        <v>2</v>
      </c>
      <c r="D18" s="553" t="s">
        <v>735</v>
      </c>
      <c r="E18" s="809"/>
      <c r="F18" s="810"/>
      <c r="G18" s="553" t="s">
        <v>780</v>
      </c>
      <c r="H18" s="809"/>
      <c r="I18" s="810"/>
      <c r="J18" s="4">
        <v>261.51</v>
      </c>
      <c r="K18" s="14">
        <v>3.4448818897637797E-2</v>
      </c>
      <c r="L18" s="4">
        <v>0.70000000000000007</v>
      </c>
      <c r="M18" s="444">
        <v>183.05700000000002</v>
      </c>
      <c r="N18" s="171"/>
      <c r="O18" s="827" t="s">
        <v>779</v>
      </c>
      <c r="P18" s="815"/>
    </row>
    <row r="19" spans="1:16" ht="15.75" customHeight="1">
      <c r="A19" s="741"/>
      <c r="B19" s="807"/>
      <c r="C19" s="170">
        <v>3</v>
      </c>
      <c r="D19" s="553" t="s">
        <v>345</v>
      </c>
      <c r="E19" s="809"/>
      <c r="F19" s="810"/>
      <c r="G19" s="553" t="s">
        <v>781</v>
      </c>
      <c r="H19" s="809"/>
      <c r="I19" s="810"/>
      <c r="J19" s="4">
        <v>418.41</v>
      </c>
      <c r="K19" s="14">
        <v>4.2776173671265107E-2</v>
      </c>
      <c r="L19" s="4">
        <v>0.4</v>
      </c>
      <c r="M19" s="444">
        <v>167.36400000000003</v>
      </c>
      <c r="N19" s="171"/>
      <c r="O19" s="827" t="s">
        <v>779</v>
      </c>
      <c r="P19" s="815"/>
    </row>
    <row r="20" spans="1:16" ht="15.75" customHeight="1">
      <c r="A20" s="741"/>
      <c r="B20" s="807"/>
      <c r="C20" s="170">
        <v>4</v>
      </c>
      <c r="D20" s="553">
        <v>0</v>
      </c>
      <c r="E20" s="809"/>
      <c r="F20" s="810"/>
      <c r="G20" s="553">
        <v>0</v>
      </c>
      <c r="H20" s="809"/>
      <c r="I20" s="810"/>
      <c r="J20" s="4">
        <v>0</v>
      </c>
      <c r="K20" s="14">
        <v>0</v>
      </c>
      <c r="L20" s="4">
        <v>0</v>
      </c>
      <c r="M20" s="444">
        <v>0</v>
      </c>
      <c r="N20" s="171"/>
      <c r="O20" s="814"/>
      <c r="P20" s="815"/>
    </row>
    <row r="21" spans="1:16" ht="15.75" customHeight="1" thickBot="1">
      <c r="A21" s="741"/>
      <c r="B21" s="807"/>
      <c r="C21" s="172">
        <v>5</v>
      </c>
      <c r="D21" s="553">
        <v>0</v>
      </c>
      <c r="E21" s="809"/>
      <c r="F21" s="810"/>
      <c r="G21" s="553">
        <v>0</v>
      </c>
      <c r="H21" s="809"/>
      <c r="I21" s="810"/>
      <c r="J21" s="4">
        <v>0</v>
      </c>
      <c r="K21" s="14">
        <v>0</v>
      </c>
      <c r="L21" s="4">
        <v>0</v>
      </c>
      <c r="M21" s="444">
        <v>0</v>
      </c>
      <c r="N21" s="173"/>
      <c r="O21" s="814"/>
      <c r="P21" s="815"/>
    </row>
    <row r="22" spans="1:16" ht="15.75" customHeight="1" thickTop="1" thickBot="1">
      <c r="A22" s="737"/>
      <c r="B22" s="808"/>
      <c r="C22" s="811"/>
      <c r="D22" s="812"/>
      <c r="E22" s="812"/>
      <c r="F22" s="812"/>
      <c r="G22" s="812"/>
      <c r="H22" s="812"/>
      <c r="I22" s="813"/>
      <c r="J22" s="331" t="s">
        <v>776</v>
      </c>
      <c r="K22" s="244">
        <v>3.442553385218196E-3</v>
      </c>
      <c r="L22" s="331" t="s">
        <v>777</v>
      </c>
      <c r="M22" s="445">
        <v>541.34100000000012</v>
      </c>
      <c r="N22" s="803"/>
      <c r="O22" s="804"/>
      <c r="P22" s="805"/>
    </row>
    <row r="23" spans="1:16" ht="15.75" customHeight="1" thickTop="1"/>
    <row r="24" spans="1:16" ht="15.75" customHeight="1">
      <c r="A24" s="816" t="s">
        <v>767</v>
      </c>
      <c r="B24" s="817"/>
      <c r="C24" s="546" t="s">
        <v>768</v>
      </c>
      <c r="D24" s="818" t="s">
        <v>12</v>
      </c>
      <c r="E24" s="819"/>
      <c r="F24" s="820"/>
      <c r="G24" s="544" t="s">
        <v>769</v>
      </c>
      <c r="H24" s="545"/>
      <c r="I24" s="546"/>
      <c r="J24" s="169" t="s">
        <v>770</v>
      </c>
      <c r="K24" s="169" t="s">
        <v>771</v>
      </c>
      <c r="L24" s="169" t="s">
        <v>772</v>
      </c>
      <c r="M24" s="169" t="s">
        <v>11</v>
      </c>
      <c r="N24" s="332" t="s">
        <v>773</v>
      </c>
      <c r="O24" s="821" t="s">
        <v>774</v>
      </c>
      <c r="P24" s="822"/>
    </row>
    <row r="25" spans="1:16" ht="15.75" customHeight="1">
      <c r="A25" s="736">
        <v>3</v>
      </c>
      <c r="B25" s="806" t="s">
        <v>782</v>
      </c>
      <c r="C25" s="170">
        <v>1</v>
      </c>
      <c r="D25" s="553" t="s">
        <v>528</v>
      </c>
      <c r="E25" s="809"/>
      <c r="F25" s="810"/>
      <c r="G25" s="553" t="s">
        <v>738</v>
      </c>
      <c r="H25" s="809"/>
      <c r="I25" s="810"/>
      <c r="J25" s="4">
        <v>462.04</v>
      </c>
      <c r="K25" s="14">
        <v>3.2679738562091505E-2</v>
      </c>
      <c r="L25" s="4">
        <v>0.4</v>
      </c>
      <c r="M25" s="444">
        <v>184.81600000000003</v>
      </c>
      <c r="N25" s="171"/>
      <c r="O25" s="814" t="s">
        <v>783</v>
      </c>
      <c r="P25" s="815"/>
    </row>
    <row r="26" spans="1:16" ht="15.75" customHeight="1">
      <c r="A26" s="741"/>
      <c r="B26" s="807"/>
      <c r="C26" s="170">
        <v>2</v>
      </c>
      <c r="D26" s="553" t="s">
        <v>588</v>
      </c>
      <c r="E26" s="809"/>
      <c r="F26" s="810"/>
      <c r="G26" s="553" t="s">
        <v>784</v>
      </c>
      <c r="H26" s="809"/>
      <c r="I26" s="810"/>
      <c r="J26" s="4">
        <v>149.55000000000001</v>
      </c>
      <c r="K26" s="14">
        <v>5.8411214953271028E-2</v>
      </c>
      <c r="L26" s="4">
        <v>1.1000000000000001</v>
      </c>
      <c r="M26" s="444">
        <v>164.50500000000002</v>
      </c>
      <c r="N26" s="171"/>
      <c r="O26" s="814" t="s">
        <v>783</v>
      </c>
      <c r="P26" s="815"/>
    </row>
    <row r="27" spans="1:16" ht="15.75" customHeight="1">
      <c r="A27" s="741"/>
      <c r="B27" s="807"/>
      <c r="C27" s="170">
        <v>3</v>
      </c>
      <c r="D27" s="553">
        <v>0</v>
      </c>
      <c r="E27" s="809"/>
      <c r="F27" s="810"/>
      <c r="G27" s="553">
        <v>0</v>
      </c>
      <c r="H27" s="809"/>
      <c r="I27" s="810"/>
      <c r="J27" s="4">
        <v>0</v>
      </c>
      <c r="K27" s="14">
        <v>0</v>
      </c>
      <c r="L27" s="4">
        <v>0</v>
      </c>
      <c r="M27" s="444">
        <v>0</v>
      </c>
      <c r="N27" s="171"/>
      <c r="O27" s="814"/>
      <c r="P27" s="815"/>
    </row>
    <row r="28" spans="1:16" ht="15.75" customHeight="1">
      <c r="A28" s="741"/>
      <c r="B28" s="807"/>
      <c r="C28" s="170">
        <v>4</v>
      </c>
      <c r="D28" s="553">
        <v>0</v>
      </c>
      <c r="E28" s="809"/>
      <c r="F28" s="810"/>
      <c r="G28" s="553">
        <v>0</v>
      </c>
      <c r="H28" s="809"/>
      <c r="I28" s="810"/>
      <c r="J28" s="4">
        <v>0</v>
      </c>
      <c r="K28" s="14">
        <v>0</v>
      </c>
      <c r="L28" s="4">
        <v>0</v>
      </c>
      <c r="M28" s="444">
        <v>0</v>
      </c>
      <c r="N28" s="171"/>
      <c r="O28" s="814"/>
      <c r="P28" s="815"/>
    </row>
    <row r="29" spans="1:16" ht="15.75" customHeight="1" thickBot="1">
      <c r="A29" s="741"/>
      <c r="B29" s="807"/>
      <c r="C29" s="172">
        <v>5</v>
      </c>
      <c r="D29" s="553">
        <v>0</v>
      </c>
      <c r="E29" s="809"/>
      <c r="F29" s="810"/>
      <c r="G29" s="553">
        <v>0</v>
      </c>
      <c r="H29" s="809"/>
      <c r="I29" s="810"/>
      <c r="J29" s="4">
        <v>0</v>
      </c>
      <c r="K29" s="14">
        <v>0</v>
      </c>
      <c r="L29" s="4">
        <v>0</v>
      </c>
      <c r="M29" s="444">
        <v>0</v>
      </c>
      <c r="N29" s="173"/>
      <c r="O29" s="814"/>
      <c r="P29" s="815"/>
    </row>
    <row r="30" spans="1:16" ht="15.75" customHeight="1" thickTop="1" thickBot="1">
      <c r="A30" s="737"/>
      <c r="B30" s="808"/>
      <c r="C30" s="800"/>
      <c r="D30" s="801"/>
      <c r="E30" s="801"/>
      <c r="F30" s="801"/>
      <c r="G30" s="801"/>
      <c r="H30" s="801"/>
      <c r="I30" s="802"/>
      <c r="J30" s="331" t="s">
        <v>776</v>
      </c>
      <c r="K30" s="244">
        <v>2.2214393350546242E-3</v>
      </c>
      <c r="L30" s="331" t="s">
        <v>777</v>
      </c>
      <c r="M30" s="445">
        <v>349.32100000000003</v>
      </c>
      <c r="N30" s="803"/>
      <c r="O30" s="804"/>
      <c r="P30" s="805"/>
    </row>
    <row r="31" spans="1:16" ht="15.75" customHeight="1" thickTop="1"/>
  </sheetData>
  <mergeCells count="85">
    <mergeCell ref="O17:P17"/>
    <mergeCell ref="O18:P18"/>
    <mergeCell ref="O19:P19"/>
    <mergeCell ref="O20:P20"/>
    <mergeCell ref="O21:P21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76" customWidth="1"/>
    <col min="2" max="2" width="11.42578125" style="110" customWidth="1"/>
    <col min="3" max="3" width="4" style="108" customWidth="1"/>
    <col min="4" max="17" width="9.5703125" style="76" customWidth="1"/>
    <col min="18" max="16384" width="12.5703125" style="76"/>
  </cols>
  <sheetData>
    <row r="1" spans="1:17" s="119" customFormat="1" ht="15.75" customHeight="1">
      <c r="A1" s="580" t="s">
        <v>186</v>
      </c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0"/>
      <c r="N1" s="580"/>
      <c r="O1" s="580"/>
      <c r="P1" s="580"/>
      <c r="Q1" s="580"/>
    </row>
    <row r="2" spans="1:17" s="120" customFormat="1" ht="15.75" customHeight="1">
      <c r="A2" s="580"/>
      <c r="B2" s="580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0"/>
      <c r="N2" s="580"/>
      <c r="O2" s="580"/>
      <c r="P2" s="580"/>
      <c r="Q2" s="580"/>
    </row>
    <row r="3" spans="1:17" s="119" customFormat="1" ht="15.75" customHeight="1">
      <c r="A3" s="716" t="s">
        <v>192</v>
      </c>
      <c r="B3" s="717"/>
      <c r="C3" s="717"/>
      <c r="D3" s="717"/>
      <c r="E3" s="717"/>
      <c r="F3" s="717"/>
      <c r="G3" s="717"/>
      <c r="H3" s="717"/>
      <c r="I3" s="717"/>
      <c r="J3" s="717"/>
      <c r="K3" s="717"/>
      <c r="L3" s="717"/>
      <c r="M3" s="717"/>
      <c r="N3" s="151"/>
    </row>
    <row r="4" spans="1:17" s="120" customFormat="1" ht="15.75" customHeight="1">
      <c r="A4" s="717"/>
      <c r="B4" s="717"/>
      <c r="C4" s="717"/>
      <c r="D4" s="717"/>
      <c r="E4" s="717"/>
      <c r="F4" s="717"/>
      <c r="G4" s="717"/>
      <c r="H4" s="717"/>
      <c r="I4" s="717"/>
      <c r="J4" s="717"/>
      <c r="K4" s="717"/>
      <c r="L4" s="717"/>
      <c r="M4" s="717"/>
      <c r="N4" s="130"/>
    </row>
    <row r="5" spans="1:17" s="119" customFormat="1" ht="15.75" customHeight="1">
      <c r="A5" s="599" t="s">
        <v>172</v>
      </c>
      <c r="B5" s="823">
        <v>1</v>
      </c>
      <c r="C5" s="823"/>
      <c r="D5" s="823">
        <v>2</v>
      </c>
      <c r="E5" s="823"/>
      <c r="F5" s="823">
        <v>3</v>
      </c>
      <c r="G5" s="823"/>
      <c r="H5" s="825">
        <v>4</v>
      </c>
      <c r="I5" s="825"/>
      <c r="J5" s="825">
        <v>5</v>
      </c>
      <c r="K5" s="825"/>
      <c r="L5" s="825">
        <v>6</v>
      </c>
      <c r="M5" s="825"/>
      <c r="N5" s="825">
        <v>7</v>
      </c>
      <c r="O5" s="825"/>
      <c r="P5" s="823">
        <v>8</v>
      </c>
      <c r="Q5" s="823"/>
    </row>
    <row r="6" spans="1:17" s="119" customFormat="1" ht="15.75" customHeight="1">
      <c r="A6" s="599"/>
      <c r="B6" s="599" t="s">
        <v>304</v>
      </c>
      <c r="C6" s="599"/>
      <c r="D6" s="599" t="s">
        <v>193</v>
      </c>
      <c r="E6" s="599"/>
      <c r="F6" s="599" t="s">
        <v>164</v>
      </c>
      <c r="G6" s="599"/>
      <c r="H6" s="826" t="s">
        <v>504</v>
      </c>
      <c r="I6" s="826"/>
      <c r="J6" s="826" t="s">
        <v>170</v>
      </c>
      <c r="K6" s="826"/>
      <c r="L6" s="826" t="s">
        <v>165</v>
      </c>
      <c r="M6" s="826"/>
      <c r="N6" s="826" t="s">
        <v>171</v>
      </c>
      <c r="O6" s="826"/>
      <c r="P6" s="824" t="s">
        <v>196</v>
      </c>
      <c r="Q6" s="599"/>
    </row>
    <row r="7" spans="1:17" s="119" customFormat="1" ht="15.75" customHeight="1">
      <c r="B7" s="174"/>
      <c r="C7" s="160"/>
    </row>
    <row r="8" spans="1:17" s="109" customFormat="1" ht="15.75" customHeight="1">
      <c r="A8" s="828" t="s">
        <v>767</v>
      </c>
      <c r="B8" s="829"/>
      <c r="C8" s="116" t="s">
        <v>768</v>
      </c>
      <c r="D8" s="830" t="s">
        <v>12</v>
      </c>
      <c r="E8" s="831"/>
      <c r="F8" s="832"/>
      <c r="G8" s="114" t="s">
        <v>769</v>
      </c>
      <c r="H8" s="115"/>
      <c r="I8" s="116"/>
      <c r="J8" s="113" t="s">
        <v>770</v>
      </c>
      <c r="K8" s="113" t="s">
        <v>771</v>
      </c>
      <c r="L8" s="113" t="s">
        <v>772</v>
      </c>
      <c r="M8" s="117" t="s">
        <v>11</v>
      </c>
      <c r="N8" s="332" t="s">
        <v>773</v>
      </c>
      <c r="O8" s="833" t="s">
        <v>774</v>
      </c>
      <c r="P8" s="834"/>
    </row>
    <row r="9" spans="1:17" ht="15.75" customHeight="1">
      <c r="A9" s="829">
        <v>4</v>
      </c>
      <c r="B9" s="836" t="s">
        <v>504</v>
      </c>
      <c r="C9" s="111">
        <v>1</v>
      </c>
      <c r="D9" s="553" t="s">
        <v>726</v>
      </c>
      <c r="E9" s="809"/>
      <c r="F9" s="810"/>
      <c r="G9" s="553" t="s">
        <v>727</v>
      </c>
      <c r="H9" s="809"/>
      <c r="I9" s="810"/>
      <c r="J9" s="4">
        <v>103.19</v>
      </c>
      <c r="K9" s="14">
        <v>5.9673366834170861E-3</v>
      </c>
      <c r="L9" s="4">
        <v>1.9000000000000001</v>
      </c>
      <c r="M9" s="444">
        <v>196.06100000000001</v>
      </c>
      <c r="N9" s="4"/>
      <c r="O9" s="814" t="s">
        <v>785</v>
      </c>
      <c r="P9" s="842"/>
      <c r="Q9" s="262"/>
    </row>
    <row r="10" spans="1:17" ht="15.75" customHeight="1">
      <c r="A10" s="829"/>
      <c r="B10" s="836"/>
      <c r="C10" s="111">
        <v>2</v>
      </c>
      <c r="D10" s="553" t="s">
        <v>641</v>
      </c>
      <c r="E10" s="809"/>
      <c r="F10" s="810"/>
      <c r="G10" s="553" t="s">
        <v>644</v>
      </c>
      <c r="H10" s="809"/>
      <c r="I10" s="810"/>
      <c r="J10" s="4">
        <v>102.12</v>
      </c>
      <c r="K10" s="14">
        <v>1.0231556273559506E-2</v>
      </c>
      <c r="L10" s="4">
        <v>1.9000000000000001</v>
      </c>
      <c r="M10" s="444">
        <v>194.02800000000002</v>
      </c>
      <c r="N10" s="4"/>
      <c r="O10" s="814" t="s">
        <v>785</v>
      </c>
      <c r="P10" s="842"/>
      <c r="Q10" s="262"/>
    </row>
    <row r="11" spans="1:17" ht="15.75" customHeight="1">
      <c r="A11" s="829"/>
      <c r="B11" s="836"/>
      <c r="C11" s="111">
        <v>3</v>
      </c>
      <c r="D11" s="553" t="s">
        <v>534</v>
      </c>
      <c r="E11" s="809"/>
      <c r="F11" s="810"/>
      <c r="G11" s="553" t="s">
        <v>721</v>
      </c>
      <c r="H11" s="809"/>
      <c r="I11" s="810"/>
      <c r="J11" s="4">
        <v>240.51</v>
      </c>
      <c r="K11" s="14">
        <v>2.1542438604049977E-2</v>
      </c>
      <c r="L11" s="4">
        <v>0.8</v>
      </c>
      <c r="M11" s="444">
        <v>192.40800000000002</v>
      </c>
      <c r="N11" s="4"/>
      <c r="O11" s="814" t="s">
        <v>785</v>
      </c>
      <c r="P11" s="842"/>
      <c r="Q11" s="262"/>
    </row>
    <row r="12" spans="1:17" ht="15.75" customHeight="1">
      <c r="A12" s="829"/>
      <c r="B12" s="836"/>
      <c r="C12" s="111">
        <v>4</v>
      </c>
      <c r="D12" s="553" t="s">
        <v>330</v>
      </c>
      <c r="E12" s="809"/>
      <c r="F12" s="810"/>
      <c r="G12" s="553" t="s">
        <v>745</v>
      </c>
      <c r="H12" s="809"/>
      <c r="I12" s="810"/>
      <c r="J12" s="4">
        <v>127.48</v>
      </c>
      <c r="K12" s="14">
        <v>7.6663208304158723E-3</v>
      </c>
      <c r="L12" s="4">
        <v>1.5</v>
      </c>
      <c r="M12" s="444">
        <v>191.22</v>
      </c>
      <c r="N12" s="4"/>
      <c r="O12" s="814" t="s">
        <v>785</v>
      </c>
      <c r="P12" s="842"/>
      <c r="Q12" s="262"/>
    </row>
    <row r="13" spans="1:17" ht="15.75" customHeight="1" thickBot="1">
      <c r="A13" s="829"/>
      <c r="B13" s="836"/>
      <c r="C13" s="112">
        <v>5</v>
      </c>
      <c r="D13" s="553" t="s">
        <v>343</v>
      </c>
      <c r="E13" s="809"/>
      <c r="F13" s="810"/>
      <c r="G13" s="553" t="s">
        <v>786</v>
      </c>
      <c r="H13" s="809"/>
      <c r="I13" s="810"/>
      <c r="J13" s="4">
        <v>382.3</v>
      </c>
      <c r="K13" s="14">
        <v>1.9586336571607646E-2</v>
      </c>
      <c r="L13" s="4">
        <v>0.5</v>
      </c>
      <c r="M13" s="444">
        <v>191.15</v>
      </c>
      <c r="N13" s="27"/>
      <c r="O13" s="814" t="s">
        <v>785</v>
      </c>
      <c r="P13" s="842"/>
      <c r="Q13" s="262"/>
    </row>
    <row r="14" spans="1:17" ht="15.75" customHeight="1" thickTop="1" thickBot="1">
      <c r="A14" s="829"/>
      <c r="B14" s="836"/>
      <c r="C14" s="844"/>
      <c r="D14" s="844"/>
      <c r="E14" s="844"/>
      <c r="F14" s="844"/>
      <c r="G14" s="844"/>
      <c r="H14" s="844"/>
      <c r="I14" s="844"/>
      <c r="J14" s="245" t="s">
        <v>776</v>
      </c>
      <c r="K14" s="244">
        <v>6.1358850653013995E-3</v>
      </c>
      <c r="L14" s="245" t="s">
        <v>777</v>
      </c>
      <c r="M14" s="445">
        <v>964.86700000000008</v>
      </c>
      <c r="N14" s="843"/>
      <c r="O14" s="843"/>
      <c r="P14" s="843"/>
      <c r="Q14" s="262"/>
    </row>
    <row r="15" spans="1:17" ht="15.75" customHeight="1" thickTop="1">
      <c r="A15" s="541"/>
      <c r="D15" s="541"/>
      <c r="E15" s="541"/>
      <c r="F15" s="541"/>
      <c r="G15" s="541"/>
      <c r="H15" s="541"/>
      <c r="I15" s="541"/>
      <c r="J15" s="541"/>
      <c r="K15" s="541"/>
      <c r="L15" s="541"/>
      <c r="M15" s="541"/>
      <c r="N15" s="541"/>
      <c r="O15" s="541"/>
      <c r="P15" s="541"/>
      <c r="Q15" s="262"/>
    </row>
    <row r="16" spans="1:17" ht="15.75" customHeight="1">
      <c r="A16" s="828" t="s">
        <v>767</v>
      </c>
      <c r="B16" s="829"/>
      <c r="C16" s="116" t="s">
        <v>768</v>
      </c>
      <c r="D16" s="830" t="s">
        <v>12</v>
      </c>
      <c r="E16" s="831"/>
      <c r="F16" s="832"/>
      <c r="G16" s="114" t="s">
        <v>769</v>
      </c>
      <c r="H16" s="115"/>
      <c r="I16" s="116"/>
      <c r="J16" s="113" t="s">
        <v>770</v>
      </c>
      <c r="K16" s="113" t="s">
        <v>771</v>
      </c>
      <c r="L16" s="113" t="s">
        <v>772</v>
      </c>
      <c r="M16" s="117" t="s">
        <v>11</v>
      </c>
      <c r="N16" s="332" t="s">
        <v>773</v>
      </c>
      <c r="O16" s="833" t="s">
        <v>774</v>
      </c>
      <c r="P16" s="834"/>
      <c r="Q16" s="262"/>
    </row>
    <row r="17" spans="1:17" ht="15.75" customHeight="1">
      <c r="A17" s="829">
        <v>5</v>
      </c>
      <c r="B17" s="835" t="s">
        <v>194</v>
      </c>
      <c r="C17" s="111">
        <v>1</v>
      </c>
      <c r="D17" s="553" t="s">
        <v>787</v>
      </c>
      <c r="E17" s="809"/>
      <c r="F17" s="810"/>
      <c r="G17" s="553" t="s">
        <v>788</v>
      </c>
      <c r="H17" s="809"/>
      <c r="I17" s="810"/>
      <c r="J17" s="4">
        <v>395.29</v>
      </c>
      <c r="K17" s="14">
        <v>2.5419420437214034E-3</v>
      </c>
      <c r="L17" s="4">
        <v>0.5</v>
      </c>
      <c r="M17" s="444">
        <v>197.64500000000001</v>
      </c>
      <c r="N17" s="4"/>
      <c r="O17" s="814" t="s">
        <v>517</v>
      </c>
      <c r="P17" s="842"/>
      <c r="Q17" s="262"/>
    </row>
    <row r="18" spans="1:17" ht="15.75" customHeight="1">
      <c r="A18" s="829"/>
      <c r="B18" s="836"/>
      <c r="C18" s="111">
        <v>2</v>
      </c>
      <c r="D18" s="553" t="s">
        <v>574</v>
      </c>
      <c r="E18" s="809"/>
      <c r="F18" s="810"/>
      <c r="G18" s="553" t="s">
        <v>333</v>
      </c>
      <c r="H18" s="809"/>
      <c r="I18" s="810"/>
      <c r="J18" s="4">
        <v>487.6</v>
      </c>
      <c r="K18" s="14">
        <v>1.1454097703453412E-2</v>
      </c>
      <c r="L18" s="4">
        <v>0.4</v>
      </c>
      <c r="M18" s="444">
        <v>195.04000000000002</v>
      </c>
      <c r="N18" s="4"/>
      <c r="O18" s="814" t="s">
        <v>517</v>
      </c>
      <c r="P18" s="842"/>
      <c r="Q18" s="262"/>
    </row>
    <row r="19" spans="1:17" ht="15.75" customHeight="1">
      <c r="A19" s="829"/>
      <c r="B19" s="836"/>
      <c r="C19" s="111">
        <v>3</v>
      </c>
      <c r="D19" s="553" t="s">
        <v>634</v>
      </c>
      <c r="E19" s="809"/>
      <c r="F19" s="810"/>
      <c r="G19" s="553" t="s">
        <v>635</v>
      </c>
      <c r="H19" s="809"/>
      <c r="I19" s="810"/>
      <c r="J19" s="4">
        <v>325.01</v>
      </c>
      <c r="K19" s="14">
        <v>1.2461059190031154E-2</v>
      </c>
      <c r="L19" s="4">
        <v>0.60000000000000009</v>
      </c>
      <c r="M19" s="444">
        <v>195.00600000000003</v>
      </c>
      <c r="N19" s="4"/>
      <c r="O19" s="814" t="s">
        <v>517</v>
      </c>
      <c r="P19" s="842"/>
      <c r="Q19" s="262"/>
    </row>
    <row r="20" spans="1:17" ht="15.75" customHeight="1">
      <c r="A20" s="829"/>
      <c r="B20" s="836"/>
      <c r="C20" s="111">
        <v>4</v>
      </c>
      <c r="D20" s="553" t="s">
        <v>328</v>
      </c>
      <c r="E20" s="809"/>
      <c r="F20" s="810"/>
      <c r="G20" s="553" t="s">
        <v>651</v>
      </c>
      <c r="H20" s="809"/>
      <c r="I20" s="810"/>
      <c r="J20" s="4">
        <v>272.74</v>
      </c>
      <c r="K20" s="14">
        <v>1.7283950617283952E-2</v>
      </c>
      <c r="L20" s="4">
        <v>0.70000000000000007</v>
      </c>
      <c r="M20" s="444">
        <v>190.91800000000003</v>
      </c>
      <c r="N20" s="4"/>
      <c r="O20" s="814"/>
      <c r="P20" s="842"/>
      <c r="Q20" s="262"/>
    </row>
    <row r="21" spans="1:17" ht="15.75" customHeight="1" thickBot="1">
      <c r="A21" s="829"/>
      <c r="B21" s="836"/>
      <c r="C21" s="112">
        <v>5</v>
      </c>
      <c r="D21" s="553" t="s">
        <v>626</v>
      </c>
      <c r="E21" s="809"/>
      <c r="F21" s="810"/>
      <c r="G21" s="553" t="s">
        <v>723</v>
      </c>
      <c r="H21" s="809"/>
      <c r="I21" s="810"/>
      <c r="J21" s="4">
        <v>272.57</v>
      </c>
      <c r="K21" s="14">
        <v>1.27191787044608E-2</v>
      </c>
      <c r="L21" s="4">
        <v>0.70000000000000007</v>
      </c>
      <c r="M21" s="444">
        <v>190.79900000000001</v>
      </c>
      <c r="N21" s="4"/>
      <c r="O21" s="814"/>
      <c r="P21" s="842"/>
      <c r="Q21" s="262"/>
    </row>
    <row r="22" spans="1:17" ht="15.75" customHeight="1" thickTop="1" thickBot="1">
      <c r="A22" s="829"/>
      <c r="B22" s="836"/>
      <c r="C22" s="837"/>
      <c r="D22" s="837"/>
      <c r="E22" s="837"/>
      <c r="F22" s="837"/>
      <c r="G22" s="837"/>
      <c r="H22" s="837"/>
      <c r="I22" s="838"/>
      <c r="J22" s="118" t="s">
        <v>776</v>
      </c>
      <c r="K22" s="244">
        <v>6.16476267649707E-3</v>
      </c>
      <c r="L22" s="118" t="s">
        <v>777</v>
      </c>
      <c r="M22" s="445">
        <v>969.40800000000002</v>
      </c>
      <c r="N22" s="839"/>
      <c r="O22" s="840"/>
      <c r="P22" s="841"/>
      <c r="Q22" s="262"/>
    </row>
    <row r="23" spans="1:17" ht="15.75" customHeight="1" thickTop="1">
      <c r="A23" s="541"/>
      <c r="D23" s="541"/>
      <c r="E23" s="541"/>
      <c r="F23" s="541"/>
      <c r="G23" s="541"/>
      <c r="H23" s="541"/>
      <c r="I23" s="541"/>
      <c r="J23" s="541"/>
      <c r="K23" s="541"/>
      <c r="L23" s="541"/>
      <c r="M23" s="541"/>
      <c r="N23" s="541"/>
      <c r="O23" s="541"/>
      <c r="P23" s="541"/>
      <c r="Q23" s="262"/>
    </row>
    <row r="24" spans="1:17" ht="15.75" customHeight="1">
      <c r="A24" s="828" t="s">
        <v>767</v>
      </c>
      <c r="B24" s="829"/>
      <c r="C24" s="116" t="s">
        <v>768</v>
      </c>
      <c r="D24" s="830" t="s">
        <v>12</v>
      </c>
      <c r="E24" s="831"/>
      <c r="F24" s="832"/>
      <c r="G24" s="114" t="s">
        <v>769</v>
      </c>
      <c r="H24" s="115"/>
      <c r="I24" s="116"/>
      <c r="J24" s="113" t="s">
        <v>770</v>
      </c>
      <c r="K24" s="113" t="s">
        <v>771</v>
      </c>
      <c r="L24" s="113" t="s">
        <v>772</v>
      </c>
      <c r="M24" s="117" t="s">
        <v>11</v>
      </c>
      <c r="N24" s="332" t="s">
        <v>773</v>
      </c>
      <c r="O24" s="833" t="s">
        <v>774</v>
      </c>
      <c r="P24" s="834"/>
      <c r="Q24" s="262"/>
    </row>
    <row r="25" spans="1:17" ht="15.75" customHeight="1">
      <c r="A25" s="829">
        <v>6</v>
      </c>
      <c r="B25" s="835" t="s">
        <v>195</v>
      </c>
      <c r="C25" s="111">
        <v>1</v>
      </c>
      <c r="D25" s="553" t="s">
        <v>574</v>
      </c>
      <c r="E25" s="809"/>
      <c r="F25" s="810"/>
      <c r="G25" s="553" t="s">
        <v>333</v>
      </c>
      <c r="H25" s="809"/>
      <c r="I25" s="810"/>
      <c r="J25" s="4">
        <v>487.6</v>
      </c>
      <c r="K25" s="14">
        <v>1.1429224527115837E-2</v>
      </c>
      <c r="L25" s="4">
        <v>0.4</v>
      </c>
      <c r="M25" s="444">
        <v>195.04000000000002</v>
      </c>
      <c r="N25" s="4"/>
      <c r="O25" s="814" t="s">
        <v>605</v>
      </c>
      <c r="P25" s="842"/>
      <c r="Q25" s="262"/>
    </row>
    <row r="26" spans="1:17" ht="15.75" customHeight="1">
      <c r="A26" s="829"/>
      <c r="B26" s="836"/>
      <c r="C26" s="111">
        <v>2</v>
      </c>
      <c r="D26" s="553" t="s">
        <v>573</v>
      </c>
      <c r="E26" s="809"/>
      <c r="F26" s="810"/>
      <c r="G26" s="553" t="s">
        <v>650</v>
      </c>
      <c r="H26" s="809"/>
      <c r="I26" s="810"/>
      <c r="J26" s="4">
        <v>444.88</v>
      </c>
      <c r="K26" s="14">
        <v>2.4718823384006924E-2</v>
      </c>
      <c r="L26" s="4">
        <v>0.4</v>
      </c>
      <c r="M26" s="444">
        <v>177.952</v>
      </c>
      <c r="N26" s="4"/>
      <c r="O26" s="814" t="s">
        <v>605</v>
      </c>
      <c r="P26" s="842"/>
      <c r="Q26" s="262"/>
    </row>
    <row r="27" spans="1:17" ht="15.75" customHeight="1">
      <c r="A27" s="829"/>
      <c r="B27" s="836"/>
      <c r="C27" s="111">
        <v>3</v>
      </c>
      <c r="D27" s="553">
        <v>0</v>
      </c>
      <c r="E27" s="809"/>
      <c r="F27" s="810"/>
      <c r="G27" s="553">
        <v>0</v>
      </c>
      <c r="H27" s="809"/>
      <c r="I27" s="810"/>
      <c r="J27" s="4">
        <v>0</v>
      </c>
      <c r="K27" s="14">
        <v>0</v>
      </c>
      <c r="L27" s="4">
        <v>0</v>
      </c>
      <c r="M27" s="444">
        <v>0</v>
      </c>
      <c r="N27" s="4"/>
      <c r="O27" s="814"/>
      <c r="P27" s="842"/>
      <c r="Q27" s="262"/>
    </row>
    <row r="28" spans="1:17" ht="15.75" customHeight="1">
      <c r="A28" s="829"/>
      <c r="B28" s="836"/>
      <c r="C28" s="111">
        <v>4</v>
      </c>
      <c r="D28" s="553">
        <v>0</v>
      </c>
      <c r="E28" s="809"/>
      <c r="F28" s="810"/>
      <c r="G28" s="553">
        <v>0</v>
      </c>
      <c r="H28" s="809"/>
      <c r="I28" s="810"/>
      <c r="J28" s="4">
        <v>0</v>
      </c>
      <c r="K28" s="14">
        <v>0</v>
      </c>
      <c r="L28" s="4">
        <v>0</v>
      </c>
      <c r="M28" s="444">
        <v>0</v>
      </c>
      <c r="N28" s="4"/>
      <c r="O28" s="814"/>
      <c r="P28" s="842"/>
      <c r="Q28" s="262"/>
    </row>
    <row r="29" spans="1:17" ht="15.75" customHeight="1" thickBot="1">
      <c r="A29" s="829"/>
      <c r="B29" s="836"/>
      <c r="C29" s="112">
        <v>5</v>
      </c>
      <c r="D29" s="553">
        <v>0</v>
      </c>
      <c r="E29" s="809"/>
      <c r="F29" s="810"/>
      <c r="G29" s="553">
        <v>0</v>
      </c>
      <c r="H29" s="809"/>
      <c r="I29" s="810"/>
      <c r="J29" s="4">
        <v>0</v>
      </c>
      <c r="K29" s="14">
        <v>0</v>
      </c>
      <c r="L29" s="4">
        <v>0</v>
      </c>
      <c r="M29" s="444">
        <v>0</v>
      </c>
      <c r="N29" s="4"/>
      <c r="O29" s="814"/>
      <c r="P29" s="842"/>
      <c r="Q29" s="262"/>
    </row>
    <row r="30" spans="1:17" ht="15.75" customHeight="1" thickTop="1" thickBot="1">
      <c r="A30" s="829"/>
      <c r="B30" s="836"/>
      <c r="C30" s="837"/>
      <c r="D30" s="837"/>
      <c r="E30" s="837"/>
      <c r="F30" s="837"/>
      <c r="G30" s="837"/>
      <c r="H30" s="837"/>
      <c r="I30" s="838"/>
      <c r="J30" s="118" t="s">
        <v>776</v>
      </c>
      <c r="K30" s="244">
        <v>2.3719704811926406E-3</v>
      </c>
      <c r="L30" s="118" t="s">
        <v>777</v>
      </c>
      <c r="M30" s="445">
        <v>372.99200000000002</v>
      </c>
      <c r="N30" s="839"/>
      <c r="O30" s="840"/>
      <c r="P30" s="841"/>
      <c r="Q30" s="262"/>
    </row>
    <row r="31" spans="1:17" ht="15.75" customHeight="1" thickTop="1">
      <c r="A31" s="541"/>
      <c r="D31" s="541"/>
      <c r="E31" s="541"/>
      <c r="F31" s="541"/>
      <c r="G31" s="541"/>
      <c r="H31" s="541"/>
      <c r="I31" s="541"/>
      <c r="J31" s="541"/>
      <c r="K31" s="541"/>
      <c r="L31" s="541"/>
      <c r="M31" s="541"/>
      <c r="N31" s="541"/>
      <c r="O31" s="541"/>
      <c r="P31" s="541"/>
      <c r="Q31" s="262"/>
    </row>
    <row r="32" spans="1:17" ht="15.75" customHeight="1">
      <c r="A32" s="828" t="s">
        <v>767</v>
      </c>
      <c r="B32" s="829"/>
      <c r="C32" s="116" t="s">
        <v>768</v>
      </c>
      <c r="D32" s="830" t="s">
        <v>12</v>
      </c>
      <c r="E32" s="831"/>
      <c r="F32" s="832"/>
      <c r="G32" s="114" t="s">
        <v>769</v>
      </c>
      <c r="H32" s="115"/>
      <c r="I32" s="116"/>
      <c r="J32" s="113" t="s">
        <v>770</v>
      </c>
      <c r="K32" s="113" t="s">
        <v>771</v>
      </c>
      <c r="L32" s="113" t="s">
        <v>772</v>
      </c>
      <c r="M32" s="117" t="s">
        <v>11</v>
      </c>
      <c r="N32" s="117" t="s">
        <v>13</v>
      </c>
      <c r="O32" s="833" t="s">
        <v>774</v>
      </c>
      <c r="P32" s="834"/>
      <c r="Q32" s="262"/>
    </row>
    <row r="33" spans="1:17" ht="15.75" customHeight="1">
      <c r="A33" s="829">
        <v>7</v>
      </c>
      <c r="B33" s="835" t="s">
        <v>789</v>
      </c>
      <c r="C33" s="111">
        <v>1</v>
      </c>
      <c r="D33" s="553" t="s">
        <v>626</v>
      </c>
      <c r="E33" s="809"/>
      <c r="F33" s="810"/>
      <c r="G33" s="553" t="s">
        <v>790</v>
      </c>
      <c r="H33" s="809"/>
      <c r="I33" s="810"/>
      <c r="J33" s="4">
        <v>68.62</v>
      </c>
      <c r="K33" s="14">
        <v>3.2872978809878627E-3</v>
      </c>
      <c r="L33" s="4">
        <v>3.3</v>
      </c>
      <c r="M33" s="444">
        <v>226.446</v>
      </c>
      <c r="N33" s="4"/>
      <c r="O33" s="814" t="s">
        <v>791</v>
      </c>
      <c r="P33" s="842"/>
      <c r="Q33" s="262"/>
    </row>
    <row r="34" spans="1:17" ht="15.75" customHeight="1">
      <c r="A34" s="829"/>
      <c r="B34" s="836"/>
      <c r="C34" s="111">
        <v>2</v>
      </c>
      <c r="D34" s="553" t="s">
        <v>522</v>
      </c>
      <c r="E34" s="809"/>
      <c r="F34" s="810"/>
      <c r="G34" s="553" t="s">
        <v>643</v>
      </c>
      <c r="H34" s="809"/>
      <c r="I34" s="810"/>
      <c r="J34" s="4">
        <v>13.45</v>
      </c>
      <c r="K34" s="14">
        <v>3.564154786150713E-3</v>
      </c>
      <c r="L34" s="4">
        <v>14</v>
      </c>
      <c r="M34" s="444">
        <v>188.29999999999998</v>
      </c>
      <c r="N34" s="4"/>
      <c r="O34" s="814" t="s">
        <v>791</v>
      </c>
      <c r="P34" s="842"/>
      <c r="Q34" s="262"/>
    </row>
    <row r="35" spans="1:17" ht="15.75" customHeight="1">
      <c r="A35" s="829"/>
      <c r="B35" s="836"/>
      <c r="C35" s="111">
        <v>3</v>
      </c>
      <c r="D35" s="553" t="s">
        <v>329</v>
      </c>
      <c r="E35" s="809"/>
      <c r="F35" s="810"/>
      <c r="G35" s="553" t="s">
        <v>711</v>
      </c>
      <c r="H35" s="809"/>
      <c r="I35" s="810"/>
      <c r="J35" s="4">
        <v>1760</v>
      </c>
      <c r="K35" s="14">
        <v>5.1387461459403906E-2</v>
      </c>
      <c r="L35" s="4">
        <v>0.1</v>
      </c>
      <c r="M35" s="444">
        <v>176</v>
      </c>
      <c r="N35" s="4"/>
      <c r="O35" s="814" t="s">
        <v>628</v>
      </c>
      <c r="P35" s="815"/>
      <c r="Q35" s="262"/>
    </row>
    <row r="36" spans="1:17" ht="15.75" customHeight="1">
      <c r="A36" s="829"/>
      <c r="B36" s="836"/>
      <c r="C36" s="111">
        <v>4</v>
      </c>
      <c r="D36" s="553" t="s">
        <v>636</v>
      </c>
      <c r="E36" s="809"/>
      <c r="F36" s="810"/>
      <c r="G36" s="553" t="s">
        <v>652</v>
      </c>
      <c r="H36" s="809"/>
      <c r="I36" s="810"/>
      <c r="J36" s="4">
        <v>790</v>
      </c>
      <c r="K36" s="14">
        <v>4.3402777777777783E-2</v>
      </c>
      <c r="L36" s="4">
        <v>0.2</v>
      </c>
      <c r="M36" s="444">
        <v>158</v>
      </c>
      <c r="N36" s="4"/>
      <c r="O36" s="814" t="s">
        <v>628</v>
      </c>
      <c r="P36" s="815"/>
      <c r="Q36" s="262"/>
    </row>
    <row r="37" spans="1:17" ht="15.75" customHeight="1" thickBot="1">
      <c r="A37" s="829"/>
      <c r="B37" s="836"/>
      <c r="C37" s="112">
        <v>5</v>
      </c>
      <c r="D37" s="553">
        <v>0</v>
      </c>
      <c r="E37" s="809"/>
      <c r="F37" s="810"/>
      <c r="G37" s="553">
        <v>0</v>
      </c>
      <c r="H37" s="809"/>
      <c r="I37" s="810"/>
      <c r="J37" s="4">
        <v>0</v>
      </c>
      <c r="K37" s="14">
        <v>0</v>
      </c>
      <c r="L37" s="4">
        <v>0</v>
      </c>
      <c r="M37" s="444">
        <v>0</v>
      </c>
      <c r="N37" s="4"/>
      <c r="O37" s="814"/>
      <c r="P37" s="815"/>
      <c r="Q37" s="262"/>
    </row>
    <row r="38" spans="1:17" ht="15.75" customHeight="1" thickTop="1" thickBot="1">
      <c r="A38" s="829"/>
      <c r="B38" s="836"/>
      <c r="C38" s="837"/>
      <c r="D38" s="837"/>
      <c r="E38" s="837"/>
      <c r="F38" s="837"/>
      <c r="G38" s="837"/>
      <c r="H38" s="837"/>
      <c r="I38" s="838"/>
      <c r="J38" s="118" t="s">
        <v>776</v>
      </c>
      <c r="K38" s="244">
        <v>4.7615053671689065E-3</v>
      </c>
      <c r="L38" s="118" t="s">
        <v>777</v>
      </c>
      <c r="M38" s="445">
        <v>748.74599999999998</v>
      </c>
      <c r="N38" s="839"/>
      <c r="O38" s="840"/>
      <c r="P38" s="841"/>
      <c r="Q38" s="262"/>
    </row>
    <row r="39" spans="1:17" ht="15.75" customHeight="1" thickTop="1"/>
  </sheetData>
  <mergeCells count="107"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82" customWidth="1"/>
    <col min="2" max="2" width="11.42578125" style="334" customWidth="1"/>
    <col min="3" max="3" width="4" style="335" customWidth="1"/>
    <col min="4" max="17" width="9.5703125" style="182" customWidth="1"/>
    <col min="18" max="16384" width="12.5703125" style="182"/>
  </cols>
  <sheetData>
    <row r="1" spans="1:23" ht="15.75" customHeight="1">
      <c r="A1" s="771" t="s">
        <v>507</v>
      </c>
      <c r="B1" s="771"/>
      <c r="C1" s="771"/>
      <c r="D1" s="771"/>
      <c r="E1" s="771"/>
      <c r="F1" s="771"/>
      <c r="G1" s="771"/>
      <c r="H1" s="771"/>
      <c r="I1" s="771"/>
      <c r="J1" s="771"/>
      <c r="K1" s="771"/>
      <c r="L1" s="771"/>
      <c r="M1" s="771"/>
      <c r="N1" s="771"/>
      <c r="O1" s="771"/>
      <c r="P1" s="771"/>
      <c r="Q1" s="771"/>
    </row>
    <row r="2" spans="1:23" s="183" customFormat="1" ht="15.75" customHeight="1">
      <c r="A2" s="771"/>
      <c r="B2" s="771"/>
      <c r="C2" s="771"/>
      <c r="D2" s="771"/>
      <c r="E2" s="771"/>
      <c r="F2" s="771"/>
      <c r="G2" s="771"/>
      <c r="H2" s="771"/>
      <c r="I2" s="771"/>
      <c r="J2" s="771"/>
      <c r="K2" s="771"/>
      <c r="L2" s="771"/>
      <c r="M2" s="771"/>
      <c r="N2" s="771"/>
      <c r="O2" s="771"/>
      <c r="P2" s="771"/>
      <c r="Q2" s="771"/>
      <c r="R2" s="182"/>
      <c r="S2" s="182"/>
      <c r="T2" s="182"/>
      <c r="U2" s="182"/>
      <c r="V2" s="182"/>
      <c r="W2" s="182"/>
    </row>
    <row r="3" spans="1:23" ht="15.75" customHeight="1">
      <c r="A3" s="772" t="s">
        <v>508</v>
      </c>
      <c r="B3" s="772"/>
      <c r="C3" s="772"/>
      <c r="D3" s="772"/>
      <c r="E3" s="772"/>
      <c r="F3" s="772"/>
      <c r="G3" s="772"/>
      <c r="H3" s="772"/>
      <c r="I3" s="772"/>
      <c r="J3" s="772"/>
      <c r="K3" s="772"/>
      <c r="L3" s="772"/>
      <c r="M3" s="772"/>
      <c r="N3" s="184"/>
    </row>
    <row r="4" spans="1:23" s="183" customFormat="1" ht="15.75" customHeight="1">
      <c r="A4" s="772"/>
      <c r="B4" s="772"/>
      <c r="C4" s="772"/>
      <c r="D4" s="772"/>
      <c r="E4" s="772"/>
      <c r="F4" s="772"/>
      <c r="G4" s="772"/>
      <c r="H4" s="772"/>
      <c r="I4" s="772"/>
      <c r="J4" s="772"/>
      <c r="K4" s="772"/>
      <c r="L4" s="772"/>
      <c r="M4" s="772"/>
      <c r="N4" s="185"/>
      <c r="R4" s="182"/>
      <c r="S4" s="182"/>
      <c r="T4" s="182"/>
      <c r="U4" s="182"/>
      <c r="V4" s="182"/>
      <c r="W4" s="182"/>
    </row>
    <row r="5" spans="1:23" ht="15.75" customHeight="1">
      <c r="A5" s="774" t="s">
        <v>506</v>
      </c>
      <c r="B5" s="848">
        <v>1</v>
      </c>
      <c r="C5" s="848"/>
      <c r="D5" s="848">
        <v>2</v>
      </c>
      <c r="E5" s="848"/>
      <c r="F5" s="848">
        <v>3</v>
      </c>
      <c r="G5" s="848"/>
      <c r="H5" s="777">
        <v>4</v>
      </c>
      <c r="I5" s="777"/>
      <c r="J5" s="777">
        <v>5</v>
      </c>
      <c r="K5" s="777"/>
      <c r="L5" s="777">
        <v>6</v>
      </c>
      <c r="M5" s="777"/>
      <c r="N5" s="777">
        <v>7</v>
      </c>
      <c r="O5" s="777"/>
      <c r="P5" s="777">
        <v>8</v>
      </c>
      <c r="Q5" s="777"/>
    </row>
    <row r="6" spans="1:23" ht="15.75" customHeight="1">
      <c r="A6" s="774"/>
      <c r="B6" s="849" t="s">
        <v>509</v>
      </c>
      <c r="C6" s="849"/>
      <c r="D6" s="849" t="s">
        <v>510</v>
      </c>
      <c r="E6" s="849"/>
      <c r="F6" s="849" t="s">
        <v>511</v>
      </c>
      <c r="G6" s="849"/>
      <c r="H6" s="847" t="s">
        <v>512</v>
      </c>
      <c r="I6" s="774"/>
      <c r="J6" s="774" t="s">
        <v>513</v>
      </c>
      <c r="K6" s="774"/>
      <c r="L6" s="774" t="s">
        <v>514</v>
      </c>
      <c r="M6" s="774"/>
      <c r="N6" s="774" t="s">
        <v>515</v>
      </c>
      <c r="O6" s="774"/>
      <c r="P6" s="847" t="s">
        <v>516</v>
      </c>
      <c r="Q6" s="774"/>
    </row>
    <row r="8" spans="1:23" s="333" customFormat="1" ht="15.75" customHeight="1">
      <c r="A8" s="816" t="s">
        <v>767</v>
      </c>
      <c r="B8" s="817"/>
      <c r="C8" s="546" t="s">
        <v>768</v>
      </c>
      <c r="D8" s="818" t="s">
        <v>12</v>
      </c>
      <c r="E8" s="819"/>
      <c r="F8" s="820"/>
      <c r="G8" s="544" t="s">
        <v>769</v>
      </c>
      <c r="H8" s="545"/>
      <c r="I8" s="546"/>
      <c r="J8" s="169" t="s">
        <v>770</v>
      </c>
      <c r="K8" s="332" t="s">
        <v>792</v>
      </c>
      <c r="L8" s="169" t="s">
        <v>772</v>
      </c>
      <c r="M8" s="169" t="s">
        <v>11</v>
      </c>
      <c r="N8" s="332" t="s">
        <v>773</v>
      </c>
      <c r="O8" s="821" t="s">
        <v>774</v>
      </c>
      <c r="P8" s="822"/>
      <c r="R8" s="182"/>
      <c r="S8" s="182"/>
      <c r="T8" s="182"/>
      <c r="U8" s="182"/>
      <c r="V8" s="182"/>
      <c r="W8" s="182"/>
    </row>
    <row r="9" spans="1:23" ht="15.75" customHeight="1">
      <c r="A9" s="736">
        <v>1</v>
      </c>
      <c r="B9" s="806" t="s">
        <v>775</v>
      </c>
      <c r="C9" s="170">
        <v>1</v>
      </c>
      <c r="D9" s="553">
        <v>0</v>
      </c>
      <c r="E9" s="809"/>
      <c r="F9" s="810"/>
      <c r="G9" s="553">
        <v>0</v>
      </c>
      <c r="H9" s="809"/>
      <c r="I9" s="810"/>
      <c r="J9" s="4">
        <v>0</v>
      </c>
      <c r="K9" s="14">
        <v>0</v>
      </c>
      <c r="L9" s="4">
        <v>0</v>
      </c>
      <c r="M9" s="444">
        <v>0</v>
      </c>
      <c r="N9" s="171"/>
      <c r="O9" s="814"/>
      <c r="P9" s="815"/>
    </row>
    <row r="10" spans="1:23" ht="15.75" customHeight="1">
      <c r="A10" s="741"/>
      <c r="B10" s="807"/>
      <c r="C10" s="170">
        <v>2</v>
      </c>
      <c r="D10" s="553">
        <v>0</v>
      </c>
      <c r="E10" s="809"/>
      <c r="F10" s="810"/>
      <c r="G10" s="553">
        <v>0</v>
      </c>
      <c r="H10" s="809"/>
      <c r="I10" s="810"/>
      <c r="J10" s="4">
        <v>0</v>
      </c>
      <c r="K10" s="14">
        <v>0</v>
      </c>
      <c r="L10" s="4">
        <v>0</v>
      </c>
      <c r="M10" s="444">
        <v>0</v>
      </c>
      <c r="N10" s="171"/>
      <c r="O10" s="814"/>
      <c r="P10" s="815"/>
    </row>
    <row r="11" spans="1:23" ht="15.75" customHeight="1">
      <c r="A11" s="741"/>
      <c r="B11" s="807"/>
      <c r="C11" s="170">
        <v>3</v>
      </c>
      <c r="D11" s="553">
        <v>0</v>
      </c>
      <c r="E11" s="809"/>
      <c r="F11" s="810"/>
      <c r="G11" s="553">
        <v>0</v>
      </c>
      <c r="H11" s="809"/>
      <c r="I11" s="810"/>
      <c r="J11" s="4">
        <v>0</v>
      </c>
      <c r="K11" s="14">
        <v>0</v>
      </c>
      <c r="L11" s="4">
        <v>0</v>
      </c>
      <c r="M11" s="444">
        <v>0</v>
      </c>
      <c r="N11" s="171"/>
      <c r="O11" s="814"/>
      <c r="P11" s="815"/>
    </row>
    <row r="12" spans="1:23" ht="15.75" customHeight="1">
      <c r="A12" s="741"/>
      <c r="B12" s="807"/>
      <c r="C12" s="170">
        <v>4</v>
      </c>
      <c r="D12" s="553">
        <v>0</v>
      </c>
      <c r="E12" s="809"/>
      <c r="F12" s="810"/>
      <c r="G12" s="553">
        <v>0</v>
      </c>
      <c r="H12" s="809"/>
      <c r="I12" s="810"/>
      <c r="J12" s="4">
        <v>0</v>
      </c>
      <c r="K12" s="14">
        <v>0</v>
      </c>
      <c r="L12" s="4">
        <v>0</v>
      </c>
      <c r="M12" s="444">
        <v>0</v>
      </c>
      <c r="N12" s="171"/>
      <c r="O12" s="814"/>
      <c r="P12" s="815"/>
    </row>
    <row r="13" spans="1:23" ht="15.75" customHeight="1" thickBot="1">
      <c r="A13" s="741"/>
      <c r="B13" s="807"/>
      <c r="C13" s="172">
        <v>5</v>
      </c>
      <c r="D13" s="553">
        <v>0</v>
      </c>
      <c r="E13" s="809"/>
      <c r="F13" s="810"/>
      <c r="G13" s="553">
        <v>0</v>
      </c>
      <c r="H13" s="809"/>
      <c r="I13" s="810"/>
      <c r="J13" s="4">
        <v>0</v>
      </c>
      <c r="K13" s="14">
        <v>0</v>
      </c>
      <c r="L13" s="4">
        <v>0</v>
      </c>
      <c r="M13" s="444">
        <v>0</v>
      </c>
      <c r="N13" s="173"/>
      <c r="O13" s="845"/>
      <c r="P13" s="846"/>
    </row>
    <row r="14" spans="1:23" ht="15.75" customHeight="1" thickTop="1" thickBot="1">
      <c r="A14" s="737"/>
      <c r="B14" s="808"/>
      <c r="C14" s="800"/>
      <c r="D14" s="801"/>
      <c r="E14" s="801"/>
      <c r="F14" s="801"/>
      <c r="G14" s="801"/>
      <c r="H14" s="801"/>
      <c r="I14" s="802"/>
      <c r="J14" s="331" t="s">
        <v>776</v>
      </c>
      <c r="K14" s="244">
        <v>0</v>
      </c>
      <c r="L14" s="331" t="s">
        <v>777</v>
      </c>
      <c r="M14" s="445">
        <v>0</v>
      </c>
      <c r="N14" s="803"/>
      <c r="O14" s="804"/>
      <c r="P14" s="805"/>
    </row>
    <row r="15" spans="1:23" ht="15.75" customHeight="1" thickTop="1">
      <c r="A15" s="119"/>
      <c r="B15" s="174"/>
      <c r="C15" s="160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</row>
    <row r="16" spans="1:23" ht="15.75" customHeight="1">
      <c r="A16" s="816" t="s">
        <v>767</v>
      </c>
      <c r="B16" s="817"/>
      <c r="C16" s="546" t="s">
        <v>768</v>
      </c>
      <c r="D16" s="818" t="s">
        <v>12</v>
      </c>
      <c r="E16" s="819"/>
      <c r="F16" s="820"/>
      <c r="G16" s="544" t="s">
        <v>769</v>
      </c>
      <c r="H16" s="545"/>
      <c r="I16" s="546"/>
      <c r="J16" s="169" t="s">
        <v>770</v>
      </c>
      <c r="K16" s="332" t="s">
        <v>792</v>
      </c>
      <c r="L16" s="169" t="s">
        <v>772</v>
      </c>
      <c r="M16" s="169" t="s">
        <v>11</v>
      </c>
      <c r="N16" s="332" t="s">
        <v>773</v>
      </c>
      <c r="O16" s="821" t="s">
        <v>774</v>
      </c>
      <c r="P16" s="822"/>
    </row>
    <row r="17" spans="1:16" ht="15.75" customHeight="1">
      <c r="A17" s="736">
        <v>2</v>
      </c>
      <c r="B17" s="806" t="s">
        <v>778</v>
      </c>
      <c r="C17" s="170">
        <v>1</v>
      </c>
      <c r="D17" s="553" t="s">
        <v>340</v>
      </c>
      <c r="E17" s="809"/>
      <c r="F17" s="810"/>
      <c r="G17" s="553" t="s">
        <v>793</v>
      </c>
      <c r="H17" s="809"/>
      <c r="I17" s="810"/>
      <c r="J17" s="4">
        <v>413.08</v>
      </c>
      <c r="K17" s="14">
        <v>0.13485221674876915</v>
      </c>
      <c r="L17" s="4">
        <v>0.6773195876288689</v>
      </c>
      <c r="M17" s="444">
        <v>279.78717525773317</v>
      </c>
      <c r="N17" s="171"/>
      <c r="O17" s="814" t="s">
        <v>794</v>
      </c>
      <c r="P17" s="815"/>
    </row>
    <row r="18" spans="1:16" ht="15.75" customHeight="1">
      <c r="A18" s="741"/>
      <c r="B18" s="807"/>
      <c r="C18" s="170">
        <v>2</v>
      </c>
      <c r="D18" s="553" t="s">
        <v>345</v>
      </c>
      <c r="E18" s="809"/>
      <c r="F18" s="810"/>
      <c r="G18" s="553" t="s">
        <v>781</v>
      </c>
      <c r="H18" s="809"/>
      <c r="I18" s="810"/>
      <c r="J18" s="4">
        <v>418.41</v>
      </c>
      <c r="K18" s="14">
        <v>6.9404341781627535E-2</v>
      </c>
      <c r="L18" s="4">
        <v>0.64899999999999913</v>
      </c>
      <c r="M18" s="444">
        <v>271.54808999999966</v>
      </c>
      <c r="N18" s="171"/>
      <c r="O18" s="814" t="s">
        <v>794</v>
      </c>
      <c r="P18" s="815"/>
    </row>
    <row r="19" spans="1:16" ht="15.75" customHeight="1">
      <c r="A19" s="741"/>
      <c r="B19" s="807"/>
      <c r="C19" s="170">
        <v>3</v>
      </c>
      <c r="D19" s="553">
        <v>0</v>
      </c>
      <c r="E19" s="809"/>
      <c r="F19" s="810"/>
      <c r="G19" s="553">
        <v>0</v>
      </c>
      <c r="H19" s="809"/>
      <c r="I19" s="810"/>
      <c r="J19" s="4">
        <v>0</v>
      </c>
      <c r="K19" s="14">
        <v>0</v>
      </c>
      <c r="L19" s="4">
        <v>0</v>
      </c>
      <c r="M19" s="444">
        <v>0</v>
      </c>
      <c r="N19" s="171"/>
      <c r="O19" s="814"/>
      <c r="P19" s="815"/>
    </row>
    <row r="20" spans="1:16" ht="15.75" customHeight="1">
      <c r="A20" s="741"/>
      <c r="B20" s="807"/>
      <c r="C20" s="170">
        <v>4</v>
      </c>
      <c r="D20" s="553">
        <v>0</v>
      </c>
      <c r="E20" s="809"/>
      <c r="F20" s="810"/>
      <c r="G20" s="553">
        <v>0</v>
      </c>
      <c r="H20" s="809"/>
      <c r="I20" s="810"/>
      <c r="J20" s="4">
        <v>0</v>
      </c>
      <c r="K20" s="14">
        <v>0</v>
      </c>
      <c r="L20" s="4">
        <v>0</v>
      </c>
      <c r="M20" s="444">
        <v>0</v>
      </c>
      <c r="N20" s="171"/>
      <c r="O20" s="814"/>
      <c r="P20" s="815"/>
    </row>
    <row r="21" spans="1:16" ht="15.75" customHeight="1" thickBot="1">
      <c r="A21" s="741"/>
      <c r="B21" s="807"/>
      <c r="C21" s="172">
        <v>5</v>
      </c>
      <c r="D21" s="553">
        <v>0</v>
      </c>
      <c r="E21" s="809"/>
      <c r="F21" s="810"/>
      <c r="G21" s="553">
        <v>0</v>
      </c>
      <c r="H21" s="809"/>
      <c r="I21" s="810"/>
      <c r="J21" s="4">
        <v>0</v>
      </c>
      <c r="K21" s="14">
        <v>0</v>
      </c>
      <c r="L21" s="4">
        <v>0</v>
      </c>
      <c r="M21" s="444">
        <v>0</v>
      </c>
      <c r="N21" s="173"/>
      <c r="O21" s="814"/>
      <c r="P21" s="815"/>
    </row>
    <row r="22" spans="1:16" ht="15.75" customHeight="1" thickTop="1" thickBot="1">
      <c r="A22" s="737"/>
      <c r="B22" s="808"/>
      <c r="C22" s="811"/>
      <c r="D22" s="812"/>
      <c r="E22" s="812"/>
      <c r="F22" s="812"/>
      <c r="G22" s="812"/>
      <c r="H22" s="812"/>
      <c r="I22" s="813"/>
      <c r="J22" s="331" t="s">
        <v>776</v>
      </c>
      <c r="K22" s="244">
        <v>2.0905747954428782E-3</v>
      </c>
      <c r="L22" s="331" t="s">
        <v>777</v>
      </c>
      <c r="M22" s="445">
        <v>551.33526525773277</v>
      </c>
      <c r="N22" s="803"/>
      <c r="O22" s="804"/>
      <c r="P22" s="805"/>
    </row>
    <row r="23" spans="1:16" ht="15.75" customHeight="1" thickTop="1">
      <c r="A23" s="119"/>
      <c r="B23" s="174"/>
      <c r="C23" s="160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</row>
    <row r="24" spans="1:16" ht="15.75" customHeight="1">
      <c r="A24" s="816" t="s">
        <v>767</v>
      </c>
      <c r="B24" s="817"/>
      <c r="C24" s="546" t="s">
        <v>768</v>
      </c>
      <c r="D24" s="818" t="s">
        <v>12</v>
      </c>
      <c r="E24" s="819"/>
      <c r="F24" s="820"/>
      <c r="G24" s="544" t="s">
        <v>769</v>
      </c>
      <c r="H24" s="545"/>
      <c r="I24" s="546"/>
      <c r="J24" s="169" t="s">
        <v>770</v>
      </c>
      <c r="K24" s="332" t="s">
        <v>792</v>
      </c>
      <c r="L24" s="169" t="s">
        <v>772</v>
      </c>
      <c r="M24" s="169" t="s">
        <v>11</v>
      </c>
      <c r="N24" s="332" t="s">
        <v>773</v>
      </c>
      <c r="O24" s="821" t="s">
        <v>774</v>
      </c>
      <c r="P24" s="822"/>
    </row>
    <row r="25" spans="1:16" ht="15.75" customHeight="1">
      <c r="A25" s="736">
        <v>3</v>
      </c>
      <c r="B25" s="806" t="s">
        <v>782</v>
      </c>
      <c r="C25" s="170">
        <v>1</v>
      </c>
      <c r="D25" s="553">
        <v>0</v>
      </c>
      <c r="E25" s="809"/>
      <c r="F25" s="810"/>
      <c r="G25" s="553">
        <v>0</v>
      </c>
      <c r="H25" s="809"/>
      <c r="I25" s="810"/>
      <c r="J25" s="4">
        <v>0</v>
      </c>
      <c r="K25" s="14">
        <v>0</v>
      </c>
      <c r="L25" s="4">
        <v>0</v>
      </c>
      <c r="M25" s="444">
        <v>0</v>
      </c>
      <c r="N25" s="171"/>
      <c r="O25" s="814" t="s">
        <v>529</v>
      </c>
      <c r="P25" s="815"/>
    </row>
    <row r="26" spans="1:16" ht="15.75" customHeight="1">
      <c r="A26" s="741"/>
      <c r="B26" s="807"/>
      <c r="C26" s="170">
        <v>2</v>
      </c>
      <c r="D26" s="553">
        <v>0</v>
      </c>
      <c r="E26" s="809"/>
      <c r="F26" s="810"/>
      <c r="G26" s="553">
        <v>0</v>
      </c>
      <c r="H26" s="809"/>
      <c r="I26" s="810"/>
      <c r="J26" s="4">
        <v>0</v>
      </c>
      <c r="K26" s="14">
        <v>0</v>
      </c>
      <c r="L26" s="4">
        <v>0</v>
      </c>
      <c r="M26" s="444">
        <v>0</v>
      </c>
      <c r="N26" s="171"/>
      <c r="O26" s="814" t="s">
        <v>529</v>
      </c>
      <c r="P26" s="815"/>
    </row>
    <row r="27" spans="1:16" ht="15.75" customHeight="1">
      <c r="A27" s="741"/>
      <c r="B27" s="807"/>
      <c r="C27" s="170">
        <v>3</v>
      </c>
      <c r="D27" s="553">
        <v>0</v>
      </c>
      <c r="E27" s="809"/>
      <c r="F27" s="810"/>
      <c r="G27" s="553">
        <v>0</v>
      </c>
      <c r="H27" s="809"/>
      <c r="I27" s="810"/>
      <c r="J27" s="4">
        <v>0</v>
      </c>
      <c r="K27" s="14">
        <v>0</v>
      </c>
      <c r="L27" s="4">
        <v>0</v>
      </c>
      <c r="M27" s="444">
        <v>0</v>
      </c>
      <c r="N27" s="171"/>
      <c r="O27" s="814"/>
      <c r="P27" s="815"/>
    </row>
    <row r="28" spans="1:16" ht="15.75" customHeight="1">
      <c r="A28" s="741"/>
      <c r="B28" s="807"/>
      <c r="C28" s="170">
        <v>4</v>
      </c>
      <c r="D28" s="553">
        <v>0</v>
      </c>
      <c r="E28" s="809"/>
      <c r="F28" s="810"/>
      <c r="G28" s="553">
        <v>0</v>
      </c>
      <c r="H28" s="809"/>
      <c r="I28" s="810"/>
      <c r="J28" s="4">
        <v>0</v>
      </c>
      <c r="K28" s="14">
        <v>0</v>
      </c>
      <c r="L28" s="4">
        <v>0</v>
      </c>
      <c r="M28" s="444">
        <v>0</v>
      </c>
      <c r="N28" s="171"/>
      <c r="O28" s="814"/>
      <c r="P28" s="815"/>
    </row>
    <row r="29" spans="1:16" ht="15.75" customHeight="1" thickBot="1">
      <c r="A29" s="741"/>
      <c r="B29" s="807"/>
      <c r="C29" s="172">
        <v>5</v>
      </c>
      <c r="D29" s="553">
        <v>0</v>
      </c>
      <c r="E29" s="809"/>
      <c r="F29" s="810"/>
      <c r="G29" s="553">
        <v>0</v>
      </c>
      <c r="H29" s="809"/>
      <c r="I29" s="810"/>
      <c r="J29" s="4">
        <v>0</v>
      </c>
      <c r="K29" s="14">
        <v>0</v>
      </c>
      <c r="L29" s="4">
        <v>0</v>
      </c>
      <c r="M29" s="444">
        <v>0</v>
      </c>
      <c r="N29" s="173"/>
      <c r="O29" s="845"/>
      <c r="P29" s="846"/>
    </row>
    <row r="30" spans="1:16" ht="15.75" customHeight="1" thickTop="1" thickBot="1">
      <c r="A30" s="737"/>
      <c r="B30" s="808"/>
      <c r="C30" s="800"/>
      <c r="D30" s="801"/>
      <c r="E30" s="801"/>
      <c r="F30" s="801"/>
      <c r="G30" s="801"/>
      <c r="H30" s="801"/>
      <c r="I30" s="802"/>
      <c r="J30" s="331" t="s">
        <v>776</v>
      </c>
      <c r="K30" s="244">
        <v>0</v>
      </c>
      <c r="L30" s="331" t="s">
        <v>777</v>
      </c>
      <c r="M30" s="445">
        <v>0</v>
      </c>
      <c r="N30" s="803"/>
      <c r="O30" s="804"/>
      <c r="P30" s="805"/>
    </row>
    <row r="31" spans="1:16" ht="15.75" customHeight="1" thickTop="1"/>
  </sheetData>
  <mergeCells count="85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O17:P17"/>
    <mergeCell ref="O18:P18"/>
    <mergeCell ref="O19:P19"/>
    <mergeCell ref="D29:F29"/>
    <mergeCell ref="G29:I29"/>
    <mergeCell ref="O29:P29"/>
    <mergeCell ref="D28:F28"/>
    <mergeCell ref="G28:I28"/>
    <mergeCell ref="O28:P28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0:F20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9"/>
  <sheetViews>
    <sheetView view="pageBreakPreview" zoomScaleNormal="60" zoomScaleSheetLayoutView="100" workbookViewId="0">
      <selection activeCell="L11" sqref="L11"/>
    </sheetView>
  </sheetViews>
  <sheetFormatPr defaultColWidth="12.5703125" defaultRowHeight="15.75" customHeight="1"/>
  <cols>
    <col min="1" max="1" width="5.42578125" style="337" customWidth="1"/>
    <col min="2" max="2" width="11.42578125" style="338" customWidth="1"/>
    <col min="3" max="3" width="4" style="339" customWidth="1"/>
    <col min="4" max="17" width="9.5703125" style="337" customWidth="1"/>
    <col min="18" max="16384" width="12.5703125" style="337"/>
  </cols>
  <sheetData>
    <row r="1" spans="1:23" s="182" customFormat="1" ht="15.75" customHeight="1">
      <c r="A1" s="771" t="s">
        <v>507</v>
      </c>
      <c r="B1" s="771"/>
      <c r="C1" s="771"/>
      <c r="D1" s="771"/>
      <c r="E1" s="771"/>
      <c r="F1" s="771"/>
      <c r="G1" s="771"/>
      <c r="H1" s="771"/>
      <c r="I1" s="771"/>
      <c r="J1" s="771"/>
      <c r="K1" s="771"/>
      <c r="L1" s="771"/>
      <c r="M1" s="771"/>
      <c r="N1" s="771"/>
      <c r="O1" s="771"/>
      <c r="P1" s="771"/>
      <c r="Q1" s="771"/>
    </row>
    <row r="2" spans="1:23" s="183" customFormat="1" ht="15.75" customHeight="1">
      <c r="A2" s="771"/>
      <c r="B2" s="771"/>
      <c r="C2" s="771"/>
      <c r="D2" s="771"/>
      <c r="E2" s="771"/>
      <c r="F2" s="771"/>
      <c r="G2" s="771"/>
      <c r="H2" s="771"/>
      <c r="I2" s="771"/>
      <c r="J2" s="771"/>
      <c r="K2" s="771"/>
      <c r="L2" s="771"/>
      <c r="M2" s="771"/>
      <c r="N2" s="771"/>
      <c r="O2" s="771"/>
      <c r="P2" s="771"/>
      <c r="Q2" s="771"/>
    </row>
    <row r="3" spans="1:23" s="182" customFormat="1" ht="15.75" customHeight="1">
      <c r="A3" s="772" t="s">
        <v>508</v>
      </c>
      <c r="B3" s="772"/>
      <c r="C3" s="772"/>
      <c r="D3" s="772"/>
      <c r="E3" s="772"/>
      <c r="F3" s="772"/>
      <c r="G3" s="772"/>
      <c r="H3" s="772"/>
      <c r="I3" s="772"/>
      <c r="J3" s="772"/>
      <c r="K3" s="772"/>
      <c r="L3" s="772"/>
      <c r="M3" s="772"/>
      <c r="N3" s="184"/>
    </row>
    <row r="4" spans="1:23" s="183" customFormat="1" ht="15.75" customHeight="1">
      <c r="A4" s="772"/>
      <c r="B4" s="772"/>
      <c r="C4" s="772"/>
      <c r="D4" s="772"/>
      <c r="E4" s="772"/>
      <c r="F4" s="772"/>
      <c r="G4" s="772"/>
      <c r="H4" s="772"/>
      <c r="I4" s="772"/>
      <c r="J4" s="772"/>
      <c r="K4" s="772"/>
      <c r="L4" s="772"/>
      <c r="M4" s="772"/>
      <c r="N4" s="185"/>
    </row>
    <row r="5" spans="1:23" s="182" customFormat="1" ht="15.75" customHeight="1">
      <c r="A5" s="774" t="s">
        <v>506</v>
      </c>
      <c r="B5" s="777">
        <v>1</v>
      </c>
      <c r="C5" s="777"/>
      <c r="D5" s="777">
        <v>2</v>
      </c>
      <c r="E5" s="777"/>
      <c r="F5" s="777">
        <v>3</v>
      </c>
      <c r="G5" s="777"/>
      <c r="H5" s="848">
        <v>4</v>
      </c>
      <c r="I5" s="848"/>
      <c r="J5" s="848">
        <v>5</v>
      </c>
      <c r="K5" s="848"/>
      <c r="L5" s="848">
        <v>6</v>
      </c>
      <c r="M5" s="848"/>
      <c r="N5" s="848">
        <v>7</v>
      </c>
      <c r="O5" s="848"/>
      <c r="P5" s="777">
        <v>8</v>
      </c>
      <c r="Q5" s="777"/>
    </row>
    <row r="6" spans="1:23" s="182" customFormat="1" ht="15.75" customHeight="1">
      <c r="A6" s="774"/>
      <c r="B6" s="774" t="s">
        <v>509</v>
      </c>
      <c r="C6" s="774"/>
      <c r="D6" s="774" t="s">
        <v>510</v>
      </c>
      <c r="E6" s="774"/>
      <c r="F6" s="774" t="s">
        <v>511</v>
      </c>
      <c r="G6" s="774"/>
      <c r="H6" s="851" t="s">
        <v>512</v>
      </c>
      <c r="I6" s="849"/>
      <c r="J6" s="849" t="s">
        <v>513</v>
      </c>
      <c r="K6" s="849"/>
      <c r="L6" s="849" t="s">
        <v>514</v>
      </c>
      <c r="M6" s="849"/>
      <c r="N6" s="849" t="s">
        <v>515</v>
      </c>
      <c r="O6" s="849"/>
      <c r="P6" s="847" t="s">
        <v>516</v>
      </c>
      <c r="Q6" s="774"/>
    </row>
    <row r="7" spans="1:23" s="182" customFormat="1" ht="15.75" customHeight="1">
      <c r="B7" s="334"/>
      <c r="C7" s="335"/>
    </row>
    <row r="8" spans="1:23" s="336" customFormat="1" ht="15.75" customHeight="1">
      <c r="A8" s="828" t="s">
        <v>767</v>
      </c>
      <c r="B8" s="829"/>
      <c r="C8" s="116" t="s">
        <v>768</v>
      </c>
      <c r="D8" s="830" t="s">
        <v>12</v>
      </c>
      <c r="E8" s="831"/>
      <c r="F8" s="832"/>
      <c r="G8" s="114" t="s">
        <v>769</v>
      </c>
      <c r="H8" s="115"/>
      <c r="I8" s="116"/>
      <c r="J8" s="113" t="s">
        <v>770</v>
      </c>
      <c r="K8" s="113" t="s">
        <v>792</v>
      </c>
      <c r="L8" s="113" t="s">
        <v>772</v>
      </c>
      <c r="M8" s="117" t="s">
        <v>11</v>
      </c>
      <c r="N8" s="332" t="s">
        <v>773</v>
      </c>
      <c r="O8" s="833" t="s">
        <v>774</v>
      </c>
      <c r="P8" s="834"/>
      <c r="R8" s="182"/>
      <c r="S8" s="182"/>
      <c r="T8" s="182"/>
      <c r="U8" s="182"/>
      <c r="V8" s="182"/>
      <c r="W8" s="182"/>
    </row>
    <row r="9" spans="1:23" ht="15.75" customHeight="1">
      <c r="A9" s="829">
        <v>4</v>
      </c>
      <c r="B9" s="836" t="s">
        <v>504</v>
      </c>
      <c r="C9" s="111">
        <v>1</v>
      </c>
      <c r="D9" s="553" t="s">
        <v>735</v>
      </c>
      <c r="E9" s="809"/>
      <c r="F9" s="810"/>
      <c r="G9" s="553" t="s">
        <v>741</v>
      </c>
      <c r="H9" s="809"/>
      <c r="I9" s="810"/>
      <c r="J9" s="4">
        <v>125.59</v>
      </c>
      <c r="K9" s="14">
        <v>1.3831341700194066E-2</v>
      </c>
      <c r="L9" s="4">
        <v>2.7639999999999816</v>
      </c>
      <c r="M9" s="444">
        <v>347.13075999999768</v>
      </c>
      <c r="N9" s="4"/>
      <c r="O9" s="814" t="s">
        <v>455</v>
      </c>
      <c r="P9" s="842"/>
      <c r="R9" s="182"/>
      <c r="S9" s="182"/>
      <c r="T9" s="182"/>
      <c r="U9" s="182"/>
      <c r="V9" s="182"/>
      <c r="W9" s="182"/>
    </row>
    <row r="10" spans="1:23" ht="15.75" customHeight="1">
      <c r="A10" s="829"/>
      <c r="B10" s="836"/>
      <c r="C10" s="111">
        <v>2</v>
      </c>
      <c r="D10" s="553" t="s">
        <v>354</v>
      </c>
      <c r="E10" s="809"/>
      <c r="F10" s="810"/>
      <c r="G10" s="553" t="s">
        <v>732</v>
      </c>
      <c r="H10" s="809"/>
      <c r="I10" s="810"/>
      <c r="J10" s="4">
        <v>371.13</v>
      </c>
      <c r="K10" s="14">
        <v>5.0251256281405544E-3</v>
      </c>
      <c r="L10" s="4">
        <v>0.83999999999997499</v>
      </c>
      <c r="M10" s="444">
        <v>311.74919999999071</v>
      </c>
      <c r="N10" s="4"/>
      <c r="O10" s="814" t="s">
        <v>455</v>
      </c>
      <c r="P10" s="842"/>
      <c r="R10" s="182"/>
      <c r="S10" s="182"/>
      <c r="T10" s="182"/>
      <c r="U10" s="182"/>
      <c r="V10" s="182"/>
      <c r="W10" s="182"/>
    </row>
    <row r="11" spans="1:23" ht="15.75" customHeight="1">
      <c r="A11" s="829"/>
      <c r="B11" s="836"/>
      <c r="C11" s="111">
        <v>3</v>
      </c>
      <c r="D11" s="553" t="s">
        <v>332</v>
      </c>
      <c r="E11" s="809"/>
      <c r="F11" s="810"/>
      <c r="G11" s="553" t="s">
        <v>725</v>
      </c>
      <c r="H11" s="809"/>
      <c r="I11" s="810"/>
      <c r="J11" s="4">
        <v>361.51</v>
      </c>
      <c r="K11" s="14">
        <v>5.2093165222409791E-3</v>
      </c>
      <c r="L11" s="547">
        <v>0.85300990099000273</v>
      </c>
      <c r="M11" s="444">
        <v>308.37160930689589</v>
      </c>
      <c r="N11" s="4"/>
      <c r="O11" s="814" t="s">
        <v>455</v>
      </c>
      <c r="P11" s="842"/>
      <c r="R11" s="182"/>
      <c r="S11" s="182"/>
      <c r="T11" s="182"/>
      <c r="U11" s="182"/>
      <c r="V11" s="182"/>
      <c r="W11" s="182"/>
    </row>
    <row r="12" spans="1:23" ht="15.75" customHeight="1">
      <c r="A12" s="829"/>
      <c r="B12" s="836"/>
      <c r="C12" s="111">
        <v>4</v>
      </c>
      <c r="D12" s="553" t="s">
        <v>636</v>
      </c>
      <c r="E12" s="809"/>
      <c r="F12" s="810"/>
      <c r="G12" s="553" t="s">
        <v>637</v>
      </c>
      <c r="H12" s="809"/>
      <c r="I12" s="810"/>
      <c r="J12" s="4">
        <v>144.99</v>
      </c>
      <c r="K12" s="14">
        <v>3.5009062291328677E-2</v>
      </c>
      <c r="L12" s="4">
        <v>2.2019999999999911</v>
      </c>
      <c r="M12" s="444">
        <v>319.26797999999872</v>
      </c>
      <c r="N12" s="4"/>
      <c r="O12" s="814" t="s">
        <v>455</v>
      </c>
      <c r="P12" s="842"/>
      <c r="R12" s="182"/>
      <c r="S12" s="182"/>
      <c r="T12" s="182"/>
      <c r="U12" s="182"/>
      <c r="V12" s="182"/>
      <c r="W12" s="182"/>
    </row>
    <row r="13" spans="1:23" ht="15.75" customHeight="1" thickBot="1">
      <c r="A13" s="829"/>
      <c r="B13" s="836"/>
      <c r="C13" s="112">
        <v>5</v>
      </c>
      <c r="D13" s="553" t="s">
        <v>720</v>
      </c>
      <c r="E13" s="809"/>
      <c r="F13" s="810"/>
      <c r="G13" s="553" t="s">
        <v>722</v>
      </c>
      <c r="H13" s="809"/>
      <c r="I13" s="810"/>
      <c r="J13" s="4">
        <v>118.03</v>
      </c>
      <c r="K13" s="14">
        <v>1.1166253101736892E-2</v>
      </c>
      <c r="L13" s="4">
        <v>2.5199999999999818</v>
      </c>
      <c r="M13" s="444">
        <v>297.43559999999786</v>
      </c>
      <c r="N13" s="4"/>
      <c r="O13" s="814" t="s">
        <v>455</v>
      </c>
      <c r="P13" s="842"/>
      <c r="R13" s="182"/>
      <c r="S13" s="182"/>
      <c r="T13" s="182"/>
      <c r="U13" s="182"/>
      <c r="V13" s="182"/>
      <c r="W13" s="182"/>
    </row>
    <row r="14" spans="1:23" ht="15.75" customHeight="1" thickTop="1" thickBot="1">
      <c r="A14" s="829"/>
      <c r="B14" s="836"/>
      <c r="C14" s="844"/>
      <c r="D14" s="844"/>
      <c r="E14" s="844"/>
      <c r="F14" s="844"/>
      <c r="G14" s="844"/>
      <c r="H14" s="844"/>
      <c r="I14" s="844"/>
      <c r="J14" s="245" t="s">
        <v>776</v>
      </c>
      <c r="K14" s="244">
        <v>6.0061035832796872E-3</v>
      </c>
      <c r="L14" s="245" t="s">
        <v>777</v>
      </c>
      <c r="M14" s="445">
        <v>1583.9551493068807</v>
      </c>
      <c r="N14" s="843"/>
      <c r="O14" s="843"/>
      <c r="P14" s="843"/>
      <c r="R14" s="182"/>
      <c r="S14" s="182"/>
      <c r="T14" s="182"/>
      <c r="U14" s="182"/>
      <c r="V14" s="182"/>
      <c r="W14" s="182"/>
    </row>
    <row r="15" spans="1:23" ht="15.75" customHeight="1" thickTop="1">
      <c r="A15" s="541"/>
      <c r="B15" s="110"/>
      <c r="C15" s="108"/>
      <c r="D15" s="541"/>
      <c r="E15" s="541"/>
      <c r="F15" s="541"/>
      <c r="G15" s="541"/>
      <c r="H15" s="541"/>
      <c r="I15" s="541"/>
      <c r="J15" s="541"/>
      <c r="K15" s="541"/>
      <c r="L15" s="541"/>
      <c r="M15" s="541"/>
      <c r="N15" s="541"/>
      <c r="O15" s="541"/>
      <c r="P15" s="541"/>
      <c r="R15" s="182"/>
      <c r="S15" s="182"/>
      <c r="T15" s="182"/>
      <c r="U15" s="182"/>
      <c r="V15" s="182"/>
      <c r="W15" s="182"/>
    </row>
    <row r="16" spans="1:23" ht="15.75" customHeight="1">
      <c r="A16" s="828" t="s">
        <v>767</v>
      </c>
      <c r="B16" s="829"/>
      <c r="C16" s="116" t="s">
        <v>768</v>
      </c>
      <c r="D16" s="830" t="s">
        <v>12</v>
      </c>
      <c r="E16" s="831"/>
      <c r="F16" s="832"/>
      <c r="G16" s="114" t="s">
        <v>769</v>
      </c>
      <c r="H16" s="115"/>
      <c r="I16" s="116"/>
      <c r="J16" s="113" t="s">
        <v>770</v>
      </c>
      <c r="K16" s="113" t="s">
        <v>792</v>
      </c>
      <c r="L16" s="113" t="s">
        <v>772</v>
      </c>
      <c r="M16" s="117" t="s">
        <v>11</v>
      </c>
      <c r="N16" s="332" t="s">
        <v>773</v>
      </c>
      <c r="O16" s="833" t="s">
        <v>774</v>
      </c>
      <c r="P16" s="834"/>
      <c r="R16" s="182"/>
      <c r="S16" s="182"/>
      <c r="T16" s="182"/>
      <c r="U16" s="182"/>
      <c r="V16" s="182"/>
      <c r="W16" s="182"/>
    </row>
    <row r="17" spans="1:23" ht="15.75" customHeight="1">
      <c r="A17" s="829">
        <v>5</v>
      </c>
      <c r="B17" s="835" t="s">
        <v>194</v>
      </c>
      <c r="C17" s="111">
        <v>1</v>
      </c>
      <c r="D17" s="553" t="s">
        <v>787</v>
      </c>
      <c r="E17" s="809"/>
      <c r="F17" s="810"/>
      <c r="G17" s="553" t="s">
        <v>788</v>
      </c>
      <c r="H17" s="809"/>
      <c r="I17" s="810"/>
      <c r="J17" s="4">
        <v>395.29</v>
      </c>
      <c r="K17" s="14">
        <v>6.1006609049314544E-3</v>
      </c>
      <c r="L17" s="4">
        <v>1.2000000000000171</v>
      </c>
      <c r="M17" s="444">
        <v>474.34800000000678</v>
      </c>
      <c r="N17" s="4"/>
      <c r="O17" s="814" t="s">
        <v>517</v>
      </c>
      <c r="P17" s="815"/>
      <c r="R17" s="182"/>
      <c r="S17" s="182"/>
      <c r="T17" s="182"/>
      <c r="U17" s="182"/>
      <c r="V17" s="182"/>
      <c r="W17" s="182"/>
    </row>
    <row r="18" spans="1:23" ht="15.75" customHeight="1">
      <c r="A18" s="829"/>
      <c r="B18" s="836"/>
      <c r="C18" s="111">
        <v>2</v>
      </c>
      <c r="D18" s="553" t="s">
        <v>609</v>
      </c>
      <c r="E18" s="809"/>
      <c r="F18" s="810"/>
      <c r="G18" s="553" t="s">
        <v>610</v>
      </c>
      <c r="H18" s="809"/>
      <c r="I18" s="810"/>
      <c r="J18" s="4">
        <v>447.3</v>
      </c>
      <c r="K18" s="14">
        <v>6.6162570888469085E-3</v>
      </c>
      <c r="L18" s="4">
        <v>0.84000000000000341</v>
      </c>
      <c r="M18" s="444">
        <v>375.73200000000156</v>
      </c>
      <c r="N18" s="4"/>
      <c r="O18" s="814" t="s">
        <v>517</v>
      </c>
      <c r="P18" s="815"/>
      <c r="R18" s="182"/>
      <c r="S18" s="182"/>
      <c r="T18" s="182"/>
      <c r="U18" s="182"/>
      <c r="V18" s="182"/>
      <c r="W18" s="182"/>
    </row>
    <row r="19" spans="1:23" ht="15.75" customHeight="1">
      <c r="A19" s="829"/>
      <c r="B19" s="836"/>
      <c r="C19" s="111">
        <v>3</v>
      </c>
      <c r="D19" s="553" t="s">
        <v>334</v>
      </c>
      <c r="E19" s="809"/>
      <c r="F19" s="810"/>
      <c r="G19" s="553" t="s">
        <v>577</v>
      </c>
      <c r="H19" s="809"/>
      <c r="I19" s="810"/>
      <c r="J19" s="4">
        <v>581.91999999999996</v>
      </c>
      <c r="K19" s="14">
        <v>3.0658156325206576E-2</v>
      </c>
      <c r="L19" s="4">
        <v>0.58599999999999852</v>
      </c>
      <c r="M19" s="444">
        <v>341.00511999999912</v>
      </c>
      <c r="N19" s="4"/>
      <c r="O19" s="814" t="s">
        <v>517</v>
      </c>
      <c r="P19" s="815"/>
      <c r="R19" s="182"/>
      <c r="S19" s="182"/>
      <c r="T19" s="182"/>
      <c r="U19" s="182"/>
      <c r="V19" s="182"/>
      <c r="W19" s="182"/>
    </row>
    <row r="20" spans="1:23" ht="15.75" customHeight="1">
      <c r="A20" s="829"/>
      <c r="B20" s="836"/>
      <c r="C20" s="111">
        <v>4</v>
      </c>
      <c r="D20" s="553" t="s">
        <v>626</v>
      </c>
      <c r="E20" s="809"/>
      <c r="F20" s="810"/>
      <c r="G20" s="553" t="s">
        <v>723</v>
      </c>
      <c r="H20" s="809"/>
      <c r="I20" s="810"/>
      <c r="J20" s="4">
        <v>272.57</v>
      </c>
      <c r="K20" s="14">
        <v>1.6068376068375835E-2</v>
      </c>
      <c r="L20" s="4">
        <v>1.1749999999999829</v>
      </c>
      <c r="M20" s="444">
        <v>320.26974999999533</v>
      </c>
      <c r="N20" s="4"/>
      <c r="O20" s="814" t="s">
        <v>517</v>
      </c>
      <c r="P20" s="815"/>
      <c r="R20" s="182"/>
      <c r="S20" s="182"/>
      <c r="T20" s="182"/>
      <c r="U20" s="182"/>
      <c r="V20" s="182"/>
      <c r="W20" s="182"/>
    </row>
    <row r="21" spans="1:23" ht="15.75" customHeight="1" thickBot="1">
      <c r="A21" s="829"/>
      <c r="B21" s="836"/>
      <c r="C21" s="112">
        <v>5</v>
      </c>
      <c r="D21" s="553" t="s">
        <v>352</v>
      </c>
      <c r="E21" s="809"/>
      <c r="F21" s="810"/>
      <c r="G21" s="553" t="s">
        <v>370</v>
      </c>
      <c r="H21" s="809"/>
      <c r="I21" s="810"/>
      <c r="J21" s="4">
        <v>420.33</v>
      </c>
      <c r="K21" s="14">
        <v>1.0436104775727158E-2</v>
      </c>
      <c r="L21" s="4">
        <v>0.75499999999998124</v>
      </c>
      <c r="M21" s="444">
        <v>317.34914999999211</v>
      </c>
      <c r="N21" s="4"/>
      <c r="O21" s="814" t="s">
        <v>517</v>
      </c>
      <c r="P21" s="815"/>
      <c r="R21" s="182"/>
      <c r="S21" s="182"/>
      <c r="T21" s="182"/>
      <c r="U21" s="182"/>
      <c r="V21" s="182"/>
      <c r="W21" s="182"/>
    </row>
    <row r="22" spans="1:23" ht="15.75" customHeight="1" thickTop="1" thickBot="1">
      <c r="A22" s="829"/>
      <c r="B22" s="836"/>
      <c r="C22" s="837"/>
      <c r="D22" s="837"/>
      <c r="E22" s="837"/>
      <c r="F22" s="837"/>
      <c r="G22" s="837"/>
      <c r="H22" s="837"/>
      <c r="I22" s="838"/>
      <c r="J22" s="118" t="s">
        <v>776</v>
      </c>
      <c r="K22" s="244">
        <v>6.9341520005071688E-3</v>
      </c>
      <c r="L22" s="118" t="s">
        <v>777</v>
      </c>
      <c r="M22" s="445">
        <v>1828.7040199999949</v>
      </c>
      <c r="N22" s="839"/>
      <c r="O22" s="840"/>
      <c r="P22" s="841"/>
      <c r="R22" s="182"/>
      <c r="S22" s="182"/>
      <c r="T22" s="182"/>
      <c r="U22" s="182"/>
      <c r="V22" s="182"/>
      <c r="W22" s="182"/>
    </row>
    <row r="23" spans="1:23" ht="15.75" customHeight="1" thickTop="1">
      <c r="A23" s="541"/>
      <c r="B23" s="110"/>
      <c r="C23" s="108"/>
      <c r="D23" s="541"/>
      <c r="E23" s="541"/>
      <c r="F23" s="541"/>
      <c r="G23" s="541"/>
      <c r="H23" s="541"/>
      <c r="I23" s="541"/>
      <c r="J23" s="541"/>
      <c r="K23" s="541"/>
      <c r="L23" s="541"/>
      <c r="M23" s="541"/>
      <c r="N23" s="541"/>
      <c r="O23" s="541"/>
      <c r="P23" s="541"/>
      <c r="R23" s="182"/>
      <c r="S23" s="182"/>
      <c r="T23" s="182"/>
      <c r="U23" s="182"/>
      <c r="V23" s="182"/>
      <c r="W23" s="182"/>
    </row>
    <row r="24" spans="1:23" ht="15.75" customHeight="1">
      <c r="A24" s="828" t="s">
        <v>767</v>
      </c>
      <c r="B24" s="829"/>
      <c r="C24" s="116" t="s">
        <v>768</v>
      </c>
      <c r="D24" s="830" t="s">
        <v>12</v>
      </c>
      <c r="E24" s="831"/>
      <c r="F24" s="832"/>
      <c r="G24" s="114" t="s">
        <v>769</v>
      </c>
      <c r="H24" s="115"/>
      <c r="I24" s="116"/>
      <c r="J24" s="113" t="s">
        <v>770</v>
      </c>
      <c r="K24" s="113" t="s">
        <v>792</v>
      </c>
      <c r="L24" s="113" t="s">
        <v>772</v>
      </c>
      <c r="M24" s="117" t="s">
        <v>11</v>
      </c>
      <c r="N24" s="332" t="s">
        <v>773</v>
      </c>
      <c r="O24" s="833" t="s">
        <v>774</v>
      </c>
      <c r="P24" s="834"/>
      <c r="R24" s="182"/>
      <c r="S24" s="182"/>
      <c r="T24" s="182"/>
      <c r="U24" s="182"/>
      <c r="V24" s="182"/>
      <c r="W24" s="182"/>
    </row>
    <row r="25" spans="1:23" ht="15.75" customHeight="1">
      <c r="A25" s="829">
        <v>6</v>
      </c>
      <c r="B25" s="835" t="s">
        <v>195</v>
      </c>
      <c r="C25" s="111">
        <v>1</v>
      </c>
      <c r="D25" s="553" t="s">
        <v>574</v>
      </c>
      <c r="E25" s="809"/>
      <c r="F25" s="810"/>
      <c r="G25" s="553" t="s">
        <v>333</v>
      </c>
      <c r="H25" s="809"/>
      <c r="I25" s="810"/>
      <c r="J25" s="4">
        <v>487.6</v>
      </c>
      <c r="K25" s="14">
        <v>1.7200982913309442E-2</v>
      </c>
      <c r="L25" s="4">
        <v>0.60200000000000387</v>
      </c>
      <c r="M25" s="444">
        <v>293.53520000000191</v>
      </c>
      <c r="N25" s="4"/>
      <c r="O25" s="814" t="s">
        <v>795</v>
      </c>
      <c r="P25" s="842"/>
      <c r="R25" s="182"/>
      <c r="S25" s="182"/>
      <c r="T25" s="182"/>
      <c r="U25" s="182"/>
      <c r="V25" s="182"/>
      <c r="W25" s="182"/>
    </row>
    <row r="26" spans="1:23" ht="15.75" customHeight="1">
      <c r="A26" s="829"/>
      <c r="B26" s="836"/>
      <c r="C26" s="111">
        <v>2</v>
      </c>
      <c r="D26" s="553" t="s">
        <v>573</v>
      </c>
      <c r="E26" s="809"/>
      <c r="F26" s="810"/>
      <c r="G26" s="553" t="s">
        <v>650</v>
      </c>
      <c r="H26" s="809"/>
      <c r="I26" s="810"/>
      <c r="J26" s="4">
        <v>444.88</v>
      </c>
      <c r="K26" s="14">
        <v>3.819058212829083E-2</v>
      </c>
      <c r="L26" s="4">
        <v>0.6180000000000021</v>
      </c>
      <c r="M26" s="444">
        <v>274.93584000000095</v>
      </c>
      <c r="N26" s="4"/>
      <c r="O26" s="814" t="s">
        <v>712</v>
      </c>
      <c r="P26" s="842"/>
      <c r="R26" s="182"/>
      <c r="S26" s="182"/>
      <c r="T26" s="182"/>
      <c r="U26" s="182"/>
      <c r="V26" s="182"/>
      <c r="W26" s="182"/>
    </row>
    <row r="27" spans="1:23" ht="15.75" customHeight="1">
      <c r="A27" s="829"/>
      <c r="B27" s="836"/>
      <c r="C27" s="111">
        <v>3</v>
      </c>
      <c r="D27" s="553">
        <v>0</v>
      </c>
      <c r="E27" s="809"/>
      <c r="F27" s="810"/>
      <c r="G27" s="553">
        <v>0</v>
      </c>
      <c r="H27" s="809"/>
      <c r="I27" s="810"/>
      <c r="J27" s="4">
        <v>0</v>
      </c>
      <c r="K27" s="14">
        <v>0</v>
      </c>
      <c r="L27" s="4">
        <v>0</v>
      </c>
      <c r="M27" s="444">
        <v>0</v>
      </c>
      <c r="N27" s="4"/>
      <c r="O27" s="814"/>
      <c r="P27" s="842"/>
      <c r="R27" s="182"/>
      <c r="S27" s="182"/>
      <c r="T27" s="182"/>
      <c r="U27" s="182"/>
      <c r="V27" s="182"/>
      <c r="W27" s="182"/>
    </row>
    <row r="28" spans="1:23" ht="15.75" customHeight="1">
      <c r="A28" s="829"/>
      <c r="B28" s="836"/>
      <c r="C28" s="111">
        <v>4</v>
      </c>
      <c r="D28" s="553">
        <v>0</v>
      </c>
      <c r="E28" s="809"/>
      <c r="F28" s="810"/>
      <c r="G28" s="553">
        <v>0</v>
      </c>
      <c r="H28" s="809"/>
      <c r="I28" s="810"/>
      <c r="J28" s="4">
        <v>0</v>
      </c>
      <c r="K28" s="14">
        <v>0</v>
      </c>
      <c r="L28" s="4">
        <v>0</v>
      </c>
      <c r="M28" s="444">
        <v>0</v>
      </c>
      <c r="N28" s="4"/>
      <c r="O28" s="814"/>
      <c r="P28" s="842"/>
      <c r="R28" s="182"/>
      <c r="S28" s="182"/>
      <c r="T28" s="182"/>
      <c r="U28" s="182"/>
      <c r="V28" s="182"/>
      <c r="W28" s="182"/>
    </row>
    <row r="29" spans="1:23" ht="15.75" customHeight="1" thickBot="1">
      <c r="A29" s="829"/>
      <c r="B29" s="836"/>
      <c r="C29" s="112">
        <v>5</v>
      </c>
      <c r="D29" s="553">
        <v>0</v>
      </c>
      <c r="E29" s="809"/>
      <c r="F29" s="810"/>
      <c r="G29" s="553">
        <v>0</v>
      </c>
      <c r="H29" s="809"/>
      <c r="I29" s="810"/>
      <c r="J29" s="4">
        <v>0</v>
      </c>
      <c r="K29" s="14">
        <v>0</v>
      </c>
      <c r="L29" s="4">
        <v>0</v>
      </c>
      <c r="M29" s="444">
        <v>0</v>
      </c>
      <c r="N29" s="4"/>
      <c r="O29" s="814"/>
      <c r="P29" s="842"/>
      <c r="R29" s="182"/>
      <c r="S29" s="182"/>
      <c r="T29" s="182"/>
      <c r="U29" s="182"/>
      <c r="V29" s="182"/>
      <c r="W29" s="182"/>
    </row>
    <row r="30" spans="1:23" ht="15.75" customHeight="1" thickTop="1" thickBot="1">
      <c r="A30" s="829"/>
      <c r="B30" s="836"/>
      <c r="C30" s="837"/>
      <c r="D30" s="837"/>
      <c r="E30" s="837"/>
      <c r="F30" s="837"/>
      <c r="G30" s="837"/>
      <c r="H30" s="837"/>
      <c r="I30" s="838"/>
      <c r="J30" s="118" t="s">
        <v>776</v>
      </c>
      <c r="K30" s="244">
        <v>2.1555509016961761E-3</v>
      </c>
      <c r="L30" s="118" t="s">
        <v>777</v>
      </c>
      <c r="M30" s="445">
        <v>568.47104000000286</v>
      </c>
      <c r="N30" s="839"/>
      <c r="O30" s="840"/>
      <c r="P30" s="841"/>
      <c r="R30" s="182"/>
      <c r="S30" s="182"/>
      <c r="T30" s="182"/>
      <c r="U30" s="182"/>
      <c r="V30" s="182"/>
      <c r="W30" s="182"/>
    </row>
    <row r="31" spans="1:23" ht="15.75" customHeight="1" thickTop="1">
      <c r="A31" s="541"/>
      <c r="B31" s="110"/>
      <c r="C31" s="108"/>
      <c r="D31" s="541"/>
      <c r="E31" s="541"/>
      <c r="F31" s="541"/>
      <c r="G31" s="541"/>
      <c r="H31" s="541"/>
      <c r="I31" s="541"/>
      <c r="J31" s="541"/>
      <c r="K31" s="541"/>
      <c r="L31" s="541"/>
      <c r="M31" s="541"/>
      <c r="N31" s="541"/>
      <c r="O31" s="541"/>
      <c r="P31" s="541"/>
      <c r="R31" s="182"/>
      <c r="S31" s="182"/>
      <c r="T31" s="182"/>
      <c r="U31" s="182"/>
      <c r="V31" s="182"/>
      <c r="W31" s="182"/>
    </row>
    <row r="32" spans="1:23" ht="15.75" customHeight="1">
      <c r="A32" s="828" t="s">
        <v>767</v>
      </c>
      <c r="B32" s="829"/>
      <c r="C32" s="116" t="s">
        <v>768</v>
      </c>
      <c r="D32" s="830" t="s">
        <v>12</v>
      </c>
      <c r="E32" s="831"/>
      <c r="F32" s="832"/>
      <c r="G32" s="114" t="s">
        <v>769</v>
      </c>
      <c r="H32" s="115"/>
      <c r="I32" s="116"/>
      <c r="J32" s="113" t="s">
        <v>770</v>
      </c>
      <c r="K32" s="113" t="s">
        <v>792</v>
      </c>
      <c r="L32" s="113" t="s">
        <v>772</v>
      </c>
      <c r="M32" s="117" t="s">
        <v>11</v>
      </c>
      <c r="N32" s="117" t="s">
        <v>13</v>
      </c>
      <c r="O32" s="833" t="s">
        <v>774</v>
      </c>
      <c r="P32" s="834"/>
      <c r="R32" s="182"/>
      <c r="S32" s="182"/>
      <c r="T32" s="182"/>
      <c r="U32" s="182"/>
      <c r="V32" s="182"/>
      <c r="W32" s="182"/>
    </row>
    <row r="33" spans="1:23" ht="15.75" customHeight="1">
      <c r="A33" s="829">
        <v>7</v>
      </c>
      <c r="B33" s="835" t="s">
        <v>789</v>
      </c>
      <c r="C33" s="111">
        <v>1</v>
      </c>
      <c r="D33" s="553" t="s">
        <v>733</v>
      </c>
      <c r="E33" s="809"/>
      <c r="F33" s="810"/>
      <c r="G33" s="553" t="s">
        <v>742</v>
      </c>
      <c r="H33" s="809"/>
      <c r="I33" s="810"/>
      <c r="J33" s="4">
        <v>1210</v>
      </c>
      <c r="K33" s="14">
        <v>8.1967213114753322E-3</v>
      </c>
      <c r="L33" s="4">
        <v>0.29999999999999716</v>
      </c>
      <c r="M33" s="444">
        <v>362.99999999999659</v>
      </c>
      <c r="N33" s="4"/>
      <c r="O33" s="814" t="s">
        <v>796</v>
      </c>
      <c r="P33" s="842"/>
      <c r="R33" s="182"/>
      <c r="S33" s="182"/>
      <c r="T33" s="182"/>
      <c r="U33" s="182"/>
      <c r="V33" s="182"/>
      <c r="W33" s="182"/>
    </row>
    <row r="34" spans="1:23" ht="15.75" customHeight="1">
      <c r="A34" s="829"/>
      <c r="B34" s="836"/>
      <c r="C34" s="111">
        <v>2</v>
      </c>
      <c r="D34" s="553" t="s">
        <v>329</v>
      </c>
      <c r="E34" s="809"/>
      <c r="F34" s="810"/>
      <c r="G34" s="553" t="s">
        <v>711</v>
      </c>
      <c r="H34" s="809"/>
      <c r="I34" s="810"/>
      <c r="J34" s="4">
        <v>1760</v>
      </c>
      <c r="K34" s="14">
        <v>9.5617529880478169E-2</v>
      </c>
      <c r="L34" s="4">
        <v>0.19200000000000017</v>
      </c>
      <c r="M34" s="444">
        <v>337.9200000000003</v>
      </c>
      <c r="N34" s="4"/>
      <c r="O34" s="814" t="s">
        <v>796</v>
      </c>
      <c r="P34" s="842"/>
      <c r="R34" s="182"/>
      <c r="S34" s="182"/>
      <c r="T34" s="182"/>
      <c r="U34" s="182"/>
      <c r="V34" s="182"/>
      <c r="W34" s="182"/>
    </row>
    <row r="35" spans="1:23" ht="15.75" customHeight="1">
      <c r="A35" s="829"/>
      <c r="B35" s="836"/>
      <c r="C35" s="111">
        <v>3</v>
      </c>
      <c r="D35" s="553" t="s">
        <v>626</v>
      </c>
      <c r="E35" s="809"/>
      <c r="F35" s="810"/>
      <c r="G35" s="553" t="s">
        <v>790</v>
      </c>
      <c r="H35" s="809"/>
      <c r="I35" s="810"/>
      <c r="J35" s="4">
        <v>68.62</v>
      </c>
      <c r="K35" s="14">
        <v>4.7177705346540862E-3</v>
      </c>
      <c r="L35" s="4">
        <v>4.73599999999999</v>
      </c>
      <c r="M35" s="444">
        <v>324.98431999999934</v>
      </c>
      <c r="N35" s="4"/>
      <c r="O35" s="850" t="s">
        <v>791</v>
      </c>
      <c r="P35" s="842"/>
      <c r="R35" s="182"/>
      <c r="S35" s="182"/>
      <c r="T35" s="182"/>
      <c r="U35" s="182"/>
      <c r="V35" s="182"/>
      <c r="W35" s="182"/>
    </row>
    <row r="36" spans="1:23" ht="15.75" customHeight="1">
      <c r="A36" s="829"/>
      <c r="B36" s="836"/>
      <c r="C36" s="111">
        <v>4</v>
      </c>
      <c r="D36" s="553" t="s">
        <v>636</v>
      </c>
      <c r="E36" s="809"/>
      <c r="F36" s="810"/>
      <c r="G36" s="553" t="s">
        <v>652</v>
      </c>
      <c r="H36" s="809"/>
      <c r="I36" s="810"/>
      <c r="J36" s="4">
        <v>790</v>
      </c>
      <c r="K36" s="14">
        <v>8.5069444444444531E-2</v>
      </c>
      <c r="L36" s="4">
        <v>0.39200000000000035</v>
      </c>
      <c r="M36" s="444">
        <v>309.68000000000029</v>
      </c>
      <c r="N36" s="4"/>
      <c r="O36" s="814" t="s">
        <v>796</v>
      </c>
      <c r="P36" s="842"/>
      <c r="R36" s="182"/>
      <c r="S36" s="182"/>
      <c r="T36" s="182"/>
      <c r="U36" s="182"/>
      <c r="V36" s="182"/>
      <c r="W36" s="182"/>
    </row>
    <row r="37" spans="1:23" ht="15.75" customHeight="1" thickBot="1">
      <c r="A37" s="829"/>
      <c r="B37" s="836"/>
      <c r="C37" s="112">
        <v>5</v>
      </c>
      <c r="D37" s="553" t="s">
        <v>629</v>
      </c>
      <c r="E37" s="809"/>
      <c r="F37" s="810"/>
      <c r="G37" s="553" t="s">
        <v>797</v>
      </c>
      <c r="H37" s="809"/>
      <c r="I37" s="810"/>
      <c r="J37" s="4">
        <v>771.4</v>
      </c>
      <c r="K37" s="14">
        <v>3.0752193542891118E-2</v>
      </c>
      <c r="L37" s="4">
        <v>0.36099999999999888</v>
      </c>
      <c r="M37" s="444">
        <v>278.47539999999913</v>
      </c>
      <c r="N37" s="4"/>
      <c r="O37" s="814" t="s">
        <v>796</v>
      </c>
      <c r="P37" s="842"/>
      <c r="R37" s="182"/>
      <c r="S37" s="182"/>
      <c r="T37" s="182"/>
      <c r="U37" s="182"/>
      <c r="V37" s="182"/>
      <c r="W37" s="182"/>
    </row>
    <row r="38" spans="1:23" ht="15.75" customHeight="1" thickTop="1" thickBot="1">
      <c r="A38" s="829"/>
      <c r="B38" s="836"/>
      <c r="C38" s="837"/>
      <c r="D38" s="837"/>
      <c r="E38" s="837"/>
      <c r="F38" s="837"/>
      <c r="G38" s="837"/>
      <c r="H38" s="837"/>
      <c r="I38" s="838"/>
      <c r="J38" s="118" t="s">
        <v>776</v>
      </c>
      <c r="K38" s="244">
        <v>6.1202552813199602E-3</v>
      </c>
      <c r="L38" s="118" t="s">
        <v>777</v>
      </c>
      <c r="M38" s="445">
        <v>1614.0597199999957</v>
      </c>
      <c r="N38" s="839"/>
      <c r="O38" s="840"/>
      <c r="P38" s="841"/>
      <c r="R38" s="182"/>
      <c r="S38" s="182"/>
      <c r="T38" s="182"/>
      <c r="U38" s="182"/>
      <c r="V38" s="182"/>
      <c r="W38" s="182"/>
    </row>
    <row r="39" spans="1:23" ht="15.75" customHeight="1" thickTop="1"/>
  </sheetData>
  <mergeCells count="10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T30" sqref="T30"/>
    </sheetView>
  </sheetViews>
  <sheetFormatPr defaultColWidth="12.5703125" defaultRowHeight="15.75" customHeight="1"/>
  <cols>
    <col min="1" max="1" width="5.42578125" style="119" customWidth="1"/>
    <col min="2" max="2" width="7.85546875" style="175" customWidth="1"/>
    <col min="3" max="3" width="4" style="160" customWidth="1"/>
    <col min="4" max="17" width="8.5703125" style="119" customWidth="1"/>
    <col min="18" max="16384" width="12.5703125" style="119"/>
  </cols>
  <sheetData>
    <row r="1" spans="1:17" ht="15.75" customHeight="1">
      <c r="A1" s="580" t="s">
        <v>186</v>
      </c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0"/>
      <c r="N1" s="580"/>
      <c r="O1" s="580"/>
      <c r="P1" s="580"/>
      <c r="Q1" s="580"/>
    </row>
    <row r="2" spans="1:17" s="120" customFormat="1" ht="15.75" customHeight="1">
      <c r="A2" s="580"/>
      <c r="B2" s="580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0"/>
      <c r="N2" s="580"/>
      <c r="O2" s="580"/>
      <c r="P2" s="580"/>
      <c r="Q2" s="580"/>
    </row>
    <row r="3" spans="1:17" ht="15.75" customHeight="1">
      <c r="A3" s="716" t="s">
        <v>197</v>
      </c>
      <c r="B3" s="716"/>
      <c r="C3" s="716"/>
      <c r="D3" s="716"/>
      <c r="E3" s="716"/>
      <c r="F3" s="716"/>
      <c r="G3" s="716"/>
      <c r="H3" s="716"/>
      <c r="I3" s="716"/>
      <c r="J3" s="716"/>
      <c r="K3" s="716"/>
      <c r="L3" s="716"/>
      <c r="M3" s="716"/>
      <c r="N3" s="716"/>
      <c r="O3" s="716"/>
      <c r="P3" s="716"/>
      <c r="Q3" s="716"/>
    </row>
    <row r="4" spans="1:17" s="120" customFormat="1" ht="15.75" customHeight="1">
      <c r="A4" s="857"/>
      <c r="B4" s="857"/>
      <c r="C4" s="857"/>
      <c r="D4" s="857"/>
      <c r="E4" s="857"/>
      <c r="F4" s="857"/>
      <c r="G4" s="857"/>
      <c r="H4" s="857"/>
      <c r="I4" s="857"/>
      <c r="J4" s="857"/>
      <c r="K4" s="857"/>
      <c r="L4" s="857"/>
      <c r="M4" s="857"/>
      <c r="N4" s="857"/>
      <c r="O4" s="857"/>
      <c r="P4" s="857"/>
      <c r="Q4" s="857"/>
    </row>
    <row r="5" spans="1:17" ht="15.75" customHeight="1">
      <c r="A5" s="599" t="s">
        <v>172</v>
      </c>
      <c r="B5" s="823">
        <v>1</v>
      </c>
      <c r="C5" s="823"/>
      <c r="D5" s="823">
        <v>2</v>
      </c>
      <c r="E5" s="823"/>
      <c r="F5" s="823">
        <v>3</v>
      </c>
      <c r="G5" s="823"/>
      <c r="H5" s="823">
        <v>4</v>
      </c>
      <c r="I5" s="823"/>
      <c r="J5" s="823">
        <v>5</v>
      </c>
      <c r="K5" s="823"/>
      <c r="L5" s="823">
        <v>6</v>
      </c>
      <c r="M5" s="823"/>
      <c r="N5" s="823">
        <v>7</v>
      </c>
      <c r="O5" s="823"/>
      <c r="P5" s="825">
        <v>8</v>
      </c>
      <c r="Q5" s="825"/>
    </row>
    <row r="6" spans="1:17" ht="15.75" customHeight="1">
      <c r="A6" s="599"/>
      <c r="B6" s="599" t="s">
        <v>305</v>
      </c>
      <c r="C6" s="599"/>
      <c r="D6" s="599" t="s">
        <v>198</v>
      </c>
      <c r="E6" s="599"/>
      <c r="F6" s="599" t="s">
        <v>164</v>
      </c>
      <c r="G6" s="599"/>
      <c r="H6" s="599" t="s">
        <v>504</v>
      </c>
      <c r="I6" s="599"/>
      <c r="J6" s="599" t="s">
        <v>170</v>
      </c>
      <c r="K6" s="599"/>
      <c r="L6" s="599" t="s">
        <v>165</v>
      </c>
      <c r="M6" s="599"/>
      <c r="N6" s="599" t="s">
        <v>171</v>
      </c>
      <c r="O6" s="599"/>
      <c r="P6" s="826" t="s">
        <v>199</v>
      </c>
      <c r="Q6" s="826"/>
    </row>
    <row r="8" spans="1:17" s="153" customFormat="1" ht="15.75" customHeight="1">
      <c r="A8" s="162" t="s">
        <v>174</v>
      </c>
      <c r="B8" s="179" t="s">
        <v>18</v>
      </c>
      <c r="C8" s="855" t="s">
        <v>12</v>
      </c>
      <c r="D8" s="855"/>
      <c r="E8" s="855"/>
      <c r="F8" s="855" t="s">
        <v>53</v>
      </c>
      <c r="G8" s="855"/>
      <c r="H8" s="855"/>
      <c r="I8" s="179" t="s">
        <v>54</v>
      </c>
      <c r="J8" s="180" t="s">
        <v>19</v>
      </c>
      <c r="K8" s="179" t="s">
        <v>57</v>
      </c>
      <c r="L8" s="179" t="s">
        <v>2</v>
      </c>
      <c r="M8" s="858" t="s">
        <v>50</v>
      </c>
      <c r="N8" s="859"/>
      <c r="O8" s="859"/>
      <c r="P8" s="859"/>
      <c r="Q8" s="859"/>
    </row>
    <row r="9" spans="1:17" ht="15.75" customHeight="1">
      <c r="A9" s="855" t="s">
        <v>173</v>
      </c>
      <c r="B9" s="155">
        <v>1</v>
      </c>
      <c r="C9" s="721"/>
      <c r="D9" s="701"/>
      <c r="E9" s="701"/>
      <c r="F9" s="721"/>
      <c r="G9" s="701"/>
      <c r="H9" s="701"/>
      <c r="I9" s="163"/>
      <c r="J9" s="177"/>
      <c r="K9" s="177"/>
      <c r="L9" s="178">
        <f>K9-J9</f>
        <v>0</v>
      </c>
      <c r="M9" s="721"/>
      <c r="N9" s="721"/>
      <c r="O9" s="721"/>
      <c r="P9" s="721"/>
      <c r="Q9" s="721"/>
    </row>
    <row r="10" spans="1:17" ht="15.75" customHeight="1">
      <c r="A10" s="856"/>
      <c r="B10" s="155">
        <v>2</v>
      </c>
      <c r="C10" s="721"/>
      <c r="D10" s="701"/>
      <c r="E10" s="701"/>
      <c r="F10" s="721"/>
      <c r="G10" s="701"/>
      <c r="H10" s="701"/>
      <c r="I10" s="163"/>
      <c r="J10" s="177"/>
      <c r="K10" s="177"/>
      <c r="L10" s="178">
        <f>K10-J10</f>
        <v>0</v>
      </c>
      <c r="M10" s="721"/>
      <c r="N10" s="721"/>
      <c r="O10" s="721"/>
      <c r="P10" s="721"/>
      <c r="Q10" s="721"/>
    </row>
    <row r="11" spans="1:17" ht="15.75" customHeight="1">
      <c r="A11" s="856"/>
      <c r="B11" s="155">
        <v>3</v>
      </c>
      <c r="C11" s="721"/>
      <c r="D11" s="701"/>
      <c r="E11" s="701"/>
      <c r="F11" s="721"/>
      <c r="G11" s="701"/>
      <c r="H11" s="701"/>
      <c r="I11" s="163"/>
      <c r="J11" s="177"/>
      <c r="K11" s="177"/>
      <c r="L11" s="178">
        <f>K11-J11</f>
        <v>0</v>
      </c>
      <c r="M11" s="721"/>
      <c r="N11" s="721"/>
      <c r="O11" s="721"/>
      <c r="P11" s="721"/>
      <c r="Q11" s="721"/>
    </row>
    <row r="12" spans="1:17" ht="15.75" customHeight="1">
      <c r="A12" s="856"/>
      <c r="B12" s="155">
        <v>4</v>
      </c>
      <c r="C12" s="721"/>
      <c r="D12" s="701"/>
      <c r="E12" s="701"/>
      <c r="F12" s="721"/>
      <c r="G12" s="701"/>
      <c r="H12" s="701"/>
      <c r="I12" s="163"/>
      <c r="J12" s="177"/>
      <c r="K12" s="177"/>
      <c r="L12" s="178">
        <f>K12-J12</f>
        <v>0</v>
      </c>
      <c r="M12" s="721"/>
      <c r="N12" s="721"/>
      <c r="O12" s="721"/>
      <c r="P12" s="721"/>
      <c r="Q12" s="721"/>
    </row>
    <row r="13" spans="1:17" ht="15.75" customHeight="1">
      <c r="A13" s="856"/>
      <c r="B13" s="155">
        <v>5</v>
      </c>
      <c r="C13" s="721"/>
      <c r="D13" s="701"/>
      <c r="E13" s="701"/>
      <c r="F13" s="721"/>
      <c r="G13" s="701"/>
      <c r="H13" s="701"/>
      <c r="I13" s="163"/>
      <c r="J13" s="177"/>
      <c r="K13" s="177"/>
      <c r="L13" s="178">
        <f>K13-J13</f>
        <v>0</v>
      </c>
      <c r="M13" s="721"/>
      <c r="N13" s="721"/>
      <c r="O13" s="721"/>
      <c r="P13" s="721"/>
      <c r="Q13" s="721"/>
    </row>
    <row r="14" spans="1:17" ht="15.75" customHeight="1">
      <c r="A14" s="853"/>
      <c r="B14" s="853"/>
      <c r="C14" s="853"/>
      <c r="D14" s="853"/>
      <c r="E14" s="853"/>
      <c r="F14" s="853"/>
      <c r="G14" s="853"/>
      <c r="H14" s="853"/>
      <c r="I14" s="853"/>
      <c r="J14" s="853"/>
      <c r="K14" s="853"/>
      <c r="L14" s="853"/>
      <c r="M14" s="853"/>
      <c r="N14" s="853"/>
      <c r="O14" s="854"/>
    </row>
    <row r="15" spans="1:17" s="153" customFormat="1" ht="15.75" customHeight="1">
      <c r="A15" s="162" t="s">
        <v>174</v>
      </c>
      <c r="B15" s="162" t="s">
        <v>18</v>
      </c>
      <c r="C15" s="852" t="s">
        <v>12</v>
      </c>
      <c r="D15" s="852"/>
      <c r="E15" s="852"/>
      <c r="F15" s="852" t="s">
        <v>53</v>
      </c>
      <c r="G15" s="852"/>
      <c r="H15" s="852"/>
      <c r="I15" s="162" t="s">
        <v>54</v>
      </c>
      <c r="J15" s="176" t="s">
        <v>19</v>
      </c>
      <c r="K15" s="162" t="s">
        <v>57</v>
      </c>
      <c r="L15" s="162" t="s">
        <v>2</v>
      </c>
      <c r="M15" s="852" t="s">
        <v>50</v>
      </c>
      <c r="N15" s="852"/>
      <c r="O15" s="852"/>
      <c r="P15" s="852"/>
      <c r="Q15" s="852"/>
    </row>
    <row r="16" spans="1:17" ht="15.75" customHeight="1">
      <c r="A16" s="852" t="s">
        <v>175</v>
      </c>
      <c r="B16" s="155">
        <v>1</v>
      </c>
      <c r="C16" s="721"/>
      <c r="D16" s="701"/>
      <c r="E16" s="701"/>
      <c r="F16" s="721"/>
      <c r="G16" s="701"/>
      <c r="H16" s="701"/>
      <c r="I16" s="163"/>
      <c r="J16" s="177"/>
      <c r="K16" s="177"/>
      <c r="L16" s="178">
        <f>K16-J16</f>
        <v>0</v>
      </c>
      <c r="M16" s="721"/>
      <c r="N16" s="721"/>
      <c r="O16" s="721"/>
      <c r="P16" s="721"/>
      <c r="Q16" s="721"/>
    </row>
    <row r="17" spans="1:17" ht="15.75" customHeight="1">
      <c r="A17" s="852"/>
      <c r="B17" s="155">
        <v>2</v>
      </c>
      <c r="C17" s="721"/>
      <c r="D17" s="701"/>
      <c r="E17" s="701"/>
      <c r="F17" s="721"/>
      <c r="G17" s="701"/>
      <c r="H17" s="701"/>
      <c r="I17" s="163"/>
      <c r="J17" s="177"/>
      <c r="K17" s="177"/>
      <c r="L17" s="178">
        <f>K17-J17</f>
        <v>0</v>
      </c>
      <c r="M17" s="721"/>
      <c r="N17" s="721"/>
      <c r="O17" s="721"/>
      <c r="P17" s="721"/>
      <c r="Q17" s="721"/>
    </row>
    <row r="18" spans="1:17" ht="15.75" customHeight="1">
      <c r="A18" s="852"/>
      <c r="B18" s="155">
        <v>3</v>
      </c>
      <c r="C18" s="721"/>
      <c r="D18" s="701"/>
      <c r="E18" s="701"/>
      <c r="F18" s="721"/>
      <c r="G18" s="701"/>
      <c r="H18" s="701"/>
      <c r="I18" s="163"/>
      <c r="J18" s="177"/>
      <c r="K18" s="177"/>
      <c r="L18" s="178">
        <f>K18-J18</f>
        <v>0</v>
      </c>
      <c r="M18" s="721"/>
      <c r="N18" s="721"/>
      <c r="O18" s="721"/>
      <c r="P18" s="721"/>
      <c r="Q18" s="721"/>
    </row>
    <row r="19" spans="1:17" ht="15.75" customHeight="1">
      <c r="A19" s="852"/>
      <c r="B19" s="155">
        <v>4</v>
      </c>
      <c r="C19" s="721"/>
      <c r="D19" s="701"/>
      <c r="E19" s="701"/>
      <c r="F19" s="721"/>
      <c r="G19" s="701"/>
      <c r="H19" s="701"/>
      <c r="I19" s="163"/>
      <c r="J19" s="177"/>
      <c r="K19" s="177"/>
      <c r="L19" s="178">
        <f>K19-J19</f>
        <v>0</v>
      </c>
      <c r="M19" s="721"/>
      <c r="N19" s="721"/>
      <c r="O19" s="721"/>
      <c r="P19" s="721"/>
      <c r="Q19" s="721"/>
    </row>
    <row r="20" spans="1:17" ht="15.75" customHeight="1">
      <c r="A20" s="852"/>
      <c r="B20" s="155">
        <v>5</v>
      </c>
      <c r="C20" s="721"/>
      <c r="D20" s="701"/>
      <c r="E20" s="701"/>
      <c r="F20" s="721"/>
      <c r="G20" s="701"/>
      <c r="H20" s="701"/>
      <c r="I20" s="163"/>
      <c r="J20" s="177"/>
      <c r="K20" s="177"/>
      <c r="L20" s="178">
        <f>K20-J20</f>
        <v>0</v>
      </c>
      <c r="M20" s="721"/>
      <c r="N20" s="721"/>
      <c r="O20" s="721"/>
      <c r="P20" s="721"/>
      <c r="Q20" s="721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P272"/>
  <sheetViews>
    <sheetView zoomScale="55" zoomScaleNormal="55" workbookViewId="0">
      <pane xSplit="4" ySplit="1" topLeftCell="E2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E5" sqref="E5"/>
    </sheetView>
  </sheetViews>
  <sheetFormatPr defaultColWidth="8.85546875" defaultRowHeight="16.5"/>
  <cols>
    <col min="1" max="1" width="8.85546875" style="340"/>
    <col min="2" max="2" width="12.42578125" style="340" customWidth="1"/>
    <col min="3" max="3" width="8.85546875" style="340"/>
    <col min="4" max="4" width="11.5703125" style="340" customWidth="1"/>
    <col min="5" max="5" width="39.28515625" style="340" bestFit="1" customWidth="1"/>
    <col min="6" max="21" width="15.7109375" style="340" customWidth="1"/>
    <col min="22" max="22" width="12.42578125" style="340" bestFit="1" customWidth="1"/>
    <col min="23" max="23" width="25.28515625" style="340" bestFit="1" customWidth="1"/>
    <col min="24" max="24" width="88.28515625" style="340" customWidth="1"/>
    <col min="25" max="25" width="117.7109375" style="340" bestFit="1" customWidth="1"/>
    <col min="26" max="26" width="7.42578125" style="340" bestFit="1" customWidth="1"/>
    <col min="27" max="27" width="69.5703125" style="340" bestFit="1" customWidth="1"/>
    <col min="28" max="28" width="11.42578125" style="340" bestFit="1" customWidth="1"/>
    <col min="29" max="29" width="21.5703125" style="340" customWidth="1"/>
    <col min="30" max="30" width="19.42578125" style="340" bestFit="1" customWidth="1"/>
    <col min="31" max="36" width="14.42578125" style="340" customWidth="1"/>
    <col min="37" max="40" width="8.85546875" style="340"/>
    <col min="41" max="41" width="20.85546875" style="340" bestFit="1" customWidth="1"/>
    <col min="42" max="42" width="8.7109375" style="340" customWidth="1"/>
    <col min="43" max="16384" width="8.85546875" style="340"/>
  </cols>
  <sheetData>
    <row r="2" spans="2:42" ht="41.1" customHeight="1">
      <c r="B2" s="886" t="s">
        <v>658</v>
      </c>
      <c r="C2" s="887"/>
      <c r="D2" s="887"/>
      <c r="E2" s="887"/>
      <c r="F2" s="887"/>
      <c r="G2" s="887"/>
      <c r="H2" s="887"/>
      <c r="I2" s="887"/>
      <c r="J2" s="887"/>
      <c r="K2" s="887"/>
      <c r="L2" s="887"/>
      <c r="M2" s="887"/>
      <c r="N2" s="887"/>
      <c r="O2" s="887"/>
      <c r="P2" s="887"/>
      <c r="Q2" s="887"/>
      <c r="R2" s="887"/>
      <c r="S2" s="887"/>
      <c r="T2" s="887"/>
      <c r="U2" s="887"/>
      <c r="V2" s="887"/>
      <c r="W2" s="887"/>
      <c r="X2" s="887"/>
      <c r="Y2" s="887"/>
      <c r="Z2" s="887"/>
      <c r="AA2" s="887"/>
      <c r="AC2" s="341"/>
      <c r="AD2" s="341"/>
    </row>
    <row r="3" spans="2:42" ht="17.100000000000001" customHeight="1">
      <c r="B3" s="888" t="s">
        <v>659</v>
      </c>
      <c r="C3" s="889"/>
      <c r="D3" s="892" t="s">
        <v>660</v>
      </c>
      <c r="E3" s="893" t="s">
        <v>661</v>
      </c>
      <c r="F3" s="884" t="s">
        <v>662</v>
      </c>
      <c r="G3" s="877" t="s">
        <v>663</v>
      </c>
      <c r="H3" s="885" t="s">
        <v>664</v>
      </c>
      <c r="I3" s="879" t="s">
        <v>665</v>
      </c>
      <c r="J3" s="880"/>
      <c r="K3" s="879" t="s">
        <v>666</v>
      </c>
      <c r="L3" s="880"/>
      <c r="M3" s="879" t="s">
        <v>667</v>
      </c>
      <c r="N3" s="880"/>
      <c r="O3" s="879" t="s">
        <v>668</v>
      </c>
      <c r="P3" s="880"/>
      <c r="Q3" s="879" t="s">
        <v>669</v>
      </c>
      <c r="R3" s="880"/>
      <c r="S3" s="881" t="s">
        <v>670</v>
      </c>
      <c r="T3" s="882"/>
      <c r="U3" s="883"/>
      <c r="V3" s="875" t="s">
        <v>166</v>
      </c>
      <c r="W3" s="875" t="s">
        <v>671</v>
      </c>
      <c r="X3" s="875" t="s">
        <v>672</v>
      </c>
      <c r="Y3" s="875" t="s">
        <v>673</v>
      </c>
      <c r="Z3" s="875" t="s">
        <v>674</v>
      </c>
      <c r="AA3" s="877" t="s">
        <v>167</v>
      </c>
      <c r="AC3" s="860" t="s">
        <v>675</v>
      </c>
      <c r="AD3" s="861"/>
      <c r="AE3" s="861"/>
      <c r="AF3" s="861"/>
      <c r="AG3" s="861"/>
      <c r="AH3" s="861"/>
      <c r="AI3" s="861"/>
      <c r="AJ3" s="862"/>
    </row>
    <row r="4" spans="2:42">
      <c r="B4" s="890"/>
      <c r="C4" s="891"/>
      <c r="D4" s="892"/>
      <c r="E4" s="892"/>
      <c r="F4" s="884"/>
      <c r="G4" s="878"/>
      <c r="H4" s="878"/>
      <c r="I4" s="446" t="s">
        <v>676</v>
      </c>
      <c r="J4" s="447" t="s">
        <v>653</v>
      </c>
      <c r="K4" s="446" t="s">
        <v>676</v>
      </c>
      <c r="L4" s="447" t="s">
        <v>653</v>
      </c>
      <c r="M4" s="446" t="s">
        <v>676</v>
      </c>
      <c r="N4" s="447" t="s">
        <v>653</v>
      </c>
      <c r="O4" s="446" t="s">
        <v>676</v>
      </c>
      <c r="P4" s="447" t="s">
        <v>653</v>
      </c>
      <c r="Q4" s="446" t="s">
        <v>676</v>
      </c>
      <c r="R4" s="447" t="s">
        <v>653</v>
      </c>
      <c r="S4" s="446" t="s">
        <v>676</v>
      </c>
      <c r="T4" s="447" t="s">
        <v>653</v>
      </c>
      <c r="U4" s="447" t="s">
        <v>654</v>
      </c>
      <c r="V4" s="876"/>
      <c r="W4" s="876"/>
      <c r="X4" s="876"/>
      <c r="Y4" s="876"/>
      <c r="Z4" s="876"/>
      <c r="AA4" s="878"/>
      <c r="AC4" s="863"/>
      <c r="AD4" s="864"/>
      <c r="AE4" s="864"/>
      <c r="AF4" s="864"/>
      <c r="AG4" s="864"/>
      <c r="AH4" s="864"/>
      <c r="AI4" s="864"/>
      <c r="AJ4" s="865"/>
    </row>
    <row r="5" spans="2:42" s="425" customFormat="1" ht="27" customHeight="1">
      <c r="B5" s="869"/>
      <c r="C5" s="870"/>
      <c r="D5" s="342">
        <v>1</v>
      </c>
      <c r="E5" s="448" t="s">
        <v>635</v>
      </c>
      <c r="F5" s="449">
        <v>1267.5390000000002</v>
      </c>
      <c r="G5" s="343">
        <v>325.01</v>
      </c>
      <c r="H5" s="450">
        <v>325.15000000000003</v>
      </c>
      <c r="I5" s="451">
        <v>326.92050717852226</v>
      </c>
      <c r="J5" s="452">
        <v>1.0054679896789407</v>
      </c>
      <c r="K5" s="451">
        <v>330.9</v>
      </c>
      <c r="L5" s="452">
        <v>1.017684145778871</v>
      </c>
      <c r="M5" s="451">
        <v>0</v>
      </c>
      <c r="N5" s="452">
        <v>0</v>
      </c>
      <c r="O5" s="453">
        <v>330.9</v>
      </c>
      <c r="P5" s="452">
        <v>1.017684145778871</v>
      </c>
      <c r="Q5" s="450">
        <v>3.9000000000000004</v>
      </c>
      <c r="R5" s="452">
        <v>1.199446409349531E-2</v>
      </c>
      <c r="S5" s="453">
        <v>5.7500000000000213</v>
      </c>
      <c r="T5" s="452">
        <v>1.7684145778871355E-2</v>
      </c>
      <c r="U5" s="454">
        <v>1868.8075000000067</v>
      </c>
      <c r="V5" s="344" t="s">
        <v>327</v>
      </c>
      <c r="W5" s="344" t="s">
        <v>194</v>
      </c>
      <c r="X5" s="344" t="s">
        <v>611</v>
      </c>
      <c r="Y5" s="344" t="s">
        <v>530</v>
      </c>
      <c r="Z5" s="344">
        <v>1</v>
      </c>
      <c r="AA5" s="455" t="s">
        <v>634</v>
      </c>
      <c r="AC5" s="866"/>
      <c r="AD5" s="867"/>
      <c r="AE5" s="867"/>
      <c r="AF5" s="867"/>
      <c r="AG5" s="867"/>
      <c r="AH5" s="867"/>
      <c r="AI5" s="867"/>
      <c r="AJ5" s="868"/>
    </row>
    <row r="6" spans="2:42" s="425" customFormat="1" ht="27" customHeight="1">
      <c r="B6" s="871"/>
      <c r="C6" s="872"/>
      <c r="D6" s="342">
        <v>2</v>
      </c>
      <c r="E6" s="448" t="s">
        <v>722</v>
      </c>
      <c r="F6" s="449">
        <v>1180.3000000000002</v>
      </c>
      <c r="G6" s="343">
        <v>118.03</v>
      </c>
      <c r="H6" s="450">
        <v>1688.4</v>
      </c>
      <c r="I6" s="451">
        <v>1694.5981005777894</v>
      </c>
      <c r="J6" s="452">
        <v>1.0037433517134509</v>
      </c>
      <c r="K6" s="451">
        <v>1703.9</v>
      </c>
      <c r="L6" s="452">
        <v>1.0091802890310353</v>
      </c>
      <c r="M6" s="451">
        <v>0</v>
      </c>
      <c r="N6" s="452">
        <v>0</v>
      </c>
      <c r="O6" s="453">
        <v>1703.9</v>
      </c>
      <c r="P6" s="452">
        <v>1.0091802890310353</v>
      </c>
      <c r="Q6" s="450">
        <v>10</v>
      </c>
      <c r="R6" s="452">
        <v>5.9227671167969669E-3</v>
      </c>
      <c r="S6" s="453">
        <v>15.500000000000057</v>
      </c>
      <c r="T6" s="452">
        <v>9.1802890310353335E-3</v>
      </c>
      <c r="U6" s="454">
        <v>1829.4650000000067</v>
      </c>
      <c r="V6" s="344" t="s">
        <v>326</v>
      </c>
      <c r="W6" s="344" t="s">
        <v>504</v>
      </c>
      <c r="X6" s="344" t="s">
        <v>621</v>
      </c>
      <c r="Y6" s="344" t="s">
        <v>622</v>
      </c>
      <c r="Z6" s="344">
        <v>1</v>
      </c>
      <c r="AA6" s="455" t="s">
        <v>720</v>
      </c>
      <c r="AC6" s="222" t="s">
        <v>677</v>
      </c>
      <c r="AD6" s="222" t="s">
        <v>655</v>
      </c>
      <c r="AE6" s="426" t="s">
        <v>656</v>
      </c>
      <c r="AF6" s="426" t="s">
        <v>369</v>
      </c>
      <c r="AG6" s="426" t="s">
        <v>504</v>
      </c>
      <c r="AH6" s="426" t="s">
        <v>194</v>
      </c>
      <c r="AI6" s="426" t="s">
        <v>195</v>
      </c>
      <c r="AJ6" s="426" t="s">
        <v>518</v>
      </c>
      <c r="AO6" s="456"/>
      <c r="AP6" s="456"/>
    </row>
    <row r="7" spans="2:42" s="425" customFormat="1" ht="27" customHeight="1">
      <c r="B7" s="871"/>
      <c r="C7" s="872"/>
      <c r="D7" s="342">
        <v>3</v>
      </c>
      <c r="E7" s="448" t="s">
        <v>370</v>
      </c>
      <c r="F7" s="449">
        <v>1176.9240000000002</v>
      </c>
      <c r="G7" s="343">
        <v>420.33</v>
      </c>
      <c r="H7" s="450">
        <v>508.935</v>
      </c>
      <c r="I7" s="451">
        <v>510.66523216129599</v>
      </c>
      <c r="J7" s="452">
        <v>1.00332499969753</v>
      </c>
      <c r="K7" s="451">
        <v>513.5</v>
      </c>
      <c r="L7" s="452">
        <v>1.0089697112597875</v>
      </c>
      <c r="M7" s="451">
        <v>0</v>
      </c>
      <c r="N7" s="452">
        <v>0</v>
      </c>
      <c r="O7" s="453">
        <v>513.5</v>
      </c>
      <c r="P7" s="452">
        <v>1.0089697112597875</v>
      </c>
      <c r="Q7" s="450">
        <v>2.8</v>
      </c>
      <c r="R7" s="452">
        <v>5.5016848909978681E-3</v>
      </c>
      <c r="S7" s="453">
        <v>4.564999999999948</v>
      </c>
      <c r="T7" s="452">
        <v>8.9697112597874936E-3</v>
      </c>
      <c r="U7" s="454">
        <v>1918.8064499999782</v>
      </c>
      <c r="V7" s="344" t="s">
        <v>327</v>
      </c>
      <c r="W7" s="344" t="s">
        <v>194</v>
      </c>
      <c r="X7" s="344" t="s">
        <v>611</v>
      </c>
      <c r="Y7" s="344" t="s">
        <v>530</v>
      </c>
      <c r="Z7" s="344">
        <v>1</v>
      </c>
      <c r="AA7" s="455" t="s">
        <v>352</v>
      </c>
      <c r="AC7" s="457">
        <f>SUM(Z5:Z24)</f>
        <v>20</v>
      </c>
      <c r="AD7" s="345">
        <f>SUMIF($W$5:$W$24,TRIM(AD6),$Z$5:$Z$24)</f>
        <v>0</v>
      </c>
      <c r="AE7" s="345">
        <f>SUMIF($W$5:$W$24,TRIM(AE6),$Z$5:$Z$24)</f>
        <v>0</v>
      </c>
      <c r="AF7" s="345">
        <f>SUMIF($W$5:$W$24,TRIM(AF6),$Z$5:$Z$24)</f>
        <v>1</v>
      </c>
      <c r="AG7" s="345">
        <f>SUMIF($W$5:$W$24,TRIM(AG6),$Z$5:$Z$24)</f>
        <v>11</v>
      </c>
      <c r="AH7" s="345">
        <f t="shared" ref="AH7:AI7" si="0">SUMIF($W$5:$W$24,TRIM(AH6),$Z$5:$Z$24)</f>
        <v>5</v>
      </c>
      <c r="AI7" s="345">
        <f t="shared" si="0"/>
        <v>2</v>
      </c>
      <c r="AJ7" s="345">
        <f>SUMIF($W$5:$W$24,TRIM(AJ6),$Z$5:$Z$24)</f>
        <v>1</v>
      </c>
      <c r="AO7" s="458"/>
      <c r="AP7" s="208"/>
    </row>
    <row r="8" spans="2:42" s="425" customFormat="1" ht="27" customHeight="1">
      <c r="B8" s="871"/>
      <c r="C8" s="872"/>
      <c r="D8" s="342">
        <v>4</v>
      </c>
      <c r="E8" s="448" t="s">
        <v>650</v>
      </c>
      <c r="F8" s="449">
        <v>1156.6879999999999</v>
      </c>
      <c r="G8" s="343">
        <v>444.88</v>
      </c>
      <c r="H8" s="450">
        <v>117.89999999999999</v>
      </c>
      <c r="I8" s="451">
        <v>118.95994531011729</v>
      </c>
      <c r="J8" s="452">
        <v>1.0089802241322992</v>
      </c>
      <c r="K8" s="451">
        <v>121.60000000000001</v>
      </c>
      <c r="L8" s="452">
        <v>1.0313825275657338</v>
      </c>
      <c r="M8" s="451">
        <v>0</v>
      </c>
      <c r="N8" s="452">
        <v>0</v>
      </c>
      <c r="O8" s="453">
        <v>121.60000000000001</v>
      </c>
      <c r="P8" s="452">
        <v>1.0313825275657338</v>
      </c>
      <c r="Q8" s="450">
        <v>2.6</v>
      </c>
      <c r="R8" s="452">
        <v>2.2052586938083124E-2</v>
      </c>
      <c r="S8" s="453">
        <v>3.7000000000000028</v>
      </c>
      <c r="T8" s="452">
        <v>3.1382527565733696E-2</v>
      </c>
      <c r="U8" s="454">
        <v>1646.0560000000012</v>
      </c>
      <c r="V8" s="344" t="s">
        <v>327</v>
      </c>
      <c r="W8" s="344" t="s">
        <v>195</v>
      </c>
      <c r="X8" s="344" t="s">
        <v>612</v>
      </c>
      <c r="Y8" s="344" t="s">
        <v>530</v>
      </c>
      <c r="Z8" s="344">
        <v>1</v>
      </c>
      <c r="AA8" s="455" t="s">
        <v>573</v>
      </c>
      <c r="AC8" s="459" t="s">
        <v>11</v>
      </c>
      <c r="AD8" s="460">
        <f>SUMIF($W5:$W$24,TRIM(AD6),$F$5:$F$24)</f>
        <v>0</v>
      </c>
      <c r="AE8" s="460">
        <f>SUMIF($W5:$W$24,TRIM(AE6),$F$5:$F$24)</f>
        <v>0</v>
      </c>
      <c r="AF8" s="460">
        <f>SUMIF($W5:$W$24,TRIM(AF6),$F$5:$F$24)</f>
        <v>1011.558</v>
      </c>
      <c r="AG8" s="460">
        <f>SUMIF($W5:$W$24,TRIM(AG6),$F$5:$F$24)</f>
        <v>11403.776000000002</v>
      </c>
      <c r="AH8" s="460">
        <f>SUMIF($W5:$W$24,TRIM(AH6),$F$5:$F$24)</f>
        <v>5455.1110000000017</v>
      </c>
      <c r="AI8" s="460">
        <f>SUMIF($W5:$W$24,TRIM(AI6),$F$5:$F$24)</f>
        <v>2278.1679999999997</v>
      </c>
      <c r="AJ8" s="460">
        <f>SUMIF($W5:$W$24,TRIM(AJ6),$F$5:$F$24)</f>
        <v>941.49999999999977</v>
      </c>
      <c r="AO8" s="208"/>
      <c r="AP8" s="208"/>
    </row>
    <row r="9" spans="2:42" s="425" customFormat="1" ht="27" customHeight="1">
      <c r="B9" s="871"/>
      <c r="C9" s="872"/>
      <c r="D9" s="342">
        <v>5</v>
      </c>
      <c r="E9" s="448" t="s">
        <v>333</v>
      </c>
      <c r="F9" s="449">
        <v>1121.48</v>
      </c>
      <c r="G9" s="343">
        <v>487.6</v>
      </c>
      <c r="H9" s="450">
        <v>225.14999999999998</v>
      </c>
      <c r="I9" s="451">
        <v>226.70852240675774</v>
      </c>
      <c r="J9" s="452">
        <v>1.006920707776447</v>
      </c>
      <c r="K9" s="451">
        <v>228.89999999999998</v>
      </c>
      <c r="L9" s="452">
        <v>1.0166555629580281</v>
      </c>
      <c r="M9" s="451">
        <v>0</v>
      </c>
      <c r="N9" s="452">
        <v>0</v>
      </c>
      <c r="O9" s="453">
        <v>228.89999999999998</v>
      </c>
      <c r="P9" s="452">
        <v>1.0166555629580281</v>
      </c>
      <c r="Q9" s="450">
        <v>2.2999999999999998</v>
      </c>
      <c r="R9" s="452">
        <v>1.0215411947590496E-2</v>
      </c>
      <c r="S9" s="453">
        <v>3.7500000000000107</v>
      </c>
      <c r="T9" s="452">
        <v>1.6655562958028031E-2</v>
      </c>
      <c r="U9" s="454">
        <v>1828.5000000000052</v>
      </c>
      <c r="V9" s="344" t="s">
        <v>327</v>
      </c>
      <c r="W9" s="344" t="s">
        <v>195</v>
      </c>
      <c r="X9" s="344" t="s">
        <v>612</v>
      </c>
      <c r="Y9" s="344" t="s">
        <v>530</v>
      </c>
      <c r="Z9" s="344">
        <v>1</v>
      </c>
      <c r="AA9" s="455" t="s">
        <v>574</v>
      </c>
      <c r="AC9" s="342" t="s">
        <v>657</v>
      </c>
      <c r="AD9" s="461">
        <f t="shared" ref="AD9:AJ9" si="1">AD7/$AC7</f>
        <v>0</v>
      </c>
      <c r="AE9" s="461">
        <f t="shared" si="1"/>
        <v>0</v>
      </c>
      <c r="AF9" s="461">
        <f t="shared" si="1"/>
        <v>0.05</v>
      </c>
      <c r="AG9" s="461">
        <f t="shared" si="1"/>
        <v>0.55000000000000004</v>
      </c>
      <c r="AH9" s="461">
        <f t="shared" si="1"/>
        <v>0.25</v>
      </c>
      <c r="AI9" s="461">
        <f t="shared" si="1"/>
        <v>0.1</v>
      </c>
      <c r="AJ9" s="461">
        <f t="shared" si="1"/>
        <v>0.05</v>
      </c>
      <c r="AO9" s="208"/>
      <c r="AP9" s="208"/>
    </row>
    <row r="10" spans="2:42" s="425" customFormat="1" ht="27" customHeight="1">
      <c r="B10" s="871"/>
      <c r="C10" s="872"/>
      <c r="D10" s="342">
        <v>6</v>
      </c>
      <c r="E10" s="448" t="s">
        <v>725</v>
      </c>
      <c r="F10" s="449">
        <v>1120.681</v>
      </c>
      <c r="G10" s="343">
        <v>361.51</v>
      </c>
      <c r="H10" s="450">
        <v>1038.1033597204619</v>
      </c>
      <c r="I10" s="451">
        <v>1040.6803755245726</v>
      </c>
      <c r="J10" s="452">
        <v>1.0024945446843287</v>
      </c>
      <c r="K10" s="451">
        <v>1043.8</v>
      </c>
      <c r="L10" s="452">
        <v>1.0054875463278263</v>
      </c>
      <c r="M10" s="451">
        <v>0</v>
      </c>
      <c r="N10" s="452">
        <v>0</v>
      </c>
      <c r="O10" s="453">
        <v>1043.8</v>
      </c>
      <c r="P10" s="452">
        <v>1.0054875463278263</v>
      </c>
      <c r="Q10" s="450">
        <v>3.1</v>
      </c>
      <c r="R10" s="452">
        <v>2.9862151692050792E-3</v>
      </c>
      <c r="S10" s="453">
        <v>5.6966402795379736</v>
      </c>
      <c r="T10" s="452">
        <v>5.4875463278261155E-3</v>
      </c>
      <c r="U10" s="454">
        <v>2059.3924274557726</v>
      </c>
      <c r="V10" s="344" t="s">
        <v>326</v>
      </c>
      <c r="W10" s="344" t="s">
        <v>504</v>
      </c>
      <c r="X10" s="344" t="s">
        <v>798</v>
      </c>
      <c r="Y10" s="344" t="s">
        <v>731</v>
      </c>
      <c r="Z10" s="344">
        <v>1</v>
      </c>
      <c r="AA10" s="455" t="s">
        <v>332</v>
      </c>
      <c r="AO10" s="208"/>
      <c r="AP10" s="208"/>
    </row>
    <row r="11" spans="2:42" s="425" customFormat="1" ht="27" customHeight="1">
      <c r="B11" s="871"/>
      <c r="C11" s="872"/>
      <c r="D11" s="342">
        <v>7</v>
      </c>
      <c r="E11" s="448" t="s">
        <v>741</v>
      </c>
      <c r="F11" s="449">
        <v>1105.192</v>
      </c>
      <c r="G11" s="343">
        <v>125.59</v>
      </c>
      <c r="H11" s="450">
        <v>1652.144</v>
      </c>
      <c r="I11" s="451">
        <v>1658.5314694830865</v>
      </c>
      <c r="J11" s="452">
        <v>1.003970524071925</v>
      </c>
      <c r="K11" s="451">
        <v>1666.9</v>
      </c>
      <c r="L11" s="452">
        <v>1.0089314248636922</v>
      </c>
      <c r="M11" s="451">
        <v>0</v>
      </c>
      <c r="N11" s="452">
        <v>0</v>
      </c>
      <c r="O11" s="453">
        <v>1666.9</v>
      </c>
      <c r="P11" s="452">
        <v>1.0089314248636922</v>
      </c>
      <c r="Q11" s="450">
        <v>8.7999999999999989</v>
      </c>
      <c r="R11" s="452">
        <v>5.3264122255687147E-3</v>
      </c>
      <c r="S11" s="453">
        <v>14.756000000000057</v>
      </c>
      <c r="T11" s="452">
        <v>8.9314248636923037E-3</v>
      </c>
      <c r="U11" s="454">
        <v>1853.2060400000073</v>
      </c>
      <c r="V11" s="344" t="s">
        <v>326</v>
      </c>
      <c r="W11" s="344" t="s">
        <v>504</v>
      </c>
      <c r="X11" s="344" t="s">
        <v>621</v>
      </c>
      <c r="Y11" s="344" t="s">
        <v>622</v>
      </c>
      <c r="Z11" s="344">
        <v>1</v>
      </c>
      <c r="AA11" s="455" t="s">
        <v>735</v>
      </c>
      <c r="AO11" s="208"/>
      <c r="AP11" s="208"/>
    </row>
    <row r="12" spans="2:42" s="425" customFormat="1" ht="27" customHeight="1">
      <c r="B12" s="871"/>
      <c r="C12" s="872"/>
      <c r="D12" s="342">
        <v>8</v>
      </c>
      <c r="E12" s="448" t="s">
        <v>531</v>
      </c>
      <c r="F12" s="449">
        <v>1089.4660000000001</v>
      </c>
      <c r="G12" s="343">
        <v>111.17</v>
      </c>
      <c r="H12" s="450">
        <v>1980.4359999999999</v>
      </c>
      <c r="I12" s="451">
        <v>1984.4507360800744</v>
      </c>
      <c r="J12" s="452">
        <v>1.002007709657891</v>
      </c>
      <c r="K12" s="451">
        <v>1994.6000000000004</v>
      </c>
      <c r="L12" s="452">
        <v>1.00715196047739</v>
      </c>
      <c r="M12" s="451">
        <v>0</v>
      </c>
      <c r="N12" s="452">
        <v>0</v>
      </c>
      <c r="O12" s="453">
        <v>1994.6000000000004</v>
      </c>
      <c r="P12" s="452">
        <v>1.00715196047739</v>
      </c>
      <c r="Q12" s="450">
        <v>9.7999999999999989</v>
      </c>
      <c r="R12" s="452">
        <v>4.9484053006509671E-3</v>
      </c>
      <c r="S12" s="453">
        <v>14.164000000000385</v>
      </c>
      <c r="T12" s="452">
        <v>7.1519604773900222E-3</v>
      </c>
      <c r="U12" s="454">
        <v>1574.6118800000429</v>
      </c>
      <c r="V12" s="344" t="s">
        <v>326</v>
      </c>
      <c r="W12" s="344" t="s">
        <v>504</v>
      </c>
      <c r="X12" s="344" t="s">
        <v>799</v>
      </c>
      <c r="Y12" s="344" t="s">
        <v>532</v>
      </c>
      <c r="Z12" s="344">
        <v>1</v>
      </c>
      <c r="AA12" s="455" t="s">
        <v>332</v>
      </c>
      <c r="AO12" s="208"/>
      <c r="AP12" s="208"/>
    </row>
    <row r="13" spans="2:42" s="425" customFormat="1" ht="27" customHeight="1">
      <c r="B13" s="871"/>
      <c r="C13" s="872"/>
      <c r="D13" s="342">
        <v>9</v>
      </c>
      <c r="E13" s="448" t="s">
        <v>610</v>
      </c>
      <c r="F13" s="449">
        <v>1073.5200000000002</v>
      </c>
      <c r="G13" s="343">
        <v>447.3</v>
      </c>
      <c r="H13" s="450">
        <v>753.4</v>
      </c>
      <c r="I13" s="451">
        <v>755.36962551781221</v>
      </c>
      <c r="J13" s="452">
        <v>1.0026745763970966</v>
      </c>
      <c r="K13" s="451">
        <v>757.99999999999989</v>
      </c>
      <c r="L13" s="452">
        <v>1.0061056543668701</v>
      </c>
      <c r="M13" s="451">
        <v>0</v>
      </c>
      <c r="N13" s="452">
        <v>0</v>
      </c>
      <c r="O13" s="453">
        <v>757.99999999999989</v>
      </c>
      <c r="P13" s="452">
        <v>1.0061056543668701</v>
      </c>
      <c r="Q13" s="450">
        <v>2.4</v>
      </c>
      <c r="R13" s="452">
        <v>3.1855588001061851E-3</v>
      </c>
      <c r="S13" s="453">
        <v>4.6000000000000227</v>
      </c>
      <c r="T13" s="452">
        <v>6.1056543668702185E-3</v>
      </c>
      <c r="U13" s="454">
        <v>2057.5800000000099</v>
      </c>
      <c r="V13" s="344" t="s">
        <v>327</v>
      </c>
      <c r="W13" s="344" t="s">
        <v>194</v>
      </c>
      <c r="X13" s="344" t="s">
        <v>612</v>
      </c>
      <c r="Y13" s="344" t="s">
        <v>530</v>
      </c>
      <c r="Z13" s="344">
        <v>1</v>
      </c>
      <c r="AA13" s="455" t="s">
        <v>609</v>
      </c>
      <c r="AO13" s="208"/>
      <c r="AP13" s="208"/>
    </row>
    <row r="14" spans="2:42" s="425" customFormat="1" ht="27" customHeight="1">
      <c r="B14" s="871"/>
      <c r="C14" s="872"/>
      <c r="D14" s="342">
        <v>10</v>
      </c>
      <c r="E14" s="448" t="s">
        <v>800</v>
      </c>
      <c r="F14" s="449">
        <v>1054.4460000000001</v>
      </c>
      <c r="G14" s="343">
        <v>122.61</v>
      </c>
      <c r="H14" s="450">
        <v>656.22</v>
      </c>
      <c r="I14" s="451">
        <v>658.69148279057708</v>
      </c>
      <c r="J14" s="452">
        <v>1.0040304920533125</v>
      </c>
      <c r="K14" s="451">
        <v>667.59999999999991</v>
      </c>
      <c r="L14" s="452">
        <v>1.0173417451464446</v>
      </c>
      <c r="M14" s="451">
        <v>0</v>
      </c>
      <c r="N14" s="452">
        <v>0</v>
      </c>
      <c r="O14" s="453">
        <v>667.59999999999991</v>
      </c>
      <c r="P14" s="452">
        <v>1.0173417451464446</v>
      </c>
      <c r="Q14" s="450">
        <v>8.6</v>
      </c>
      <c r="R14" s="452">
        <v>1.3105361006979366E-2</v>
      </c>
      <c r="S14" s="453">
        <v>11.379999999999974</v>
      </c>
      <c r="T14" s="452">
        <v>1.7341745146444751E-2</v>
      </c>
      <c r="U14" s="454">
        <v>1395.301799999997</v>
      </c>
      <c r="V14" s="344" t="s">
        <v>326</v>
      </c>
      <c r="W14" s="344" t="s">
        <v>504</v>
      </c>
      <c r="X14" s="344" t="s">
        <v>621</v>
      </c>
      <c r="Y14" s="344" t="s">
        <v>622</v>
      </c>
      <c r="Z14" s="344">
        <v>1</v>
      </c>
      <c r="AA14" s="455" t="s">
        <v>801</v>
      </c>
    </row>
    <row r="15" spans="2:42" s="425" customFormat="1" ht="27" customHeight="1">
      <c r="B15" s="871"/>
      <c r="C15" s="872"/>
      <c r="D15" s="342">
        <v>11</v>
      </c>
      <c r="E15" s="448" t="s">
        <v>802</v>
      </c>
      <c r="F15" s="449">
        <v>1017.9750000000001</v>
      </c>
      <c r="G15" s="343">
        <v>290.85000000000002</v>
      </c>
      <c r="H15" s="450">
        <v>228.03799999999998</v>
      </c>
      <c r="I15" s="451">
        <v>228.03799999999998</v>
      </c>
      <c r="J15" s="452">
        <v>1</v>
      </c>
      <c r="K15" s="451">
        <v>233.09999999999997</v>
      </c>
      <c r="L15" s="452">
        <v>1.0221980547101799</v>
      </c>
      <c r="M15" s="451">
        <v>0</v>
      </c>
      <c r="N15" s="452">
        <v>0</v>
      </c>
      <c r="O15" s="453">
        <v>233.09999999999997</v>
      </c>
      <c r="P15" s="452">
        <v>1.0221980547101799</v>
      </c>
      <c r="Q15" s="450">
        <v>3.5</v>
      </c>
      <c r="R15" s="452">
        <v>1.5348319139792493E-2</v>
      </c>
      <c r="S15" s="453">
        <v>5.0620000000000047</v>
      </c>
      <c r="T15" s="452">
        <v>2.2198054710179906E-2</v>
      </c>
      <c r="U15" s="454">
        <v>1472.2827000000016</v>
      </c>
      <c r="V15" s="344" t="s">
        <v>331</v>
      </c>
      <c r="W15" s="344" t="s">
        <v>504</v>
      </c>
      <c r="X15" s="344" t="s">
        <v>611</v>
      </c>
      <c r="Y15" s="344" t="s">
        <v>530</v>
      </c>
      <c r="Z15" s="344">
        <v>1</v>
      </c>
      <c r="AA15" s="455" t="s">
        <v>342</v>
      </c>
      <c r="AE15" s="346"/>
    </row>
    <row r="16" spans="2:42" s="425" customFormat="1" ht="27" customHeight="1">
      <c r="B16" s="871"/>
      <c r="C16" s="872"/>
      <c r="D16" s="342">
        <v>12</v>
      </c>
      <c r="E16" s="448" t="s">
        <v>803</v>
      </c>
      <c r="F16" s="449">
        <v>1011.558</v>
      </c>
      <c r="G16" s="343">
        <v>95.43</v>
      </c>
      <c r="H16" s="450">
        <v>396.05</v>
      </c>
      <c r="I16" s="451">
        <v>399.97778088508989</v>
      </c>
      <c r="J16" s="452">
        <v>1.0099857501135987</v>
      </c>
      <c r="K16" s="451">
        <v>410.50000000000006</v>
      </c>
      <c r="L16" s="452">
        <v>1.0364852922610783</v>
      </c>
      <c r="M16" s="451">
        <v>0</v>
      </c>
      <c r="N16" s="452">
        <v>0</v>
      </c>
      <c r="O16" s="453">
        <v>410.50000000000006</v>
      </c>
      <c r="P16" s="452">
        <v>1.0364852922610783</v>
      </c>
      <c r="Q16" s="450">
        <v>10.6</v>
      </c>
      <c r="R16" s="452">
        <v>2.6764297437192271E-2</v>
      </c>
      <c r="S16" s="453">
        <v>14.450000000000024</v>
      </c>
      <c r="T16" s="452">
        <v>3.6485292261078203E-2</v>
      </c>
      <c r="U16" s="454">
        <v>1378.9635000000026</v>
      </c>
      <c r="V16" s="344" t="s">
        <v>331</v>
      </c>
      <c r="W16" s="344" t="s">
        <v>369</v>
      </c>
      <c r="X16" s="344" t="s">
        <v>746</v>
      </c>
      <c r="Y16" s="344" t="s">
        <v>747</v>
      </c>
      <c r="Z16" s="344">
        <v>1</v>
      </c>
      <c r="AA16" s="455" t="s">
        <v>347</v>
      </c>
    </row>
    <row r="17" spans="2:27" s="425" customFormat="1" ht="27" customHeight="1">
      <c r="B17" s="871"/>
      <c r="C17" s="872"/>
      <c r="D17" s="342">
        <v>13</v>
      </c>
      <c r="E17" s="448" t="s">
        <v>804</v>
      </c>
      <c r="F17" s="449">
        <v>998.11199999999997</v>
      </c>
      <c r="G17" s="343">
        <v>103.97</v>
      </c>
      <c r="H17" s="450">
        <v>650.05500000000006</v>
      </c>
      <c r="I17" s="451">
        <v>653.75712129073497</v>
      </c>
      <c r="J17" s="452">
        <v>1.0057168019110614</v>
      </c>
      <c r="K17" s="451">
        <v>663.79999999999984</v>
      </c>
      <c r="L17" s="452">
        <v>1.0211443647076013</v>
      </c>
      <c r="M17" s="451">
        <v>0</v>
      </c>
      <c r="N17" s="452">
        <v>0</v>
      </c>
      <c r="O17" s="453">
        <v>663.79999999999984</v>
      </c>
      <c r="P17" s="452">
        <v>1.0211443647076013</v>
      </c>
      <c r="Q17" s="450">
        <v>9.6</v>
      </c>
      <c r="R17" s="452">
        <v>1.4767981170824005E-2</v>
      </c>
      <c r="S17" s="453">
        <v>13.744999999999933</v>
      </c>
      <c r="T17" s="452">
        <v>2.114436470760156E-2</v>
      </c>
      <c r="U17" s="454">
        <v>1429.0676499999929</v>
      </c>
      <c r="V17" s="344" t="s">
        <v>331</v>
      </c>
      <c r="W17" s="344" t="s">
        <v>504</v>
      </c>
      <c r="X17" s="344" t="s">
        <v>746</v>
      </c>
      <c r="Y17" s="344" t="s">
        <v>747</v>
      </c>
      <c r="Z17" s="344">
        <v>1</v>
      </c>
      <c r="AA17" s="455" t="s">
        <v>524</v>
      </c>
    </row>
    <row r="18" spans="2:27" s="425" customFormat="1" ht="27" customHeight="1">
      <c r="B18" s="871"/>
      <c r="C18" s="872"/>
      <c r="D18" s="342">
        <v>14</v>
      </c>
      <c r="E18" s="448" t="s">
        <v>805</v>
      </c>
      <c r="F18" s="449">
        <v>985.60799999999983</v>
      </c>
      <c r="G18" s="343">
        <v>136.88999999999999</v>
      </c>
      <c r="H18" s="450">
        <v>2022.98</v>
      </c>
      <c r="I18" s="451">
        <v>2026.1774259700742</v>
      </c>
      <c r="J18" s="452">
        <v>1.001588467576511</v>
      </c>
      <c r="K18" s="451">
        <v>2033.5000000000005</v>
      </c>
      <c r="L18" s="452">
        <v>1.0052002491374115</v>
      </c>
      <c r="M18" s="451">
        <v>0</v>
      </c>
      <c r="N18" s="452">
        <v>0</v>
      </c>
      <c r="O18" s="453">
        <v>2033.5000000000005</v>
      </c>
      <c r="P18" s="452">
        <v>1.0052002491374115</v>
      </c>
      <c r="Q18" s="450">
        <v>7.2000000000000011</v>
      </c>
      <c r="R18" s="452">
        <v>3.5591058735133323E-3</v>
      </c>
      <c r="S18" s="453">
        <v>10.520000000000437</v>
      </c>
      <c r="T18" s="452">
        <v>5.2002491374113615E-3</v>
      </c>
      <c r="U18" s="454">
        <v>1440.0828000000595</v>
      </c>
      <c r="V18" s="344" t="s">
        <v>331</v>
      </c>
      <c r="W18" s="344" t="s">
        <v>194</v>
      </c>
      <c r="X18" s="344" t="s">
        <v>607</v>
      </c>
      <c r="Y18" s="344" t="s">
        <v>608</v>
      </c>
      <c r="Z18" s="344">
        <v>1</v>
      </c>
      <c r="AA18" s="455" t="s">
        <v>332</v>
      </c>
    </row>
    <row r="19" spans="2:27" s="425" customFormat="1" ht="27" customHeight="1">
      <c r="B19" s="871"/>
      <c r="C19" s="872"/>
      <c r="D19" s="342">
        <v>15</v>
      </c>
      <c r="E19" s="448" t="s">
        <v>644</v>
      </c>
      <c r="F19" s="449">
        <v>980.35199999999998</v>
      </c>
      <c r="G19" s="343">
        <v>102.12</v>
      </c>
      <c r="H19" s="450">
        <v>1330.6</v>
      </c>
      <c r="I19" s="451">
        <v>1334.2823547375776</v>
      </c>
      <c r="J19" s="452">
        <v>1.0028074714229351</v>
      </c>
      <c r="K19" s="451">
        <v>1343.8</v>
      </c>
      <c r="L19" s="452">
        <v>1.009920336690215</v>
      </c>
      <c r="M19" s="451">
        <v>0</v>
      </c>
      <c r="N19" s="452">
        <v>0</v>
      </c>
      <c r="O19" s="453">
        <v>1343.8</v>
      </c>
      <c r="P19" s="452">
        <v>1.009920336690215</v>
      </c>
      <c r="Q19" s="450">
        <v>9.6</v>
      </c>
      <c r="R19" s="452">
        <v>7.2147903201563203E-3</v>
      </c>
      <c r="S19" s="453">
        <v>13.19999999999996</v>
      </c>
      <c r="T19" s="452">
        <v>9.9203366902149114E-3</v>
      </c>
      <c r="U19" s="454">
        <v>1347.9839999999958</v>
      </c>
      <c r="V19" s="344" t="s">
        <v>326</v>
      </c>
      <c r="W19" s="344" t="s">
        <v>504</v>
      </c>
      <c r="X19" s="344" t="s">
        <v>806</v>
      </c>
      <c r="Y19" s="344" t="s">
        <v>532</v>
      </c>
      <c r="Z19" s="344">
        <v>1</v>
      </c>
      <c r="AA19" s="455" t="s">
        <v>641</v>
      </c>
    </row>
    <row r="20" spans="2:27" s="425" customFormat="1" ht="27" customHeight="1">
      <c r="B20" s="871"/>
      <c r="C20" s="872"/>
      <c r="D20" s="342">
        <v>16</v>
      </c>
      <c r="E20" s="448" t="s">
        <v>745</v>
      </c>
      <c r="F20" s="449">
        <v>968.84800000000007</v>
      </c>
      <c r="G20" s="343">
        <v>127.48</v>
      </c>
      <c r="H20" s="450">
        <v>1158.6909999999998</v>
      </c>
      <c r="I20" s="451">
        <v>1162.2284653125291</v>
      </c>
      <c r="J20" s="452">
        <v>1.0029961668505993</v>
      </c>
      <c r="K20" s="451">
        <v>1169.3999999999999</v>
      </c>
      <c r="L20" s="452">
        <v>1.0092423260386074</v>
      </c>
      <c r="M20" s="451">
        <v>0</v>
      </c>
      <c r="N20" s="452">
        <v>0</v>
      </c>
      <c r="O20" s="453">
        <v>1169.3999999999999</v>
      </c>
      <c r="P20" s="452">
        <v>1.0092423260386074</v>
      </c>
      <c r="Q20" s="450">
        <v>7.6000000000000005</v>
      </c>
      <c r="R20" s="452">
        <v>6.5591257720997243E-3</v>
      </c>
      <c r="S20" s="453">
        <v>10.708999999999975</v>
      </c>
      <c r="T20" s="452">
        <v>9.2423260386073399E-3</v>
      </c>
      <c r="U20" s="454">
        <v>1365.1833199999967</v>
      </c>
      <c r="V20" s="344" t="s">
        <v>326</v>
      </c>
      <c r="W20" s="344" t="s">
        <v>504</v>
      </c>
      <c r="X20" s="505" t="s">
        <v>746</v>
      </c>
      <c r="Y20" s="506" t="s">
        <v>747</v>
      </c>
      <c r="Z20" s="344">
        <v>1</v>
      </c>
      <c r="AA20" s="455" t="s">
        <v>330</v>
      </c>
    </row>
    <row r="21" spans="2:27" s="425" customFormat="1" ht="27" customHeight="1">
      <c r="B21" s="871"/>
      <c r="C21" s="872"/>
      <c r="D21" s="342">
        <v>17</v>
      </c>
      <c r="E21" s="448" t="s">
        <v>807</v>
      </c>
      <c r="F21" s="449">
        <v>951.52000000000021</v>
      </c>
      <c r="G21" s="343">
        <v>297.35000000000002</v>
      </c>
      <c r="H21" s="450">
        <v>260.221</v>
      </c>
      <c r="I21" s="451">
        <v>260.221</v>
      </c>
      <c r="J21" s="452">
        <v>1</v>
      </c>
      <c r="K21" s="451">
        <v>264.70000000000005</v>
      </c>
      <c r="L21" s="452">
        <v>1.0172122926281892</v>
      </c>
      <c r="M21" s="451">
        <v>0</v>
      </c>
      <c r="N21" s="452">
        <v>0</v>
      </c>
      <c r="O21" s="453">
        <v>264.70000000000005</v>
      </c>
      <c r="P21" s="452">
        <v>1.0172122926281892</v>
      </c>
      <c r="Q21" s="450">
        <v>3.1999999999999997</v>
      </c>
      <c r="R21" s="452">
        <v>1.2297239653986419E-2</v>
      </c>
      <c r="S21" s="453">
        <v>4.4789999999999992</v>
      </c>
      <c r="T21" s="452">
        <v>1.7212292628189112E-2</v>
      </c>
      <c r="U21" s="454">
        <v>1331.8306499999999</v>
      </c>
      <c r="V21" s="344" t="s">
        <v>331</v>
      </c>
      <c r="W21" s="344" t="s">
        <v>194</v>
      </c>
      <c r="X21" s="344" t="s">
        <v>612</v>
      </c>
      <c r="Y21" s="344" t="s">
        <v>530</v>
      </c>
      <c r="Z21" s="344">
        <v>1</v>
      </c>
      <c r="AA21" s="455" t="s">
        <v>600</v>
      </c>
    </row>
    <row r="22" spans="2:27" s="425" customFormat="1" ht="27" customHeight="1">
      <c r="B22" s="871"/>
      <c r="C22" s="872"/>
      <c r="D22" s="342">
        <v>18</v>
      </c>
      <c r="E22" s="448" t="s">
        <v>727</v>
      </c>
      <c r="F22" s="449">
        <v>949.34799999999996</v>
      </c>
      <c r="G22" s="343">
        <v>103.19</v>
      </c>
      <c r="H22" s="450">
        <v>2250.4</v>
      </c>
      <c r="I22" s="451">
        <v>2254.1408935354316</v>
      </c>
      <c r="J22" s="452">
        <v>1.0016526280511693</v>
      </c>
      <c r="K22" s="451">
        <v>2263.3000000000002</v>
      </c>
      <c r="L22" s="452">
        <v>1.0057323142552435</v>
      </c>
      <c r="M22" s="451">
        <v>0</v>
      </c>
      <c r="N22" s="452">
        <v>0</v>
      </c>
      <c r="O22" s="453">
        <v>2263.3000000000002</v>
      </c>
      <c r="P22" s="452">
        <v>1.0057323142552435</v>
      </c>
      <c r="Q22" s="450">
        <v>9.2000000000000011</v>
      </c>
      <c r="R22" s="452">
        <v>4.088162104514753E-3</v>
      </c>
      <c r="S22" s="453">
        <v>12.900000000000205</v>
      </c>
      <c r="T22" s="452">
        <v>5.7323142552436028E-3</v>
      </c>
      <c r="U22" s="454">
        <v>1331.151000000021</v>
      </c>
      <c r="V22" s="344" t="s">
        <v>326</v>
      </c>
      <c r="W22" s="344" t="s">
        <v>504</v>
      </c>
      <c r="X22" s="506" t="s">
        <v>621</v>
      </c>
      <c r="Y22" s="344" t="s">
        <v>622</v>
      </c>
      <c r="Z22" s="344">
        <v>1</v>
      </c>
      <c r="AA22" s="455" t="s">
        <v>726</v>
      </c>
    </row>
    <row r="23" spans="2:27" s="425" customFormat="1" ht="27" customHeight="1">
      <c r="B23" s="871"/>
      <c r="C23" s="872"/>
      <c r="D23" s="342">
        <v>19</v>
      </c>
      <c r="E23" s="448" t="s">
        <v>643</v>
      </c>
      <c r="F23" s="449">
        <v>941.49999999999977</v>
      </c>
      <c r="G23" s="343">
        <v>13.45</v>
      </c>
      <c r="H23" s="450">
        <v>27344</v>
      </c>
      <c r="I23" s="451">
        <v>27344</v>
      </c>
      <c r="J23" s="452">
        <v>1</v>
      </c>
      <c r="K23" s="451">
        <v>27414</v>
      </c>
      <c r="L23" s="452">
        <v>1.0025599765944997</v>
      </c>
      <c r="M23" s="451">
        <v>0</v>
      </c>
      <c r="N23" s="452">
        <v>0</v>
      </c>
      <c r="O23" s="453">
        <v>27414</v>
      </c>
      <c r="P23" s="452">
        <v>1.0025599765944997</v>
      </c>
      <c r="Q23" s="450">
        <v>70</v>
      </c>
      <c r="R23" s="452">
        <v>2.5599765944997075E-3</v>
      </c>
      <c r="S23" s="453">
        <v>70</v>
      </c>
      <c r="T23" s="452">
        <v>2.5599765944997075E-3</v>
      </c>
      <c r="U23" s="454">
        <v>941.49999999999977</v>
      </c>
      <c r="V23" s="344" t="s">
        <v>327</v>
      </c>
      <c r="W23" s="344" t="s">
        <v>518</v>
      </c>
      <c r="X23" s="506" t="s">
        <v>791</v>
      </c>
      <c r="Y23" s="344" t="s">
        <v>808</v>
      </c>
      <c r="Z23" s="344">
        <v>1</v>
      </c>
      <c r="AA23" s="455" t="s">
        <v>522</v>
      </c>
    </row>
    <row r="24" spans="2:27" s="425" customFormat="1" ht="27" customHeight="1">
      <c r="B24" s="873"/>
      <c r="C24" s="874"/>
      <c r="D24" s="342">
        <v>20</v>
      </c>
      <c r="E24" s="448" t="s">
        <v>809</v>
      </c>
      <c r="F24" s="449">
        <v>939.05599999999993</v>
      </c>
      <c r="G24" s="343">
        <v>247.12</v>
      </c>
      <c r="H24" s="450">
        <v>334.33199999999999</v>
      </c>
      <c r="I24" s="451">
        <v>334.33199999999999</v>
      </c>
      <c r="J24" s="452">
        <v>1</v>
      </c>
      <c r="K24" s="451">
        <v>339.70000000000005</v>
      </c>
      <c r="L24" s="452">
        <v>1.0160558965339843</v>
      </c>
      <c r="M24" s="451">
        <v>0</v>
      </c>
      <c r="N24" s="452">
        <v>0</v>
      </c>
      <c r="O24" s="453">
        <v>339.70000000000005</v>
      </c>
      <c r="P24" s="452">
        <v>1.0160558965339843</v>
      </c>
      <c r="Q24" s="450">
        <v>3.8000000000000003</v>
      </c>
      <c r="R24" s="452">
        <v>1.1365947620927701E-2</v>
      </c>
      <c r="S24" s="453">
        <v>5.3680000000000305</v>
      </c>
      <c r="T24" s="452">
        <v>1.6055896533984274E-2</v>
      </c>
      <c r="U24" s="454">
        <v>1326.5401600000077</v>
      </c>
      <c r="V24" s="344" t="s">
        <v>331</v>
      </c>
      <c r="W24" s="344" t="s">
        <v>504</v>
      </c>
      <c r="X24" s="344" t="s">
        <v>810</v>
      </c>
      <c r="Y24" s="506" t="s">
        <v>811</v>
      </c>
      <c r="Z24" s="344">
        <v>1</v>
      </c>
      <c r="AA24" s="455" t="s">
        <v>719</v>
      </c>
    </row>
    <row r="25" spans="2:27" ht="27" customHeight="1"/>
    <row r="26" spans="2:27" ht="27" customHeight="1"/>
    <row r="27" spans="2:27" ht="29.25" customHeight="1"/>
    <row r="28" spans="2:27" ht="27.95" customHeight="1"/>
    <row r="29" spans="2:27" ht="27.95" customHeight="1"/>
    <row r="30" spans="2:27" ht="27.95" customHeight="1"/>
    <row r="31" spans="2:27" ht="27.95" customHeight="1"/>
    <row r="32" spans="2:27" ht="27.95" customHeight="1"/>
    <row r="42" ht="14.1" customHeight="1"/>
    <row r="52" ht="14.1" customHeight="1"/>
    <row r="62" ht="14.1" customHeight="1"/>
    <row r="87" spans="26:26">
      <c r="Z87" s="340" t="s">
        <v>519</v>
      </c>
    </row>
    <row r="88" spans="26:26">
      <c r="Z88" s="340" t="s">
        <v>520</v>
      </c>
    </row>
    <row r="91" spans="26:26" ht="18.75" customHeight="1"/>
    <row r="92" spans="26:26" ht="14.1" customHeight="1"/>
    <row r="102" ht="14.1" customHeight="1"/>
    <row r="112" ht="14.1" customHeight="1"/>
    <row r="122" ht="14.1" customHeight="1"/>
    <row r="142" ht="14.1" customHeight="1"/>
    <row r="162" ht="14.1" customHeight="1"/>
    <row r="172" ht="14.1" customHeight="1"/>
    <row r="182" ht="14.1" customHeight="1"/>
    <row r="192" ht="14.1" customHeight="1"/>
    <row r="202" ht="14.1" customHeight="1"/>
    <row r="212" ht="14.1" customHeight="1"/>
    <row r="222" ht="14.1" customHeight="1"/>
    <row r="232" ht="14.1" customHeight="1"/>
    <row r="242" ht="14.1" customHeight="1"/>
    <row r="252" ht="14.1" customHeight="1"/>
    <row r="262" ht="14.1" customHeight="1"/>
    <row r="272" ht="14.1" customHeight="1"/>
  </sheetData>
  <mergeCells count="21">
    <mergeCell ref="K3:L3"/>
    <mergeCell ref="B2:AA2"/>
    <mergeCell ref="B3:C4"/>
    <mergeCell ref="D3:D4"/>
    <mergeCell ref="E3:E4"/>
    <mergeCell ref="AC3:AJ5"/>
    <mergeCell ref="B5:C24"/>
    <mergeCell ref="W3:W4"/>
    <mergeCell ref="X3:X4"/>
    <mergeCell ref="Y3:Y4"/>
    <mergeCell ref="Z3:Z4"/>
    <mergeCell ref="AA3:AA4"/>
    <mergeCell ref="M3:N3"/>
    <mergeCell ref="O3:P3"/>
    <mergeCell ref="Q3:R3"/>
    <mergeCell ref="S3:U3"/>
    <mergeCell ref="V3:V4"/>
    <mergeCell ref="F3:F4"/>
    <mergeCell ref="G3:G4"/>
    <mergeCell ref="H3:H4"/>
    <mergeCell ref="I3:J3"/>
  </mergeCells>
  <phoneticPr fontId="12" type="noConversion"/>
  <dataValidations disablePrompts="1" count="4">
    <dataValidation type="list" allowBlank="1" showInputMessage="1" showErrorMessage="1" sqref="T1 T25:T1048576">
      <formula1>$AC$2:$AC$2</formula1>
    </dataValidation>
    <dataValidation type="list" allowBlank="1" showInputMessage="1" showErrorMessage="1" sqref="U1 U25:U1048576">
      <formula1>#REF!</formula1>
    </dataValidation>
    <dataValidation type="list" allowBlank="1" showInputMessage="1" showErrorMessage="1" sqref="W5:W24">
      <formula1>$AO$7:$AO$13</formula1>
    </dataValidation>
    <dataValidation type="list" allowBlank="1" showInputMessage="1" showErrorMessage="1" sqref="V5:V24">
      <formula1>$AP$7:$AP$13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1:AP271"/>
  <sheetViews>
    <sheetView zoomScale="55" zoomScaleNormal="55" workbookViewId="0">
      <pane xSplit="4" ySplit="1" topLeftCell="O2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D5" sqref="D5:AA24"/>
    </sheetView>
  </sheetViews>
  <sheetFormatPr defaultColWidth="8.85546875" defaultRowHeight="16.5"/>
  <cols>
    <col min="1" max="1" width="8.85546875" style="340"/>
    <col min="2" max="2" width="12.42578125" style="340" customWidth="1"/>
    <col min="3" max="3" width="8.85546875" style="340"/>
    <col min="4" max="4" width="11.5703125" style="340" customWidth="1"/>
    <col min="5" max="5" width="39.28515625" style="340" bestFit="1" customWidth="1"/>
    <col min="6" max="21" width="15.7109375" style="340" customWidth="1"/>
    <col min="22" max="22" width="12.42578125" style="340" bestFit="1" customWidth="1"/>
    <col min="23" max="23" width="25.28515625" style="340" bestFit="1" customWidth="1"/>
    <col min="24" max="24" width="88.28515625" style="340" customWidth="1"/>
    <col min="25" max="25" width="117.7109375" style="340" bestFit="1" customWidth="1"/>
    <col min="26" max="26" width="7.42578125" style="340" bestFit="1" customWidth="1"/>
    <col min="27" max="27" width="69.5703125" style="340" bestFit="1" customWidth="1"/>
    <col min="28" max="28" width="11.42578125" style="340" bestFit="1" customWidth="1"/>
    <col min="29" max="29" width="21.5703125" style="340" customWidth="1"/>
    <col min="30" max="30" width="19.42578125" style="340" bestFit="1" customWidth="1"/>
    <col min="31" max="36" width="14.42578125" style="340" customWidth="1"/>
    <col min="37" max="40" width="8.85546875" style="340"/>
    <col min="41" max="41" width="20.85546875" style="340" bestFit="1" customWidth="1"/>
    <col min="42" max="16384" width="8.85546875" style="340"/>
  </cols>
  <sheetData>
    <row r="1" spans="2:42" ht="21">
      <c r="B1" s="340" t="s">
        <v>678</v>
      </c>
    </row>
    <row r="2" spans="2:42" ht="41.1" customHeight="1">
      <c r="B2" s="886" t="s">
        <v>659</v>
      </c>
      <c r="C2" s="887"/>
      <c r="D2" s="887" t="s">
        <v>679</v>
      </c>
      <c r="E2" s="887" t="s">
        <v>680</v>
      </c>
      <c r="F2" s="887" t="s">
        <v>681</v>
      </c>
      <c r="G2" s="887" t="s">
        <v>682</v>
      </c>
      <c r="H2" s="887" t="s">
        <v>683</v>
      </c>
      <c r="I2" s="887" t="s">
        <v>684</v>
      </c>
      <c r="J2" s="887"/>
      <c r="K2" s="887" t="s">
        <v>685</v>
      </c>
      <c r="L2" s="887"/>
      <c r="M2" s="887" t="s">
        <v>686</v>
      </c>
      <c r="N2" s="887"/>
      <c r="O2" s="887" t="s">
        <v>687</v>
      </c>
      <c r="P2" s="887"/>
      <c r="Q2" s="887" t="s">
        <v>688</v>
      </c>
      <c r="R2" s="887"/>
      <c r="S2" s="887"/>
      <c r="T2" s="887" t="s">
        <v>689</v>
      </c>
      <c r="U2" s="887"/>
      <c r="V2" s="887" t="s">
        <v>166</v>
      </c>
      <c r="W2" s="887" t="s">
        <v>690</v>
      </c>
      <c r="X2" s="887" t="s">
        <v>691</v>
      </c>
      <c r="Y2" s="887" t="s">
        <v>692</v>
      </c>
      <c r="Z2" s="887" t="s">
        <v>693</v>
      </c>
      <c r="AA2" s="887" t="s">
        <v>167</v>
      </c>
      <c r="AC2" s="341" t="s">
        <v>694</v>
      </c>
      <c r="AD2" s="341"/>
    </row>
    <row r="3" spans="2:42" ht="17.100000000000001" customHeight="1">
      <c r="B3" s="888" t="s">
        <v>659</v>
      </c>
      <c r="C3" s="889"/>
      <c r="D3" s="892" t="s">
        <v>660</v>
      </c>
      <c r="E3" s="893" t="s">
        <v>661</v>
      </c>
      <c r="F3" s="894" t="s">
        <v>695</v>
      </c>
      <c r="G3" s="877" t="s">
        <v>663</v>
      </c>
      <c r="H3" s="885" t="s">
        <v>664</v>
      </c>
      <c r="I3" s="879" t="s">
        <v>665</v>
      </c>
      <c r="J3" s="880"/>
      <c r="K3" s="879" t="s">
        <v>666</v>
      </c>
      <c r="L3" s="880"/>
      <c r="M3" s="879" t="s">
        <v>667</v>
      </c>
      <c r="N3" s="880"/>
      <c r="O3" s="879" t="s">
        <v>668</v>
      </c>
      <c r="P3" s="880"/>
      <c r="Q3" s="879" t="s">
        <v>669</v>
      </c>
      <c r="R3" s="895"/>
      <c r="S3" s="880"/>
      <c r="T3" s="881" t="s">
        <v>670</v>
      </c>
      <c r="U3" s="882"/>
      <c r="V3" s="875" t="s">
        <v>166</v>
      </c>
      <c r="W3" s="875" t="s">
        <v>671</v>
      </c>
      <c r="X3" s="875" t="s">
        <v>672</v>
      </c>
      <c r="Y3" s="875" t="s">
        <v>673</v>
      </c>
      <c r="Z3" s="875" t="s">
        <v>674</v>
      </c>
      <c r="AA3" s="877" t="s">
        <v>167</v>
      </c>
      <c r="AC3" s="860" t="s">
        <v>675</v>
      </c>
      <c r="AD3" s="861"/>
      <c r="AE3" s="861"/>
      <c r="AF3" s="861"/>
      <c r="AG3" s="861"/>
      <c r="AH3" s="861"/>
      <c r="AI3" s="861"/>
      <c r="AJ3" s="862"/>
    </row>
    <row r="4" spans="2:42">
      <c r="B4" s="890"/>
      <c r="C4" s="891"/>
      <c r="D4" s="892"/>
      <c r="E4" s="892"/>
      <c r="F4" s="884"/>
      <c r="G4" s="878"/>
      <c r="H4" s="878"/>
      <c r="I4" s="446" t="s">
        <v>676</v>
      </c>
      <c r="J4" s="447" t="s">
        <v>653</v>
      </c>
      <c r="K4" s="446" t="s">
        <v>676</v>
      </c>
      <c r="L4" s="447" t="s">
        <v>653</v>
      </c>
      <c r="M4" s="446" t="s">
        <v>676</v>
      </c>
      <c r="N4" s="447" t="s">
        <v>653</v>
      </c>
      <c r="O4" s="446" t="s">
        <v>676</v>
      </c>
      <c r="P4" s="447" t="s">
        <v>653</v>
      </c>
      <c r="Q4" s="446" t="s">
        <v>676</v>
      </c>
      <c r="R4" s="447" t="s">
        <v>653</v>
      </c>
      <c r="S4" s="447" t="s">
        <v>654</v>
      </c>
      <c r="T4" s="446" t="s">
        <v>676</v>
      </c>
      <c r="U4" s="447" t="s">
        <v>653</v>
      </c>
      <c r="V4" s="876"/>
      <c r="W4" s="876"/>
      <c r="X4" s="876"/>
      <c r="Y4" s="876"/>
      <c r="Z4" s="876"/>
      <c r="AA4" s="878"/>
      <c r="AC4" s="863"/>
      <c r="AD4" s="864"/>
      <c r="AE4" s="864"/>
      <c r="AF4" s="864"/>
      <c r="AG4" s="864"/>
      <c r="AH4" s="864"/>
      <c r="AI4" s="864"/>
      <c r="AJ4" s="865"/>
    </row>
    <row r="5" spans="2:42" s="425" customFormat="1" ht="27" customHeight="1">
      <c r="B5" s="869" t="s">
        <v>729</v>
      </c>
      <c r="C5" s="870"/>
      <c r="D5" s="342">
        <v>1</v>
      </c>
      <c r="E5" s="448" t="s">
        <v>725</v>
      </c>
      <c r="F5" s="462">
        <v>2186.0354596693974</v>
      </c>
      <c r="G5" s="343">
        <v>361.51</v>
      </c>
      <c r="H5" s="450">
        <v>792.05304290429206</v>
      </c>
      <c r="I5" s="451">
        <v>795.3594851393965</v>
      </c>
      <c r="J5" s="452">
        <v>1.0041562830288355</v>
      </c>
      <c r="K5" s="451">
        <v>798.1</v>
      </c>
      <c r="L5" s="452">
        <v>1.0076345355274883</v>
      </c>
      <c r="M5" s="451">
        <v>0</v>
      </c>
      <c r="N5" s="452">
        <v>0</v>
      </c>
      <c r="O5" s="453">
        <v>798.1</v>
      </c>
      <c r="P5" s="452">
        <v>1.0076345355274883</v>
      </c>
      <c r="Q5" s="450">
        <v>3.2</v>
      </c>
      <c r="R5" s="452">
        <v>4.0401334590752565E-3</v>
      </c>
      <c r="S5" s="463">
        <v>1156.8319999999999</v>
      </c>
      <c r="T5" s="453">
        <v>6.0469570957079952</v>
      </c>
      <c r="U5" s="452">
        <v>7.6027974880417647E-3</v>
      </c>
      <c r="V5" s="344" t="s">
        <v>326</v>
      </c>
      <c r="W5" s="344" t="s">
        <v>504</v>
      </c>
      <c r="X5" s="344" t="s">
        <v>730</v>
      </c>
      <c r="Y5" s="344" t="s">
        <v>731</v>
      </c>
      <c r="Z5" s="344">
        <v>1</v>
      </c>
      <c r="AA5" s="455" t="s">
        <v>724</v>
      </c>
      <c r="AC5" s="866"/>
      <c r="AD5" s="867"/>
      <c r="AE5" s="867"/>
      <c r="AF5" s="867"/>
      <c r="AG5" s="867"/>
      <c r="AH5" s="867"/>
      <c r="AI5" s="867"/>
      <c r="AJ5" s="868"/>
    </row>
    <row r="6" spans="2:42" s="425" customFormat="1" ht="27" customHeight="1">
      <c r="B6" s="871"/>
      <c r="C6" s="872"/>
      <c r="D6" s="342">
        <v>2</v>
      </c>
      <c r="E6" s="448" t="s">
        <v>610</v>
      </c>
      <c r="F6" s="462">
        <v>2111.2559999999935</v>
      </c>
      <c r="G6" s="343">
        <v>447.3</v>
      </c>
      <c r="H6" s="450">
        <v>758.68000000000006</v>
      </c>
      <c r="I6" s="451">
        <v>761.68160889615842</v>
      </c>
      <c r="J6" s="452">
        <v>1.0039615621169335</v>
      </c>
      <c r="K6" s="451">
        <v>762.80000000000007</v>
      </c>
      <c r="L6" s="452">
        <v>1.0054304845257553</v>
      </c>
      <c r="M6" s="451">
        <v>0.6</v>
      </c>
      <c r="N6" s="452">
        <v>7.9084726103231914E-4</v>
      </c>
      <c r="O6" s="453">
        <v>763.40000000000009</v>
      </c>
      <c r="P6" s="452">
        <v>1.0062213317867876</v>
      </c>
      <c r="Q6" s="450">
        <v>2</v>
      </c>
      <c r="R6" s="452">
        <v>2.6361575367743976E-3</v>
      </c>
      <c r="S6" s="463">
        <v>894.60000000000014</v>
      </c>
      <c r="T6" s="453">
        <v>4.7199999999999847</v>
      </c>
      <c r="U6" s="452">
        <v>6.1968149747507846E-3</v>
      </c>
      <c r="V6" s="344" t="s">
        <v>327</v>
      </c>
      <c r="W6" s="344" t="s">
        <v>194</v>
      </c>
      <c r="X6" s="344" t="s">
        <v>611</v>
      </c>
      <c r="Y6" s="344" t="s">
        <v>530</v>
      </c>
      <c r="Z6" s="344">
        <v>1</v>
      </c>
      <c r="AA6" s="455" t="s">
        <v>609</v>
      </c>
      <c r="AC6" s="222" t="s">
        <v>677</v>
      </c>
      <c r="AD6" s="222" t="s">
        <v>655</v>
      </c>
      <c r="AE6" s="426" t="s">
        <v>656</v>
      </c>
      <c r="AF6" s="426" t="s">
        <v>369</v>
      </c>
      <c r="AG6" s="426" t="s">
        <v>504</v>
      </c>
      <c r="AH6" s="426" t="s">
        <v>194</v>
      </c>
      <c r="AI6" s="426" t="s">
        <v>195</v>
      </c>
      <c r="AJ6" s="426" t="s">
        <v>518</v>
      </c>
      <c r="AO6" s="456"/>
      <c r="AP6" s="456"/>
    </row>
    <row r="7" spans="2:42" s="425" customFormat="1" ht="27" customHeight="1">
      <c r="B7" s="871"/>
      <c r="C7" s="872"/>
      <c r="D7" s="342">
        <v>3</v>
      </c>
      <c r="E7" s="448" t="s">
        <v>333</v>
      </c>
      <c r="F7" s="462">
        <v>1978.6807999999999</v>
      </c>
      <c r="G7" s="343">
        <v>487.6</v>
      </c>
      <c r="H7" s="450">
        <v>228.34199999999998</v>
      </c>
      <c r="I7" s="451">
        <v>230.44427048725029</v>
      </c>
      <c r="J7" s="452">
        <v>1.0092408909910027</v>
      </c>
      <c r="K7" s="451">
        <v>232.39999999999998</v>
      </c>
      <c r="L7" s="452">
        <v>1.0177715882316876</v>
      </c>
      <c r="M7" s="451">
        <v>0</v>
      </c>
      <c r="N7" s="452">
        <v>0</v>
      </c>
      <c r="O7" s="453">
        <v>232.39999999999998</v>
      </c>
      <c r="P7" s="452">
        <v>1.0177715882316876</v>
      </c>
      <c r="Q7" s="450">
        <v>2.1999999999999997</v>
      </c>
      <c r="R7" s="452">
        <v>9.6346708008163192E-3</v>
      </c>
      <c r="S7" s="463">
        <v>1072.72</v>
      </c>
      <c r="T7" s="453">
        <v>4.0579999999999998</v>
      </c>
      <c r="U7" s="452">
        <v>1.760946363048985E-2</v>
      </c>
      <c r="V7" s="344" t="s">
        <v>327</v>
      </c>
      <c r="W7" s="344" t="s">
        <v>195</v>
      </c>
      <c r="X7" s="344" t="s">
        <v>612</v>
      </c>
      <c r="Y7" s="344" t="s">
        <v>530</v>
      </c>
      <c r="Z7" s="344">
        <v>1</v>
      </c>
      <c r="AA7" s="455" t="s">
        <v>574</v>
      </c>
      <c r="AC7" s="457">
        <f>SUM(Z5:Z24)</f>
        <v>20</v>
      </c>
      <c r="AD7" s="345">
        <f>SUMIF($W$5:$W$24,TRIM(AD6),$Z$5:$Z$24)</f>
        <v>0</v>
      </c>
      <c r="AE7" s="345">
        <f t="shared" ref="AE7:AI7" si="0">SUMIF($W$5:$W$24,TRIM(AE6),$Z$5:$Z$24)</f>
        <v>0</v>
      </c>
      <c r="AF7" s="345">
        <f>SUMIF($W$5:$W$24,TRIM(AF6),$Z$5:$Z$24)</f>
        <v>2</v>
      </c>
      <c r="AG7" s="345">
        <f>SUMIF($W$5:$W$24,TRIM(AG6),$Z$5:$Z$24)</f>
        <v>9</v>
      </c>
      <c r="AH7" s="345">
        <f t="shared" si="0"/>
        <v>5</v>
      </c>
      <c r="AI7" s="345">
        <f t="shared" si="0"/>
        <v>2</v>
      </c>
      <c r="AJ7" s="345">
        <f>SUMIF($W$5:$W$24,TRIM(AJ6),$Z$5:$Z$24)</f>
        <v>2</v>
      </c>
      <c r="AO7" s="458"/>
      <c r="AP7" s="208"/>
    </row>
    <row r="8" spans="2:42" s="425" customFormat="1" ht="27" customHeight="1">
      <c r="B8" s="871"/>
      <c r="C8" s="872"/>
      <c r="D8" s="342">
        <v>4</v>
      </c>
      <c r="E8" s="448" t="s">
        <v>531</v>
      </c>
      <c r="F8" s="462">
        <v>1959.4824200000162</v>
      </c>
      <c r="G8" s="343">
        <v>111.17</v>
      </c>
      <c r="H8" s="450">
        <v>2088.5740000000001</v>
      </c>
      <c r="I8" s="451">
        <v>2098.0034079771203</v>
      </c>
      <c r="J8" s="452">
        <v>1.0045611794128992</v>
      </c>
      <c r="K8" s="451">
        <v>2106.1999999999998</v>
      </c>
      <c r="L8" s="452">
        <v>1.0084392508955871</v>
      </c>
      <c r="M8" s="451">
        <v>0</v>
      </c>
      <c r="N8" s="452">
        <v>0</v>
      </c>
      <c r="O8" s="453">
        <v>2106.1999999999998</v>
      </c>
      <c r="P8" s="452">
        <v>1.0084392508955871</v>
      </c>
      <c r="Q8" s="450">
        <v>9.9</v>
      </c>
      <c r="R8" s="452">
        <v>4.7400762434081818E-3</v>
      </c>
      <c r="S8" s="463">
        <v>1100.5830000000001</v>
      </c>
      <c r="T8" s="453">
        <v>17.626000000000147</v>
      </c>
      <c r="U8" s="452">
        <v>8.4013209573358168E-3</v>
      </c>
      <c r="V8" s="344" t="s">
        <v>326</v>
      </c>
      <c r="W8" s="344" t="s">
        <v>504</v>
      </c>
      <c r="X8" s="344" t="s">
        <v>587</v>
      </c>
      <c r="Y8" s="344" t="s">
        <v>532</v>
      </c>
      <c r="Z8" s="344">
        <v>1</v>
      </c>
      <c r="AA8" s="455" t="s">
        <v>332</v>
      </c>
      <c r="AC8" s="459" t="s">
        <v>11</v>
      </c>
      <c r="AD8" s="460">
        <f>SUMIF($W5:$W$24,TRIM(AD6),$F$5:$F$24)</f>
        <v>0</v>
      </c>
      <c r="AE8" s="460">
        <f>SUMIF($W5:$W$24,TRIM(AE6),$F$5:$F$24)</f>
        <v>0</v>
      </c>
      <c r="AF8" s="460">
        <f>SUMIF($W5:$W$24,TRIM(AF6),$F$5:$F$24)</f>
        <v>3162.29324</v>
      </c>
      <c r="AG8" s="460">
        <f>SUMIF($W5:$W$24,TRIM(AG6),$F$5:$F$24)</f>
        <v>15540.613629669491</v>
      </c>
      <c r="AH8" s="460">
        <f>SUMIF($W5:$W$24,TRIM(AH6),$F$5:$F$24)</f>
        <v>8853.7619499999746</v>
      </c>
      <c r="AI8" s="460">
        <f>SUMIF($W5:$W$24,TRIM(AI6),$F$5:$F$24)</f>
        <v>3685.240479999999</v>
      </c>
      <c r="AJ8" s="460">
        <f>SUMIF($W5:$W$24,TRIM(AJ6),$F$5:$F$24)</f>
        <v>3101.8630800000115</v>
      </c>
      <c r="AO8" s="208"/>
      <c r="AP8" s="208"/>
    </row>
    <row r="9" spans="2:42" s="425" customFormat="1" ht="27" customHeight="1">
      <c r="B9" s="871"/>
      <c r="C9" s="872"/>
      <c r="D9" s="342">
        <v>5</v>
      </c>
      <c r="E9" s="448" t="s">
        <v>370</v>
      </c>
      <c r="F9" s="462">
        <v>1822.1305499999855</v>
      </c>
      <c r="G9" s="343">
        <v>420.33</v>
      </c>
      <c r="H9" s="450">
        <v>571.16499999999996</v>
      </c>
      <c r="I9" s="451">
        <v>573.26277870305546</v>
      </c>
      <c r="J9" s="452">
        <v>1.0036965330516219</v>
      </c>
      <c r="K9" s="451">
        <v>575.49999999999989</v>
      </c>
      <c r="L9" s="452">
        <v>1.0075897507725438</v>
      </c>
      <c r="M9" s="451">
        <v>0</v>
      </c>
      <c r="N9" s="452">
        <v>0</v>
      </c>
      <c r="O9" s="453">
        <v>575.49999999999989</v>
      </c>
      <c r="P9" s="452">
        <v>1.0075897507725438</v>
      </c>
      <c r="Q9" s="450">
        <v>2.5</v>
      </c>
      <c r="R9" s="452">
        <v>4.3770188999676107E-3</v>
      </c>
      <c r="S9" s="463">
        <v>1050.825</v>
      </c>
      <c r="T9" s="453">
        <v>4.3349999999999653</v>
      </c>
      <c r="U9" s="452">
        <v>7.5619770915659832E-3</v>
      </c>
      <c r="V9" s="344" t="s">
        <v>327</v>
      </c>
      <c r="W9" s="344" t="s">
        <v>194</v>
      </c>
      <c r="X9" s="344" t="s">
        <v>612</v>
      </c>
      <c r="Y9" s="344" t="s">
        <v>530</v>
      </c>
      <c r="Z9" s="344">
        <v>1</v>
      </c>
      <c r="AA9" s="455" t="s">
        <v>352</v>
      </c>
      <c r="AC9" s="342" t="s">
        <v>657</v>
      </c>
      <c r="AD9" s="461">
        <f t="shared" ref="AD9:AJ9" si="1">AD7/$AC7</f>
        <v>0</v>
      </c>
      <c r="AE9" s="461">
        <f t="shared" si="1"/>
        <v>0</v>
      </c>
      <c r="AF9" s="461">
        <f t="shared" si="1"/>
        <v>0.1</v>
      </c>
      <c r="AG9" s="461">
        <f t="shared" si="1"/>
        <v>0.45</v>
      </c>
      <c r="AH9" s="461">
        <f t="shared" si="1"/>
        <v>0.25</v>
      </c>
      <c r="AI9" s="461">
        <f t="shared" si="1"/>
        <v>0.1</v>
      </c>
      <c r="AJ9" s="461">
        <f t="shared" si="1"/>
        <v>0.1</v>
      </c>
      <c r="AO9" s="208"/>
      <c r="AP9" s="208"/>
    </row>
    <row r="10" spans="2:42" s="425" customFormat="1" ht="27" customHeight="1">
      <c r="B10" s="871"/>
      <c r="C10" s="872"/>
      <c r="D10" s="342">
        <v>6</v>
      </c>
      <c r="E10" s="448" t="s">
        <v>732</v>
      </c>
      <c r="F10" s="462">
        <v>1799.2382400000154</v>
      </c>
      <c r="G10" s="343">
        <v>371.13</v>
      </c>
      <c r="H10" s="450">
        <v>1468.1519999999998</v>
      </c>
      <c r="I10" s="451">
        <v>1471.406076300432</v>
      </c>
      <c r="J10" s="452">
        <v>1.0022304429285593</v>
      </c>
      <c r="K10" s="451">
        <v>1470.8999999999999</v>
      </c>
      <c r="L10" s="452">
        <v>1.0018717408006801</v>
      </c>
      <c r="M10" s="451">
        <v>2.0999999999999996</v>
      </c>
      <c r="N10" s="452">
        <v>1.4303696075065797E-3</v>
      </c>
      <c r="O10" s="453">
        <v>1472.9999999999998</v>
      </c>
      <c r="P10" s="452">
        <v>1.0033021104081865</v>
      </c>
      <c r="Q10" s="450">
        <v>2</v>
      </c>
      <c r="R10" s="452">
        <v>1.3622567690538855E-3</v>
      </c>
      <c r="S10" s="463">
        <v>742.26</v>
      </c>
      <c r="T10" s="453">
        <v>4.8480000000000416</v>
      </c>
      <c r="U10" s="452">
        <v>3.2948076524119069E-3</v>
      </c>
      <c r="V10" s="344" t="s">
        <v>326</v>
      </c>
      <c r="W10" s="344" t="s">
        <v>504</v>
      </c>
      <c r="X10" s="344" t="s">
        <v>730</v>
      </c>
      <c r="Y10" s="344" t="s">
        <v>731</v>
      </c>
      <c r="Z10" s="344">
        <v>1</v>
      </c>
      <c r="AA10" s="455" t="s">
        <v>354</v>
      </c>
      <c r="AO10" s="208"/>
      <c r="AP10" s="208"/>
    </row>
    <row r="11" spans="2:42" s="425" customFormat="1" ht="27" customHeight="1">
      <c r="B11" s="871"/>
      <c r="C11" s="872"/>
      <c r="D11" s="342">
        <v>7</v>
      </c>
      <c r="E11" s="448" t="s">
        <v>635</v>
      </c>
      <c r="F11" s="462">
        <v>1787.554999999998</v>
      </c>
      <c r="G11" s="343">
        <v>325.01</v>
      </c>
      <c r="H11" s="450">
        <v>346</v>
      </c>
      <c r="I11" s="451">
        <v>348.23580292473099</v>
      </c>
      <c r="J11" s="452">
        <v>1.0064435916760781</v>
      </c>
      <c r="K11" s="451">
        <v>351.5</v>
      </c>
      <c r="L11" s="452">
        <v>1.0158959537572254</v>
      </c>
      <c r="M11" s="451">
        <v>0</v>
      </c>
      <c r="N11" s="452">
        <v>0</v>
      </c>
      <c r="O11" s="453">
        <v>351.5</v>
      </c>
      <c r="P11" s="452">
        <v>1.0158959537572254</v>
      </c>
      <c r="Q11" s="450">
        <v>3.5000000000000004</v>
      </c>
      <c r="R11" s="452">
        <v>1.0115606936416187E-2</v>
      </c>
      <c r="S11" s="463">
        <v>1137.5349999999999</v>
      </c>
      <c r="T11" s="453">
        <v>5.4999999999999929</v>
      </c>
      <c r="U11" s="452">
        <v>1.57938958424352E-2</v>
      </c>
      <c r="V11" s="344" t="s">
        <v>327</v>
      </c>
      <c r="W11" s="344" t="s">
        <v>194</v>
      </c>
      <c r="X11" s="344" t="s">
        <v>611</v>
      </c>
      <c r="Y11" s="344" t="s">
        <v>530</v>
      </c>
      <c r="Z11" s="344">
        <v>1</v>
      </c>
      <c r="AA11" s="455" t="s">
        <v>634</v>
      </c>
      <c r="AO11" s="208"/>
      <c r="AP11" s="208"/>
    </row>
    <row r="12" spans="2:42" s="425" customFormat="1" ht="27" customHeight="1">
      <c r="B12" s="871"/>
      <c r="C12" s="872"/>
      <c r="D12" s="342">
        <v>8</v>
      </c>
      <c r="E12" s="448" t="s">
        <v>741</v>
      </c>
      <c r="F12" s="462">
        <v>1770.8190000000245</v>
      </c>
      <c r="G12" s="343">
        <v>125.59</v>
      </c>
      <c r="H12" s="450">
        <v>2096.9</v>
      </c>
      <c r="I12" s="451">
        <v>2100.3335900566321</v>
      </c>
      <c r="J12" s="452">
        <v>1.0018327197195303</v>
      </c>
      <c r="K12" s="451">
        <v>2111.0000000000005</v>
      </c>
      <c r="L12" s="452">
        <v>1.0067242119318995</v>
      </c>
      <c r="M12" s="451">
        <v>0</v>
      </c>
      <c r="N12" s="452">
        <v>0</v>
      </c>
      <c r="O12" s="453">
        <v>2111.0000000000005</v>
      </c>
      <c r="P12" s="452">
        <v>1.0067242119318995</v>
      </c>
      <c r="Q12" s="450">
        <v>8.6</v>
      </c>
      <c r="R12" s="452">
        <v>4.1012923839954217E-3</v>
      </c>
      <c r="S12" s="463">
        <v>1080.0740000000001</v>
      </c>
      <c r="T12" s="453">
        <v>14.100000000000193</v>
      </c>
      <c r="U12" s="452">
        <v>6.7132193032345923E-3</v>
      </c>
      <c r="V12" s="344" t="s">
        <v>326</v>
      </c>
      <c r="W12" s="344" t="s">
        <v>504</v>
      </c>
      <c r="X12" s="344" t="s">
        <v>621</v>
      </c>
      <c r="Y12" s="344" t="s">
        <v>622</v>
      </c>
      <c r="Z12" s="344">
        <v>1</v>
      </c>
      <c r="AA12" s="455" t="s">
        <v>735</v>
      </c>
      <c r="AO12" s="208"/>
      <c r="AP12" s="208"/>
    </row>
    <row r="13" spans="2:42" s="425" customFormat="1" ht="27" customHeight="1">
      <c r="B13" s="871"/>
      <c r="C13" s="872"/>
      <c r="D13" s="342">
        <v>9</v>
      </c>
      <c r="E13" s="448" t="s">
        <v>650</v>
      </c>
      <c r="F13" s="462">
        <v>1706.5596799999992</v>
      </c>
      <c r="G13" s="343">
        <v>444.88</v>
      </c>
      <c r="H13" s="450">
        <v>114.264</v>
      </c>
      <c r="I13" s="451">
        <v>115.314889942928</v>
      </c>
      <c r="J13" s="452">
        <v>1.0093423651979705</v>
      </c>
      <c r="K13" s="451">
        <v>118.1</v>
      </c>
      <c r="L13" s="452">
        <v>1.0335713785619267</v>
      </c>
      <c r="M13" s="451">
        <v>0</v>
      </c>
      <c r="N13" s="452">
        <v>0</v>
      </c>
      <c r="O13" s="453">
        <v>118.1</v>
      </c>
      <c r="P13" s="452">
        <v>1.0335713785619267</v>
      </c>
      <c r="Q13" s="450">
        <v>2.5999999999999996</v>
      </c>
      <c r="R13" s="452">
        <v>2.2754323321431069E-2</v>
      </c>
      <c r="S13" s="463">
        <v>1156.6879999999999</v>
      </c>
      <c r="T13" s="453">
        <v>3.8359999999999985</v>
      </c>
      <c r="U13" s="452">
        <v>3.3265435208744712E-2</v>
      </c>
      <c r="V13" s="344" t="s">
        <v>327</v>
      </c>
      <c r="W13" s="344" t="s">
        <v>195</v>
      </c>
      <c r="X13" s="344" t="s">
        <v>612</v>
      </c>
      <c r="Y13" s="344" t="s">
        <v>530</v>
      </c>
      <c r="Z13" s="344">
        <v>1</v>
      </c>
      <c r="AA13" s="455" t="s">
        <v>573</v>
      </c>
      <c r="AO13" s="208"/>
      <c r="AP13" s="208"/>
    </row>
    <row r="14" spans="2:42" s="425" customFormat="1" ht="27" customHeight="1">
      <c r="B14" s="871"/>
      <c r="C14" s="872"/>
      <c r="D14" s="342">
        <v>10</v>
      </c>
      <c r="E14" s="448" t="s">
        <v>738</v>
      </c>
      <c r="F14" s="462">
        <v>1602.3547199999989</v>
      </c>
      <c r="G14" s="343">
        <v>462.04</v>
      </c>
      <c r="H14" s="450">
        <v>74.531999999999996</v>
      </c>
      <c r="I14" s="451">
        <v>75.908219846421176</v>
      </c>
      <c r="J14" s="452">
        <v>1.0188067688402402</v>
      </c>
      <c r="K14" s="451">
        <v>78</v>
      </c>
      <c r="L14" s="452">
        <v>1.0465303493801321</v>
      </c>
      <c r="M14" s="451">
        <v>0</v>
      </c>
      <c r="N14" s="452">
        <v>0</v>
      </c>
      <c r="O14" s="453">
        <v>78</v>
      </c>
      <c r="P14" s="452">
        <v>1.0465303493801321</v>
      </c>
      <c r="Q14" s="450">
        <v>2.1</v>
      </c>
      <c r="R14" s="452">
        <v>2.8175817098695866E-2</v>
      </c>
      <c r="S14" s="463">
        <v>970.28399999999999</v>
      </c>
      <c r="T14" s="453">
        <v>3.4679999999999982</v>
      </c>
      <c r="U14" s="452">
        <v>4.568675180390893E-2</v>
      </c>
      <c r="V14" s="344" t="s">
        <v>331</v>
      </c>
      <c r="W14" s="344" t="s">
        <v>369</v>
      </c>
      <c r="X14" s="344" t="s">
        <v>748</v>
      </c>
      <c r="Y14" s="344" t="s">
        <v>749</v>
      </c>
      <c r="Z14" s="344">
        <v>1</v>
      </c>
      <c r="AA14" s="455" t="s">
        <v>528</v>
      </c>
    </row>
    <row r="15" spans="2:42" s="425" customFormat="1" ht="27" customHeight="1">
      <c r="B15" s="871"/>
      <c r="C15" s="872"/>
      <c r="D15" s="342">
        <v>11</v>
      </c>
      <c r="E15" s="448" t="s">
        <v>651</v>
      </c>
      <c r="F15" s="462">
        <v>1590.0741999999993</v>
      </c>
      <c r="G15" s="343">
        <v>272.74</v>
      </c>
      <c r="H15" s="450">
        <v>353.07000000000005</v>
      </c>
      <c r="I15" s="451">
        <v>354.80712260940334</v>
      </c>
      <c r="J15" s="452">
        <v>1.0049628586112378</v>
      </c>
      <c r="K15" s="451">
        <v>358.9</v>
      </c>
      <c r="L15" s="452">
        <v>1.0165123063415185</v>
      </c>
      <c r="M15" s="451">
        <v>0</v>
      </c>
      <c r="N15" s="452">
        <v>0</v>
      </c>
      <c r="O15" s="453">
        <v>358.9</v>
      </c>
      <c r="P15" s="452">
        <v>1.0165123063415185</v>
      </c>
      <c r="Q15" s="450">
        <v>3.8</v>
      </c>
      <c r="R15" s="452">
        <v>1.0762738267199137E-2</v>
      </c>
      <c r="S15" s="463">
        <v>1036.4120000000003</v>
      </c>
      <c r="T15" s="453">
        <v>5.8299999999999983</v>
      </c>
      <c r="U15" s="452">
        <v>1.6431462697602248E-2</v>
      </c>
      <c r="V15" s="344" t="s">
        <v>327</v>
      </c>
      <c r="W15" s="344" t="s">
        <v>194</v>
      </c>
      <c r="X15" s="344" t="s">
        <v>611</v>
      </c>
      <c r="Y15" s="344" t="s">
        <v>530</v>
      </c>
      <c r="Z15" s="344">
        <v>1</v>
      </c>
      <c r="AA15" s="455" t="s">
        <v>328</v>
      </c>
      <c r="AE15" s="346"/>
    </row>
    <row r="16" spans="2:42" s="425" customFormat="1" ht="27" customHeight="1">
      <c r="B16" s="871"/>
      <c r="C16" s="872"/>
      <c r="D16" s="342">
        <v>12</v>
      </c>
      <c r="E16" s="448" t="s">
        <v>644</v>
      </c>
      <c r="F16" s="462">
        <v>1582.8600000000031</v>
      </c>
      <c r="G16" s="343">
        <v>102.12</v>
      </c>
      <c r="H16" s="450">
        <v>1492.4</v>
      </c>
      <c r="I16" s="451">
        <v>1498.5540006185763</v>
      </c>
      <c r="J16" s="452">
        <v>1.0041179330248193</v>
      </c>
      <c r="K16" s="451">
        <v>1507.9</v>
      </c>
      <c r="L16" s="452">
        <v>1.0103859555079067</v>
      </c>
      <c r="M16" s="451">
        <v>0</v>
      </c>
      <c r="N16" s="452">
        <v>0</v>
      </c>
      <c r="O16" s="453">
        <v>1507.9</v>
      </c>
      <c r="P16" s="452">
        <v>1.0103859555079067</v>
      </c>
      <c r="Q16" s="450">
        <v>9.1</v>
      </c>
      <c r="R16" s="452">
        <v>6.0975609756097554E-3</v>
      </c>
      <c r="S16" s="463">
        <v>929.29200000000003</v>
      </c>
      <c r="T16" s="453">
        <v>15.500000000000028</v>
      </c>
      <c r="U16" s="452">
        <v>1.0343304274388447E-2</v>
      </c>
      <c r="V16" s="344" t="s">
        <v>326</v>
      </c>
      <c r="W16" s="344" t="s">
        <v>504</v>
      </c>
      <c r="X16" s="344" t="s">
        <v>587</v>
      </c>
      <c r="Y16" s="344" t="s">
        <v>532</v>
      </c>
      <c r="Z16" s="344">
        <v>1</v>
      </c>
      <c r="AA16" s="455" t="s">
        <v>641</v>
      </c>
    </row>
    <row r="17" spans="2:27" s="425" customFormat="1" ht="27" customHeight="1">
      <c r="B17" s="871"/>
      <c r="C17" s="872"/>
      <c r="D17" s="342">
        <v>13</v>
      </c>
      <c r="E17" s="448" t="s">
        <v>722</v>
      </c>
      <c r="F17" s="462">
        <v>1574.520200000024</v>
      </c>
      <c r="G17" s="343">
        <v>118.03</v>
      </c>
      <c r="H17" s="450">
        <v>1576.1599999999999</v>
      </c>
      <c r="I17" s="451">
        <v>1580.2040544222875</v>
      </c>
      <c r="J17" s="452">
        <v>1.002681712702717</v>
      </c>
      <c r="K17" s="451">
        <v>1589.5000000000005</v>
      </c>
      <c r="L17" s="452">
        <v>1.0084636077555582</v>
      </c>
      <c r="M17" s="451">
        <v>0</v>
      </c>
      <c r="N17" s="452">
        <v>0</v>
      </c>
      <c r="O17" s="453">
        <v>1589.5000000000005</v>
      </c>
      <c r="P17" s="452">
        <v>1.0084636077555582</v>
      </c>
      <c r="Q17" s="450">
        <v>8.8000000000000007</v>
      </c>
      <c r="R17" s="452">
        <v>5.5831895239062037E-3</v>
      </c>
      <c r="S17" s="463">
        <v>1038.664</v>
      </c>
      <c r="T17" s="453">
        <v>13.340000000000202</v>
      </c>
      <c r="U17" s="452">
        <v>8.4419477109095396E-3</v>
      </c>
      <c r="V17" s="344" t="s">
        <v>326</v>
      </c>
      <c r="W17" s="344" t="s">
        <v>504</v>
      </c>
      <c r="X17" s="344" t="s">
        <v>621</v>
      </c>
      <c r="Y17" s="344" t="s">
        <v>622</v>
      </c>
      <c r="Z17" s="344">
        <v>1</v>
      </c>
      <c r="AA17" s="455" t="s">
        <v>720</v>
      </c>
    </row>
    <row r="18" spans="2:27" s="425" customFormat="1" ht="27" customHeight="1">
      <c r="B18" s="871"/>
      <c r="C18" s="872"/>
      <c r="D18" s="342">
        <v>14</v>
      </c>
      <c r="E18" s="448" t="s">
        <v>743</v>
      </c>
      <c r="F18" s="462">
        <v>1573.8142000000141</v>
      </c>
      <c r="G18" s="343">
        <v>362.63</v>
      </c>
      <c r="H18" s="450">
        <v>333.56</v>
      </c>
      <c r="I18" s="451">
        <v>335.11666124651146</v>
      </c>
      <c r="J18" s="452">
        <v>1.0045996455095467</v>
      </c>
      <c r="K18" s="451">
        <v>337.90000000000003</v>
      </c>
      <c r="L18" s="452">
        <v>1.013011152416357</v>
      </c>
      <c r="M18" s="451">
        <v>0</v>
      </c>
      <c r="N18" s="452">
        <v>0</v>
      </c>
      <c r="O18" s="453">
        <v>337.90000000000003</v>
      </c>
      <c r="P18" s="452">
        <v>1.013011152416357</v>
      </c>
      <c r="Q18" s="450">
        <v>2.7</v>
      </c>
      <c r="R18" s="452">
        <v>8.0944957428948326E-3</v>
      </c>
      <c r="S18" s="463">
        <v>979.101</v>
      </c>
      <c r="T18" s="453">
        <v>4.3400000000000389</v>
      </c>
      <c r="U18" s="452">
        <v>1.295071389126648E-2</v>
      </c>
      <c r="V18" s="344" t="s">
        <v>326</v>
      </c>
      <c r="W18" s="344" t="s">
        <v>504</v>
      </c>
      <c r="X18" s="344" t="s">
        <v>730</v>
      </c>
      <c r="Y18" s="344" t="s">
        <v>731</v>
      </c>
      <c r="Z18" s="344">
        <v>1</v>
      </c>
      <c r="AA18" s="455" t="s">
        <v>744</v>
      </c>
    </row>
    <row r="19" spans="2:27" s="425" customFormat="1" ht="27" customHeight="1">
      <c r="B19" s="871"/>
      <c r="C19" s="872"/>
      <c r="D19" s="342">
        <v>15</v>
      </c>
      <c r="E19" s="448" t="s">
        <v>639</v>
      </c>
      <c r="F19" s="462">
        <v>1573.3520399999993</v>
      </c>
      <c r="G19" s="343">
        <v>593.27</v>
      </c>
      <c r="H19" s="450">
        <v>118.248</v>
      </c>
      <c r="I19" s="451">
        <v>118.92172988825779</v>
      </c>
      <c r="J19" s="452">
        <v>1.0058052971517721</v>
      </c>
      <c r="K19" s="451">
        <v>120.9</v>
      </c>
      <c r="L19" s="452">
        <v>1.0224274406332454</v>
      </c>
      <c r="M19" s="451">
        <v>0</v>
      </c>
      <c r="N19" s="452">
        <v>0</v>
      </c>
      <c r="O19" s="453">
        <v>120.9</v>
      </c>
      <c r="P19" s="452">
        <v>1.0224274406332454</v>
      </c>
      <c r="Q19" s="450">
        <v>1.4</v>
      </c>
      <c r="R19" s="452">
        <v>1.1839523712874635E-2</v>
      </c>
      <c r="S19" s="463">
        <v>830.57799999999997</v>
      </c>
      <c r="T19" s="453">
        <v>2.6519999999999992</v>
      </c>
      <c r="U19" s="452">
        <v>2.2300381961243697E-2</v>
      </c>
      <c r="V19" s="344" t="s">
        <v>327</v>
      </c>
      <c r="W19" s="344" t="s">
        <v>518</v>
      </c>
      <c r="X19" s="344" t="s">
        <v>750</v>
      </c>
      <c r="Y19" s="344" t="s">
        <v>751</v>
      </c>
      <c r="Z19" s="344">
        <v>1</v>
      </c>
      <c r="AA19" s="455" t="s">
        <v>638</v>
      </c>
    </row>
    <row r="20" spans="2:27" s="425" customFormat="1" ht="27" customHeight="1">
      <c r="B20" s="871"/>
      <c r="C20" s="872"/>
      <c r="D20" s="342">
        <v>16</v>
      </c>
      <c r="E20" s="448" t="s">
        <v>640</v>
      </c>
      <c r="F20" s="462">
        <v>1559.9385200000013</v>
      </c>
      <c r="G20" s="343">
        <v>109.27</v>
      </c>
      <c r="H20" s="450">
        <v>768.92399999999998</v>
      </c>
      <c r="I20" s="451">
        <v>775.06788442396351</v>
      </c>
      <c r="J20" s="452">
        <v>1.0080457418813145</v>
      </c>
      <c r="K20" s="451">
        <v>783.2</v>
      </c>
      <c r="L20" s="452">
        <v>1.0185662042022359</v>
      </c>
      <c r="M20" s="451">
        <v>0</v>
      </c>
      <c r="N20" s="452">
        <v>0</v>
      </c>
      <c r="O20" s="453">
        <v>783.2</v>
      </c>
      <c r="P20" s="452">
        <v>1.0185662042022359</v>
      </c>
      <c r="Q20" s="450">
        <v>9.1</v>
      </c>
      <c r="R20" s="452">
        <v>1.1834719686210861E-2</v>
      </c>
      <c r="S20" s="463">
        <v>994.35699999999997</v>
      </c>
      <c r="T20" s="453">
        <v>14.27600000000001</v>
      </c>
      <c r="U20" s="452">
        <v>1.8419031786628657E-2</v>
      </c>
      <c r="V20" s="344" t="s">
        <v>331</v>
      </c>
      <c r="W20" s="344" t="s">
        <v>369</v>
      </c>
      <c r="X20" s="344" t="s">
        <v>621</v>
      </c>
      <c r="Y20" s="344" t="s">
        <v>622</v>
      </c>
      <c r="Z20" s="344">
        <v>1</v>
      </c>
      <c r="AA20" s="455" t="s">
        <v>636</v>
      </c>
    </row>
    <row r="21" spans="2:27" s="425" customFormat="1" ht="27" customHeight="1">
      <c r="B21" s="871"/>
      <c r="C21" s="872"/>
      <c r="D21" s="342">
        <v>17</v>
      </c>
      <c r="E21" s="448" t="s">
        <v>637</v>
      </c>
      <c r="F21" s="462">
        <v>1555.5977099999971</v>
      </c>
      <c r="G21" s="343">
        <v>144.99</v>
      </c>
      <c r="H21" s="450">
        <v>487.971</v>
      </c>
      <c r="I21" s="451">
        <v>491.93953231176062</v>
      </c>
      <c r="J21" s="452">
        <v>1.0082368980272476</v>
      </c>
      <c r="K21" s="451">
        <v>498.7</v>
      </c>
      <c r="L21" s="452">
        <v>1.0219869623399751</v>
      </c>
      <c r="M21" s="451">
        <v>0</v>
      </c>
      <c r="N21" s="452">
        <v>0</v>
      </c>
      <c r="O21" s="453">
        <v>498.7</v>
      </c>
      <c r="P21" s="452">
        <v>1.0219869623399751</v>
      </c>
      <c r="Q21" s="450">
        <v>7.0000000000000009</v>
      </c>
      <c r="R21" s="452">
        <v>1.4345114771164682E-2</v>
      </c>
      <c r="S21" s="463">
        <v>1014.9300000000002</v>
      </c>
      <c r="T21" s="453">
        <v>10.728999999999978</v>
      </c>
      <c r="U21" s="452">
        <v>2.1809591007214697E-2</v>
      </c>
      <c r="V21" s="344" t="s">
        <v>326</v>
      </c>
      <c r="W21" s="344" t="s">
        <v>504</v>
      </c>
      <c r="X21" s="344" t="s">
        <v>607</v>
      </c>
      <c r="Y21" s="344" t="s">
        <v>608</v>
      </c>
      <c r="Z21" s="344">
        <v>1</v>
      </c>
      <c r="AA21" s="455" t="s">
        <v>636</v>
      </c>
    </row>
    <row r="22" spans="2:27" s="425" customFormat="1" ht="27" customHeight="1">
      <c r="B22" s="871"/>
      <c r="C22" s="872"/>
      <c r="D22" s="342">
        <v>18</v>
      </c>
      <c r="E22" s="448" t="s">
        <v>723</v>
      </c>
      <c r="F22" s="462">
        <v>1542.7461999999971</v>
      </c>
      <c r="G22" s="343">
        <v>272.57</v>
      </c>
      <c r="H22" s="450">
        <v>440.94000000000005</v>
      </c>
      <c r="I22" s="451">
        <v>443.95882091046201</v>
      </c>
      <c r="J22" s="452">
        <v>1.0068161049179547</v>
      </c>
      <c r="K22" s="451">
        <v>444.6</v>
      </c>
      <c r="L22" s="452">
        <v>1.0083004490406857</v>
      </c>
      <c r="M22" s="451">
        <v>2</v>
      </c>
      <c r="N22" s="452">
        <v>4.5357645031069982E-3</v>
      </c>
      <c r="O22" s="453">
        <v>446.6</v>
      </c>
      <c r="P22" s="452">
        <v>1.0128362135437927</v>
      </c>
      <c r="Q22" s="450">
        <v>2.9000000000000004</v>
      </c>
      <c r="R22" s="452">
        <v>6.5768585295051477E-3</v>
      </c>
      <c r="S22" s="463">
        <v>790.45299999999997</v>
      </c>
      <c r="T22" s="453">
        <v>5.6599999999999895</v>
      </c>
      <c r="U22" s="452">
        <v>1.2748930156163071E-2</v>
      </c>
      <c r="V22" s="344" t="s">
        <v>327</v>
      </c>
      <c r="W22" s="344" t="s">
        <v>194</v>
      </c>
      <c r="X22" s="344" t="s">
        <v>611</v>
      </c>
      <c r="Y22" s="344" t="s">
        <v>530</v>
      </c>
      <c r="Z22" s="344">
        <v>1</v>
      </c>
      <c r="AA22" s="455" t="s">
        <v>626</v>
      </c>
    </row>
    <row r="23" spans="2:27" s="425" customFormat="1" ht="27" customHeight="1">
      <c r="B23" s="871"/>
      <c r="C23" s="872"/>
      <c r="D23" s="342">
        <v>19</v>
      </c>
      <c r="E23" s="448" t="s">
        <v>740</v>
      </c>
      <c r="F23" s="462">
        <v>1538.246400000002</v>
      </c>
      <c r="G23" s="343">
        <v>90.4</v>
      </c>
      <c r="H23" s="450">
        <v>1277.4839999999999</v>
      </c>
      <c r="I23" s="451">
        <v>1283.8039746546569</v>
      </c>
      <c r="J23" s="452">
        <v>1.0048949238536855</v>
      </c>
      <c r="K23" s="451">
        <v>1294.5</v>
      </c>
      <c r="L23" s="452">
        <v>1.0133199319913204</v>
      </c>
      <c r="M23" s="451">
        <v>0</v>
      </c>
      <c r="N23" s="452">
        <v>0</v>
      </c>
      <c r="O23" s="453">
        <v>1294.5</v>
      </c>
      <c r="P23" s="452">
        <v>1.0133199319913204</v>
      </c>
      <c r="Q23" s="450">
        <v>11</v>
      </c>
      <c r="R23" s="452">
        <v>8.6106753587520471E-3</v>
      </c>
      <c r="S23" s="463">
        <v>994.40000000000009</v>
      </c>
      <c r="T23" s="453">
        <v>17.01600000000002</v>
      </c>
      <c r="U23" s="452">
        <v>1.3254359961439846E-2</v>
      </c>
      <c r="V23" s="344" t="s">
        <v>326</v>
      </c>
      <c r="W23" s="344" t="s">
        <v>504</v>
      </c>
      <c r="X23" s="344" t="s">
        <v>621</v>
      </c>
      <c r="Y23" s="344" t="s">
        <v>622</v>
      </c>
      <c r="Z23" s="344">
        <v>1</v>
      </c>
      <c r="AA23" s="455" t="s">
        <v>347</v>
      </c>
    </row>
    <row r="24" spans="2:27" s="425" customFormat="1" ht="27" customHeight="1">
      <c r="B24" s="873"/>
      <c r="C24" s="874"/>
      <c r="D24" s="342">
        <v>20</v>
      </c>
      <c r="E24" s="448" t="s">
        <v>728</v>
      </c>
      <c r="F24" s="462">
        <v>1528.5110400000121</v>
      </c>
      <c r="G24" s="343">
        <v>758.19</v>
      </c>
      <c r="H24" s="450">
        <v>141.684</v>
      </c>
      <c r="I24" s="451">
        <v>142.04337774770531</v>
      </c>
      <c r="J24" s="452">
        <v>1.0025615707398241</v>
      </c>
      <c r="K24" s="451">
        <v>143.70000000000002</v>
      </c>
      <c r="L24" s="452">
        <v>1.0142288472939782</v>
      </c>
      <c r="M24" s="451">
        <v>0</v>
      </c>
      <c r="N24" s="452">
        <v>0</v>
      </c>
      <c r="O24" s="453">
        <v>143.70000000000002</v>
      </c>
      <c r="P24" s="452">
        <v>1.0142288472939782</v>
      </c>
      <c r="Q24" s="450">
        <v>1.2</v>
      </c>
      <c r="R24" s="452">
        <v>8.4695519607012795E-3</v>
      </c>
      <c r="S24" s="463">
        <v>909.82800000000009</v>
      </c>
      <c r="T24" s="453">
        <v>2.016000000000016</v>
      </c>
      <c r="U24" s="452">
        <v>1.4192847508743393E-2</v>
      </c>
      <c r="V24" s="344" t="s">
        <v>327</v>
      </c>
      <c r="W24" s="344" t="s">
        <v>518</v>
      </c>
      <c r="X24" s="344" t="s">
        <v>621</v>
      </c>
      <c r="Y24" s="344" t="s">
        <v>622</v>
      </c>
      <c r="Z24" s="344">
        <v>1</v>
      </c>
      <c r="AA24" s="455" t="s">
        <v>330</v>
      </c>
    </row>
    <row r="25" spans="2:27" ht="27" customHeight="1"/>
    <row r="26" spans="2:27" ht="27" customHeight="1"/>
    <row r="27" spans="2:27" ht="29.25" customHeight="1"/>
    <row r="28" spans="2:27" ht="28.5" customHeight="1"/>
    <row r="29" spans="2:27" ht="28.5" customHeight="1"/>
    <row r="30" spans="2:27" ht="28.5" customHeight="1"/>
    <row r="31" spans="2:27" ht="28.5" customHeight="1"/>
    <row r="32" spans="2:27" ht="28.5" customHeight="1"/>
    <row r="41" ht="14.1" customHeight="1"/>
    <row r="51" ht="14.1" customHeight="1"/>
    <row r="61" ht="14.1" customHeight="1"/>
    <row r="86" spans="26:26">
      <c r="Z86" s="340" t="s">
        <v>519</v>
      </c>
    </row>
    <row r="87" spans="26:26">
      <c r="Z87" s="340" t="s">
        <v>520</v>
      </c>
    </row>
    <row r="90" spans="26:26" ht="18.75" customHeight="1"/>
    <row r="91" spans="26:26" ht="14.1" customHeight="1"/>
    <row r="101" ht="14.1" customHeight="1"/>
    <row r="111" ht="14.1" customHeight="1"/>
    <row r="121" ht="14.1" customHeight="1"/>
    <row r="141" ht="14.1" customHeight="1"/>
    <row r="161" ht="14.1" customHeight="1"/>
    <row r="171" ht="14.1" customHeight="1"/>
    <row r="181" ht="14.1" customHeight="1"/>
    <row r="191" ht="14.1" customHeight="1"/>
    <row r="201" ht="14.1" customHeight="1"/>
    <row r="211" ht="14.1" customHeight="1"/>
    <row r="221" ht="14.1" customHeight="1"/>
    <row r="231" ht="14.1" customHeight="1"/>
    <row r="241" ht="14.1" customHeight="1"/>
    <row r="251" ht="14.1" customHeight="1"/>
    <row r="261" ht="14.1" customHeight="1"/>
    <row r="271" ht="14.1" customHeight="1"/>
  </sheetData>
  <mergeCells count="21">
    <mergeCell ref="X3:X4"/>
    <mergeCell ref="Y3:Y4"/>
    <mergeCell ref="Z3:Z4"/>
    <mergeCell ref="AA3:AA4"/>
    <mergeCell ref="AC3:AJ5"/>
    <mergeCell ref="B5:C24"/>
    <mergeCell ref="B2:AA2"/>
    <mergeCell ref="B3:C4"/>
    <mergeCell ref="D3:D4"/>
    <mergeCell ref="E3:E4"/>
    <mergeCell ref="F3:F4"/>
    <mergeCell ref="G3:G4"/>
    <mergeCell ref="H3:H4"/>
    <mergeCell ref="I3:J3"/>
    <mergeCell ref="K3:L3"/>
    <mergeCell ref="M3:N3"/>
    <mergeCell ref="O3:P3"/>
    <mergeCell ref="Q3:S3"/>
    <mergeCell ref="T3:U3"/>
    <mergeCell ref="V3:V4"/>
    <mergeCell ref="W3:W4"/>
  </mergeCells>
  <phoneticPr fontId="83" type="noConversion"/>
  <dataValidations count="4">
    <dataValidation type="list" allowBlank="1" showInputMessage="1" showErrorMessage="1" sqref="U25:U1048576">
      <formula1>#REF!</formula1>
    </dataValidation>
    <dataValidation type="list" allowBlank="1" showInputMessage="1" showErrorMessage="1" sqref="T25:T1048576">
      <formula1>$AC$1:$AC$1</formula1>
    </dataValidation>
    <dataValidation type="list" allowBlank="1" showInputMessage="1" showErrorMessage="1" sqref="V5:V24">
      <formula1>$AP$7:$AP$13</formula1>
    </dataValidation>
    <dataValidation type="list" allowBlank="1" showInputMessage="1" showErrorMessage="1" sqref="W5:W24">
      <formula1>$AO$7:$AO$13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I55"/>
  <sheetViews>
    <sheetView zoomScale="70" zoomScaleNormal="70" workbookViewId="0">
      <selection activeCell="C22" sqref="C22"/>
    </sheetView>
  </sheetViews>
  <sheetFormatPr defaultColWidth="8.28515625" defaultRowHeight="15"/>
  <cols>
    <col min="1" max="9" width="25.7109375" style="479" customWidth="1"/>
    <col min="10" max="16384" width="8.28515625" style="347"/>
  </cols>
  <sheetData>
    <row r="1" spans="1:9" ht="27" customHeight="1">
      <c r="A1" s="900" t="s">
        <v>696</v>
      </c>
      <c r="B1" s="901"/>
      <c r="C1" s="901"/>
      <c r="D1" s="901"/>
      <c r="E1" s="901"/>
      <c r="F1" s="901"/>
      <c r="G1" s="901"/>
      <c r="H1" s="901"/>
      <c r="I1" s="901"/>
    </row>
    <row r="2" spans="1:9" ht="16.5" customHeight="1">
      <c r="A2" s="464" t="s">
        <v>697</v>
      </c>
      <c r="B2" s="465">
        <f>SUM(C7:C37)</f>
        <v>247187.579</v>
      </c>
      <c r="C2" s="464" t="s">
        <v>698</v>
      </c>
      <c r="D2" s="466">
        <f>B2/B54</f>
        <v>2.4173423357390553E-3</v>
      </c>
      <c r="E2" s="464" t="s">
        <v>699</v>
      </c>
      <c r="F2" s="465">
        <f>SUM(E7:E37)</f>
        <v>419506.70507762698</v>
      </c>
      <c r="G2" s="898" t="s">
        <v>700</v>
      </c>
      <c r="H2" s="899"/>
      <c r="I2" s="467">
        <f>F2/B54</f>
        <v>4.1025172964315728E-3</v>
      </c>
    </row>
    <row r="3" spans="1:9" ht="37.5" customHeight="1">
      <c r="A3" s="468" t="s">
        <v>701</v>
      </c>
      <c r="B3" s="468" t="s">
        <v>702</v>
      </c>
      <c r="C3" s="468" t="s">
        <v>703</v>
      </c>
      <c r="D3" s="468" t="s">
        <v>704</v>
      </c>
      <c r="E3" s="468" t="s">
        <v>705</v>
      </c>
      <c r="F3" s="468" t="s">
        <v>706</v>
      </c>
      <c r="G3" s="469" t="s">
        <v>707</v>
      </c>
      <c r="H3" s="470" t="s">
        <v>708</v>
      </c>
      <c r="I3" s="470" t="s">
        <v>709</v>
      </c>
    </row>
    <row r="4" spans="1:9" ht="18">
      <c r="A4" s="471">
        <v>46168</v>
      </c>
      <c r="B4" s="472">
        <v>9911969</v>
      </c>
      <c r="C4" s="473">
        <v>24077.750000000025</v>
      </c>
      <c r="D4" s="474">
        <f t="shared" ref="D4:D52" si="0">C4/B4</f>
        <v>2.4291591307438539E-3</v>
      </c>
      <c r="E4" s="473">
        <v>40870.480046882549</v>
      </c>
      <c r="F4" s="475">
        <f t="shared" ref="F4:F52" si="1">E4/B4</f>
        <v>4.1233462339200768E-3</v>
      </c>
      <c r="G4" s="897">
        <f>SUM(B4:B10)</f>
        <v>65939025</v>
      </c>
      <c r="H4" s="897">
        <f>SUM(C4:C10)</f>
        <v>159805.84200000006</v>
      </c>
      <c r="I4" s="897">
        <f>SUM(E4:E10)</f>
        <v>277202.05334308965</v>
      </c>
    </row>
    <row r="5" spans="1:9" ht="18">
      <c r="A5" s="471">
        <f>A4+1</f>
        <v>46169</v>
      </c>
      <c r="B5" s="472">
        <v>9723654</v>
      </c>
      <c r="C5" s="473">
        <v>23753.736000000019</v>
      </c>
      <c r="D5" s="474">
        <f t="shared" si="0"/>
        <v>2.4428816574509973E-3</v>
      </c>
      <c r="E5" s="473">
        <v>41541.052866311809</v>
      </c>
      <c r="F5" s="475">
        <f t="shared" si="1"/>
        <v>4.2721648534914764E-3</v>
      </c>
      <c r="G5" s="897"/>
      <c r="H5" s="897"/>
      <c r="I5" s="897"/>
    </row>
    <row r="6" spans="1:9" ht="18">
      <c r="A6" s="471">
        <f t="shared" ref="A6:A52" si="2">A5+1</f>
        <v>46170</v>
      </c>
      <c r="B6" s="472">
        <v>9072400</v>
      </c>
      <c r="C6" s="473">
        <v>22036.625999999997</v>
      </c>
      <c r="D6" s="474">
        <f t="shared" si="0"/>
        <v>2.4289742515762086E-3</v>
      </c>
      <c r="E6" s="473">
        <v>39008.063085263151</v>
      </c>
      <c r="F6" s="475">
        <f t="shared" si="1"/>
        <v>4.2996410084721959E-3</v>
      </c>
      <c r="G6" s="897"/>
      <c r="H6" s="897"/>
      <c r="I6" s="897"/>
    </row>
    <row r="7" spans="1:9" ht="18">
      <c r="A7" s="471">
        <f t="shared" si="2"/>
        <v>46171</v>
      </c>
      <c r="B7" s="472">
        <v>8447568</v>
      </c>
      <c r="C7" s="473">
        <v>20297.356000000014</v>
      </c>
      <c r="D7" s="474">
        <f t="shared" si="0"/>
        <v>2.4027455002433853E-3</v>
      </c>
      <c r="E7" s="473">
        <v>36998.501043108052</v>
      </c>
      <c r="F7" s="475">
        <f t="shared" si="1"/>
        <v>4.3797813812339898E-3</v>
      </c>
      <c r="G7" s="897"/>
      <c r="H7" s="897"/>
      <c r="I7" s="897"/>
    </row>
    <row r="8" spans="1:9" ht="18">
      <c r="A8" s="471">
        <f t="shared" si="2"/>
        <v>46172</v>
      </c>
      <c r="B8" s="472">
        <v>8820596</v>
      </c>
      <c r="C8" s="473">
        <v>21360.305000000026</v>
      </c>
      <c r="D8" s="474">
        <f t="shared" si="0"/>
        <v>2.4216396488400587E-3</v>
      </c>
      <c r="E8" s="473">
        <v>38266.987521645082</v>
      </c>
      <c r="F8" s="475">
        <f t="shared" si="1"/>
        <v>4.3383675572087289E-3</v>
      </c>
      <c r="G8" s="897"/>
      <c r="H8" s="897"/>
      <c r="I8" s="897"/>
    </row>
    <row r="9" spans="1:9" ht="18">
      <c r="A9" s="471">
        <f t="shared" si="2"/>
        <v>46173</v>
      </c>
      <c r="B9" s="472">
        <v>10386449</v>
      </c>
      <c r="C9" s="473">
        <v>25222.45399999998</v>
      </c>
      <c r="D9" s="474">
        <f t="shared" si="0"/>
        <v>2.4284001201950716E-3</v>
      </c>
      <c r="E9" s="473">
        <v>42323.717935777924</v>
      </c>
      <c r="F9" s="475">
        <f t="shared" si="1"/>
        <v>4.074897776494924E-3</v>
      </c>
      <c r="G9" s="897"/>
      <c r="H9" s="897"/>
      <c r="I9" s="897"/>
    </row>
    <row r="10" spans="1:9" ht="18">
      <c r="A10" s="471">
        <f t="shared" si="2"/>
        <v>46174</v>
      </c>
      <c r="B10" s="472">
        <v>9576389</v>
      </c>
      <c r="C10" s="473">
        <v>23057.614999999994</v>
      </c>
      <c r="D10" s="474">
        <f t="shared" si="0"/>
        <v>2.4077567233327713E-3</v>
      </c>
      <c r="E10" s="473">
        <v>38193.25084410105</v>
      </c>
      <c r="F10" s="475">
        <f t="shared" si="1"/>
        <v>3.9882727032184108E-3</v>
      </c>
      <c r="G10" s="897"/>
      <c r="H10" s="897"/>
      <c r="I10" s="897"/>
    </row>
    <row r="11" spans="1:9" ht="18">
      <c r="A11" s="476">
        <f t="shared" si="2"/>
        <v>46175</v>
      </c>
      <c r="B11" s="472">
        <v>10050370</v>
      </c>
      <c r="C11" s="473">
        <v>24349.529999999995</v>
      </c>
      <c r="D11" s="474">
        <f t="shared" si="0"/>
        <v>2.4227496102133548E-3</v>
      </c>
      <c r="E11" s="473">
        <v>40326.390123103745</v>
      </c>
      <c r="F11" s="475">
        <f t="shared" si="1"/>
        <v>4.0124284104071537E-3</v>
      </c>
      <c r="G11" s="896">
        <f>SUM(B11:B17)</f>
        <v>65024924</v>
      </c>
      <c r="H11" s="896">
        <f>SUM(C11:C17)</f>
        <v>157249.84899999999</v>
      </c>
      <c r="I11" s="896">
        <f>SUM(E11:E17)</f>
        <v>263724.2477329949</v>
      </c>
    </row>
    <row r="12" spans="1:9" ht="18">
      <c r="A12" s="476">
        <f t="shared" si="2"/>
        <v>46176</v>
      </c>
      <c r="B12" s="472">
        <v>9327317</v>
      </c>
      <c r="C12" s="473">
        <v>22481.110999999997</v>
      </c>
      <c r="D12" s="474">
        <f t="shared" si="0"/>
        <v>2.410244124864631E-3</v>
      </c>
      <c r="E12" s="473">
        <v>36930.327334718895</v>
      </c>
      <c r="F12" s="475">
        <f t="shared" si="1"/>
        <v>3.9593730259965317E-3</v>
      </c>
      <c r="G12" s="896"/>
      <c r="H12" s="896"/>
      <c r="I12" s="896"/>
    </row>
    <row r="13" spans="1:9" ht="18">
      <c r="A13" s="476">
        <f>A12+1</f>
        <v>46177</v>
      </c>
      <c r="B13" s="472">
        <v>8845232</v>
      </c>
      <c r="C13" s="473">
        <v>21472.798999999999</v>
      </c>
      <c r="D13" s="474">
        <f t="shared" si="0"/>
        <v>2.427612865326766E-3</v>
      </c>
      <c r="E13" s="473">
        <v>36941.463792205279</v>
      </c>
      <c r="F13" s="475">
        <f t="shared" si="1"/>
        <v>4.1764267791059954E-3</v>
      </c>
      <c r="G13" s="896"/>
      <c r="H13" s="896"/>
      <c r="I13" s="896"/>
    </row>
    <row r="14" spans="1:9" ht="18">
      <c r="A14" s="476">
        <f t="shared" si="2"/>
        <v>46178</v>
      </c>
      <c r="B14" s="472">
        <v>7987767</v>
      </c>
      <c r="C14" s="473">
        <v>19348.37</v>
      </c>
      <c r="D14" s="474">
        <f t="shared" si="0"/>
        <v>2.4222501732962414E-3</v>
      </c>
      <c r="E14" s="473">
        <v>32688.492415669272</v>
      </c>
      <c r="F14" s="475">
        <f t="shared" si="1"/>
        <v>4.092319219585307E-3</v>
      </c>
      <c r="G14" s="896"/>
      <c r="H14" s="896"/>
      <c r="I14" s="896"/>
    </row>
    <row r="15" spans="1:9" ht="18">
      <c r="A15" s="476">
        <f t="shared" si="2"/>
        <v>46179</v>
      </c>
      <c r="B15" s="472">
        <v>8617242</v>
      </c>
      <c r="C15" s="473">
        <v>20727.639999999992</v>
      </c>
      <c r="D15" s="474">
        <f t="shared" si="0"/>
        <v>2.4053682140991275E-3</v>
      </c>
      <c r="E15" s="473">
        <v>35646.692717434038</v>
      </c>
      <c r="F15" s="475">
        <f t="shared" si="1"/>
        <v>4.1366707256723255E-3</v>
      </c>
      <c r="G15" s="896"/>
      <c r="H15" s="896"/>
      <c r="I15" s="896"/>
    </row>
    <row r="16" spans="1:9" ht="18">
      <c r="A16" s="476">
        <f t="shared" si="2"/>
        <v>46180</v>
      </c>
      <c r="B16" s="472">
        <v>10141059</v>
      </c>
      <c r="C16" s="473">
        <v>24612.674000000006</v>
      </c>
      <c r="D16" s="474">
        <f t="shared" si="0"/>
        <v>2.42703193029446E-3</v>
      </c>
      <c r="E16" s="473">
        <v>40357.481262954891</v>
      </c>
      <c r="F16" s="475">
        <f t="shared" si="1"/>
        <v>3.9796121157519041E-3</v>
      </c>
      <c r="G16" s="896"/>
      <c r="H16" s="896"/>
      <c r="I16" s="896"/>
    </row>
    <row r="17" spans="1:9" ht="18">
      <c r="A17" s="476">
        <f t="shared" si="2"/>
        <v>46181</v>
      </c>
      <c r="B17" s="472">
        <v>10055937</v>
      </c>
      <c r="C17" s="473">
        <v>24257.724999999999</v>
      </c>
      <c r="D17" s="474">
        <f t="shared" si="0"/>
        <v>2.4122789353195032E-3</v>
      </c>
      <c r="E17" s="473">
        <v>40833.400086908798</v>
      </c>
      <c r="F17" s="475">
        <f t="shared" si="1"/>
        <v>4.060626084561667E-3</v>
      </c>
      <c r="G17" s="896"/>
      <c r="H17" s="896"/>
      <c r="I17" s="896"/>
    </row>
    <row r="18" spans="1:9" ht="18">
      <c r="A18" s="471">
        <f t="shared" si="2"/>
        <v>46182</v>
      </c>
      <c r="B18" s="472"/>
      <c r="C18" s="473"/>
      <c r="D18" s="474" t="e">
        <f t="shared" si="0"/>
        <v>#DIV/0!</v>
      </c>
      <c r="E18" s="473"/>
      <c r="F18" s="475" t="e">
        <f t="shared" si="1"/>
        <v>#DIV/0!</v>
      </c>
      <c r="G18" s="897">
        <f>SUM(B18:B24)</f>
        <v>0</v>
      </c>
      <c r="H18" s="897">
        <f>SUM(C18:C24)</f>
        <v>0</v>
      </c>
      <c r="I18" s="897">
        <f>SUM(E18:E24)</f>
        <v>0</v>
      </c>
    </row>
    <row r="19" spans="1:9" ht="18">
      <c r="A19" s="471">
        <f t="shared" si="2"/>
        <v>46183</v>
      </c>
      <c r="B19" s="472"/>
      <c r="C19" s="473"/>
      <c r="D19" s="474" t="e">
        <f t="shared" si="0"/>
        <v>#DIV/0!</v>
      </c>
      <c r="E19" s="473"/>
      <c r="F19" s="475" t="e">
        <f t="shared" si="1"/>
        <v>#DIV/0!</v>
      </c>
      <c r="G19" s="897"/>
      <c r="H19" s="897"/>
      <c r="I19" s="897"/>
    </row>
    <row r="20" spans="1:9" ht="18">
      <c r="A20" s="471">
        <f t="shared" si="2"/>
        <v>46184</v>
      </c>
      <c r="B20" s="472"/>
      <c r="C20" s="473"/>
      <c r="D20" s="474" t="e">
        <f t="shared" si="0"/>
        <v>#DIV/0!</v>
      </c>
      <c r="E20" s="473"/>
      <c r="F20" s="475" t="e">
        <f t="shared" si="1"/>
        <v>#DIV/0!</v>
      </c>
      <c r="G20" s="897"/>
      <c r="H20" s="897"/>
      <c r="I20" s="897"/>
    </row>
    <row r="21" spans="1:9" ht="18">
      <c r="A21" s="471">
        <f t="shared" si="2"/>
        <v>46185</v>
      </c>
      <c r="B21" s="472"/>
      <c r="C21" s="473"/>
      <c r="D21" s="474" t="e">
        <f t="shared" si="0"/>
        <v>#DIV/0!</v>
      </c>
      <c r="E21" s="473"/>
      <c r="F21" s="475" t="e">
        <f t="shared" si="1"/>
        <v>#DIV/0!</v>
      </c>
      <c r="G21" s="897"/>
      <c r="H21" s="897"/>
      <c r="I21" s="897"/>
    </row>
    <row r="22" spans="1:9" ht="18">
      <c r="A22" s="471">
        <f t="shared" si="2"/>
        <v>46186</v>
      </c>
      <c r="B22" s="472"/>
      <c r="C22" s="473"/>
      <c r="D22" s="474" t="e">
        <f t="shared" si="0"/>
        <v>#DIV/0!</v>
      </c>
      <c r="E22" s="473"/>
      <c r="F22" s="475" t="e">
        <f t="shared" si="1"/>
        <v>#DIV/0!</v>
      </c>
      <c r="G22" s="897"/>
      <c r="H22" s="897"/>
      <c r="I22" s="897"/>
    </row>
    <row r="23" spans="1:9" ht="18">
      <c r="A23" s="471">
        <f t="shared" si="2"/>
        <v>46187</v>
      </c>
      <c r="B23" s="472"/>
      <c r="C23" s="473"/>
      <c r="D23" s="474" t="e">
        <f t="shared" si="0"/>
        <v>#DIV/0!</v>
      </c>
      <c r="E23" s="473"/>
      <c r="F23" s="475" t="e">
        <f t="shared" si="1"/>
        <v>#DIV/0!</v>
      </c>
      <c r="G23" s="897"/>
      <c r="H23" s="897"/>
      <c r="I23" s="897"/>
    </row>
    <row r="24" spans="1:9" ht="18">
      <c r="A24" s="471">
        <f t="shared" si="2"/>
        <v>46188</v>
      </c>
      <c r="B24" s="472"/>
      <c r="C24" s="473"/>
      <c r="D24" s="474" t="e">
        <f t="shared" si="0"/>
        <v>#DIV/0!</v>
      </c>
      <c r="E24" s="473"/>
      <c r="F24" s="475" t="e">
        <f t="shared" si="1"/>
        <v>#DIV/0!</v>
      </c>
      <c r="G24" s="897"/>
      <c r="H24" s="897"/>
      <c r="I24" s="897"/>
    </row>
    <row r="25" spans="1:9" ht="18">
      <c r="A25" s="476">
        <f t="shared" si="2"/>
        <v>46189</v>
      </c>
      <c r="B25" s="472"/>
      <c r="C25" s="473"/>
      <c r="D25" s="474" t="e">
        <f t="shared" si="0"/>
        <v>#DIV/0!</v>
      </c>
      <c r="E25" s="473"/>
      <c r="F25" s="475" t="e">
        <f t="shared" si="1"/>
        <v>#DIV/0!</v>
      </c>
      <c r="G25" s="896">
        <f>SUM(B25:B31)</f>
        <v>0</v>
      </c>
      <c r="H25" s="896">
        <f>SUM(C25:C31)</f>
        <v>0</v>
      </c>
      <c r="I25" s="896">
        <f>SUM(E25:E31)</f>
        <v>0</v>
      </c>
    </row>
    <row r="26" spans="1:9" ht="18">
      <c r="A26" s="476">
        <f t="shared" si="2"/>
        <v>46190</v>
      </c>
      <c r="B26" s="472"/>
      <c r="C26" s="473"/>
      <c r="D26" s="474" t="e">
        <f t="shared" si="0"/>
        <v>#DIV/0!</v>
      </c>
      <c r="E26" s="473"/>
      <c r="F26" s="475" t="e">
        <f t="shared" si="1"/>
        <v>#DIV/0!</v>
      </c>
      <c r="G26" s="896"/>
      <c r="H26" s="896"/>
      <c r="I26" s="896"/>
    </row>
    <row r="27" spans="1:9" ht="18">
      <c r="A27" s="476">
        <f t="shared" si="2"/>
        <v>46191</v>
      </c>
      <c r="B27" s="472"/>
      <c r="C27" s="473"/>
      <c r="D27" s="474" t="e">
        <f t="shared" si="0"/>
        <v>#DIV/0!</v>
      </c>
      <c r="E27" s="473"/>
      <c r="F27" s="475" t="e">
        <f t="shared" si="1"/>
        <v>#DIV/0!</v>
      </c>
      <c r="G27" s="896"/>
      <c r="H27" s="896"/>
      <c r="I27" s="896"/>
    </row>
    <row r="28" spans="1:9" ht="18">
      <c r="A28" s="476">
        <f t="shared" si="2"/>
        <v>46192</v>
      </c>
      <c r="B28" s="472"/>
      <c r="C28" s="473"/>
      <c r="D28" s="474" t="e">
        <f t="shared" si="0"/>
        <v>#DIV/0!</v>
      </c>
      <c r="E28" s="473"/>
      <c r="F28" s="475" t="e">
        <f t="shared" si="1"/>
        <v>#DIV/0!</v>
      </c>
      <c r="G28" s="896"/>
      <c r="H28" s="896"/>
      <c r="I28" s="896"/>
    </row>
    <row r="29" spans="1:9" ht="18">
      <c r="A29" s="476">
        <f t="shared" si="2"/>
        <v>46193</v>
      </c>
      <c r="B29" s="472"/>
      <c r="C29" s="473"/>
      <c r="D29" s="474" t="e">
        <f t="shared" si="0"/>
        <v>#DIV/0!</v>
      </c>
      <c r="E29" s="473"/>
      <c r="F29" s="475" t="e">
        <f t="shared" si="1"/>
        <v>#DIV/0!</v>
      </c>
      <c r="G29" s="896"/>
      <c r="H29" s="896"/>
      <c r="I29" s="896"/>
    </row>
    <row r="30" spans="1:9" ht="18">
      <c r="A30" s="476">
        <f t="shared" si="2"/>
        <v>46194</v>
      </c>
      <c r="B30" s="472"/>
      <c r="C30" s="473"/>
      <c r="D30" s="474" t="e">
        <f t="shared" si="0"/>
        <v>#DIV/0!</v>
      </c>
      <c r="E30" s="473"/>
      <c r="F30" s="475" t="e">
        <f t="shared" si="1"/>
        <v>#DIV/0!</v>
      </c>
      <c r="G30" s="896"/>
      <c r="H30" s="896"/>
      <c r="I30" s="896"/>
    </row>
    <row r="31" spans="1:9" ht="18">
      <c r="A31" s="476">
        <f t="shared" si="2"/>
        <v>46195</v>
      </c>
      <c r="B31" s="472"/>
      <c r="C31" s="473"/>
      <c r="D31" s="474" t="e">
        <f t="shared" si="0"/>
        <v>#DIV/0!</v>
      </c>
      <c r="E31" s="473"/>
      <c r="F31" s="475" t="e">
        <f t="shared" si="1"/>
        <v>#DIV/0!</v>
      </c>
      <c r="G31" s="896"/>
      <c r="H31" s="896"/>
      <c r="I31" s="896"/>
    </row>
    <row r="32" spans="1:9" ht="18">
      <c r="A32" s="471">
        <f t="shared" si="2"/>
        <v>46196</v>
      </c>
      <c r="B32" s="472"/>
      <c r="C32" s="473"/>
      <c r="D32" s="474" t="e">
        <f t="shared" si="0"/>
        <v>#DIV/0!</v>
      </c>
      <c r="E32" s="473"/>
      <c r="F32" s="475" t="e">
        <f t="shared" si="1"/>
        <v>#DIV/0!</v>
      </c>
      <c r="G32" s="897">
        <f>SUM(B32:B38)</f>
        <v>0</v>
      </c>
      <c r="H32" s="897">
        <f>SUM(C32:C38)</f>
        <v>0</v>
      </c>
      <c r="I32" s="897">
        <f>SUM(E32:E38)</f>
        <v>0</v>
      </c>
    </row>
    <row r="33" spans="1:9" ht="18">
      <c r="A33" s="471">
        <f t="shared" si="2"/>
        <v>46197</v>
      </c>
      <c r="B33" s="472"/>
      <c r="C33" s="473"/>
      <c r="D33" s="474" t="e">
        <f t="shared" si="0"/>
        <v>#DIV/0!</v>
      </c>
      <c r="E33" s="473"/>
      <c r="F33" s="475" t="e">
        <f t="shared" si="1"/>
        <v>#DIV/0!</v>
      </c>
      <c r="G33" s="897"/>
      <c r="H33" s="897"/>
      <c r="I33" s="897"/>
    </row>
    <row r="34" spans="1:9" ht="18">
      <c r="A34" s="471">
        <f t="shared" si="2"/>
        <v>46198</v>
      </c>
      <c r="B34" s="472"/>
      <c r="C34" s="473"/>
      <c r="D34" s="474" t="e">
        <f t="shared" si="0"/>
        <v>#DIV/0!</v>
      </c>
      <c r="E34" s="473"/>
      <c r="F34" s="475" t="e">
        <f t="shared" si="1"/>
        <v>#DIV/0!</v>
      </c>
      <c r="G34" s="897"/>
      <c r="H34" s="897"/>
      <c r="I34" s="897"/>
    </row>
    <row r="35" spans="1:9" ht="18">
      <c r="A35" s="471">
        <f t="shared" si="2"/>
        <v>46199</v>
      </c>
      <c r="B35" s="472"/>
      <c r="C35" s="473"/>
      <c r="D35" s="474" t="e">
        <f t="shared" si="0"/>
        <v>#DIV/0!</v>
      </c>
      <c r="E35" s="473"/>
      <c r="F35" s="475" t="e">
        <f t="shared" si="1"/>
        <v>#DIV/0!</v>
      </c>
      <c r="G35" s="897"/>
      <c r="H35" s="897"/>
      <c r="I35" s="897"/>
    </row>
    <row r="36" spans="1:9" ht="18">
      <c r="A36" s="471">
        <f t="shared" si="2"/>
        <v>46200</v>
      </c>
      <c r="B36" s="472"/>
      <c r="C36" s="473"/>
      <c r="D36" s="474" t="e">
        <f t="shared" si="0"/>
        <v>#DIV/0!</v>
      </c>
      <c r="E36" s="473"/>
      <c r="F36" s="475" t="e">
        <f t="shared" si="1"/>
        <v>#DIV/0!</v>
      </c>
      <c r="G36" s="897"/>
      <c r="H36" s="897"/>
      <c r="I36" s="897"/>
    </row>
    <row r="37" spans="1:9" ht="18">
      <c r="A37" s="471">
        <f t="shared" si="2"/>
        <v>46201</v>
      </c>
      <c r="B37" s="472"/>
      <c r="C37" s="473"/>
      <c r="D37" s="474" t="e">
        <f t="shared" si="0"/>
        <v>#DIV/0!</v>
      </c>
      <c r="E37" s="473"/>
      <c r="F37" s="475" t="e">
        <f t="shared" si="1"/>
        <v>#DIV/0!</v>
      </c>
      <c r="G37" s="897"/>
      <c r="H37" s="897"/>
      <c r="I37" s="897"/>
    </row>
    <row r="38" spans="1:9" ht="18">
      <c r="A38" s="471">
        <f t="shared" si="2"/>
        <v>46202</v>
      </c>
      <c r="B38" s="472"/>
      <c r="C38" s="473"/>
      <c r="D38" s="474" t="e">
        <f t="shared" si="0"/>
        <v>#DIV/0!</v>
      </c>
      <c r="E38" s="473"/>
      <c r="F38" s="475" t="e">
        <f t="shared" si="1"/>
        <v>#DIV/0!</v>
      </c>
      <c r="G38" s="897"/>
      <c r="H38" s="897"/>
      <c r="I38" s="897"/>
    </row>
    <row r="39" spans="1:9" ht="18">
      <c r="A39" s="476">
        <f t="shared" si="2"/>
        <v>46203</v>
      </c>
      <c r="B39" s="548"/>
      <c r="C39" s="549"/>
      <c r="D39" s="474" t="e">
        <f t="shared" si="0"/>
        <v>#DIV/0!</v>
      </c>
      <c r="E39" s="473"/>
      <c r="F39" s="475" t="e">
        <f t="shared" si="1"/>
        <v>#DIV/0!</v>
      </c>
      <c r="G39" s="896">
        <f>SUM(B39:B45)</f>
        <v>0</v>
      </c>
      <c r="H39" s="896">
        <f>SUM(C39:C45)</f>
        <v>0</v>
      </c>
      <c r="I39" s="896">
        <f>SUM(E39:E45)</f>
        <v>0</v>
      </c>
    </row>
    <row r="40" spans="1:9" ht="18">
      <c r="A40" s="476">
        <f t="shared" si="2"/>
        <v>46204</v>
      </c>
      <c r="B40" s="548"/>
      <c r="C40" s="549"/>
      <c r="D40" s="474" t="e">
        <f t="shared" si="0"/>
        <v>#DIV/0!</v>
      </c>
      <c r="E40" s="473"/>
      <c r="F40" s="475" t="e">
        <f t="shared" si="1"/>
        <v>#DIV/0!</v>
      </c>
      <c r="G40" s="896"/>
      <c r="H40" s="896"/>
      <c r="I40" s="896"/>
    </row>
    <row r="41" spans="1:9" ht="18">
      <c r="A41" s="476">
        <f t="shared" si="2"/>
        <v>46205</v>
      </c>
      <c r="B41" s="548"/>
      <c r="C41" s="549"/>
      <c r="D41" s="474" t="e">
        <f t="shared" si="0"/>
        <v>#DIV/0!</v>
      </c>
      <c r="E41" s="473"/>
      <c r="F41" s="475" t="e">
        <f t="shared" si="1"/>
        <v>#DIV/0!</v>
      </c>
      <c r="G41" s="896"/>
      <c r="H41" s="896"/>
      <c r="I41" s="896"/>
    </row>
    <row r="42" spans="1:9" ht="18">
      <c r="A42" s="476">
        <f t="shared" si="2"/>
        <v>46206</v>
      </c>
      <c r="B42" s="548"/>
      <c r="C42" s="549"/>
      <c r="D42" s="474" t="e">
        <f t="shared" si="0"/>
        <v>#DIV/0!</v>
      </c>
      <c r="E42" s="473"/>
      <c r="F42" s="475" t="e">
        <f t="shared" si="1"/>
        <v>#DIV/0!</v>
      </c>
      <c r="G42" s="896"/>
      <c r="H42" s="896"/>
      <c r="I42" s="896"/>
    </row>
    <row r="43" spans="1:9" ht="18">
      <c r="A43" s="476">
        <f t="shared" si="2"/>
        <v>46207</v>
      </c>
      <c r="B43" s="548"/>
      <c r="C43" s="549"/>
      <c r="D43" s="474" t="e">
        <f t="shared" si="0"/>
        <v>#DIV/0!</v>
      </c>
      <c r="E43" s="473"/>
      <c r="F43" s="475" t="e">
        <f t="shared" si="1"/>
        <v>#DIV/0!</v>
      </c>
      <c r="G43" s="896"/>
      <c r="H43" s="896"/>
      <c r="I43" s="896"/>
    </row>
    <row r="44" spans="1:9" ht="18">
      <c r="A44" s="476">
        <f t="shared" si="2"/>
        <v>46208</v>
      </c>
      <c r="B44" s="548"/>
      <c r="C44" s="549"/>
      <c r="D44" s="474" t="e">
        <f t="shared" si="0"/>
        <v>#DIV/0!</v>
      </c>
      <c r="E44" s="473"/>
      <c r="F44" s="475" t="e">
        <f t="shared" si="1"/>
        <v>#DIV/0!</v>
      </c>
      <c r="G44" s="896"/>
      <c r="H44" s="896"/>
      <c r="I44" s="896"/>
    </row>
    <row r="45" spans="1:9" ht="18">
      <c r="A45" s="476">
        <f t="shared" si="2"/>
        <v>46209</v>
      </c>
      <c r="B45" s="548"/>
      <c r="C45" s="549"/>
      <c r="D45" s="474" t="e">
        <f t="shared" si="0"/>
        <v>#DIV/0!</v>
      </c>
      <c r="E45" s="473"/>
      <c r="F45" s="475" t="e">
        <f t="shared" si="1"/>
        <v>#DIV/0!</v>
      </c>
      <c r="G45" s="896"/>
      <c r="H45" s="896"/>
      <c r="I45" s="896"/>
    </row>
    <row r="46" spans="1:9" ht="18">
      <c r="A46" s="471">
        <f t="shared" si="2"/>
        <v>46210</v>
      </c>
      <c r="B46" s="472"/>
      <c r="C46" s="473"/>
      <c r="D46" s="474" t="e">
        <f t="shared" si="0"/>
        <v>#DIV/0!</v>
      </c>
      <c r="E46" s="473"/>
      <c r="F46" s="475" t="e">
        <f t="shared" si="1"/>
        <v>#DIV/0!</v>
      </c>
      <c r="G46" s="897">
        <f>SUM(B46:B52)</f>
        <v>0</v>
      </c>
      <c r="H46" s="897">
        <f>SUM(C46:C52)</f>
        <v>0</v>
      </c>
      <c r="I46" s="897">
        <f>SUM(E46:E52)</f>
        <v>0</v>
      </c>
    </row>
    <row r="47" spans="1:9" ht="18">
      <c r="A47" s="471">
        <f t="shared" si="2"/>
        <v>46211</v>
      </c>
      <c r="B47" s="472"/>
      <c r="C47" s="473"/>
      <c r="D47" s="474" t="e">
        <f t="shared" si="0"/>
        <v>#DIV/0!</v>
      </c>
      <c r="E47" s="473"/>
      <c r="F47" s="475" t="e">
        <f t="shared" si="1"/>
        <v>#DIV/0!</v>
      </c>
      <c r="G47" s="897"/>
      <c r="H47" s="897"/>
      <c r="I47" s="897"/>
    </row>
    <row r="48" spans="1:9" ht="18">
      <c r="A48" s="471">
        <f t="shared" si="2"/>
        <v>46212</v>
      </c>
      <c r="B48" s="472"/>
      <c r="C48" s="473"/>
      <c r="D48" s="474" t="e">
        <f t="shared" si="0"/>
        <v>#DIV/0!</v>
      </c>
      <c r="E48" s="473"/>
      <c r="F48" s="475" t="e">
        <f t="shared" si="1"/>
        <v>#DIV/0!</v>
      </c>
      <c r="G48" s="897"/>
      <c r="H48" s="897"/>
      <c r="I48" s="897"/>
    </row>
    <row r="49" spans="1:9" ht="18">
      <c r="A49" s="471">
        <f t="shared" si="2"/>
        <v>46213</v>
      </c>
      <c r="B49" s="472"/>
      <c r="C49" s="473"/>
      <c r="D49" s="474" t="e">
        <f t="shared" si="0"/>
        <v>#DIV/0!</v>
      </c>
      <c r="E49" s="473"/>
      <c r="F49" s="475" t="e">
        <f t="shared" si="1"/>
        <v>#DIV/0!</v>
      </c>
      <c r="G49" s="897"/>
      <c r="H49" s="897"/>
      <c r="I49" s="897"/>
    </row>
    <row r="50" spans="1:9" ht="18">
      <c r="A50" s="471">
        <f t="shared" si="2"/>
        <v>46214</v>
      </c>
      <c r="B50" s="472"/>
      <c r="C50" s="473"/>
      <c r="D50" s="474" t="e">
        <f t="shared" si="0"/>
        <v>#DIV/0!</v>
      </c>
      <c r="E50" s="473"/>
      <c r="F50" s="475" t="e">
        <f t="shared" si="1"/>
        <v>#DIV/0!</v>
      </c>
      <c r="G50" s="897"/>
      <c r="H50" s="897"/>
      <c r="I50" s="897"/>
    </row>
    <row r="51" spans="1:9" ht="18">
      <c r="A51" s="471">
        <f t="shared" si="2"/>
        <v>46215</v>
      </c>
      <c r="B51" s="472"/>
      <c r="C51" s="473"/>
      <c r="D51" s="474" t="e">
        <f t="shared" si="0"/>
        <v>#DIV/0!</v>
      </c>
      <c r="E51" s="473"/>
      <c r="F51" s="475" t="e">
        <f t="shared" si="1"/>
        <v>#DIV/0!</v>
      </c>
      <c r="G51" s="897"/>
      <c r="H51" s="897"/>
      <c r="I51" s="897"/>
    </row>
    <row r="52" spans="1:9" ht="18">
      <c r="A52" s="471">
        <f t="shared" si="2"/>
        <v>46216</v>
      </c>
      <c r="B52" s="472"/>
      <c r="C52" s="473"/>
      <c r="D52" s="474" t="e">
        <f t="shared" si="0"/>
        <v>#DIV/0!</v>
      </c>
      <c r="E52" s="473"/>
      <c r="F52" s="475" t="e">
        <f t="shared" si="1"/>
        <v>#DIV/0!</v>
      </c>
      <c r="G52" s="897"/>
      <c r="H52" s="897"/>
      <c r="I52" s="897"/>
    </row>
    <row r="53" spans="1:9" ht="18">
      <c r="A53" s="477"/>
      <c r="B53" s="477"/>
      <c r="C53" s="477"/>
      <c r="D53" s="477"/>
      <c r="E53" s="477"/>
      <c r="F53" s="477"/>
      <c r="G53" s="477"/>
      <c r="H53" s="477"/>
      <c r="I53" s="477"/>
    </row>
    <row r="54" spans="1:9" ht="18.75">
      <c r="A54" s="478" t="s">
        <v>710</v>
      </c>
      <c r="B54" s="472">
        <f>SUM(B7:B37)</f>
        <v>102255926</v>
      </c>
      <c r="C54" s="477"/>
      <c r="D54" s="477"/>
      <c r="E54" s="477"/>
      <c r="F54" s="477"/>
      <c r="G54" s="477"/>
      <c r="H54" s="477"/>
      <c r="I54" s="477"/>
    </row>
    <row r="55" spans="1:9" ht="18">
      <c r="A55" s="477"/>
      <c r="B55" s="477"/>
      <c r="C55" s="477"/>
      <c r="D55" s="477"/>
      <c r="E55" s="477"/>
      <c r="F55" s="477"/>
      <c r="G55" s="477"/>
      <c r="H55" s="477"/>
      <c r="I55" s="477"/>
    </row>
  </sheetData>
  <mergeCells count="23">
    <mergeCell ref="G2:H2"/>
    <mergeCell ref="A1:I1"/>
    <mergeCell ref="G4:G10"/>
    <mergeCell ref="H4:H10"/>
    <mergeCell ref="I4:I10"/>
    <mergeCell ref="G11:G17"/>
    <mergeCell ref="H11:H17"/>
    <mergeCell ref="I11:I17"/>
    <mergeCell ref="G18:G24"/>
    <mergeCell ref="H18:H24"/>
    <mergeCell ref="I18:I24"/>
    <mergeCell ref="G25:G31"/>
    <mergeCell ref="H25:H31"/>
    <mergeCell ref="I25:I31"/>
    <mergeCell ref="G46:G52"/>
    <mergeCell ref="H46:H52"/>
    <mergeCell ref="I46:I52"/>
    <mergeCell ref="G32:G38"/>
    <mergeCell ref="H32:H38"/>
    <mergeCell ref="I32:I38"/>
    <mergeCell ref="G39:G45"/>
    <mergeCell ref="H39:H45"/>
    <mergeCell ref="I39:I45"/>
  </mergeCells>
  <phoneticPr fontId="12" type="noConversion"/>
  <conditionalFormatting sqref="D54">
    <cfRule type="cellIs" dxfId="7" priority="8" operator="greaterThan">
      <formula>0.0025</formula>
    </cfRule>
  </conditionalFormatting>
  <conditionalFormatting sqref="D10">
    <cfRule type="cellIs" dxfId="6" priority="4" operator="greaterThan">
      <formula>0.0025</formula>
    </cfRule>
  </conditionalFormatting>
  <conditionalFormatting sqref="A4:A52">
    <cfRule type="timePeriod" dxfId="5" priority="6" timePeriod="yesterday">
      <formula>FLOOR(A4,1)=TODAY()-1</formula>
    </cfRule>
  </conditionalFormatting>
  <conditionalFormatting sqref="D7:D9 D11:D14 D18:D52">
    <cfRule type="cellIs" dxfId="4" priority="7" operator="greaterThan">
      <formula>0.0025</formula>
    </cfRule>
  </conditionalFormatting>
  <conditionalFormatting sqref="D4:D6">
    <cfRule type="cellIs" dxfId="3" priority="5" operator="greaterThan">
      <formula>0.0025</formula>
    </cfRule>
  </conditionalFormatting>
  <conditionalFormatting sqref="D15">
    <cfRule type="cellIs" dxfId="2" priority="3" operator="greaterThan">
      <formula>0.0025</formula>
    </cfRule>
  </conditionalFormatting>
  <conditionalFormatting sqref="D16">
    <cfRule type="cellIs" dxfId="1" priority="2" operator="greaterThan">
      <formula>0.0025</formula>
    </cfRule>
  </conditionalFormatting>
  <conditionalFormatting sqref="D17">
    <cfRule type="cellIs" dxfId="0" priority="1" operator="greaterThan">
      <formula>0.0025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208"/>
    <col min="3" max="3" width="14" style="208" bestFit="1" customWidth="1"/>
    <col min="4" max="4" width="0.28515625" style="208" customWidth="1"/>
    <col min="5" max="5" width="8.7109375" style="208"/>
    <col min="6" max="6" width="16.28515625" style="208" bestFit="1" customWidth="1"/>
    <col min="7" max="16384" width="8.7109375" style="208"/>
  </cols>
  <sheetData>
    <row r="2" spans="2:7" ht="15.75">
      <c r="B2" s="902" t="s">
        <v>234</v>
      </c>
      <c r="C2" s="902"/>
      <c r="D2" s="902"/>
      <c r="E2" s="902"/>
      <c r="F2" s="902"/>
    </row>
    <row r="3" spans="2:7" ht="15">
      <c r="B3" s="209" t="s">
        <v>235</v>
      </c>
      <c r="C3" s="209" t="s">
        <v>236</v>
      </c>
      <c r="D3" s="210"/>
      <c r="E3" s="209" t="s">
        <v>237</v>
      </c>
      <c r="F3" s="209" t="s">
        <v>238</v>
      </c>
      <c r="G3" s="210"/>
    </row>
    <row r="4" spans="2:7" ht="15">
      <c r="B4" s="211" t="s">
        <v>239</v>
      </c>
      <c r="C4" s="211" t="s">
        <v>240</v>
      </c>
      <c r="D4" s="210"/>
      <c r="E4" s="211" t="s">
        <v>241</v>
      </c>
      <c r="F4" s="211" t="s">
        <v>242</v>
      </c>
      <c r="G4" s="210"/>
    </row>
    <row r="5" spans="2:7" ht="15">
      <c r="B5" s="211" t="s">
        <v>243</v>
      </c>
      <c r="C5" s="211" t="s">
        <v>244</v>
      </c>
      <c r="D5" s="210"/>
      <c r="E5" s="211" t="s">
        <v>245</v>
      </c>
      <c r="F5" s="211" t="s">
        <v>246</v>
      </c>
      <c r="G5" s="210"/>
    </row>
    <row r="6" spans="2:7" ht="15">
      <c r="B6" s="211" t="s">
        <v>247</v>
      </c>
      <c r="C6" s="211" t="s">
        <v>248</v>
      </c>
      <c r="D6" s="210"/>
      <c r="E6" s="212" t="s">
        <v>249</v>
      </c>
      <c r="F6" s="212" t="s">
        <v>136</v>
      </c>
      <c r="G6" s="210"/>
    </row>
    <row r="7" spans="2:7" ht="15">
      <c r="B7" s="212" t="s">
        <v>250</v>
      </c>
      <c r="C7" s="212" t="s">
        <v>251</v>
      </c>
      <c r="D7" s="210"/>
      <c r="E7" s="211" t="s">
        <v>252</v>
      </c>
      <c r="F7" s="211" t="s">
        <v>253</v>
      </c>
      <c r="G7" s="210"/>
    </row>
    <row r="8" spans="2:7" ht="15">
      <c r="B8" s="211" t="s">
        <v>254</v>
      </c>
      <c r="C8" s="211" t="s">
        <v>255</v>
      </c>
      <c r="D8" s="210"/>
      <c r="E8" s="211" t="s">
        <v>256</v>
      </c>
      <c r="F8" s="211" t="s">
        <v>257</v>
      </c>
      <c r="G8" s="210"/>
    </row>
    <row r="9" spans="2:7" ht="15">
      <c r="B9" s="211" t="s">
        <v>258</v>
      </c>
      <c r="C9" s="211" t="s">
        <v>259</v>
      </c>
      <c r="D9" s="210"/>
      <c r="E9" s="212" t="s">
        <v>260</v>
      </c>
      <c r="F9" s="212" t="s">
        <v>135</v>
      </c>
      <c r="G9" s="210"/>
    </row>
    <row r="10" spans="2:7" ht="15">
      <c r="B10" s="211" t="s">
        <v>261</v>
      </c>
      <c r="C10" s="211" t="s">
        <v>262</v>
      </c>
      <c r="D10" s="210"/>
      <c r="E10" s="211" t="s">
        <v>263</v>
      </c>
      <c r="F10" s="211" t="s">
        <v>264</v>
      </c>
      <c r="G10" s="210"/>
    </row>
    <row r="11" spans="2:7" ht="15">
      <c r="B11" s="211" t="s">
        <v>265</v>
      </c>
      <c r="C11" s="211" t="s">
        <v>266</v>
      </c>
      <c r="D11" s="210"/>
      <c r="E11" s="211" t="s">
        <v>267</v>
      </c>
      <c r="F11" s="211" t="s">
        <v>257</v>
      </c>
      <c r="G11" s="210"/>
    </row>
    <row r="12" spans="2:7" ht="15">
      <c r="B12" s="211" t="s">
        <v>268</v>
      </c>
      <c r="C12" s="211" t="s">
        <v>269</v>
      </c>
      <c r="D12" s="210"/>
      <c r="E12" s="211" t="s">
        <v>270</v>
      </c>
      <c r="F12" s="211" t="s">
        <v>271</v>
      </c>
      <c r="G12" s="210"/>
    </row>
    <row r="13" spans="2:7" ht="15">
      <c r="B13" s="212" t="s">
        <v>272</v>
      </c>
      <c r="C13" s="212" t="s">
        <v>131</v>
      </c>
      <c r="D13" s="210"/>
      <c r="E13" s="211" t="s">
        <v>273</v>
      </c>
      <c r="F13" s="211" t="s">
        <v>274</v>
      </c>
      <c r="G13" s="210"/>
    </row>
    <row r="14" spans="2:7" ht="15">
      <c r="B14" s="211" t="s">
        <v>275</v>
      </c>
      <c r="C14" s="211" t="s">
        <v>276</v>
      </c>
      <c r="D14" s="210"/>
      <c r="E14" s="212" t="s">
        <v>277</v>
      </c>
      <c r="F14" s="212" t="s">
        <v>278</v>
      </c>
      <c r="G14" s="210"/>
    </row>
    <row r="15" spans="2:7" ht="15">
      <c r="B15" s="212" t="s">
        <v>279</v>
      </c>
      <c r="C15" s="212" t="s">
        <v>280</v>
      </c>
      <c r="D15" s="210"/>
      <c r="E15" s="211" t="s">
        <v>281</v>
      </c>
      <c r="F15" s="211" t="s">
        <v>278</v>
      </c>
      <c r="G15" s="210"/>
    </row>
    <row r="16" spans="2:7" ht="15">
      <c r="B16" s="211" t="s">
        <v>282</v>
      </c>
      <c r="C16" s="211" t="s">
        <v>283</v>
      </c>
      <c r="D16" s="210"/>
      <c r="E16" s="212" t="s">
        <v>284</v>
      </c>
      <c r="F16" s="212" t="s">
        <v>285</v>
      </c>
      <c r="G16" s="210"/>
    </row>
    <row r="17" spans="2:7" ht="15">
      <c r="B17" s="211" t="s">
        <v>286</v>
      </c>
      <c r="C17" s="211" t="s">
        <v>287</v>
      </c>
      <c r="D17" s="210"/>
      <c r="E17" s="211" t="s">
        <v>288</v>
      </c>
      <c r="F17" s="211" t="s">
        <v>289</v>
      </c>
      <c r="G17" s="210"/>
    </row>
    <row r="18" spans="2:7" ht="15">
      <c r="B18" s="211" t="s">
        <v>290</v>
      </c>
      <c r="C18" s="211" t="s">
        <v>291</v>
      </c>
      <c r="D18" s="210"/>
      <c r="E18" s="211" t="s">
        <v>292</v>
      </c>
      <c r="F18" s="211" t="s">
        <v>293</v>
      </c>
      <c r="G18" s="210"/>
    </row>
    <row r="19" spans="2:7" ht="15">
      <c r="B19" s="211" t="s">
        <v>294</v>
      </c>
      <c r="C19" s="211" t="s">
        <v>295</v>
      </c>
      <c r="D19" s="210"/>
      <c r="E19" s="211" t="s">
        <v>296</v>
      </c>
      <c r="F19" s="211" t="s">
        <v>297</v>
      </c>
      <c r="G19" s="210"/>
    </row>
    <row r="20" spans="2:7" ht="15">
      <c r="B20" s="211" t="s">
        <v>298</v>
      </c>
      <c r="C20" s="211" t="s">
        <v>299</v>
      </c>
      <c r="D20" s="210"/>
      <c r="G20" s="210"/>
    </row>
    <row r="21" spans="2:7" ht="15">
      <c r="D21" s="210"/>
      <c r="G21" s="210"/>
    </row>
    <row r="22" spans="2:7" ht="15">
      <c r="D22" s="210"/>
      <c r="G22" s="210"/>
    </row>
    <row r="23" spans="2:7" ht="15">
      <c r="D23" s="210"/>
      <c r="G23" s="210"/>
    </row>
  </sheetData>
  <mergeCells count="1">
    <mergeCell ref="B2:F2"/>
  </mergeCells>
  <phoneticPr fontId="12" type="noConversion"/>
  <pageMargins left="0" right="0" top="0" bottom="0" header="0" footer="0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D8EC81-AA05-4646-97C1-F26BA91CB7CC}"/>
</file>

<file path=customXml/itemProps2.xml><?xml version="1.0" encoding="utf-8"?>
<ds:datastoreItem xmlns:ds="http://schemas.openxmlformats.org/officeDocument/2006/customXml" ds:itemID="{A08CD4A1-A21D-428F-A001-BD62A200997A}"/>
</file>

<file path=customXml/itemProps3.xml><?xml version="1.0" encoding="utf-8"?>
<ds:datastoreItem xmlns:ds="http://schemas.openxmlformats.org/officeDocument/2006/customXml" ds:itemID="{3FD8DB42-FE2B-4750-928F-744842D6EF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已命名的範圍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林宗翰</cp:lastModifiedBy>
  <cp:lastPrinted>2025-07-28T04:42:39Z</cp:lastPrinted>
  <dcterms:created xsi:type="dcterms:W3CDTF">2025-07-03T16:36:59Z</dcterms:created>
  <dcterms:modified xsi:type="dcterms:W3CDTF">2026-06-10T11:03:43Z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