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\\60.248.120.128\廠務部\&amp;&amp;報告&amp;&amp;\★★★【日本老師】2026年度\★【井上先生】晉欣廠生產管理報表\"/>
    </mc:Choice>
  </mc:AlternateContent>
  <xr:revisionPtr revIDLastSave="0" documentId="13_ncr:1_{1A773780-3EB4-485B-B027-18FB21193D7D}" xr6:coauthVersionLast="47" xr6:coauthVersionMax="47" xr10:uidLastSave="{00000000-0000-0000-0000-000000000000}"/>
  <bookViews>
    <workbookView xWindow="-120" yWindow="-120" windowWidth="29040" windowHeight="15840" tabRatio="838" firstSheet="2" activeTab="2" xr2:uid="{00000000-000D-0000-FFFF-FFFF00000000}"/>
  </bookViews>
  <sheets>
    <sheet name="填寫舉例" sheetId="1" state="hidden" r:id="rId1"/>
    <sheet name="生產管理報表(月)" sheetId="13" state="hidden" r:id="rId2"/>
    <sheet name="生產管理報表(週) " sheetId="39" r:id="rId3"/>
    <sheet name="（１）收支狀況" sheetId="3" r:id="rId4"/>
    <sheet name="（２）ＫＰＩ達成進度" sheetId="5" r:id="rId5"/>
    <sheet name="（３）業績構成比" sheetId="7" r:id="rId6"/>
    <sheet name="（４）訂單數量構成比" sheetId="6" r:id="rId7"/>
    <sheet name="（５-1）品群別人時生產性（18℃-飯糰）" sheetId="8" r:id="rId8"/>
    <sheet name="（５-2）品群別人時生產性（18-壽司手卷)" sheetId="30" r:id="rId9"/>
    <sheet name="（５-3）品群別人時生產性（4℃-飯糰)" sheetId="32" r:id="rId10"/>
    <sheet name="（５-4）品群別人時生產性（4℃-壽司手卷)" sheetId="31" r:id="rId11"/>
    <sheet name="（５-5）品群別人時生產性(主食) " sheetId="33" r:id="rId12"/>
    <sheet name="（５-6）品群別人時生產性(便當)" sheetId="34" r:id="rId13"/>
    <sheet name="（５-7）品群別人時生產性(熱食義麵) " sheetId="35" r:id="rId14"/>
    <sheet name="（５-8）品群別人時生產性(季節調理麵) " sheetId="36" r:id="rId15"/>
    <sheet name="（５-9）品群別人時生產性(微波小吃)" sheetId="37" r:id="rId16"/>
    <sheet name="生產管理報表 6-1" sheetId="15" r:id="rId17"/>
    <sheet name="生產管理報表 6-2" sheetId="22" r:id="rId18"/>
    <sheet name="生產管理報表 6-3" sheetId="23" r:id="rId19"/>
    <sheet name="生產管理報表 6-4" sheetId="24" r:id="rId20"/>
    <sheet name="生產管理報表 6-5" sheetId="25" r:id="rId21"/>
    <sheet name="生產管理報表 7-1(月)" sheetId="40" state="hidden" r:id="rId22"/>
    <sheet name="生產管理報表 7-1 (週)" sheetId="41" r:id="rId23"/>
    <sheet name="生產管理報表 8-1(報廢)" sheetId="19" r:id="rId24"/>
    <sheet name="生產管理報表 8-2(報廢)" sheetId="20" r:id="rId25"/>
    <sheet name="生產管理報表 8-3(超用)" sheetId="44" r:id="rId26"/>
    <sheet name="生產管理報表 8-4(超用)" sheetId="45" r:id="rId27"/>
    <sheet name="生產管理報表 9" sheetId="21" r:id="rId28"/>
    <sheet name="報廢20大－原因別分析" sheetId="46" r:id="rId29"/>
    <sheet name="超用20大－原因別分析" sheetId="47" r:id="rId30"/>
    <sheet name="日別報廢率總表  " sheetId="48" r:id="rId31"/>
    <sheet name="鮮食品群番" sheetId="38" state="hidden" r:id="rId32"/>
  </sheets>
  <definedNames>
    <definedName name="_xlnm._FilterDatabase" localSheetId="7" hidden="1">'（５-1）品群別人時生產性（18℃-飯糰）'!#REF!</definedName>
    <definedName name="_xlnm._FilterDatabase" localSheetId="8" hidden="1">'（５-2）品群別人時生產性（18-壽司手卷)'!#REF!</definedName>
    <definedName name="_xlnm._FilterDatabase" localSheetId="9" hidden="1">'（５-3）品群別人時生產性（4℃-飯糰)'!#REF!</definedName>
    <definedName name="_xlnm._FilterDatabase" localSheetId="10" hidden="1">'（５-4）品群別人時生產性（4℃-壽司手卷)'!#REF!</definedName>
    <definedName name="_xlnm._FilterDatabase" localSheetId="11" hidden="1">'（５-5）品群別人時生產性(主食) '!#REF!</definedName>
    <definedName name="_xlnm._FilterDatabase" localSheetId="12" hidden="1">'（５-6）品群別人時生產性(便當)'!#REF!</definedName>
    <definedName name="_xlnm._FilterDatabase" localSheetId="13" hidden="1">'（５-7）品群別人時生產性(熱食義麵) '!#REF!</definedName>
    <definedName name="_xlnm._FilterDatabase" localSheetId="14" hidden="1">'（５-8）品群別人時生產性(季節調理麵) '!#REF!</definedName>
    <definedName name="_xlnm._FilterDatabase" localSheetId="15" hidden="1">'（５-9）品群別人時生產性(微波小吃)'!#REF!</definedName>
    <definedName name="_xlnm._FilterDatabase" localSheetId="25" hidden="1">'生產管理報表 8-3(超用)'!$R$24:$W$28</definedName>
    <definedName name="_xlnm._FilterDatabase" localSheetId="26" hidden="1">'生產管理報表 8-4(超用)'!$R$24:$W$29</definedName>
    <definedName name="_xlnm._FilterDatabase" localSheetId="28" hidden="1">'報廢20大－原因別分析'!#REF!</definedName>
    <definedName name="_xlnm._FilterDatabase" localSheetId="29" hidden="1">'超用20大－原因別分析'!#REF!</definedName>
    <definedName name="_xlnm.Print_Area" localSheetId="16">'生產管理報表 6-1'!$A$1:$L$35</definedName>
    <definedName name="_xlnm.Print_Area" localSheetId="17">'生產管理報表 6-2'!$A$1:$L$35</definedName>
    <definedName name="_xlnm.Print_Area" localSheetId="18">'生產管理報表 6-3'!$A$1:$L$35</definedName>
    <definedName name="_xlnm.Print_Area" localSheetId="19">'生產管理報表 6-4'!$A$1:$L$35</definedName>
    <definedName name="_xlnm.Print_Area" localSheetId="20">'生產管理報表 6-5'!$A$1:$L$35</definedName>
    <definedName name="_xlnm.Print_Area" localSheetId="22">'生產管理報表 7-1 (週)'!$A$1:$M$2</definedName>
    <definedName name="_xlnm.Print_Area" localSheetId="21">'生產管理報表 7-1(月)'!$A$1:$M$15</definedName>
    <definedName name="_xlnm.Print_Area" localSheetId="25">'生產管理報表 8-3(超用)'!$A$1:$Q$30</definedName>
    <definedName name="_xlnm.Print_Area" localSheetId="26">'生產管理報表 8-4(超用)'!$A$1:$Q$38</definedName>
    <definedName name="_xlnm.Print_Area" localSheetId="27">'生產管理報表 9'!#REF!</definedName>
    <definedName name="_xlnm.Print_Area" localSheetId="1">'生產管理報表(月)'!$A$1:$K$36</definedName>
    <definedName name="_xlnm.Print_Area" localSheetId="2">'生產管理報表(週) '!$A$1:$K$36</definedName>
    <definedName name="_xlnm.Print_Area" localSheetId="31">鮮食品群番!$B$2:$F$20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8" i="25" l="1"/>
  <c r="A8" i="25"/>
  <c r="S21" i="37"/>
  <c r="S20" i="37"/>
  <c r="S19" i="37"/>
  <c r="S18" i="37"/>
  <c r="S17" i="37"/>
  <c r="S16" i="37"/>
  <c r="S15" i="37"/>
  <c r="S14" i="37"/>
  <c r="S13" i="37"/>
  <c r="S12" i="37"/>
  <c r="S11" i="37"/>
  <c r="S10" i="37"/>
  <c r="S9" i="37"/>
  <c r="S8" i="37"/>
  <c r="T7" i="37"/>
  <c r="S7" i="37"/>
  <c r="X21" i="37"/>
  <c r="X20" i="37"/>
  <c r="X19" i="37"/>
  <c r="X18" i="37"/>
  <c r="X17" i="37"/>
  <c r="X16" i="37"/>
  <c r="X15" i="37"/>
  <c r="X14" i="37"/>
  <c r="X13" i="37"/>
  <c r="X12" i="37"/>
  <c r="X11" i="37"/>
  <c r="X10" i="37"/>
  <c r="X9" i="37"/>
  <c r="X8" i="37"/>
  <c r="Y7" i="37"/>
  <c r="X7" i="37"/>
  <c r="AC21" i="37"/>
  <c r="AC20" i="37"/>
  <c r="AC19" i="37"/>
  <c r="AC18" i="37"/>
  <c r="AC17" i="37"/>
  <c r="AC16" i="37"/>
  <c r="AC15" i="37"/>
  <c r="AC14" i="37"/>
  <c r="AC13" i="37"/>
  <c r="AC12" i="37"/>
  <c r="AC11" i="37"/>
  <c r="AC10" i="37"/>
  <c r="AC9" i="37"/>
  <c r="AC8" i="37"/>
  <c r="AD7" i="37"/>
  <c r="AC7" i="37"/>
  <c r="AH21" i="37"/>
  <c r="AH20" i="37"/>
  <c r="AH19" i="37"/>
  <c r="AH18" i="37"/>
  <c r="AH17" i="37"/>
  <c r="AH16" i="37"/>
  <c r="AH15" i="37"/>
  <c r="AH14" i="37"/>
  <c r="AH13" i="37"/>
  <c r="AH12" i="37"/>
  <c r="AH11" i="37"/>
  <c r="AH10" i="37"/>
  <c r="AH9" i="37"/>
  <c r="AH8" i="37"/>
  <c r="AI7" i="37"/>
  <c r="AH7" i="37"/>
  <c r="AM21" i="37"/>
  <c r="AM20" i="37"/>
  <c r="AM19" i="37"/>
  <c r="AM18" i="37"/>
  <c r="AM17" i="37"/>
  <c r="AM16" i="37"/>
  <c r="AM15" i="37"/>
  <c r="AM14" i="37"/>
  <c r="AM13" i="37"/>
  <c r="AM12" i="37"/>
  <c r="AM11" i="37"/>
  <c r="AM10" i="37"/>
  <c r="AM9" i="37"/>
  <c r="AM8" i="37"/>
  <c r="AN7" i="37"/>
  <c r="AM7" i="37"/>
  <c r="AR21" i="37"/>
  <c r="AR20" i="37"/>
  <c r="AR19" i="37"/>
  <c r="AR18" i="37"/>
  <c r="AR17" i="37"/>
  <c r="AR16" i="37"/>
  <c r="AR15" i="37"/>
  <c r="AR14" i="37"/>
  <c r="AR13" i="37"/>
  <c r="AR12" i="37"/>
  <c r="AR11" i="37"/>
  <c r="AR10" i="37"/>
  <c r="AR9" i="37"/>
  <c r="AR8" i="37"/>
  <c r="AS7" i="37"/>
  <c r="AR7" i="37"/>
  <c r="AW21" i="37"/>
  <c r="AW20" i="37"/>
  <c r="AW19" i="37"/>
  <c r="AW18" i="37"/>
  <c r="AW17" i="37"/>
  <c r="AW16" i="37"/>
  <c r="AW15" i="37"/>
  <c r="AW14" i="37"/>
  <c r="AW13" i="37"/>
  <c r="AW12" i="37"/>
  <c r="AW11" i="37"/>
  <c r="AW10" i="37"/>
  <c r="AW9" i="37"/>
  <c r="AW8" i="37"/>
  <c r="AX7" i="37"/>
  <c r="AW7" i="37"/>
  <c r="S41" i="37"/>
  <c r="S40" i="37"/>
  <c r="S39" i="37"/>
  <c r="S38" i="37"/>
  <c r="S37" i="37"/>
  <c r="S36" i="37"/>
  <c r="S35" i="37"/>
  <c r="S34" i="37"/>
  <c r="S33" i="37"/>
  <c r="S32" i="37"/>
  <c r="S31" i="37"/>
  <c r="S30" i="37"/>
  <c r="S29" i="37"/>
  <c r="S28" i="37"/>
  <c r="T27" i="37"/>
  <c r="S27" i="37"/>
  <c r="X41" i="37"/>
  <c r="X40" i="37"/>
  <c r="X39" i="37"/>
  <c r="X38" i="37"/>
  <c r="X37" i="37"/>
  <c r="X36" i="37"/>
  <c r="X35" i="37"/>
  <c r="X34" i="37"/>
  <c r="X33" i="37"/>
  <c r="X32" i="37"/>
  <c r="X31" i="37"/>
  <c r="X30" i="37"/>
  <c r="X29" i="37"/>
  <c r="X28" i="37"/>
  <c r="Y27" i="37"/>
  <c r="X27" i="37"/>
  <c r="AC41" i="37"/>
  <c r="AC40" i="37"/>
  <c r="AC39" i="37"/>
  <c r="AC38" i="37"/>
  <c r="AC37" i="37"/>
  <c r="AC36" i="37"/>
  <c r="AC35" i="37"/>
  <c r="AC34" i="37"/>
  <c r="AC33" i="37"/>
  <c r="AC32" i="37"/>
  <c r="AC31" i="37"/>
  <c r="AC30" i="37"/>
  <c r="AC29" i="37"/>
  <c r="AC28" i="37"/>
  <c r="AD27" i="37"/>
  <c r="AC27" i="37"/>
  <c r="AH41" i="37"/>
  <c r="AH40" i="37"/>
  <c r="AH39" i="37"/>
  <c r="AH38" i="37"/>
  <c r="AH37" i="37"/>
  <c r="AH36" i="37"/>
  <c r="AH35" i="37"/>
  <c r="AH34" i="37"/>
  <c r="AH33" i="37"/>
  <c r="AH32" i="37"/>
  <c r="AH31" i="37"/>
  <c r="AH30" i="37"/>
  <c r="AH29" i="37"/>
  <c r="AH28" i="37"/>
  <c r="AI27" i="37"/>
  <c r="AH27" i="37"/>
  <c r="AM41" i="37"/>
  <c r="AM40" i="37"/>
  <c r="AM39" i="37"/>
  <c r="AM38" i="37"/>
  <c r="AM37" i="37"/>
  <c r="AM36" i="37"/>
  <c r="AM35" i="37"/>
  <c r="AM34" i="37"/>
  <c r="AM33" i="37"/>
  <c r="AM32" i="37"/>
  <c r="AM31" i="37"/>
  <c r="AM30" i="37"/>
  <c r="AM29" i="37"/>
  <c r="AM28" i="37"/>
  <c r="AN27" i="37"/>
  <c r="AM27" i="37"/>
  <c r="AR41" i="37"/>
  <c r="AR40" i="37"/>
  <c r="AR39" i="37"/>
  <c r="AR38" i="37"/>
  <c r="AR37" i="37"/>
  <c r="AR36" i="37"/>
  <c r="AR35" i="37"/>
  <c r="AR34" i="37"/>
  <c r="AR33" i="37"/>
  <c r="AR32" i="37"/>
  <c r="AR31" i="37"/>
  <c r="AR30" i="37"/>
  <c r="AR29" i="37"/>
  <c r="AR28" i="37"/>
  <c r="AS27" i="37"/>
  <c r="AR27" i="37"/>
  <c r="AW41" i="37"/>
  <c r="AW40" i="37"/>
  <c r="AW39" i="37"/>
  <c r="AW38" i="37"/>
  <c r="AW37" i="37"/>
  <c r="AW36" i="37"/>
  <c r="AW35" i="37"/>
  <c r="AW34" i="37"/>
  <c r="AW33" i="37"/>
  <c r="AW32" i="37"/>
  <c r="AW31" i="37"/>
  <c r="AW30" i="37"/>
  <c r="AW29" i="37"/>
  <c r="AW28" i="37"/>
  <c r="AX27" i="37"/>
  <c r="AW27" i="37"/>
  <c r="S41" i="36"/>
  <c r="S40" i="36"/>
  <c r="S39" i="36"/>
  <c r="S38" i="36"/>
  <c r="S37" i="36"/>
  <c r="S36" i="36"/>
  <c r="S35" i="36"/>
  <c r="S34" i="36"/>
  <c r="S33" i="36"/>
  <c r="S32" i="36"/>
  <c r="S31" i="36"/>
  <c r="S30" i="36"/>
  <c r="S29" i="36"/>
  <c r="S28" i="36"/>
  <c r="T27" i="36"/>
  <c r="S27" i="36"/>
  <c r="X41" i="36"/>
  <c r="X40" i="36"/>
  <c r="X39" i="36"/>
  <c r="X38" i="36"/>
  <c r="X37" i="36"/>
  <c r="X36" i="36"/>
  <c r="X35" i="36"/>
  <c r="X34" i="36"/>
  <c r="X33" i="36"/>
  <c r="X32" i="36"/>
  <c r="X31" i="36"/>
  <c r="X30" i="36"/>
  <c r="X29" i="36"/>
  <c r="X28" i="36"/>
  <c r="Y27" i="36"/>
  <c r="X27" i="36"/>
  <c r="AC41" i="36"/>
  <c r="AC40" i="36"/>
  <c r="AC39" i="36"/>
  <c r="AC38" i="36"/>
  <c r="AC37" i="36"/>
  <c r="AC36" i="36"/>
  <c r="AC35" i="36"/>
  <c r="AC34" i="36"/>
  <c r="AC33" i="36"/>
  <c r="AC32" i="36"/>
  <c r="AC31" i="36"/>
  <c r="AC30" i="36"/>
  <c r="AC29" i="36"/>
  <c r="AC28" i="36"/>
  <c r="AD27" i="36"/>
  <c r="AC27" i="36"/>
  <c r="AH41" i="36"/>
  <c r="AH40" i="36"/>
  <c r="AH39" i="36"/>
  <c r="AH38" i="36"/>
  <c r="AH37" i="36"/>
  <c r="AH36" i="36"/>
  <c r="AH35" i="36"/>
  <c r="AH34" i="36"/>
  <c r="AH33" i="36"/>
  <c r="AH32" i="36"/>
  <c r="AH31" i="36"/>
  <c r="AH30" i="36"/>
  <c r="AH29" i="36"/>
  <c r="AH28" i="36"/>
  <c r="AI27" i="36"/>
  <c r="AH27" i="36"/>
  <c r="AM41" i="36"/>
  <c r="AM40" i="36"/>
  <c r="AM39" i="36"/>
  <c r="AM38" i="36"/>
  <c r="AM37" i="36"/>
  <c r="AM36" i="36"/>
  <c r="AM35" i="36"/>
  <c r="AM34" i="36"/>
  <c r="AM33" i="36"/>
  <c r="AM32" i="36"/>
  <c r="AM31" i="36"/>
  <c r="AM30" i="36"/>
  <c r="AM29" i="36"/>
  <c r="AM28" i="36"/>
  <c r="AN27" i="36"/>
  <c r="AM27" i="36"/>
  <c r="AR41" i="36"/>
  <c r="AR40" i="36"/>
  <c r="AR39" i="36"/>
  <c r="AR38" i="36"/>
  <c r="AR37" i="36"/>
  <c r="AR36" i="36"/>
  <c r="AR35" i="36"/>
  <c r="AR34" i="36"/>
  <c r="AR33" i="36"/>
  <c r="AR32" i="36"/>
  <c r="AR31" i="36"/>
  <c r="AR30" i="36"/>
  <c r="AR29" i="36"/>
  <c r="AR28" i="36"/>
  <c r="AS27" i="36"/>
  <c r="AR27" i="36"/>
  <c r="AW41" i="36"/>
  <c r="AW40" i="36"/>
  <c r="AW39" i="36"/>
  <c r="AW38" i="36"/>
  <c r="AW37" i="36"/>
  <c r="AW36" i="36"/>
  <c r="AW35" i="36"/>
  <c r="AW34" i="36"/>
  <c r="AW33" i="36"/>
  <c r="AW32" i="36"/>
  <c r="AW31" i="36"/>
  <c r="AW30" i="36"/>
  <c r="AW29" i="36"/>
  <c r="AW28" i="36"/>
  <c r="AX27" i="36"/>
  <c r="AW27" i="36"/>
  <c r="S41" i="35"/>
  <c r="S40" i="35"/>
  <c r="S39" i="35"/>
  <c r="S38" i="35"/>
  <c r="S37" i="35"/>
  <c r="S36" i="35"/>
  <c r="S35" i="35"/>
  <c r="S34" i="35"/>
  <c r="S33" i="35"/>
  <c r="S32" i="35"/>
  <c r="S31" i="35"/>
  <c r="S30" i="35"/>
  <c r="S29" i="35"/>
  <c r="S28" i="35"/>
  <c r="T27" i="35"/>
  <c r="S27" i="35"/>
  <c r="X41" i="35"/>
  <c r="X40" i="35"/>
  <c r="X39" i="35"/>
  <c r="X38" i="35"/>
  <c r="X37" i="35"/>
  <c r="X36" i="35"/>
  <c r="X35" i="35"/>
  <c r="X34" i="35"/>
  <c r="X33" i="35"/>
  <c r="X32" i="35"/>
  <c r="X31" i="35"/>
  <c r="X30" i="35"/>
  <c r="X29" i="35"/>
  <c r="X28" i="35"/>
  <c r="Y27" i="35"/>
  <c r="X27" i="35"/>
  <c r="AC41" i="35"/>
  <c r="AC40" i="35"/>
  <c r="AC39" i="35"/>
  <c r="AC38" i="35"/>
  <c r="AC37" i="35"/>
  <c r="AC36" i="35"/>
  <c r="AC35" i="35"/>
  <c r="AC34" i="35"/>
  <c r="AC33" i="35"/>
  <c r="AC32" i="35"/>
  <c r="AC31" i="35"/>
  <c r="AC30" i="35"/>
  <c r="AC29" i="35"/>
  <c r="AC28" i="35"/>
  <c r="AD27" i="35"/>
  <c r="AC27" i="35"/>
  <c r="AH41" i="35"/>
  <c r="AH40" i="35"/>
  <c r="AH39" i="35"/>
  <c r="AH38" i="35"/>
  <c r="AH37" i="35"/>
  <c r="AH36" i="35"/>
  <c r="AH35" i="35"/>
  <c r="AH34" i="35"/>
  <c r="AH33" i="35"/>
  <c r="AH32" i="35"/>
  <c r="AH31" i="35"/>
  <c r="AH30" i="35"/>
  <c r="AH29" i="35"/>
  <c r="AH28" i="35"/>
  <c r="AI27" i="35"/>
  <c r="AH27" i="35"/>
  <c r="AM41" i="35"/>
  <c r="AM40" i="35"/>
  <c r="AM39" i="35"/>
  <c r="AM38" i="35"/>
  <c r="AM37" i="35"/>
  <c r="AM36" i="35"/>
  <c r="AM35" i="35"/>
  <c r="AM34" i="35"/>
  <c r="AM33" i="35"/>
  <c r="AM32" i="35"/>
  <c r="AM31" i="35"/>
  <c r="AM30" i="35"/>
  <c r="AM29" i="35"/>
  <c r="AM28" i="35"/>
  <c r="AN27" i="35"/>
  <c r="AM27" i="35"/>
  <c r="AR41" i="35"/>
  <c r="AR40" i="35"/>
  <c r="AR39" i="35"/>
  <c r="AR38" i="35"/>
  <c r="AR37" i="35"/>
  <c r="AR36" i="35"/>
  <c r="AR35" i="35"/>
  <c r="AR34" i="35"/>
  <c r="AR33" i="35"/>
  <c r="AR32" i="35"/>
  <c r="AR31" i="35"/>
  <c r="AR30" i="35"/>
  <c r="AR29" i="35"/>
  <c r="AR28" i="35"/>
  <c r="AS27" i="35"/>
  <c r="AR27" i="35"/>
  <c r="AW41" i="35"/>
  <c r="AW40" i="35"/>
  <c r="AW39" i="35"/>
  <c r="AW38" i="35"/>
  <c r="AW37" i="35"/>
  <c r="AW36" i="35"/>
  <c r="AW35" i="35"/>
  <c r="AW34" i="35"/>
  <c r="AW33" i="35"/>
  <c r="AW32" i="35"/>
  <c r="AW31" i="35"/>
  <c r="AW30" i="35"/>
  <c r="AW29" i="35"/>
  <c r="AW28" i="35"/>
  <c r="AX27" i="35"/>
  <c r="AW27" i="35"/>
  <c r="S41" i="34"/>
  <c r="S40" i="34"/>
  <c r="S39" i="34"/>
  <c r="S38" i="34"/>
  <c r="S37" i="34"/>
  <c r="S36" i="34"/>
  <c r="S35" i="34"/>
  <c r="S34" i="34"/>
  <c r="S33" i="34"/>
  <c r="S32" i="34"/>
  <c r="S31" i="34"/>
  <c r="S30" i="34"/>
  <c r="S29" i="34"/>
  <c r="S28" i="34"/>
  <c r="T27" i="34"/>
  <c r="S27" i="34"/>
  <c r="X41" i="34"/>
  <c r="X40" i="34"/>
  <c r="X39" i="34"/>
  <c r="X38" i="34"/>
  <c r="X37" i="34"/>
  <c r="X36" i="34"/>
  <c r="X35" i="34"/>
  <c r="X34" i="34"/>
  <c r="X33" i="34"/>
  <c r="X32" i="34"/>
  <c r="X31" i="34"/>
  <c r="X30" i="34"/>
  <c r="X29" i="34"/>
  <c r="X28" i="34"/>
  <c r="Y27" i="34"/>
  <c r="X27" i="34"/>
  <c r="AC41" i="34"/>
  <c r="AC40" i="34"/>
  <c r="AC39" i="34"/>
  <c r="AC38" i="34"/>
  <c r="AC37" i="34"/>
  <c r="AC36" i="34"/>
  <c r="AC35" i="34"/>
  <c r="AC34" i="34"/>
  <c r="AC33" i="34"/>
  <c r="AC32" i="34"/>
  <c r="AC31" i="34"/>
  <c r="AC30" i="34"/>
  <c r="AC29" i="34"/>
  <c r="AC28" i="34"/>
  <c r="AD27" i="34"/>
  <c r="AC27" i="34"/>
  <c r="AH41" i="34"/>
  <c r="AH40" i="34"/>
  <c r="AH39" i="34"/>
  <c r="AH38" i="34"/>
  <c r="AH37" i="34"/>
  <c r="AH36" i="34"/>
  <c r="AH35" i="34"/>
  <c r="AH34" i="34"/>
  <c r="AH33" i="34"/>
  <c r="AH32" i="34"/>
  <c r="AH31" i="34"/>
  <c r="AH30" i="34"/>
  <c r="AH29" i="34"/>
  <c r="AH28" i="34"/>
  <c r="AI27" i="34"/>
  <c r="AH27" i="34"/>
  <c r="AM41" i="34"/>
  <c r="AM40" i="34"/>
  <c r="AM39" i="34"/>
  <c r="AM38" i="34"/>
  <c r="AM37" i="34"/>
  <c r="AM36" i="34"/>
  <c r="AM35" i="34"/>
  <c r="AM34" i="34"/>
  <c r="AM33" i="34"/>
  <c r="AM32" i="34"/>
  <c r="AM31" i="34"/>
  <c r="AM30" i="34"/>
  <c r="AM29" i="34"/>
  <c r="AM28" i="34"/>
  <c r="AN27" i="34"/>
  <c r="AM27" i="34"/>
  <c r="AR41" i="34"/>
  <c r="AR40" i="34"/>
  <c r="AR39" i="34"/>
  <c r="AR38" i="34"/>
  <c r="AR37" i="34"/>
  <c r="AR36" i="34"/>
  <c r="AR35" i="34"/>
  <c r="AR34" i="34"/>
  <c r="AR33" i="34"/>
  <c r="AR32" i="34"/>
  <c r="AR31" i="34"/>
  <c r="AR30" i="34"/>
  <c r="AR29" i="34"/>
  <c r="AR28" i="34"/>
  <c r="AS27" i="34"/>
  <c r="AR27" i="34"/>
  <c r="AW41" i="34"/>
  <c r="AW40" i="34"/>
  <c r="AW39" i="34"/>
  <c r="AW38" i="34"/>
  <c r="AW37" i="34"/>
  <c r="AW36" i="34"/>
  <c r="AW35" i="34"/>
  <c r="AW34" i="34"/>
  <c r="AW33" i="34"/>
  <c r="AW32" i="34"/>
  <c r="AW31" i="34"/>
  <c r="AW30" i="34"/>
  <c r="AW29" i="34"/>
  <c r="AW28" i="34"/>
  <c r="AX27" i="34"/>
  <c r="AW27" i="34"/>
  <c r="S71" i="33"/>
  <c r="S70" i="33"/>
  <c r="S69" i="33"/>
  <c r="S68" i="33"/>
  <c r="S67" i="33"/>
  <c r="S66" i="33"/>
  <c r="S65" i="33"/>
  <c r="S64" i="33"/>
  <c r="S63" i="33"/>
  <c r="S62" i="33"/>
  <c r="S61" i="33"/>
  <c r="S60" i="33"/>
  <c r="S59" i="33"/>
  <c r="S58" i="33"/>
  <c r="S57" i="33"/>
  <c r="S56" i="33"/>
  <c r="S55" i="33"/>
  <c r="S54" i="33"/>
  <c r="S53" i="33"/>
  <c r="S52" i="33"/>
  <c r="S51" i="33"/>
  <c r="S50" i="33"/>
  <c r="S49" i="33"/>
  <c r="S48" i="33"/>
  <c r="S47" i="33"/>
  <c r="S46" i="33"/>
  <c r="S45" i="33"/>
  <c r="S44" i="33"/>
  <c r="S43" i="33"/>
  <c r="T42" i="33"/>
  <c r="S42" i="33"/>
  <c r="X71" i="33"/>
  <c r="X70" i="33"/>
  <c r="X69" i="33"/>
  <c r="X68" i="33"/>
  <c r="X67" i="33"/>
  <c r="X66" i="33"/>
  <c r="X65" i="33"/>
  <c r="X64" i="33"/>
  <c r="X63" i="33"/>
  <c r="X62" i="33"/>
  <c r="X61" i="33"/>
  <c r="X60" i="33"/>
  <c r="X59" i="33"/>
  <c r="X58" i="33"/>
  <c r="X57" i="33"/>
  <c r="X56" i="33"/>
  <c r="X55" i="33"/>
  <c r="X54" i="33"/>
  <c r="X53" i="33"/>
  <c r="X52" i="33"/>
  <c r="X51" i="33"/>
  <c r="X50" i="33"/>
  <c r="X49" i="33"/>
  <c r="X48" i="33"/>
  <c r="X47" i="33"/>
  <c r="X46" i="33"/>
  <c r="X45" i="33"/>
  <c r="X44" i="33"/>
  <c r="X43" i="33"/>
  <c r="Y42" i="33"/>
  <c r="X42" i="33"/>
  <c r="AC71" i="33"/>
  <c r="AC70" i="33"/>
  <c r="AC69" i="33"/>
  <c r="AC68" i="33"/>
  <c r="AC67" i="33"/>
  <c r="AC66" i="33"/>
  <c r="AC65" i="33"/>
  <c r="AC64" i="33"/>
  <c r="AC63" i="33"/>
  <c r="AC62" i="33"/>
  <c r="AC61" i="33"/>
  <c r="AC60" i="33"/>
  <c r="AC59" i="33"/>
  <c r="AC58" i="33"/>
  <c r="AC57" i="33"/>
  <c r="AC56" i="33"/>
  <c r="AC55" i="33"/>
  <c r="AC54" i="33"/>
  <c r="AC53" i="33"/>
  <c r="AC52" i="33"/>
  <c r="AC51" i="33"/>
  <c r="AC50" i="33"/>
  <c r="AC49" i="33"/>
  <c r="AC48" i="33"/>
  <c r="AC47" i="33"/>
  <c r="AC46" i="33"/>
  <c r="AC45" i="33"/>
  <c r="AC44" i="33"/>
  <c r="AC43" i="33"/>
  <c r="AD42" i="33"/>
  <c r="AC42" i="33"/>
  <c r="AH71" i="33"/>
  <c r="AH70" i="33"/>
  <c r="AH69" i="33"/>
  <c r="AH68" i="33"/>
  <c r="AH67" i="33"/>
  <c r="AH66" i="33"/>
  <c r="AH65" i="33"/>
  <c r="AH64" i="33"/>
  <c r="AH63" i="33"/>
  <c r="AH62" i="33"/>
  <c r="AH61" i="33"/>
  <c r="AH60" i="33"/>
  <c r="AH59" i="33"/>
  <c r="AH58" i="33"/>
  <c r="AH57" i="33"/>
  <c r="AH56" i="33"/>
  <c r="AH55" i="33"/>
  <c r="AH54" i="33"/>
  <c r="AH53" i="33"/>
  <c r="AH52" i="33"/>
  <c r="AH51" i="33"/>
  <c r="AH50" i="33"/>
  <c r="AH49" i="33"/>
  <c r="AH48" i="33"/>
  <c r="AH47" i="33"/>
  <c r="AH46" i="33"/>
  <c r="AH45" i="33"/>
  <c r="AH44" i="33"/>
  <c r="AH43" i="33"/>
  <c r="AI42" i="33"/>
  <c r="AH42" i="33"/>
  <c r="AM71" i="33"/>
  <c r="AM70" i="33"/>
  <c r="AM69" i="33"/>
  <c r="AM68" i="33"/>
  <c r="AM67" i="33"/>
  <c r="AM66" i="33"/>
  <c r="AM65" i="33"/>
  <c r="AM64" i="33"/>
  <c r="AM63" i="33"/>
  <c r="AM62" i="33"/>
  <c r="AM61" i="33"/>
  <c r="AM60" i="33"/>
  <c r="AM59" i="33"/>
  <c r="AM58" i="33"/>
  <c r="AM57" i="33"/>
  <c r="AM56" i="33"/>
  <c r="AM55" i="33"/>
  <c r="AM54" i="33"/>
  <c r="AM53" i="33"/>
  <c r="AM52" i="33"/>
  <c r="AM51" i="33"/>
  <c r="AM50" i="33"/>
  <c r="AM49" i="33"/>
  <c r="AM48" i="33"/>
  <c r="AM47" i="33"/>
  <c r="AM46" i="33"/>
  <c r="AM45" i="33"/>
  <c r="AM44" i="33"/>
  <c r="AM43" i="33"/>
  <c r="AN42" i="33"/>
  <c r="AM42" i="33"/>
  <c r="AR71" i="33"/>
  <c r="AR70" i="33"/>
  <c r="AR69" i="33"/>
  <c r="AR68" i="33"/>
  <c r="AR67" i="33"/>
  <c r="AR66" i="33"/>
  <c r="AR65" i="33"/>
  <c r="AR64" i="33"/>
  <c r="AR63" i="33"/>
  <c r="AR62" i="33"/>
  <c r="AR61" i="33"/>
  <c r="AR60" i="33"/>
  <c r="AR59" i="33"/>
  <c r="AR58" i="33"/>
  <c r="AR57" i="33"/>
  <c r="AR56" i="33"/>
  <c r="AR55" i="33"/>
  <c r="AR54" i="33"/>
  <c r="AR53" i="33"/>
  <c r="AR52" i="33"/>
  <c r="AR51" i="33"/>
  <c r="AR50" i="33"/>
  <c r="AR49" i="33"/>
  <c r="AR48" i="33"/>
  <c r="AR47" i="33"/>
  <c r="AR46" i="33"/>
  <c r="AR45" i="33"/>
  <c r="AR44" i="33"/>
  <c r="AR43" i="33"/>
  <c r="AS42" i="33"/>
  <c r="AR42" i="33"/>
  <c r="AW71" i="33"/>
  <c r="AW70" i="33"/>
  <c r="AW69" i="33"/>
  <c r="AW68" i="33"/>
  <c r="AW67" i="33"/>
  <c r="AW66" i="33"/>
  <c r="AW65" i="33"/>
  <c r="AW64" i="33"/>
  <c r="AW63" i="33"/>
  <c r="AW62" i="33"/>
  <c r="AW61" i="33"/>
  <c r="AW60" i="33"/>
  <c r="AW59" i="33"/>
  <c r="AW58" i="33"/>
  <c r="AW57" i="33"/>
  <c r="AW56" i="33"/>
  <c r="AW55" i="33"/>
  <c r="AW54" i="33"/>
  <c r="AW53" i="33"/>
  <c r="AW52" i="33"/>
  <c r="AW51" i="33"/>
  <c r="AW50" i="33"/>
  <c r="AW49" i="33"/>
  <c r="AW48" i="33"/>
  <c r="AW47" i="33"/>
  <c r="AW46" i="33"/>
  <c r="AW45" i="33"/>
  <c r="AW44" i="33"/>
  <c r="AW43" i="33"/>
  <c r="AX42" i="33"/>
  <c r="AW42" i="33"/>
  <c r="S41" i="32"/>
  <c r="S40" i="32"/>
  <c r="S39" i="32"/>
  <c r="S38" i="32"/>
  <c r="S37" i="32"/>
  <c r="S36" i="32"/>
  <c r="S35" i="32"/>
  <c r="S34" i="32"/>
  <c r="S33" i="32"/>
  <c r="S32" i="32"/>
  <c r="S31" i="32"/>
  <c r="S30" i="32"/>
  <c r="S29" i="32"/>
  <c r="S28" i="32"/>
  <c r="T27" i="32"/>
  <c r="S27" i="32"/>
  <c r="X41" i="32"/>
  <c r="X40" i="32"/>
  <c r="X39" i="32"/>
  <c r="X38" i="32"/>
  <c r="X37" i="32"/>
  <c r="X36" i="32"/>
  <c r="X35" i="32"/>
  <c r="X34" i="32"/>
  <c r="X33" i="32"/>
  <c r="X32" i="32"/>
  <c r="X31" i="32"/>
  <c r="X30" i="32"/>
  <c r="X29" i="32"/>
  <c r="X28" i="32"/>
  <c r="Y27" i="32"/>
  <c r="X27" i="32"/>
  <c r="AC41" i="32"/>
  <c r="AC40" i="32"/>
  <c r="AC39" i="32"/>
  <c r="AC38" i="32"/>
  <c r="AC37" i="32"/>
  <c r="AC36" i="32"/>
  <c r="AC35" i="32"/>
  <c r="AC34" i="32"/>
  <c r="AC33" i="32"/>
  <c r="AC32" i="32"/>
  <c r="AC31" i="32"/>
  <c r="AC30" i="32"/>
  <c r="AC29" i="32"/>
  <c r="AC28" i="32"/>
  <c r="AD27" i="32"/>
  <c r="AC27" i="32"/>
  <c r="AH41" i="32"/>
  <c r="AH40" i="32"/>
  <c r="AH39" i="32"/>
  <c r="AH38" i="32"/>
  <c r="AH37" i="32"/>
  <c r="AH36" i="32"/>
  <c r="AH35" i="32"/>
  <c r="AH34" i="32"/>
  <c r="AH33" i="32"/>
  <c r="AH32" i="32"/>
  <c r="AH31" i="32"/>
  <c r="AH30" i="32"/>
  <c r="AH29" i="32"/>
  <c r="AH28" i="32"/>
  <c r="AI27" i="32"/>
  <c r="AH27" i="32"/>
  <c r="AM41" i="32"/>
  <c r="AM40" i="32"/>
  <c r="AM39" i="32"/>
  <c r="AM38" i="32"/>
  <c r="AM37" i="32"/>
  <c r="AM36" i="32"/>
  <c r="AM35" i="32"/>
  <c r="AM34" i="32"/>
  <c r="AM33" i="32"/>
  <c r="AM32" i="32"/>
  <c r="AM31" i="32"/>
  <c r="AM30" i="32"/>
  <c r="AM29" i="32"/>
  <c r="AM28" i="32"/>
  <c r="AN27" i="32"/>
  <c r="AM27" i="32"/>
  <c r="AR41" i="32"/>
  <c r="AR40" i="32"/>
  <c r="AR39" i="32"/>
  <c r="AR38" i="32"/>
  <c r="AR37" i="32"/>
  <c r="AR36" i="32"/>
  <c r="AR35" i="32"/>
  <c r="AR34" i="32"/>
  <c r="AR33" i="32"/>
  <c r="AR32" i="32"/>
  <c r="AR31" i="32"/>
  <c r="AR30" i="32"/>
  <c r="AR29" i="32"/>
  <c r="AR28" i="32"/>
  <c r="AS27" i="32"/>
  <c r="AR27" i="32"/>
  <c r="AW41" i="32"/>
  <c r="AW40" i="32"/>
  <c r="AW39" i="32"/>
  <c r="AW38" i="32"/>
  <c r="AW37" i="32"/>
  <c r="AW36" i="32"/>
  <c r="AW35" i="32"/>
  <c r="AW34" i="32"/>
  <c r="AW33" i="32"/>
  <c r="AW32" i="32"/>
  <c r="AW31" i="32"/>
  <c r="AW30" i="32"/>
  <c r="AW29" i="32"/>
  <c r="AW28" i="32"/>
  <c r="AX27" i="32"/>
  <c r="AW27" i="32"/>
  <c r="S41" i="30"/>
  <c r="S40" i="30"/>
  <c r="S39" i="30"/>
  <c r="S38" i="30"/>
  <c r="S37" i="30"/>
  <c r="S36" i="30"/>
  <c r="S35" i="30"/>
  <c r="S34" i="30"/>
  <c r="S33" i="30"/>
  <c r="S32" i="30"/>
  <c r="S31" i="30"/>
  <c r="S30" i="30"/>
  <c r="S29" i="30"/>
  <c r="S28" i="30"/>
  <c r="T27" i="30"/>
  <c r="S27" i="30"/>
  <c r="X41" i="30"/>
  <c r="X40" i="30"/>
  <c r="X39" i="30"/>
  <c r="X38" i="30"/>
  <c r="X37" i="30"/>
  <c r="X36" i="30"/>
  <c r="X35" i="30"/>
  <c r="X34" i="30"/>
  <c r="X33" i="30"/>
  <c r="X32" i="30"/>
  <c r="X31" i="30"/>
  <c r="X30" i="30"/>
  <c r="X29" i="30"/>
  <c r="X28" i="30"/>
  <c r="Y27" i="30"/>
  <c r="X27" i="30"/>
  <c r="AC41" i="30"/>
  <c r="AC40" i="30"/>
  <c r="AC39" i="30"/>
  <c r="AC38" i="30"/>
  <c r="AC37" i="30"/>
  <c r="AC36" i="30"/>
  <c r="AC35" i="30"/>
  <c r="AC34" i="30"/>
  <c r="AC33" i="30"/>
  <c r="AC32" i="30"/>
  <c r="AC31" i="30"/>
  <c r="AC30" i="30"/>
  <c r="AC29" i="30"/>
  <c r="AC28" i="30"/>
  <c r="AD27" i="30"/>
  <c r="AC27" i="30"/>
  <c r="AH41" i="30"/>
  <c r="AH40" i="30"/>
  <c r="AH39" i="30"/>
  <c r="AH38" i="30"/>
  <c r="AH37" i="30"/>
  <c r="AH36" i="30"/>
  <c r="AH35" i="30"/>
  <c r="AH34" i="30"/>
  <c r="AH33" i="30"/>
  <c r="AH32" i="30"/>
  <c r="AH31" i="30"/>
  <c r="AH30" i="30"/>
  <c r="AH29" i="30"/>
  <c r="AH28" i="30"/>
  <c r="AI27" i="30"/>
  <c r="AH27" i="30"/>
  <c r="AM41" i="30"/>
  <c r="AM40" i="30"/>
  <c r="AM39" i="30"/>
  <c r="AM38" i="30"/>
  <c r="AM37" i="30"/>
  <c r="AM36" i="30"/>
  <c r="AM35" i="30"/>
  <c r="AM34" i="30"/>
  <c r="AM33" i="30"/>
  <c r="AM32" i="30"/>
  <c r="AM31" i="30"/>
  <c r="AM30" i="30"/>
  <c r="AM29" i="30"/>
  <c r="AM28" i="30"/>
  <c r="AN27" i="30"/>
  <c r="AM27" i="30"/>
  <c r="AR41" i="30"/>
  <c r="AR40" i="30"/>
  <c r="AR39" i="30"/>
  <c r="AR38" i="30"/>
  <c r="AR37" i="30"/>
  <c r="AR36" i="30"/>
  <c r="AR35" i="30"/>
  <c r="AR34" i="30"/>
  <c r="AR33" i="30"/>
  <c r="AR32" i="30"/>
  <c r="AR31" i="30"/>
  <c r="AR30" i="30"/>
  <c r="AR29" i="30"/>
  <c r="AR28" i="30"/>
  <c r="AS27" i="30"/>
  <c r="AR27" i="30"/>
  <c r="AW41" i="30"/>
  <c r="AW40" i="30"/>
  <c r="AW39" i="30"/>
  <c r="AW38" i="30"/>
  <c r="AW37" i="30"/>
  <c r="AW36" i="30"/>
  <c r="AW35" i="30"/>
  <c r="AW34" i="30"/>
  <c r="AW33" i="30"/>
  <c r="AW32" i="30"/>
  <c r="AW31" i="30"/>
  <c r="AW30" i="30"/>
  <c r="AW29" i="30"/>
  <c r="AW28" i="30"/>
  <c r="AX27" i="30"/>
  <c r="AW27" i="30"/>
  <c r="S71" i="8"/>
  <c r="S70" i="8"/>
  <c r="S69" i="8"/>
  <c r="S68" i="8"/>
  <c r="S67" i="8"/>
  <c r="S66" i="8"/>
  <c r="S65" i="8"/>
  <c r="S64" i="8"/>
  <c r="S63" i="8"/>
  <c r="S62" i="8"/>
  <c r="S61" i="8"/>
  <c r="S60" i="8"/>
  <c r="S59" i="8"/>
  <c r="S58" i="8"/>
  <c r="S57" i="8"/>
  <c r="S56" i="8"/>
  <c r="S55" i="8"/>
  <c r="S54" i="8"/>
  <c r="S53" i="8"/>
  <c r="S52" i="8"/>
  <c r="S51" i="8"/>
  <c r="S50" i="8"/>
  <c r="S49" i="8"/>
  <c r="S48" i="8"/>
  <c r="S47" i="8"/>
  <c r="S46" i="8"/>
  <c r="S45" i="8"/>
  <c r="S44" i="8"/>
  <c r="S43" i="8"/>
  <c r="T42" i="8"/>
  <c r="S42" i="8"/>
  <c r="X71" i="8"/>
  <c r="X70" i="8"/>
  <c r="X69" i="8"/>
  <c r="X68" i="8"/>
  <c r="X67" i="8"/>
  <c r="X66" i="8"/>
  <c r="X65" i="8"/>
  <c r="X64" i="8"/>
  <c r="X63" i="8"/>
  <c r="X62" i="8"/>
  <c r="X61" i="8"/>
  <c r="X60" i="8"/>
  <c r="X59" i="8"/>
  <c r="X58" i="8"/>
  <c r="X57" i="8"/>
  <c r="X56" i="8"/>
  <c r="X55" i="8"/>
  <c r="X54" i="8"/>
  <c r="X53" i="8"/>
  <c r="X52" i="8"/>
  <c r="X51" i="8"/>
  <c r="X50" i="8"/>
  <c r="X49" i="8"/>
  <c r="X48" i="8"/>
  <c r="X47" i="8"/>
  <c r="X46" i="8"/>
  <c r="X45" i="8"/>
  <c r="X44" i="8"/>
  <c r="X43" i="8"/>
  <c r="Y42" i="8"/>
  <c r="X42" i="8"/>
  <c r="AC71" i="8"/>
  <c r="AC70" i="8"/>
  <c r="AC69" i="8"/>
  <c r="AC68" i="8"/>
  <c r="AC67" i="8"/>
  <c r="AC66" i="8"/>
  <c r="AC65" i="8"/>
  <c r="AC64" i="8"/>
  <c r="AC63" i="8"/>
  <c r="AC62" i="8"/>
  <c r="AC61" i="8"/>
  <c r="AC60" i="8"/>
  <c r="AC59" i="8"/>
  <c r="AC58" i="8"/>
  <c r="AC57" i="8"/>
  <c r="AC56" i="8"/>
  <c r="AC55" i="8"/>
  <c r="AC54" i="8"/>
  <c r="AC53" i="8"/>
  <c r="AC52" i="8"/>
  <c r="AC51" i="8"/>
  <c r="AC50" i="8"/>
  <c r="AC49" i="8"/>
  <c r="AC48" i="8"/>
  <c r="AC47" i="8"/>
  <c r="AC46" i="8"/>
  <c r="AC45" i="8"/>
  <c r="AC44" i="8"/>
  <c r="AC43" i="8"/>
  <c r="AD42" i="8"/>
  <c r="AC42" i="8"/>
  <c r="AH71" i="8"/>
  <c r="AH70" i="8"/>
  <c r="AH69" i="8"/>
  <c r="AH68" i="8"/>
  <c r="AH67" i="8"/>
  <c r="AH66" i="8"/>
  <c r="AH65" i="8"/>
  <c r="AH64" i="8"/>
  <c r="AH63" i="8"/>
  <c r="AH62" i="8"/>
  <c r="AH61" i="8"/>
  <c r="AH60" i="8"/>
  <c r="AH59" i="8"/>
  <c r="AH58" i="8"/>
  <c r="AH57" i="8"/>
  <c r="AH56" i="8"/>
  <c r="AH55" i="8"/>
  <c r="AH54" i="8"/>
  <c r="AH53" i="8"/>
  <c r="AH52" i="8"/>
  <c r="AH51" i="8"/>
  <c r="AH50" i="8"/>
  <c r="AH49" i="8"/>
  <c r="AH48" i="8"/>
  <c r="AH47" i="8"/>
  <c r="AH46" i="8"/>
  <c r="AH45" i="8"/>
  <c r="AH44" i="8"/>
  <c r="AH43" i="8"/>
  <c r="AI42" i="8"/>
  <c r="AH42" i="8"/>
  <c r="AM71" i="8"/>
  <c r="AM70" i="8"/>
  <c r="AM69" i="8"/>
  <c r="AM68" i="8"/>
  <c r="AM67" i="8"/>
  <c r="AM66" i="8"/>
  <c r="AM65" i="8"/>
  <c r="AM64" i="8"/>
  <c r="AM63" i="8"/>
  <c r="AM62" i="8"/>
  <c r="AM61" i="8"/>
  <c r="AM60" i="8"/>
  <c r="AM59" i="8"/>
  <c r="AM58" i="8"/>
  <c r="AM57" i="8"/>
  <c r="AM56" i="8"/>
  <c r="AM55" i="8"/>
  <c r="AM54" i="8"/>
  <c r="AM53" i="8"/>
  <c r="AM52" i="8"/>
  <c r="AM51" i="8"/>
  <c r="AM50" i="8"/>
  <c r="AM49" i="8"/>
  <c r="AM48" i="8"/>
  <c r="AM47" i="8"/>
  <c r="AM46" i="8"/>
  <c r="AM45" i="8"/>
  <c r="AM44" i="8"/>
  <c r="AM43" i="8"/>
  <c r="AN42" i="8"/>
  <c r="AM42" i="8"/>
  <c r="AR71" i="8"/>
  <c r="AR70" i="8"/>
  <c r="AR69" i="8"/>
  <c r="AR68" i="8"/>
  <c r="AR67" i="8"/>
  <c r="AR66" i="8"/>
  <c r="AR65" i="8"/>
  <c r="AR64" i="8"/>
  <c r="AR63" i="8"/>
  <c r="AR62" i="8"/>
  <c r="AR61" i="8"/>
  <c r="AR60" i="8"/>
  <c r="AR59" i="8"/>
  <c r="AR58" i="8"/>
  <c r="AR57" i="8"/>
  <c r="AR56" i="8"/>
  <c r="AR55" i="8"/>
  <c r="AR54" i="8"/>
  <c r="AR53" i="8"/>
  <c r="AR52" i="8"/>
  <c r="AR51" i="8"/>
  <c r="AR50" i="8"/>
  <c r="AR49" i="8"/>
  <c r="AR48" i="8"/>
  <c r="AR47" i="8"/>
  <c r="AR46" i="8"/>
  <c r="AR45" i="8"/>
  <c r="AR44" i="8"/>
  <c r="AR43" i="8"/>
  <c r="AS42" i="8"/>
  <c r="AR42" i="8"/>
  <c r="AW71" i="8"/>
  <c r="AW70" i="8"/>
  <c r="AW69" i="8"/>
  <c r="AW68" i="8"/>
  <c r="AW67" i="8"/>
  <c r="AW66" i="8"/>
  <c r="AW65" i="8"/>
  <c r="AW64" i="8"/>
  <c r="AW63" i="8"/>
  <c r="AW62" i="8"/>
  <c r="AW61" i="8"/>
  <c r="AW60" i="8"/>
  <c r="AW59" i="8"/>
  <c r="AW58" i="8"/>
  <c r="AW57" i="8"/>
  <c r="AW56" i="8"/>
  <c r="AW55" i="8"/>
  <c r="AW54" i="8"/>
  <c r="AW53" i="8"/>
  <c r="AW52" i="8"/>
  <c r="AW51" i="8"/>
  <c r="AW50" i="8"/>
  <c r="AW49" i="8"/>
  <c r="AW48" i="8"/>
  <c r="AW47" i="8"/>
  <c r="AW46" i="8"/>
  <c r="AW45" i="8"/>
  <c r="AW44" i="8"/>
  <c r="AW43" i="8"/>
  <c r="AX42" i="8"/>
  <c r="AW42" i="8"/>
  <c r="C8" i="39"/>
  <c r="AW21" i="32" l="1"/>
  <c r="AR21" i="32"/>
  <c r="AM21" i="32"/>
  <c r="AH21" i="32"/>
  <c r="AC21" i="32"/>
  <c r="X21" i="32"/>
  <c r="S21" i="32"/>
  <c r="AW20" i="32"/>
  <c r="AR20" i="32"/>
  <c r="AM20" i="32"/>
  <c r="AH20" i="32"/>
  <c r="AC20" i="32"/>
  <c r="X20" i="32"/>
  <c r="S20" i="32"/>
  <c r="K20" i="32"/>
  <c r="M20" i="32" s="1"/>
  <c r="J20" i="32"/>
  <c r="I20" i="32"/>
  <c r="AW19" i="32"/>
  <c r="AR19" i="32"/>
  <c r="AM19" i="32"/>
  <c r="AH19" i="32"/>
  <c r="AC19" i="32"/>
  <c r="X19" i="32"/>
  <c r="S19" i="32"/>
  <c r="M19" i="32"/>
  <c r="K19" i="32"/>
  <c r="J19" i="32"/>
  <c r="I19" i="32"/>
  <c r="AW18" i="32"/>
  <c r="AR18" i="32"/>
  <c r="AM18" i="32"/>
  <c r="AH18" i="32"/>
  <c r="AC18" i="32"/>
  <c r="X18" i="32"/>
  <c r="S18" i="32"/>
  <c r="K18" i="32"/>
  <c r="M18" i="32" s="1"/>
  <c r="J18" i="32"/>
  <c r="I18" i="32"/>
  <c r="AW17" i="32"/>
  <c r="AR17" i="32"/>
  <c r="AM17" i="32"/>
  <c r="AH17" i="32"/>
  <c r="AC17" i="32"/>
  <c r="X17" i="32"/>
  <c r="S17" i="32"/>
  <c r="K17" i="32"/>
  <c r="M17" i="32" s="1"/>
  <c r="J17" i="32"/>
  <c r="I17" i="32"/>
  <c r="AW16" i="32"/>
  <c r="AR16" i="32"/>
  <c r="AM16" i="32"/>
  <c r="AH16" i="32"/>
  <c r="AC16" i="32"/>
  <c r="X16" i="32"/>
  <c r="S16" i="32"/>
  <c r="K16" i="32"/>
  <c r="M16" i="32" s="1"/>
  <c r="J16" i="32"/>
  <c r="I16" i="32"/>
  <c r="AW15" i="32"/>
  <c r="AR15" i="32"/>
  <c r="AM15" i="32"/>
  <c r="AH15" i="32"/>
  <c r="AC15" i="32"/>
  <c r="X15" i="32"/>
  <c r="S15" i="32"/>
  <c r="K15" i="32"/>
  <c r="J15" i="32"/>
  <c r="I15" i="32"/>
  <c r="AW14" i="32"/>
  <c r="AR14" i="32"/>
  <c r="AM14" i="32"/>
  <c r="AH14" i="32"/>
  <c r="AC14" i="32"/>
  <c r="X14" i="32"/>
  <c r="S14" i="32"/>
  <c r="K14" i="32"/>
  <c r="J14" i="32"/>
  <c r="I14" i="32"/>
  <c r="AW13" i="32"/>
  <c r="AR13" i="32"/>
  <c r="AM13" i="32"/>
  <c r="AH13" i="32"/>
  <c r="AC13" i="32"/>
  <c r="X13" i="32"/>
  <c r="S13" i="32"/>
  <c r="K13" i="32"/>
  <c r="J13" i="32"/>
  <c r="I13" i="32"/>
  <c r="AW12" i="32"/>
  <c r="AR12" i="32"/>
  <c r="AM12" i="32"/>
  <c r="AH12" i="32"/>
  <c r="AC12" i="32"/>
  <c r="X12" i="32"/>
  <c r="S12" i="32"/>
  <c r="K12" i="32"/>
  <c r="J12" i="32"/>
  <c r="I12" i="32"/>
  <c r="AW11" i="32"/>
  <c r="AR11" i="32"/>
  <c r="AM11" i="32"/>
  <c r="AH11" i="32"/>
  <c r="AC11" i="32"/>
  <c r="X11" i="32"/>
  <c r="S11" i="32"/>
  <c r="K11" i="32"/>
  <c r="J11" i="32"/>
  <c r="I11" i="32"/>
  <c r="AW10" i="32"/>
  <c r="AR10" i="32"/>
  <c r="AM10" i="32"/>
  <c r="AH10" i="32"/>
  <c r="AC10" i="32"/>
  <c r="X10" i="32"/>
  <c r="S10" i="32"/>
  <c r="K10" i="32"/>
  <c r="J10" i="32"/>
  <c r="I10" i="32"/>
  <c r="AW9" i="32"/>
  <c r="AR9" i="32"/>
  <c r="AM9" i="32"/>
  <c r="AH9" i="32"/>
  <c r="AC9" i="32"/>
  <c r="X9" i="32"/>
  <c r="S9" i="32"/>
  <c r="K9" i="32"/>
  <c r="J9" i="32"/>
  <c r="I9" i="32"/>
  <c r="AW8" i="32"/>
  <c r="AR8" i="32"/>
  <c r="AM8" i="32"/>
  <c r="AH8" i="32"/>
  <c r="AC8" i="32"/>
  <c r="X8" i="32"/>
  <c r="S8" i="32"/>
  <c r="K8" i="32"/>
  <c r="J8" i="32"/>
  <c r="I8" i="32"/>
  <c r="AX7" i="32"/>
  <c r="AW7" i="32"/>
  <c r="AS7" i="32"/>
  <c r="AR7" i="32"/>
  <c r="AN7" i="32"/>
  <c r="AM7" i="32"/>
  <c r="AI7" i="32"/>
  <c r="AH7" i="32"/>
  <c r="AD7" i="32"/>
  <c r="AC7" i="32"/>
  <c r="Y7" i="32"/>
  <c r="X7" i="32"/>
  <c r="T7" i="32"/>
  <c r="S7" i="32"/>
  <c r="K7" i="32"/>
  <c r="L7" i="32" s="1"/>
  <c r="J7" i="32"/>
  <c r="I7" i="32"/>
  <c r="H7" i="32"/>
  <c r="K20" i="31"/>
  <c r="M20" i="31" s="1"/>
  <c r="J20" i="31"/>
  <c r="I20" i="31"/>
  <c r="K19" i="31"/>
  <c r="M19" i="31" s="1"/>
  <c r="J19" i="31"/>
  <c r="I19" i="31"/>
  <c r="K18" i="31"/>
  <c r="M18" i="31" s="1"/>
  <c r="J18" i="31"/>
  <c r="I18" i="31"/>
  <c r="K17" i="31"/>
  <c r="M17" i="31" s="1"/>
  <c r="J17" i="31"/>
  <c r="I17" i="31"/>
  <c r="K16" i="31"/>
  <c r="M16" i="31" s="1"/>
  <c r="J16" i="31"/>
  <c r="I16" i="31"/>
  <c r="K15" i="31"/>
  <c r="M15" i="31" s="1"/>
  <c r="J15" i="31"/>
  <c r="I15" i="31"/>
  <c r="K14" i="31"/>
  <c r="M14" i="31" s="1"/>
  <c r="J14" i="31"/>
  <c r="I14" i="31"/>
  <c r="K13" i="31"/>
  <c r="M13" i="31" s="1"/>
  <c r="J13" i="31"/>
  <c r="I13" i="31"/>
  <c r="K12" i="31"/>
  <c r="M12" i="31" s="1"/>
  <c r="J12" i="31"/>
  <c r="I12" i="31"/>
  <c r="K11" i="31"/>
  <c r="M11" i="31" s="1"/>
  <c r="J11" i="31"/>
  <c r="I11" i="31"/>
  <c r="K10" i="31"/>
  <c r="M10" i="31" s="1"/>
  <c r="J10" i="31"/>
  <c r="I10" i="31"/>
  <c r="K9" i="31"/>
  <c r="M9" i="31" s="1"/>
  <c r="J9" i="31"/>
  <c r="I9" i="31"/>
  <c r="K8" i="31"/>
  <c r="M8" i="31" s="1"/>
  <c r="J8" i="31"/>
  <c r="I8" i="31"/>
  <c r="K7" i="31"/>
  <c r="L7" i="31" s="1"/>
  <c r="J7" i="31"/>
  <c r="I7" i="31"/>
  <c r="H7" i="31"/>
  <c r="AW21" i="34"/>
  <c r="AR21" i="34"/>
  <c r="AM21" i="34"/>
  <c r="AH21" i="34"/>
  <c r="AC21" i="34"/>
  <c r="X21" i="34"/>
  <c r="S21" i="34"/>
  <c r="K21" i="34"/>
  <c r="M21" i="34" s="1"/>
  <c r="J21" i="34"/>
  <c r="I21" i="34"/>
  <c r="AW20" i="34"/>
  <c r="AR20" i="34"/>
  <c r="AM20" i="34"/>
  <c r="AH20" i="34"/>
  <c r="AC20" i="34"/>
  <c r="X20" i="34"/>
  <c r="S20" i="34"/>
  <c r="K20" i="34"/>
  <c r="M20" i="34" s="1"/>
  <c r="J20" i="34"/>
  <c r="I20" i="34"/>
  <c r="AW19" i="34"/>
  <c r="AR19" i="34"/>
  <c r="AM19" i="34"/>
  <c r="AH19" i="34"/>
  <c r="AC19" i="34"/>
  <c r="X19" i="34"/>
  <c r="S19" i="34"/>
  <c r="K19" i="34"/>
  <c r="M19" i="34" s="1"/>
  <c r="J19" i="34"/>
  <c r="I19" i="34"/>
  <c r="AW18" i="34"/>
  <c r="AR18" i="34"/>
  <c r="AM18" i="34"/>
  <c r="AH18" i="34"/>
  <c r="AC18" i="34"/>
  <c r="X18" i="34"/>
  <c r="S18" i="34"/>
  <c r="K18" i="34"/>
  <c r="M18" i="34" s="1"/>
  <c r="J18" i="34"/>
  <c r="I18" i="34"/>
  <c r="AW17" i="34"/>
  <c r="AR17" i="34"/>
  <c r="AM17" i="34"/>
  <c r="AH17" i="34"/>
  <c r="AC17" i="34"/>
  <c r="X17" i="34"/>
  <c r="S17" i="34"/>
  <c r="K17" i="34"/>
  <c r="M17" i="34" s="1"/>
  <c r="J17" i="34"/>
  <c r="I17" i="34"/>
  <c r="AW16" i="34"/>
  <c r="AR16" i="34"/>
  <c r="AM16" i="34"/>
  <c r="AH16" i="34"/>
  <c r="AC16" i="34"/>
  <c r="X16" i="34"/>
  <c r="S16" i="34"/>
  <c r="K16" i="34"/>
  <c r="J16" i="34"/>
  <c r="I16" i="34"/>
  <c r="AW15" i="34"/>
  <c r="AR15" i="34"/>
  <c r="AM15" i="34"/>
  <c r="AH15" i="34"/>
  <c r="AC15" i="34"/>
  <c r="X15" i="34"/>
  <c r="S15" i="34"/>
  <c r="K15" i="34"/>
  <c r="J15" i="34"/>
  <c r="I15" i="34"/>
  <c r="AW14" i="34"/>
  <c r="AR14" i="34"/>
  <c r="AM14" i="34"/>
  <c r="AH14" i="34"/>
  <c r="AC14" i="34"/>
  <c r="X14" i="34"/>
  <c r="S14" i="34"/>
  <c r="K14" i="34"/>
  <c r="J14" i="34"/>
  <c r="I14" i="34"/>
  <c r="AW13" i="34"/>
  <c r="AR13" i="34"/>
  <c r="AM13" i="34"/>
  <c r="AH13" i="34"/>
  <c r="AC13" i="34"/>
  <c r="X13" i="34"/>
  <c r="S13" i="34"/>
  <c r="K13" i="34"/>
  <c r="J13" i="34"/>
  <c r="I13" i="34"/>
  <c r="AW12" i="34"/>
  <c r="AR12" i="34"/>
  <c r="AM12" i="34"/>
  <c r="AH12" i="34"/>
  <c r="AC12" i="34"/>
  <c r="X12" i="34"/>
  <c r="S12" i="34"/>
  <c r="K12" i="34"/>
  <c r="J12" i="34"/>
  <c r="I12" i="34"/>
  <c r="AW11" i="34"/>
  <c r="AR11" i="34"/>
  <c r="AM11" i="34"/>
  <c r="AH11" i="34"/>
  <c r="AC11" i="34"/>
  <c r="X11" i="34"/>
  <c r="S11" i="34"/>
  <c r="K11" i="34"/>
  <c r="J11" i="34"/>
  <c r="I11" i="34"/>
  <c r="AW10" i="34"/>
  <c r="AR10" i="34"/>
  <c r="AM10" i="34"/>
  <c r="AH10" i="34"/>
  <c r="AC10" i="34"/>
  <c r="X10" i="34"/>
  <c r="S10" i="34"/>
  <c r="K10" i="34"/>
  <c r="J10" i="34"/>
  <c r="I10" i="34"/>
  <c r="AW9" i="34"/>
  <c r="AR9" i="34"/>
  <c r="AM9" i="34"/>
  <c r="AH9" i="34"/>
  <c r="AC9" i="34"/>
  <c r="X9" i="34"/>
  <c r="S9" i="34"/>
  <c r="K9" i="34"/>
  <c r="J9" i="34"/>
  <c r="I9" i="34"/>
  <c r="AW8" i="34"/>
  <c r="AR8" i="34"/>
  <c r="AM8" i="34"/>
  <c r="AH8" i="34"/>
  <c r="AC8" i="34"/>
  <c r="X8" i="34"/>
  <c r="S8" i="34"/>
  <c r="K8" i="34"/>
  <c r="J8" i="34"/>
  <c r="I8" i="34"/>
  <c r="AX7" i="34"/>
  <c r="AW7" i="34"/>
  <c r="AS7" i="34"/>
  <c r="AR7" i="34"/>
  <c r="AN7" i="34"/>
  <c r="AM7" i="34"/>
  <c r="AI7" i="34"/>
  <c r="AH7" i="34"/>
  <c r="AD7" i="34"/>
  <c r="AC7" i="34"/>
  <c r="Y7" i="34"/>
  <c r="X7" i="34"/>
  <c r="T7" i="34"/>
  <c r="S7" i="34"/>
  <c r="K7" i="34"/>
  <c r="J7" i="34"/>
  <c r="I7" i="34"/>
  <c r="H7" i="34"/>
  <c r="AW21" i="35"/>
  <c r="AR21" i="35"/>
  <c r="AM21" i="35"/>
  <c r="AH21" i="35"/>
  <c r="AC21" i="35"/>
  <c r="X21" i="35"/>
  <c r="S21" i="35"/>
  <c r="AW20" i="35"/>
  <c r="AR20" i="35"/>
  <c r="AM20" i="35"/>
  <c r="AH20" i="35"/>
  <c r="AC20" i="35"/>
  <c r="X20" i="35"/>
  <c r="S20" i="35"/>
  <c r="K20" i="35"/>
  <c r="M20" i="35" s="1"/>
  <c r="J20" i="35"/>
  <c r="I20" i="35"/>
  <c r="AW19" i="35"/>
  <c r="AR19" i="35"/>
  <c r="AM19" i="35"/>
  <c r="AH19" i="35"/>
  <c r="AC19" i="35"/>
  <c r="X19" i="35"/>
  <c r="S19" i="35"/>
  <c r="M19" i="35"/>
  <c r="K19" i="35"/>
  <c r="J19" i="35"/>
  <c r="I19" i="35"/>
  <c r="AW18" i="35"/>
  <c r="AR18" i="35"/>
  <c r="AM18" i="35"/>
  <c r="AH18" i="35"/>
  <c r="AC18" i="35"/>
  <c r="X18" i="35"/>
  <c r="S18" i="35"/>
  <c r="K18" i="35"/>
  <c r="M18" i="35" s="1"/>
  <c r="J18" i="35"/>
  <c r="I18" i="35"/>
  <c r="AW17" i="35"/>
  <c r="AR17" i="35"/>
  <c r="AM17" i="35"/>
  <c r="AH17" i="35"/>
  <c r="AC17" i="35"/>
  <c r="X17" i="35"/>
  <c r="S17" i="35"/>
  <c r="K17" i="35"/>
  <c r="M17" i="35" s="1"/>
  <c r="J17" i="35"/>
  <c r="I17" i="35"/>
  <c r="AW16" i="35"/>
  <c r="AR16" i="35"/>
  <c r="AM16" i="35"/>
  <c r="AH16" i="35"/>
  <c r="AC16" i="35"/>
  <c r="X16" i="35"/>
  <c r="S16" i="35"/>
  <c r="K16" i="35"/>
  <c r="M16" i="35" s="1"/>
  <c r="J16" i="35"/>
  <c r="I16" i="35"/>
  <c r="AW15" i="35"/>
  <c r="AR15" i="35"/>
  <c r="AM15" i="35"/>
  <c r="AH15" i="35"/>
  <c r="AC15" i="35"/>
  <c r="X15" i="35"/>
  <c r="S15" i="35"/>
  <c r="K15" i="35"/>
  <c r="M15" i="35" s="1"/>
  <c r="J15" i="35"/>
  <c r="I15" i="35"/>
  <c r="AW14" i="35"/>
  <c r="AR14" i="35"/>
  <c r="AM14" i="35"/>
  <c r="AH14" i="35"/>
  <c r="AC14" i="35"/>
  <c r="X14" i="35"/>
  <c r="S14" i="35"/>
  <c r="K14" i="35"/>
  <c r="M14" i="35" s="1"/>
  <c r="J14" i="35"/>
  <c r="I14" i="35"/>
  <c r="AW13" i="35"/>
  <c r="AR13" i="35"/>
  <c r="AM13" i="35"/>
  <c r="AH13" i="35"/>
  <c r="AC13" i="35"/>
  <c r="X13" i="35"/>
  <c r="S13" i="35"/>
  <c r="K13" i="35"/>
  <c r="J13" i="35"/>
  <c r="I13" i="35"/>
  <c r="AW12" i="35"/>
  <c r="AR12" i="35"/>
  <c r="AM12" i="35"/>
  <c r="AH12" i="35"/>
  <c r="AC12" i="35"/>
  <c r="X12" i="35"/>
  <c r="S12" i="35"/>
  <c r="K12" i="35"/>
  <c r="J12" i="35"/>
  <c r="I12" i="35"/>
  <c r="AW11" i="35"/>
  <c r="AR11" i="35"/>
  <c r="AM11" i="35"/>
  <c r="AH11" i="35"/>
  <c r="AC11" i="35"/>
  <c r="X11" i="35"/>
  <c r="S11" i="35"/>
  <c r="K11" i="35"/>
  <c r="J11" i="35"/>
  <c r="I11" i="35"/>
  <c r="AW10" i="35"/>
  <c r="AR10" i="35"/>
  <c r="AM10" i="35"/>
  <c r="AH10" i="35"/>
  <c r="AC10" i="35"/>
  <c r="X10" i="35"/>
  <c r="S10" i="35"/>
  <c r="K10" i="35"/>
  <c r="J10" i="35"/>
  <c r="I10" i="35"/>
  <c r="AW9" i="35"/>
  <c r="AR9" i="35"/>
  <c r="AM9" i="35"/>
  <c r="AH9" i="35"/>
  <c r="AC9" i="35"/>
  <c r="X9" i="35"/>
  <c r="S9" i="35"/>
  <c r="K9" i="35"/>
  <c r="J9" i="35"/>
  <c r="I9" i="35"/>
  <c r="AW8" i="35"/>
  <c r="AR8" i="35"/>
  <c r="AM8" i="35"/>
  <c r="AH8" i="35"/>
  <c r="AC8" i="35"/>
  <c r="X8" i="35"/>
  <c r="S8" i="35"/>
  <c r="K8" i="35"/>
  <c r="J8" i="35"/>
  <c r="I8" i="35"/>
  <c r="AX7" i="35"/>
  <c r="AW7" i="35"/>
  <c r="AS7" i="35"/>
  <c r="AR7" i="35"/>
  <c r="AN7" i="35"/>
  <c r="AM7" i="35"/>
  <c r="AI7" i="35"/>
  <c r="AH7" i="35"/>
  <c r="AD7" i="35"/>
  <c r="AC7" i="35"/>
  <c r="Y7" i="35"/>
  <c r="X7" i="35"/>
  <c r="T7" i="35"/>
  <c r="S7" i="35"/>
  <c r="K7" i="35"/>
  <c r="J7" i="35"/>
  <c r="I7" i="35"/>
  <c r="H7" i="35"/>
  <c r="AW21" i="36"/>
  <c r="AR21" i="36"/>
  <c r="AM21" i="36"/>
  <c r="AH21" i="36"/>
  <c r="AC21" i="36"/>
  <c r="X21" i="36"/>
  <c r="S21" i="36"/>
  <c r="AW20" i="36"/>
  <c r="AR20" i="36"/>
  <c r="AM20" i="36"/>
  <c r="AH20" i="36"/>
  <c r="AC20" i="36"/>
  <c r="X20" i="36"/>
  <c r="S20" i="36"/>
  <c r="M20" i="36"/>
  <c r="K20" i="36"/>
  <c r="J20" i="36"/>
  <c r="I20" i="36"/>
  <c r="AW19" i="36"/>
  <c r="AR19" i="36"/>
  <c r="AM19" i="36"/>
  <c r="AH19" i="36"/>
  <c r="AC19" i="36"/>
  <c r="X19" i="36"/>
  <c r="S19" i="36"/>
  <c r="K19" i="36"/>
  <c r="M19" i="36" s="1"/>
  <c r="J19" i="36"/>
  <c r="I19" i="36"/>
  <c r="AW18" i="36"/>
  <c r="AR18" i="36"/>
  <c r="AM18" i="36"/>
  <c r="AH18" i="36"/>
  <c r="AC18" i="36"/>
  <c r="X18" i="36"/>
  <c r="S18" i="36"/>
  <c r="K18" i="36"/>
  <c r="M18" i="36" s="1"/>
  <c r="J18" i="36"/>
  <c r="I18" i="36"/>
  <c r="AW17" i="36"/>
  <c r="AR17" i="36"/>
  <c r="AM17" i="36"/>
  <c r="AH17" i="36"/>
  <c r="AC17" i="36"/>
  <c r="X17" i="36"/>
  <c r="S17" i="36"/>
  <c r="K17" i="36"/>
  <c r="M17" i="36" s="1"/>
  <c r="J17" i="36"/>
  <c r="I17" i="36"/>
  <c r="AW16" i="36"/>
  <c r="AR16" i="36"/>
  <c r="AM16" i="36"/>
  <c r="AH16" i="36"/>
  <c r="AC16" i="36"/>
  <c r="X16" i="36"/>
  <c r="S16" i="36"/>
  <c r="K16" i="36"/>
  <c r="M16" i="36" s="1"/>
  <c r="J16" i="36"/>
  <c r="I16" i="36"/>
  <c r="AW15" i="36"/>
  <c r="AR15" i="36"/>
  <c r="AM15" i="36"/>
  <c r="AH15" i="36"/>
  <c r="AC15" i="36"/>
  <c r="X15" i="36"/>
  <c r="S15" i="36"/>
  <c r="K15" i="36"/>
  <c r="M15" i="36" s="1"/>
  <c r="J15" i="36"/>
  <c r="I15" i="36"/>
  <c r="AW14" i="36"/>
  <c r="AR14" i="36"/>
  <c r="AM14" i="36"/>
  <c r="AH14" i="36"/>
  <c r="AC14" i="36"/>
  <c r="X14" i="36"/>
  <c r="S14" i="36"/>
  <c r="K14" i="36"/>
  <c r="J14" i="36"/>
  <c r="I14" i="36"/>
  <c r="AW13" i="36"/>
  <c r="AR13" i="36"/>
  <c r="AM13" i="36"/>
  <c r="AH13" i="36"/>
  <c r="AC13" i="36"/>
  <c r="X13" i="36"/>
  <c r="S13" i="36"/>
  <c r="K13" i="36"/>
  <c r="J13" i="36"/>
  <c r="I13" i="36"/>
  <c r="AW12" i="36"/>
  <c r="AR12" i="36"/>
  <c r="AM12" i="36"/>
  <c r="AH12" i="36"/>
  <c r="AC12" i="36"/>
  <c r="X12" i="36"/>
  <c r="S12" i="36"/>
  <c r="K12" i="36"/>
  <c r="J12" i="36"/>
  <c r="I12" i="36"/>
  <c r="AW11" i="36"/>
  <c r="AR11" i="36"/>
  <c r="AM11" i="36"/>
  <c r="AH11" i="36"/>
  <c r="AC11" i="36"/>
  <c r="X11" i="36"/>
  <c r="S11" i="36"/>
  <c r="K11" i="36"/>
  <c r="J11" i="36"/>
  <c r="I11" i="36"/>
  <c r="AW10" i="36"/>
  <c r="AR10" i="36"/>
  <c r="AM10" i="36"/>
  <c r="AH10" i="36"/>
  <c r="AC10" i="36"/>
  <c r="X10" i="36"/>
  <c r="S10" i="36"/>
  <c r="K10" i="36"/>
  <c r="J10" i="36"/>
  <c r="I10" i="36"/>
  <c r="AW9" i="36"/>
  <c r="AR9" i="36"/>
  <c r="AM9" i="36"/>
  <c r="AH9" i="36"/>
  <c r="AC9" i="36"/>
  <c r="X9" i="36"/>
  <c r="S9" i="36"/>
  <c r="K9" i="36"/>
  <c r="J9" i="36"/>
  <c r="I9" i="36"/>
  <c r="AW8" i="36"/>
  <c r="AR8" i="36"/>
  <c r="AM8" i="36"/>
  <c r="AH8" i="36"/>
  <c r="AC8" i="36"/>
  <c r="X8" i="36"/>
  <c r="S8" i="36"/>
  <c r="K8" i="36"/>
  <c r="J8" i="36"/>
  <c r="I8" i="36"/>
  <c r="AX7" i="36"/>
  <c r="AW7" i="36"/>
  <c r="AS7" i="36"/>
  <c r="AR7" i="36"/>
  <c r="AN7" i="36"/>
  <c r="AM7" i="36"/>
  <c r="AI7" i="36"/>
  <c r="AH7" i="36"/>
  <c r="AD7" i="36"/>
  <c r="AC7" i="36"/>
  <c r="Y7" i="36"/>
  <c r="X7" i="36"/>
  <c r="T7" i="36"/>
  <c r="S7" i="36"/>
  <c r="K7" i="36"/>
  <c r="L7" i="36" s="1"/>
  <c r="J7" i="36"/>
  <c r="I7" i="36"/>
  <c r="H7" i="36"/>
  <c r="K20" i="37"/>
  <c r="M20" i="37" s="1"/>
  <c r="J20" i="37"/>
  <c r="I20" i="37"/>
  <c r="K19" i="37"/>
  <c r="M19" i="37" s="1"/>
  <c r="J19" i="37"/>
  <c r="I19" i="37"/>
  <c r="K18" i="37"/>
  <c r="M18" i="37" s="1"/>
  <c r="J18" i="37"/>
  <c r="I18" i="37"/>
  <c r="K17" i="37"/>
  <c r="M17" i="37" s="1"/>
  <c r="J17" i="37"/>
  <c r="I17" i="37"/>
  <c r="K16" i="37"/>
  <c r="M16" i="37" s="1"/>
  <c r="J16" i="37"/>
  <c r="I16" i="37"/>
  <c r="K15" i="37"/>
  <c r="J15" i="37"/>
  <c r="I15" i="37"/>
  <c r="K14" i="37"/>
  <c r="J14" i="37"/>
  <c r="I14" i="37"/>
  <c r="K13" i="37"/>
  <c r="J13" i="37"/>
  <c r="I13" i="37"/>
  <c r="K12" i="37"/>
  <c r="J12" i="37"/>
  <c r="I12" i="37"/>
  <c r="K11" i="37"/>
  <c r="J11" i="37"/>
  <c r="I11" i="37"/>
  <c r="K10" i="37"/>
  <c r="J10" i="37"/>
  <c r="I10" i="37"/>
  <c r="K9" i="37"/>
  <c r="J9" i="37"/>
  <c r="I9" i="37"/>
  <c r="K8" i="37"/>
  <c r="J8" i="37"/>
  <c r="I8" i="37"/>
  <c r="K7" i="37"/>
  <c r="J7" i="37"/>
  <c r="I7" i="37"/>
  <c r="H7" i="37"/>
  <c r="AW21" i="30"/>
  <c r="AR21" i="30"/>
  <c r="AM21" i="30"/>
  <c r="AH21" i="30"/>
  <c r="AC21" i="30"/>
  <c r="X21" i="30"/>
  <c r="S21" i="30"/>
  <c r="M21" i="30"/>
  <c r="K21" i="30"/>
  <c r="J21" i="30"/>
  <c r="I21" i="30"/>
  <c r="AW20" i="30"/>
  <c r="AR20" i="30"/>
  <c r="AM20" i="30"/>
  <c r="AH20" i="30"/>
  <c r="AC20" i="30"/>
  <c r="X20" i="30"/>
  <c r="S20" i="30"/>
  <c r="K20" i="30"/>
  <c r="M20" i="30" s="1"/>
  <c r="J20" i="30"/>
  <c r="I20" i="30"/>
  <c r="AW19" i="30"/>
  <c r="AR19" i="30"/>
  <c r="AM19" i="30"/>
  <c r="AH19" i="30"/>
  <c r="AC19" i="30"/>
  <c r="X19" i="30"/>
  <c r="S19" i="30"/>
  <c r="K19" i="30"/>
  <c r="M19" i="30" s="1"/>
  <c r="J19" i="30"/>
  <c r="I19" i="30"/>
  <c r="AW18" i="30"/>
  <c r="AR18" i="30"/>
  <c r="AM18" i="30"/>
  <c r="AH18" i="30"/>
  <c r="AC18" i="30"/>
  <c r="X18" i="30"/>
  <c r="S18" i="30"/>
  <c r="K18" i="30"/>
  <c r="M18" i="30" s="1"/>
  <c r="J18" i="30"/>
  <c r="I18" i="30"/>
  <c r="AW17" i="30"/>
  <c r="AR17" i="30"/>
  <c r="AM17" i="30"/>
  <c r="AH17" i="30"/>
  <c r="AC17" i="30"/>
  <c r="X17" i="30"/>
  <c r="S17" i="30"/>
  <c r="K17" i="30"/>
  <c r="M17" i="30" s="1"/>
  <c r="J17" i="30"/>
  <c r="I17" i="30"/>
  <c r="AW16" i="30"/>
  <c r="AR16" i="30"/>
  <c r="AM16" i="30"/>
  <c r="AH16" i="30"/>
  <c r="AC16" i="30"/>
  <c r="X16" i="30"/>
  <c r="S16" i="30"/>
  <c r="K16" i="30"/>
  <c r="M16" i="30" s="1"/>
  <c r="J16" i="30"/>
  <c r="I16" i="30"/>
  <c r="AW15" i="30"/>
  <c r="AR15" i="30"/>
  <c r="AM15" i="30"/>
  <c r="AH15" i="30"/>
  <c r="AC15" i="30"/>
  <c r="X15" i="30"/>
  <c r="S15" i="30"/>
  <c r="M15" i="30"/>
  <c r="K15" i="30"/>
  <c r="J15" i="30"/>
  <c r="I15" i="30"/>
  <c r="AW14" i="30"/>
  <c r="AR14" i="30"/>
  <c r="AM14" i="30"/>
  <c r="AH14" i="30"/>
  <c r="AC14" i="30"/>
  <c r="X14" i="30"/>
  <c r="S14" i="30"/>
  <c r="K14" i="30"/>
  <c r="M14" i="30" s="1"/>
  <c r="J14" i="30"/>
  <c r="I14" i="30"/>
  <c r="AW13" i="30"/>
  <c r="AR13" i="30"/>
  <c r="AM13" i="30"/>
  <c r="AH13" i="30"/>
  <c r="AC13" i="30"/>
  <c r="X13" i="30"/>
  <c r="S13" i="30"/>
  <c r="M13" i="30"/>
  <c r="K13" i="30"/>
  <c r="J13" i="30"/>
  <c r="I13" i="30"/>
  <c r="AW12" i="30"/>
  <c r="AR12" i="30"/>
  <c r="AM12" i="30"/>
  <c r="AH12" i="30"/>
  <c r="AC12" i="30"/>
  <c r="X12" i="30"/>
  <c r="S12" i="30"/>
  <c r="K12" i="30"/>
  <c r="M12" i="30" s="1"/>
  <c r="J12" i="30"/>
  <c r="I12" i="30"/>
  <c r="AW11" i="30"/>
  <c r="AR11" i="30"/>
  <c r="AM11" i="30"/>
  <c r="AH11" i="30"/>
  <c r="AC11" i="30"/>
  <c r="X11" i="30"/>
  <c r="S11" i="30"/>
  <c r="K11" i="30"/>
  <c r="M11" i="30" s="1"/>
  <c r="J11" i="30"/>
  <c r="I11" i="30"/>
  <c r="AW10" i="30"/>
  <c r="AR10" i="30"/>
  <c r="AM10" i="30"/>
  <c r="AH10" i="30"/>
  <c r="AC10" i="30"/>
  <c r="X10" i="30"/>
  <c r="S10" i="30"/>
  <c r="K10" i="30"/>
  <c r="J10" i="30"/>
  <c r="I10" i="30"/>
  <c r="AW9" i="30"/>
  <c r="AR9" i="30"/>
  <c r="AM9" i="30"/>
  <c r="AH9" i="30"/>
  <c r="AC9" i="30"/>
  <c r="X9" i="30"/>
  <c r="S9" i="30"/>
  <c r="K9" i="30"/>
  <c r="J9" i="30"/>
  <c r="I9" i="30"/>
  <c r="AW8" i="30"/>
  <c r="AR8" i="30"/>
  <c r="AM8" i="30"/>
  <c r="AH8" i="30"/>
  <c r="AC8" i="30"/>
  <c r="X8" i="30"/>
  <c r="S8" i="30"/>
  <c r="K8" i="30"/>
  <c r="J8" i="30"/>
  <c r="I8" i="30"/>
  <c r="AX7" i="30"/>
  <c r="AW7" i="30"/>
  <c r="AS7" i="30"/>
  <c r="AR7" i="30"/>
  <c r="AN7" i="30"/>
  <c r="AM7" i="30"/>
  <c r="AI7" i="30"/>
  <c r="AH7" i="30"/>
  <c r="AD7" i="30"/>
  <c r="AC7" i="30"/>
  <c r="Y7" i="30"/>
  <c r="X7" i="30"/>
  <c r="T7" i="30"/>
  <c r="S7" i="30"/>
  <c r="K7" i="30"/>
  <c r="J7" i="30"/>
  <c r="I7" i="30"/>
  <c r="H7" i="30"/>
  <c r="AW36" i="33"/>
  <c r="AR36" i="33"/>
  <c r="AM36" i="33"/>
  <c r="AH36" i="33"/>
  <c r="AC36" i="33"/>
  <c r="X36" i="33"/>
  <c r="S36" i="33"/>
  <c r="K36" i="33"/>
  <c r="M36" i="33" s="1"/>
  <c r="J36" i="33"/>
  <c r="I36" i="33"/>
  <c r="AW35" i="33"/>
  <c r="AR35" i="33"/>
  <c r="AM35" i="33"/>
  <c r="AH35" i="33"/>
  <c r="AC35" i="33"/>
  <c r="X35" i="33"/>
  <c r="S35" i="33"/>
  <c r="K35" i="33"/>
  <c r="M35" i="33" s="1"/>
  <c r="J35" i="33"/>
  <c r="I35" i="33"/>
  <c r="AW34" i="33"/>
  <c r="AR34" i="33"/>
  <c r="AM34" i="33"/>
  <c r="AH34" i="33"/>
  <c r="AC34" i="33"/>
  <c r="X34" i="33"/>
  <c r="S34" i="33"/>
  <c r="K34" i="33"/>
  <c r="M34" i="33" s="1"/>
  <c r="J34" i="33"/>
  <c r="I34" i="33"/>
  <c r="AW33" i="33"/>
  <c r="AR33" i="33"/>
  <c r="AM33" i="33"/>
  <c r="AH33" i="33"/>
  <c r="AC33" i="33"/>
  <c r="X33" i="33"/>
  <c r="S33" i="33"/>
  <c r="M33" i="33"/>
  <c r="K33" i="33"/>
  <c r="J33" i="33"/>
  <c r="I33" i="33"/>
  <c r="AW32" i="33"/>
  <c r="AR32" i="33"/>
  <c r="AM32" i="33"/>
  <c r="AH32" i="33"/>
  <c r="AC32" i="33"/>
  <c r="X32" i="33"/>
  <c r="S32" i="33"/>
  <c r="K32" i="33"/>
  <c r="M32" i="33" s="1"/>
  <c r="J32" i="33"/>
  <c r="I32" i="33"/>
  <c r="AW31" i="33"/>
  <c r="AR31" i="33"/>
  <c r="AM31" i="33"/>
  <c r="AH31" i="33"/>
  <c r="AC31" i="33"/>
  <c r="X31" i="33"/>
  <c r="S31" i="33"/>
  <c r="K31" i="33"/>
  <c r="J31" i="33"/>
  <c r="I31" i="33"/>
  <c r="AW30" i="33"/>
  <c r="AR30" i="33"/>
  <c r="AM30" i="33"/>
  <c r="AH30" i="33"/>
  <c r="AC30" i="33"/>
  <c r="X30" i="33"/>
  <c r="S30" i="33"/>
  <c r="K30" i="33"/>
  <c r="J30" i="33"/>
  <c r="I30" i="33"/>
  <c r="AW29" i="33"/>
  <c r="AR29" i="33"/>
  <c r="AM29" i="33"/>
  <c r="AH29" i="33"/>
  <c r="AC29" i="33"/>
  <c r="X29" i="33"/>
  <c r="S29" i="33"/>
  <c r="K29" i="33"/>
  <c r="J29" i="33"/>
  <c r="I29" i="33"/>
  <c r="AW28" i="33"/>
  <c r="AR28" i="33"/>
  <c r="AM28" i="33"/>
  <c r="AH28" i="33"/>
  <c r="AC28" i="33"/>
  <c r="X28" i="33"/>
  <c r="S28" i="33"/>
  <c r="K28" i="33"/>
  <c r="J28" i="33"/>
  <c r="I28" i="33"/>
  <c r="AW27" i="33"/>
  <c r="AR27" i="33"/>
  <c r="AM27" i="33"/>
  <c r="AH27" i="33"/>
  <c r="AC27" i="33"/>
  <c r="X27" i="33"/>
  <c r="S27" i="33"/>
  <c r="K27" i="33"/>
  <c r="J27" i="33"/>
  <c r="I27" i="33"/>
  <c r="AW26" i="33"/>
  <c r="AR26" i="33"/>
  <c r="AM26" i="33"/>
  <c r="AH26" i="33"/>
  <c r="AC26" i="33"/>
  <c r="X26" i="33"/>
  <c r="S26" i="33"/>
  <c r="K26" i="33"/>
  <c r="J26" i="33"/>
  <c r="I26" i="33"/>
  <c r="AW25" i="33"/>
  <c r="AR25" i="33"/>
  <c r="AM25" i="33"/>
  <c r="AH25" i="33"/>
  <c r="AC25" i="33"/>
  <c r="X25" i="33"/>
  <c r="S25" i="33"/>
  <c r="K25" i="33"/>
  <c r="J25" i="33"/>
  <c r="I25" i="33"/>
  <c r="AW24" i="33"/>
  <c r="AR24" i="33"/>
  <c r="AM24" i="33"/>
  <c r="AH24" i="33"/>
  <c r="AC24" i="33"/>
  <c r="X24" i="33"/>
  <c r="S24" i="33"/>
  <c r="K24" i="33"/>
  <c r="J24" i="33"/>
  <c r="I24" i="33"/>
  <c r="AW23" i="33"/>
  <c r="AR23" i="33"/>
  <c r="AM23" i="33"/>
  <c r="AH23" i="33"/>
  <c r="AC23" i="33"/>
  <c r="X23" i="33"/>
  <c r="S23" i="33"/>
  <c r="K23" i="33"/>
  <c r="J23" i="33"/>
  <c r="I23" i="33"/>
  <c r="AW22" i="33"/>
  <c r="AR22" i="33"/>
  <c r="AM22" i="33"/>
  <c r="AH22" i="33"/>
  <c r="AC22" i="33"/>
  <c r="X22" i="33"/>
  <c r="S22" i="33"/>
  <c r="K22" i="33"/>
  <c r="J22" i="33"/>
  <c r="I22" i="33"/>
  <c r="AW21" i="33"/>
  <c r="AR21" i="33"/>
  <c r="AM21" i="33"/>
  <c r="AH21" i="33"/>
  <c r="AC21" i="33"/>
  <c r="X21" i="33"/>
  <c r="S21" i="33"/>
  <c r="K21" i="33"/>
  <c r="J21" i="33"/>
  <c r="I21" i="33"/>
  <c r="AW20" i="33"/>
  <c r="AR20" i="33"/>
  <c r="AM20" i="33"/>
  <c r="AH20" i="33"/>
  <c r="AC20" i="33"/>
  <c r="X20" i="33"/>
  <c r="S20" i="33"/>
  <c r="K20" i="33"/>
  <c r="J20" i="33"/>
  <c r="I20" i="33"/>
  <c r="AW19" i="33"/>
  <c r="AR19" i="33"/>
  <c r="AM19" i="33"/>
  <c r="AH19" i="33"/>
  <c r="AC19" i="33"/>
  <c r="X19" i="33"/>
  <c r="S19" i="33"/>
  <c r="K19" i="33"/>
  <c r="J19" i="33"/>
  <c r="I19" i="33"/>
  <c r="AW18" i="33"/>
  <c r="AR18" i="33"/>
  <c r="AM18" i="33"/>
  <c r="AH18" i="33"/>
  <c r="AC18" i="33"/>
  <c r="X18" i="33"/>
  <c r="S18" i="33"/>
  <c r="K18" i="33"/>
  <c r="J18" i="33"/>
  <c r="I18" i="33"/>
  <c r="AW17" i="33"/>
  <c r="AR17" i="33"/>
  <c r="AM17" i="33"/>
  <c r="AH17" i="33"/>
  <c r="AC17" i="33"/>
  <c r="X17" i="33"/>
  <c r="S17" i="33"/>
  <c r="K17" i="33"/>
  <c r="J17" i="33"/>
  <c r="I17" i="33"/>
  <c r="AW16" i="33"/>
  <c r="AR16" i="33"/>
  <c r="AM16" i="33"/>
  <c r="AH16" i="33"/>
  <c r="AC16" i="33"/>
  <c r="X16" i="33"/>
  <c r="S16" i="33"/>
  <c r="K16" i="33"/>
  <c r="J16" i="33"/>
  <c r="I16" i="33"/>
  <c r="AW15" i="33"/>
  <c r="AR15" i="33"/>
  <c r="AM15" i="33"/>
  <c r="AH15" i="33"/>
  <c r="AC15" i="33"/>
  <c r="X15" i="33"/>
  <c r="S15" i="33"/>
  <c r="K15" i="33"/>
  <c r="J15" i="33"/>
  <c r="I15" i="33"/>
  <c r="AW14" i="33"/>
  <c r="AR14" i="33"/>
  <c r="AM14" i="33"/>
  <c r="AH14" i="33"/>
  <c r="AC14" i="33"/>
  <c r="X14" i="33"/>
  <c r="S14" i="33"/>
  <c r="K14" i="33"/>
  <c r="J14" i="33"/>
  <c r="I14" i="33"/>
  <c r="AW13" i="33"/>
  <c r="AR13" i="33"/>
  <c r="AM13" i="33"/>
  <c r="AH13" i="33"/>
  <c r="AC13" i="33"/>
  <c r="X13" i="33"/>
  <c r="S13" i="33"/>
  <c r="K13" i="33"/>
  <c r="J13" i="33"/>
  <c r="I13" i="33"/>
  <c r="AW12" i="33"/>
  <c r="AR12" i="33"/>
  <c r="AM12" i="33"/>
  <c r="AH12" i="33"/>
  <c r="AC12" i="33"/>
  <c r="X12" i="33"/>
  <c r="S12" i="33"/>
  <c r="K12" i="33"/>
  <c r="J12" i="33"/>
  <c r="I12" i="33"/>
  <c r="AW11" i="33"/>
  <c r="AR11" i="33"/>
  <c r="AM11" i="33"/>
  <c r="AH11" i="33"/>
  <c r="AC11" i="33"/>
  <c r="X11" i="33"/>
  <c r="S11" i="33"/>
  <c r="K11" i="33"/>
  <c r="J11" i="33"/>
  <c r="I11" i="33"/>
  <c r="AW10" i="33"/>
  <c r="AR10" i="33"/>
  <c r="AM10" i="33"/>
  <c r="AH10" i="33"/>
  <c r="AC10" i="33"/>
  <c r="X10" i="33"/>
  <c r="S10" i="33"/>
  <c r="K10" i="33"/>
  <c r="J10" i="33"/>
  <c r="I10" i="33"/>
  <c r="AW9" i="33"/>
  <c r="AR9" i="33"/>
  <c r="AM9" i="33"/>
  <c r="AH9" i="33"/>
  <c r="AC9" i="33"/>
  <c r="X9" i="33"/>
  <c r="S9" i="33"/>
  <c r="K9" i="33"/>
  <c r="J9" i="33"/>
  <c r="I9" i="33"/>
  <c r="AW8" i="33"/>
  <c r="AR8" i="33"/>
  <c r="AM8" i="33"/>
  <c r="AH8" i="33"/>
  <c r="AC8" i="33"/>
  <c r="X8" i="33"/>
  <c r="S8" i="33"/>
  <c r="K8" i="33"/>
  <c r="J8" i="33"/>
  <c r="I8" i="33"/>
  <c r="AX7" i="33"/>
  <c r="AW7" i="33"/>
  <c r="AS7" i="33"/>
  <c r="AR7" i="33"/>
  <c r="AN7" i="33"/>
  <c r="AM7" i="33"/>
  <c r="AI7" i="33"/>
  <c r="AH7" i="33"/>
  <c r="AD7" i="33"/>
  <c r="AC7" i="33"/>
  <c r="Y7" i="33"/>
  <c r="X7" i="33"/>
  <c r="T7" i="33"/>
  <c r="S7" i="33"/>
  <c r="L7" i="33"/>
  <c r="K7" i="33"/>
  <c r="J7" i="33"/>
  <c r="I7" i="33"/>
  <c r="H7" i="33"/>
  <c r="AW36" i="8"/>
  <c r="AR36" i="8"/>
  <c r="AM36" i="8"/>
  <c r="AH36" i="8"/>
  <c r="AC36" i="8"/>
  <c r="X36" i="8"/>
  <c r="S36" i="8"/>
  <c r="M36" i="8"/>
  <c r="K36" i="8"/>
  <c r="J36" i="8"/>
  <c r="I36" i="8"/>
  <c r="AW35" i="8"/>
  <c r="AR35" i="8"/>
  <c r="AM35" i="8"/>
  <c r="AH35" i="8"/>
  <c r="AC35" i="8"/>
  <c r="X35" i="8"/>
  <c r="S35" i="8"/>
  <c r="K35" i="8"/>
  <c r="M35" i="8" s="1"/>
  <c r="J35" i="8"/>
  <c r="I35" i="8"/>
  <c r="AW34" i="8"/>
  <c r="AR34" i="8"/>
  <c r="AM34" i="8"/>
  <c r="AH34" i="8"/>
  <c r="AC34" i="8"/>
  <c r="X34" i="8"/>
  <c r="S34" i="8"/>
  <c r="M34" i="8"/>
  <c r="K34" i="8"/>
  <c r="J34" i="8"/>
  <c r="I34" i="8"/>
  <c r="AW33" i="8"/>
  <c r="AR33" i="8"/>
  <c r="AM33" i="8"/>
  <c r="AH33" i="8"/>
  <c r="AC33" i="8"/>
  <c r="X33" i="8"/>
  <c r="S33" i="8"/>
  <c r="K33" i="8"/>
  <c r="M33" i="8" s="1"/>
  <c r="J33" i="8"/>
  <c r="I33" i="8"/>
  <c r="AW32" i="8"/>
  <c r="AR32" i="8"/>
  <c r="AM32" i="8"/>
  <c r="AH32" i="8"/>
  <c r="AC32" i="8"/>
  <c r="X32" i="8"/>
  <c r="S32" i="8"/>
  <c r="K32" i="8"/>
  <c r="M32" i="8" s="1"/>
  <c r="J32" i="8"/>
  <c r="I32" i="8"/>
  <c r="AW31" i="8"/>
  <c r="AR31" i="8"/>
  <c r="AM31" i="8"/>
  <c r="AH31" i="8"/>
  <c r="AC31" i="8"/>
  <c r="X31" i="8"/>
  <c r="S31" i="8"/>
  <c r="K31" i="8"/>
  <c r="M31" i="8" s="1"/>
  <c r="J31" i="8"/>
  <c r="I31" i="8"/>
  <c r="AW30" i="8"/>
  <c r="AR30" i="8"/>
  <c r="AM30" i="8"/>
  <c r="AH30" i="8"/>
  <c r="AC30" i="8"/>
  <c r="X30" i="8"/>
  <c r="S30" i="8"/>
  <c r="K30" i="8"/>
  <c r="J30" i="8"/>
  <c r="I30" i="8"/>
  <c r="AW29" i="8"/>
  <c r="AR29" i="8"/>
  <c r="AM29" i="8"/>
  <c r="AH29" i="8"/>
  <c r="AC29" i="8"/>
  <c r="X29" i="8"/>
  <c r="S29" i="8"/>
  <c r="K29" i="8"/>
  <c r="J29" i="8"/>
  <c r="I29" i="8"/>
  <c r="AW28" i="8"/>
  <c r="AR28" i="8"/>
  <c r="AM28" i="8"/>
  <c r="AH28" i="8"/>
  <c r="AC28" i="8"/>
  <c r="X28" i="8"/>
  <c r="S28" i="8"/>
  <c r="K28" i="8"/>
  <c r="J28" i="8"/>
  <c r="I28" i="8"/>
  <c r="AW27" i="8"/>
  <c r="AR27" i="8"/>
  <c r="AM27" i="8"/>
  <c r="AH27" i="8"/>
  <c r="AC27" i="8"/>
  <c r="X27" i="8"/>
  <c r="S27" i="8"/>
  <c r="K27" i="8"/>
  <c r="J27" i="8"/>
  <c r="I27" i="8"/>
  <c r="AW26" i="8"/>
  <c r="AR26" i="8"/>
  <c r="AM26" i="8"/>
  <c r="AH26" i="8"/>
  <c r="AC26" i="8"/>
  <c r="X26" i="8"/>
  <c r="S26" i="8"/>
  <c r="K26" i="8"/>
  <c r="J26" i="8"/>
  <c r="I26" i="8"/>
  <c r="AW25" i="8"/>
  <c r="AR25" i="8"/>
  <c r="AM25" i="8"/>
  <c r="AH25" i="8"/>
  <c r="AC25" i="8"/>
  <c r="X25" i="8"/>
  <c r="S25" i="8"/>
  <c r="K25" i="8"/>
  <c r="J25" i="8"/>
  <c r="I25" i="8"/>
  <c r="AW24" i="8"/>
  <c r="AR24" i="8"/>
  <c r="AM24" i="8"/>
  <c r="AH24" i="8"/>
  <c r="AC24" i="8"/>
  <c r="X24" i="8"/>
  <c r="S24" i="8"/>
  <c r="K24" i="8"/>
  <c r="J24" i="8"/>
  <c r="I24" i="8"/>
  <c r="AW23" i="8"/>
  <c r="AR23" i="8"/>
  <c r="AM23" i="8"/>
  <c r="AH23" i="8"/>
  <c r="AC23" i="8"/>
  <c r="X23" i="8"/>
  <c r="S23" i="8"/>
  <c r="K23" i="8"/>
  <c r="J23" i="8"/>
  <c r="I23" i="8"/>
  <c r="AW22" i="8"/>
  <c r="AR22" i="8"/>
  <c r="AM22" i="8"/>
  <c r="AH22" i="8"/>
  <c r="AC22" i="8"/>
  <c r="X22" i="8"/>
  <c r="S22" i="8"/>
  <c r="K22" i="8"/>
  <c r="J22" i="8"/>
  <c r="I22" i="8"/>
  <c r="AW21" i="8"/>
  <c r="AR21" i="8"/>
  <c r="AM21" i="8"/>
  <c r="AH21" i="8"/>
  <c r="AC21" i="8"/>
  <c r="X21" i="8"/>
  <c r="S21" i="8"/>
  <c r="K21" i="8"/>
  <c r="J21" i="8"/>
  <c r="I21" i="8"/>
  <c r="AW20" i="8"/>
  <c r="AR20" i="8"/>
  <c r="AM20" i="8"/>
  <c r="AH20" i="8"/>
  <c r="AC20" i="8"/>
  <c r="X20" i="8"/>
  <c r="S20" i="8"/>
  <c r="K20" i="8"/>
  <c r="J20" i="8"/>
  <c r="I20" i="8"/>
  <c r="AW19" i="8"/>
  <c r="AR19" i="8"/>
  <c r="AM19" i="8"/>
  <c r="AH19" i="8"/>
  <c r="AC19" i="8"/>
  <c r="X19" i="8"/>
  <c r="S19" i="8"/>
  <c r="K19" i="8"/>
  <c r="J19" i="8"/>
  <c r="I19" i="8"/>
  <c r="AW18" i="8"/>
  <c r="AR18" i="8"/>
  <c r="AM18" i="8"/>
  <c r="AH18" i="8"/>
  <c r="AC18" i="8"/>
  <c r="X18" i="8"/>
  <c r="S18" i="8"/>
  <c r="K18" i="8"/>
  <c r="J18" i="8"/>
  <c r="I18" i="8"/>
  <c r="AW17" i="8"/>
  <c r="AR17" i="8"/>
  <c r="AM17" i="8"/>
  <c r="AH17" i="8"/>
  <c r="AC17" i="8"/>
  <c r="X17" i="8"/>
  <c r="S17" i="8"/>
  <c r="K17" i="8"/>
  <c r="J17" i="8"/>
  <c r="I17" i="8"/>
  <c r="AW16" i="8"/>
  <c r="AR16" i="8"/>
  <c r="AM16" i="8"/>
  <c r="AH16" i="8"/>
  <c r="AC16" i="8"/>
  <c r="X16" i="8"/>
  <c r="S16" i="8"/>
  <c r="K16" i="8"/>
  <c r="J16" i="8"/>
  <c r="I16" i="8"/>
  <c r="AW15" i="8"/>
  <c r="AR15" i="8"/>
  <c r="AM15" i="8"/>
  <c r="AH15" i="8"/>
  <c r="AC15" i="8"/>
  <c r="X15" i="8"/>
  <c r="S15" i="8"/>
  <c r="K15" i="8"/>
  <c r="J15" i="8"/>
  <c r="I15" i="8"/>
  <c r="AW14" i="8"/>
  <c r="AR14" i="8"/>
  <c r="AM14" i="8"/>
  <c r="AH14" i="8"/>
  <c r="AC14" i="8"/>
  <c r="X14" i="8"/>
  <c r="S14" i="8"/>
  <c r="K14" i="8"/>
  <c r="J14" i="8"/>
  <c r="I14" i="8"/>
  <c r="AW13" i="8"/>
  <c r="AR13" i="8"/>
  <c r="AM13" i="8"/>
  <c r="AH13" i="8"/>
  <c r="AC13" i="8"/>
  <c r="X13" i="8"/>
  <c r="S13" i="8"/>
  <c r="K13" i="8"/>
  <c r="J13" i="8"/>
  <c r="I13" i="8"/>
  <c r="AW12" i="8"/>
  <c r="AR12" i="8"/>
  <c r="AM12" i="8"/>
  <c r="AH12" i="8"/>
  <c r="AC12" i="8"/>
  <c r="X12" i="8"/>
  <c r="S12" i="8"/>
  <c r="K12" i="8"/>
  <c r="J12" i="8"/>
  <c r="I12" i="8"/>
  <c r="AW11" i="8"/>
  <c r="AR11" i="8"/>
  <c r="AM11" i="8"/>
  <c r="AH11" i="8"/>
  <c r="AC11" i="8"/>
  <c r="X11" i="8"/>
  <c r="S11" i="8"/>
  <c r="K11" i="8"/>
  <c r="J11" i="8"/>
  <c r="I11" i="8"/>
  <c r="AW10" i="8"/>
  <c r="AR10" i="8"/>
  <c r="AM10" i="8"/>
  <c r="AH10" i="8"/>
  <c r="AC10" i="8"/>
  <c r="X10" i="8"/>
  <c r="S10" i="8"/>
  <c r="K10" i="8"/>
  <c r="J10" i="8"/>
  <c r="I10" i="8"/>
  <c r="AW9" i="8"/>
  <c r="AR9" i="8"/>
  <c r="AM9" i="8"/>
  <c r="AH9" i="8"/>
  <c r="AC9" i="8"/>
  <c r="X9" i="8"/>
  <c r="S9" i="8"/>
  <c r="K9" i="8"/>
  <c r="J9" i="8"/>
  <c r="I9" i="8"/>
  <c r="AW8" i="8"/>
  <c r="AR8" i="8"/>
  <c r="AM8" i="8"/>
  <c r="AH8" i="8"/>
  <c r="AC8" i="8"/>
  <c r="X8" i="8"/>
  <c r="S8" i="8"/>
  <c r="K8" i="8"/>
  <c r="J8" i="8"/>
  <c r="I8" i="8"/>
  <c r="AX7" i="8"/>
  <c r="AW7" i="8"/>
  <c r="AS7" i="8"/>
  <c r="AR7" i="8"/>
  <c r="AN7" i="8"/>
  <c r="AM7" i="8"/>
  <c r="AI7" i="8"/>
  <c r="AH7" i="8"/>
  <c r="AD7" i="8"/>
  <c r="AC7" i="8"/>
  <c r="Y7" i="8"/>
  <c r="X7" i="8"/>
  <c r="T7" i="8"/>
  <c r="S7" i="8"/>
  <c r="K7" i="8"/>
  <c r="J7" i="8"/>
  <c r="I7" i="8"/>
  <c r="H7" i="8"/>
  <c r="H23" i="39"/>
  <c r="H22" i="39"/>
  <c r="H21" i="39"/>
  <c r="H20" i="39"/>
  <c r="H19" i="39"/>
  <c r="H18" i="39"/>
  <c r="H17" i="39"/>
  <c r="H16" i="39"/>
  <c r="H15" i="39"/>
  <c r="B23" i="39"/>
  <c r="B22" i="39"/>
  <c r="B21" i="39"/>
  <c r="B20" i="39"/>
  <c r="B19" i="39"/>
  <c r="B18" i="39"/>
  <c r="B17" i="39"/>
  <c r="B16" i="39"/>
  <c r="B15" i="39"/>
  <c r="L7" i="37" l="1"/>
  <c r="M7" i="31"/>
  <c r="L7" i="30"/>
  <c r="L7" i="35"/>
  <c r="L7" i="34"/>
  <c r="L7" i="8"/>
  <c r="AC13" i="7"/>
  <c r="S13" i="7"/>
  <c r="M13" i="7"/>
  <c r="AC12" i="7"/>
  <c r="S12" i="7"/>
  <c r="M12" i="7"/>
  <c r="AC11" i="7"/>
  <c r="S11" i="7"/>
  <c r="M11" i="7"/>
  <c r="AC10" i="7"/>
  <c r="S10" i="7"/>
  <c r="M10" i="7"/>
  <c r="AC9" i="7"/>
  <c r="S9" i="7"/>
  <c r="M9" i="7"/>
  <c r="AC8" i="7"/>
  <c r="S8" i="7"/>
  <c r="M8" i="7"/>
  <c r="AC7" i="7"/>
  <c r="S7" i="7"/>
  <c r="M7" i="7"/>
  <c r="AC13" i="6"/>
  <c r="S13" i="6"/>
  <c r="M13" i="6"/>
  <c r="AC12" i="6"/>
  <c r="S12" i="6"/>
  <c r="M12" i="6"/>
  <c r="AC11" i="6"/>
  <c r="S11" i="6"/>
  <c r="M11" i="6"/>
  <c r="AC10" i="6"/>
  <c r="S10" i="6"/>
  <c r="M10" i="6"/>
  <c r="AC9" i="6"/>
  <c r="S9" i="6"/>
  <c r="M9" i="6"/>
  <c r="AC8" i="6"/>
  <c r="S8" i="6"/>
  <c r="M8" i="6"/>
  <c r="AC7" i="6"/>
  <c r="S7" i="6"/>
  <c r="M7" i="6"/>
  <c r="D8" i="6"/>
  <c r="D9" i="6" s="1"/>
  <c r="D10" i="6" s="1"/>
  <c r="D11" i="6" s="1"/>
  <c r="D12" i="6" s="1"/>
  <c r="D13" i="6" s="1"/>
  <c r="D14" i="6" s="1"/>
  <c r="D15" i="6" s="1"/>
  <c r="D16" i="6" s="1"/>
  <c r="D17" i="6" s="1"/>
  <c r="D18" i="6" s="1"/>
  <c r="D19" i="6" s="1"/>
  <c r="D20" i="6" s="1"/>
  <c r="D21" i="6" s="1"/>
  <c r="D22" i="6" s="1"/>
  <c r="D23" i="6" s="1"/>
  <c r="D24" i="6" s="1"/>
  <c r="D25" i="6" s="1"/>
  <c r="D26" i="6" s="1"/>
  <c r="D27" i="6" s="1"/>
  <c r="D28" i="6" s="1"/>
  <c r="D29" i="6" s="1"/>
  <c r="D30" i="6" s="1"/>
  <c r="D31" i="6" s="1"/>
  <c r="D32" i="6" s="1"/>
  <c r="D33" i="6" s="1"/>
  <c r="D34" i="6" s="1"/>
  <c r="D35" i="6" s="1"/>
  <c r="D36" i="6" s="1"/>
  <c r="D37" i="6" s="1"/>
  <c r="D38" i="6" s="1"/>
  <c r="D39" i="6" s="1"/>
  <c r="D40" i="6" s="1"/>
  <c r="D41" i="6" s="1"/>
  <c r="D8" i="7"/>
  <c r="D9" i="7" s="1"/>
  <c r="D10" i="7" s="1"/>
  <c r="D11" i="7" s="1"/>
  <c r="D12" i="7" s="1"/>
  <c r="D13" i="7" s="1"/>
  <c r="D14" i="7" s="1"/>
  <c r="D15" i="7" s="1"/>
  <c r="D16" i="7" s="1"/>
  <c r="D17" i="7" s="1"/>
  <c r="D18" i="7" s="1"/>
  <c r="D19" i="7" s="1"/>
  <c r="D20" i="7" s="1"/>
  <c r="D21" i="7" s="1"/>
  <c r="D22" i="7" s="1"/>
  <c r="D23" i="7" s="1"/>
  <c r="D24" i="7" s="1"/>
  <c r="D25" i="7" s="1"/>
  <c r="D26" i="7" s="1"/>
  <c r="D27" i="7" s="1"/>
  <c r="D28" i="7" s="1"/>
  <c r="D29" i="7" s="1"/>
  <c r="D30" i="7" s="1"/>
  <c r="D31" i="7" s="1"/>
  <c r="D32" i="7" s="1"/>
  <c r="D33" i="7" s="1"/>
  <c r="D34" i="7" s="1"/>
  <c r="D35" i="7" s="1"/>
  <c r="D36" i="7" s="1"/>
  <c r="D37" i="7" s="1"/>
  <c r="D38" i="7" s="1"/>
  <c r="D39" i="7" s="1"/>
  <c r="D40" i="7" s="1"/>
  <c r="D41" i="7" s="1"/>
  <c r="D6" i="5"/>
  <c r="D7" i="5" s="1"/>
  <c r="D8" i="5" s="1"/>
  <c r="D9" i="5" s="1"/>
  <c r="D10" i="5" s="1"/>
  <c r="D11" i="5" s="1"/>
  <c r="D12" i="5" s="1"/>
  <c r="D13" i="5" s="1"/>
  <c r="D14" i="5" s="1"/>
  <c r="D15" i="5" s="1"/>
  <c r="D16" i="5" s="1"/>
  <c r="D17" i="5" s="1"/>
  <c r="D18" i="5" s="1"/>
  <c r="D19" i="5" s="1"/>
  <c r="D20" i="5" s="1"/>
  <c r="D21" i="5" s="1"/>
  <c r="D22" i="5" s="1"/>
  <c r="D23" i="5" s="1"/>
  <c r="D24" i="5" s="1"/>
  <c r="D25" i="5" s="1"/>
  <c r="D26" i="5" s="1"/>
  <c r="D27" i="5" s="1"/>
  <c r="D28" i="5" s="1"/>
  <c r="D29" i="5" s="1"/>
  <c r="D30" i="5" s="1"/>
  <c r="D31" i="5" s="1"/>
  <c r="D32" i="5" s="1"/>
  <c r="D33" i="5" s="1"/>
  <c r="D34" i="5" s="1"/>
  <c r="D35" i="5" s="1"/>
  <c r="D36" i="5" s="1"/>
  <c r="D37" i="5" s="1"/>
  <c r="D38" i="5" s="1"/>
  <c r="D39" i="5" s="1"/>
  <c r="D6" i="3"/>
  <c r="D7" i="3" s="1"/>
  <c r="D8" i="3" s="1"/>
  <c r="D9" i="3" s="1"/>
  <c r="D10" i="3" s="1"/>
  <c r="D11" i="3" s="1"/>
  <c r="B48" i="48" l="1"/>
  <c r="AZ47" i="37" l="1"/>
  <c r="BA47" i="37"/>
  <c r="AZ48" i="37"/>
  <c r="AZ49" i="37"/>
  <c r="AZ50" i="37"/>
  <c r="AZ51" i="37"/>
  <c r="AZ52" i="37"/>
  <c r="AZ53" i="37"/>
  <c r="AZ54" i="37"/>
  <c r="AZ55" i="37"/>
  <c r="AZ56" i="37"/>
  <c r="AZ57" i="37"/>
  <c r="AZ58" i="37"/>
  <c r="AZ59" i="37"/>
  <c r="AZ60" i="37"/>
  <c r="AZ61" i="37"/>
  <c r="U2" i="8" l="1"/>
  <c r="Z2" i="8" s="1"/>
  <c r="AE2" i="8" s="1"/>
  <c r="AZ48" i="30" l="1"/>
  <c r="AZ49" i="30"/>
  <c r="AZ50" i="30"/>
  <c r="AZ51" i="30"/>
  <c r="AZ52" i="30"/>
  <c r="AZ53" i="30"/>
  <c r="AZ54" i="30"/>
  <c r="AZ55" i="30"/>
  <c r="AZ56" i="30"/>
  <c r="AZ57" i="30"/>
  <c r="AZ58" i="30"/>
  <c r="AZ59" i="30"/>
  <c r="AZ60" i="30"/>
  <c r="AZ61" i="30"/>
  <c r="U2" i="33" l="1"/>
  <c r="Z2" i="33" s="1"/>
  <c r="AE2" i="33" s="1"/>
  <c r="AJ2" i="33" s="1"/>
  <c r="AO2" i="33" s="1"/>
  <c r="AT2" i="33" s="1"/>
  <c r="AJ2" i="8"/>
  <c r="AO2" i="8" s="1"/>
  <c r="AT2" i="8" s="1"/>
  <c r="AC38" i="7" l="1"/>
  <c r="S38" i="7"/>
  <c r="M38" i="7"/>
  <c r="AC37" i="7"/>
  <c r="S37" i="7"/>
  <c r="M37" i="7"/>
  <c r="AC36" i="7"/>
  <c r="S36" i="7"/>
  <c r="M36" i="7"/>
  <c r="AC35" i="7"/>
  <c r="S35" i="7"/>
  <c r="M35" i="7"/>
  <c r="AC38" i="6"/>
  <c r="S38" i="6"/>
  <c r="M38" i="6"/>
  <c r="AC37" i="6"/>
  <c r="S37" i="6"/>
  <c r="M37" i="6"/>
  <c r="AC36" i="6"/>
  <c r="S36" i="6"/>
  <c r="M36" i="6"/>
  <c r="AC35" i="6"/>
  <c r="S35" i="6"/>
  <c r="M35" i="6"/>
  <c r="H67" i="31" l="1"/>
  <c r="I67" i="31"/>
  <c r="J67" i="31"/>
  <c r="K67" i="31"/>
  <c r="I68" i="31"/>
  <c r="J68" i="31"/>
  <c r="K68" i="31"/>
  <c r="I69" i="31"/>
  <c r="J69" i="31"/>
  <c r="K69" i="31"/>
  <c r="M69" i="31" s="1"/>
  <c r="I70" i="31"/>
  <c r="J70" i="31"/>
  <c r="K70" i="31"/>
  <c r="M70" i="31" s="1"/>
  <c r="I71" i="31"/>
  <c r="J71" i="31"/>
  <c r="K71" i="31"/>
  <c r="M71" i="31" s="1"/>
  <c r="I72" i="31"/>
  <c r="J72" i="31"/>
  <c r="K72" i="31"/>
  <c r="M72" i="31" s="1"/>
  <c r="I73" i="31"/>
  <c r="J73" i="31"/>
  <c r="K73" i="31"/>
  <c r="M73" i="31" s="1"/>
  <c r="I74" i="31"/>
  <c r="J74" i="31"/>
  <c r="K74" i="31"/>
  <c r="M74" i="31" s="1"/>
  <c r="I75" i="31"/>
  <c r="J75" i="31"/>
  <c r="K75" i="31"/>
  <c r="M75" i="31" s="1"/>
  <c r="I76" i="31"/>
  <c r="J76" i="31"/>
  <c r="K76" i="31"/>
  <c r="M76" i="31" s="1"/>
  <c r="I77" i="31"/>
  <c r="J77" i="31"/>
  <c r="K77" i="31"/>
  <c r="M77" i="31" s="1"/>
  <c r="I78" i="31"/>
  <c r="J78" i="31"/>
  <c r="K78" i="31"/>
  <c r="M78" i="31" s="1"/>
  <c r="I79" i="31"/>
  <c r="J79" i="31"/>
  <c r="K79" i="31"/>
  <c r="M79" i="31" s="1"/>
  <c r="I80" i="31"/>
  <c r="J80" i="31"/>
  <c r="K80" i="31"/>
  <c r="M80" i="31" s="1"/>
  <c r="I81" i="31"/>
  <c r="J81" i="31"/>
  <c r="K81" i="31"/>
  <c r="M81" i="31" s="1"/>
  <c r="M67" i="31" l="1"/>
  <c r="M68" i="31"/>
  <c r="L67" i="31"/>
  <c r="G19" i="5" l="1"/>
  <c r="I19" i="5"/>
  <c r="M19" i="5"/>
  <c r="P19" i="5"/>
  <c r="S19" i="5"/>
  <c r="V19" i="5"/>
  <c r="I20" i="5"/>
  <c r="I21" i="5"/>
  <c r="I22" i="5"/>
  <c r="I23" i="5"/>
  <c r="I24" i="5"/>
  <c r="I25" i="5"/>
  <c r="J19" i="5" l="1"/>
  <c r="U2" i="35" l="1"/>
  <c r="Z2" i="35" s="1"/>
  <c r="AE2" i="35" s="1"/>
  <c r="AJ2" i="35" s="1"/>
  <c r="AO2" i="35" s="1"/>
  <c r="AT2" i="35" s="1"/>
  <c r="U2" i="36"/>
  <c r="Z2" i="36" s="1"/>
  <c r="AE2" i="36" s="1"/>
  <c r="AJ2" i="36" s="1"/>
  <c r="AO2" i="36" s="1"/>
  <c r="AT2" i="36" s="1"/>
  <c r="U2" i="37"/>
  <c r="Z2" i="37" s="1"/>
  <c r="AE2" i="37" s="1"/>
  <c r="AJ2" i="37" s="1"/>
  <c r="AO2" i="37" s="1"/>
  <c r="AT2" i="37" s="1"/>
  <c r="U2" i="34"/>
  <c r="Z2" i="34" s="1"/>
  <c r="AE2" i="34" s="1"/>
  <c r="AJ2" i="34" s="1"/>
  <c r="AO2" i="34" s="1"/>
  <c r="AT2" i="34" s="1"/>
  <c r="U2" i="32"/>
  <c r="Z2" i="32" s="1"/>
  <c r="AE2" i="32" s="1"/>
  <c r="AJ2" i="32" s="1"/>
  <c r="AO2" i="32" s="1"/>
  <c r="AT2" i="32" s="1"/>
  <c r="U2" i="31"/>
  <c r="Z2" i="31" s="1"/>
  <c r="AE2" i="31" s="1"/>
  <c r="AJ2" i="31" s="1"/>
  <c r="AO2" i="31" s="1"/>
  <c r="AT2" i="31" s="1"/>
  <c r="U2" i="30"/>
  <c r="Z2" i="30" s="1"/>
  <c r="AE2" i="30" s="1"/>
  <c r="AJ2" i="30" s="1"/>
  <c r="AO2" i="30" s="1"/>
  <c r="AT2" i="30" s="1"/>
  <c r="T10" i="3"/>
  <c r="N10" i="3"/>
  <c r="K10" i="3"/>
  <c r="H10" i="3"/>
  <c r="W10" i="5"/>
  <c r="T10" i="5"/>
  <c r="Q10" i="5"/>
  <c r="N10" i="5"/>
  <c r="H10" i="5"/>
  <c r="AC48" i="6"/>
  <c r="S48" i="6"/>
  <c r="M48" i="6"/>
  <c r="AC47" i="6"/>
  <c r="S47" i="6"/>
  <c r="M47" i="6"/>
  <c r="AC46" i="6"/>
  <c r="S46" i="6"/>
  <c r="M46" i="6"/>
  <c r="AC45" i="6"/>
  <c r="S45" i="6"/>
  <c r="M45" i="6"/>
  <c r="AC44" i="6"/>
  <c r="S44" i="6"/>
  <c r="M44" i="6"/>
  <c r="AC43" i="6"/>
  <c r="S43" i="6"/>
  <c r="M43" i="6"/>
  <c r="AC42" i="6"/>
  <c r="S42" i="6"/>
  <c r="M42" i="6"/>
  <c r="AC41" i="6"/>
  <c r="S41" i="6"/>
  <c r="M41" i="6"/>
  <c r="AC40" i="6"/>
  <c r="S40" i="6"/>
  <c r="M40" i="6"/>
  <c r="AC39" i="6"/>
  <c r="S39" i="6"/>
  <c r="M39" i="6"/>
  <c r="AC34" i="6"/>
  <c r="S34" i="6"/>
  <c r="M34" i="6"/>
  <c r="AC33" i="6"/>
  <c r="S33" i="6"/>
  <c r="M33" i="6"/>
  <c r="AC32" i="6"/>
  <c r="S32" i="6"/>
  <c r="M32" i="6"/>
  <c r="AC31" i="6"/>
  <c r="S31" i="6"/>
  <c r="M31" i="6"/>
  <c r="AC30" i="6"/>
  <c r="S30" i="6"/>
  <c r="M30" i="6"/>
  <c r="AC29" i="6"/>
  <c r="S29" i="6"/>
  <c r="M29" i="6"/>
  <c r="AC28" i="6"/>
  <c r="S28" i="6"/>
  <c r="M28" i="6"/>
  <c r="AC27" i="6"/>
  <c r="S27" i="6"/>
  <c r="M27" i="6"/>
  <c r="AC26" i="6"/>
  <c r="S26" i="6"/>
  <c r="M26" i="6"/>
  <c r="AC25" i="6"/>
  <c r="S25" i="6"/>
  <c r="M25" i="6"/>
  <c r="AC24" i="6"/>
  <c r="S24" i="6"/>
  <c r="M24" i="6"/>
  <c r="AC23" i="6"/>
  <c r="S23" i="6"/>
  <c r="M23" i="6"/>
  <c r="AC22" i="6"/>
  <c r="S22" i="6"/>
  <c r="M22" i="6"/>
  <c r="AC21" i="6"/>
  <c r="S21" i="6"/>
  <c r="M21" i="6"/>
  <c r="AC20" i="6"/>
  <c r="S20" i="6"/>
  <c r="M20" i="6"/>
  <c r="AC19" i="6"/>
  <c r="S19" i="6"/>
  <c r="M19" i="6"/>
  <c r="AC18" i="6"/>
  <c r="S18" i="6"/>
  <c r="M18" i="6"/>
  <c r="AC17" i="6"/>
  <c r="S17" i="6"/>
  <c r="M17" i="6"/>
  <c r="AC16" i="6"/>
  <c r="S16" i="6"/>
  <c r="M16" i="6"/>
  <c r="AC15" i="6"/>
  <c r="S15" i="6"/>
  <c r="M15" i="6"/>
  <c r="S40" i="3" l="1"/>
  <c r="M40" i="3"/>
  <c r="J40" i="3"/>
  <c r="G40" i="3"/>
  <c r="P40" i="3" l="1"/>
  <c r="V40" i="3"/>
  <c r="V40" i="5"/>
  <c r="S40" i="5"/>
  <c r="P40" i="5"/>
  <c r="M40" i="5"/>
  <c r="G40" i="5"/>
  <c r="AC48" i="7" l="1"/>
  <c r="S48" i="7"/>
  <c r="M48" i="7"/>
  <c r="AC47" i="7"/>
  <c r="S47" i="7"/>
  <c r="M47" i="7"/>
  <c r="AC46" i="7"/>
  <c r="S46" i="7"/>
  <c r="M46" i="7"/>
  <c r="AC45" i="7"/>
  <c r="S45" i="7"/>
  <c r="M45" i="7"/>
  <c r="F48" i="6"/>
  <c r="S12" i="5"/>
  <c r="S26" i="5"/>
  <c r="S33" i="5"/>
  <c r="S6" i="5"/>
  <c r="P6" i="5"/>
  <c r="M6" i="5"/>
  <c r="I46" i="5"/>
  <c r="I45" i="5"/>
  <c r="I44" i="5"/>
  <c r="I43" i="5"/>
  <c r="I42" i="5"/>
  <c r="I41" i="5"/>
  <c r="U46" i="3"/>
  <c r="O46" i="3"/>
  <c r="U45" i="3"/>
  <c r="O45" i="3"/>
  <c r="U44" i="3"/>
  <c r="O44" i="3"/>
  <c r="U43" i="3"/>
  <c r="O43" i="3"/>
  <c r="U42" i="3"/>
  <c r="O42" i="3"/>
  <c r="U41" i="3"/>
  <c r="O41" i="3"/>
  <c r="F46" i="7" l="1"/>
  <c r="AF46" i="7" s="1"/>
  <c r="AL48" i="6"/>
  <c r="AD48" i="6"/>
  <c r="X48" i="6"/>
  <c r="R48" i="6"/>
  <c r="L48" i="6"/>
  <c r="AJ48" i="6"/>
  <c r="V48" i="6"/>
  <c r="P48" i="6"/>
  <c r="J48" i="6"/>
  <c r="AH48" i="6"/>
  <c r="AB48" i="6"/>
  <c r="T48" i="6"/>
  <c r="N48" i="6"/>
  <c r="AF48" i="6"/>
  <c r="Z48" i="6"/>
  <c r="F46" i="6"/>
  <c r="F48" i="7"/>
  <c r="AJ48" i="7" s="1"/>
  <c r="F45" i="7"/>
  <c r="T45" i="7" s="1"/>
  <c r="F47" i="7"/>
  <c r="AD47" i="7" s="1"/>
  <c r="F45" i="6"/>
  <c r="F47" i="6"/>
  <c r="K155" i="8"/>
  <c r="K156" i="8"/>
  <c r="AC14" i="6"/>
  <c r="S14" i="6"/>
  <c r="M14" i="6"/>
  <c r="AB46" i="7" l="1"/>
  <c r="N46" i="7"/>
  <c r="AJ46" i="7"/>
  <c r="V46" i="7"/>
  <c r="AH46" i="7"/>
  <c r="AL46" i="7"/>
  <c r="X46" i="7"/>
  <c r="P46" i="7"/>
  <c r="AD46" i="7"/>
  <c r="L46" i="7"/>
  <c r="Z46" i="7"/>
  <c r="J46" i="7"/>
  <c r="T46" i="7"/>
  <c r="R46" i="7"/>
  <c r="AH47" i="6"/>
  <c r="AB47" i="6"/>
  <c r="T47" i="6"/>
  <c r="N47" i="6"/>
  <c r="AF47" i="6"/>
  <c r="Z47" i="6"/>
  <c r="AL47" i="6"/>
  <c r="AD47" i="6"/>
  <c r="X47" i="6"/>
  <c r="R47" i="6"/>
  <c r="L47" i="6"/>
  <c r="AJ47" i="6"/>
  <c r="V47" i="6"/>
  <c r="P47" i="6"/>
  <c r="J47" i="6"/>
  <c r="AL46" i="6"/>
  <c r="AD46" i="6"/>
  <c r="X46" i="6"/>
  <c r="R46" i="6"/>
  <c r="L46" i="6"/>
  <c r="AJ46" i="6"/>
  <c r="V46" i="6"/>
  <c r="P46" i="6"/>
  <c r="J46" i="6"/>
  <c r="AH46" i="6"/>
  <c r="AB46" i="6"/>
  <c r="T46" i="6"/>
  <c r="N46" i="6"/>
  <c r="AF46" i="6"/>
  <c r="Z46" i="6"/>
  <c r="AH45" i="6"/>
  <c r="AB45" i="6"/>
  <c r="T45" i="6"/>
  <c r="N45" i="6"/>
  <c r="AF45" i="6"/>
  <c r="Z45" i="6"/>
  <c r="AL45" i="6"/>
  <c r="AD45" i="6"/>
  <c r="X45" i="6"/>
  <c r="R45" i="6"/>
  <c r="L45" i="6"/>
  <c r="AJ45" i="6"/>
  <c r="V45" i="6"/>
  <c r="P45" i="6"/>
  <c r="J45" i="6"/>
  <c r="L48" i="7"/>
  <c r="T48" i="7"/>
  <c r="AL48" i="7"/>
  <c r="V48" i="7"/>
  <c r="N48" i="7"/>
  <c r="J48" i="7"/>
  <c r="AB48" i="7"/>
  <c r="Z48" i="7"/>
  <c r="X48" i="7"/>
  <c r="R48" i="7"/>
  <c r="P48" i="7"/>
  <c r="AH48" i="7"/>
  <c r="AF48" i="7"/>
  <c r="AD48" i="7"/>
  <c r="AD45" i="7"/>
  <c r="T47" i="7"/>
  <c r="AH47" i="7"/>
  <c r="AB47" i="7"/>
  <c r="AF47" i="7"/>
  <c r="Z47" i="7"/>
  <c r="AL47" i="7"/>
  <c r="X47" i="7"/>
  <c r="R47" i="7"/>
  <c r="L47" i="7"/>
  <c r="AJ47" i="7"/>
  <c r="V47" i="7"/>
  <c r="P47" i="7"/>
  <c r="J47" i="7"/>
  <c r="AL45" i="7"/>
  <c r="X45" i="7"/>
  <c r="R45" i="7"/>
  <c r="L45" i="7"/>
  <c r="J45" i="7"/>
  <c r="AH45" i="7"/>
  <c r="AB45" i="7"/>
  <c r="AF45" i="7"/>
  <c r="Z45" i="7"/>
  <c r="AJ45" i="7"/>
  <c r="V45" i="7"/>
  <c r="P45" i="7"/>
  <c r="N47" i="7"/>
  <c r="N45" i="7"/>
  <c r="AZ87" i="34"/>
  <c r="BA87" i="34"/>
  <c r="AZ88" i="34"/>
  <c r="AZ89" i="34"/>
  <c r="AZ90" i="34"/>
  <c r="AZ91" i="34"/>
  <c r="AZ92" i="34"/>
  <c r="AZ93" i="34"/>
  <c r="AZ94" i="34"/>
  <c r="AZ95" i="34"/>
  <c r="AZ96" i="34"/>
  <c r="AZ97" i="34"/>
  <c r="AZ98" i="34"/>
  <c r="AZ99" i="34"/>
  <c r="AZ100" i="34"/>
  <c r="AZ101" i="34"/>
  <c r="AZ87" i="32"/>
  <c r="BA87" i="32"/>
  <c r="AZ88" i="32"/>
  <c r="AZ89" i="32"/>
  <c r="AZ90" i="32"/>
  <c r="AZ91" i="32"/>
  <c r="AZ92" i="32"/>
  <c r="AZ93" i="32"/>
  <c r="AZ94" i="32"/>
  <c r="AZ95" i="32"/>
  <c r="AZ96" i="32"/>
  <c r="AZ97" i="32"/>
  <c r="AZ98" i="32"/>
  <c r="AZ99" i="32"/>
  <c r="AZ100" i="32"/>
  <c r="AZ101" i="32"/>
  <c r="G33" i="5"/>
  <c r="I33" i="5"/>
  <c r="M33" i="5"/>
  <c r="P33" i="5"/>
  <c r="V33" i="5"/>
  <c r="I34" i="5"/>
  <c r="I35" i="5"/>
  <c r="I36" i="5"/>
  <c r="I37" i="5"/>
  <c r="I38" i="5"/>
  <c r="I39" i="5"/>
  <c r="J33" i="5" l="1"/>
  <c r="AC40" i="7" l="1"/>
  <c r="AC39" i="7"/>
  <c r="AC34" i="7"/>
  <c r="AC33" i="7"/>
  <c r="AC32" i="7"/>
  <c r="AC31" i="7"/>
  <c r="AC30" i="7"/>
  <c r="AC29" i="7"/>
  <c r="AC28" i="7"/>
  <c r="AC27" i="7"/>
  <c r="AC26" i="7"/>
  <c r="AC25" i="7"/>
  <c r="AC24" i="7"/>
  <c r="AC23" i="7"/>
  <c r="AC22" i="7"/>
  <c r="AC21" i="7"/>
  <c r="AC20" i="7"/>
  <c r="AC19" i="7"/>
  <c r="AC18" i="7"/>
  <c r="AC17" i="7"/>
  <c r="AC16" i="7"/>
  <c r="AC15" i="7"/>
  <c r="AC14" i="7"/>
  <c r="K81" i="36" l="1"/>
  <c r="J81" i="36"/>
  <c r="I81" i="36"/>
  <c r="K61" i="34"/>
  <c r="J61" i="34"/>
  <c r="I61" i="34"/>
  <c r="K101" i="34"/>
  <c r="M101" i="34" s="1"/>
  <c r="J101" i="34"/>
  <c r="I101" i="34"/>
  <c r="K81" i="34"/>
  <c r="M81" i="34" s="1"/>
  <c r="J81" i="34"/>
  <c r="I81" i="34"/>
  <c r="K80" i="34"/>
  <c r="M80" i="34" s="1"/>
  <c r="J80" i="34"/>
  <c r="I80" i="34"/>
  <c r="I35" i="32" l="1"/>
  <c r="J35" i="32"/>
  <c r="K35" i="32"/>
  <c r="I30" i="30"/>
  <c r="J30" i="30"/>
  <c r="K30" i="30"/>
  <c r="I31" i="30"/>
  <c r="J31" i="30"/>
  <c r="K31" i="30"/>
  <c r="I54" i="37"/>
  <c r="J54" i="37"/>
  <c r="K54" i="37"/>
  <c r="I55" i="37"/>
  <c r="J55" i="37"/>
  <c r="K55" i="37"/>
  <c r="AZ57" i="36"/>
  <c r="AZ51" i="36"/>
  <c r="AZ49" i="36" l="1"/>
  <c r="AZ53" i="36"/>
  <c r="AZ61" i="36"/>
  <c r="AZ50" i="36"/>
  <c r="AZ54" i="36"/>
  <c r="AZ58" i="36"/>
  <c r="AZ55" i="36"/>
  <c r="AZ59" i="36"/>
  <c r="AZ48" i="36"/>
  <c r="AZ52" i="36"/>
  <c r="AZ56" i="36"/>
  <c r="AZ60" i="36"/>
  <c r="M14" i="7" l="1"/>
  <c r="K40" i="35" l="1"/>
  <c r="M40" i="35" s="1"/>
  <c r="J40" i="35"/>
  <c r="I40" i="35"/>
  <c r="K39" i="35"/>
  <c r="M39" i="35" s="1"/>
  <c r="J39" i="35"/>
  <c r="I39" i="35"/>
  <c r="K38" i="35"/>
  <c r="M38" i="35" s="1"/>
  <c r="J38" i="35"/>
  <c r="I38" i="35"/>
  <c r="K37" i="35"/>
  <c r="M37" i="35" s="1"/>
  <c r="J37" i="35"/>
  <c r="I37" i="35"/>
  <c r="K36" i="35"/>
  <c r="M36" i="35" s="1"/>
  <c r="J36" i="35"/>
  <c r="I36" i="35"/>
  <c r="K35" i="35"/>
  <c r="M35" i="35" s="1"/>
  <c r="J35" i="35"/>
  <c r="I35" i="35"/>
  <c r="K34" i="35"/>
  <c r="M34" i="35" s="1"/>
  <c r="J34" i="35"/>
  <c r="I34" i="35"/>
  <c r="K33" i="35"/>
  <c r="J33" i="35"/>
  <c r="I33" i="35"/>
  <c r="K32" i="35"/>
  <c r="J32" i="35"/>
  <c r="I32" i="35"/>
  <c r="K31" i="35"/>
  <c r="J31" i="35"/>
  <c r="I31" i="35"/>
  <c r="K30" i="35"/>
  <c r="J30" i="35"/>
  <c r="I30" i="35"/>
  <c r="K29" i="35"/>
  <c r="J29" i="35"/>
  <c r="I29" i="35"/>
  <c r="K28" i="35"/>
  <c r="J28" i="35"/>
  <c r="I28" i="35"/>
  <c r="K27" i="35"/>
  <c r="J27" i="35"/>
  <c r="I27" i="35"/>
  <c r="H27" i="35"/>
  <c r="K40" i="36"/>
  <c r="M40" i="36" s="1"/>
  <c r="J40" i="36"/>
  <c r="I40" i="36"/>
  <c r="K39" i="36"/>
  <c r="M39" i="36" s="1"/>
  <c r="J39" i="36"/>
  <c r="I39" i="36"/>
  <c r="K38" i="36"/>
  <c r="J38" i="36"/>
  <c r="I38" i="36"/>
  <c r="K37" i="36"/>
  <c r="J37" i="36"/>
  <c r="I37" i="36"/>
  <c r="K36" i="36"/>
  <c r="J36" i="36"/>
  <c r="I36" i="36"/>
  <c r="K35" i="36"/>
  <c r="J35" i="36"/>
  <c r="I35" i="36"/>
  <c r="K34" i="36"/>
  <c r="J34" i="36"/>
  <c r="I34" i="36"/>
  <c r="K33" i="36"/>
  <c r="J33" i="36"/>
  <c r="I33" i="36"/>
  <c r="K32" i="36"/>
  <c r="J32" i="36"/>
  <c r="I32" i="36"/>
  <c r="K31" i="36"/>
  <c r="J31" i="36"/>
  <c r="I31" i="36"/>
  <c r="K30" i="36"/>
  <c r="J30" i="36"/>
  <c r="I30" i="36"/>
  <c r="K29" i="36"/>
  <c r="J29" i="36"/>
  <c r="I29" i="36"/>
  <c r="K28" i="36"/>
  <c r="J28" i="36"/>
  <c r="I28" i="36"/>
  <c r="K27" i="36"/>
  <c r="J27" i="36"/>
  <c r="I27" i="36"/>
  <c r="H27" i="36"/>
  <c r="K40" i="37"/>
  <c r="M40" i="37" s="1"/>
  <c r="J40" i="37"/>
  <c r="I40" i="37"/>
  <c r="K39" i="37"/>
  <c r="M39" i="37" s="1"/>
  <c r="J39" i="37"/>
  <c r="I39" i="37"/>
  <c r="K38" i="37"/>
  <c r="M38" i="37" s="1"/>
  <c r="J38" i="37"/>
  <c r="I38" i="37"/>
  <c r="K37" i="37"/>
  <c r="J37" i="37"/>
  <c r="I37" i="37"/>
  <c r="K36" i="37"/>
  <c r="J36" i="37"/>
  <c r="I36" i="37"/>
  <c r="K35" i="37"/>
  <c r="J35" i="37"/>
  <c r="I35" i="37"/>
  <c r="K34" i="37"/>
  <c r="J34" i="37"/>
  <c r="I34" i="37"/>
  <c r="K33" i="37"/>
  <c r="J33" i="37"/>
  <c r="I33" i="37"/>
  <c r="K32" i="37"/>
  <c r="J32" i="37"/>
  <c r="I32" i="37"/>
  <c r="K31" i="37"/>
  <c r="J31" i="37"/>
  <c r="I31" i="37"/>
  <c r="K30" i="37"/>
  <c r="J30" i="37"/>
  <c r="I30" i="37"/>
  <c r="K29" i="37"/>
  <c r="J29" i="37"/>
  <c r="I29" i="37"/>
  <c r="K28" i="37"/>
  <c r="J28" i="37"/>
  <c r="I28" i="37"/>
  <c r="K27" i="37"/>
  <c r="J27" i="37"/>
  <c r="I27" i="37"/>
  <c r="H27" i="37"/>
  <c r="K40" i="34"/>
  <c r="M40" i="34" s="1"/>
  <c r="J40" i="34"/>
  <c r="I40" i="34"/>
  <c r="K39" i="34"/>
  <c r="J39" i="34"/>
  <c r="I39" i="34"/>
  <c r="K38" i="34"/>
  <c r="J38" i="34"/>
  <c r="I38" i="34"/>
  <c r="K37" i="34"/>
  <c r="J37" i="34"/>
  <c r="I37" i="34"/>
  <c r="K36" i="34"/>
  <c r="J36" i="34"/>
  <c r="I36" i="34"/>
  <c r="K35" i="34"/>
  <c r="J35" i="34"/>
  <c r="I35" i="34"/>
  <c r="K34" i="34"/>
  <c r="J34" i="34"/>
  <c r="I34" i="34"/>
  <c r="K33" i="34"/>
  <c r="J33" i="34"/>
  <c r="I33" i="34"/>
  <c r="K32" i="34"/>
  <c r="J32" i="34"/>
  <c r="I32" i="34"/>
  <c r="K31" i="34"/>
  <c r="J31" i="34"/>
  <c r="I31" i="34"/>
  <c r="K30" i="34"/>
  <c r="J30" i="34"/>
  <c r="I30" i="34"/>
  <c r="K29" i="34"/>
  <c r="J29" i="34"/>
  <c r="I29" i="34"/>
  <c r="K28" i="34"/>
  <c r="J28" i="34"/>
  <c r="I28" i="34"/>
  <c r="K27" i="34"/>
  <c r="J27" i="34"/>
  <c r="I27" i="34"/>
  <c r="H27" i="34"/>
  <c r="K60" i="35"/>
  <c r="M60" i="35" s="1"/>
  <c r="J60" i="35"/>
  <c r="I60" i="35"/>
  <c r="K59" i="35"/>
  <c r="M59" i="35" s="1"/>
  <c r="J59" i="35"/>
  <c r="I59" i="35"/>
  <c r="K58" i="35"/>
  <c r="M58" i="35" s="1"/>
  <c r="J58" i="35"/>
  <c r="I58" i="35"/>
  <c r="K57" i="35"/>
  <c r="M57" i="35" s="1"/>
  <c r="J57" i="35"/>
  <c r="I57" i="35"/>
  <c r="K56" i="35"/>
  <c r="M56" i="35" s="1"/>
  <c r="J56" i="35"/>
  <c r="I56" i="35"/>
  <c r="K55" i="35"/>
  <c r="M55" i="35" s="1"/>
  <c r="J55" i="35"/>
  <c r="I55" i="35"/>
  <c r="K54" i="35"/>
  <c r="M54" i="35" s="1"/>
  <c r="J54" i="35"/>
  <c r="I54" i="35"/>
  <c r="K53" i="35"/>
  <c r="J53" i="35"/>
  <c r="I53" i="35"/>
  <c r="K52" i="35"/>
  <c r="J52" i="35"/>
  <c r="I52" i="35"/>
  <c r="K51" i="35"/>
  <c r="J51" i="35"/>
  <c r="I51" i="35"/>
  <c r="K50" i="35"/>
  <c r="J50" i="35"/>
  <c r="I50" i="35"/>
  <c r="K49" i="35"/>
  <c r="J49" i="35"/>
  <c r="I49" i="35"/>
  <c r="K48" i="35"/>
  <c r="J48" i="35"/>
  <c r="I48" i="35"/>
  <c r="K47" i="35"/>
  <c r="J47" i="35"/>
  <c r="I47" i="35"/>
  <c r="H47" i="35"/>
  <c r="K60" i="36"/>
  <c r="M60" i="36" s="1"/>
  <c r="J60" i="36"/>
  <c r="I60" i="36"/>
  <c r="K59" i="36"/>
  <c r="M59" i="36" s="1"/>
  <c r="J59" i="36"/>
  <c r="I59" i="36"/>
  <c r="K58" i="36"/>
  <c r="J58" i="36"/>
  <c r="I58" i="36"/>
  <c r="K57" i="36"/>
  <c r="J57" i="36"/>
  <c r="I57" i="36"/>
  <c r="K56" i="36"/>
  <c r="J56" i="36"/>
  <c r="I56" i="36"/>
  <c r="K55" i="36"/>
  <c r="J55" i="36"/>
  <c r="I55" i="36"/>
  <c r="K54" i="36"/>
  <c r="J54" i="36"/>
  <c r="I54" i="36"/>
  <c r="K53" i="36"/>
  <c r="J53" i="36"/>
  <c r="I53" i="36"/>
  <c r="K52" i="36"/>
  <c r="J52" i="36"/>
  <c r="I52" i="36"/>
  <c r="K51" i="36"/>
  <c r="J51" i="36"/>
  <c r="I51" i="36"/>
  <c r="K50" i="36"/>
  <c r="J50" i="36"/>
  <c r="I50" i="36"/>
  <c r="K49" i="36"/>
  <c r="J49" i="36"/>
  <c r="I49" i="36"/>
  <c r="K48" i="36"/>
  <c r="J48" i="36"/>
  <c r="I48" i="36"/>
  <c r="K47" i="36"/>
  <c r="J47" i="36"/>
  <c r="I47" i="36"/>
  <c r="H47" i="36"/>
  <c r="K60" i="37"/>
  <c r="M60" i="37" s="1"/>
  <c r="J60" i="37"/>
  <c r="I60" i="37"/>
  <c r="K59" i="37"/>
  <c r="M59" i="37" s="1"/>
  <c r="J59" i="37"/>
  <c r="I59" i="37"/>
  <c r="K58" i="37"/>
  <c r="M58" i="37" s="1"/>
  <c r="J58" i="37"/>
  <c r="I58" i="37"/>
  <c r="K57" i="37"/>
  <c r="J57" i="37"/>
  <c r="I57" i="37"/>
  <c r="K56" i="37"/>
  <c r="J56" i="37"/>
  <c r="I56" i="37"/>
  <c r="K53" i="37"/>
  <c r="J53" i="37"/>
  <c r="I53" i="37"/>
  <c r="K52" i="37"/>
  <c r="J52" i="37"/>
  <c r="I52" i="37"/>
  <c r="K51" i="37"/>
  <c r="J51" i="37"/>
  <c r="I51" i="37"/>
  <c r="K50" i="37"/>
  <c r="J50" i="37"/>
  <c r="I50" i="37"/>
  <c r="K49" i="37"/>
  <c r="J49" i="37"/>
  <c r="I49" i="37"/>
  <c r="K48" i="37"/>
  <c r="J48" i="37"/>
  <c r="I48" i="37"/>
  <c r="K47" i="37"/>
  <c r="J47" i="37"/>
  <c r="I47" i="37"/>
  <c r="H47" i="37"/>
  <c r="K60" i="34"/>
  <c r="M60" i="34" s="1"/>
  <c r="J60" i="34"/>
  <c r="I60" i="34"/>
  <c r="K59" i="34"/>
  <c r="J59" i="34"/>
  <c r="I59" i="34"/>
  <c r="K58" i="34"/>
  <c r="J58" i="34"/>
  <c r="I58" i="34"/>
  <c r="K57" i="34"/>
  <c r="J57" i="34"/>
  <c r="I57" i="34"/>
  <c r="K56" i="34"/>
  <c r="J56" i="34"/>
  <c r="I56" i="34"/>
  <c r="K55" i="34"/>
  <c r="J55" i="34"/>
  <c r="I55" i="34"/>
  <c r="K54" i="34"/>
  <c r="J54" i="34"/>
  <c r="I54" i="34"/>
  <c r="K53" i="34"/>
  <c r="J53" i="34"/>
  <c r="I53" i="34"/>
  <c r="K52" i="34"/>
  <c r="J52" i="34"/>
  <c r="I52" i="34"/>
  <c r="K51" i="34"/>
  <c r="J51" i="34"/>
  <c r="I51" i="34"/>
  <c r="K50" i="34"/>
  <c r="J50" i="34"/>
  <c r="I50" i="34"/>
  <c r="K49" i="34"/>
  <c r="J49" i="34"/>
  <c r="I49" i="34"/>
  <c r="K48" i="34"/>
  <c r="J48" i="34"/>
  <c r="I48" i="34"/>
  <c r="K47" i="34"/>
  <c r="J47" i="34"/>
  <c r="I47" i="34"/>
  <c r="H47" i="34"/>
  <c r="K80" i="35"/>
  <c r="M80" i="35" s="1"/>
  <c r="J80" i="35"/>
  <c r="I80" i="35"/>
  <c r="K79" i="35"/>
  <c r="M79" i="35" s="1"/>
  <c r="J79" i="35"/>
  <c r="I79" i="35"/>
  <c r="K78" i="35"/>
  <c r="M78" i="35" s="1"/>
  <c r="J78" i="35"/>
  <c r="I78" i="35"/>
  <c r="K77" i="35"/>
  <c r="M77" i="35" s="1"/>
  <c r="J77" i="35"/>
  <c r="I77" i="35"/>
  <c r="K76" i="35"/>
  <c r="M76" i="35" s="1"/>
  <c r="J76" i="35"/>
  <c r="I76" i="35"/>
  <c r="K75" i="35"/>
  <c r="M75" i="35" s="1"/>
  <c r="J75" i="35"/>
  <c r="I75" i="35"/>
  <c r="K74" i="35"/>
  <c r="M74" i="35" s="1"/>
  <c r="J74" i="35"/>
  <c r="I74" i="35"/>
  <c r="K73" i="35"/>
  <c r="J73" i="35"/>
  <c r="I73" i="35"/>
  <c r="K72" i="35"/>
  <c r="J72" i="35"/>
  <c r="I72" i="35"/>
  <c r="K71" i="35"/>
  <c r="J71" i="35"/>
  <c r="I71" i="35"/>
  <c r="K70" i="35"/>
  <c r="J70" i="35"/>
  <c r="I70" i="35"/>
  <c r="K69" i="35"/>
  <c r="J69" i="35"/>
  <c r="I69" i="35"/>
  <c r="K68" i="35"/>
  <c r="J68" i="35"/>
  <c r="I68" i="35"/>
  <c r="K67" i="35"/>
  <c r="J67" i="35"/>
  <c r="I67" i="35"/>
  <c r="H67" i="35"/>
  <c r="K80" i="36"/>
  <c r="M80" i="36" s="1"/>
  <c r="J80" i="36"/>
  <c r="I80" i="36"/>
  <c r="K79" i="36"/>
  <c r="M79" i="36" s="1"/>
  <c r="J79" i="36"/>
  <c r="I79" i="36"/>
  <c r="K78" i="36"/>
  <c r="J78" i="36"/>
  <c r="I78" i="36"/>
  <c r="K77" i="36"/>
  <c r="J77" i="36"/>
  <c r="I77" i="36"/>
  <c r="K76" i="36"/>
  <c r="J76" i="36"/>
  <c r="I76" i="36"/>
  <c r="K75" i="36"/>
  <c r="J75" i="36"/>
  <c r="I75" i="36"/>
  <c r="K74" i="36"/>
  <c r="J74" i="36"/>
  <c r="I74" i="36"/>
  <c r="K73" i="36"/>
  <c r="J73" i="36"/>
  <c r="I73" i="36"/>
  <c r="K72" i="36"/>
  <c r="J72" i="36"/>
  <c r="I72" i="36"/>
  <c r="K71" i="36"/>
  <c r="J71" i="36"/>
  <c r="I71" i="36"/>
  <c r="K70" i="36"/>
  <c r="J70" i="36"/>
  <c r="I70" i="36"/>
  <c r="K69" i="36"/>
  <c r="J69" i="36"/>
  <c r="I69" i="36"/>
  <c r="K68" i="36"/>
  <c r="J68" i="36"/>
  <c r="I68" i="36"/>
  <c r="K67" i="36"/>
  <c r="J67" i="36"/>
  <c r="I67" i="36"/>
  <c r="H67" i="36"/>
  <c r="K80" i="37"/>
  <c r="M80" i="37" s="1"/>
  <c r="J80" i="37"/>
  <c r="I80" i="37"/>
  <c r="K79" i="37"/>
  <c r="M79" i="37" s="1"/>
  <c r="J79" i="37"/>
  <c r="I79" i="37"/>
  <c r="K78" i="37"/>
  <c r="M78" i="37" s="1"/>
  <c r="J78" i="37"/>
  <c r="I78" i="37"/>
  <c r="K77" i="37"/>
  <c r="J77" i="37"/>
  <c r="I77" i="37"/>
  <c r="K76" i="37"/>
  <c r="J76" i="37"/>
  <c r="I76" i="37"/>
  <c r="K75" i="37"/>
  <c r="J75" i="37"/>
  <c r="I75" i="37"/>
  <c r="K74" i="37"/>
  <c r="J74" i="37"/>
  <c r="I74" i="37"/>
  <c r="K73" i="37"/>
  <c r="J73" i="37"/>
  <c r="I73" i="37"/>
  <c r="K72" i="37"/>
  <c r="J72" i="37"/>
  <c r="I72" i="37"/>
  <c r="K71" i="37"/>
  <c r="J71" i="37"/>
  <c r="I71" i="37"/>
  <c r="K70" i="37"/>
  <c r="J70" i="37"/>
  <c r="I70" i="37"/>
  <c r="K69" i="37"/>
  <c r="J69" i="37"/>
  <c r="I69" i="37"/>
  <c r="K68" i="37"/>
  <c r="J68" i="37"/>
  <c r="I68" i="37"/>
  <c r="K67" i="37"/>
  <c r="J67" i="37"/>
  <c r="I67" i="37"/>
  <c r="H67" i="37"/>
  <c r="K79" i="34"/>
  <c r="J79" i="34"/>
  <c r="I79" i="34"/>
  <c r="K78" i="34"/>
  <c r="J78" i="34"/>
  <c r="I78" i="34"/>
  <c r="K77" i="34"/>
  <c r="J77" i="34"/>
  <c r="I77" i="34"/>
  <c r="K76" i="34"/>
  <c r="J76" i="34"/>
  <c r="I76" i="34"/>
  <c r="K75" i="34"/>
  <c r="J75" i="34"/>
  <c r="I75" i="34"/>
  <c r="K74" i="34"/>
  <c r="J74" i="34"/>
  <c r="I74" i="34"/>
  <c r="K73" i="34"/>
  <c r="J73" i="34"/>
  <c r="I73" i="34"/>
  <c r="K72" i="34"/>
  <c r="J72" i="34"/>
  <c r="I72" i="34"/>
  <c r="K71" i="34"/>
  <c r="J71" i="34"/>
  <c r="I71" i="34"/>
  <c r="K70" i="34"/>
  <c r="J70" i="34"/>
  <c r="I70" i="34"/>
  <c r="K69" i="34"/>
  <c r="J69" i="34"/>
  <c r="I69" i="34"/>
  <c r="K68" i="34"/>
  <c r="J68" i="34"/>
  <c r="I68" i="34"/>
  <c r="K67" i="34"/>
  <c r="J67" i="34"/>
  <c r="I67" i="34"/>
  <c r="H67" i="34"/>
  <c r="K100" i="35"/>
  <c r="M100" i="35" s="1"/>
  <c r="J100" i="35"/>
  <c r="I100" i="35"/>
  <c r="K99" i="35"/>
  <c r="M99" i="35" s="1"/>
  <c r="J99" i="35"/>
  <c r="I99" i="35"/>
  <c r="K98" i="35"/>
  <c r="M98" i="35" s="1"/>
  <c r="J98" i="35"/>
  <c r="I98" i="35"/>
  <c r="K97" i="35"/>
  <c r="M97" i="35" s="1"/>
  <c r="J97" i="35"/>
  <c r="I97" i="35"/>
  <c r="K96" i="35"/>
  <c r="M96" i="35" s="1"/>
  <c r="J96" i="35"/>
  <c r="I96" i="35"/>
  <c r="K95" i="35"/>
  <c r="M95" i="35" s="1"/>
  <c r="J95" i="35"/>
  <c r="I95" i="35"/>
  <c r="K94" i="35"/>
  <c r="M94" i="35" s="1"/>
  <c r="J94" i="35"/>
  <c r="I94" i="35"/>
  <c r="K93" i="35"/>
  <c r="J93" i="35"/>
  <c r="I93" i="35"/>
  <c r="K92" i="35"/>
  <c r="J92" i="35"/>
  <c r="I92" i="35"/>
  <c r="K91" i="35"/>
  <c r="J91" i="35"/>
  <c r="I91" i="35"/>
  <c r="K90" i="35"/>
  <c r="J90" i="35"/>
  <c r="I90" i="35"/>
  <c r="K89" i="35"/>
  <c r="J89" i="35"/>
  <c r="I89" i="35"/>
  <c r="K88" i="35"/>
  <c r="J88" i="35"/>
  <c r="I88" i="35"/>
  <c r="K87" i="35"/>
  <c r="J87" i="35"/>
  <c r="I87" i="35"/>
  <c r="H87" i="35"/>
  <c r="K100" i="36"/>
  <c r="M100" i="36" s="1"/>
  <c r="J100" i="36"/>
  <c r="I100" i="36"/>
  <c r="K99" i="36"/>
  <c r="M99" i="36" s="1"/>
  <c r="J99" i="36"/>
  <c r="I99" i="36"/>
  <c r="K98" i="36"/>
  <c r="J98" i="36"/>
  <c r="I98" i="36"/>
  <c r="K97" i="36"/>
  <c r="J97" i="36"/>
  <c r="I97" i="36"/>
  <c r="K96" i="36"/>
  <c r="J96" i="36"/>
  <c r="I96" i="36"/>
  <c r="K95" i="36"/>
  <c r="J95" i="36"/>
  <c r="I95" i="36"/>
  <c r="K94" i="36"/>
  <c r="J94" i="36"/>
  <c r="I94" i="36"/>
  <c r="K93" i="36"/>
  <c r="J93" i="36"/>
  <c r="I93" i="36"/>
  <c r="K92" i="36"/>
  <c r="J92" i="36"/>
  <c r="I92" i="36"/>
  <c r="K91" i="36"/>
  <c r="J91" i="36"/>
  <c r="I91" i="36"/>
  <c r="K90" i="36"/>
  <c r="J90" i="36"/>
  <c r="I90" i="36"/>
  <c r="K89" i="36"/>
  <c r="J89" i="36"/>
  <c r="I89" i="36"/>
  <c r="K88" i="36"/>
  <c r="J88" i="36"/>
  <c r="I88" i="36"/>
  <c r="K87" i="36"/>
  <c r="J87" i="36"/>
  <c r="I87" i="36"/>
  <c r="H87" i="36"/>
  <c r="K100" i="37"/>
  <c r="M100" i="37" s="1"/>
  <c r="J100" i="37"/>
  <c r="I100" i="37"/>
  <c r="K99" i="37"/>
  <c r="M99" i="37" s="1"/>
  <c r="J99" i="37"/>
  <c r="I99" i="37"/>
  <c r="K98" i="37"/>
  <c r="M98" i="37" s="1"/>
  <c r="J98" i="37"/>
  <c r="I98" i="37"/>
  <c r="K97" i="37"/>
  <c r="J97" i="37"/>
  <c r="I97" i="37"/>
  <c r="K96" i="37"/>
  <c r="J96" i="37"/>
  <c r="I96" i="37"/>
  <c r="K95" i="37"/>
  <c r="J95" i="37"/>
  <c r="I95" i="37"/>
  <c r="K94" i="37"/>
  <c r="J94" i="37"/>
  <c r="I94" i="37"/>
  <c r="K93" i="37"/>
  <c r="J93" i="37"/>
  <c r="I93" i="37"/>
  <c r="K92" i="37"/>
  <c r="J92" i="37"/>
  <c r="I92" i="37"/>
  <c r="K91" i="37"/>
  <c r="J91" i="37"/>
  <c r="I91" i="37"/>
  <c r="K90" i="37"/>
  <c r="J90" i="37"/>
  <c r="I90" i="37"/>
  <c r="K89" i="37"/>
  <c r="J89" i="37"/>
  <c r="I89" i="37"/>
  <c r="K88" i="37"/>
  <c r="J88" i="37"/>
  <c r="I88" i="37"/>
  <c r="K87" i="37"/>
  <c r="J87" i="37"/>
  <c r="I87" i="37"/>
  <c r="H87" i="37"/>
  <c r="K100" i="34"/>
  <c r="M100" i="34" s="1"/>
  <c r="J100" i="34"/>
  <c r="I100" i="34"/>
  <c r="K99" i="34"/>
  <c r="J99" i="34"/>
  <c r="I99" i="34"/>
  <c r="K98" i="34"/>
  <c r="J98" i="34"/>
  <c r="I98" i="34"/>
  <c r="K97" i="34"/>
  <c r="J97" i="34"/>
  <c r="I97" i="34"/>
  <c r="K96" i="34"/>
  <c r="J96" i="34"/>
  <c r="I96" i="34"/>
  <c r="K95" i="34"/>
  <c r="J95" i="34"/>
  <c r="I95" i="34"/>
  <c r="K94" i="34"/>
  <c r="J94" i="34"/>
  <c r="I94" i="34"/>
  <c r="K93" i="34"/>
  <c r="J93" i="34"/>
  <c r="I93" i="34"/>
  <c r="K92" i="34"/>
  <c r="J92" i="34"/>
  <c r="I92" i="34"/>
  <c r="K91" i="34"/>
  <c r="J91" i="34"/>
  <c r="I91" i="34"/>
  <c r="K90" i="34"/>
  <c r="J90" i="34"/>
  <c r="I90" i="34"/>
  <c r="K89" i="34"/>
  <c r="J89" i="34"/>
  <c r="I89" i="34"/>
  <c r="K88" i="34"/>
  <c r="J88" i="34"/>
  <c r="I88" i="34"/>
  <c r="K87" i="34"/>
  <c r="J87" i="34"/>
  <c r="I87" i="34"/>
  <c r="H87" i="34"/>
  <c r="K40" i="32"/>
  <c r="M40" i="32" s="1"/>
  <c r="J40" i="32"/>
  <c r="I40" i="32"/>
  <c r="K39" i="32"/>
  <c r="M39" i="32" s="1"/>
  <c r="J39" i="32"/>
  <c r="I39" i="32"/>
  <c r="K38" i="32"/>
  <c r="M38" i="32" s="1"/>
  <c r="J38" i="32"/>
  <c r="I38" i="32"/>
  <c r="K37" i="32"/>
  <c r="M37" i="32" s="1"/>
  <c r="J37" i="32"/>
  <c r="I37" i="32"/>
  <c r="K36" i="32"/>
  <c r="M36" i="32" s="1"/>
  <c r="J36" i="32"/>
  <c r="I36" i="32"/>
  <c r="K34" i="32"/>
  <c r="J34" i="32"/>
  <c r="I34" i="32"/>
  <c r="K33" i="32"/>
  <c r="J33" i="32"/>
  <c r="I33" i="32"/>
  <c r="K32" i="32"/>
  <c r="J32" i="32"/>
  <c r="I32" i="32"/>
  <c r="K31" i="32"/>
  <c r="J31" i="32"/>
  <c r="I31" i="32"/>
  <c r="K30" i="32"/>
  <c r="J30" i="32"/>
  <c r="I30" i="32"/>
  <c r="K29" i="32"/>
  <c r="J29" i="32"/>
  <c r="I29" i="32"/>
  <c r="K28" i="32"/>
  <c r="J28" i="32"/>
  <c r="I28" i="32"/>
  <c r="K27" i="32"/>
  <c r="J27" i="32"/>
  <c r="I27" i="32"/>
  <c r="H27" i="32"/>
  <c r="K40" i="31"/>
  <c r="M40" i="31" s="1"/>
  <c r="J40" i="31"/>
  <c r="I40" i="31"/>
  <c r="K39" i="31"/>
  <c r="M39" i="31" s="1"/>
  <c r="J39" i="31"/>
  <c r="I39" i="31"/>
  <c r="K38" i="31"/>
  <c r="M38" i="31" s="1"/>
  <c r="J38" i="31"/>
  <c r="I38" i="31"/>
  <c r="K37" i="31"/>
  <c r="M37" i="31" s="1"/>
  <c r="J37" i="31"/>
  <c r="I37" i="31"/>
  <c r="K36" i="31"/>
  <c r="M36" i="31" s="1"/>
  <c r="J36" i="31"/>
  <c r="I36" i="31"/>
  <c r="K35" i="31"/>
  <c r="M35" i="31" s="1"/>
  <c r="J35" i="31"/>
  <c r="I35" i="31"/>
  <c r="K34" i="31"/>
  <c r="M34" i="31" s="1"/>
  <c r="J34" i="31"/>
  <c r="I34" i="31"/>
  <c r="K33" i="31"/>
  <c r="M33" i="31" s="1"/>
  <c r="J33" i="31"/>
  <c r="I33" i="31"/>
  <c r="K32" i="31"/>
  <c r="M32" i="31" s="1"/>
  <c r="J32" i="31"/>
  <c r="I32" i="31"/>
  <c r="K31" i="31"/>
  <c r="M31" i="31" s="1"/>
  <c r="J31" i="31"/>
  <c r="I31" i="31"/>
  <c r="K30" i="31"/>
  <c r="M30" i="31" s="1"/>
  <c r="J30" i="31"/>
  <c r="I30" i="31"/>
  <c r="K29" i="31"/>
  <c r="J29" i="31"/>
  <c r="I29" i="31"/>
  <c r="K28" i="31"/>
  <c r="J28" i="31"/>
  <c r="I28" i="31"/>
  <c r="K27" i="31"/>
  <c r="J27" i="31"/>
  <c r="I27" i="31"/>
  <c r="H27" i="31"/>
  <c r="K41" i="30"/>
  <c r="M41" i="30" s="1"/>
  <c r="J41" i="30"/>
  <c r="I41" i="30"/>
  <c r="K40" i="30"/>
  <c r="M40" i="30" s="1"/>
  <c r="J40" i="30"/>
  <c r="I40" i="30"/>
  <c r="K39" i="30"/>
  <c r="M39" i="30" s="1"/>
  <c r="J39" i="30"/>
  <c r="I39" i="30"/>
  <c r="K38" i="30"/>
  <c r="M38" i="30" s="1"/>
  <c r="J38" i="30"/>
  <c r="I38" i="30"/>
  <c r="K37" i="30"/>
  <c r="M37" i="30" s="1"/>
  <c r="J37" i="30"/>
  <c r="I37" i="30"/>
  <c r="K36" i="30"/>
  <c r="M36" i="30" s="1"/>
  <c r="J36" i="30"/>
  <c r="I36" i="30"/>
  <c r="K35" i="30"/>
  <c r="M35" i="30" s="1"/>
  <c r="J35" i="30"/>
  <c r="I35" i="30"/>
  <c r="K34" i="30"/>
  <c r="M34" i="30" s="1"/>
  <c r="J34" i="30"/>
  <c r="I34" i="30"/>
  <c r="K33" i="30"/>
  <c r="M33" i="30" s="1"/>
  <c r="J33" i="30"/>
  <c r="I33" i="30"/>
  <c r="K32" i="30"/>
  <c r="M32" i="30" s="1"/>
  <c r="J32" i="30"/>
  <c r="I32" i="30"/>
  <c r="K29" i="30"/>
  <c r="J29" i="30"/>
  <c r="I29" i="30"/>
  <c r="K28" i="30"/>
  <c r="J28" i="30"/>
  <c r="I28" i="30"/>
  <c r="K27" i="30"/>
  <c r="J27" i="30"/>
  <c r="I27" i="30"/>
  <c r="H27" i="30"/>
  <c r="K60" i="32"/>
  <c r="J60" i="32"/>
  <c r="I60" i="32"/>
  <c r="K59" i="32"/>
  <c r="J59" i="32"/>
  <c r="I59" i="32"/>
  <c r="K58" i="32"/>
  <c r="J58" i="32"/>
  <c r="I58" i="32"/>
  <c r="K57" i="32"/>
  <c r="J57" i="32"/>
  <c r="I57" i="32"/>
  <c r="K56" i="32"/>
  <c r="J56" i="32"/>
  <c r="I56" i="32"/>
  <c r="K55" i="32"/>
  <c r="J55" i="32"/>
  <c r="I55" i="32"/>
  <c r="K54" i="32"/>
  <c r="J54" i="32"/>
  <c r="I54" i="32"/>
  <c r="K53" i="32"/>
  <c r="J53" i="32"/>
  <c r="I53" i="32"/>
  <c r="K52" i="32"/>
  <c r="J52" i="32"/>
  <c r="I52" i="32"/>
  <c r="K51" i="32"/>
  <c r="J51" i="32"/>
  <c r="I51" i="32"/>
  <c r="K50" i="32"/>
  <c r="J50" i="32"/>
  <c r="I50" i="32"/>
  <c r="K49" i="32"/>
  <c r="J49" i="32"/>
  <c r="I49" i="32"/>
  <c r="K48" i="32"/>
  <c r="J48" i="32"/>
  <c r="I48" i="32"/>
  <c r="K47" i="32"/>
  <c r="J47" i="32"/>
  <c r="I47" i="32"/>
  <c r="H47" i="32"/>
  <c r="K60" i="31"/>
  <c r="M60" i="31" s="1"/>
  <c r="J60" i="31"/>
  <c r="I60" i="31"/>
  <c r="K59" i="31"/>
  <c r="M59" i="31" s="1"/>
  <c r="J59" i="31"/>
  <c r="I59" i="31"/>
  <c r="K58" i="31"/>
  <c r="M58" i="31" s="1"/>
  <c r="J58" i="31"/>
  <c r="I58" i="31"/>
  <c r="K57" i="31"/>
  <c r="M57" i="31" s="1"/>
  <c r="J57" i="31"/>
  <c r="I57" i="31"/>
  <c r="K56" i="31"/>
  <c r="M56" i="31" s="1"/>
  <c r="J56" i="31"/>
  <c r="I56" i="31"/>
  <c r="K55" i="31"/>
  <c r="M55" i="31" s="1"/>
  <c r="J55" i="31"/>
  <c r="I55" i="31"/>
  <c r="K54" i="31"/>
  <c r="M54" i="31" s="1"/>
  <c r="J54" i="31"/>
  <c r="I54" i="31"/>
  <c r="K53" i="31"/>
  <c r="M53" i="31" s="1"/>
  <c r="J53" i="31"/>
  <c r="I53" i="31"/>
  <c r="K52" i="31"/>
  <c r="M52" i="31" s="1"/>
  <c r="J52" i="31"/>
  <c r="I52" i="31"/>
  <c r="K51" i="31"/>
  <c r="M51" i="31" s="1"/>
  <c r="J51" i="31"/>
  <c r="I51" i="31"/>
  <c r="K50" i="31"/>
  <c r="M50" i="31" s="1"/>
  <c r="J50" i="31"/>
  <c r="I50" i="31"/>
  <c r="K49" i="31"/>
  <c r="J49" i="31"/>
  <c r="I49" i="31"/>
  <c r="K48" i="31"/>
  <c r="J48" i="31"/>
  <c r="I48" i="31"/>
  <c r="K47" i="31"/>
  <c r="J47" i="31"/>
  <c r="I47" i="31"/>
  <c r="H47" i="31"/>
  <c r="K61" i="30"/>
  <c r="M61" i="30" s="1"/>
  <c r="J61" i="30"/>
  <c r="I61" i="30"/>
  <c r="K60" i="30"/>
  <c r="M60" i="30" s="1"/>
  <c r="J60" i="30"/>
  <c r="I60" i="30"/>
  <c r="K59" i="30"/>
  <c r="M59" i="30" s="1"/>
  <c r="J59" i="30"/>
  <c r="I59" i="30"/>
  <c r="K58" i="30"/>
  <c r="M58" i="30" s="1"/>
  <c r="J58" i="30"/>
  <c r="I58" i="30"/>
  <c r="K57" i="30"/>
  <c r="M57" i="30" s="1"/>
  <c r="J57" i="30"/>
  <c r="I57" i="30"/>
  <c r="K56" i="30"/>
  <c r="M56" i="30" s="1"/>
  <c r="J56" i="30"/>
  <c r="I56" i="30"/>
  <c r="K55" i="30"/>
  <c r="M55" i="30" s="1"/>
  <c r="J55" i="30"/>
  <c r="I55" i="30"/>
  <c r="K54" i="30"/>
  <c r="J54" i="30"/>
  <c r="I54" i="30"/>
  <c r="K53" i="30"/>
  <c r="J53" i="30"/>
  <c r="I53" i="30"/>
  <c r="K52" i="30"/>
  <c r="J52" i="30"/>
  <c r="I52" i="30"/>
  <c r="K51" i="30"/>
  <c r="J51" i="30"/>
  <c r="I51" i="30"/>
  <c r="K50" i="30"/>
  <c r="J50" i="30"/>
  <c r="I50" i="30"/>
  <c r="K49" i="30"/>
  <c r="J49" i="30"/>
  <c r="I49" i="30"/>
  <c r="K48" i="30"/>
  <c r="J48" i="30"/>
  <c r="I48" i="30"/>
  <c r="K47" i="30"/>
  <c r="J47" i="30"/>
  <c r="I47" i="30"/>
  <c r="H47" i="30"/>
  <c r="K80" i="32"/>
  <c r="M80" i="32" s="1"/>
  <c r="J80" i="32"/>
  <c r="I80" i="32"/>
  <c r="K79" i="32"/>
  <c r="M79" i="32" s="1"/>
  <c r="J79" i="32"/>
  <c r="I79" i="32"/>
  <c r="K78" i="32"/>
  <c r="M78" i="32" s="1"/>
  <c r="J78" i="32"/>
  <c r="I78" i="32"/>
  <c r="K77" i="32"/>
  <c r="M77" i="32" s="1"/>
  <c r="J77" i="32"/>
  <c r="I77" i="32"/>
  <c r="K76" i="32"/>
  <c r="M76" i="32" s="1"/>
  <c r="J76" i="32"/>
  <c r="I76" i="32"/>
  <c r="K75" i="32"/>
  <c r="J75" i="32"/>
  <c r="I75" i="32"/>
  <c r="K74" i="32"/>
  <c r="J74" i="32"/>
  <c r="I74" i="32"/>
  <c r="K73" i="32"/>
  <c r="J73" i="32"/>
  <c r="I73" i="32"/>
  <c r="K72" i="32"/>
  <c r="J72" i="32"/>
  <c r="I72" i="32"/>
  <c r="K71" i="32"/>
  <c r="J71" i="32"/>
  <c r="I71" i="32"/>
  <c r="K70" i="32"/>
  <c r="J70" i="32"/>
  <c r="I70" i="32"/>
  <c r="K69" i="32"/>
  <c r="J69" i="32"/>
  <c r="I69" i="32"/>
  <c r="K68" i="32"/>
  <c r="J68" i="32"/>
  <c r="I68" i="32"/>
  <c r="K67" i="32"/>
  <c r="J67" i="32"/>
  <c r="I67" i="32"/>
  <c r="H67" i="32"/>
  <c r="K81" i="30"/>
  <c r="M81" i="30" s="1"/>
  <c r="J81" i="30"/>
  <c r="I81" i="30"/>
  <c r="K80" i="30"/>
  <c r="M80" i="30" s="1"/>
  <c r="J80" i="30"/>
  <c r="I80" i="30"/>
  <c r="K79" i="30"/>
  <c r="M79" i="30" s="1"/>
  <c r="J79" i="30"/>
  <c r="I79" i="30"/>
  <c r="K78" i="30"/>
  <c r="M78" i="30" s="1"/>
  <c r="J78" i="30"/>
  <c r="I78" i="30"/>
  <c r="K77" i="30"/>
  <c r="M77" i="30" s="1"/>
  <c r="J77" i="30"/>
  <c r="I77" i="30"/>
  <c r="K76" i="30"/>
  <c r="M76" i="30" s="1"/>
  <c r="J76" i="30"/>
  <c r="I76" i="30"/>
  <c r="K75" i="30"/>
  <c r="M75" i="30" s="1"/>
  <c r="J75" i="30"/>
  <c r="I75" i="30"/>
  <c r="K74" i="30"/>
  <c r="M74" i="30" s="1"/>
  <c r="J74" i="30"/>
  <c r="I74" i="30"/>
  <c r="K73" i="30"/>
  <c r="M73" i="30" s="1"/>
  <c r="J73" i="30"/>
  <c r="I73" i="30"/>
  <c r="K72" i="30"/>
  <c r="M72" i="30" s="1"/>
  <c r="J72" i="30"/>
  <c r="I72" i="30"/>
  <c r="K71" i="30"/>
  <c r="M71" i="30" s="1"/>
  <c r="J71" i="30"/>
  <c r="I71" i="30"/>
  <c r="K70" i="30"/>
  <c r="J70" i="30"/>
  <c r="I70" i="30"/>
  <c r="K69" i="30"/>
  <c r="J69" i="30"/>
  <c r="I69" i="30"/>
  <c r="K68" i="30"/>
  <c r="J68" i="30"/>
  <c r="I68" i="30"/>
  <c r="K67" i="30"/>
  <c r="J67" i="30"/>
  <c r="I67" i="30"/>
  <c r="H67" i="30"/>
  <c r="K100" i="32"/>
  <c r="M100" i="32" s="1"/>
  <c r="J100" i="32"/>
  <c r="I100" i="32"/>
  <c r="K99" i="32"/>
  <c r="M99" i="32" s="1"/>
  <c r="J99" i="32"/>
  <c r="I99" i="32"/>
  <c r="K98" i="32"/>
  <c r="M98" i="32" s="1"/>
  <c r="J98" i="32"/>
  <c r="I98" i="32"/>
  <c r="K97" i="32"/>
  <c r="M97" i="32" s="1"/>
  <c r="J97" i="32"/>
  <c r="I97" i="32"/>
  <c r="K96" i="32"/>
  <c r="M96" i="32" s="1"/>
  <c r="J96" i="32"/>
  <c r="I96" i="32"/>
  <c r="K95" i="32"/>
  <c r="J95" i="32"/>
  <c r="I95" i="32"/>
  <c r="K94" i="32"/>
  <c r="J94" i="32"/>
  <c r="I94" i="32"/>
  <c r="K93" i="32"/>
  <c r="J93" i="32"/>
  <c r="I93" i="32"/>
  <c r="K92" i="32"/>
  <c r="J92" i="32"/>
  <c r="I92" i="32"/>
  <c r="K91" i="32"/>
  <c r="J91" i="32"/>
  <c r="I91" i="32"/>
  <c r="K90" i="32"/>
  <c r="J90" i="32"/>
  <c r="I90" i="32"/>
  <c r="K89" i="32"/>
  <c r="J89" i="32"/>
  <c r="I89" i="32"/>
  <c r="K88" i="32"/>
  <c r="J88" i="32"/>
  <c r="I88" i="32"/>
  <c r="K87" i="32"/>
  <c r="J87" i="32"/>
  <c r="I87" i="32"/>
  <c r="H87" i="32"/>
  <c r="K100" i="31"/>
  <c r="J100" i="31"/>
  <c r="I100" i="31"/>
  <c r="K99" i="31"/>
  <c r="J99" i="31"/>
  <c r="I99" i="31"/>
  <c r="K98" i="31"/>
  <c r="J98" i="31"/>
  <c r="I98" i="31"/>
  <c r="K97" i="31"/>
  <c r="J97" i="31"/>
  <c r="I97" i="31"/>
  <c r="K96" i="31"/>
  <c r="J96" i="31"/>
  <c r="I96" i="31"/>
  <c r="K95" i="31"/>
  <c r="J95" i="31"/>
  <c r="I95" i="31"/>
  <c r="K94" i="31"/>
  <c r="J94" i="31"/>
  <c r="I94" i="31"/>
  <c r="K93" i="31"/>
  <c r="J93" i="31"/>
  <c r="I93" i="31"/>
  <c r="K92" i="31"/>
  <c r="J92" i="31"/>
  <c r="I92" i="31"/>
  <c r="K91" i="31"/>
  <c r="J91" i="31"/>
  <c r="I91" i="31"/>
  <c r="K90" i="31"/>
  <c r="J90" i="31"/>
  <c r="I90" i="31"/>
  <c r="K89" i="31"/>
  <c r="J89" i="31"/>
  <c r="I89" i="31"/>
  <c r="K88" i="31"/>
  <c r="J88" i="31"/>
  <c r="I88" i="31"/>
  <c r="K87" i="31"/>
  <c r="J87" i="31"/>
  <c r="I87" i="31"/>
  <c r="H87" i="31"/>
  <c r="K101" i="30"/>
  <c r="M101" i="30" s="1"/>
  <c r="J101" i="30"/>
  <c r="I101" i="30"/>
  <c r="K100" i="30"/>
  <c r="M100" i="30" s="1"/>
  <c r="J100" i="30"/>
  <c r="I100" i="30"/>
  <c r="K99" i="30"/>
  <c r="M99" i="30" s="1"/>
  <c r="J99" i="30"/>
  <c r="I99" i="30"/>
  <c r="K98" i="30"/>
  <c r="M98" i="30" s="1"/>
  <c r="J98" i="30"/>
  <c r="I98" i="30"/>
  <c r="K97" i="30"/>
  <c r="M97" i="30" s="1"/>
  <c r="J97" i="30"/>
  <c r="I97" i="30"/>
  <c r="K96" i="30"/>
  <c r="M96" i="30" s="1"/>
  <c r="J96" i="30"/>
  <c r="I96" i="30"/>
  <c r="K95" i="30"/>
  <c r="M95" i="30" s="1"/>
  <c r="J95" i="30"/>
  <c r="I95" i="30"/>
  <c r="K94" i="30"/>
  <c r="M94" i="30" s="1"/>
  <c r="J94" i="30"/>
  <c r="I94" i="30"/>
  <c r="K93" i="30"/>
  <c r="M93" i="30" s="1"/>
  <c r="J93" i="30"/>
  <c r="I93" i="30"/>
  <c r="K92" i="30"/>
  <c r="M92" i="30" s="1"/>
  <c r="J92" i="30"/>
  <c r="I92" i="30"/>
  <c r="K91" i="30"/>
  <c r="M91" i="30" s="1"/>
  <c r="J91" i="30"/>
  <c r="I91" i="30"/>
  <c r="K90" i="30"/>
  <c r="J90" i="30"/>
  <c r="I90" i="30"/>
  <c r="K89" i="30"/>
  <c r="J89" i="30"/>
  <c r="I89" i="30"/>
  <c r="K88" i="30"/>
  <c r="J88" i="30"/>
  <c r="I88" i="30"/>
  <c r="K87" i="30"/>
  <c r="J87" i="30"/>
  <c r="I87" i="30"/>
  <c r="H87" i="30"/>
  <c r="V12" i="5"/>
  <c r="I11" i="39" s="1"/>
  <c r="V26" i="5"/>
  <c r="V6" i="5"/>
  <c r="P26" i="5"/>
  <c r="P12" i="5"/>
  <c r="I9" i="39" s="1"/>
  <c r="M12" i="5"/>
  <c r="I8" i="39" s="1"/>
  <c r="M26" i="5"/>
  <c r="G12" i="5"/>
  <c r="I6" i="39" s="1"/>
  <c r="G26" i="5"/>
  <c r="G6" i="5"/>
  <c r="S33" i="3"/>
  <c r="S26" i="3"/>
  <c r="S19" i="3"/>
  <c r="S12" i="3"/>
  <c r="B10" i="39" s="1"/>
  <c r="S6" i="3"/>
  <c r="M33" i="3"/>
  <c r="M26" i="3"/>
  <c r="M19" i="3"/>
  <c r="M12" i="3"/>
  <c r="B8" i="39" s="1"/>
  <c r="M6" i="3"/>
  <c r="J12" i="3"/>
  <c r="B7" i="39" s="1"/>
  <c r="J19" i="3"/>
  <c r="J26" i="3"/>
  <c r="J33" i="3"/>
  <c r="J6" i="3"/>
  <c r="G19" i="3"/>
  <c r="G26" i="3"/>
  <c r="G33" i="3"/>
  <c r="G12" i="3"/>
  <c r="B6" i="39" s="1"/>
  <c r="G6" i="3"/>
  <c r="M9" i="30" l="1"/>
  <c r="M7" i="30"/>
  <c r="M10" i="30"/>
  <c r="M8" i="30"/>
  <c r="M16" i="34"/>
  <c r="M8" i="34"/>
  <c r="M14" i="34"/>
  <c r="M12" i="34"/>
  <c r="M10" i="34"/>
  <c r="M15" i="34"/>
  <c r="M7" i="34"/>
  <c r="M13" i="34"/>
  <c r="M9" i="34"/>
  <c r="M11" i="34"/>
  <c r="M13" i="32"/>
  <c r="M11" i="32"/>
  <c r="M9" i="32"/>
  <c r="M21" i="32"/>
  <c r="M15" i="32"/>
  <c r="M8" i="32"/>
  <c r="M7" i="32"/>
  <c r="M10" i="32"/>
  <c r="M12" i="32"/>
  <c r="M14" i="32"/>
  <c r="M9" i="35"/>
  <c r="M7" i="35"/>
  <c r="M21" i="35"/>
  <c r="M13" i="35"/>
  <c r="M11" i="35"/>
  <c r="M12" i="35"/>
  <c r="M10" i="35"/>
  <c r="M8" i="35"/>
  <c r="M21" i="31"/>
  <c r="M21" i="36"/>
  <c r="M12" i="36"/>
  <c r="M7" i="36"/>
  <c r="M10" i="36"/>
  <c r="M8" i="36"/>
  <c r="M14" i="36"/>
  <c r="M11" i="36"/>
  <c r="M13" i="36"/>
  <c r="M9" i="36"/>
  <c r="M15" i="37"/>
  <c r="M13" i="37"/>
  <c r="M11" i="37"/>
  <c r="M9" i="37"/>
  <c r="M21" i="37"/>
  <c r="M12" i="37"/>
  <c r="M10" i="37"/>
  <c r="M8" i="37"/>
  <c r="M14" i="37"/>
  <c r="M7" i="37"/>
  <c r="V19" i="3"/>
  <c r="V26" i="3"/>
  <c r="M87" i="30"/>
  <c r="M89" i="34"/>
  <c r="M88" i="37"/>
  <c r="M98" i="36"/>
  <c r="M99" i="34"/>
  <c r="M95" i="32"/>
  <c r="M90" i="30"/>
  <c r="M78" i="36"/>
  <c r="M75" i="32"/>
  <c r="M70" i="30"/>
  <c r="M58" i="36"/>
  <c r="M38" i="36"/>
  <c r="M37" i="36"/>
  <c r="M88" i="30"/>
  <c r="M87" i="34"/>
  <c r="M91" i="34"/>
  <c r="M95" i="34"/>
  <c r="M90" i="37"/>
  <c r="M94" i="37"/>
  <c r="M90" i="34"/>
  <c r="M94" i="34"/>
  <c r="M98" i="34"/>
  <c r="M89" i="37"/>
  <c r="M93" i="37"/>
  <c r="M97" i="37"/>
  <c r="M93" i="34"/>
  <c r="M97" i="34"/>
  <c r="M92" i="37"/>
  <c r="M96" i="37"/>
  <c r="M89" i="30"/>
  <c r="M88" i="34"/>
  <c r="M92" i="34"/>
  <c r="M96" i="34"/>
  <c r="M87" i="37"/>
  <c r="M101" i="37"/>
  <c r="M91" i="37"/>
  <c r="M95" i="37"/>
  <c r="M97" i="36"/>
  <c r="M88" i="36"/>
  <c r="M96" i="36"/>
  <c r="M77" i="37"/>
  <c r="M76" i="37"/>
  <c r="M74" i="36"/>
  <c r="M76" i="36"/>
  <c r="M77" i="36"/>
  <c r="M75" i="36"/>
  <c r="M73" i="35"/>
  <c r="M68" i="34"/>
  <c r="M57" i="32"/>
  <c r="M60" i="32"/>
  <c r="M59" i="32"/>
  <c r="M58" i="32"/>
  <c r="L47" i="32"/>
  <c r="M57" i="37"/>
  <c r="M50" i="37"/>
  <c r="M56" i="37"/>
  <c r="M56" i="36"/>
  <c r="M55" i="36"/>
  <c r="M54" i="36"/>
  <c r="M57" i="36"/>
  <c r="M53" i="35"/>
  <c r="M56" i="32"/>
  <c r="M55" i="32"/>
  <c r="M36" i="37"/>
  <c r="M37" i="37"/>
  <c r="M35" i="37"/>
  <c r="M34" i="37"/>
  <c r="M36" i="36"/>
  <c r="M35" i="36"/>
  <c r="M34" i="36"/>
  <c r="M33" i="35"/>
  <c r="M39" i="34"/>
  <c r="M68" i="30"/>
  <c r="M88" i="32"/>
  <c r="M92" i="32"/>
  <c r="M67" i="30"/>
  <c r="M49" i="32"/>
  <c r="M89" i="36"/>
  <c r="M93" i="36"/>
  <c r="M88" i="35"/>
  <c r="M92" i="35"/>
  <c r="M71" i="34"/>
  <c r="M75" i="34"/>
  <c r="M79" i="34"/>
  <c r="M67" i="37"/>
  <c r="M101" i="32"/>
  <c r="M87" i="32"/>
  <c r="M91" i="32"/>
  <c r="M92" i="36"/>
  <c r="M87" i="35"/>
  <c r="M101" i="35"/>
  <c r="M91" i="35"/>
  <c r="M70" i="34"/>
  <c r="M74" i="34"/>
  <c r="M78" i="34"/>
  <c r="M90" i="32"/>
  <c r="M94" i="32"/>
  <c r="M69" i="30"/>
  <c r="M48" i="31"/>
  <c r="M101" i="36"/>
  <c r="M87" i="36"/>
  <c r="M91" i="36"/>
  <c r="M95" i="36"/>
  <c r="M90" i="35"/>
  <c r="M69" i="34"/>
  <c r="M73" i="34"/>
  <c r="M77" i="34"/>
  <c r="M89" i="32"/>
  <c r="M93" i="32"/>
  <c r="M90" i="36"/>
  <c r="M94" i="36"/>
  <c r="M89" i="35"/>
  <c r="M93" i="35"/>
  <c r="M72" i="34"/>
  <c r="M76" i="34"/>
  <c r="M48" i="37"/>
  <c r="M48" i="35"/>
  <c r="M99" i="31"/>
  <c r="M91" i="31"/>
  <c r="M95" i="31"/>
  <c r="M100" i="31"/>
  <c r="M89" i="31"/>
  <c r="M94" i="31"/>
  <c r="M98" i="31"/>
  <c r="M88" i="31"/>
  <c r="M93" i="31"/>
  <c r="M97" i="31"/>
  <c r="M90" i="31"/>
  <c r="M87" i="31"/>
  <c r="M92" i="31"/>
  <c r="M96" i="31"/>
  <c r="P33" i="3"/>
  <c r="V33" i="3"/>
  <c r="L87" i="31"/>
  <c r="M69" i="32"/>
  <c r="M71" i="32"/>
  <c r="M49" i="31"/>
  <c r="M48" i="32"/>
  <c r="M52" i="32"/>
  <c r="M27" i="30"/>
  <c r="M67" i="34"/>
  <c r="M48" i="34"/>
  <c r="M52" i="34"/>
  <c r="M56" i="34"/>
  <c r="M54" i="37"/>
  <c r="M55" i="37"/>
  <c r="M47" i="37"/>
  <c r="M61" i="37"/>
  <c r="M51" i="37"/>
  <c r="M48" i="36"/>
  <c r="M52" i="36"/>
  <c r="M47" i="35"/>
  <c r="M61" i="35"/>
  <c r="M51" i="35"/>
  <c r="M47" i="32"/>
  <c r="M61" i="32"/>
  <c r="M51" i="32"/>
  <c r="M47" i="34"/>
  <c r="M61" i="34"/>
  <c r="M51" i="34"/>
  <c r="M55" i="34"/>
  <c r="M59" i="34"/>
  <c r="M61" i="36"/>
  <c r="M47" i="36"/>
  <c r="M51" i="36"/>
  <c r="M50" i="35"/>
  <c r="M28" i="34"/>
  <c r="M28" i="36"/>
  <c r="P12" i="3"/>
  <c r="B9" i="39" s="1"/>
  <c r="M73" i="32"/>
  <c r="M61" i="31"/>
  <c r="M47" i="31"/>
  <c r="M50" i="32"/>
  <c r="M54" i="32"/>
  <c r="M29" i="32"/>
  <c r="M70" i="36"/>
  <c r="M71" i="35"/>
  <c r="M50" i="34"/>
  <c r="M54" i="34"/>
  <c r="M58" i="34"/>
  <c r="M49" i="37"/>
  <c r="M53" i="37"/>
  <c r="M50" i="36"/>
  <c r="M49" i="35"/>
  <c r="M53" i="32"/>
  <c r="M71" i="37"/>
  <c r="M75" i="37"/>
  <c r="M49" i="34"/>
  <c r="M53" i="34"/>
  <c r="M57" i="34"/>
  <c r="M52" i="37"/>
  <c r="M49" i="36"/>
  <c r="M53" i="36"/>
  <c r="M52" i="35"/>
  <c r="M70" i="37"/>
  <c r="M74" i="37"/>
  <c r="M72" i="37"/>
  <c r="M68" i="37"/>
  <c r="M73" i="37"/>
  <c r="M72" i="36"/>
  <c r="M71" i="36"/>
  <c r="M69" i="36"/>
  <c r="M68" i="36"/>
  <c r="M73" i="36"/>
  <c r="M70" i="35"/>
  <c r="M68" i="35"/>
  <c r="M69" i="35"/>
  <c r="M67" i="35"/>
  <c r="M72" i="35"/>
  <c r="M70" i="32"/>
  <c r="M68" i="32"/>
  <c r="M74" i="32"/>
  <c r="L67" i="32"/>
  <c r="M72" i="32"/>
  <c r="P26" i="3"/>
  <c r="M51" i="30"/>
  <c r="M53" i="30"/>
  <c r="M47" i="30"/>
  <c r="M50" i="30"/>
  <c r="M49" i="30"/>
  <c r="M48" i="30"/>
  <c r="M54" i="30"/>
  <c r="M52" i="30"/>
  <c r="P19" i="3"/>
  <c r="V12" i="3"/>
  <c r="B11" i="39" s="1"/>
  <c r="M30" i="30"/>
  <c r="M33" i="32"/>
  <c r="L87" i="36"/>
  <c r="L67" i="34"/>
  <c r="L47" i="35"/>
  <c r="L87" i="32"/>
  <c r="L47" i="30"/>
  <c r="L87" i="34"/>
  <c r="L67" i="37"/>
  <c r="M81" i="36"/>
  <c r="M32" i="34"/>
  <c r="M36" i="34"/>
  <c r="M27" i="37"/>
  <c r="M41" i="37"/>
  <c r="M30" i="37"/>
  <c r="M32" i="36"/>
  <c r="M27" i="35"/>
  <c r="M41" i="35"/>
  <c r="M30" i="35"/>
  <c r="L67" i="30"/>
  <c r="M28" i="30"/>
  <c r="M29" i="31"/>
  <c r="M31" i="32"/>
  <c r="M35" i="32"/>
  <c r="M101" i="31"/>
  <c r="M67" i="32"/>
  <c r="M31" i="30"/>
  <c r="M28" i="31"/>
  <c r="M27" i="32"/>
  <c r="M41" i="32"/>
  <c r="M30" i="32"/>
  <c r="M34" i="32"/>
  <c r="M31" i="34"/>
  <c r="M35" i="34"/>
  <c r="M29" i="37"/>
  <c r="M33" i="37"/>
  <c r="M31" i="36"/>
  <c r="M29" i="35"/>
  <c r="L67" i="36"/>
  <c r="L47" i="34"/>
  <c r="M27" i="34"/>
  <c r="M41" i="34"/>
  <c r="M30" i="34"/>
  <c r="M34" i="34"/>
  <c r="M38" i="34"/>
  <c r="M28" i="37"/>
  <c r="M32" i="37"/>
  <c r="M27" i="36"/>
  <c r="M41" i="36"/>
  <c r="M30" i="36"/>
  <c r="M28" i="35"/>
  <c r="M32" i="35"/>
  <c r="M29" i="30"/>
  <c r="M27" i="31"/>
  <c r="M41" i="31"/>
  <c r="M28" i="32"/>
  <c r="M32" i="32"/>
  <c r="L87" i="37"/>
  <c r="M67" i="36"/>
  <c r="L47" i="37"/>
  <c r="M29" i="34"/>
  <c r="M33" i="34"/>
  <c r="M37" i="34"/>
  <c r="M31" i="37"/>
  <c r="M29" i="36"/>
  <c r="M33" i="36"/>
  <c r="M31" i="35"/>
  <c r="L27" i="37"/>
  <c r="B36" i="39" s="1"/>
  <c r="L27" i="35"/>
  <c r="B34" i="39" s="1"/>
  <c r="L27" i="32"/>
  <c r="B30" i="39" s="1"/>
  <c r="L27" i="30"/>
  <c r="B29" i="39" s="1"/>
  <c r="L27" i="34"/>
  <c r="B33" i="39" s="1"/>
  <c r="L27" i="36"/>
  <c r="B35" i="39" s="1"/>
  <c r="M81" i="37"/>
  <c r="L47" i="36"/>
  <c r="M81" i="35"/>
  <c r="M69" i="37"/>
  <c r="L67" i="35"/>
  <c r="L87" i="35"/>
  <c r="L27" i="31"/>
  <c r="B31" i="39" s="1"/>
  <c r="L47" i="31"/>
  <c r="M81" i="32"/>
  <c r="L87" i="30"/>
  <c r="D31" i="39" l="1"/>
  <c r="AZ121" i="30"/>
  <c r="AZ120" i="30"/>
  <c r="AZ119" i="30"/>
  <c r="AZ118" i="30"/>
  <c r="AZ117" i="30"/>
  <c r="AZ116" i="30"/>
  <c r="AZ115" i="30"/>
  <c r="AZ114" i="30"/>
  <c r="AZ113" i="30"/>
  <c r="AZ112" i="30"/>
  <c r="AZ111" i="30"/>
  <c r="AZ110" i="30"/>
  <c r="AZ109" i="30"/>
  <c r="AZ108" i="30"/>
  <c r="BA107" i="30"/>
  <c r="AZ107" i="30"/>
  <c r="AZ101" i="30"/>
  <c r="AZ100" i="30"/>
  <c r="AZ99" i="30"/>
  <c r="AZ98" i="30"/>
  <c r="AZ97" i="30"/>
  <c r="AZ96" i="30"/>
  <c r="AZ95" i="30"/>
  <c r="AZ94" i="30"/>
  <c r="AZ93" i="30"/>
  <c r="AZ92" i="30"/>
  <c r="AZ91" i="30"/>
  <c r="AZ90" i="30"/>
  <c r="AZ89" i="30"/>
  <c r="AZ88" i="30"/>
  <c r="BA87" i="30"/>
  <c r="AZ87" i="30"/>
  <c r="AZ81" i="30"/>
  <c r="AZ80" i="30"/>
  <c r="AZ79" i="30"/>
  <c r="AZ78" i="30"/>
  <c r="AZ77" i="30"/>
  <c r="AZ76" i="30"/>
  <c r="AZ75" i="30"/>
  <c r="AZ74" i="30"/>
  <c r="AZ73" i="30"/>
  <c r="AZ72" i="30"/>
  <c r="AZ71" i="30"/>
  <c r="AZ70" i="30"/>
  <c r="AZ69" i="30"/>
  <c r="AZ68" i="30"/>
  <c r="BA67" i="30"/>
  <c r="AZ67" i="30"/>
  <c r="BA47" i="30"/>
  <c r="AZ47" i="30"/>
  <c r="AZ41" i="30"/>
  <c r="AZ40" i="30"/>
  <c r="AZ39" i="30"/>
  <c r="AZ38" i="30"/>
  <c r="AZ37" i="30"/>
  <c r="AZ36" i="30"/>
  <c r="AZ35" i="30"/>
  <c r="AZ34" i="30"/>
  <c r="AZ33" i="30"/>
  <c r="AZ32" i="30"/>
  <c r="AZ31" i="30"/>
  <c r="AZ30" i="30"/>
  <c r="AZ29" i="30"/>
  <c r="AZ28" i="30"/>
  <c r="BA27" i="30"/>
  <c r="AZ27" i="30"/>
  <c r="AZ21" i="30"/>
  <c r="AZ20" i="30"/>
  <c r="AZ19" i="30"/>
  <c r="AZ18" i="30"/>
  <c r="AZ17" i="30"/>
  <c r="AZ16" i="30"/>
  <c r="AZ15" i="30"/>
  <c r="AZ14" i="30"/>
  <c r="AZ13" i="30"/>
  <c r="AZ12" i="30"/>
  <c r="AZ11" i="30"/>
  <c r="AZ10" i="30"/>
  <c r="AZ9" i="30"/>
  <c r="AZ8" i="30"/>
  <c r="BA7" i="30"/>
  <c r="AZ7" i="30"/>
  <c r="AZ211" i="8"/>
  <c r="AZ210" i="8"/>
  <c r="AZ209" i="8"/>
  <c r="AZ208" i="8"/>
  <c r="AZ207" i="8"/>
  <c r="AZ206" i="8"/>
  <c r="AZ205" i="8"/>
  <c r="AZ204" i="8"/>
  <c r="AZ203" i="8"/>
  <c r="AZ202" i="8"/>
  <c r="AZ201" i="8"/>
  <c r="AZ200" i="8"/>
  <c r="AZ199" i="8"/>
  <c r="AZ198" i="8"/>
  <c r="AZ197" i="8"/>
  <c r="AZ196" i="8"/>
  <c r="AZ195" i="8"/>
  <c r="AZ194" i="8"/>
  <c r="AZ193" i="8"/>
  <c r="AZ192" i="8"/>
  <c r="AZ191" i="8"/>
  <c r="AZ190" i="8"/>
  <c r="AZ189" i="8"/>
  <c r="AZ188" i="8"/>
  <c r="AZ187" i="8"/>
  <c r="AZ186" i="8"/>
  <c r="AZ185" i="8"/>
  <c r="AZ184" i="8"/>
  <c r="AZ183" i="8"/>
  <c r="BA182" i="8"/>
  <c r="AZ182" i="8"/>
  <c r="AZ176" i="8"/>
  <c r="AZ175" i="8"/>
  <c r="AZ174" i="8"/>
  <c r="AZ173" i="8"/>
  <c r="AZ172" i="8"/>
  <c r="AZ171" i="8"/>
  <c r="AZ170" i="8"/>
  <c r="AZ169" i="8"/>
  <c r="AZ168" i="8"/>
  <c r="AZ167" i="8"/>
  <c r="AZ166" i="8"/>
  <c r="AZ165" i="8"/>
  <c r="AZ164" i="8"/>
  <c r="AZ163" i="8"/>
  <c r="AZ162" i="8"/>
  <c r="AZ161" i="8"/>
  <c r="AZ160" i="8"/>
  <c r="AZ159" i="8"/>
  <c r="AZ158" i="8"/>
  <c r="AZ157" i="8"/>
  <c r="AZ156" i="8"/>
  <c r="AZ155" i="8"/>
  <c r="AZ154" i="8"/>
  <c r="AZ153" i="8"/>
  <c r="AZ152" i="8"/>
  <c r="AZ151" i="8"/>
  <c r="AZ150" i="8"/>
  <c r="AZ149" i="8"/>
  <c r="AZ148" i="8"/>
  <c r="BA147" i="8"/>
  <c r="AZ147" i="8"/>
  <c r="AZ141" i="8"/>
  <c r="AZ140" i="8"/>
  <c r="AZ139" i="8"/>
  <c r="AZ138" i="8"/>
  <c r="AZ137" i="8"/>
  <c r="AZ136" i="8"/>
  <c r="AZ135" i="8"/>
  <c r="AZ134" i="8"/>
  <c r="AZ133" i="8"/>
  <c r="AZ132" i="8"/>
  <c r="AZ131" i="8"/>
  <c r="AZ130" i="8"/>
  <c r="AZ129" i="8"/>
  <c r="AZ128" i="8"/>
  <c r="AZ127" i="8"/>
  <c r="AZ126" i="8"/>
  <c r="AZ125" i="8"/>
  <c r="AZ124" i="8"/>
  <c r="AZ123" i="8"/>
  <c r="AZ122" i="8"/>
  <c r="AZ121" i="8"/>
  <c r="AZ120" i="8"/>
  <c r="AZ119" i="8"/>
  <c r="AZ118" i="8"/>
  <c r="AZ117" i="8"/>
  <c r="AZ116" i="8"/>
  <c r="AZ115" i="8"/>
  <c r="AZ114" i="8"/>
  <c r="AZ113" i="8"/>
  <c r="BA112" i="8"/>
  <c r="AZ112" i="8"/>
  <c r="AZ106" i="8"/>
  <c r="AZ105" i="8"/>
  <c r="AZ104" i="8"/>
  <c r="AZ103" i="8"/>
  <c r="AZ102" i="8"/>
  <c r="AZ101" i="8"/>
  <c r="AZ100" i="8"/>
  <c r="AZ99" i="8"/>
  <c r="AZ98" i="8"/>
  <c r="AZ97" i="8"/>
  <c r="AZ96" i="8"/>
  <c r="AZ95" i="8"/>
  <c r="AZ94" i="8"/>
  <c r="AZ93" i="8"/>
  <c r="AZ92" i="8"/>
  <c r="AZ91" i="8"/>
  <c r="AZ90" i="8"/>
  <c r="AZ89" i="8"/>
  <c r="AZ88" i="8"/>
  <c r="AZ87" i="8"/>
  <c r="AZ86" i="8"/>
  <c r="AZ85" i="8"/>
  <c r="AZ84" i="8"/>
  <c r="AZ83" i="8"/>
  <c r="AZ82" i="8"/>
  <c r="AZ81" i="8"/>
  <c r="AZ80" i="8"/>
  <c r="AZ79" i="8"/>
  <c r="AZ78" i="8"/>
  <c r="BA77" i="8"/>
  <c r="AZ77" i="8"/>
  <c r="AZ71" i="8"/>
  <c r="AZ70" i="8"/>
  <c r="AZ69" i="8"/>
  <c r="AZ68" i="8"/>
  <c r="AZ67" i="8"/>
  <c r="AZ66" i="8"/>
  <c r="AZ65" i="8"/>
  <c r="AZ64" i="8"/>
  <c r="AZ63" i="8"/>
  <c r="AZ62" i="8"/>
  <c r="AZ61" i="8"/>
  <c r="AZ60" i="8"/>
  <c r="AZ59" i="8"/>
  <c r="AZ58" i="8"/>
  <c r="AZ57" i="8"/>
  <c r="AZ56" i="8"/>
  <c r="AZ55" i="8"/>
  <c r="AZ54" i="8"/>
  <c r="AZ53" i="8"/>
  <c r="AZ52" i="8"/>
  <c r="AZ51" i="8"/>
  <c r="AZ50" i="8"/>
  <c r="AZ49" i="8"/>
  <c r="AZ48" i="8"/>
  <c r="AZ47" i="8"/>
  <c r="AZ46" i="8"/>
  <c r="AZ45" i="8"/>
  <c r="AZ44" i="8"/>
  <c r="AZ43" i="8"/>
  <c r="BA42" i="8"/>
  <c r="AZ42" i="8"/>
  <c r="AZ36" i="8"/>
  <c r="AZ35" i="8"/>
  <c r="AZ34" i="8"/>
  <c r="AZ33" i="8"/>
  <c r="AZ32" i="8"/>
  <c r="AZ31" i="8"/>
  <c r="AZ30" i="8"/>
  <c r="AZ29" i="8"/>
  <c r="AZ28" i="8"/>
  <c r="AZ27" i="8"/>
  <c r="AZ26" i="8"/>
  <c r="AZ25" i="8"/>
  <c r="AZ24" i="8"/>
  <c r="AZ23" i="8"/>
  <c r="AZ22" i="8"/>
  <c r="AZ21" i="8"/>
  <c r="AZ20" i="8"/>
  <c r="AZ19" i="8"/>
  <c r="AZ18" i="8"/>
  <c r="AZ17" i="8"/>
  <c r="AZ16" i="8"/>
  <c r="AZ15" i="8"/>
  <c r="AZ14" i="8"/>
  <c r="AZ13" i="8"/>
  <c r="AZ12" i="8"/>
  <c r="AZ11" i="8"/>
  <c r="AZ10" i="8"/>
  <c r="AZ9" i="8"/>
  <c r="AZ8" i="8"/>
  <c r="BA7" i="8"/>
  <c r="AZ7" i="8"/>
  <c r="O40" i="3" l="1"/>
  <c r="U40" i="3"/>
  <c r="V6" i="3" l="1"/>
  <c r="AZ121" i="37" l="1"/>
  <c r="AZ120" i="37"/>
  <c r="AZ119" i="37"/>
  <c r="AZ118" i="37"/>
  <c r="AZ117" i="37"/>
  <c r="AZ116" i="37"/>
  <c r="AZ115" i="37"/>
  <c r="AZ114" i="37"/>
  <c r="AZ113" i="37"/>
  <c r="AZ112" i="37"/>
  <c r="AZ111" i="37"/>
  <c r="AZ110" i="37"/>
  <c r="AZ109" i="37"/>
  <c r="AZ108" i="37"/>
  <c r="BA107" i="37"/>
  <c r="AZ107" i="37"/>
  <c r="AZ101" i="37"/>
  <c r="AZ100" i="37"/>
  <c r="AZ99" i="37"/>
  <c r="AZ98" i="37"/>
  <c r="AZ97" i="37"/>
  <c r="AZ96" i="37"/>
  <c r="AZ95" i="37"/>
  <c r="AZ94" i="37"/>
  <c r="AZ93" i="37"/>
  <c r="AZ92" i="37"/>
  <c r="AZ91" i="37"/>
  <c r="AZ90" i="37"/>
  <c r="AZ89" i="37"/>
  <c r="AZ88" i="37"/>
  <c r="BA87" i="37"/>
  <c r="AZ87" i="37"/>
  <c r="AZ81" i="37"/>
  <c r="AZ80" i="37"/>
  <c r="AZ79" i="37"/>
  <c r="AZ78" i="37"/>
  <c r="AZ77" i="37"/>
  <c r="AZ76" i="37"/>
  <c r="AZ75" i="37"/>
  <c r="AZ74" i="37"/>
  <c r="AZ73" i="37"/>
  <c r="AZ72" i="37"/>
  <c r="AZ71" i="37"/>
  <c r="AZ70" i="37"/>
  <c r="AZ69" i="37"/>
  <c r="AZ68" i="37"/>
  <c r="BA67" i="37"/>
  <c r="AZ67" i="37"/>
  <c r="AZ41" i="37"/>
  <c r="AZ40" i="37"/>
  <c r="AZ39" i="37"/>
  <c r="AZ38" i="37"/>
  <c r="AZ37" i="37"/>
  <c r="AZ36" i="37"/>
  <c r="AZ35" i="37"/>
  <c r="AZ34" i="37"/>
  <c r="AZ33" i="37"/>
  <c r="AZ32" i="37"/>
  <c r="AZ31" i="37"/>
  <c r="AZ30" i="37"/>
  <c r="AZ29" i="37"/>
  <c r="AZ28" i="37"/>
  <c r="BA27" i="37"/>
  <c r="AZ27" i="37"/>
  <c r="AZ21" i="37"/>
  <c r="AZ20" i="37"/>
  <c r="AZ19" i="37"/>
  <c r="AZ18" i="37"/>
  <c r="AZ17" i="37"/>
  <c r="AZ16" i="37"/>
  <c r="AZ15" i="37"/>
  <c r="AZ14" i="37"/>
  <c r="AZ13" i="37"/>
  <c r="AZ12" i="37"/>
  <c r="AZ11" i="37"/>
  <c r="AZ10" i="37"/>
  <c r="AZ9" i="37"/>
  <c r="AZ8" i="37"/>
  <c r="BA7" i="37"/>
  <c r="AZ7" i="37"/>
  <c r="AZ121" i="36"/>
  <c r="AZ120" i="36"/>
  <c r="AZ119" i="36"/>
  <c r="AZ118" i="36"/>
  <c r="AZ117" i="36"/>
  <c r="AZ116" i="36"/>
  <c r="AZ115" i="36"/>
  <c r="AZ114" i="36"/>
  <c r="AZ113" i="36"/>
  <c r="AZ112" i="36"/>
  <c r="AZ111" i="36"/>
  <c r="AZ110" i="36"/>
  <c r="AZ109" i="36"/>
  <c r="AZ108" i="36"/>
  <c r="BA107" i="36"/>
  <c r="AZ107" i="36"/>
  <c r="AZ101" i="36"/>
  <c r="AZ100" i="36"/>
  <c r="AZ99" i="36"/>
  <c r="AZ98" i="36"/>
  <c r="AZ97" i="36"/>
  <c r="AZ96" i="36"/>
  <c r="AZ95" i="36"/>
  <c r="AZ94" i="36"/>
  <c r="AZ93" i="36"/>
  <c r="AZ92" i="36"/>
  <c r="AZ91" i="36"/>
  <c r="AZ90" i="36"/>
  <c r="AZ89" i="36"/>
  <c r="AZ88" i="36"/>
  <c r="BA87" i="36"/>
  <c r="AZ87" i="36"/>
  <c r="AZ81" i="36"/>
  <c r="AZ80" i="36"/>
  <c r="AZ79" i="36"/>
  <c r="AZ78" i="36"/>
  <c r="AZ77" i="36"/>
  <c r="AZ76" i="36"/>
  <c r="AZ75" i="36"/>
  <c r="AZ74" i="36"/>
  <c r="AZ73" i="36"/>
  <c r="AZ72" i="36"/>
  <c r="AZ71" i="36"/>
  <c r="AZ70" i="36"/>
  <c r="AZ69" i="36"/>
  <c r="AZ68" i="36"/>
  <c r="BA67" i="36"/>
  <c r="AZ67" i="36"/>
  <c r="BA47" i="36"/>
  <c r="AZ47" i="36"/>
  <c r="AZ41" i="36"/>
  <c r="AZ40" i="36"/>
  <c r="AZ39" i="36"/>
  <c r="AZ38" i="36"/>
  <c r="AZ37" i="36"/>
  <c r="AZ36" i="36"/>
  <c r="AZ35" i="36"/>
  <c r="AZ34" i="36"/>
  <c r="AZ33" i="36"/>
  <c r="AZ32" i="36"/>
  <c r="AZ31" i="36"/>
  <c r="AZ30" i="36"/>
  <c r="AZ29" i="36"/>
  <c r="AZ28" i="36"/>
  <c r="BA27" i="36"/>
  <c r="AZ27" i="36"/>
  <c r="AZ21" i="36"/>
  <c r="AZ20" i="36"/>
  <c r="AZ19" i="36"/>
  <c r="AZ18" i="36"/>
  <c r="AZ17" i="36"/>
  <c r="AZ16" i="36"/>
  <c r="AZ15" i="36"/>
  <c r="AZ14" i="36"/>
  <c r="AZ13" i="36"/>
  <c r="AZ12" i="36"/>
  <c r="AZ11" i="36"/>
  <c r="AZ10" i="36"/>
  <c r="AZ9" i="36"/>
  <c r="AZ8" i="36"/>
  <c r="BA7" i="36"/>
  <c r="AZ7" i="36"/>
  <c r="AZ121" i="35"/>
  <c r="AZ120" i="35"/>
  <c r="AZ119" i="35"/>
  <c r="AZ118" i="35"/>
  <c r="AZ117" i="35"/>
  <c r="AZ116" i="35"/>
  <c r="AZ115" i="35"/>
  <c r="AZ114" i="35"/>
  <c r="AZ113" i="35"/>
  <c r="AZ112" i="35"/>
  <c r="AZ111" i="35"/>
  <c r="AZ110" i="35"/>
  <c r="AZ109" i="35"/>
  <c r="AZ108" i="35"/>
  <c r="BA107" i="35"/>
  <c r="AZ107" i="35"/>
  <c r="AZ101" i="35"/>
  <c r="AZ100" i="35"/>
  <c r="AZ99" i="35"/>
  <c r="AZ98" i="35"/>
  <c r="AZ97" i="35"/>
  <c r="AZ96" i="35"/>
  <c r="AZ95" i="35"/>
  <c r="AZ94" i="35"/>
  <c r="AZ93" i="35"/>
  <c r="AZ92" i="35"/>
  <c r="AZ91" i="35"/>
  <c r="AZ90" i="35"/>
  <c r="AZ89" i="35"/>
  <c r="AZ88" i="35"/>
  <c r="BA87" i="35"/>
  <c r="AZ87" i="35"/>
  <c r="AZ81" i="35"/>
  <c r="AZ80" i="35"/>
  <c r="AZ79" i="35"/>
  <c r="AZ78" i="35"/>
  <c r="AZ77" i="35"/>
  <c r="AZ76" i="35"/>
  <c r="AZ75" i="35"/>
  <c r="AZ74" i="35"/>
  <c r="AZ73" i="35"/>
  <c r="AZ72" i="35"/>
  <c r="AZ71" i="35"/>
  <c r="AZ70" i="35"/>
  <c r="AZ69" i="35"/>
  <c r="AZ68" i="35"/>
  <c r="BA67" i="35"/>
  <c r="AZ67" i="35"/>
  <c r="AZ61" i="35"/>
  <c r="AZ60" i="35"/>
  <c r="AZ59" i="35"/>
  <c r="AZ58" i="35"/>
  <c r="AZ57" i="35"/>
  <c r="AZ56" i="35"/>
  <c r="AZ55" i="35"/>
  <c r="AZ54" i="35"/>
  <c r="AZ53" i="35"/>
  <c r="AZ52" i="35"/>
  <c r="AZ51" i="35"/>
  <c r="AZ50" i="35"/>
  <c r="AZ49" i="35"/>
  <c r="AZ48" i="35"/>
  <c r="BA47" i="35"/>
  <c r="AZ47" i="35"/>
  <c r="AZ41" i="35"/>
  <c r="AZ40" i="35"/>
  <c r="AZ39" i="35"/>
  <c r="AZ38" i="35"/>
  <c r="AZ37" i="35"/>
  <c r="AZ36" i="35"/>
  <c r="AZ35" i="35"/>
  <c r="AZ34" i="35"/>
  <c r="AZ33" i="35"/>
  <c r="AZ32" i="35"/>
  <c r="AZ31" i="35"/>
  <c r="AZ30" i="35"/>
  <c r="AZ29" i="35"/>
  <c r="AZ28" i="35"/>
  <c r="BA27" i="35"/>
  <c r="AZ27" i="35"/>
  <c r="AZ21" i="35"/>
  <c r="AZ20" i="35"/>
  <c r="AZ19" i="35"/>
  <c r="AZ18" i="35"/>
  <c r="AZ17" i="35"/>
  <c r="AZ16" i="35"/>
  <c r="AZ15" i="35"/>
  <c r="AZ14" i="35"/>
  <c r="AZ13" i="35"/>
  <c r="AZ12" i="35"/>
  <c r="AZ11" i="35"/>
  <c r="AZ10" i="35"/>
  <c r="AZ9" i="35"/>
  <c r="AZ8" i="35"/>
  <c r="BA7" i="35"/>
  <c r="AZ7" i="35"/>
  <c r="AZ121" i="34"/>
  <c r="AZ120" i="34"/>
  <c r="AZ119" i="34"/>
  <c r="AZ118" i="34"/>
  <c r="AZ117" i="34"/>
  <c r="AZ116" i="34"/>
  <c r="AZ115" i="34"/>
  <c r="AZ114" i="34"/>
  <c r="AZ113" i="34"/>
  <c r="AZ112" i="34"/>
  <c r="AZ111" i="34"/>
  <c r="AZ110" i="34"/>
  <c r="AZ109" i="34"/>
  <c r="AZ108" i="34"/>
  <c r="BA107" i="34"/>
  <c r="AZ107" i="34"/>
  <c r="AZ81" i="34"/>
  <c r="AZ80" i="34"/>
  <c r="AZ79" i="34"/>
  <c r="AZ78" i="34"/>
  <c r="AZ77" i="34"/>
  <c r="AZ76" i="34"/>
  <c r="AZ75" i="34"/>
  <c r="AZ74" i="34"/>
  <c r="AZ73" i="34"/>
  <c r="AZ72" i="34"/>
  <c r="AZ71" i="34"/>
  <c r="AZ70" i="34"/>
  <c r="AZ69" i="34"/>
  <c r="AZ68" i="34"/>
  <c r="BA67" i="34"/>
  <c r="AZ67" i="34"/>
  <c r="AZ61" i="34"/>
  <c r="AZ60" i="34"/>
  <c r="AZ59" i="34"/>
  <c r="AZ58" i="34"/>
  <c r="AZ57" i="34"/>
  <c r="AZ56" i="34"/>
  <c r="AZ55" i="34"/>
  <c r="AZ54" i="34"/>
  <c r="AZ53" i="34"/>
  <c r="AZ52" i="34"/>
  <c r="AZ51" i="34"/>
  <c r="AZ50" i="34"/>
  <c r="AZ49" i="34"/>
  <c r="AZ48" i="34"/>
  <c r="BA47" i="34"/>
  <c r="AZ47" i="34"/>
  <c r="AZ41" i="34"/>
  <c r="AZ40" i="34"/>
  <c r="AZ39" i="34"/>
  <c r="AZ38" i="34"/>
  <c r="AZ37" i="34"/>
  <c r="AZ36" i="34"/>
  <c r="AZ35" i="34"/>
  <c r="AZ34" i="34"/>
  <c r="AZ33" i="34"/>
  <c r="AZ32" i="34"/>
  <c r="AZ31" i="34"/>
  <c r="AZ30" i="34"/>
  <c r="AZ29" i="34"/>
  <c r="AZ28" i="34"/>
  <c r="BA27" i="34"/>
  <c r="AZ27" i="34"/>
  <c r="AZ21" i="34"/>
  <c r="AZ20" i="34"/>
  <c r="AZ19" i="34"/>
  <c r="AZ18" i="34"/>
  <c r="AZ17" i="34"/>
  <c r="AZ16" i="34"/>
  <c r="AZ15" i="34"/>
  <c r="AZ14" i="34"/>
  <c r="AZ13" i="34"/>
  <c r="AZ12" i="34"/>
  <c r="AZ11" i="34"/>
  <c r="AZ10" i="34"/>
  <c r="AZ9" i="34"/>
  <c r="AZ8" i="34"/>
  <c r="BA7" i="34"/>
  <c r="AZ7" i="34"/>
  <c r="AZ211" i="33"/>
  <c r="AZ210" i="33"/>
  <c r="AZ209" i="33"/>
  <c r="AZ208" i="33"/>
  <c r="AZ207" i="33"/>
  <c r="AZ206" i="33"/>
  <c r="AZ205" i="33"/>
  <c r="AZ204" i="33"/>
  <c r="AZ203" i="33"/>
  <c r="AZ202" i="33"/>
  <c r="AZ201" i="33"/>
  <c r="AZ200" i="33"/>
  <c r="AZ199" i="33"/>
  <c r="AZ198" i="33"/>
  <c r="AZ197" i="33"/>
  <c r="AZ196" i="33"/>
  <c r="AZ195" i="33"/>
  <c r="AZ194" i="33"/>
  <c r="AZ193" i="33"/>
  <c r="AZ192" i="33"/>
  <c r="AZ191" i="33"/>
  <c r="AZ190" i="33"/>
  <c r="AZ189" i="33"/>
  <c r="AZ188" i="33"/>
  <c r="AZ187" i="33"/>
  <c r="AZ186" i="33"/>
  <c r="AZ185" i="33"/>
  <c r="AZ184" i="33"/>
  <c r="AZ183" i="33"/>
  <c r="BA182" i="33"/>
  <c r="AZ182" i="33"/>
  <c r="AZ176" i="33"/>
  <c r="AZ175" i="33"/>
  <c r="AZ174" i="33"/>
  <c r="AZ173" i="33"/>
  <c r="AZ172" i="33"/>
  <c r="AZ171" i="33"/>
  <c r="AZ170" i="33"/>
  <c r="AZ169" i="33"/>
  <c r="AZ168" i="33"/>
  <c r="AZ167" i="33"/>
  <c r="AZ166" i="33"/>
  <c r="AZ165" i="33"/>
  <c r="AZ164" i="33"/>
  <c r="AZ163" i="33"/>
  <c r="AZ162" i="33"/>
  <c r="AZ161" i="33"/>
  <c r="AZ160" i="33"/>
  <c r="AZ159" i="33"/>
  <c r="AZ158" i="33"/>
  <c r="AZ157" i="33"/>
  <c r="AZ156" i="33"/>
  <c r="AZ155" i="33"/>
  <c r="AZ154" i="33"/>
  <c r="AZ153" i="33"/>
  <c r="AZ152" i="33"/>
  <c r="AZ151" i="33"/>
  <c r="AZ150" i="33"/>
  <c r="AZ149" i="33"/>
  <c r="AZ148" i="33"/>
  <c r="BA147" i="33"/>
  <c r="AZ147" i="33"/>
  <c r="AZ141" i="33"/>
  <c r="AZ140" i="33"/>
  <c r="AZ139" i="33"/>
  <c r="AZ138" i="33"/>
  <c r="AZ137" i="33"/>
  <c r="AZ136" i="33"/>
  <c r="AZ135" i="33"/>
  <c r="AZ134" i="33"/>
  <c r="AZ133" i="33"/>
  <c r="AZ132" i="33"/>
  <c r="AZ131" i="33"/>
  <c r="AZ130" i="33"/>
  <c r="AZ129" i="33"/>
  <c r="AZ128" i="33"/>
  <c r="AZ127" i="33"/>
  <c r="AZ126" i="33"/>
  <c r="AZ125" i="33"/>
  <c r="AZ124" i="33"/>
  <c r="AZ123" i="33"/>
  <c r="AZ122" i="33"/>
  <c r="AZ121" i="33"/>
  <c r="AZ120" i="33"/>
  <c r="AZ119" i="33"/>
  <c r="AZ118" i="33"/>
  <c r="AZ117" i="33"/>
  <c r="AZ116" i="33"/>
  <c r="AZ115" i="33"/>
  <c r="AZ114" i="33"/>
  <c r="AZ113" i="33"/>
  <c r="BA112" i="33"/>
  <c r="AZ112" i="33"/>
  <c r="AZ106" i="33"/>
  <c r="AZ105" i="33"/>
  <c r="AZ104" i="33"/>
  <c r="AZ103" i="33"/>
  <c r="AZ102" i="33"/>
  <c r="AZ101" i="33"/>
  <c r="AZ100" i="33"/>
  <c r="AZ99" i="33"/>
  <c r="AZ98" i="33"/>
  <c r="AZ97" i="33"/>
  <c r="AZ96" i="33"/>
  <c r="AZ95" i="33"/>
  <c r="AZ94" i="33"/>
  <c r="AZ93" i="33"/>
  <c r="AZ92" i="33"/>
  <c r="AZ91" i="33"/>
  <c r="AZ90" i="33"/>
  <c r="AZ89" i="33"/>
  <c r="AZ88" i="33"/>
  <c r="AZ87" i="33"/>
  <c r="AZ86" i="33"/>
  <c r="AZ85" i="33"/>
  <c r="AZ84" i="33"/>
  <c r="AZ83" i="33"/>
  <c r="AZ82" i="33"/>
  <c r="AZ81" i="33"/>
  <c r="AZ80" i="33"/>
  <c r="AZ79" i="33"/>
  <c r="AZ78" i="33"/>
  <c r="BA77" i="33"/>
  <c r="AZ77" i="33"/>
  <c r="AZ71" i="33"/>
  <c r="AZ70" i="33"/>
  <c r="AZ69" i="33"/>
  <c r="AZ68" i="33"/>
  <c r="AZ67" i="33"/>
  <c r="AZ66" i="33"/>
  <c r="AZ65" i="33"/>
  <c r="AZ64" i="33"/>
  <c r="AZ63" i="33"/>
  <c r="AZ62" i="33"/>
  <c r="AZ61" i="33"/>
  <c r="AZ60" i="33"/>
  <c r="AZ59" i="33"/>
  <c r="AZ58" i="33"/>
  <c r="AZ57" i="33"/>
  <c r="AZ56" i="33"/>
  <c r="AZ55" i="33"/>
  <c r="AZ54" i="33"/>
  <c r="AZ53" i="33"/>
  <c r="AZ52" i="33"/>
  <c r="AZ51" i="33"/>
  <c r="AZ50" i="33"/>
  <c r="AZ49" i="33"/>
  <c r="AZ48" i="33"/>
  <c r="AZ47" i="33"/>
  <c r="AZ46" i="33"/>
  <c r="AZ45" i="33"/>
  <c r="AZ44" i="33"/>
  <c r="AZ43" i="33"/>
  <c r="BA42" i="33"/>
  <c r="AZ42" i="33"/>
  <c r="AZ36" i="33"/>
  <c r="AZ35" i="33"/>
  <c r="AZ34" i="33"/>
  <c r="AZ33" i="33"/>
  <c r="AZ32" i="33"/>
  <c r="AZ31" i="33"/>
  <c r="AZ30" i="33"/>
  <c r="AZ29" i="33"/>
  <c r="AZ28" i="33"/>
  <c r="AZ27" i="33"/>
  <c r="AZ26" i="33"/>
  <c r="AZ25" i="33"/>
  <c r="AZ24" i="33"/>
  <c r="AZ23" i="33"/>
  <c r="AZ22" i="33"/>
  <c r="AZ21" i="33"/>
  <c r="AZ20" i="33"/>
  <c r="AZ19" i="33"/>
  <c r="AZ18" i="33"/>
  <c r="AZ17" i="33"/>
  <c r="AZ16" i="33"/>
  <c r="AZ15" i="33"/>
  <c r="AZ14" i="33"/>
  <c r="AZ13" i="33"/>
  <c r="AZ12" i="33"/>
  <c r="AZ11" i="33"/>
  <c r="AZ10" i="33"/>
  <c r="AZ9" i="33"/>
  <c r="AZ8" i="33"/>
  <c r="BA7" i="33"/>
  <c r="AZ7" i="33"/>
  <c r="AZ121" i="31"/>
  <c r="AZ120" i="31"/>
  <c r="AZ119" i="31"/>
  <c r="AZ118" i="31"/>
  <c r="AZ117" i="31"/>
  <c r="AZ116" i="31"/>
  <c r="AZ115" i="31"/>
  <c r="AZ114" i="31"/>
  <c r="AZ113" i="31"/>
  <c r="AZ112" i="31"/>
  <c r="AZ111" i="31"/>
  <c r="AZ110" i="31"/>
  <c r="AZ109" i="31"/>
  <c r="AZ108" i="31"/>
  <c r="BA107" i="31"/>
  <c r="AZ107" i="31"/>
  <c r="AZ101" i="31"/>
  <c r="AZ100" i="31"/>
  <c r="AZ99" i="31"/>
  <c r="AZ98" i="31"/>
  <c r="AZ97" i="31"/>
  <c r="AZ96" i="31"/>
  <c r="AZ95" i="31"/>
  <c r="AZ94" i="31"/>
  <c r="AZ93" i="31"/>
  <c r="AZ92" i="31"/>
  <c r="AZ91" i="31"/>
  <c r="AZ90" i="31"/>
  <c r="AZ89" i="31"/>
  <c r="AZ88" i="31"/>
  <c r="BA87" i="31"/>
  <c r="AZ87" i="31"/>
  <c r="AZ81" i="31"/>
  <c r="AZ80" i="31"/>
  <c r="AZ79" i="31"/>
  <c r="AZ78" i="31"/>
  <c r="AZ77" i="31"/>
  <c r="AZ76" i="31"/>
  <c r="AZ75" i="31"/>
  <c r="AZ74" i="31"/>
  <c r="AZ73" i="31"/>
  <c r="AZ72" i="31"/>
  <c r="AZ71" i="31"/>
  <c r="AZ70" i="31"/>
  <c r="AZ69" i="31"/>
  <c r="AZ68" i="31"/>
  <c r="BA67" i="31"/>
  <c r="AZ67" i="31"/>
  <c r="AZ61" i="31"/>
  <c r="AZ60" i="31"/>
  <c r="AZ59" i="31"/>
  <c r="AZ58" i="31"/>
  <c r="AZ57" i="31"/>
  <c r="AZ56" i="31"/>
  <c r="AZ55" i="31"/>
  <c r="AZ54" i="31"/>
  <c r="AZ53" i="31"/>
  <c r="AZ52" i="31"/>
  <c r="AZ51" i="31"/>
  <c r="AZ50" i="31"/>
  <c r="AZ49" i="31"/>
  <c r="AZ48" i="31"/>
  <c r="BA47" i="31"/>
  <c r="AZ47" i="31"/>
  <c r="AZ41" i="31"/>
  <c r="AZ40" i="31"/>
  <c r="AZ39" i="31"/>
  <c r="AZ38" i="31"/>
  <c r="AZ37" i="31"/>
  <c r="AZ36" i="31"/>
  <c r="AZ35" i="31"/>
  <c r="AZ34" i="31"/>
  <c r="AZ33" i="31"/>
  <c r="AZ32" i="31"/>
  <c r="AZ31" i="31"/>
  <c r="AZ30" i="31"/>
  <c r="AZ29" i="31"/>
  <c r="AZ28" i="31"/>
  <c r="BA27" i="31"/>
  <c r="AZ27" i="31"/>
  <c r="AZ21" i="31"/>
  <c r="AZ20" i="31"/>
  <c r="AZ19" i="31"/>
  <c r="AZ18" i="31"/>
  <c r="AZ17" i="31"/>
  <c r="AZ16" i="31"/>
  <c r="AZ15" i="31"/>
  <c r="AZ14" i="31"/>
  <c r="AZ13" i="31"/>
  <c r="AZ12" i="31"/>
  <c r="AZ11" i="31"/>
  <c r="AZ10" i="31"/>
  <c r="AZ9" i="31"/>
  <c r="AZ8" i="31"/>
  <c r="BA7" i="31"/>
  <c r="AZ7" i="31"/>
  <c r="AZ121" i="32"/>
  <c r="AZ120" i="32"/>
  <c r="AZ119" i="32"/>
  <c r="AZ118" i="32"/>
  <c r="AZ117" i="32"/>
  <c r="AZ116" i="32"/>
  <c r="AZ115" i="32"/>
  <c r="AZ114" i="32"/>
  <c r="AZ113" i="32"/>
  <c r="AZ112" i="32"/>
  <c r="AZ111" i="32"/>
  <c r="AZ110" i="32"/>
  <c r="AZ109" i="32"/>
  <c r="AZ108" i="32"/>
  <c r="BA107" i="32"/>
  <c r="AZ107" i="32"/>
  <c r="AZ81" i="32"/>
  <c r="AZ80" i="32"/>
  <c r="AZ79" i="32"/>
  <c r="AZ78" i="32"/>
  <c r="AZ77" i="32"/>
  <c r="AZ76" i="32"/>
  <c r="AZ75" i="32"/>
  <c r="AZ74" i="32"/>
  <c r="AZ73" i="32"/>
  <c r="AZ72" i="32"/>
  <c r="AZ71" i="32"/>
  <c r="AZ70" i="32"/>
  <c r="AZ69" i="32"/>
  <c r="AZ68" i="32"/>
  <c r="BA67" i="32"/>
  <c r="AZ67" i="32"/>
  <c r="AZ61" i="32"/>
  <c r="AZ60" i="32"/>
  <c r="AZ59" i="32"/>
  <c r="AZ58" i="32"/>
  <c r="AZ57" i="32"/>
  <c r="AZ56" i="32"/>
  <c r="AZ55" i="32"/>
  <c r="AZ54" i="32"/>
  <c r="AZ53" i="32"/>
  <c r="AZ52" i="32"/>
  <c r="AZ51" i="32"/>
  <c r="AZ50" i="32"/>
  <c r="AZ49" i="32"/>
  <c r="AZ48" i="32"/>
  <c r="BA47" i="32"/>
  <c r="AZ47" i="32"/>
  <c r="AZ41" i="32"/>
  <c r="AZ40" i="32"/>
  <c r="AZ39" i="32"/>
  <c r="AZ38" i="32"/>
  <c r="AZ37" i="32"/>
  <c r="AZ36" i="32"/>
  <c r="AZ35" i="32"/>
  <c r="AZ34" i="32"/>
  <c r="AZ33" i="32"/>
  <c r="AZ32" i="32"/>
  <c r="AZ31" i="32"/>
  <c r="AZ30" i="32"/>
  <c r="AZ29" i="32"/>
  <c r="AZ28" i="32"/>
  <c r="BA27" i="32"/>
  <c r="AZ27" i="32"/>
  <c r="AZ21" i="32"/>
  <c r="AZ20" i="32"/>
  <c r="AZ19" i="32"/>
  <c r="AZ18" i="32"/>
  <c r="AZ17" i="32"/>
  <c r="AZ16" i="32"/>
  <c r="AZ15" i="32"/>
  <c r="AZ14" i="32"/>
  <c r="AZ13" i="32"/>
  <c r="AZ12" i="32"/>
  <c r="AZ11" i="32"/>
  <c r="AZ10" i="32"/>
  <c r="AZ9" i="32"/>
  <c r="AZ8" i="32"/>
  <c r="BA7" i="32"/>
  <c r="AZ7" i="32"/>
  <c r="K120" i="35" l="1"/>
  <c r="J120" i="35"/>
  <c r="I120" i="35"/>
  <c r="K119" i="35"/>
  <c r="J119" i="35"/>
  <c r="I119" i="35"/>
  <c r="K118" i="35"/>
  <c r="J118" i="35"/>
  <c r="I118" i="35"/>
  <c r="K117" i="35"/>
  <c r="J117" i="35"/>
  <c r="I117" i="35"/>
  <c r="K116" i="35"/>
  <c r="J116" i="35"/>
  <c r="I116" i="35"/>
  <c r="K115" i="35"/>
  <c r="J115" i="35"/>
  <c r="I115" i="35"/>
  <c r="K114" i="35"/>
  <c r="J114" i="35"/>
  <c r="I114" i="35"/>
  <c r="K113" i="35"/>
  <c r="J113" i="35"/>
  <c r="I113" i="35"/>
  <c r="K112" i="35"/>
  <c r="J112" i="35"/>
  <c r="I112" i="35"/>
  <c r="K111" i="35"/>
  <c r="J111" i="35"/>
  <c r="I111" i="35"/>
  <c r="K110" i="35"/>
  <c r="J110" i="35"/>
  <c r="I110" i="35"/>
  <c r="K109" i="35"/>
  <c r="J109" i="35"/>
  <c r="I109" i="35"/>
  <c r="K108" i="35"/>
  <c r="J108" i="35"/>
  <c r="I108" i="35"/>
  <c r="K107" i="35"/>
  <c r="J107" i="35"/>
  <c r="I107" i="35"/>
  <c r="K120" i="36"/>
  <c r="J120" i="36"/>
  <c r="I120" i="36"/>
  <c r="K119" i="36"/>
  <c r="J119" i="36"/>
  <c r="I119" i="36"/>
  <c r="K118" i="36"/>
  <c r="J118" i="36"/>
  <c r="I118" i="36"/>
  <c r="K117" i="36"/>
  <c r="J117" i="36"/>
  <c r="I117" i="36"/>
  <c r="K116" i="36"/>
  <c r="J116" i="36"/>
  <c r="I116" i="36"/>
  <c r="K115" i="36"/>
  <c r="J115" i="36"/>
  <c r="I115" i="36"/>
  <c r="K114" i="36"/>
  <c r="J114" i="36"/>
  <c r="I114" i="36"/>
  <c r="K113" i="36"/>
  <c r="J113" i="36"/>
  <c r="I113" i="36"/>
  <c r="K112" i="36"/>
  <c r="J112" i="36"/>
  <c r="I112" i="36"/>
  <c r="K111" i="36"/>
  <c r="J111" i="36"/>
  <c r="I111" i="36"/>
  <c r="K110" i="36"/>
  <c r="J110" i="36"/>
  <c r="I110" i="36"/>
  <c r="K109" i="36"/>
  <c r="J109" i="36"/>
  <c r="I109" i="36"/>
  <c r="K108" i="36"/>
  <c r="J108" i="36"/>
  <c r="I108" i="36"/>
  <c r="K107" i="36"/>
  <c r="J107" i="36"/>
  <c r="I107" i="36"/>
  <c r="K120" i="37"/>
  <c r="J120" i="37"/>
  <c r="I120" i="37"/>
  <c r="K119" i="37"/>
  <c r="J119" i="37"/>
  <c r="I119" i="37"/>
  <c r="K118" i="37"/>
  <c r="J118" i="37"/>
  <c r="I118" i="37"/>
  <c r="K117" i="37"/>
  <c r="J117" i="37"/>
  <c r="I117" i="37"/>
  <c r="K116" i="37"/>
  <c r="J116" i="37"/>
  <c r="I116" i="37"/>
  <c r="K115" i="37"/>
  <c r="J115" i="37"/>
  <c r="I115" i="37"/>
  <c r="K114" i="37"/>
  <c r="J114" i="37"/>
  <c r="I114" i="37"/>
  <c r="K113" i="37"/>
  <c r="J113" i="37"/>
  <c r="I113" i="37"/>
  <c r="K112" i="37"/>
  <c r="J112" i="37"/>
  <c r="I112" i="37"/>
  <c r="K111" i="37"/>
  <c r="J111" i="37"/>
  <c r="I111" i="37"/>
  <c r="K110" i="37"/>
  <c r="J110" i="37"/>
  <c r="I110" i="37"/>
  <c r="K109" i="37"/>
  <c r="J109" i="37"/>
  <c r="I109" i="37"/>
  <c r="K108" i="37"/>
  <c r="J108" i="37"/>
  <c r="I108" i="37"/>
  <c r="K107" i="37"/>
  <c r="J107" i="37"/>
  <c r="I107" i="37"/>
  <c r="K120" i="34"/>
  <c r="J120" i="34"/>
  <c r="I120" i="34"/>
  <c r="K119" i="34"/>
  <c r="J119" i="34"/>
  <c r="I119" i="34"/>
  <c r="K118" i="34"/>
  <c r="J118" i="34"/>
  <c r="I118" i="34"/>
  <c r="K117" i="34"/>
  <c r="J117" i="34"/>
  <c r="I117" i="34"/>
  <c r="K116" i="34"/>
  <c r="J116" i="34"/>
  <c r="I116" i="34"/>
  <c r="K115" i="34"/>
  <c r="J115" i="34"/>
  <c r="I115" i="34"/>
  <c r="K114" i="34"/>
  <c r="J114" i="34"/>
  <c r="I114" i="34"/>
  <c r="K113" i="34"/>
  <c r="J113" i="34"/>
  <c r="I113" i="34"/>
  <c r="K112" i="34"/>
  <c r="J112" i="34"/>
  <c r="I112" i="34"/>
  <c r="K111" i="34"/>
  <c r="J111" i="34"/>
  <c r="I111" i="34"/>
  <c r="K110" i="34"/>
  <c r="J110" i="34"/>
  <c r="I110" i="34"/>
  <c r="K109" i="34"/>
  <c r="J109" i="34"/>
  <c r="I109" i="34"/>
  <c r="K108" i="34"/>
  <c r="J108" i="34"/>
  <c r="I108" i="34"/>
  <c r="K107" i="34"/>
  <c r="J107" i="34"/>
  <c r="I107" i="34"/>
  <c r="K120" i="31"/>
  <c r="M120" i="31" s="1"/>
  <c r="J120" i="31"/>
  <c r="I120" i="31"/>
  <c r="K119" i="31"/>
  <c r="M119" i="31" s="1"/>
  <c r="J119" i="31"/>
  <c r="I119" i="31"/>
  <c r="K118" i="31"/>
  <c r="M118" i="31" s="1"/>
  <c r="J118" i="31"/>
  <c r="I118" i="31"/>
  <c r="K117" i="31"/>
  <c r="M117" i="31" s="1"/>
  <c r="J117" i="31"/>
  <c r="I117" i="31"/>
  <c r="K116" i="31"/>
  <c r="M116" i="31" s="1"/>
  <c r="J116" i="31"/>
  <c r="I116" i="31"/>
  <c r="K115" i="31"/>
  <c r="M115" i="31" s="1"/>
  <c r="J115" i="31"/>
  <c r="I115" i="31"/>
  <c r="K114" i="31"/>
  <c r="M114" i="31" s="1"/>
  <c r="J114" i="31"/>
  <c r="I114" i="31"/>
  <c r="K113" i="31"/>
  <c r="M113" i="31" s="1"/>
  <c r="J113" i="31"/>
  <c r="I113" i="31"/>
  <c r="K112" i="31"/>
  <c r="M112" i="31" s="1"/>
  <c r="J112" i="31"/>
  <c r="I112" i="31"/>
  <c r="K111" i="31"/>
  <c r="M111" i="31" s="1"/>
  <c r="J111" i="31"/>
  <c r="I111" i="31"/>
  <c r="K110" i="31"/>
  <c r="M110" i="31" s="1"/>
  <c r="J110" i="31"/>
  <c r="I110" i="31"/>
  <c r="K109" i="31"/>
  <c r="M109" i="31" s="1"/>
  <c r="J109" i="31"/>
  <c r="I109" i="31"/>
  <c r="K108" i="31"/>
  <c r="M108" i="31" s="1"/>
  <c r="J108" i="31"/>
  <c r="I108" i="31"/>
  <c r="K107" i="31"/>
  <c r="J107" i="31"/>
  <c r="I107" i="31"/>
  <c r="K120" i="32"/>
  <c r="M120" i="32" s="1"/>
  <c r="J120" i="32"/>
  <c r="I120" i="32"/>
  <c r="K119" i="32"/>
  <c r="M119" i="32" s="1"/>
  <c r="J119" i="32"/>
  <c r="I119" i="32"/>
  <c r="K118" i="32"/>
  <c r="M118" i="32" s="1"/>
  <c r="J118" i="32"/>
  <c r="I118" i="32"/>
  <c r="K117" i="32"/>
  <c r="M117" i="32" s="1"/>
  <c r="J117" i="32"/>
  <c r="I117" i="32"/>
  <c r="K116" i="32"/>
  <c r="M116" i="32" s="1"/>
  <c r="J116" i="32"/>
  <c r="I116" i="32"/>
  <c r="K115" i="32"/>
  <c r="M115" i="32" s="1"/>
  <c r="J115" i="32"/>
  <c r="I115" i="32"/>
  <c r="K114" i="32"/>
  <c r="M114" i="32" s="1"/>
  <c r="J114" i="32"/>
  <c r="I114" i="32"/>
  <c r="K113" i="32"/>
  <c r="M113" i="32" s="1"/>
  <c r="J113" i="32"/>
  <c r="I113" i="32"/>
  <c r="K112" i="32"/>
  <c r="M112" i="32" s="1"/>
  <c r="J112" i="32"/>
  <c r="I112" i="32"/>
  <c r="K111" i="32"/>
  <c r="M111" i="32" s="1"/>
  <c r="J111" i="32"/>
  <c r="I111" i="32"/>
  <c r="K110" i="32"/>
  <c r="M110" i="32" s="1"/>
  <c r="J110" i="32"/>
  <c r="I110" i="32"/>
  <c r="K109" i="32"/>
  <c r="M109" i="32" s="1"/>
  <c r="J109" i="32"/>
  <c r="I109" i="32"/>
  <c r="K108" i="32"/>
  <c r="M108" i="32" s="1"/>
  <c r="J108" i="32"/>
  <c r="I108" i="32"/>
  <c r="K107" i="32"/>
  <c r="J107" i="32"/>
  <c r="I107" i="32"/>
  <c r="K121" i="30"/>
  <c r="J121" i="30"/>
  <c r="I121" i="30"/>
  <c r="K120" i="30"/>
  <c r="J120" i="30"/>
  <c r="I120" i="30"/>
  <c r="K119" i="30"/>
  <c r="J119" i="30"/>
  <c r="I119" i="30"/>
  <c r="K118" i="30"/>
  <c r="J118" i="30"/>
  <c r="I118" i="30"/>
  <c r="K117" i="30"/>
  <c r="J117" i="30"/>
  <c r="I117" i="30"/>
  <c r="K116" i="30"/>
  <c r="J116" i="30"/>
  <c r="I116" i="30"/>
  <c r="K115" i="30"/>
  <c r="J115" i="30"/>
  <c r="I115" i="30"/>
  <c r="K114" i="30"/>
  <c r="J114" i="30"/>
  <c r="I114" i="30"/>
  <c r="K113" i="30"/>
  <c r="J113" i="30"/>
  <c r="I113" i="30"/>
  <c r="K112" i="30"/>
  <c r="J112" i="30"/>
  <c r="I112" i="30"/>
  <c r="K111" i="30"/>
  <c r="J111" i="30"/>
  <c r="I111" i="30"/>
  <c r="K110" i="30"/>
  <c r="J110" i="30"/>
  <c r="I110" i="30"/>
  <c r="K109" i="30"/>
  <c r="J109" i="30"/>
  <c r="I109" i="30"/>
  <c r="K108" i="30"/>
  <c r="J108" i="30"/>
  <c r="I108" i="30"/>
  <c r="K107" i="30"/>
  <c r="J107" i="30"/>
  <c r="I107" i="30"/>
  <c r="K211" i="33"/>
  <c r="J211" i="33"/>
  <c r="I211" i="33"/>
  <c r="K210" i="33"/>
  <c r="J210" i="33"/>
  <c r="I210" i="33"/>
  <c r="K209" i="33"/>
  <c r="J209" i="33"/>
  <c r="I209" i="33"/>
  <c r="K208" i="33"/>
  <c r="J208" i="33"/>
  <c r="I208" i="33"/>
  <c r="K207" i="33"/>
  <c r="J207" i="33"/>
  <c r="I207" i="33"/>
  <c r="K206" i="33"/>
  <c r="J206" i="33"/>
  <c r="I206" i="33"/>
  <c r="K205" i="33"/>
  <c r="J205" i="33"/>
  <c r="I205" i="33"/>
  <c r="K204" i="33"/>
  <c r="J204" i="33"/>
  <c r="I204" i="33"/>
  <c r="K203" i="33"/>
  <c r="J203" i="33"/>
  <c r="I203" i="33"/>
  <c r="K202" i="33"/>
  <c r="J202" i="33"/>
  <c r="I202" i="33"/>
  <c r="K201" i="33"/>
  <c r="J201" i="33"/>
  <c r="I201" i="33"/>
  <c r="K200" i="33"/>
  <c r="J200" i="33"/>
  <c r="I200" i="33"/>
  <c r="K199" i="33"/>
  <c r="J199" i="33"/>
  <c r="I199" i="33"/>
  <c r="K198" i="33"/>
  <c r="J198" i="33"/>
  <c r="I198" i="33"/>
  <c r="K197" i="33"/>
  <c r="J197" i="33"/>
  <c r="I197" i="33"/>
  <c r="K196" i="33"/>
  <c r="J196" i="33"/>
  <c r="I196" i="33"/>
  <c r="K195" i="33"/>
  <c r="J195" i="33"/>
  <c r="I195" i="33"/>
  <c r="K194" i="33"/>
  <c r="J194" i="33"/>
  <c r="I194" i="33"/>
  <c r="K193" i="33"/>
  <c r="J193" i="33"/>
  <c r="I193" i="33"/>
  <c r="K192" i="33"/>
  <c r="J192" i="33"/>
  <c r="I192" i="33"/>
  <c r="K191" i="33"/>
  <c r="J191" i="33"/>
  <c r="I191" i="33"/>
  <c r="K190" i="33"/>
  <c r="J190" i="33"/>
  <c r="I190" i="33"/>
  <c r="K189" i="33"/>
  <c r="J189" i="33"/>
  <c r="I189" i="33"/>
  <c r="K188" i="33"/>
  <c r="J188" i="33"/>
  <c r="I188" i="33"/>
  <c r="K187" i="33"/>
  <c r="J187" i="33"/>
  <c r="I187" i="33"/>
  <c r="K186" i="33"/>
  <c r="J186" i="33"/>
  <c r="I186" i="33"/>
  <c r="K185" i="33"/>
  <c r="J185" i="33"/>
  <c r="I185" i="33"/>
  <c r="K184" i="33"/>
  <c r="J184" i="33"/>
  <c r="I184" i="33"/>
  <c r="K183" i="33"/>
  <c r="J183" i="33"/>
  <c r="I183" i="33"/>
  <c r="K182" i="33"/>
  <c r="J182" i="33"/>
  <c r="I182" i="33"/>
  <c r="K176" i="33"/>
  <c r="J176" i="33"/>
  <c r="I176" i="33"/>
  <c r="K175" i="33"/>
  <c r="J175" i="33"/>
  <c r="I175" i="33"/>
  <c r="K174" i="33"/>
  <c r="J174" i="33"/>
  <c r="I174" i="33"/>
  <c r="K173" i="33"/>
  <c r="J173" i="33"/>
  <c r="I173" i="33"/>
  <c r="K172" i="33"/>
  <c r="J172" i="33"/>
  <c r="I172" i="33"/>
  <c r="K171" i="33"/>
  <c r="J171" i="33"/>
  <c r="I171" i="33"/>
  <c r="K170" i="33"/>
  <c r="J170" i="33"/>
  <c r="I170" i="33"/>
  <c r="K169" i="33"/>
  <c r="J169" i="33"/>
  <c r="I169" i="33"/>
  <c r="K168" i="33"/>
  <c r="J168" i="33"/>
  <c r="I168" i="33"/>
  <c r="K167" i="33"/>
  <c r="J167" i="33"/>
  <c r="I167" i="33"/>
  <c r="K166" i="33"/>
  <c r="J166" i="33"/>
  <c r="I166" i="33"/>
  <c r="K165" i="33"/>
  <c r="J165" i="33"/>
  <c r="I165" i="33"/>
  <c r="K164" i="33"/>
  <c r="J164" i="33"/>
  <c r="I164" i="33"/>
  <c r="K163" i="33"/>
  <c r="J163" i="33"/>
  <c r="I163" i="33"/>
  <c r="K162" i="33"/>
  <c r="J162" i="33"/>
  <c r="I162" i="33"/>
  <c r="K161" i="33"/>
  <c r="J161" i="33"/>
  <c r="I161" i="33"/>
  <c r="K160" i="33"/>
  <c r="J160" i="33"/>
  <c r="I160" i="33"/>
  <c r="K159" i="33"/>
  <c r="J159" i="33"/>
  <c r="I159" i="33"/>
  <c r="K158" i="33"/>
  <c r="J158" i="33"/>
  <c r="I158" i="33"/>
  <c r="K157" i="33"/>
  <c r="J157" i="33"/>
  <c r="I157" i="33"/>
  <c r="K156" i="33"/>
  <c r="J156" i="33"/>
  <c r="I156" i="33"/>
  <c r="K155" i="33"/>
  <c r="J155" i="33"/>
  <c r="I155" i="33"/>
  <c r="K154" i="33"/>
  <c r="J154" i="33"/>
  <c r="I154" i="33"/>
  <c r="K153" i="33"/>
  <c r="J153" i="33"/>
  <c r="I153" i="33"/>
  <c r="K152" i="33"/>
  <c r="J152" i="33"/>
  <c r="I152" i="33"/>
  <c r="K151" i="33"/>
  <c r="J151" i="33"/>
  <c r="I151" i="33"/>
  <c r="K150" i="33"/>
  <c r="J150" i="33"/>
  <c r="I150" i="33"/>
  <c r="K149" i="33"/>
  <c r="J149" i="33"/>
  <c r="I149" i="33"/>
  <c r="K148" i="33"/>
  <c r="J148" i="33"/>
  <c r="I148" i="33"/>
  <c r="K147" i="33"/>
  <c r="J147" i="33"/>
  <c r="I147" i="33"/>
  <c r="K141" i="33"/>
  <c r="J141" i="33"/>
  <c r="I141" i="33"/>
  <c r="K140" i="33"/>
  <c r="J140" i="33"/>
  <c r="I140" i="33"/>
  <c r="K139" i="33"/>
  <c r="J139" i="33"/>
  <c r="I139" i="33"/>
  <c r="K138" i="33"/>
  <c r="J138" i="33"/>
  <c r="I138" i="33"/>
  <c r="K137" i="33"/>
  <c r="J137" i="33"/>
  <c r="I137" i="33"/>
  <c r="K136" i="33"/>
  <c r="J136" i="33"/>
  <c r="I136" i="33"/>
  <c r="K135" i="33"/>
  <c r="J135" i="33"/>
  <c r="I135" i="33"/>
  <c r="K134" i="33"/>
  <c r="J134" i="33"/>
  <c r="I134" i="33"/>
  <c r="K133" i="33"/>
  <c r="J133" i="33"/>
  <c r="I133" i="33"/>
  <c r="K132" i="33"/>
  <c r="J132" i="33"/>
  <c r="I132" i="33"/>
  <c r="K131" i="33"/>
  <c r="J131" i="33"/>
  <c r="I131" i="33"/>
  <c r="K130" i="33"/>
  <c r="J130" i="33"/>
  <c r="I130" i="33"/>
  <c r="K129" i="33"/>
  <c r="J129" i="33"/>
  <c r="I129" i="33"/>
  <c r="K128" i="33"/>
  <c r="J128" i="33"/>
  <c r="I128" i="33"/>
  <c r="K127" i="33"/>
  <c r="J127" i="33"/>
  <c r="I127" i="33"/>
  <c r="K126" i="33"/>
  <c r="J126" i="33"/>
  <c r="I126" i="33"/>
  <c r="K125" i="33"/>
  <c r="J125" i="33"/>
  <c r="I125" i="33"/>
  <c r="K124" i="33"/>
  <c r="J124" i="33"/>
  <c r="I124" i="33"/>
  <c r="K123" i="33"/>
  <c r="J123" i="33"/>
  <c r="I123" i="33"/>
  <c r="K122" i="33"/>
  <c r="J122" i="33"/>
  <c r="I122" i="33"/>
  <c r="K121" i="33"/>
  <c r="J121" i="33"/>
  <c r="I121" i="33"/>
  <c r="K120" i="33"/>
  <c r="J120" i="33"/>
  <c r="I120" i="33"/>
  <c r="K119" i="33"/>
  <c r="J119" i="33"/>
  <c r="I119" i="33"/>
  <c r="K118" i="33"/>
  <c r="J118" i="33"/>
  <c r="I118" i="33"/>
  <c r="K117" i="33"/>
  <c r="J117" i="33"/>
  <c r="I117" i="33"/>
  <c r="K116" i="33"/>
  <c r="J116" i="33"/>
  <c r="I116" i="33"/>
  <c r="K115" i="33"/>
  <c r="J115" i="33"/>
  <c r="I115" i="33"/>
  <c r="K114" i="33"/>
  <c r="J114" i="33"/>
  <c r="I114" i="33"/>
  <c r="K113" i="33"/>
  <c r="J113" i="33"/>
  <c r="I113" i="33"/>
  <c r="K112" i="33"/>
  <c r="J112" i="33"/>
  <c r="I112" i="33"/>
  <c r="K106" i="33"/>
  <c r="J106" i="33"/>
  <c r="I106" i="33"/>
  <c r="K105" i="33"/>
  <c r="J105" i="33"/>
  <c r="I105" i="33"/>
  <c r="K104" i="33"/>
  <c r="J104" i="33"/>
  <c r="I104" i="33"/>
  <c r="K103" i="33"/>
  <c r="J103" i="33"/>
  <c r="I103" i="33"/>
  <c r="K102" i="33"/>
  <c r="J102" i="33"/>
  <c r="I102" i="33"/>
  <c r="K101" i="33"/>
  <c r="J101" i="33"/>
  <c r="I101" i="33"/>
  <c r="K100" i="33"/>
  <c r="J100" i="33"/>
  <c r="I100" i="33"/>
  <c r="K99" i="33"/>
  <c r="J99" i="33"/>
  <c r="I99" i="33"/>
  <c r="K98" i="33"/>
  <c r="J98" i="33"/>
  <c r="I98" i="33"/>
  <c r="K97" i="33"/>
  <c r="J97" i="33"/>
  <c r="I97" i="33"/>
  <c r="K96" i="33"/>
  <c r="J96" i="33"/>
  <c r="I96" i="33"/>
  <c r="K95" i="33"/>
  <c r="J95" i="33"/>
  <c r="I95" i="33"/>
  <c r="K94" i="33"/>
  <c r="J94" i="33"/>
  <c r="I94" i="33"/>
  <c r="K93" i="33"/>
  <c r="J93" i="33"/>
  <c r="I93" i="33"/>
  <c r="K92" i="33"/>
  <c r="J92" i="33"/>
  <c r="I92" i="33"/>
  <c r="K91" i="33"/>
  <c r="J91" i="33"/>
  <c r="I91" i="33"/>
  <c r="K90" i="33"/>
  <c r="J90" i="33"/>
  <c r="I90" i="33"/>
  <c r="K89" i="33"/>
  <c r="J89" i="33"/>
  <c r="I89" i="33"/>
  <c r="K88" i="33"/>
  <c r="J88" i="33"/>
  <c r="I88" i="33"/>
  <c r="K87" i="33"/>
  <c r="J87" i="33"/>
  <c r="I87" i="33"/>
  <c r="K86" i="33"/>
  <c r="J86" i="33"/>
  <c r="I86" i="33"/>
  <c r="K85" i="33"/>
  <c r="J85" i="33"/>
  <c r="I85" i="33"/>
  <c r="K84" i="33"/>
  <c r="J84" i="33"/>
  <c r="I84" i="33"/>
  <c r="K83" i="33"/>
  <c r="J83" i="33"/>
  <c r="I83" i="33"/>
  <c r="K82" i="33"/>
  <c r="J82" i="33"/>
  <c r="I82" i="33"/>
  <c r="K81" i="33"/>
  <c r="J81" i="33"/>
  <c r="I81" i="33"/>
  <c r="K80" i="33"/>
  <c r="J80" i="33"/>
  <c r="I80" i="33"/>
  <c r="K79" i="33"/>
  <c r="J79" i="33"/>
  <c r="I79" i="33"/>
  <c r="K78" i="33"/>
  <c r="J78" i="33"/>
  <c r="I78" i="33"/>
  <c r="K77" i="33"/>
  <c r="J77" i="33"/>
  <c r="I77" i="33"/>
  <c r="K71" i="33"/>
  <c r="J71" i="33"/>
  <c r="I71" i="33"/>
  <c r="K70" i="33"/>
  <c r="J70" i="33"/>
  <c r="I70" i="33"/>
  <c r="K69" i="33"/>
  <c r="J69" i="33"/>
  <c r="I69" i="33"/>
  <c r="K68" i="33"/>
  <c r="J68" i="33"/>
  <c r="I68" i="33"/>
  <c r="K67" i="33"/>
  <c r="J67" i="33"/>
  <c r="I67" i="33"/>
  <c r="K66" i="33"/>
  <c r="J66" i="33"/>
  <c r="I66" i="33"/>
  <c r="K65" i="33"/>
  <c r="J65" i="33"/>
  <c r="I65" i="33"/>
  <c r="K64" i="33"/>
  <c r="J64" i="33"/>
  <c r="I64" i="33"/>
  <c r="K63" i="33"/>
  <c r="J63" i="33"/>
  <c r="I63" i="33"/>
  <c r="K62" i="33"/>
  <c r="J62" i="33"/>
  <c r="I62" i="33"/>
  <c r="K61" i="33"/>
  <c r="J61" i="33"/>
  <c r="I61" i="33"/>
  <c r="K60" i="33"/>
  <c r="J60" i="33"/>
  <c r="I60" i="33"/>
  <c r="K59" i="33"/>
  <c r="J59" i="33"/>
  <c r="I59" i="33"/>
  <c r="K58" i="33"/>
  <c r="J58" i="33"/>
  <c r="I58" i="33"/>
  <c r="K57" i="33"/>
  <c r="J57" i="33"/>
  <c r="I57" i="33"/>
  <c r="K56" i="33"/>
  <c r="J56" i="33"/>
  <c r="I56" i="33"/>
  <c r="K55" i="33"/>
  <c r="J55" i="33"/>
  <c r="I55" i="33"/>
  <c r="K54" i="33"/>
  <c r="J54" i="33"/>
  <c r="I54" i="33"/>
  <c r="K53" i="33"/>
  <c r="J53" i="33"/>
  <c r="I53" i="33"/>
  <c r="K52" i="33"/>
  <c r="J52" i="33"/>
  <c r="I52" i="33"/>
  <c r="K51" i="33"/>
  <c r="J51" i="33"/>
  <c r="I51" i="33"/>
  <c r="K50" i="33"/>
  <c r="J50" i="33"/>
  <c r="I50" i="33"/>
  <c r="K49" i="33"/>
  <c r="J49" i="33"/>
  <c r="I49" i="33"/>
  <c r="K48" i="33"/>
  <c r="J48" i="33"/>
  <c r="I48" i="33"/>
  <c r="K47" i="33"/>
  <c r="J47" i="33"/>
  <c r="I47" i="33"/>
  <c r="K46" i="33"/>
  <c r="J46" i="33"/>
  <c r="I46" i="33"/>
  <c r="K45" i="33"/>
  <c r="J45" i="33"/>
  <c r="I45" i="33"/>
  <c r="K44" i="33"/>
  <c r="J44" i="33"/>
  <c r="I44" i="33"/>
  <c r="K43" i="33"/>
  <c r="J43" i="33"/>
  <c r="I43" i="33"/>
  <c r="K42" i="33"/>
  <c r="J42" i="33"/>
  <c r="I42" i="33"/>
  <c r="K211" i="8"/>
  <c r="J211" i="8"/>
  <c r="I211" i="8"/>
  <c r="K210" i="8"/>
  <c r="J210" i="8"/>
  <c r="I210" i="8"/>
  <c r="K209" i="8"/>
  <c r="J209" i="8"/>
  <c r="I209" i="8"/>
  <c r="K208" i="8"/>
  <c r="J208" i="8"/>
  <c r="I208" i="8"/>
  <c r="K207" i="8"/>
  <c r="J207" i="8"/>
  <c r="I207" i="8"/>
  <c r="K206" i="8"/>
  <c r="J206" i="8"/>
  <c r="I206" i="8"/>
  <c r="K205" i="8"/>
  <c r="J205" i="8"/>
  <c r="I205" i="8"/>
  <c r="K204" i="8"/>
  <c r="J204" i="8"/>
  <c r="I204" i="8"/>
  <c r="K203" i="8"/>
  <c r="J203" i="8"/>
  <c r="I203" i="8"/>
  <c r="K202" i="8"/>
  <c r="J202" i="8"/>
  <c r="I202" i="8"/>
  <c r="K201" i="8"/>
  <c r="J201" i="8"/>
  <c r="I201" i="8"/>
  <c r="K200" i="8"/>
  <c r="J200" i="8"/>
  <c r="I200" i="8"/>
  <c r="K199" i="8"/>
  <c r="J199" i="8"/>
  <c r="I199" i="8"/>
  <c r="K198" i="8"/>
  <c r="J198" i="8"/>
  <c r="I198" i="8"/>
  <c r="K197" i="8"/>
  <c r="J197" i="8"/>
  <c r="I197" i="8"/>
  <c r="K196" i="8"/>
  <c r="J196" i="8"/>
  <c r="I196" i="8"/>
  <c r="K195" i="8"/>
  <c r="J195" i="8"/>
  <c r="I195" i="8"/>
  <c r="K194" i="8"/>
  <c r="J194" i="8"/>
  <c r="I194" i="8"/>
  <c r="K193" i="8"/>
  <c r="J193" i="8"/>
  <c r="I193" i="8"/>
  <c r="K192" i="8"/>
  <c r="J192" i="8"/>
  <c r="I192" i="8"/>
  <c r="K191" i="8"/>
  <c r="J191" i="8"/>
  <c r="I191" i="8"/>
  <c r="K190" i="8"/>
  <c r="J190" i="8"/>
  <c r="I190" i="8"/>
  <c r="K189" i="8"/>
  <c r="J189" i="8"/>
  <c r="I189" i="8"/>
  <c r="K188" i="8"/>
  <c r="J188" i="8"/>
  <c r="I188" i="8"/>
  <c r="K187" i="8"/>
  <c r="J187" i="8"/>
  <c r="I187" i="8"/>
  <c r="K186" i="8"/>
  <c r="J186" i="8"/>
  <c r="I186" i="8"/>
  <c r="K185" i="8"/>
  <c r="J185" i="8"/>
  <c r="I185" i="8"/>
  <c r="K184" i="8"/>
  <c r="J184" i="8"/>
  <c r="I184" i="8"/>
  <c r="K183" i="8"/>
  <c r="J183" i="8"/>
  <c r="I183" i="8"/>
  <c r="K182" i="8"/>
  <c r="J182" i="8"/>
  <c r="I182" i="8"/>
  <c r="K176" i="8"/>
  <c r="J176" i="8"/>
  <c r="I176" i="8"/>
  <c r="K175" i="8"/>
  <c r="J175" i="8"/>
  <c r="I175" i="8"/>
  <c r="K174" i="8"/>
  <c r="J174" i="8"/>
  <c r="I174" i="8"/>
  <c r="K173" i="8"/>
  <c r="J173" i="8"/>
  <c r="I173" i="8"/>
  <c r="K172" i="8"/>
  <c r="J172" i="8"/>
  <c r="I172" i="8"/>
  <c r="K171" i="8"/>
  <c r="J171" i="8"/>
  <c r="I171" i="8"/>
  <c r="K170" i="8"/>
  <c r="J170" i="8"/>
  <c r="I170" i="8"/>
  <c r="K169" i="8"/>
  <c r="J169" i="8"/>
  <c r="I169" i="8"/>
  <c r="K168" i="8"/>
  <c r="J168" i="8"/>
  <c r="I168" i="8"/>
  <c r="K167" i="8"/>
  <c r="J167" i="8"/>
  <c r="I167" i="8"/>
  <c r="K166" i="8"/>
  <c r="J166" i="8"/>
  <c r="I166" i="8"/>
  <c r="K165" i="8"/>
  <c r="J165" i="8"/>
  <c r="I165" i="8"/>
  <c r="K164" i="8"/>
  <c r="J164" i="8"/>
  <c r="I164" i="8"/>
  <c r="K163" i="8"/>
  <c r="J163" i="8"/>
  <c r="I163" i="8"/>
  <c r="K162" i="8"/>
  <c r="J162" i="8"/>
  <c r="I162" i="8"/>
  <c r="K161" i="8"/>
  <c r="J161" i="8"/>
  <c r="I161" i="8"/>
  <c r="K160" i="8"/>
  <c r="J160" i="8"/>
  <c r="I160" i="8"/>
  <c r="K159" i="8"/>
  <c r="J159" i="8"/>
  <c r="I159" i="8"/>
  <c r="K158" i="8"/>
  <c r="J158" i="8"/>
  <c r="I158" i="8"/>
  <c r="K157" i="8"/>
  <c r="J157" i="8"/>
  <c r="I157" i="8"/>
  <c r="J156" i="8"/>
  <c r="I156" i="8"/>
  <c r="J155" i="8"/>
  <c r="I155" i="8"/>
  <c r="K154" i="8"/>
  <c r="J154" i="8"/>
  <c r="I154" i="8"/>
  <c r="K153" i="8"/>
  <c r="J153" i="8"/>
  <c r="I153" i="8"/>
  <c r="K152" i="8"/>
  <c r="J152" i="8"/>
  <c r="I152" i="8"/>
  <c r="K151" i="8"/>
  <c r="J151" i="8"/>
  <c r="I151" i="8"/>
  <c r="K150" i="8"/>
  <c r="J150" i="8"/>
  <c r="I150" i="8"/>
  <c r="K149" i="8"/>
  <c r="J149" i="8"/>
  <c r="I149" i="8"/>
  <c r="K148" i="8"/>
  <c r="J148" i="8"/>
  <c r="I148" i="8"/>
  <c r="K147" i="8"/>
  <c r="J147" i="8"/>
  <c r="I147" i="8"/>
  <c r="K141" i="8"/>
  <c r="J141" i="8"/>
  <c r="I141" i="8"/>
  <c r="K140" i="8"/>
  <c r="J140" i="8"/>
  <c r="I140" i="8"/>
  <c r="K139" i="8"/>
  <c r="J139" i="8"/>
  <c r="I139" i="8"/>
  <c r="K138" i="8"/>
  <c r="J138" i="8"/>
  <c r="I138" i="8"/>
  <c r="K137" i="8"/>
  <c r="J137" i="8"/>
  <c r="I137" i="8"/>
  <c r="K136" i="8"/>
  <c r="J136" i="8"/>
  <c r="I136" i="8"/>
  <c r="K135" i="8"/>
  <c r="J135" i="8"/>
  <c r="I135" i="8"/>
  <c r="K134" i="8"/>
  <c r="J134" i="8"/>
  <c r="I134" i="8"/>
  <c r="K133" i="8"/>
  <c r="J133" i="8"/>
  <c r="I133" i="8"/>
  <c r="K132" i="8"/>
  <c r="J132" i="8"/>
  <c r="I132" i="8"/>
  <c r="K131" i="8"/>
  <c r="J131" i="8"/>
  <c r="I131" i="8"/>
  <c r="K130" i="8"/>
  <c r="J130" i="8"/>
  <c r="I130" i="8"/>
  <c r="K129" i="8"/>
  <c r="J129" i="8"/>
  <c r="I129" i="8"/>
  <c r="K128" i="8"/>
  <c r="J128" i="8"/>
  <c r="I128" i="8"/>
  <c r="K127" i="8"/>
  <c r="J127" i="8"/>
  <c r="I127" i="8"/>
  <c r="K126" i="8"/>
  <c r="J126" i="8"/>
  <c r="I126" i="8"/>
  <c r="K125" i="8"/>
  <c r="J125" i="8"/>
  <c r="I125" i="8"/>
  <c r="K124" i="8"/>
  <c r="J124" i="8"/>
  <c r="I124" i="8"/>
  <c r="K123" i="8"/>
  <c r="J123" i="8"/>
  <c r="I123" i="8"/>
  <c r="K122" i="8"/>
  <c r="J122" i="8"/>
  <c r="I122" i="8"/>
  <c r="K121" i="8"/>
  <c r="J121" i="8"/>
  <c r="I121" i="8"/>
  <c r="K120" i="8"/>
  <c r="J120" i="8"/>
  <c r="I120" i="8"/>
  <c r="K119" i="8"/>
  <c r="J119" i="8"/>
  <c r="I119" i="8"/>
  <c r="K118" i="8"/>
  <c r="J118" i="8"/>
  <c r="I118" i="8"/>
  <c r="K117" i="8"/>
  <c r="J117" i="8"/>
  <c r="I117" i="8"/>
  <c r="K116" i="8"/>
  <c r="J116" i="8"/>
  <c r="I116" i="8"/>
  <c r="K115" i="8"/>
  <c r="J115" i="8"/>
  <c r="I115" i="8"/>
  <c r="K114" i="8"/>
  <c r="J114" i="8"/>
  <c r="I114" i="8"/>
  <c r="K113" i="8"/>
  <c r="J113" i="8"/>
  <c r="I113" i="8"/>
  <c r="K112" i="8"/>
  <c r="J112" i="8"/>
  <c r="I112" i="8"/>
  <c r="K106" i="8"/>
  <c r="J106" i="8"/>
  <c r="I106" i="8"/>
  <c r="K105" i="8"/>
  <c r="J105" i="8"/>
  <c r="I105" i="8"/>
  <c r="K104" i="8"/>
  <c r="J104" i="8"/>
  <c r="I104" i="8"/>
  <c r="K103" i="8"/>
  <c r="J103" i="8"/>
  <c r="I103" i="8"/>
  <c r="K102" i="8"/>
  <c r="J102" i="8"/>
  <c r="I102" i="8"/>
  <c r="K101" i="8"/>
  <c r="J101" i="8"/>
  <c r="I101" i="8"/>
  <c r="K100" i="8"/>
  <c r="J100" i="8"/>
  <c r="I100" i="8"/>
  <c r="K99" i="8"/>
  <c r="J99" i="8"/>
  <c r="I99" i="8"/>
  <c r="K98" i="8"/>
  <c r="J98" i="8"/>
  <c r="I98" i="8"/>
  <c r="K97" i="8"/>
  <c r="J97" i="8"/>
  <c r="I97" i="8"/>
  <c r="K96" i="8"/>
  <c r="J96" i="8"/>
  <c r="I96" i="8"/>
  <c r="K95" i="8"/>
  <c r="J95" i="8"/>
  <c r="I95" i="8"/>
  <c r="K94" i="8"/>
  <c r="J94" i="8"/>
  <c r="I94" i="8"/>
  <c r="K93" i="8"/>
  <c r="J93" i="8"/>
  <c r="I93" i="8"/>
  <c r="K92" i="8"/>
  <c r="J92" i="8"/>
  <c r="I92" i="8"/>
  <c r="K91" i="8"/>
  <c r="J91" i="8"/>
  <c r="I91" i="8"/>
  <c r="K90" i="8"/>
  <c r="J90" i="8"/>
  <c r="I90" i="8"/>
  <c r="K89" i="8"/>
  <c r="J89" i="8"/>
  <c r="I89" i="8"/>
  <c r="K88" i="8"/>
  <c r="J88" i="8"/>
  <c r="I88" i="8"/>
  <c r="K87" i="8"/>
  <c r="J87" i="8"/>
  <c r="I87" i="8"/>
  <c r="K86" i="8"/>
  <c r="J86" i="8"/>
  <c r="I86" i="8"/>
  <c r="K85" i="8"/>
  <c r="J85" i="8"/>
  <c r="I85" i="8"/>
  <c r="K84" i="8"/>
  <c r="J84" i="8"/>
  <c r="I84" i="8"/>
  <c r="K83" i="8"/>
  <c r="J83" i="8"/>
  <c r="I83" i="8"/>
  <c r="K82" i="8"/>
  <c r="J82" i="8"/>
  <c r="I82" i="8"/>
  <c r="K81" i="8"/>
  <c r="J81" i="8"/>
  <c r="I81" i="8"/>
  <c r="K80" i="8"/>
  <c r="J80" i="8"/>
  <c r="I80" i="8"/>
  <c r="K79" i="8"/>
  <c r="J79" i="8"/>
  <c r="I79" i="8"/>
  <c r="K78" i="8"/>
  <c r="J78" i="8"/>
  <c r="I78" i="8"/>
  <c r="K77" i="8"/>
  <c r="J77" i="8"/>
  <c r="I77" i="8"/>
  <c r="K71" i="8"/>
  <c r="J71" i="8"/>
  <c r="I71" i="8"/>
  <c r="K70" i="8"/>
  <c r="J70" i="8"/>
  <c r="I70" i="8"/>
  <c r="K69" i="8"/>
  <c r="J69" i="8"/>
  <c r="I69" i="8"/>
  <c r="K68" i="8"/>
  <c r="J68" i="8"/>
  <c r="I68" i="8"/>
  <c r="K67" i="8"/>
  <c r="J67" i="8"/>
  <c r="I67" i="8"/>
  <c r="K66" i="8"/>
  <c r="J66" i="8"/>
  <c r="I66" i="8"/>
  <c r="K65" i="8"/>
  <c r="J65" i="8"/>
  <c r="I65" i="8"/>
  <c r="K64" i="8"/>
  <c r="J64" i="8"/>
  <c r="I64" i="8"/>
  <c r="K63" i="8"/>
  <c r="J63" i="8"/>
  <c r="I63" i="8"/>
  <c r="K62" i="8"/>
  <c r="J62" i="8"/>
  <c r="I62" i="8"/>
  <c r="K61" i="8"/>
  <c r="J61" i="8"/>
  <c r="I61" i="8"/>
  <c r="K60" i="8"/>
  <c r="J60" i="8"/>
  <c r="I60" i="8"/>
  <c r="K59" i="8"/>
  <c r="J59" i="8"/>
  <c r="I59" i="8"/>
  <c r="K58" i="8"/>
  <c r="J58" i="8"/>
  <c r="I58" i="8"/>
  <c r="K57" i="8"/>
  <c r="J57" i="8"/>
  <c r="I57" i="8"/>
  <c r="K56" i="8"/>
  <c r="J56" i="8"/>
  <c r="I56" i="8"/>
  <c r="K55" i="8"/>
  <c r="J55" i="8"/>
  <c r="I55" i="8"/>
  <c r="K54" i="8"/>
  <c r="J54" i="8"/>
  <c r="I54" i="8"/>
  <c r="K53" i="8"/>
  <c r="J53" i="8"/>
  <c r="I53" i="8"/>
  <c r="K52" i="8"/>
  <c r="J52" i="8"/>
  <c r="I52" i="8"/>
  <c r="K51" i="8"/>
  <c r="J51" i="8"/>
  <c r="I51" i="8"/>
  <c r="K50" i="8"/>
  <c r="J50" i="8"/>
  <c r="I50" i="8"/>
  <c r="K49" i="8"/>
  <c r="J49" i="8"/>
  <c r="I49" i="8"/>
  <c r="K48" i="8"/>
  <c r="J48" i="8"/>
  <c r="I48" i="8"/>
  <c r="K47" i="8"/>
  <c r="J47" i="8"/>
  <c r="I47" i="8"/>
  <c r="K46" i="8"/>
  <c r="J46" i="8"/>
  <c r="I46" i="8"/>
  <c r="K45" i="8"/>
  <c r="J45" i="8"/>
  <c r="I45" i="8"/>
  <c r="K44" i="8"/>
  <c r="J44" i="8"/>
  <c r="I44" i="8"/>
  <c r="K43" i="8"/>
  <c r="J43" i="8"/>
  <c r="I43" i="8"/>
  <c r="K42" i="8"/>
  <c r="J42" i="8"/>
  <c r="I42" i="8"/>
  <c r="U35" i="3"/>
  <c r="O35" i="3"/>
  <c r="M24" i="8" l="1"/>
  <c r="M16" i="8"/>
  <c r="M30" i="8"/>
  <c r="M22" i="8"/>
  <c r="M14" i="8"/>
  <c r="M28" i="8"/>
  <c r="M20" i="8"/>
  <c r="M12" i="8"/>
  <c r="M26" i="8"/>
  <c r="M18" i="8"/>
  <c r="M10" i="8"/>
  <c r="M8" i="8"/>
  <c r="M15" i="8"/>
  <c r="M11" i="8"/>
  <c r="M29" i="8"/>
  <c r="M23" i="8"/>
  <c r="M19" i="8"/>
  <c r="M17" i="8"/>
  <c r="M27" i="8"/>
  <c r="M13" i="8"/>
  <c r="M7" i="8"/>
  <c r="M25" i="8"/>
  <c r="M9" i="8"/>
  <c r="M21" i="8"/>
  <c r="M29" i="33"/>
  <c r="M21" i="33"/>
  <c r="M13" i="33"/>
  <c r="M27" i="33"/>
  <c r="M19" i="33"/>
  <c r="M11" i="33"/>
  <c r="M25" i="33"/>
  <c r="M17" i="33"/>
  <c r="M9" i="33"/>
  <c r="M31" i="33"/>
  <c r="M23" i="33"/>
  <c r="M15" i="33"/>
  <c r="M20" i="33"/>
  <c r="M14" i="33"/>
  <c r="M16" i="33"/>
  <c r="M28" i="33"/>
  <c r="M22" i="33"/>
  <c r="M24" i="33"/>
  <c r="M10" i="33"/>
  <c r="M7" i="33"/>
  <c r="M30" i="33"/>
  <c r="M18" i="33"/>
  <c r="M12" i="33"/>
  <c r="M8" i="33"/>
  <c r="M26" i="33"/>
  <c r="L107" i="37"/>
  <c r="M121" i="31"/>
  <c r="M107" i="31"/>
  <c r="M107" i="32"/>
  <c r="M121" i="32"/>
  <c r="L107" i="35"/>
  <c r="L107" i="32"/>
  <c r="L107" i="36"/>
  <c r="L42" i="8"/>
  <c r="B28" i="39" s="1"/>
  <c r="P22" i="32" l="1"/>
  <c r="U22" i="32" s="1"/>
  <c r="Z22" i="32" s="1"/>
  <c r="AE22" i="32" s="1"/>
  <c r="AJ22" i="32" s="1"/>
  <c r="AO22" i="32" s="1"/>
  <c r="AT22" i="32" s="1"/>
  <c r="P22" i="31"/>
  <c r="U22" i="31" s="1"/>
  <c r="Z22" i="31" s="1"/>
  <c r="AE22" i="31" s="1"/>
  <c r="AJ22" i="31" s="1"/>
  <c r="AO22" i="31" s="1"/>
  <c r="AT22" i="31" s="1"/>
  <c r="P22" i="34"/>
  <c r="U22" i="34" s="1"/>
  <c r="Z22" i="34" s="1"/>
  <c r="AE22" i="34" s="1"/>
  <c r="AJ22" i="34" s="1"/>
  <c r="AO22" i="34" s="1"/>
  <c r="AT22" i="34" s="1"/>
  <c r="P22" i="35"/>
  <c r="U22" i="35" s="1"/>
  <c r="Z22" i="35" s="1"/>
  <c r="AE22" i="35" s="1"/>
  <c r="AJ22" i="35" s="1"/>
  <c r="AO22" i="35" s="1"/>
  <c r="AT22" i="35" s="1"/>
  <c r="P22" i="36"/>
  <c r="U22" i="36" s="1"/>
  <c r="Z22" i="36" s="1"/>
  <c r="AE22" i="36" s="1"/>
  <c r="AJ22" i="36" s="1"/>
  <c r="AO22" i="36" s="1"/>
  <c r="AT22" i="36" s="1"/>
  <c r="P22" i="37"/>
  <c r="U22" i="37" s="1"/>
  <c r="Z22" i="37" s="1"/>
  <c r="AE22" i="37" s="1"/>
  <c r="AJ22" i="37" s="1"/>
  <c r="AO22" i="37" s="1"/>
  <c r="AT22" i="37" s="1"/>
  <c r="P22" i="30"/>
  <c r="U22" i="30" s="1"/>
  <c r="Z22" i="30" s="1"/>
  <c r="AE22" i="30" s="1"/>
  <c r="AJ22" i="30" s="1"/>
  <c r="AO22" i="30" s="1"/>
  <c r="AT22" i="30" s="1"/>
  <c r="P37" i="8"/>
  <c r="U5" i="3" l="1"/>
  <c r="P6" i="3" l="1"/>
  <c r="G255" i="8" l="1"/>
  <c r="G254" i="8"/>
  <c r="G253" i="8"/>
  <c r="G252" i="8"/>
  <c r="G251" i="8"/>
  <c r="G250" i="8"/>
  <c r="G262" i="8"/>
  <c r="G261" i="8"/>
  <c r="G260" i="8"/>
  <c r="G259" i="8"/>
  <c r="G258" i="8"/>
  <c r="G257" i="8"/>
  <c r="H107" i="37" l="1"/>
  <c r="H107" i="36"/>
  <c r="H107" i="35"/>
  <c r="H107" i="32"/>
  <c r="M113" i="30"/>
  <c r="M112" i="30"/>
  <c r="M111" i="30"/>
  <c r="M110" i="30"/>
  <c r="M109" i="30"/>
  <c r="M108" i="30"/>
  <c r="H107" i="30"/>
  <c r="L182" i="8"/>
  <c r="H182" i="8"/>
  <c r="M121" i="30" l="1"/>
  <c r="L107" i="30"/>
  <c r="M114" i="30"/>
  <c r="M118" i="30"/>
  <c r="M107" i="30"/>
  <c r="M115" i="30"/>
  <c r="M119" i="30"/>
  <c r="M116" i="30"/>
  <c r="M120" i="30"/>
  <c r="M117" i="30"/>
  <c r="M184" i="8"/>
  <c r="M186" i="8"/>
  <c r="M188" i="8"/>
  <c r="M190" i="8"/>
  <c r="M211" i="8"/>
  <c r="M183" i="8"/>
  <c r="M185" i="8"/>
  <c r="M187" i="8"/>
  <c r="M189" i="8"/>
  <c r="M191" i="8"/>
  <c r="M193" i="8"/>
  <c r="M195" i="8"/>
  <c r="M197" i="8"/>
  <c r="M199" i="8"/>
  <c r="M201" i="8"/>
  <c r="M192" i="8"/>
  <c r="M194" i="8"/>
  <c r="M196" i="8"/>
  <c r="M198" i="8"/>
  <c r="M200" i="8"/>
  <c r="M202" i="8"/>
  <c r="M182" i="8"/>
  <c r="M206" i="8"/>
  <c r="M210" i="8"/>
  <c r="M203" i="8"/>
  <c r="M207" i="8"/>
  <c r="M204" i="8"/>
  <c r="M208" i="8"/>
  <c r="M205" i="8"/>
  <c r="M209" i="8"/>
  <c r="O5" i="3" l="1"/>
  <c r="AK50" i="6" l="1"/>
  <c r="AI50" i="6"/>
  <c r="AG50" i="6"/>
  <c r="AE50" i="6"/>
  <c r="AA50" i="6"/>
  <c r="Y50" i="6"/>
  <c r="W50" i="6"/>
  <c r="U50" i="6"/>
  <c r="Q50" i="6"/>
  <c r="O50" i="6"/>
  <c r="K50" i="6"/>
  <c r="I50" i="6"/>
  <c r="F43" i="6" l="1"/>
  <c r="AK50" i="7"/>
  <c r="AI50" i="7"/>
  <c r="AG50" i="7"/>
  <c r="AE50" i="7"/>
  <c r="AA50" i="7"/>
  <c r="Y50" i="7"/>
  <c r="W50" i="7"/>
  <c r="U50" i="7"/>
  <c r="Q50" i="7"/>
  <c r="O50" i="7"/>
  <c r="K50" i="7"/>
  <c r="I50" i="7"/>
  <c r="I5" i="5"/>
  <c r="D12" i="3"/>
  <c r="D13" i="3" s="1"/>
  <c r="D14" i="3" s="1"/>
  <c r="D15" i="3" s="1"/>
  <c r="D16" i="3" s="1"/>
  <c r="D17" i="3" s="1"/>
  <c r="D18" i="3" s="1"/>
  <c r="D19" i="3" s="1"/>
  <c r="D20" i="3" s="1"/>
  <c r="D21" i="3" s="1"/>
  <c r="D22" i="3" s="1"/>
  <c r="D23" i="3" s="1"/>
  <c r="D24" i="3" s="1"/>
  <c r="D25" i="3" s="1"/>
  <c r="D26" i="3" s="1"/>
  <c r="D27" i="3" s="1"/>
  <c r="D28" i="3" s="1"/>
  <c r="D29" i="3" s="1"/>
  <c r="D30" i="3" s="1"/>
  <c r="D31" i="3" s="1"/>
  <c r="D32" i="3" s="1"/>
  <c r="D33" i="3" s="1"/>
  <c r="D34" i="3" s="1"/>
  <c r="D35" i="3" s="1"/>
  <c r="D36" i="3" s="1"/>
  <c r="D37" i="3" s="1"/>
  <c r="D38" i="3" s="1"/>
  <c r="D39" i="3" s="1"/>
  <c r="AF43" i="6" l="1"/>
  <c r="Z43" i="6"/>
  <c r="AJ43" i="6"/>
  <c r="V43" i="6"/>
  <c r="P43" i="6"/>
  <c r="J43" i="6"/>
  <c r="AD43" i="6"/>
  <c r="T43" i="6"/>
  <c r="L43" i="6"/>
  <c r="AL43" i="6"/>
  <c r="AB43" i="6"/>
  <c r="R43" i="6"/>
  <c r="AH43" i="6"/>
  <c r="X43" i="6"/>
  <c r="N43" i="6"/>
  <c r="F7" i="7"/>
  <c r="F7" i="6"/>
  <c r="X7" i="7" l="1"/>
  <c r="R7" i="7"/>
  <c r="L7" i="7"/>
  <c r="AJ7" i="7"/>
  <c r="V7" i="7"/>
  <c r="P7" i="7"/>
  <c r="J7" i="7"/>
  <c r="AH7" i="7"/>
  <c r="AB7" i="7"/>
  <c r="AF7" i="7"/>
  <c r="Z7" i="7"/>
  <c r="AD7" i="7"/>
  <c r="N7" i="7"/>
  <c r="T7" i="7"/>
  <c r="AL7" i="6"/>
  <c r="X7" i="6"/>
  <c r="R7" i="6"/>
  <c r="L7" i="6"/>
  <c r="P7" i="6"/>
  <c r="AJ7" i="6"/>
  <c r="V7" i="6"/>
  <c r="J7" i="6"/>
  <c r="AH7" i="6"/>
  <c r="AB7" i="6"/>
  <c r="AF7" i="6"/>
  <c r="Z7" i="6"/>
  <c r="T7" i="6"/>
  <c r="AD7" i="6"/>
  <c r="N7" i="6"/>
  <c r="AL7" i="7"/>
  <c r="B8" i="13" l="1"/>
  <c r="S14" i="7" l="1"/>
  <c r="B10" i="13"/>
  <c r="B7" i="13"/>
  <c r="B6" i="13"/>
  <c r="H128" i="37" l="1"/>
  <c r="E10" i="39" l="1"/>
  <c r="E8" i="39"/>
  <c r="E7" i="39"/>
  <c r="E6" i="39"/>
  <c r="K11" i="39"/>
  <c r="K9" i="39"/>
  <c r="K8" i="39"/>
  <c r="K6" i="39"/>
  <c r="Q10" i="3" l="1"/>
  <c r="W10" i="3"/>
  <c r="E9" i="39" l="1"/>
  <c r="B9" i="13"/>
  <c r="E11" i="39"/>
  <c r="B11" i="13"/>
  <c r="I40" i="5" l="1"/>
  <c r="J40" i="5" s="1"/>
  <c r="K130" i="36" l="1"/>
  <c r="J130" i="36"/>
  <c r="I130" i="36"/>
  <c r="H128" i="36"/>
  <c r="H128" i="35"/>
  <c r="J137" i="35"/>
  <c r="I137" i="35"/>
  <c r="J136" i="35"/>
  <c r="I136" i="35"/>
  <c r="J131" i="35"/>
  <c r="I131" i="35"/>
  <c r="H128" i="34"/>
  <c r="J135" i="34"/>
  <c r="I135" i="34"/>
  <c r="H107" i="34"/>
  <c r="H218" i="33"/>
  <c r="M205" i="33"/>
  <c r="M204" i="33"/>
  <c r="M203" i="33"/>
  <c r="M202" i="33"/>
  <c r="M201" i="33"/>
  <c r="M199" i="33"/>
  <c r="M198" i="33"/>
  <c r="M197" i="33"/>
  <c r="M195" i="33"/>
  <c r="M193" i="33"/>
  <c r="M191" i="33"/>
  <c r="M190" i="33"/>
  <c r="M189" i="33"/>
  <c r="M188" i="33"/>
  <c r="M187" i="33"/>
  <c r="M185" i="33"/>
  <c r="M183" i="33"/>
  <c r="M182" i="33"/>
  <c r="H182" i="33"/>
  <c r="H128" i="31"/>
  <c r="H107" i="31"/>
  <c r="H128" i="32"/>
  <c r="J138" i="32"/>
  <c r="I138" i="32"/>
  <c r="K132" i="30"/>
  <c r="J132" i="30"/>
  <c r="I132" i="30"/>
  <c r="K240" i="8"/>
  <c r="J240" i="8"/>
  <c r="I240" i="8"/>
  <c r="J239" i="8"/>
  <c r="I239" i="8"/>
  <c r="M109" i="34" l="1"/>
  <c r="M118" i="34"/>
  <c r="M121" i="34"/>
  <c r="M117" i="34"/>
  <c r="M120" i="34"/>
  <c r="M119" i="34"/>
  <c r="M107" i="34"/>
  <c r="M115" i="34"/>
  <c r="M116" i="34"/>
  <c r="M111" i="34"/>
  <c r="M108" i="34"/>
  <c r="M110" i="34"/>
  <c r="M112" i="34"/>
  <c r="M114" i="34"/>
  <c r="M113" i="34"/>
  <c r="K131" i="35"/>
  <c r="K137" i="35"/>
  <c r="K136" i="35"/>
  <c r="L107" i="34"/>
  <c r="K135" i="34"/>
  <c r="M194" i="33"/>
  <c r="M196" i="33"/>
  <c r="M186" i="33"/>
  <c r="L182" i="33"/>
  <c r="M184" i="33"/>
  <c r="M192" i="33"/>
  <c r="M200" i="33"/>
  <c r="K138" i="32"/>
  <c r="K239" i="8"/>
  <c r="H128" i="30"/>
  <c r="H218" i="8"/>
  <c r="L107" i="31"/>
  <c r="M130" i="36" l="1"/>
  <c r="I32" i="5"/>
  <c r="I31" i="5"/>
  <c r="I30" i="5"/>
  <c r="I29" i="5"/>
  <c r="I28" i="5"/>
  <c r="L20" i="21" l="1"/>
  <c r="L19" i="21"/>
  <c r="L18" i="21"/>
  <c r="L17" i="21"/>
  <c r="L16" i="21"/>
  <c r="L13" i="21"/>
  <c r="L12" i="21"/>
  <c r="L11" i="21"/>
  <c r="L10" i="21"/>
  <c r="L9" i="21"/>
  <c r="M15" i="40"/>
  <c r="K15" i="40"/>
  <c r="I15" i="40"/>
  <c r="G15" i="40"/>
  <c r="M14" i="40"/>
  <c r="K14" i="40"/>
  <c r="I14" i="40"/>
  <c r="G14" i="40"/>
  <c r="M10" i="40"/>
  <c r="K10" i="40"/>
  <c r="I10" i="40"/>
  <c r="G10" i="40"/>
  <c r="C10" i="40"/>
  <c r="M9" i="40"/>
  <c r="K9" i="40"/>
  <c r="I9" i="40"/>
  <c r="G9" i="40"/>
  <c r="C9" i="40"/>
  <c r="J133" i="37"/>
  <c r="I133" i="37"/>
  <c r="J132" i="37"/>
  <c r="I132" i="37"/>
  <c r="K131" i="37"/>
  <c r="J131" i="37"/>
  <c r="I131" i="37"/>
  <c r="K130" i="37"/>
  <c r="J130" i="37"/>
  <c r="I130" i="37"/>
  <c r="J129" i="37"/>
  <c r="I129" i="37"/>
  <c r="J128" i="37"/>
  <c r="I128" i="37"/>
  <c r="K132" i="36"/>
  <c r="J132" i="36"/>
  <c r="I132" i="36"/>
  <c r="K131" i="36"/>
  <c r="J131" i="36"/>
  <c r="I131" i="36"/>
  <c r="J129" i="36"/>
  <c r="I129" i="36"/>
  <c r="J128" i="36"/>
  <c r="I128" i="36"/>
  <c r="K135" i="35"/>
  <c r="J135" i="35"/>
  <c r="I135" i="35"/>
  <c r="J134" i="35"/>
  <c r="I134" i="35"/>
  <c r="J133" i="35"/>
  <c r="I133" i="35"/>
  <c r="K132" i="35"/>
  <c r="J132" i="35"/>
  <c r="I132" i="35"/>
  <c r="K130" i="35"/>
  <c r="J130" i="35"/>
  <c r="I130" i="35"/>
  <c r="J129" i="35"/>
  <c r="I129" i="35"/>
  <c r="J128" i="35"/>
  <c r="I128" i="35"/>
  <c r="J134" i="34"/>
  <c r="I134" i="34"/>
  <c r="K133" i="34"/>
  <c r="J133" i="34"/>
  <c r="I133" i="34"/>
  <c r="J132" i="34"/>
  <c r="I132" i="34"/>
  <c r="K131" i="34"/>
  <c r="J131" i="34"/>
  <c r="I131" i="34"/>
  <c r="J130" i="34"/>
  <c r="I130" i="34"/>
  <c r="K129" i="34"/>
  <c r="J129" i="34"/>
  <c r="I129" i="34"/>
  <c r="J128" i="34"/>
  <c r="I128" i="34"/>
  <c r="H147" i="33"/>
  <c r="H112" i="33"/>
  <c r="H77" i="33"/>
  <c r="K239" i="33"/>
  <c r="I239" i="33"/>
  <c r="K227" i="33"/>
  <c r="I227" i="33"/>
  <c r="H42" i="33"/>
  <c r="J240" i="33"/>
  <c r="I240" i="33"/>
  <c r="K236" i="33"/>
  <c r="J236" i="33"/>
  <c r="I236" i="33"/>
  <c r="K235" i="33"/>
  <c r="I235" i="33"/>
  <c r="J234" i="33"/>
  <c r="K232" i="33"/>
  <c r="I232" i="33"/>
  <c r="K231" i="33"/>
  <c r="I231" i="33"/>
  <c r="J230" i="33"/>
  <c r="J228" i="33"/>
  <c r="I228" i="33"/>
  <c r="K224" i="33"/>
  <c r="J224" i="33"/>
  <c r="I224" i="33"/>
  <c r="K223" i="33"/>
  <c r="I223" i="33"/>
  <c r="J222" i="33"/>
  <c r="K220" i="33"/>
  <c r="I220" i="33"/>
  <c r="K219" i="33"/>
  <c r="I219" i="33"/>
  <c r="K218" i="33"/>
  <c r="P37" i="33"/>
  <c r="P72" i="33" s="1"/>
  <c r="P107" i="33" s="1"/>
  <c r="P142" i="33" s="1"/>
  <c r="U142" i="33" s="1"/>
  <c r="Z142" i="33" s="1"/>
  <c r="AE142" i="33" s="1"/>
  <c r="AJ142" i="33" s="1"/>
  <c r="AO142" i="33" s="1"/>
  <c r="AT142" i="33" s="1"/>
  <c r="K137" i="32"/>
  <c r="I136" i="32"/>
  <c r="K135" i="32"/>
  <c r="I135" i="32"/>
  <c r="K134" i="32"/>
  <c r="J134" i="32"/>
  <c r="I134" i="32"/>
  <c r="I133" i="32"/>
  <c r="J132" i="32"/>
  <c r="K131" i="32"/>
  <c r="K130" i="32"/>
  <c r="J130" i="32"/>
  <c r="I130" i="32"/>
  <c r="K129" i="32"/>
  <c r="I129" i="32"/>
  <c r="K134" i="30"/>
  <c r="J134" i="30"/>
  <c r="I134" i="30"/>
  <c r="K133" i="30"/>
  <c r="J133" i="30"/>
  <c r="J131" i="30"/>
  <c r="K129" i="30"/>
  <c r="J129" i="30"/>
  <c r="I129" i="30"/>
  <c r="J128" i="30"/>
  <c r="I128" i="30"/>
  <c r="H147" i="8"/>
  <c r="H112" i="8"/>
  <c r="H77" i="8"/>
  <c r="K236" i="8"/>
  <c r="K235" i="8"/>
  <c r="J235" i="8"/>
  <c r="I235" i="8"/>
  <c r="J234" i="8"/>
  <c r="K233" i="8"/>
  <c r="K232" i="8"/>
  <c r="I232" i="8"/>
  <c r="K229" i="8"/>
  <c r="I229" i="8"/>
  <c r="K226" i="8"/>
  <c r="I226" i="8"/>
  <c r="K225" i="8"/>
  <c r="J225" i="8"/>
  <c r="I225" i="8"/>
  <c r="J224" i="8"/>
  <c r="I224" i="8"/>
  <c r="K223" i="8"/>
  <c r="I223" i="8"/>
  <c r="K220" i="8"/>
  <c r="I220" i="8"/>
  <c r="H42" i="8"/>
  <c r="K234" i="8"/>
  <c r="I234" i="8"/>
  <c r="K238" i="8"/>
  <c r="J238" i="8"/>
  <c r="I238" i="8"/>
  <c r="K237" i="8"/>
  <c r="J237" i="8"/>
  <c r="I237" i="8"/>
  <c r="J236" i="8"/>
  <c r="I236" i="8"/>
  <c r="J233" i="8"/>
  <c r="I233" i="8"/>
  <c r="J232" i="8"/>
  <c r="K231" i="8"/>
  <c r="J231" i="8"/>
  <c r="I231" i="8"/>
  <c r="K230" i="8"/>
  <c r="J230" i="8"/>
  <c r="I230" i="8"/>
  <c r="J229" i="8"/>
  <c r="K228" i="8"/>
  <c r="J228" i="8"/>
  <c r="I228" i="8"/>
  <c r="K227" i="8"/>
  <c r="J227" i="8"/>
  <c r="I227" i="8"/>
  <c r="J226" i="8"/>
  <c r="K221" i="8"/>
  <c r="J221" i="8"/>
  <c r="I221" i="8"/>
  <c r="K222" i="8"/>
  <c r="J222" i="8"/>
  <c r="I222" i="8"/>
  <c r="J223" i="8"/>
  <c r="J220" i="8"/>
  <c r="K219" i="8"/>
  <c r="J219" i="8"/>
  <c r="I219" i="8"/>
  <c r="K218" i="8"/>
  <c r="J218" i="8"/>
  <c r="I218" i="8"/>
  <c r="AK51" i="6"/>
  <c r="AI51" i="6"/>
  <c r="AG51" i="6"/>
  <c r="H20" i="13"/>
  <c r="W51" i="6"/>
  <c r="U51" i="6"/>
  <c r="AC49" i="6"/>
  <c r="S49" i="6"/>
  <c r="M49" i="6"/>
  <c r="F14" i="6"/>
  <c r="F13" i="6"/>
  <c r="F12" i="6"/>
  <c r="F11" i="6"/>
  <c r="F10" i="6"/>
  <c r="F9" i="6"/>
  <c r="F8" i="6"/>
  <c r="AK51" i="7"/>
  <c r="AI51" i="7"/>
  <c r="AG51" i="7"/>
  <c r="AE51" i="7"/>
  <c r="W51" i="7"/>
  <c r="U51" i="7"/>
  <c r="AC49" i="7"/>
  <c r="S49" i="7"/>
  <c r="M49" i="7"/>
  <c r="AC44" i="7"/>
  <c r="S44" i="7"/>
  <c r="M44" i="7"/>
  <c r="AC43" i="7"/>
  <c r="S43" i="7"/>
  <c r="M43" i="7"/>
  <c r="AC42" i="7"/>
  <c r="S42" i="7"/>
  <c r="M42" i="7"/>
  <c r="AC41" i="7"/>
  <c r="S41" i="7"/>
  <c r="M41" i="7"/>
  <c r="S40" i="7"/>
  <c r="M40" i="7"/>
  <c r="S39" i="7"/>
  <c r="M39" i="7"/>
  <c r="S34" i="7"/>
  <c r="M34" i="7"/>
  <c r="S33" i="7"/>
  <c r="M33" i="7"/>
  <c r="S32" i="7"/>
  <c r="M32" i="7"/>
  <c r="S31" i="7"/>
  <c r="M31" i="7"/>
  <c r="S30" i="7"/>
  <c r="M30" i="7"/>
  <c r="S29" i="7"/>
  <c r="M29" i="7"/>
  <c r="S28" i="7"/>
  <c r="M28" i="7"/>
  <c r="S27" i="7"/>
  <c r="M27" i="7"/>
  <c r="S26" i="7"/>
  <c r="M26" i="7"/>
  <c r="S25" i="7"/>
  <c r="M25" i="7"/>
  <c r="S24" i="7"/>
  <c r="M24" i="7"/>
  <c r="S23" i="7"/>
  <c r="M23" i="7"/>
  <c r="S22" i="7"/>
  <c r="M22" i="7"/>
  <c r="S21" i="7"/>
  <c r="M21" i="7"/>
  <c r="S20" i="7"/>
  <c r="M20" i="7"/>
  <c r="S19" i="7"/>
  <c r="M19" i="7"/>
  <c r="S18" i="7"/>
  <c r="M18" i="7"/>
  <c r="S17" i="7"/>
  <c r="M17" i="7"/>
  <c r="S16" i="7"/>
  <c r="M16" i="7"/>
  <c r="S15" i="7"/>
  <c r="M15" i="7"/>
  <c r="F13" i="7"/>
  <c r="F11" i="7"/>
  <c r="F9" i="7"/>
  <c r="I27" i="5"/>
  <c r="I26" i="5"/>
  <c r="I18" i="5"/>
  <c r="I17" i="5"/>
  <c r="I16" i="5"/>
  <c r="I15" i="5"/>
  <c r="I14" i="5"/>
  <c r="I13" i="5"/>
  <c r="I12" i="5"/>
  <c r="I11" i="5"/>
  <c r="I10" i="5"/>
  <c r="I9" i="5"/>
  <c r="I8" i="5"/>
  <c r="I7" i="5"/>
  <c r="I10" i="13"/>
  <c r="K10" i="13" s="1"/>
  <c r="I6" i="5"/>
  <c r="U39" i="3"/>
  <c r="O39" i="3"/>
  <c r="U38" i="3"/>
  <c r="O38" i="3"/>
  <c r="U37" i="3"/>
  <c r="O37" i="3"/>
  <c r="U36" i="3"/>
  <c r="O36" i="3"/>
  <c r="I20" i="39"/>
  <c r="K20" i="39" s="1"/>
  <c r="U34" i="3"/>
  <c r="O34" i="3"/>
  <c r="U33" i="3"/>
  <c r="O33" i="3"/>
  <c r="U32" i="3"/>
  <c r="O32" i="3"/>
  <c r="U31" i="3"/>
  <c r="O31" i="3"/>
  <c r="U30" i="3"/>
  <c r="O30" i="3"/>
  <c r="U29" i="3"/>
  <c r="O29" i="3"/>
  <c r="U28" i="3"/>
  <c r="O28" i="3"/>
  <c r="U27" i="3"/>
  <c r="O27" i="3"/>
  <c r="U26" i="3"/>
  <c r="O26" i="3"/>
  <c r="U25" i="3"/>
  <c r="O25" i="3"/>
  <c r="U24" i="3"/>
  <c r="O24" i="3"/>
  <c r="U23" i="3"/>
  <c r="O23" i="3"/>
  <c r="U22" i="3"/>
  <c r="O22" i="3"/>
  <c r="U21" i="3"/>
  <c r="O21" i="3"/>
  <c r="U20" i="3"/>
  <c r="O20" i="3"/>
  <c r="U19" i="3"/>
  <c r="O19" i="3"/>
  <c r="U18" i="3"/>
  <c r="O18" i="3"/>
  <c r="U17" i="3"/>
  <c r="O17" i="3"/>
  <c r="U16" i="3"/>
  <c r="O16" i="3"/>
  <c r="U15" i="3"/>
  <c r="O15" i="3"/>
  <c r="U14" i="3"/>
  <c r="O14" i="3"/>
  <c r="U13" i="3"/>
  <c r="O13" i="3"/>
  <c r="U12" i="3"/>
  <c r="O12" i="3"/>
  <c r="U11" i="3"/>
  <c r="O11" i="3"/>
  <c r="U10" i="3"/>
  <c r="O10" i="3"/>
  <c r="U9" i="3"/>
  <c r="O9" i="3"/>
  <c r="U8" i="3"/>
  <c r="O8" i="3"/>
  <c r="U7" i="3"/>
  <c r="O7" i="3"/>
  <c r="U6" i="3"/>
  <c r="O6" i="3"/>
  <c r="J24" i="39"/>
  <c r="D24" i="39"/>
  <c r="I22" i="39"/>
  <c r="K22" i="39" s="1"/>
  <c r="I18" i="39"/>
  <c r="K18" i="39" s="1"/>
  <c r="D8" i="39"/>
  <c r="J24" i="13"/>
  <c r="D24" i="13"/>
  <c r="H18" i="13"/>
  <c r="E10" i="13"/>
  <c r="I9" i="13"/>
  <c r="K9" i="13" s="1"/>
  <c r="I8" i="13"/>
  <c r="K8" i="13" s="1"/>
  <c r="I6" i="13"/>
  <c r="K6" i="13" s="1"/>
  <c r="X55" i="1"/>
  <c r="X54" i="1"/>
  <c r="X53" i="1"/>
  <c r="X52" i="1"/>
  <c r="X47" i="1"/>
  <c r="X46" i="1"/>
  <c r="X45" i="1"/>
  <c r="X44" i="1"/>
  <c r="X43" i="1"/>
  <c r="X41" i="1"/>
  <c r="X40" i="1"/>
  <c r="X39" i="1"/>
  <c r="X38" i="1"/>
  <c r="X37" i="1"/>
  <c r="X33" i="1"/>
  <c r="X32" i="1"/>
  <c r="X31" i="1"/>
  <c r="X30" i="1"/>
  <c r="X29" i="1"/>
  <c r="X27" i="1"/>
  <c r="X26" i="1"/>
  <c r="X25" i="1"/>
  <c r="X24" i="1"/>
  <c r="X23" i="1"/>
  <c r="S19" i="1"/>
  <c r="Q19" i="1"/>
  <c r="O19" i="1"/>
  <c r="S18" i="1"/>
  <c r="Q18" i="1"/>
  <c r="O18" i="1"/>
  <c r="J18" i="1"/>
  <c r="E18" i="1"/>
  <c r="D18" i="1"/>
  <c r="J17" i="1"/>
  <c r="E17" i="1"/>
  <c r="D17" i="1"/>
  <c r="J16" i="1"/>
  <c r="E16" i="1"/>
  <c r="D16" i="1"/>
  <c r="J15" i="1"/>
  <c r="E15" i="1"/>
  <c r="D15" i="1"/>
  <c r="V14" i="1"/>
  <c r="P14" i="1"/>
  <c r="U13" i="1"/>
  <c r="W13" i="1" s="1"/>
  <c r="O13" i="1"/>
  <c r="Q13" i="1" s="1"/>
  <c r="U12" i="1"/>
  <c r="W12" i="1" s="1"/>
  <c r="O12" i="1"/>
  <c r="Q12" i="1" s="1"/>
  <c r="U11" i="1"/>
  <c r="W11" i="1" s="1"/>
  <c r="O11" i="1"/>
  <c r="C11" i="1"/>
  <c r="B11" i="1"/>
  <c r="U10" i="1"/>
  <c r="W10" i="1" s="1"/>
  <c r="O10" i="1"/>
  <c r="Q10" i="1" s="1"/>
  <c r="E10" i="1"/>
  <c r="D10" i="1"/>
  <c r="U9" i="1"/>
  <c r="O9" i="1"/>
  <c r="Q9" i="1" s="1"/>
  <c r="C9" i="1"/>
  <c r="B9" i="1"/>
  <c r="U8" i="1"/>
  <c r="W8" i="1" s="1"/>
  <c r="O8" i="1"/>
  <c r="Q8" i="1" s="1"/>
  <c r="E8" i="1"/>
  <c r="D8" i="1"/>
  <c r="U7" i="1"/>
  <c r="W7" i="1" s="1"/>
  <c r="O7" i="1"/>
  <c r="Q7" i="1" s="1"/>
  <c r="E7" i="1"/>
  <c r="D7" i="1"/>
  <c r="U6" i="1"/>
  <c r="W6" i="1" s="1"/>
  <c r="O6" i="1"/>
  <c r="Q6" i="1" s="1"/>
  <c r="E6" i="1"/>
  <c r="D6" i="1"/>
  <c r="X11" i="7" l="1"/>
  <c r="R11" i="7"/>
  <c r="L11" i="7"/>
  <c r="AJ11" i="7"/>
  <c r="V11" i="7"/>
  <c r="P11" i="7"/>
  <c r="J11" i="7"/>
  <c r="AH11" i="7"/>
  <c r="AB11" i="7"/>
  <c r="AF11" i="7"/>
  <c r="Z11" i="7"/>
  <c r="T11" i="7"/>
  <c r="N11" i="7"/>
  <c r="AD11" i="7"/>
  <c r="AH13" i="7"/>
  <c r="AB13" i="7"/>
  <c r="AF13" i="7"/>
  <c r="Z13" i="7"/>
  <c r="X13" i="7"/>
  <c r="R13" i="7"/>
  <c r="L13" i="7"/>
  <c r="AJ13" i="7"/>
  <c r="V13" i="7"/>
  <c r="P13" i="7"/>
  <c r="J13" i="7"/>
  <c r="N13" i="7"/>
  <c r="AD13" i="7"/>
  <c r="T13" i="7"/>
  <c r="AH9" i="7"/>
  <c r="AB9" i="7"/>
  <c r="AF9" i="7"/>
  <c r="Z9" i="7"/>
  <c r="X9" i="7"/>
  <c r="R9" i="7"/>
  <c r="L9" i="7"/>
  <c r="AJ9" i="7"/>
  <c r="V9" i="7"/>
  <c r="P9" i="7"/>
  <c r="J9" i="7"/>
  <c r="AD9" i="7"/>
  <c r="T9" i="7"/>
  <c r="N9" i="7"/>
  <c r="AL9" i="6"/>
  <c r="X9" i="6"/>
  <c r="R9" i="6"/>
  <c r="L9" i="6"/>
  <c r="AJ9" i="6"/>
  <c r="V9" i="6"/>
  <c r="P9" i="6"/>
  <c r="J9" i="6"/>
  <c r="AH9" i="6"/>
  <c r="AB9" i="6"/>
  <c r="AF9" i="6"/>
  <c r="Z9" i="6"/>
  <c r="N9" i="6"/>
  <c r="T9" i="6"/>
  <c r="AD9" i="6"/>
  <c r="AL13" i="6"/>
  <c r="X13" i="6"/>
  <c r="R13" i="6"/>
  <c r="L13" i="6"/>
  <c r="AJ13" i="6"/>
  <c r="V13" i="6"/>
  <c r="P13" i="6"/>
  <c r="J13" i="6"/>
  <c r="AH13" i="6"/>
  <c r="AB13" i="6"/>
  <c r="AF13" i="6"/>
  <c r="Z13" i="6"/>
  <c r="AD13" i="6"/>
  <c r="N13" i="6"/>
  <c r="T13" i="6"/>
  <c r="AH10" i="6"/>
  <c r="AB10" i="6"/>
  <c r="AF10" i="6"/>
  <c r="Z10" i="6"/>
  <c r="AL10" i="6"/>
  <c r="X10" i="6"/>
  <c r="R10" i="6"/>
  <c r="L10" i="6"/>
  <c r="AJ10" i="6"/>
  <c r="V10" i="6"/>
  <c r="P10" i="6"/>
  <c r="J10" i="6"/>
  <c r="T10" i="6"/>
  <c r="N10" i="6"/>
  <c r="AD10" i="6"/>
  <c r="AL11" i="6"/>
  <c r="X11" i="6"/>
  <c r="R11" i="6"/>
  <c r="L11" i="6"/>
  <c r="AJ11" i="6"/>
  <c r="V11" i="6"/>
  <c r="P11" i="6"/>
  <c r="J11" i="6"/>
  <c r="AH11" i="6"/>
  <c r="AB11" i="6"/>
  <c r="AF11" i="6"/>
  <c r="Z11" i="6"/>
  <c r="AD11" i="6"/>
  <c r="N11" i="6"/>
  <c r="T11" i="6"/>
  <c r="AH8" i="6"/>
  <c r="AB8" i="6"/>
  <c r="Z8" i="6"/>
  <c r="AF8" i="6"/>
  <c r="AL8" i="6"/>
  <c r="X8" i="6"/>
  <c r="R8" i="6"/>
  <c r="L8" i="6"/>
  <c r="J8" i="6"/>
  <c r="AJ8" i="6"/>
  <c r="V8" i="6"/>
  <c r="P8" i="6"/>
  <c r="T8" i="6"/>
  <c r="AD8" i="6"/>
  <c r="N8" i="6"/>
  <c r="AH12" i="6"/>
  <c r="AB12" i="6"/>
  <c r="AF12" i="6"/>
  <c r="Z12" i="6"/>
  <c r="AL12" i="6"/>
  <c r="X12" i="6"/>
  <c r="R12" i="6"/>
  <c r="L12" i="6"/>
  <c r="AJ12" i="6"/>
  <c r="V12" i="6"/>
  <c r="P12" i="6"/>
  <c r="J12" i="6"/>
  <c r="AD12" i="6"/>
  <c r="N12" i="6"/>
  <c r="T12" i="6"/>
  <c r="F17" i="7"/>
  <c r="K10" i="5"/>
  <c r="K7" i="39" s="1"/>
  <c r="AL13" i="7"/>
  <c r="AL9" i="7"/>
  <c r="AL11" i="7"/>
  <c r="U107" i="33"/>
  <c r="Z107" i="33" s="1"/>
  <c r="AE107" i="33" s="1"/>
  <c r="AJ107" i="33" s="1"/>
  <c r="AO107" i="33" s="1"/>
  <c r="AT107" i="33" s="1"/>
  <c r="G8" i="6"/>
  <c r="J12" i="5"/>
  <c r="I7" i="39" s="1"/>
  <c r="J6" i="5"/>
  <c r="J26" i="5"/>
  <c r="AJ14" i="6"/>
  <c r="V14" i="6"/>
  <c r="P14" i="6"/>
  <c r="J14" i="6"/>
  <c r="AF14" i="6"/>
  <c r="Z14" i="6"/>
  <c r="AH14" i="6"/>
  <c r="X14" i="6"/>
  <c r="N14" i="6"/>
  <c r="L14" i="6"/>
  <c r="AB14" i="6"/>
  <c r="R14" i="6"/>
  <c r="T14" i="6"/>
  <c r="AD14" i="6"/>
  <c r="E9" i="1"/>
  <c r="U72" i="33"/>
  <c r="Z72" i="33" s="1"/>
  <c r="AE72" i="33" s="1"/>
  <c r="AJ72" i="33" s="1"/>
  <c r="AO72" i="33" s="1"/>
  <c r="AT72" i="33" s="1"/>
  <c r="E11" i="1"/>
  <c r="X48" i="1"/>
  <c r="V48" i="1" s="1"/>
  <c r="X34" i="1"/>
  <c r="V34" i="1" s="1"/>
  <c r="X42" i="1"/>
  <c r="V42" i="1" s="1"/>
  <c r="M121" i="37"/>
  <c r="D9" i="39"/>
  <c r="AC50" i="6"/>
  <c r="AC51" i="6" s="1"/>
  <c r="M121" i="36"/>
  <c r="M121" i="35"/>
  <c r="M120" i="35"/>
  <c r="M119" i="35"/>
  <c r="M118" i="35"/>
  <c r="M117" i="35"/>
  <c r="M116" i="35"/>
  <c r="M110" i="35"/>
  <c r="M112" i="35"/>
  <c r="M114" i="35"/>
  <c r="M111" i="35"/>
  <c r="M108" i="35"/>
  <c r="M113" i="35"/>
  <c r="M109" i="35"/>
  <c r="M115" i="35"/>
  <c r="M107" i="35"/>
  <c r="M120" i="36"/>
  <c r="M119" i="36"/>
  <c r="M118" i="36"/>
  <c r="M117" i="36"/>
  <c r="M116" i="36"/>
  <c r="M115" i="36"/>
  <c r="M114" i="36"/>
  <c r="M113" i="36"/>
  <c r="M112" i="36"/>
  <c r="M108" i="36"/>
  <c r="M110" i="36"/>
  <c r="M109" i="36"/>
  <c r="M111" i="36"/>
  <c r="M107" i="36"/>
  <c r="M120" i="37"/>
  <c r="M119" i="37"/>
  <c r="M118" i="37"/>
  <c r="M117" i="37"/>
  <c r="M116" i="37"/>
  <c r="M115" i="37"/>
  <c r="M112" i="37"/>
  <c r="M114" i="37"/>
  <c r="M109" i="37"/>
  <c r="M107" i="37"/>
  <c r="M111" i="37"/>
  <c r="M108" i="37"/>
  <c r="M110" i="37"/>
  <c r="M113" i="37"/>
  <c r="F23" i="6"/>
  <c r="S50" i="6"/>
  <c r="S51" i="6" s="1"/>
  <c r="H16" i="13" s="1"/>
  <c r="M50" i="6"/>
  <c r="M51" i="6" s="1"/>
  <c r="F26" i="6"/>
  <c r="F20" i="6"/>
  <c r="AL14" i="6"/>
  <c r="F23" i="7"/>
  <c r="L23" i="7" s="1"/>
  <c r="M122" i="8"/>
  <c r="M134" i="8"/>
  <c r="M140" i="8"/>
  <c r="M121" i="8"/>
  <c r="M118" i="8"/>
  <c r="M130" i="8"/>
  <c r="M114" i="8"/>
  <c r="M127" i="8"/>
  <c r="M120" i="8"/>
  <c r="M133" i="8"/>
  <c r="M113" i="8"/>
  <c r="M126" i="8"/>
  <c r="M119" i="8"/>
  <c r="M132" i="8"/>
  <c r="M125" i="8"/>
  <c r="M131" i="8"/>
  <c r="M117" i="8"/>
  <c r="M124" i="8"/>
  <c r="M116" i="8"/>
  <c r="M123" i="8"/>
  <c r="M129" i="8"/>
  <c r="M112" i="8"/>
  <c r="M115" i="8"/>
  <c r="M128" i="8"/>
  <c r="M137" i="8"/>
  <c r="X28" i="1"/>
  <c r="V28" i="1" s="1"/>
  <c r="D11" i="1"/>
  <c r="O14" i="1"/>
  <c r="B23" i="13"/>
  <c r="C23" i="13" s="1"/>
  <c r="E23" i="13" s="1"/>
  <c r="F31" i="7"/>
  <c r="L31" i="7" s="1"/>
  <c r="F28" i="6"/>
  <c r="F31" i="6"/>
  <c r="U14" i="1"/>
  <c r="F35" i="6"/>
  <c r="M78" i="33"/>
  <c r="M92" i="33"/>
  <c r="M84" i="33"/>
  <c r="M100" i="33"/>
  <c r="M101" i="33"/>
  <c r="M79" i="33"/>
  <c r="M81" i="33"/>
  <c r="M83" i="33"/>
  <c r="M94" i="33"/>
  <c r="M96" i="33"/>
  <c r="M98" i="33"/>
  <c r="M77" i="33"/>
  <c r="M85" i="33"/>
  <c r="M87" i="33"/>
  <c r="M89" i="33"/>
  <c r="M91" i="33"/>
  <c r="M80" i="33"/>
  <c r="M82" i="33"/>
  <c r="M93" i="33"/>
  <c r="M95" i="33"/>
  <c r="M97" i="33"/>
  <c r="M99" i="33"/>
  <c r="M86" i="33"/>
  <c r="M88" i="33"/>
  <c r="M90" i="33"/>
  <c r="L77" i="8"/>
  <c r="M83" i="8"/>
  <c r="M85" i="8"/>
  <c r="M91" i="8"/>
  <c r="M95" i="8"/>
  <c r="M80" i="8"/>
  <c r="M79" i="8"/>
  <c r="M84" i="8"/>
  <c r="M89" i="8"/>
  <c r="M94" i="8"/>
  <c r="M97" i="8"/>
  <c r="M77" i="8"/>
  <c r="M81" i="8"/>
  <c r="M86" i="8"/>
  <c r="M88" i="8"/>
  <c r="M78" i="8"/>
  <c r="M90" i="8"/>
  <c r="M93" i="8"/>
  <c r="M96" i="8"/>
  <c r="M98" i="8"/>
  <c r="M82" i="8"/>
  <c r="M87" i="8"/>
  <c r="M92" i="8"/>
  <c r="U37" i="33"/>
  <c r="Z37" i="33" s="1"/>
  <c r="AE37" i="33" s="1"/>
  <c r="AJ37" i="33" s="1"/>
  <c r="AO37" i="33" s="1"/>
  <c r="AT37" i="33" s="1"/>
  <c r="K228" i="33"/>
  <c r="H17" i="13"/>
  <c r="K133" i="32"/>
  <c r="I128" i="31"/>
  <c r="W9" i="1"/>
  <c r="Q11" i="1"/>
  <c r="J220" i="33"/>
  <c r="J232" i="33"/>
  <c r="J227" i="33"/>
  <c r="J239" i="33"/>
  <c r="K128" i="30"/>
  <c r="M136" i="30" s="1"/>
  <c r="I221" i="33"/>
  <c r="I225" i="33"/>
  <c r="I233" i="33"/>
  <c r="I229" i="33"/>
  <c r="J131" i="32"/>
  <c r="J135" i="32"/>
  <c r="J221" i="33"/>
  <c r="J225" i="33"/>
  <c r="J229" i="33"/>
  <c r="J233" i="33"/>
  <c r="J130" i="30"/>
  <c r="K221" i="33"/>
  <c r="K225" i="33"/>
  <c r="K229" i="33"/>
  <c r="K233" i="33"/>
  <c r="K237" i="33"/>
  <c r="K240" i="33"/>
  <c r="F36" i="6"/>
  <c r="M136" i="8"/>
  <c r="M139" i="8"/>
  <c r="K130" i="30"/>
  <c r="I128" i="32"/>
  <c r="I132" i="32"/>
  <c r="I218" i="33"/>
  <c r="I222" i="33"/>
  <c r="I226" i="33"/>
  <c r="I230" i="33"/>
  <c r="I234" i="33"/>
  <c r="I238" i="33"/>
  <c r="J128" i="32"/>
  <c r="J218" i="33"/>
  <c r="J226" i="33"/>
  <c r="J238" i="33"/>
  <c r="F35" i="7"/>
  <c r="F25" i="7"/>
  <c r="L25" i="7" s="1"/>
  <c r="F29" i="7"/>
  <c r="L29" i="7" s="1"/>
  <c r="D9" i="1"/>
  <c r="F33" i="7"/>
  <c r="L33" i="7" s="1"/>
  <c r="K128" i="32"/>
  <c r="K132" i="32"/>
  <c r="K222" i="33"/>
  <c r="K226" i="33"/>
  <c r="K230" i="33"/>
  <c r="K234" i="33"/>
  <c r="K238" i="33"/>
  <c r="I241" i="33"/>
  <c r="I137" i="32"/>
  <c r="J241" i="33"/>
  <c r="F19" i="7"/>
  <c r="L19" i="7" s="1"/>
  <c r="I131" i="32"/>
  <c r="F49" i="7"/>
  <c r="AH49" i="7" s="1"/>
  <c r="F18" i="6"/>
  <c r="F24" i="6"/>
  <c r="F27" i="6"/>
  <c r="F41" i="6"/>
  <c r="M135" i="8"/>
  <c r="M138" i="8"/>
  <c r="M141" i="8"/>
  <c r="J129" i="32"/>
  <c r="J133" i="32"/>
  <c r="J137" i="32"/>
  <c r="J219" i="33"/>
  <c r="J223" i="33"/>
  <c r="J231" i="33"/>
  <c r="H21" i="13"/>
  <c r="K128" i="37"/>
  <c r="K133" i="37"/>
  <c r="K129" i="37"/>
  <c r="K132" i="37"/>
  <c r="K129" i="36"/>
  <c r="K128" i="36"/>
  <c r="K129" i="35"/>
  <c r="K133" i="35"/>
  <c r="K128" i="35"/>
  <c r="K134" i="35"/>
  <c r="M134" i="35" s="1"/>
  <c r="K132" i="34"/>
  <c r="K134" i="34"/>
  <c r="K128" i="34"/>
  <c r="K130" i="34"/>
  <c r="I237" i="33"/>
  <c r="J235" i="33"/>
  <c r="J237" i="33"/>
  <c r="M44" i="33"/>
  <c r="M43" i="33"/>
  <c r="M45" i="33"/>
  <c r="M47" i="33"/>
  <c r="M55" i="33"/>
  <c r="M52" i="33"/>
  <c r="M60" i="33"/>
  <c r="M71" i="33"/>
  <c r="M63" i="33"/>
  <c r="M46" i="33"/>
  <c r="M49" i="33"/>
  <c r="M54" i="33"/>
  <c r="M57" i="33"/>
  <c r="M62" i="33"/>
  <c r="M65" i="33"/>
  <c r="K241" i="33"/>
  <c r="M242" i="33" s="1"/>
  <c r="M51" i="33"/>
  <c r="M59" i="33"/>
  <c r="M48" i="33"/>
  <c r="M50" i="33"/>
  <c r="M53" i="33"/>
  <c r="M56" i="33"/>
  <c r="M58" i="33"/>
  <c r="M61" i="33"/>
  <c r="M64" i="33"/>
  <c r="K128" i="31"/>
  <c r="M135" i="31" s="1"/>
  <c r="J136" i="32"/>
  <c r="K136" i="32"/>
  <c r="M135" i="32" s="1"/>
  <c r="I130" i="30"/>
  <c r="K131" i="30"/>
  <c r="I131" i="30"/>
  <c r="I133" i="30"/>
  <c r="M44" i="8"/>
  <c r="M46" i="8"/>
  <c r="M48" i="8"/>
  <c r="K224" i="8"/>
  <c r="M228" i="8" s="1"/>
  <c r="M50" i="8"/>
  <c r="M52" i="8"/>
  <c r="M54" i="8"/>
  <c r="M56" i="8"/>
  <c r="M58" i="8"/>
  <c r="M60" i="8"/>
  <c r="M59" i="8"/>
  <c r="B22" i="13"/>
  <c r="C22" i="13" s="1"/>
  <c r="E22" i="13" s="1"/>
  <c r="B21" i="13"/>
  <c r="C21" i="13" s="1"/>
  <c r="E21" i="13" s="1"/>
  <c r="B18" i="13"/>
  <c r="C18" i="13" s="1"/>
  <c r="E18" i="13" s="1"/>
  <c r="L17" i="7"/>
  <c r="F21" i="7"/>
  <c r="L21" i="7" s="1"/>
  <c r="F27" i="7"/>
  <c r="L27" i="7" s="1"/>
  <c r="F16" i="6"/>
  <c r="F19" i="6"/>
  <c r="B17" i="13"/>
  <c r="C17" i="13" s="1"/>
  <c r="E17" i="13" s="1"/>
  <c r="F15" i="7"/>
  <c r="L15" i="7" s="1"/>
  <c r="F10" i="7"/>
  <c r="F14" i="7"/>
  <c r="F8" i="7"/>
  <c r="F12" i="7"/>
  <c r="F16" i="7"/>
  <c r="L16" i="7" s="1"/>
  <c r="F20" i="7"/>
  <c r="L20" i="7" s="1"/>
  <c r="F24" i="7"/>
  <c r="L24" i="7" s="1"/>
  <c r="F28" i="7"/>
  <c r="L28" i="7" s="1"/>
  <c r="F32" i="7"/>
  <c r="L32" i="7" s="1"/>
  <c r="F36" i="7"/>
  <c r="F18" i="7"/>
  <c r="L18" i="7" s="1"/>
  <c r="F22" i="7"/>
  <c r="L22" i="7" s="1"/>
  <c r="F26" i="7"/>
  <c r="L26" i="7" s="1"/>
  <c r="F30" i="7"/>
  <c r="L30" i="7" s="1"/>
  <c r="F34" i="7"/>
  <c r="L34" i="7" s="1"/>
  <c r="AC50" i="7"/>
  <c r="B19" i="13" s="1"/>
  <c r="C19" i="13" s="1"/>
  <c r="E19" i="13" s="1"/>
  <c r="F44" i="7"/>
  <c r="N44" i="7" s="1"/>
  <c r="H23" i="13"/>
  <c r="F22" i="6"/>
  <c r="F32" i="6"/>
  <c r="F21" i="6"/>
  <c r="F25" i="6"/>
  <c r="F15" i="6"/>
  <c r="F30" i="6"/>
  <c r="F17" i="6"/>
  <c r="N49" i="6"/>
  <c r="AH49" i="6"/>
  <c r="F34" i="6"/>
  <c r="F44" i="6"/>
  <c r="J49" i="6"/>
  <c r="P49" i="6"/>
  <c r="V49" i="6"/>
  <c r="AJ49" i="6"/>
  <c r="F29" i="6"/>
  <c r="F33" i="6"/>
  <c r="L49" i="6"/>
  <c r="X49" i="6"/>
  <c r="AD49" i="6"/>
  <c r="AL49" i="6"/>
  <c r="Z49" i="6"/>
  <c r="P42" i="37"/>
  <c r="P42" i="36"/>
  <c r="P42" i="35"/>
  <c r="P42" i="34"/>
  <c r="P42" i="31"/>
  <c r="J128" i="31"/>
  <c r="P42" i="32"/>
  <c r="P42" i="30"/>
  <c r="M132" i="30"/>
  <c r="L42" i="33"/>
  <c r="B32" i="39" s="1"/>
  <c r="M42" i="33"/>
  <c r="M66" i="33"/>
  <c r="M67" i="33"/>
  <c r="M68" i="33"/>
  <c r="M69" i="33"/>
  <c r="M70" i="33"/>
  <c r="L77" i="33"/>
  <c r="M102" i="33"/>
  <c r="M103" i="33"/>
  <c r="M104" i="33"/>
  <c r="M105" i="33"/>
  <c r="M106" i="33"/>
  <c r="M211" i="33"/>
  <c r="M210" i="33"/>
  <c r="M209" i="33"/>
  <c r="M208" i="33"/>
  <c r="M207" i="33"/>
  <c r="M206" i="33"/>
  <c r="L112" i="8"/>
  <c r="M99" i="8"/>
  <c r="M100" i="8"/>
  <c r="M101" i="8"/>
  <c r="M102" i="8"/>
  <c r="M103" i="8"/>
  <c r="M104" i="8"/>
  <c r="M105" i="8"/>
  <c r="M106" i="8"/>
  <c r="M42" i="8"/>
  <c r="M45" i="8"/>
  <c r="M49" i="8"/>
  <c r="M53" i="8"/>
  <c r="M57" i="8"/>
  <c r="M61" i="8"/>
  <c r="M62" i="8"/>
  <c r="M63" i="8"/>
  <c r="M64" i="8"/>
  <c r="M65" i="8"/>
  <c r="M66" i="8"/>
  <c r="M67" i="8"/>
  <c r="M68" i="8"/>
  <c r="M69" i="8"/>
  <c r="M70" i="8"/>
  <c r="M71" i="8"/>
  <c r="M43" i="8"/>
  <c r="M47" i="8"/>
  <c r="M51" i="8"/>
  <c r="M55" i="8"/>
  <c r="D10" i="39"/>
  <c r="I11" i="13"/>
  <c r="K11" i="13" s="1"/>
  <c r="F39" i="6"/>
  <c r="F38" i="6"/>
  <c r="F42" i="6"/>
  <c r="F40" i="6"/>
  <c r="F43" i="7"/>
  <c r="AH43" i="7" s="1"/>
  <c r="S50" i="7"/>
  <c r="S51" i="7" s="1"/>
  <c r="F39" i="7"/>
  <c r="F38" i="7"/>
  <c r="F42" i="7"/>
  <c r="N42" i="7" s="1"/>
  <c r="M50" i="7"/>
  <c r="B15" i="13" s="1"/>
  <c r="C15" i="13" s="1"/>
  <c r="F41" i="7"/>
  <c r="N41" i="7" s="1"/>
  <c r="F40" i="7"/>
  <c r="I17" i="39"/>
  <c r="K17" i="39" s="1"/>
  <c r="I21" i="39"/>
  <c r="K21" i="39" s="1"/>
  <c r="D7" i="39"/>
  <c r="I15" i="39"/>
  <c r="I19" i="39"/>
  <c r="K19" i="39" s="1"/>
  <c r="I23" i="39"/>
  <c r="K23" i="39" s="1"/>
  <c r="I16" i="39"/>
  <c r="K16" i="39" s="1"/>
  <c r="H22" i="13"/>
  <c r="AE51" i="6"/>
  <c r="F37" i="6"/>
  <c r="B20" i="13"/>
  <c r="C20" i="13" s="1"/>
  <c r="E20" i="13" s="1"/>
  <c r="F37" i="7"/>
  <c r="D6" i="13"/>
  <c r="E6" i="13"/>
  <c r="P72" i="8"/>
  <c r="U37" i="8"/>
  <c r="Z37" i="8" s="1"/>
  <c r="AE37" i="8" s="1"/>
  <c r="AJ37" i="8" s="1"/>
  <c r="AO37" i="8" s="1"/>
  <c r="AT37" i="8" s="1"/>
  <c r="M113" i="33"/>
  <c r="M117" i="33"/>
  <c r="M135" i="33"/>
  <c r="M114" i="33"/>
  <c r="M118" i="33"/>
  <c r="M122" i="33"/>
  <c r="M126" i="33"/>
  <c r="M130" i="33"/>
  <c r="M134" i="33"/>
  <c r="M121" i="33"/>
  <c r="M125" i="33"/>
  <c r="M129" i="33"/>
  <c r="M133" i="33"/>
  <c r="M112" i="33"/>
  <c r="L112" i="33"/>
  <c r="M116" i="33"/>
  <c r="M120" i="33"/>
  <c r="M124" i="33"/>
  <c r="M128" i="33"/>
  <c r="M132" i="33"/>
  <c r="M136" i="33"/>
  <c r="M137" i="33"/>
  <c r="M138" i="33"/>
  <c r="M139" i="33"/>
  <c r="M140" i="33"/>
  <c r="M141" i="33"/>
  <c r="M115" i="33"/>
  <c r="M119" i="33"/>
  <c r="M123" i="33"/>
  <c r="M127" i="33"/>
  <c r="M131" i="33"/>
  <c r="D10" i="13"/>
  <c r="M151" i="33"/>
  <c r="M155" i="33"/>
  <c r="M159" i="33"/>
  <c r="M163" i="33"/>
  <c r="M167" i="33"/>
  <c r="M168" i="33"/>
  <c r="M150" i="33"/>
  <c r="M154" i="33"/>
  <c r="M158" i="33"/>
  <c r="M162" i="33"/>
  <c r="M166" i="33"/>
  <c r="M170" i="33"/>
  <c r="L147" i="33"/>
  <c r="M147" i="33"/>
  <c r="M171" i="33"/>
  <c r="M172" i="33"/>
  <c r="M173" i="33"/>
  <c r="M174" i="33"/>
  <c r="M175" i="33"/>
  <c r="M176" i="33"/>
  <c r="M149" i="33"/>
  <c r="M153" i="33"/>
  <c r="M157" i="33"/>
  <c r="M161" i="33"/>
  <c r="M165" i="33"/>
  <c r="M169" i="33"/>
  <c r="M148" i="33"/>
  <c r="M152" i="33"/>
  <c r="M156" i="33"/>
  <c r="M160" i="33"/>
  <c r="M164" i="33"/>
  <c r="M159" i="8"/>
  <c r="M163" i="8"/>
  <c r="M165" i="8"/>
  <c r="M148" i="8"/>
  <c r="M152" i="8"/>
  <c r="M156" i="8"/>
  <c r="M160" i="8"/>
  <c r="M164" i="8"/>
  <c r="L147" i="8"/>
  <c r="M151" i="8"/>
  <c r="M155" i="8"/>
  <c r="M147" i="8"/>
  <c r="M150" i="8"/>
  <c r="M154" i="8"/>
  <c r="M158" i="8"/>
  <c r="M162" i="8"/>
  <c r="M166" i="8"/>
  <c r="M167" i="8"/>
  <c r="M168" i="8"/>
  <c r="M169" i="8"/>
  <c r="M170" i="8"/>
  <c r="M171" i="8"/>
  <c r="M172" i="8"/>
  <c r="M173" i="8"/>
  <c r="M174" i="8"/>
  <c r="M175" i="8"/>
  <c r="M176" i="8"/>
  <c r="M149" i="8"/>
  <c r="M153" i="8"/>
  <c r="M157" i="8"/>
  <c r="M161" i="8"/>
  <c r="AJ12" i="7" l="1"/>
  <c r="V12" i="7"/>
  <c r="P12" i="7"/>
  <c r="J12" i="7"/>
  <c r="AH12" i="7"/>
  <c r="AB12" i="7"/>
  <c r="T12" i="7"/>
  <c r="N12" i="7"/>
  <c r="AF12" i="7"/>
  <c r="Z12" i="7"/>
  <c r="AD12" i="7"/>
  <c r="X12" i="7"/>
  <c r="R12" i="7"/>
  <c r="L12" i="7"/>
  <c r="AJ8" i="7"/>
  <c r="V8" i="7"/>
  <c r="P8" i="7"/>
  <c r="J8" i="7"/>
  <c r="AH8" i="7"/>
  <c r="AB8" i="7"/>
  <c r="T8" i="7"/>
  <c r="N8" i="7"/>
  <c r="AF8" i="7"/>
  <c r="Z8" i="7"/>
  <c r="AD8" i="7"/>
  <c r="X8" i="7"/>
  <c r="R8" i="7"/>
  <c r="L8" i="7"/>
  <c r="AF10" i="7"/>
  <c r="Z10" i="7"/>
  <c r="AD10" i="7"/>
  <c r="X10" i="7"/>
  <c r="R10" i="7"/>
  <c r="L10" i="7"/>
  <c r="AJ10" i="7"/>
  <c r="V10" i="7"/>
  <c r="P10" i="7"/>
  <c r="J10" i="7"/>
  <c r="AH10" i="7"/>
  <c r="AB10" i="7"/>
  <c r="T10" i="7"/>
  <c r="N10" i="7"/>
  <c r="AF37" i="7"/>
  <c r="Z37" i="7"/>
  <c r="AL37" i="7"/>
  <c r="AD37" i="7"/>
  <c r="X37" i="7"/>
  <c r="R37" i="7"/>
  <c r="L37" i="7"/>
  <c r="AJ37" i="7"/>
  <c r="V37" i="7"/>
  <c r="P37" i="7"/>
  <c r="J37" i="7"/>
  <c r="AH37" i="7"/>
  <c r="AB37" i="7"/>
  <c r="T37" i="7"/>
  <c r="N37" i="7"/>
  <c r="AJ38" i="7"/>
  <c r="V38" i="7"/>
  <c r="P38" i="7"/>
  <c r="J38" i="7"/>
  <c r="AH38" i="7"/>
  <c r="AB38" i="7"/>
  <c r="T38" i="7"/>
  <c r="N38" i="7"/>
  <c r="AF38" i="7"/>
  <c r="Z38" i="7"/>
  <c r="AL38" i="7"/>
  <c r="AD38" i="7"/>
  <c r="X38" i="7"/>
  <c r="R38" i="7"/>
  <c r="L38" i="7"/>
  <c r="AF35" i="7"/>
  <c r="Z35" i="7"/>
  <c r="AL35" i="7"/>
  <c r="AD35" i="7"/>
  <c r="X35" i="7"/>
  <c r="L35" i="7"/>
  <c r="AJ35" i="7"/>
  <c r="V35" i="7"/>
  <c r="P35" i="7"/>
  <c r="J35" i="7"/>
  <c r="AH35" i="7"/>
  <c r="AB35" i="7"/>
  <c r="T35" i="7"/>
  <c r="N35" i="7"/>
  <c r="R35" i="7"/>
  <c r="AJ36" i="7"/>
  <c r="V36" i="7"/>
  <c r="P36" i="7"/>
  <c r="J36" i="7"/>
  <c r="AH36" i="7"/>
  <c r="AB36" i="7"/>
  <c r="T36" i="7"/>
  <c r="N36" i="7"/>
  <c r="AF36" i="7"/>
  <c r="Z36" i="7"/>
  <c r="AL36" i="7"/>
  <c r="AD36" i="7"/>
  <c r="X36" i="7"/>
  <c r="R36" i="7"/>
  <c r="L36" i="7"/>
  <c r="AL36" i="6"/>
  <c r="X36" i="6"/>
  <c r="R36" i="6"/>
  <c r="L36" i="6"/>
  <c r="P36" i="6"/>
  <c r="AJ36" i="6"/>
  <c r="V36" i="6"/>
  <c r="J36" i="6"/>
  <c r="AH36" i="6"/>
  <c r="AB36" i="6"/>
  <c r="AF36" i="6"/>
  <c r="Z36" i="6"/>
  <c r="AD36" i="6"/>
  <c r="T36" i="6"/>
  <c r="N36" i="6"/>
  <c r="AH37" i="6"/>
  <c r="AB37" i="6"/>
  <c r="Z37" i="6"/>
  <c r="AF37" i="6"/>
  <c r="AL37" i="6"/>
  <c r="X37" i="6"/>
  <c r="R37" i="6"/>
  <c r="L37" i="6"/>
  <c r="AJ37" i="6"/>
  <c r="V37" i="6"/>
  <c r="J37" i="6"/>
  <c r="P37" i="6"/>
  <c r="AD37" i="6"/>
  <c r="N37" i="6"/>
  <c r="T37" i="6"/>
  <c r="AL38" i="6"/>
  <c r="X38" i="6"/>
  <c r="R38" i="6"/>
  <c r="L38" i="6"/>
  <c r="AJ38" i="6"/>
  <c r="V38" i="6"/>
  <c r="P38" i="6"/>
  <c r="J38" i="6"/>
  <c r="AH38" i="6"/>
  <c r="AB38" i="6"/>
  <c r="AF38" i="6"/>
  <c r="Z38" i="6"/>
  <c r="N38" i="6"/>
  <c r="T38" i="6"/>
  <c r="AD38" i="6"/>
  <c r="AH35" i="6"/>
  <c r="AB35" i="6"/>
  <c r="Z35" i="6"/>
  <c r="AF35" i="6"/>
  <c r="AL35" i="6"/>
  <c r="X35" i="6"/>
  <c r="R35" i="6"/>
  <c r="L35" i="6"/>
  <c r="AJ35" i="6"/>
  <c r="V35" i="6"/>
  <c r="P35" i="6"/>
  <c r="J35" i="6"/>
  <c r="N35" i="6"/>
  <c r="AD35" i="6"/>
  <c r="T35" i="6"/>
  <c r="L14" i="7"/>
  <c r="H12" i="7"/>
  <c r="H12" i="6"/>
  <c r="AF50" i="6" s="1"/>
  <c r="AJ42" i="6"/>
  <c r="V42" i="6"/>
  <c r="P42" i="6"/>
  <c r="J42" i="6"/>
  <c r="AF42" i="6"/>
  <c r="Z42" i="6"/>
  <c r="AD42" i="6"/>
  <c r="T42" i="6"/>
  <c r="L42" i="6"/>
  <c r="AL42" i="6"/>
  <c r="AB42" i="6"/>
  <c r="R42" i="6"/>
  <c r="AH42" i="6"/>
  <c r="X42" i="6"/>
  <c r="N42" i="6"/>
  <c r="AF29" i="6"/>
  <c r="Z29" i="6"/>
  <c r="AJ29" i="6"/>
  <c r="V29" i="6"/>
  <c r="P29" i="6"/>
  <c r="J29" i="6"/>
  <c r="AD29" i="6"/>
  <c r="T29" i="6"/>
  <c r="L29" i="6"/>
  <c r="AL29" i="6"/>
  <c r="AB29" i="6"/>
  <c r="R29" i="6"/>
  <c r="AH29" i="6"/>
  <c r="X29" i="6"/>
  <c r="N29" i="6"/>
  <c r="AF25" i="6"/>
  <c r="Z25" i="6"/>
  <c r="AJ25" i="6"/>
  <c r="V25" i="6"/>
  <c r="P25" i="6"/>
  <c r="J25" i="6"/>
  <c r="AD25" i="6"/>
  <c r="T25" i="6"/>
  <c r="L25" i="6"/>
  <c r="AL25" i="6"/>
  <c r="AB25" i="6"/>
  <c r="R25" i="6"/>
  <c r="AH25" i="6"/>
  <c r="X25" i="6"/>
  <c r="N25" i="6"/>
  <c r="AH19" i="6"/>
  <c r="AB19" i="6"/>
  <c r="AF19" i="6"/>
  <c r="Z19" i="6"/>
  <c r="AL19" i="6"/>
  <c r="X19" i="6"/>
  <c r="R19" i="6"/>
  <c r="L19" i="6"/>
  <c r="AJ19" i="6"/>
  <c r="V19" i="6"/>
  <c r="J19" i="6"/>
  <c r="P19" i="6"/>
  <c r="AD19" i="6"/>
  <c r="N19" i="6"/>
  <c r="T19" i="6"/>
  <c r="AL44" i="6"/>
  <c r="AD44" i="6"/>
  <c r="X44" i="6"/>
  <c r="AJ44" i="6"/>
  <c r="V44" i="6"/>
  <c r="P44" i="6"/>
  <c r="J44" i="6"/>
  <c r="AH44" i="6"/>
  <c r="AB44" i="6"/>
  <c r="AF44" i="6"/>
  <c r="Z44" i="6"/>
  <c r="T44" i="6"/>
  <c r="L44" i="6"/>
  <c r="R44" i="6"/>
  <c r="N44" i="6"/>
  <c r="AH17" i="6"/>
  <c r="AB17" i="6"/>
  <c r="AF17" i="6"/>
  <c r="Z17" i="6"/>
  <c r="AL17" i="6"/>
  <c r="X17" i="6"/>
  <c r="R17" i="6"/>
  <c r="L17" i="6"/>
  <c r="P17" i="6"/>
  <c r="V17" i="6"/>
  <c r="J17" i="6"/>
  <c r="AJ17" i="6"/>
  <c r="N17" i="6"/>
  <c r="T17" i="6"/>
  <c r="AD17" i="6"/>
  <c r="AF21" i="6"/>
  <c r="Z21" i="6"/>
  <c r="AJ21" i="6"/>
  <c r="V21" i="6"/>
  <c r="P21" i="6"/>
  <c r="J21" i="6"/>
  <c r="AD21" i="6"/>
  <c r="T21" i="6"/>
  <c r="L21" i="6"/>
  <c r="AL21" i="6"/>
  <c r="AB21" i="6"/>
  <c r="R21" i="6"/>
  <c r="AH21" i="6"/>
  <c r="X21" i="6"/>
  <c r="N21" i="6"/>
  <c r="AL16" i="6"/>
  <c r="X16" i="6"/>
  <c r="R16" i="6"/>
  <c r="L16" i="6"/>
  <c r="AJ16" i="6"/>
  <c r="V16" i="6"/>
  <c r="P16" i="6"/>
  <c r="AH16" i="6"/>
  <c r="AB16" i="6"/>
  <c r="Z16" i="6"/>
  <c r="AF16" i="6"/>
  <c r="J16" i="6"/>
  <c r="N16" i="6"/>
  <c r="AD16" i="6"/>
  <c r="T16" i="6"/>
  <c r="AL18" i="6"/>
  <c r="X18" i="6"/>
  <c r="R18" i="6"/>
  <c r="L18" i="6"/>
  <c r="AJ18" i="6"/>
  <c r="V18" i="6"/>
  <c r="P18" i="6"/>
  <c r="J18" i="6"/>
  <c r="AH18" i="6"/>
  <c r="AB18" i="6"/>
  <c r="Z18" i="6"/>
  <c r="AF18" i="6"/>
  <c r="N18" i="6"/>
  <c r="T18" i="6"/>
  <c r="AD18" i="6"/>
  <c r="AJ20" i="6"/>
  <c r="AF20" i="6"/>
  <c r="X20" i="6"/>
  <c r="R20" i="6"/>
  <c r="L20" i="6"/>
  <c r="V20" i="6"/>
  <c r="P20" i="6"/>
  <c r="J20" i="6"/>
  <c r="AL20" i="6"/>
  <c r="AB20" i="6"/>
  <c r="AH20" i="6"/>
  <c r="Z20" i="6"/>
  <c r="T20" i="6"/>
  <c r="AD20" i="6"/>
  <c r="N20" i="6"/>
  <c r="AF23" i="6"/>
  <c r="Z23" i="6"/>
  <c r="AJ23" i="6"/>
  <c r="V23" i="6"/>
  <c r="P23" i="6"/>
  <c r="J23" i="6"/>
  <c r="AD23" i="6"/>
  <c r="T23" i="6"/>
  <c r="L23" i="6"/>
  <c r="AL23" i="6"/>
  <c r="AB23" i="6"/>
  <c r="R23" i="6"/>
  <c r="AH23" i="6"/>
  <c r="X23" i="6"/>
  <c r="N23" i="6"/>
  <c r="AJ34" i="6"/>
  <c r="V34" i="6"/>
  <c r="P34" i="6"/>
  <c r="J34" i="6"/>
  <c r="AF34" i="6"/>
  <c r="Z34" i="6"/>
  <c r="AD34" i="6"/>
  <c r="T34" i="6"/>
  <c r="L34" i="6"/>
  <c r="AL34" i="6"/>
  <c r="AB34" i="6"/>
  <c r="R34" i="6"/>
  <c r="AH34" i="6"/>
  <c r="X34" i="6"/>
  <c r="N34" i="6"/>
  <c r="AF41" i="6"/>
  <c r="Z41" i="6"/>
  <c r="AJ41" i="6"/>
  <c r="V41" i="6"/>
  <c r="P41" i="6"/>
  <c r="J41" i="6"/>
  <c r="AD41" i="6"/>
  <c r="T41" i="6"/>
  <c r="L41" i="6"/>
  <c r="AL41" i="6"/>
  <c r="AB41" i="6"/>
  <c r="R41" i="6"/>
  <c r="AH41" i="6"/>
  <c r="X41" i="6"/>
  <c r="N41" i="6"/>
  <c r="AJ26" i="6"/>
  <c r="V26" i="6"/>
  <c r="P26" i="6"/>
  <c r="J26" i="6"/>
  <c r="AF26" i="6"/>
  <c r="Z26" i="6"/>
  <c r="AD26" i="6"/>
  <c r="T26" i="6"/>
  <c r="L26" i="6"/>
  <c r="AL26" i="6"/>
  <c r="AB26" i="6"/>
  <c r="R26" i="6"/>
  <c r="AH26" i="6"/>
  <c r="X26" i="6"/>
  <c r="N26" i="6"/>
  <c r="AF39" i="6"/>
  <c r="Z39" i="6"/>
  <c r="AJ39" i="6"/>
  <c r="V39" i="6"/>
  <c r="P39" i="6"/>
  <c r="J39" i="6"/>
  <c r="AD39" i="6"/>
  <c r="T39" i="6"/>
  <c r="L39" i="6"/>
  <c r="AL39" i="6"/>
  <c r="AB39" i="6"/>
  <c r="R39" i="6"/>
  <c r="AH39" i="6"/>
  <c r="X39" i="6"/>
  <c r="N39" i="6"/>
  <c r="AJ30" i="6"/>
  <c r="V30" i="6"/>
  <c r="P30" i="6"/>
  <c r="J30" i="6"/>
  <c r="AF30" i="6"/>
  <c r="Z30" i="6"/>
  <c r="AD30" i="6"/>
  <c r="T30" i="6"/>
  <c r="L30" i="6"/>
  <c r="AL30" i="6"/>
  <c r="AB30" i="6"/>
  <c r="R30" i="6"/>
  <c r="AH30" i="6"/>
  <c r="X30" i="6"/>
  <c r="N30" i="6"/>
  <c r="AJ32" i="6"/>
  <c r="V32" i="6"/>
  <c r="P32" i="6"/>
  <c r="J32" i="6"/>
  <c r="AF32" i="6"/>
  <c r="Z32" i="6"/>
  <c r="AD32" i="6"/>
  <c r="T32" i="6"/>
  <c r="L32" i="6"/>
  <c r="AL32" i="6"/>
  <c r="AB32" i="6"/>
  <c r="R32" i="6"/>
  <c r="AH32" i="6"/>
  <c r="X32" i="6"/>
  <c r="N32" i="6"/>
  <c r="AJ40" i="6"/>
  <c r="V40" i="6"/>
  <c r="P40" i="6"/>
  <c r="J40" i="6"/>
  <c r="AF40" i="6"/>
  <c r="Z40" i="6"/>
  <c r="AD40" i="6"/>
  <c r="T40" i="6"/>
  <c r="L40" i="6"/>
  <c r="AL40" i="6"/>
  <c r="AB40" i="6"/>
  <c r="R40" i="6"/>
  <c r="AH40" i="6"/>
  <c r="X40" i="6"/>
  <c r="N40" i="6"/>
  <c r="AF33" i="6"/>
  <c r="Z33" i="6"/>
  <c r="AJ33" i="6"/>
  <c r="V33" i="6"/>
  <c r="P33" i="6"/>
  <c r="J33" i="6"/>
  <c r="AD33" i="6"/>
  <c r="T33" i="6"/>
  <c r="L33" i="6"/>
  <c r="AL33" i="6"/>
  <c r="AB33" i="6"/>
  <c r="R33" i="6"/>
  <c r="AH33" i="6"/>
  <c r="X33" i="6"/>
  <c r="N33" i="6"/>
  <c r="AH15" i="6"/>
  <c r="AB15" i="6"/>
  <c r="AL15" i="6"/>
  <c r="X15" i="6"/>
  <c r="R15" i="6"/>
  <c r="L15" i="6"/>
  <c r="AJ15" i="6"/>
  <c r="V15" i="6"/>
  <c r="J15" i="6"/>
  <c r="P15" i="6"/>
  <c r="AF15" i="6"/>
  <c r="Z15" i="6"/>
  <c r="T15" i="6"/>
  <c r="AD15" i="6"/>
  <c r="N15" i="6"/>
  <c r="AJ22" i="6"/>
  <c r="V22" i="6"/>
  <c r="P22" i="6"/>
  <c r="J22" i="6"/>
  <c r="AF22" i="6"/>
  <c r="Z22" i="6"/>
  <c r="N22" i="6"/>
  <c r="AD22" i="6"/>
  <c r="T22" i="6"/>
  <c r="L22" i="6"/>
  <c r="AL22" i="6"/>
  <c r="AB22" i="6"/>
  <c r="R22" i="6"/>
  <c r="AH22" i="6"/>
  <c r="X22" i="6"/>
  <c r="AF27" i="6"/>
  <c r="Z27" i="6"/>
  <c r="AJ27" i="6"/>
  <c r="V27" i="6"/>
  <c r="P27" i="6"/>
  <c r="J27" i="6"/>
  <c r="AD27" i="6"/>
  <c r="T27" i="6"/>
  <c r="L27" i="6"/>
  <c r="AL27" i="6"/>
  <c r="AB27" i="6"/>
  <c r="R27" i="6"/>
  <c r="AH27" i="6"/>
  <c r="X27" i="6"/>
  <c r="N27" i="6"/>
  <c r="AF31" i="6"/>
  <c r="Z31" i="6"/>
  <c r="AJ31" i="6"/>
  <c r="V31" i="6"/>
  <c r="P31" i="6"/>
  <c r="J31" i="6"/>
  <c r="AD31" i="6"/>
  <c r="T31" i="6"/>
  <c r="L31" i="6"/>
  <c r="AL31" i="6"/>
  <c r="AB31" i="6"/>
  <c r="R31" i="6"/>
  <c r="AH31" i="6"/>
  <c r="X31" i="6"/>
  <c r="N31" i="6"/>
  <c r="AJ24" i="6"/>
  <c r="V24" i="6"/>
  <c r="P24" i="6"/>
  <c r="J24" i="6"/>
  <c r="AF24" i="6"/>
  <c r="Z24" i="6"/>
  <c r="AD24" i="6"/>
  <c r="T24" i="6"/>
  <c r="L24" i="6"/>
  <c r="AL24" i="6"/>
  <c r="AB24" i="6"/>
  <c r="R24" i="6"/>
  <c r="AH24" i="6"/>
  <c r="X24" i="6"/>
  <c r="N24" i="6"/>
  <c r="AJ28" i="6"/>
  <c r="V28" i="6"/>
  <c r="P28" i="6"/>
  <c r="J28" i="6"/>
  <c r="AF28" i="6"/>
  <c r="Z28" i="6"/>
  <c r="AD28" i="6"/>
  <c r="T28" i="6"/>
  <c r="L28" i="6"/>
  <c r="AL28" i="6"/>
  <c r="AB28" i="6"/>
  <c r="R28" i="6"/>
  <c r="AH28" i="6"/>
  <c r="X28" i="6"/>
  <c r="N28" i="6"/>
  <c r="AL10" i="7"/>
  <c r="AL12" i="7"/>
  <c r="AL8" i="7"/>
  <c r="G21" i="6"/>
  <c r="G28" i="6"/>
  <c r="G35" i="6"/>
  <c r="G14" i="6"/>
  <c r="V34" i="7"/>
  <c r="P34" i="7"/>
  <c r="V18" i="7"/>
  <c r="P18" i="7"/>
  <c r="V24" i="7"/>
  <c r="P24" i="7"/>
  <c r="V21" i="7"/>
  <c r="P21" i="7"/>
  <c r="V33" i="7"/>
  <c r="P33" i="7"/>
  <c r="V30" i="7"/>
  <c r="P30" i="7"/>
  <c r="V20" i="7"/>
  <c r="P20" i="7"/>
  <c r="V14" i="7"/>
  <c r="P14" i="7"/>
  <c r="V17" i="7"/>
  <c r="P17" i="7"/>
  <c r="V19" i="7"/>
  <c r="P19" i="7"/>
  <c r="V23" i="7"/>
  <c r="P23" i="7"/>
  <c r="V26" i="7"/>
  <c r="P26" i="7"/>
  <c r="V32" i="7"/>
  <c r="P32" i="7"/>
  <c r="V16" i="7"/>
  <c r="P16" i="7"/>
  <c r="V29" i="7"/>
  <c r="P29" i="7"/>
  <c r="V22" i="7"/>
  <c r="P22" i="7"/>
  <c r="V28" i="7"/>
  <c r="P28" i="7"/>
  <c r="V15" i="7"/>
  <c r="P15" i="7"/>
  <c r="V27" i="7"/>
  <c r="P27" i="7"/>
  <c r="V25" i="7"/>
  <c r="P25" i="7"/>
  <c r="V31" i="7"/>
  <c r="P31" i="7"/>
  <c r="N40" i="7"/>
  <c r="AH40" i="7"/>
  <c r="AF40" i="7"/>
  <c r="Z40" i="7"/>
  <c r="AB40" i="7"/>
  <c r="AJ40" i="7"/>
  <c r="AD40" i="7"/>
  <c r="AB39" i="7"/>
  <c r="AJ39" i="7"/>
  <c r="AH39" i="7"/>
  <c r="AF39" i="7"/>
  <c r="Z39" i="7"/>
  <c r="AD39" i="7"/>
  <c r="N34" i="7"/>
  <c r="AJ34" i="7"/>
  <c r="AF34" i="7"/>
  <c r="AH34" i="7"/>
  <c r="AB34" i="7"/>
  <c r="Z34" i="7"/>
  <c r="AD34" i="7"/>
  <c r="T18" i="7"/>
  <c r="AJ18" i="7"/>
  <c r="AF18" i="7"/>
  <c r="AH18" i="7"/>
  <c r="AB18" i="7"/>
  <c r="Z18" i="7"/>
  <c r="AD18" i="7"/>
  <c r="N24" i="7"/>
  <c r="AF24" i="7"/>
  <c r="Z24" i="7"/>
  <c r="AB24" i="7"/>
  <c r="AJ24" i="7"/>
  <c r="AH24" i="7"/>
  <c r="AD24" i="7"/>
  <c r="AH21" i="7"/>
  <c r="AB21" i="7"/>
  <c r="AF21" i="7"/>
  <c r="Z21" i="7"/>
  <c r="AJ21" i="7"/>
  <c r="AD21" i="7"/>
  <c r="N33" i="7"/>
  <c r="AH33" i="7"/>
  <c r="AB33" i="7"/>
  <c r="AJ33" i="7"/>
  <c r="AF33" i="7"/>
  <c r="Z33" i="7"/>
  <c r="AD33" i="7"/>
  <c r="AJ30" i="7"/>
  <c r="Z30" i="7"/>
  <c r="AD30" i="7"/>
  <c r="AH30" i="7"/>
  <c r="AB30" i="7"/>
  <c r="AF30" i="7"/>
  <c r="AF20" i="7"/>
  <c r="Z20" i="7"/>
  <c r="AJ20" i="7"/>
  <c r="AH20" i="7"/>
  <c r="AB20" i="7"/>
  <c r="AD20" i="7"/>
  <c r="AJ14" i="7"/>
  <c r="Z14" i="7"/>
  <c r="AH14" i="7"/>
  <c r="AB14" i="7"/>
  <c r="AF14" i="7"/>
  <c r="AD14" i="7"/>
  <c r="AH17" i="7"/>
  <c r="AB17" i="7"/>
  <c r="AF17" i="7"/>
  <c r="Z17" i="7"/>
  <c r="AJ17" i="7"/>
  <c r="AD17" i="7"/>
  <c r="AH19" i="7"/>
  <c r="AJ19" i="7"/>
  <c r="AB19" i="7"/>
  <c r="Z19" i="7"/>
  <c r="AF19" i="7"/>
  <c r="AD19" i="7"/>
  <c r="AB23" i="7"/>
  <c r="AJ23" i="7"/>
  <c r="AH23" i="7"/>
  <c r="AF23" i="7"/>
  <c r="Z23" i="7"/>
  <c r="AD23" i="7"/>
  <c r="AD26" i="7"/>
  <c r="AJ26" i="7"/>
  <c r="AF26" i="7"/>
  <c r="AH26" i="7"/>
  <c r="AB26" i="7"/>
  <c r="Z26" i="7"/>
  <c r="AF32" i="7"/>
  <c r="Z32" i="7"/>
  <c r="AH32" i="7"/>
  <c r="AJ32" i="7"/>
  <c r="AB32" i="7"/>
  <c r="AD32" i="7"/>
  <c r="AF16" i="7"/>
  <c r="Z16" i="7"/>
  <c r="AJ16" i="7"/>
  <c r="AB16" i="7"/>
  <c r="AH16" i="7"/>
  <c r="AD16" i="7"/>
  <c r="AH29" i="7"/>
  <c r="AB29" i="7"/>
  <c r="AF29" i="7"/>
  <c r="Z29" i="7"/>
  <c r="AJ29" i="7"/>
  <c r="AD29" i="7"/>
  <c r="T22" i="7"/>
  <c r="AJ22" i="7"/>
  <c r="Z22" i="7"/>
  <c r="AD22" i="7"/>
  <c r="AH22" i="7"/>
  <c r="AB22" i="7"/>
  <c r="AF22" i="7"/>
  <c r="AF28" i="7"/>
  <c r="Z28" i="7"/>
  <c r="AJ28" i="7"/>
  <c r="AH28" i="7"/>
  <c r="AB28" i="7"/>
  <c r="AD28" i="7"/>
  <c r="AB15" i="7"/>
  <c r="AJ15" i="7"/>
  <c r="AH15" i="7"/>
  <c r="AF15" i="7"/>
  <c r="Z15" i="7"/>
  <c r="AD15" i="7"/>
  <c r="AH27" i="7"/>
  <c r="AJ27" i="7"/>
  <c r="AB27" i="7"/>
  <c r="AF27" i="7"/>
  <c r="Z27" i="7"/>
  <c r="AD27" i="7"/>
  <c r="AJ25" i="7"/>
  <c r="AH25" i="7"/>
  <c r="AB25" i="7"/>
  <c r="AF25" i="7"/>
  <c r="Z25" i="7"/>
  <c r="AD25" i="7"/>
  <c r="AB31" i="7"/>
  <c r="AF31" i="7"/>
  <c r="AJ31" i="7"/>
  <c r="AH31" i="7"/>
  <c r="Z31" i="7"/>
  <c r="AD31" i="7"/>
  <c r="N28" i="7"/>
  <c r="G28" i="7"/>
  <c r="G35" i="7"/>
  <c r="G8" i="7"/>
  <c r="T21" i="7"/>
  <c r="G21" i="7"/>
  <c r="J14" i="7"/>
  <c r="N14" i="7"/>
  <c r="G14" i="7"/>
  <c r="N39" i="7"/>
  <c r="N32" i="7"/>
  <c r="N20" i="7"/>
  <c r="AF49" i="6"/>
  <c r="AB49" i="6"/>
  <c r="R49" i="6"/>
  <c r="C1" i="30"/>
  <c r="D11" i="39"/>
  <c r="T49" i="6"/>
  <c r="J23" i="7"/>
  <c r="N23" i="7"/>
  <c r="AL23" i="7"/>
  <c r="R23" i="7"/>
  <c r="X23" i="7"/>
  <c r="AL19" i="7"/>
  <c r="T19" i="7"/>
  <c r="J19" i="7"/>
  <c r="T23" i="7"/>
  <c r="N19" i="7"/>
  <c r="R19" i="7"/>
  <c r="N31" i="7"/>
  <c r="X19" i="7"/>
  <c r="AL14" i="7"/>
  <c r="X14" i="7"/>
  <c r="R14" i="7"/>
  <c r="T14" i="7"/>
  <c r="J31" i="7"/>
  <c r="X31" i="7"/>
  <c r="AL31" i="7"/>
  <c r="X29" i="7"/>
  <c r="R31" i="7"/>
  <c r="N29" i="7"/>
  <c r="T29" i="7"/>
  <c r="R33" i="7"/>
  <c r="T31" i="7"/>
  <c r="AL29" i="7"/>
  <c r="R29" i="7"/>
  <c r="T33" i="7"/>
  <c r="J29" i="7"/>
  <c r="J33" i="7"/>
  <c r="X33" i="7"/>
  <c r="AD43" i="7"/>
  <c r="R49" i="7"/>
  <c r="L49" i="7"/>
  <c r="Z49" i="7"/>
  <c r="V49" i="7"/>
  <c r="T32" i="7"/>
  <c r="AB49" i="7"/>
  <c r="C1" i="37"/>
  <c r="B36" i="13" s="1"/>
  <c r="L128" i="30"/>
  <c r="X27" i="7"/>
  <c r="T25" i="7"/>
  <c r="X25" i="7"/>
  <c r="N25" i="7"/>
  <c r="J27" i="7"/>
  <c r="R25" i="7"/>
  <c r="AL25" i="7"/>
  <c r="J25" i="7"/>
  <c r="AD44" i="7"/>
  <c r="AJ49" i="7"/>
  <c r="T27" i="7"/>
  <c r="N43" i="7"/>
  <c r="M140" i="30"/>
  <c r="M133" i="30"/>
  <c r="AL33" i="7"/>
  <c r="AB43" i="7"/>
  <c r="M134" i="30"/>
  <c r="T39" i="7"/>
  <c r="M138" i="30"/>
  <c r="M131" i="30"/>
  <c r="X49" i="7"/>
  <c r="M141" i="30"/>
  <c r="M142" i="30"/>
  <c r="M129" i="30"/>
  <c r="AL49" i="7"/>
  <c r="N49" i="7"/>
  <c r="X39" i="7"/>
  <c r="M128" i="30"/>
  <c r="M135" i="30"/>
  <c r="AF49" i="7"/>
  <c r="M139" i="30"/>
  <c r="M137" i="30"/>
  <c r="M130" i="30"/>
  <c r="J49" i="7"/>
  <c r="AD49" i="7"/>
  <c r="C1" i="34"/>
  <c r="P49" i="7"/>
  <c r="T49" i="7"/>
  <c r="K15" i="39"/>
  <c r="I24" i="39"/>
  <c r="M130" i="37"/>
  <c r="M133" i="37"/>
  <c r="M129" i="37"/>
  <c r="M142" i="37"/>
  <c r="M134" i="37"/>
  <c r="M136" i="37"/>
  <c r="M140" i="37"/>
  <c r="M135" i="37"/>
  <c r="M137" i="37"/>
  <c r="M138" i="37"/>
  <c r="M139" i="37"/>
  <c r="L128" i="37"/>
  <c r="M128" i="37"/>
  <c r="M141" i="37"/>
  <c r="M132" i="37"/>
  <c r="M131" i="37"/>
  <c r="M131" i="36"/>
  <c r="M132" i="36"/>
  <c r="M129" i="36"/>
  <c r="M141" i="36"/>
  <c r="M138" i="36"/>
  <c r="M134" i="36"/>
  <c r="M137" i="36"/>
  <c r="M136" i="36"/>
  <c r="M133" i="36"/>
  <c r="M140" i="36"/>
  <c r="M139" i="36"/>
  <c r="M128" i="36"/>
  <c r="L128" i="36"/>
  <c r="M142" i="36"/>
  <c r="M135" i="36"/>
  <c r="M132" i="35"/>
  <c r="M133" i="35"/>
  <c r="M136" i="35"/>
  <c r="M140" i="35"/>
  <c r="M128" i="35"/>
  <c r="M142" i="35"/>
  <c r="M138" i="35"/>
  <c r="M141" i="35"/>
  <c r="M131" i="35"/>
  <c r="M137" i="35"/>
  <c r="M139" i="35"/>
  <c r="L128" i="35"/>
  <c r="M130" i="35"/>
  <c r="M129" i="35"/>
  <c r="M135" i="35"/>
  <c r="M134" i="34"/>
  <c r="M130" i="34"/>
  <c r="M133" i="34"/>
  <c r="M132" i="34"/>
  <c r="M141" i="34"/>
  <c r="M128" i="34"/>
  <c r="M135" i="34"/>
  <c r="M139" i="34"/>
  <c r="M142" i="34"/>
  <c r="M138" i="34"/>
  <c r="M140" i="34"/>
  <c r="M137" i="34"/>
  <c r="M136" i="34"/>
  <c r="L128" i="34"/>
  <c r="M131" i="34"/>
  <c r="M129" i="34"/>
  <c r="M236" i="33"/>
  <c r="M219" i="33"/>
  <c r="M227" i="33"/>
  <c r="M240" i="33"/>
  <c r="M234" i="33"/>
  <c r="M225" i="33"/>
  <c r="M229" i="33"/>
  <c r="M220" i="33"/>
  <c r="L218" i="33"/>
  <c r="M247" i="33"/>
  <c r="M228" i="33"/>
  <c r="M231" i="33"/>
  <c r="M246" i="33"/>
  <c r="M241" i="33"/>
  <c r="M238" i="33"/>
  <c r="M232" i="33"/>
  <c r="M223" i="33"/>
  <c r="M235" i="33"/>
  <c r="M226" i="33"/>
  <c r="M244" i="33"/>
  <c r="M243" i="33"/>
  <c r="M245" i="33"/>
  <c r="M222" i="33"/>
  <c r="M237" i="33"/>
  <c r="M230" i="33"/>
  <c r="M221" i="33"/>
  <c r="M233" i="33"/>
  <c r="M224" i="33"/>
  <c r="M218" i="33"/>
  <c r="M239" i="33"/>
  <c r="M138" i="31"/>
  <c r="M139" i="31"/>
  <c r="M136" i="31"/>
  <c r="M137" i="31"/>
  <c r="M140" i="31"/>
  <c r="M141" i="31"/>
  <c r="L128" i="31"/>
  <c r="M142" i="31"/>
  <c r="M128" i="31"/>
  <c r="M129" i="31"/>
  <c r="M130" i="31"/>
  <c r="M131" i="31"/>
  <c r="M132" i="31"/>
  <c r="M133" i="31"/>
  <c r="M134" i="31"/>
  <c r="M137" i="32"/>
  <c r="M128" i="32"/>
  <c r="M133" i="32"/>
  <c r="M140" i="32"/>
  <c r="M134" i="32"/>
  <c r="M142" i="32"/>
  <c r="M131" i="32"/>
  <c r="M132" i="32"/>
  <c r="L128" i="32"/>
  <c r="M139" i="32"/>
  <c r="M136" i="32"/>
  <c r="M129" i="32"/>
  <c r="M130" i="32"/>
  <c r="M138" i="32"/>
  <c r="M141" i="32"/>
  <c r="M233" i="8"/>
  <c r="M235" i="8"/>
  <c r="M224" i="8"/>
  <c r="M221" i="8"/>
  <c r="L218" i="8"/>
  <c r="M226" i="8"/>
  <c r="M247" i="8"/>
  <c r="M234" i="8"/>
  <c r="M231" i="8"/>
  <c r="M223" i="8"/>
  <c r="M246" i="8"/>
  <c r="M225" i="8"/>
  <c r="M243" i="8"/>
  <c r="M232" i="8"/>
  <c r="M222" i="8"/>
  <c r="M238" i="8"/>
  <c r="M229" i="8"/>
  <c r="M219" i="8"/>
  <c r="M240" i="8"/>
  <c r="M239" i="8"/>
  <c r="M244" i="8"/>
  <c r="M245" i="8"/>
  <c r="M230" i="8"/>
  <c r="M220" i="8"/>
  <c r="M236" i="8"/>
  <c r="M227" i="8"/>
  <c r="M241" i="8"/>
  <c r="M218" i="8"/>
  <c r="M242" i="8"/>
  <c r="M237" i="8"/>
  <c r="X17" i="7"/>
  <c r="AL17" i="7"/>
  <c r="X21" i="7"/>
  <c r="J21" i="7"/>
  <c r="AC51" i="7"/>
  <c r="N15" i="7"/>
  <c r="J15" i="7"/>
  <c r="R21" i="7"/>
  <c r="AL15" i="7"/>
  <c r="X15" i="7"/>
  <c r="N21" i="7"/>
  <c r="AL21" i="7"/>
  <c r="T15" i="7"/>
  <c r="R15" i="7"/>
  <c r="B16" i="13"/>
  <c r="C16" i="13" s="1"/>
  <c r="E16" i="13" s="1"/>
  <c r="R17" i="7"/>
  <c r="N17" i="7"/>
  <c r="T17" i="7"/>
  <c r="J17" i="7"/>
  <c r="AL27" i="7"/>
  <c r="R27" i="7"/>
  <c r="T24" i="7"/>
  <c r="N27" i="7"/>
  <c r="H15" i="13"/>
  <c r="I7" i="13"/>
  <c r="K7" i="13" s="1"/>
  <c r="T28" i="7"/>
  <c r="N16" i="7"/>
  <c r="T20" i="7"/>
  <c r="M51" i="7"/>
  <c r="AH44" i="7"/>
  <c r="AB44" i="7"/>
  <c r="AL44" i="7"/>
  <c r="X44" i="7"/>
  <c r="R44" i="7"/>
  <c r="L44" i="7"/>
  <c r="P44" i="7"/>
  <c r="Z44" i="7"/>
  <c r="AJ44" i="7"/>
  <c r="V44" i="7"/>
  <c r="J44" i="7"/>
  <c r="AF44" i="7"/>
  <c r="T44" i="7"/>
  <c r="AL24" i="7"/>
  <c r="X24" i="7"/>
  <c r="R24" i="7"/>
  <c r="J24" i="7"/>
  <c r="N18" i="7"/>
  <c r="AL34" i="7"/>
  <c r="X34" i="7"/>
  <c r="R34" i="7"/>
  <c r="J34" i="7"/>
  <c r="AL30" i="7"/>
  <c r="X30" i="7"/>
  <c r="R30" i="7"/>
  <c r="J30" i="7"/>
  <c r="AL26" i="7"/>
  <c r="X26" i="7"/>
  <c r="R26" i="7"/>
  <c r="J26" i="7"/>
  <c r="AL22" i="7"/>
  <c r="X22" i="7"/>
  <c r="R22" i="7"/>
  <c r="J22" i="7"/>
  <c r="T34" i="7"/>
  <c r="N30" i="7"/>
  <c r="N26" i="7"/>
  <c r="N22" i="7"/>
  <c r="AL28" i="7"/>
  <c r="X28" i="7"/>
  <c r="R28" i="7"/>
  <c r="J28" i="7"/>
  <c r="T26" i="7"/>
  <c r="AL20" i="7"/>
  <c r="X20" i="7"/>
  <c r="R20" i="7"/>
  <c r="J20" i="7"/>
  <c r="AL16" i="7"/>
  <c r="X16" i="7"/>
  <c r="R16" i="7"/>
  <c r="J16" i="7"/>
  <c r="T16" i="7"/>
  <c r="AL18" i="7"/>
  <c r="X18" i="7"/>
  <c r="R18" i="7"/>
  <c r="J18" i="7"/>
  <c r="AL32" i="7"/>
  <c r="X32" i="7"/>
  <c r="R32" i="7"/>
  <c r="J32" i="7"/>
  <c r="T30" i="7"/>
  <c r="H19" i="13"/>
  <c r="C1" i="32"/>
  <c r="C1" i="36"/>
  <c r="D34" i="39"/>
  <c r="C1" i="35"/>
  <c r="E34" i="39" s="1"/>
  <c r="C1" i="31"/>
  <c r="P62" i="37"/>
  <c r="U42" i="37"/>
  <c r="Z42" i="37" s="1"/>
  <c r="AE42" i="37" s="1"/>
  <c r="AJ42" i="37" s="1"/>
  <c r="AO42" i="37" s="1"/>
  <c r="AT42" i="37" s="1"/>
  <c r="P62" i="36"/>
  <c r="U42" i="36"/>
  <c r="Z42" i="36" s="1"/>
  <c r="AE42" i="36" s="1"/>
  <c r="AJ42" i="36" s="1"/>
  <c r="AO42" i="36" s="1"/>
  <c r="AT42" i="36" s="1"/>
  <c r="P62" i="35"/>
  <c r="U42" i="35"/>
  <c r="Z42" i="35" s="1"/>
  <c r="AE42" i="35" s="1"/>
  <c r="AJ42" i="35" s="1"/>
  <c r="AO42" i="35" s="1"/>
  <c r="AT42" i="35" s="1"/>
  <c r="P62" i="34"/>
  <c r="U42" i="34"/>
  <c r="Z42" i="34" s="1"/>
  <c r="AE42" i="34" s="1"/>
  <c r="AJ42" i="34" s="1"/>
  <c r="AO42" i="34" s="1"/>
  <c r="AT42" i="34" s="1"/>
  <c r="P62" i="31"/>
  <c r="U42" i="31"/>
  <c r="Z42" i="31" s="1"/>
  <c r="AE42" i="31" s="1"/>
  <c r="AJ42" i="31" s="1"/>
  <c r="AO42" i="31" s="1"/>
  <c r="AT42" i="31" s="1"/>
  <c r="U42" i="32"/>
  <c r="Z42" i="32" s="1"/>
  <c r="AE42" i="32" s="1"/>
  <c r="AJ42" i="32" s="1"/>
  <c r="AO42" i="32" s="1"/>
  <c r="AT42" i="32" s="1"/>
  <c r="P62" i="32"/>
  <c r="P62" i="30"/>
  <c r="P82" i="30" s="1"/>
  <c r="U82" i="30" s="1"/>
  <c r="Z82" i="30" s="1"/>
  <c r="U42" i="30"/>
  <c r="Z42" i="30" s="1"/>
  <c r="AE42" i="30" s="1"/>
  <c r="AJ42" i="30" s="1"/>
  <c r="AO42" i="30" s="1"/>
  <c r="AT42" i="30" s="1"/>
  <c r="C1" i="33"/>
  <c r="C1" i="8"/>
  <c r="Z43" i="7"/>
  <c r="R43" i="7"/>
  <c r="AJ43" i="7"/>
  <c r="X43" i="7"/>
  <c r="T43" i="7"/>
  <c r="AF43" i="7"/>
  <c r="AL43" i="7"/>
  <c r="V43" i="7"/>
  <c r="R39" i="7"/>
  <c r="P43" i="7"/>
  <c r="L43" i="7"/>
  <c r="J43" i="7"/>
  <c r="P39" i="7"/>
  <c r="AL39" i="7"/>
  <c r="L39" i="7"/>
  <c r="V39" i="7"/>
  <c r="J39" i="7"/>
  <c r="AF42" i="7"/>
  <c r="Z42" i="7"/>
  <c r="AL42" i="7"/>
  <c r="AD42" i="7"/>
  <c r="X42" i="7"/>
  <c r="R42" i="7"/>
  <c r="L42" i="7"/>
  <c r="AJ42" i="7"/>
  <c r="V42" i="7"/>
  <c r="P42" i="7"/>
  <c r="J42" i="7"/>
  <c r="AH42" i="7"/>
  <c r="AB42" i="7"/>
  <c r="T42" i="7"/>
  <c r="V40" i="7"/>
  <c r="P40" i="7"/>
  <c r="J40" i="7"/>
  <c r="T40" i="7"/>
  <c r="AL40" i="7"/>
  <c r="X40" i="7"/>
  <c r="R40" i="7"/>
  <c r="L40" i="7"/>
  <c r="AL41" i="7"/>
  <c r="AD41" i="7"/>
  <c r="X41" i="7"/>
  <c r="R41" i="7"/>
  <c r="L41" i="7"/>
  <c r="AJ41" i="7"/>
  <c r="V41" i="7"/>
  <c r="P41" i="7"/>
  <c r="J41" i="7"/>
  <c r="AH41" i="7"/>
  <c r="AB41" i="7"/>
  <c r="T41" i="7"/>
  <c r="AF41" i="7"/>
  <c r="Z41" i="7"/>
  <c r="C22" i="39"/>
  <c r="E22" i="39" s="1"/>
  <c r="C20" i="39"/>
  <c r="E20" i="39" s="1"/>
  <c r="C18" i="39"/>
  <c r="E18" i="39" s="1"/>
  <c r="C16" i="39"/>
  <c r="E16" i="39" s="1"/>
  <c r="D6" i="39"/>
  <c r="C23" i="39"/>
  <c r="E23" i="39" s="1"/>
  <c r="C21" i="39"/>
  <c r="E21" i="39" s="1"/>
  <c r="C19" i="39"/>
  <c r="E19" i="39" s="1"/>
  <c r="C17" i="39"/>
  <c r="E17" i="39" s="1"/>
  <c r="C15" i="39"/>
  <c r="E9" i="13"/>
  <c r="E15" i="13"/>
  <c r="D8" i="13"/>
  <c r="E8" i="13"/>
  <c r="P107" i="8"/>
  <c r="P142" i="8" s="1"/>
  <c r="U142" i="8" s="1"/>
  <c r="Z142" i="8" s="1"/>
  <c r="AE142" i="8" s="1"/>
  <c r="AJ142" i="8" s="1"/>
  <c r="AO142" i="8" s="1"/>
  <c r="U72" i="8"/>
  <c r="Z72" i="8" s="1"/>
  <c r="AE72" i="8" s="1"/>
  <c r="AJ72" i="8" s="1"/>
  <c r="AO72" i="8" s="1"/>
  <c r="AT72" i="8" s="1"/>
  <c r="D11" i="13"/>
  <c r="E11" i="13"/>
  <c r="D36" i="39"/>
  <c r="D35" i="39"/>
  <c r="D33" i="39"/>
  <c r="D32" i="39"/>
  <c r="D30" i="39"/>
  <c r="D29" i="39"/>
  <c r="D28" i="39"/>
  <c r="C24" i="39" l="1"/>
  <c r="AH50" i="7"/>
  <c r="AD50" i="6"/>
  <c r="T50" i="6"/>
  <c r="N50" i="6"/>
  <c r="AH50" i="6"/>
  <c r="P50" i="6"/>
  <c r="V50" i="6"/>
  <c r="L50" i="6"/>
  <c r="Z50" i="6"/>
  <c r="AB50" i="6"/>
  <c r="AJ50" i="6"/>
  <c r="R50" i="6"/>
  <c r="AL50" i="6"/>
  <c r="X50" i="6"/>
  <c r="J50" i="6"/>
  <c r="R50" i="7"/>
  <c r="AJ50" i="7"/>
  <c r="L50" i="7"/>
  <c r="P50" i="7"/>
  <c r="V50" i="7"/>
  <c r="X50" i="7"/>
  <c r="AF50" i="7"/>
  <c r="AB50" i="7"/>
  <c r="J50" i="7"/>
  <c r="Z50" i="7"/>
  <c r="AL50" i="7"/>
  <c r="C24" i="13"/>
  <c r="E36" i="39"/>
  <c r="I15" i="13"/>
  <c r="K15" i="13" s="1"/>
  <c r="D9" i="13"/>
  <c r="B34" i="13"/>
  <c r="D34" i="13" s="1"/>
  <c r="U62" i="37"/>
  <c r="Z62" i="37" s="1"/>
  <c r="AE62" i="37" s="1"/>
  <c r="AJ62" i="37" s="1"/>
  <c r="AO62" i="37" s="1"/>
  <c r="AT62" i="37" s="1"/>
  <c r="P82" i="37"/>
  <c r="P82" i="36"/>
  <c r="U62" i="36"/>
  <c r="Z62" i="36" s="1"/>
  <c r="AE62" i="36" s="1"/>
  <c r="AJ62" i="36" s="1"/>
  <c r="AO62" i="36" s="1"/>
  <c r="AT62" i="36" s="1"/>
  <c r="P82" i="35"/>
  <c r="U62" i="35"/>
  <c r="Z62" i="35" s="1"/>
  <c r="AE62" i="35" s="1"/>
  <c r="AJ62" i="35" s="1"/>
  <c r="AO62" i="35" s="1"/>
  <c r="AT62" i="35" s="1"/>
  <c r="U62" i="34"/>
  <c r="Z62" i="34" s="1"/>
  <c r="AE62" i="34" s="1"/>
  <c r="AJ62" i="34" s="1"/>
  <c r="AO62" i="34" s="1"/>
  <c r="AT62" i="34" s="1"/>
  <c r="P82" i="34"/>
  <c r="P82" i="31"/>
  <c r="U62" i="31"/>
  <c r="Z62" i="31" s="1"/>
  <c r="AE62" i="31" s="1"/>
  <c r="AJ62" i="31" s="1"/>
  <c r="AO62" i="31" s="1"/>
  <c r="AT62" i="31" s="1"/>
  <c r="P82" i="32"/>
  <c r="U62" i="32"/>
  <c r="Z62" i="32" s="1"/>
  <c r="AE62" i="32" s="1"/>
  <c r="AJ62" i="32" s="1"/>
  <c r="AO62" i="32" s="1"/>
  <c r="AT62" i="32" s="1"/>
  <c r="U62" i="30"/>
  <c r="Z62" i="30" s="1"/>
  <c r="AE62" i="30" s="1"/>
  <c r="AJ62" i="30" s="1"/>
  <c r="AO62" i="30" s="1"/>
  <c r="AT62" i="30" s="1"/>
  <c r="E15" i="39"/>
  <c r="I19" i="13"/>
  <c r="K19" i="13" s="1"/>
  <c r="I23" i="13"/>
  <c r="K23" i="13" s="1"/>
  <c r="I22" i="13"/>
  <c r="K22" i="13" s="1"/>
  <c r="I21" i="13"/>
  <c r="K21" i="13" s="1"/>
  <c r="I20" i="13"/>
  <c r="K20" i="13" s="1"/>
  <c r="I17" i="13"/>
  <c r="K17" i="13" s="1"/>
  <c r="E7" i="13"/>
  <c r="I18" i="13"/>
  <c r="K18" i="13" s="1"/>
  <c r="I16" i="13"/>
  <c r="K16" i="13" s="1"/>
  <c r="D7" i="13"/>
  <c r="N50" i="7"/>
  <c r="AD50" i="7"/>
  <c r="T50" i="7"/>
  <c r="U107" i="8"/>
  <c r="Z107" i="8" s="1"/>
  <c r="AE107" i="8" s="1"/>
  <c r="AJ107" i="8" s="1"/>
  <c r="AO107" i="8" s="1"/>
  <c r="AT107" i="8" s="1"/>
  <c r="N36" i="13"/>
  <c r="R36" i="13" s="1"/>
  <c r="E36" i="13" s="1"/>
  <c r="D36" i="13"/>
  <c r="E35" i="39"/>
  <c r="B35" i="13"/>
  <c r="E33" i="39"/>
  <c r="B33" i="13"/>
  <c r="B32" i="13"/>
  <c r="E32" i="39"/>
  <c r="E31" i="39"/>
  <c r="B31" i="13"/>
  <c r="B30" i="13"/>
  <c r="E30" i="39"/>
  <c r="B29" i="13"/>
  <c r="E29" i="39"/>
  <c r="E28" i="39"/>
  <c r="B28" i="13"/>
  <c r="N34" i="13" l="1"/>
  <c r="R34" i="13" s="1"/>
  <c r="E34" i="13" s="1"/>
  <c r="P102" i="37"/>
  <c r="U102" i="37" s="1"/>
  <c r="Z102" i="37" s="1"/>
  <c r="AE102" i="37" s="1"/>
  <c r="AJ102" i="37" s="1"/>
  <c r="AO102" i="37" s="1"/>
  <c r="AT102" i="37" s="1"/>
  <c r="U82" i="37"/>
  <c r="Z82" i="37" s="1"/>
  <c r="AE82" i="37" s="1"/>
  <c r="AJ82" i="37" s="1"/>
  <c r="AO82" i="37" s="1"/>
  <c r="AT82" i="37" s="1"/>
  <c r="P102" i="36"/>
  <c r="U102" i="36" s="1"/>
  <c r="Z102" i="36" s="1"/>
  <c r="AE102" i="36" s="1"/>
  <c r="AJ102" i="36" s="1"/>
  <c r="AO102" i="36" s="1"/>
  <c r="AT102" i="36" s="1"/>
  <c r="U82" i="36"/>
  <c r="Z82" i="36" s="1"/>
  <c r="AE82" i="36" s="1"/>
  <c r="AJ82" i="36" s="1"/>
  <c r="AO82" i="36" s="1"/>
  <c r="AT82" i="36" s="1"/>
  <c r="P102" i="35"/>
  <c r="U102" i="35" s="1"/>
  <c r="Z102" i="35" s="1"/>
  <c r="AE102" i="35" s="1"/>
  <c r="AJ102" i="35" s="1"/>
  <c r="AO102" i="35" s="1"/>
  <c r="AT102" i="35" s="1"/>
  <c r="U82" i="35"/>
  <c r="Z82" i="35" s="1"/>
  <c r="AE82" i="35" s="1"/>
  <c r="AJ82" i="35" s="1"/>
  <c r="AO82" i="35" s="1"/>
  <c r="AT82" i="35" s="1"/>
  <c r="P102" i="34"/>
  <c r="U102" i="34" s="1"/>
  <c r="Z102" i="34" s="1"/>
  <c r="AE102" i="34" s="1"/>
  <c r="AJ102" i="34" s="1"/>
  <c r="AO102" i="34" s="1"/>
  <c r="AT102" i="34" s="1"/>
  <c r="U82" i="34"/>
  <c r="Z82" i="34" s="1"/>
  <c r="AE82" i="34" s="1"/>
  <c r="AJ82" i="34" s="1"/>
  <c r="AO82" i="34" s="1"/>
  <c r="AT82" i="34" s="1"/>
  <c r="P102" i="31"/>
  <c r="U102" i="31" s="1"/>
  <c r="Z102" i="31" s="1"/>
  <c r="AE102" i="31" s="1"/>
  <c r="AJ102" i="31" s="1"/>
  <c r="AO102" i="31" s="1"/>
  <c r="AT102" i="31" s="1"/>
  <c r="U82" i="31"/>
  <c r="Z82" i="31" s="1"/>
  <c r="AE82" i="31" s="1"/>
  <c r="AJ82" i="31" s="1"/>
  <c r="AO82" i="31" s="1"/>
  <c r="AT82" i="31" s="1"/>
  <c r="P102" i="32"/>
  <c r="U102" i="32" s="1"/>
  <c r="Z102" i="32" s="1"/>
  <c r="AE102" i="32" s="1"/>
  <c r="AJ102" i="32" s="1"/>
  <c r="AO102" i="32" s="1"/>
  <c r="AT102" i="32" s="1"/>
  <c r="U82" i="32"/>
  <c r="Z82" i="32" s="1"/>
  <c r="AE82" i="32" s="1"/>
  <c r="AJ82" i="32" s="1"/>
  <c r="AO82" i="32" s="1"/>
  <c r="AT82" i="32" s="1"/>
  <c r="P102" i="30"/>
  <c r="U102" i="30" s="1"/>
  <c r="Z102" i="30" s="1"/>
  <c r="AE102" i="30" s="1"/>
  <c r="AJ102" i="30" s="1"/>
  <c r="AO102" i="30" s="1"/>
  <c r="AT102" i="30" s="1"/>
  <c r="AE82" i="30"/>
  <c r="AJ82" i="30" s="1"/>
  <c r="AO82" i="30" s="1"/>
  <c r="AT82" i="30" s="1"/>
  <c r="AT142" i="8"/>
  <c r="P177" i="8"/>
  <c r="U177" i="8" s="1"/>
  <c r="Z177" i="8" s="1"/>
  <c r="AE177" i="8" s="1"/>
  <c r="AJ177" i="8" s="1"/>
  <c r="AO177" i="8" s="1"/>
  <c r="AT177" i="8" s="1"/>
  <c r="I24" i="13"/>
  <c r="D35" i="13"/>
  <c r="N35" i="13"/>
  <c r="R35" i="13" s="1"/>
  <c r="E35" i="13" s="1"/>
  <c r="N33" i="13"/>
  <c r="R33" i="13" s="1"/>
  <c r="E33" i="13" s="1"/>
  <c r="D33" i="13"/>
  <c r="N32" i="13"/>
  <c r="R32" i="13" s="1"/>
  <c r="E32" i="13" s="1"/>
  <c r="D32" i="13"/>
  <c r="N31" i="13"/>
  <c r="R31" i="13" s="1"/>
  <c r="E31" i="13" s="1"/>
  <c r="D31" i="13"/>
  <c r="N30" i="13"/>
  <c r="R30" i="13" s="1"/>
  <c r="E30" i="13" s="1"/>
  <c r="D30" i="13"/>
  <c r="D29" i="13"/>
  <c r="N29" i="13"/>
  <c r="R29" i="13" s="1"/>
  <c r="E29" i="13" s="1"/>
  <c r="N28" i="13"/>
  <c r="R28" i="13" s="1"/>
  <c r="E28" i="13" s="1"/>
  <c r="D28" i="1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000-000001000000}">
      <text>
        <r>
          <rPr>
            <sz val="10"/>
            <color rgb="FF000000"/>
            <rFont val="Arial"/>
            <family val="2"/>
            <scheme val="minor"/>
          </rPr>
          <t>@m-inoue547@family.co.jp 
工場名の記載欄があるとよいです。
収支はTFM側と相談が良いです。（企業秘密なのでどこまで開示されるか？があるので）
	-中川昇</t>
        </r>
      </text>
    </comment>
  </commentList>
</comments>
</file>

<file path=xl/sharedStrings.xml><?xml version="1.0" encoding="utf-8"?>
<sst xmlns="http://schemas.openxmlformats.org/spreadsheetml/2006/main" count="8681" uniqueCount="771">
  <si>
    <t>・・・・・・・・</t>
  </si>
  <si>
    <t>前月</t>
  </si>
  <si>
    <t>差異</t>
  </si>
  <si>
    <t>累計</t>
  </si>
  <si>
    <t>達成率</t>
  </si>
  <si>
    <t>材料費</t>
  </si>
  <si>
    <t>材料費率</t>
  </si>
  <si>
    <t>導入率</t>
  </si>
  <si>
    <t>-</t>
  </si>
  <si>
    <t>-%</t>
  </si>
  <si>
    <t>合計</t>
  </si>
  <si>
    <t>金額</t>
  </si>
  <si>
    <t>商品名</t>
  </si>
  <si>
    <t>前月比</t>
  </si>
  <si>
    <t>手巻明太子</t>
  </si>
  <si>
    <t>6/30新商品</t>
  </si>
  <si>
    <t>海老炒飯</t>
  </si>
  <si>
    <t>（９）歩留</t>
  </si>
  <si>
    <t>No.</t>
  </si>
  <si>
    <t>規格</t>
  </si>
  <si>
    <t>工廠</t>
    <phoneticPr fontId="10"/>
  </si>
  <si>
    <t>（１）收支狀況</t>
    <phoneticPr fontId="10"/>
  </si>
  <si>
    <t>當月</t>
    <phoneticPr fontId="10"/>
  </si>
  <si>
    <t>※單位：千元</t>
    <phoneticPr fontId="10"/>
  </si>
  <si>
    <t>業績金額</t>
    <phoneticPr fontId="10"/>
  </si>
  <si>
    <t>訂單數量</t>
    <phoneticPr fontId="10"/>
  </si>
  <si>
    <t>半成品報廢</t>
    <phoneticPr fontId="10"/>
  </si>
  <si>
    <t>半成品超用</t>
    <phoneticPr fontId="10"/>
  </si>
  <si>
    <t>固定產線</t>
    <phoneticPr fontId="10"/>
  </si>
  <si>
    <t>教育訓練</t>
    <phoneticPr fontId="10"/>
  </si>
  <si>
    <r>
      <rPr>
        <sz val="10"/>
        <color theme="1"/>
        <rFont val="Arial"/>
        <family val="3"/>
        <charset val="136"/>
        <scheme val="minor"/>
      </rPr>
      <t>人時生產性</t>
    </r>
    <r>
      <rPr>
        <sz val="10"/>
        <color theme="1"/>
        <rFont val="Arial"/>
        <family val="2"/>
        <scheme val="minor"/>
      </rPr>
      <t xml:space="preserve">1 </t>
    </r>
    <phoneticPr fontId="10"/>
  </si>
  <si>
    <r>
      <rPr>
        <sz val="10"/>
        <color theme="1"/>
        <rFont val="Arial"/>
        <family val="3"/>
        <charset val="136"/>
        <scheme val="minor"/>
      </rPr>
      <t>人時生產性</t>
    </r>
    <r>
      <rPr>
        <sz val="10"/>
        <color theme="1"/>
        <rFont val="Arial"/>
        <family val="2"/>
        <scheme val="minor"/>
      </rPr>
      <t>2</t>
    </r>
    <phoneticPr fontId="10"/>
  </si>
  <si>
    <t>（３）業績構成比</t>
    <phoneticPr fontId="10"/>
  </si>
  <si>
    <t>（４）訂單數量構成比</t>
    <phoneticPr fontId="10"/>
  </si>
  <si>
    <t>飯糰</t>
    <phoneticPr fontId="10"/>
  </si>
  <si>
    <t>大口飯糰</t>
    <phoneticPr fontId="10"/>
  </si>
  <si>
    <t>便當</t>
    <phoneticPr fontId="10"/>
  </si>
  <si>
    <t>調理麵包</t>
    <phoneticPr fontId="10"/>
  </si>
  <si>
    <t>袋裝調理麵包</t>
    <phoneticPr fontId="10"/>
  </si>
  <si>
    <t>義大利麵</t>
    <phoneticPr fontId="10"/>
  </si>
  <si>
    <t>調理包</t>
    <phoneticPr fontId="10"/>
  </si>
  <si>
    <t>比例</t>
    <phoneticPr fontId="10"/>
  </si>
  <si>
    <t>作業原因</t>
    <phoneticPr fontId="10"/>
  </si>
  <si>
    <t>規格原因</t>
    <phoneticPr fontId="10"/>
  </si>
  <si>
    <t>調理麵</t>
    <phoneticPr fontId="10"/>
  </si>
  <si>
    <t>（６）人時生產性前幾名品項</t>
    <phoneticPr fontId="10"/>
  </si>
  <si>
    <t>人數</t>
    <phoneticPr fontId="10"/>
  </si>
  <si>
    <t>排名</t>
    <phoneticPr fontId="10"/>
  </si>
  <si>
    <t>產能</t>
    <phoneticPr fontId="10"/>
  </si>
  <si>
    <t>人時生產性</t>
    <phoneticPr fontId="10"/>
  </si>
  <si>
    <t>主要原因&amp;對策</t>
  </si>
  <si>
    <t>主要原因&amp;對策</t>
    <phoneticPr fontId="10"/>
  </si>
  <si>
    <t>（８）報廢原因別前幾名品項</t>
    <phoneticPr fontId="10"/>
  </si>
  <si>
    <t>半成品名</t>
    <phoneticPr fontId="10"/>
  </si>
  <si>
    <t>單價</t>
    <phoneticPr fontId="10"/>
  </si>
  <si>
    <t>報廢率</t>
    <phoneticPr fontId="10"/>
  </si>
  <si>
    <t>數量</t>
    <phoneticPr fontId="10"/>
  </si>
  <si>
    <t>實績</t>
    <phoneticPr fontId="10"/>
  </si>
  <si>
    <t>前幾名合計比例</t>
    <phoneticPr fontId="10"/>
  </si>
  <si>
    <t>前幾名合計金額</t>
    <phoneticPr fontId="10"/>
  </si>
  <si>
    <t>※補充</t>
    <phoneticPr fontId="10"/>
  </si>
  <si>
    <r>
      <rPr>
        <sz val="11"/>
        <color theme="1"/>
        <rFont val="Arial"/>
        <family val="3"/>
        <charset val="136"/>
        <scheme val="minor"/>
      </rPr>
      <t>個／</t>
    </r>
    <r>
      <rPr>
        <sz val="11"/>
        <color theme="1"/>
        <rFont val="Arial"/>
        <family val="2"/>
        <scheme val="minor"/>
      </rPr>
      <t>MH</t>
    </r>
    <phoneticPr fontId="10"/>
  </si>
  <si>
    <t>實施率</t>
    <phoneticPr fontId="10"/>
  </si>
  <si>
    <t>（５）品群別人時生產性</t>
    <phoneticPr fontId="10"/>
  </si>
  <si>
    <t>勞務成本</t>
    <phoneticPr fontId="10"/>
  </si>
  <si>
    <t>勞務費率</t>
    <phoneticPr fontId="10"/>
  </si>
  <si>
    <t>比例</t>
    <phoneticPr fontId="10"/>
  </si>
  <si>
    <t>前月</t>
    <phoneticPr fontId="10"/>
  </si>
  <si>
    <t>差異</t>
    <phoneticPr fontId="10"/>
  </si>
  <si>
    <t>KPI</t>
    <phoneticPr fontId="10"/>
  </si>
  <si>
    <t>當月</t>
    <phoneticPr fontId="10"/>
  </si>
  <si>
    <t>（２）ＫＰＩ達成進度</t>
    <phoneticPr fontId="10"/>
  </si>
  <si>
    <t>（７）原因別分析</t>
    <phoneticPr fontId="10"/>
  </si>
  <si>
    <t>月別</t>
    <phoneticPr fontId="10"/>
  </si>
  <si>
    <t>工廠名</t>
    <phoneticPr fontId="10"/>
  </si>
  <si>
    <t>手巻卵黄雞絞肉</t>
    <phoneticPr fontId="10"/>
  </si>
  <si>
    <t>減少暫時停止生產,人時UP</t>
    <phoneticPr fontId="10"/>
  </si>
  <si>
    <t>因組裝2食材,人員增加,產速減少</t>
    <phoneticPr fontId="10"/>
  </si>
  <si>
    <t>透由調整速度提升。</t>
    <phoneticPr fontId="10"/>
  </si>
  <si>
    <t>直巻明太子美奶茲</t>
    <phoneticPr fontId="10"/>
  </si>
  <si>
    <t>大口飯糰燒肉美奶滋</t>
    <phoneticPr fontId="10"/>
  </si>
  <si>
    <t>因摺疊增員。實施教育訓練。</t>
    <phoneticPr fontId="10"/>
  </si>
  <si>
    <t>明太子海苔便當</t>
    <phoneticPr fontId="10"/>
  </si>
  <si>
    <t>指導鋪開炒柴魚片</t>
    <phoneticPr fontId="10"/>
  </si>
  <si>
    <t>肉狀態不良，已連動開發</t>
    <phoneticPr fontId="10"/>
  </si>
  <si>
    <t>油炸白身魚</t>
    <phoneticPr fontId="10"/>
  </si>
  <si>
    <t>油調過多報廢。變更條件。</t>
    <phoneticPr fontId="10"/>
  </si>
  <si>
    <t>川燙蝦子拌醬</t>
    <phoneticPr fontId="10"/>
  </si>
  <si>
    <t>蝦子入數不足</t>
    <phoneticPr fontId="10"/>
  </si>
  <si>
    <t>特製醬汁炙燒牛五花便當</t>
    <phoneticPr fontId="10"/>
  </si>
  <si>
    <t>牛五花醬汁</t>
    <phoneticPr fontId="10"/>
  </si>
  <si>
    <t>難度有差異。調理指導。</t>
    <phoneticPr fontId="10"/>
  </si>
  <si>
    <t>因原料變更。</t>
    <phoneticPr fontId="10"/>
  </si>
  <si>
    <t>牛五花燒成</t>
    <phoneticPr fontId="10"/>
  </si>
  <si>
    <t>大口飯糰三種起司午餐肉</t>
    <phoneticPr fontId="10"/>
  </si>
  <si>
    <t>３種起司燒成</t>
    <phoneticPr fontId="10"/>
  </si>
  <si>
    <t>與燒成範本不同。</t>
    <phoneticPr fontId="10"/>
  </si>
  <si>
    <t>燒成過多，調整調理條件。</t>
    <phoneticPr fontId="10"/>
  </si>
  <si>
    <t>超用率</t>
    <phoneticPr fontId="10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</si>
  <si>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4</t>
    </r>
    <phoneticPr fontId="10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</si>
  <si>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3</t>
    </r>
    <phoneticPr fontId="10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</si>
  <si>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1</t>
    </r>
    <phoneticPr fontId="10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</si>
  <si>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2</t>
    </r>
    <phoneticPr fontId="10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</si>
  <si>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5</t>
    </r>
    <phoneticPr fontId="10"/>
  </si>
  <si>
    <t>超用率</t>
    <phoneticPr fontId="10"/>
  </si>
  <si>
    <t>日期</t>
    <phoneticPr fontId="13" type="noConversion"/>
  </si>
  <si>
    <t xml:space="preserve">半成品超用(%) </t>
  </si>
  <si>
    <t xml:space="preserve">人時生產性(個/人) </t>
  </si>
  <si>
    <t xml:space="preserve">人時生產性達成率(%) </t>
  </si>
  <si>
    <t>固定產線-導入率(固定產線數/總產線數)</t>
  </si>
  <si>
    <t>教育訓練-實施率(進度/計畫)</t>
  </si>
  <si>
    <t>品類業績</t>
    <phoneticPr fontId="13" type="noConversion"/>
  </si>
  <si>
    <t>業績(元)</t>
    <phoneticPr fontId="13" type="noConversion"/>
  </si>
  <si>
    <t>比例(%)</t>
    <phoneticPr fontId="13" type="noConversion"/>
  </si>
  <si>
    <t>三</t>
    <phoneticPr fontId="13" type="noConversion"/>
  </si>
  <si>
    <t>日</t>
    <phoneticPr fontId="13" type="noConversion"/>
  </si>
  <si>
    <r>
      <t>月</t>
    </r>
    <r>
      <rPr>
        <sz val="11"/>
        <color rgb="FF000000"/>
        <rFont val="Arial"/>
        <family val="3"/>
        <charset val="136"/>
      </rPr>
      <t>份</t>
    </r>
    <phoneticPr fontId="13" type="noConversion"/>
  </si>
  <si>
    <t>週累積</t>
    <phoneticPr fontId="13" type="noConversion"/>
  </si>
  <si>
    <t>月累積</t>
    <phoneticPr fontId="13" type="noConversion"/>
  </si>
  <si>
    <t>訂單數量(個)</t>
    <phoneticPr fontId="13" type="noConversion"/>
  </si>
  <si>
    <t>材料費(元)</t>
    <phoneticPr fontId="13" type="noConversion"/>
  </si>
  <si>
    <r>
      <t>（１）收支</t>
    </r>
    <r>
      <rPr>
        <b/>
        <sz val="22"/>
        <color rgb="FF000000"/>
        <rFont val="細明體"/>
        <family val="3"/>
        <charset val="136"/>
      </rPr>
      <t>狀</t>
    </r>
    <r>
      <rPr>
        <b/>
        <sz val="22"/>
        <color rgb="FF000000"/>
        <rFont val="Meiryo UI"/>
        <family val="2"/>
      </rPr>
      <t>況</t>
    </r>
    <phoneticPr fontId="13" type="noConversion"/>
  </si>
  <si>
    <t>材料費率（材料費／營業額）</t>
    <phoneticPr fontId="13" type="noConversion"/>
  </si>
  <si>
    <t>勞務成本（全廠人事成本）</t>
    <phoneticPr fontId="13" type="noConversion"/>
  </si>
  <si>
    <t>勞務費率（勞務成本／營業額）</t>
    <phoneticPr fontId="13" type="noConversion"/>
  </si>
  <si>
    <t>（２）ＫＰＩ達成進度</t>
    <phoneticPr fontId="10"/>
  </si>
  <si>
    <t>（２）ＫＰＩ達成進度</t>
    <phoneticPr fontId="13" type="noConversion"/>
  </si>
  <si>
    <t>週平均</t>
    <phoneticPr fontId="13" type="noConversion"/>
  </si>
  <si>
    <t>月平均</t>
    <phoneticPr fontId="13" type="noConversion"/>
  </si>
  <si>
    <t>一配</t>
    <phoneticPr fontId="13" type="noConversion"/>
  </si>
  <si>
    <t>二配</t>
    <phoneticPr fontId="13" type="noConversion"/>
  </si>
  <si>
    <t>便當</t>
  </si>
  <si>
    <t>便當</t>
    <phoneticPr fontId="13" type="noConversion"/>
  </si>
  <si>
    <t>主食</t>
  </si>
  <si>
    <t>主食</t>
    <phoneticPr fontId="13" type="noConversion"/>
  </si>
  <si>
    <t>熱食義麵</t>
  </si>
  <si>
    <t>季節調理麵</t>
  </si>
  <si>
    <t>微波小吃</t>
  </si>
  <si>
    <t>微波小吃</t>
    <phoneticPr fontId="13" type="noConversion"/>
  </si>
  <si>
    <r>
      <t>月</t>
    </r>
    <r>
      <rPr>
        <sz val="12"/>
        <color rgb="FF000000"/>
        <rFont val="Arial"/>
        <family val="3"/>
        <charset val="136"/>
      </rPr>
      <t>份</t>
    </r>
    <phoneticPr fontId="13" type="noConversion"/>
  </si>
  <si>
    <r>
      <t>18℃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飯</t>
    </r>
    <r>
      <rPr>
        <b/>
        <sz val="14"/>
        <color rgb="FF000000"/>
        <rFont val="細明體"/>
        <family val="3"/>
        <charset val="136"/>
      </rPr>
      <t>糰</t>
    </r>
    <phoneticPr fontId="13" type="noConversion"/>
  </si>
  <si>
    <r>
      <t>18℃</t>
    </r>
    <r>
      <rPr>
        <b/>
        <sz val="11.9"/>
        <color rgb="FF000000"/>
        <rFont val="Meiryo UI"/>
        <family val="2"/>
      </rPr>
      <t>-壽司手卷</t>
    </r>
    <phoneticPr fontId="13" type="noConversion"/>
  </si>
  <si>
    <r>
      <t>4℃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飯</t>
    </r>
    <r>
      <rPr>
        <b/>
        <sz val="14"/>
        <color rgb="FF000000"/>
        <rFont val="細明體"/>
        <family val="3"/>
        <charset val="136"/>
      </rPr>
      <t>糰</t>
    </r>
    <phoneticPr fontId="13" type="noConversion"/>
  </si>
  <si>
    <r>
      <t>4℃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壽司手卷</t>
    </r>
    <phoneticPr fontId="13" type="noConversion"/>
  </si>
  <si>
    <r>
      <t>熱食義</t>
    </r>
    <r>
      <rPr>
        <b/>
        <sz val="14"/>
        <color rgb="FF000000"/>
        <rFont val="細明體"/>
        <family val="3"/>
        <charset val="136"/>
      </rPr>
      <t>麵</t>
    </r>
    <phoneticPr fontId="13" type="noConversion"/>
  </si>
  <si>
    <r>
      <t>季節調理</t>
    </r>
    <r>
      <rPr>
        <b/>
        <sz val="14"/>
        <color rgb="FF000000"/>
        <rFont val="細明體"/>
        <family val="3"/>
        <charset val="136"/>
      </rPr>
      <t>麵</t>
    </r>
    <phoneticPr fontId="13" type="noConversion"/>
  </si>
  <si>
    <t>合計</t>
    <phoneticPr fontId="13" type="noConversion"/>
  </si>
  <si>
    <t>（４）訂單數量構成比</t>
    <phoneticPr fontId="10"/>
  </si>
  <si>
    <t>訂單量</t>
    <phoneticPr fontId="13" type="noConversion"/>
  </si>
  <si>
    <t>訂單數</t>
    <phoneticPr fontId="13" type="noConversion"/>
  </si>
  <si>
    <t>18℃-飯糰</t>
  </si>
  <si>
    <t>18℃-壽司手卷</t>
  </si>
  <si>
    <t>4℃-飯糰</t>
  </si>
  <si>
    <t>4℃-壽司手卷</t>
  </si>
  <si>
    <t>品群</t>
    <phoneticPr fontId="13" type="noConversion"/>
  </si>
  <si>
    <t>日期</t>
    <phoneticPr fontId="13" type="noConversion"/>
  </si>
  <si>
    <t>資料繳交</t>
    <phoneticPr fontId="13" type="noConversion"/>
  </si>
  <si>
    <t>五</t>
    <phoneticPr fontId="13" type="noConversion"/>
  </si>
  <si>
    <t>二</t>
    <phoneticPr fontId="13" type="noConversion"/>
  </si>
  <si>
    <t>四</t>
    <phoneticPr fontId="13" type="noConversion"/>
  </si>
  <si>
    <t>六</t>
    <phoneticPr fontId="13" type="noConversion"/>
  </si>
  <si>
    <t>一</t>
    <phoneticPr fontId="13" type="noConversion"/>
  </si>
  <si>
    <t>產線配置圖－每週更新</t>
    <phoneticPr fontId="13" type="noConversion"/>
  </si>
  <si>
    <t>製程不穩</t>
    <phoneticPr fontId="10"/>
  </si>
  <si>
    <t>研發設定</t>
    <phoneticPr fontId="10"/>
  </si>
  <si>
    <t>類別</t>
  </si>
  <si>
    <t>備註-商品名稱</t>
  </si>
  <si>
    <t>品群</t>
    <phoneticPr fontId="10"/>
  </si>
  <si>
    <t>品群</t>
    <phoneticPr fontId="10"/>
  </si>
  <si>
    <t>原物料規格</t>
    <phoneticPr fontId="10"/>
  </si>
  <si>
    <t>其他原因</t>
    <phoneticPr fontId="10"/>
  </si>
  <si>
    <t>類型</t>
    <phoneticPr fontId="13" type="noConversion"/>
  </si>
  <si>
    <t>作業原因</t>
    <phoneticPr fontId="10"/>
  </si>
  <si>
    <t>類型</t>
    <phoneticPr fontId="13" type="noConversion"/>
  </si>
  <si>
    <t>原料原因</t>
    <phoneticPr fontId="10"/>
  </si>
  <si>
    <t>個／MH</t>
    <phoneticPr fontId="10"/>
  </si>
  <si>
    <r>
      <t>（１）收支</t>
    </r>
    <r>
      <rPr>
        <b/>
        <sz val="12"/>
        <color theme="1"/>
        <rFont val="Arial"/>
        <family val="3"/>
        <charset val="136"/>
      </rPr>
      <t>狀</t>
    </r>
    <r>
      <rPr>
        <b/>
        <sz val="12"/>
        <color theme="1"/>
        <rFont val="Meiryo UI"/>
        <family val="2"/>
      </rPr>
      <t>況</t>
    </r>
    <phoneticPr fontId="10"/>
  </si>
  <si>
    <r>
      <t>（５）品群別人時生</t>
    </r>
    <r>
      <rPr>
        <b/>
        <sz val="12"/>
        <color theme="1"/>
        <rFont val="Arial"/>
        <family val="3"/>
        <charset val="136"/>
      </rPr>
      <t>產</t>
    </r>
    <r>
      <rPr>
        <b/>
        <sz val="12"/>
        <color theme="1"/>
        <rFont val="Meiryo UI"/>
        <family val="2"/>
      </rPr>
      <t>性</t>
    </r>
    <phoneticPr fontId="10"/>
  </si>
  <si>
    <t>項目</t>
    <phoneticPr fontId="13" type="noConversion"/>
  </si>
  <si>
    <r>
      <t>人時性(</t>
    </r>
    <r>
      <rPr>
        <sz val="10"/>
        <color theme="1"/>
        <rFont val="細明體"/>
        <family val="3"/>
        <charset val="136"/>
      </rPr>
      <t>個</t>
    </r>
    <r>
      <rPr>
        <sz val="10"/>
        <color theme="1"/>
        <rFont val="Meiryo UI"/>
        <family val="2"/>
      </rPr>
      <t>/</t>
    </r>
    <r>
      <rPr>
        <sz val="10"/>
        <color theme="1"/>
        <rFont val="細明體"/>
        <family val="3"/>
        <charset val="136"/>
      </rPr>
      <t>月均)</t>
    </r>
    <r>
      <rPr>
        <sz val="10"/>
        <color theme="1"/>
        <rFont val="Meiryo UI"/>
        <family val="2"/>
      </rPr>
      <t xml:space="preserve"> </t>
    </r>
    <phoneticPr fontId="10"/>
  </si>
  <si>
    <r>
      <t>人時</t>
    </r>
    <r>
      <rPr>
        <sz val="10"/>
        <color theme="1"/>
        <rFont val="細明體"/>
        <family val="3"/>
        <charset val="136"/>
      </rPr>
      <t>達成率</t>
    </r>
    <r>
      <rPr>
        <sz val="10"/>
        <color theme="1"/>
        <rFont val="Meiryo UI"/>
        <family val="2"/>
      </rPr>
      <t>(%/</t>
    </r>
    <r>
      <rPr>
        <sz val="10"/>
        <color theme="1"/>
        <rFont val="細明體"/>
        <family val="3"/>
        <charset val="136"/>
      </rPr>
      <t>月均)</t>
    </r>
    <r>
      <rPr>
        <sz val="10"/>
        <color theme="1"/>
        <rFont val="Meiryo UI"/>
        <family val="2"/>
      </rPr>
      <t xml:space="preserve"> </t>
    </r>
    <phoneticPr fontId="10"/>
  </si>
  <si>
    <t>半成品-報廢(%)</t>
    <phoneticPr fontId="10"/>
  </si>
  <si>
    <t>半成品-超用(%)</t>
    <phoneticPr fontId="10"/>
  </si>
  <si>
    <r>
      <t>固定</t>
    </r>
    <r>
      <rPr>
        <sz val="10"/>
        <color theme="1"/>
        <rFont val="細明體"/>
        <family val="3"/>
        <charset val="136"/>
      </rPr>
      <t>產</t>
    </r>
    <r>
      <rPr>
        <sz val="10"/>
        <color theme="1"/>
        <rFont val="Meiryo UI"/>
        <family val="2"/>
      </rPr>
      <t>線-</t>
    </r>
    <r>
      <rPr>
        <sz val="10"/>
        <color theme="1"/>
        <rFont val="細明體"/>
        <family val="3"/>
        <charset val="136"/>
      </rPr>
      <t>導入率(%)</t>
    </r>
    <phoneticPr fontId="10"/>
  </si>
  <si>
    <r>
      <t>教育訓練-</t>
    </r>
    <r>
      <rPr>
        <sz val="10"/>
        <color theme="1"/>
        <rFont val="細明體"/>
        <family val="3"/>
        <charset val="136"/>
      </rPr>
      <t>實施率(%)</t>
    </r>
    <phoneticPr fontId="10"/>
  </si>
  <si>
    <r>
      <t>生</t>
    </r>
    <r>
      <rPr>
        <b/>
        <sz val="20"/>
        <color rgb="FF000000"/>
        <rFont val="細明體"/>
        <family val="3"/>
        <charset val="136"/>
      </rPr>
      <t>產</t>
    </r>
    <r>
      <rPr>
        <b/>
        <sz val="20"/>
        <color rgb="FF000000"/>
        <rFont val="Meiryo UI"/>
        <family val="2"/>
      </rPr>
      <t>管理報表</t>
    </r>
    <phoneticPr fontId="13" type="noConversion"/>
  </si>
  <si>
    <r>
      <t>（６）人時生</t>
    </r>
    <r>
      <rPr>
        <b/>
        <sz val="12"/>
        <color rgb="FF000000"/>
        <rFont val="Arial"/>
        <family val="3"/>
        <charset val="136"/>
      </rPr>
      <t>產</t>
    </r>
    <r>
      <rPr>
        <b/>
        <sz val="12"/>
        <color rgb="FF000000"/>
        <rFont val="Meiryo UI"/>
        <family val="2"/>
      </rPr>
      <t>性前幾名品項</t>
    </r>
    <phoneticPr fontId="13" type="noConversion"/>
  </si>
  <si>
    <r>
      <t>18℃-飯</t>
    </r>
    <r>
      <rPr>
        <sz val="11"/>
        <color theme="1"/>
        <rFont val="Arial"/>
        <family val="2"/>
      </rPr>
      <t>糰</t>
    </r>
  </si>
  <si>
    <r>
      <t>4℃-飯</t>
    </r>
    <r>
      <rPr>
        <sz val="11"/>
        <color theme="1"/>
        <rFont val="Arial"/>
        <family val="3"/>
        <charset val="136"/>
      </rPr>
      <t>糰</t>
    </r>
  </si>
  <si>
    <r>
      <t>熱食義</t>
    </r>
    <r>
      <rPr>
        <sz val="11"/>
        <color theme="1"/>
        <rFont val="Arial"/>
        <family val="2"/>
      </rPr>
      <t>麵</t>
    </r>
  </si>
  <si>
    <r>
      <t>季節調理</t>
    </r>
    <r>
      <rPr>
        <sz val="10"/>
        <color rgb="FF000000"/>
        <rFont val="Arial"/>
        <family val="2"/>
      </rPr>
      <t>麵</t>
    </r>
  </si>
  <si>
    <t>（８）報廢原因別前幾名品項</t>
    <phoneticPr fontId="13" type="noConversion"/>
  </si>
  <si>
    <r>
      <t>調理多</t>
    </r>
    <r>
      <rPr>
        <sz val="11"/>
        <color theme="1"/>
        <rFont val="Arial"/>
        <family val="3"/>
        <charset val="136"/>
      </rPr>
      <t>產</t>
    </r>
    <phoneticPr fontId="10"/>
  </si>
  <si>
    <t>原物料規格</t>
  </si>
  <si>
    <t>研發設定</t>
  </si>
  <si>
    <r>
      <rPr>
        <sz val="11"/>
        <color theme="1"/>
        <rFont val="細明體"/>
        <family val="3"/>
        <charset val="136"/>
      </rPr>
      <t>步</t>
    </r>
    <r>
      <rPr>
        <sz val="11"/>
        <color theme="1"/>
        <rFont val="Meiryo UI"/>
        <family val="2"/>
      </rPr>
      <t>留因素</t>
    </r>
    <phoneticPr fontId="10"/>
  </si>
  <si>
    <r>
      <t>（9）</t>
    </r>
    <r>
      <rPr>
        <b/>
        <sz val="12"/>
        <color rgb="FF000000"/>
        <rFont val="細明體"/>
        <family val="3"/>
        <charset val="136"/>
      </rPr>
      <t>步</t>
    </r>
    <r>
      <rPr>
        <b/>
        <sz val="12"/>
        <color rgb="FF000000"/>
        <rFont val="Meiryo UI"/>
        <family val="2"/>
      </rPr>
      <t>留因素</t>
    </r>
    <phoneticPr fontId="13" type="noConversion"/>
  </si>
  <si>
    <r>
      <t>調理多</t>
    </r>
    <r>
      <rPr>
        <sz val="11"/>
        <color theme="1"/>
        <rFont val="Arial"/>
        <family val="3"/>
        <charset val="136"/>
      </rPr>
      <t>產</t>
    </r>
    <phoneticPr fontId="10"/>
  </si>
  <si>
    <r>
      <rPr>
        <sz val="11"/>
        <color theme="1"/>
        <rFont val="細明體"/>
        <family val="3"/>
        <charset val="136"/>
      </rPr>
      <t>步</t>
    </r>
    <r>
      <rPr>
        <sz val="11"/>
        <color theme="1"/>
        <rFont val="Meiryo UI"/>
        <family val="2"/>
      </rPr>
      <t>留因素</t>
    </r>
    <phoneticPr fontId="10"/>
  </si>
  <si>
    <r>
      <t>4℃-飯</t>
    </r>
    <r>
      <rPr>
        <sz val="10"/>
        <color theme="1"/>
        <rFont val="細明體"/>
        <family val="3"/>
        <charset val="136"/>
      </rPr>
      <t>糰</t>
    </r>
    <r>
      <rPr>
        <sz val="10"/>
        <color theme="1"/>
        <rFont val="Meiryo UI"/>
        <family val="2"/>
      </rPr>
      <t>(065)</t>
    </r>
    <phoneticPr fontId="13" type="noConversion"/>
  </si>
  <si>
    <t>4℃-壽司手卷(077)</t>
  </si>
  <si>
    <t>4℃-壽司手卷(077)</t>
    <phoneticPr fontId="13" type="noConversion"/>
  </si>
  <si>
    <t>18℃-壽司手卷(071,072,075,076)</t>
  </si>
  <si>
    <t>18℃-壽司手卷(071,072,075,076)</t>
    <phoneticPr fontId="13" type="noConversion"/>
  </si>
  <si>
    <t>主食(091,092,093,094,095)</t>
  </si>
  <si>
    <t>主食(091,092,093,094,095)</t>
    <phoneticPr fontId="13" type="noConversion"/>
  </si>
  <si>
    <t>便當(083)</t>
  </si>
  <si>
    <t>便當(083)</t>
    <phoneticPr fontId="13" type="noConversion"/>
  </si>
  <si>
    <r>
      <t>18℃-飯A15:A23</t>
    </r>
    <r>
      <rPr>
        <sz val="10"/>
        <color theme="1"/>
        <rFont val="細明體"/>
        <family val="3"/>
        <charset val="136"/>
      </rPr>
      <t>糰</t>
    </r>
    <r>
      <rPr>
        <sz val="10"/>
        <color theme="1"/>
        <rFont val="Meiryo UI"/>
        <family val="2"/>
      </rPr>
      <t>(061,063)</t>
    </r>
    <phoneticPr fontId="13" type="noConversion"/>
  </si>
  <si>
    <r>
      <t>熱食義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(122,123,124,126)</t>
    </r>
    <phoneticPr fontId="13" type="noConversion"/>
  </si>
  <si>
    <r>
      <t>季節調理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(111,112)</t>
    </r>
    <phoneticPr fontId="13" type="noConversion"/>
  </si>
  <si>
    <t>微波小吃(153,154,155)</t>
  </si>
  <si>
    <t>微波小吃(153,154,155)</t>
    <phoneticPr fontId="13" type="noConversion"/>
  </si>
  <si>
    <t>18℃-飯A15:A23糰(061,063)</t>
  </si>
  <si>
    <t>4℃-飯糰(065)</t>
  </si>
  <si>
    <t>熱食義麵(122,123,124,126)</t>
  </si>
  <si>
    <t>季節調理麵(111,112)</t>
  </si>
  <si>
    <r>
      <t>生</t>
    </r>
    <r>
      <rPr>
        <b/>
        <sz val="20"/>
        <color rgb="FF000000"/>
        <rFont val="細明體"/>
        <family val="3"/>
        <charset val="136"/>
      </rPr>
      <t>產</t>
    </r>
    <r>
      <rPr>
        <b/>
        <sz val="20"/>
        <color rgb="FF000000"/>
        <rFont val="Meiryo UI"/>
        <family val="2"/>
      </rPr>
      <t>管理報表</t>
    </r>
    <phoneticPr fontId="13" type="noConversion"/>
  </si>
  <si>
    <r>
      <t>（７）</t>
    </r>
    <r>
      <rPr>
        <b/>
        <sz val="12"/>
        <color rgb="FF000000"/>
        <rFont val="Meiryo UI"/>
        <family val="2"/>
      </rPr>
      <t>原因別分析</t>
    </r>
    <phoneticPr fontId="13" type="noConversion"/>
  </si>
  <si>
    <t>業績金額</t>
    <phoneticPr fontId="13" type="noConversion"/>
  </si>
  <si>
    <t>項目</t>
    <phoneticPr fontId="13" type="noConversion"/>
  </si>
  <si>
    <r>
      <t>調理多</t>
    </r>
    <r>
      <rPr>
        <b/>
        <sz val="14"/>
        <color theme="1"/>
        <rFont val="Arial"/>
        <family val="3"/>
        <charset val="136"/>
      </rPr>
      <t>產</t>
    </r>
    <phoneticPr fontId="10"/>
  </si>
  <si>
    <t>製程不穩</t>
    <phoneticPr fontId="10"/>
  </si>
  <si>
    <t>抓樣不穩</t>
    <phoneticPr fontId="10"/>
  </si>
  <si>
    <t>比例</t>
    <phoneticPr fontId="10"/>
  </si>
  <si>
    <t>報廢</t>
    <phoneticPr fontId="10"/>
  </si>
  <si>
    <t>超用</t>
    <phoneticPr fontId="10"/>
  </si>
  <si>
    <t>原物料規格</t>
    <phoneticPr fontId="10"/>
  </si>
  <si>
    <t>研發設定</t>
    <phoneticPr fontId="10"/>
  </si>
  <si>
    <t>其他原因</t>
    <phoneticPr fontId="10"/>
  </si>
  <si>
    <r>
      <rPr>
        <b/>
        <sz val="14"/>
        <color rgb="FF000000"/>
        <rFont val="Arial"/>
        <family val="3"/>
        <charset val="136"/>
      </rPr>
      <t>步</t>
    </r>
    <r>
      <rPr>
        <b/>
        <sz val="14"/>
        <color rgb="FF000000"/>
        <rFont val="Meiryo UI"/>
        <family val="2"/>
      </rPr>
      <t>留不足</t>
    </r>
    <phoneticPr fontId="13" type="noConversion"/>
  </si>
  <si>
    <t>展開量高於１０5％</t>
    <phoneticPr fontId="10"/>
  </si>
  <si>
    <t>18℃-壽司手卷(071,072,075,076)</t>
    <phoneticPr fontId="13" type="noConversion"/>
  </si>
  <si>
    <t>鮮食品群番</t>
    <phoneticPr fontId="13" type="noConversion"/>
  </si>
  <si>
    <t>06</t>
  </si>
  <si>
    <t>飯糰</t>
  </si>
  <si>
    <t>10</t>
  </si>
  <si>
    <t>三明治</t>
  </si>
  <si>
    <t>061</t>
  </si>
  <si>
    <t>飯糰一配</t>
  </si>
  <si>
    <t>106</t>
  </si>
  <si>
    <t>三明治４度Ｃ</t>
  </si>
  <si>
    <t>063</t>
  </si>
  <si>
    <t>飯糰二配</t>
  </si>
  <si>
    <t>107</t>
  </si>
  <si>
    <t>調理麵包４度Ｃ</t>
  </si>
  <si>
    <t>065</t>
  </si>
  <si>
    <t>飯糰４度Ｃ</t>
  </si>
  <si>
    <t>11</t>
  </si>
  <si>
    <t>07</t>
  </si>
  <si>
    <t>壽司、手卷</t>
  </si>
  <si>
    <t>111</t>
  </si>
  <si>
    <t>涼麵</t>
  </si>
  <si>
    <t>071</t>
  </si>
  <si>
    <t>壽司一配</t>
  </si>
  <si>
    <t>112</t>
  </si>
  <si>
    <t>熱湯麵</t>
  </si>
  <si>
    <t>072</t>
  </si>
  <si>
    <t>手卷一配</t>
  </si>
  <si>
    <t>12</t>
  </si>
  <si>
    <t>075</t>
  </si>
  <si>
    <t>壽司二配</t>
  </si>
  <si>
    <t>122</t>
  </si>
  <si>
    <t>熱食麵</t>
  </si>
  <si>
    <t>076</t>
  </si>
  <si>
    <t>手卷２配</t>
  </si>
  <si>
    <t>123</t>
  </si>
  <si>
    <t>077</t>
  </si>
  <si>
    <t>４℃壽司手卷</t>
  </si>
  <si>
    <t>124</t>
  </si>
  <si>
    <t>義大利麵</t>
  </si>
  <si>
    <t>08</t>
  </si>
  <si>
    <t>126</t>
  </si>
  <si>
    <t>冷凍調理麵</t>
  </si>
  <si>
    <t>083</t>
  </si>
  <si>
    <t>便當４℃</t>
  </si>
  <si>
    <t>14</t>
  </si>
  <si>
    <t>沙拉</t>
  </si>
  <si>
    <t>09</t>
  </si>
  <si>
    <t>微波主食</t>
  </si>
  <si>
    <t>141</t>
  </si>
  <si>
    <t>091</t>
  </si>
  <si>
    <t>中式主食二配</t>
  </si>
  <si>
    <t>15</t>
  </si>
  <si>
    <t>小菜、微波</t>
  </si>
  <si>
    <t>092</t>
  </si>
  <si>
    <t>西式主食二配</t>
  </si>
  <si>
    <t>153</t>
  </si>
  <si>
    <t>湯品</t>
  </si>
  <si>
    <t>093</t>
  </si>
  <si>
    <t>日式主食</t>
  </si>
  <si>
    <t>154</t>
  </si>
  <si>
    <t>滷味</t>
  </si>
  <si>
    <t>094</t>
  </si>
  <si>
    <t>粥品</t>
  </si>
  <si>
    <t>155</t>
  </si>
  <si>
    <t>特色小吃</t>
  </si>
  <si>
    <t>095</t>
  </si>
  <si>
    <t>其他飯類</t>
  </si>
  <si>
    <t>品類訂單量</t>
    <phoneticPr fontId="13" type="noConversion"/>
  </si>
  <si>
    <t>（3）業績構成比</t>
    <phoneticPr fontId="13" type="noConversion"/>
  </si>
  <si>
    <t>（4）訂單數量構成比</t>
    <phoneticPr fontId="13" type="noConversion"/>
  </si>
  <si>
    <t>展開量高於１０5％</t>
    <phoneticPr fontId="10"/>
  </si>
  <si>
    <t>展開量高於１０5％</t>
    <phoneticPr fontId="10"/>
  </si>
  <si>
    <t>展開量高於１０5％</t>
    <phoneticPr fontId="10"/>
  </si>
  <si>
    <t xml:space="preserve">半成品報廢(%) </t>
    <phoneticPr fontId="13" type="noConversion"/>
  </si>
  <si>
    <t>月別</t>
    <phoneticPr fontId="10"/>
  </si>
  <si>
    <t>週別</t>
    <phoneticPr fontId="13" type="noConversion"/>
  </si>
  <si>
    <t>當週</t>
  </si>
  <si>
    <t>當週</t>
    <phoneticPr fontId="10"/>
  </si>
  <si>
    <t>前週</t>
  </si>
  <si>
    <t>前週</t>
    <phoneticPr fontId="13" type="noConversion"/>
  </si>
  <si>
    <t>前週</t>
    <phoneticPr fontId="10"/>
  </si>
  <si>
    <t>月平均人時性</t>
  </si>
  <si>
    <t>月平均人時性</t>
    <phoneticPr fontId="13" type="noConversion"/>
  </si>
  <si>
    <t>KPI</t>
    <phoneticPr fontId="13" type="noConversion"/>
  </si>
  <si>
    <t>18℃-飯糰(061,063)</t>
  </si>
  <si>
    <t>二</t>
    <phoneticPr fontId="13" type="noConversion"/>
  </si>
  <si>
    <t>三</t>
    <phoneticPr fontId="13" type="noConversion"/>
  </si>
  <si>
    <t>四</t>
    <phoneticPr fontId="13" type="noConversion"/>
  </si>
  <si>
    <t>五</t>
    <phoneticPr fontId="13" type="noConversion"/>
  </si>
  <si>
    <t>六</t>
    <phoneticPr fontId="13" type="noConversion"/>
  </si>
  <si>
    <t>日</t>
    <phoneticPr fontId="13" type="noConversion"/>
  </si>
  <si>
    <t>一</t>
    <phoneticPr fontId="13" type="noConversion"/>
  </si>
  <si>
    <r>
      <t>4℃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飯</t>
    </r>
    <r>
      <rPr>
        <b/>
        <sz val="14"/>
        <color rgb="FF000000"/>
        <rFont val="細明體"/>
        <family val="3"/>
        <charset val="136"/>
      </rPr>
      <t>糰</t>
    </r>
    <phoneticPr fontId="13" type="noConversion"/>
  </si>
  <si>
    <t>生產課</t>
  </si>
  <si>
    <t>其他</t>
  </si>
  <si>
    <t>調配課</t>
  </si>
  <si>
    <t>共用類</t>
  </si>
  <si>
    <t>切-炙燒炭火燒肉片</t>
  </si>
  <si>
    <t>營業額(元)</t>
    <phoneticPr fontId="13" type="noConversion"/>
  </si>
  <si>
    <t>營業額</t>
    <phoneticPr fontId="13" type="noConversion"/>
  </si>
  <si>
    <t>經典肉鬆飯糰</t>
  </si>
  <si>
    <t>蔬食鮪魚飯糰</t>
  </si>
  <si>
    <t>壹號醬炙烤牛飯糰</t>
  </si>
  <si>
    <t>鹽蔥燒肉飯糰</t>
  </si>
  <si>
    <t>雞肉飯飯糰</t>
  </si>
  <si>
    <t>優質池上飯</t>
  </si>
  <si>
    <t>二配川味麻婆燒豆腐燴飯</t>
  </si>
  <si>
    <t>新招牌腿排便當</t>
  </si>
  <si>
    <t>健身G肉餐盒</t>
  </si>
  <si>
    <t>烤蛋白餐盒</t>
  </si>
  <si>
    <t>椒麻香蔥雞涼拌麵</t>
  </si>
  <si>
    <t>台式麻醬涼麵</t>
  </si>
  <si>
    <t>大滿足香辣涼麵</t>
  </si>
  <si>
    <t>大滿足麻醬涼麵</t>
  </si>
  <si>
    <t>糖燻豬耳絲</t>
  </si>
  <si>
    <t>韓式蒜味炸雞</t>
  </si>
  <si>
    <t>古早味炒炊粉</t>
  </si>
  <si>
    <t>麻油雞飯糰</t>
  </si>
  <si>
    <t>淡麗清酒蒸蛤蜊烤飯糰</t>
  </si>
  <si>
    <t>大口蒜味香腸燒肉雙拼飯糰</t>
  </si>
  <si>
    <t>大口義式香草雞腿排飯糰</t>
  </si>
  <si>
    <t>晉欣廠</t>
    <phoneticPr fontId="13" type="noConversion"/>
  </si>
  <si>
    <r>
      <t>生</t>
    </r>
    <r>
      <rPr>
        <b/>
        <sz val="20"/>
        <color rgb="FF000000"/>
        <rFont val="微軟正黑體"/>
        <family val="2"/>
        <charset val="136"/>
      </rPr>
      <t>產</t>
    </r>
    <r>
      <rPr>
        <b/>
        <sz val="20"/>
        <color rgb="FF000000"/>
        <rFont val="Meiryo UI"/>
        <family val="2"/>
        <charset val="128"/>
      </rPr>
      <t>管理報表</t>
    </r>
    <phoneticPr fontId="13" type="noConversion"/>
  </si>
  <si>
    <t>累計</t>
    <phoneticPr fontId="13" type="noConversion"/>
  </si>
  <si>
    <t>製程不穩</t>
  </si>
  <si>
    <t>平均人時性</t>
    <phoneticPr fontId="13" type="noConversion"/>
  </si>
  <si>
    <t>排名</t>
    <phoneticPr fontId="13" type="noConversion"/>
  </si>
  <si>
    <t>實際</t>
    <phoneticPr fontId="13" type="noConversion"/>
  </si>
  <si>
    <t>品群</t>
    <phoneticPr fontId="13" type="noConversion"/>
  </si>
  <si>
    <t>計畫</t>
    <phoneticPr fontId="13" type="noConversion"/>
  </si>
  <si>
    <t>實績</t>
    <phoneticPr fontId="13" type="noConversion"/>
  </si>
  <si>
    <t>日報</t>
    <phoneticPr fontId="13" type="noConversion"/>
  </si>
  <si>
    <t>產線配置圖</t>
    <phoneticPr fontId="13" type="noConversion"/>
  </si>
  <si>
    <t>生產實績</t>
    <phoneticPr fontId="13" type="noConversion"/>
  </si>
  <si>
    <t>人數</t>
    <phoneticPr fontId="13" type="noConversion"/>
  </si>
  <si>
    <t>產能／時</t>
    <phoneticPr fontId="13" type="noConversion"/>
  </si>
  <si>
    <t>人時性</t>
    <phoneticPr fontId="13" type="noConversion"/>
  </si>
  <si>
    <r>
      <t>4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飯糰</t>
    </r>
    <phoneticPr fontId="13" type="noConversion"/>
  </si>
  <si>
    <t>商品名稱</t>
    <phoneticPr fontId="13" type="noConversion"/>
  </si>
  <si>
    <r>
      <rPr>
        <sz val="10"/>
        <color rgb="FF000000"/>
        <rFont val="Arial"/>
        <family val="3"/>
        <charset val="136"/>
        <scheme val="minor"/>
      </rPr>
      <t>4℃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3" type="noConversion"/>
  </si>
  <si>
    <t>熱食義麵</t>
    <phoneticPr fontId="13" type="noConversion"/>
  </si>
  <si>
    <r>
      <t>人時生</t>
    </r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性</t>
    </r>
    <phoneticPr fontId="10"/>
  </si>
  <si>
    <t>前週比</t>
    <phoneticPr fontId="13" type="noConversion"/>
  </si>
  <si>
    <t>主要原因&amp;對策</t>
    <phoneticPr fontId="10"/>
  </si>
  <si>
    <t>排名</t>
    <phoneticPr fontId="10"/>
  </si>
  <si>
    <r>
      <t>18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3" type="noConversion"/>
  </si>
  <si>
    <t>便當</t>
    <phoneticPr fontId="13" type="noConversion"/>
  </si>
  <si>
    <t>燻之味-糖燻雞胗</t>
  </si>
  <si>
    <t>品群</t>
    <phoneticPr fontId="13" type="noConversion"/>
  </si>
  <si>
    <t>商品名稱</t>
    <phoneticPr fontId="13" type="noConversion"/>
  </si>
  <si>
    <t>計畫</t>
    <phoneticPr fontId="13" type="noConversion"/>
  </si>
  <si>
    <t>平均人時性</t>
    <phoneticPr fontId="13" type="noConversion"/>
  </si>
  <si>
    <t>實績</t>
    <phoneticPr fontId="13" type="noConversion"/>
  </si>
  <si>
    <t>排名</t>
    <phoneticPr fontId="13" type="noConversion"/>
  </si>
  <si>
    <t>日報</t>
    <phoneticPr fontId="13" type="noConversion"/>
  </si>
  <si>
    <t>實際</t>
    <phoneticPr fontId="13" type="noConversion"/>
  </si>
  <si>
    <t>產線配置圖</t>
    <phoneticPr fontId="13" type="noConversion"/>
  </si>
  <si>
    <t>生產實績</t>
    <phoneticPr fontId="13" type="noConversion"/>
  </si>
  <si>
    <t>人數</t>
    <phoneticPr fontId="13" type="noConversion"/>
  </si>
  <si>
    <t>產能／時</t>
    <phoneticPr fontId="13" type="noConversion"/>
  </si>
  <si>
    <t>人時性</t>
    <phoneticPr fontId="13" type="noConversion"/>
  </si>
  <si>
    <r>
      <t>18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3" type="noConversion"/>
  </si>
  <si>
    <r>
      <t>4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飯糰</t>
    </r>
    <phoneticPr fontId="13" type="noConversion"/>
  </si>
  <si>
    <r>
      <rPr>
        <sz val="10"/>
        <color rgb="FF000000"/>
        <rFont val="Arial"/>
        <family val="3"/>
        <charset val="136"/>
        <scheme val="minor"/>
      </rPr>
      <t>4℃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3" type="noConversion"/>
  </si>
  <si>
    <t>便當</t>
    <phoneticPr fontId="13" type="noConversion"/>
  </si>
  <si>
    <t>熱食義麵</t>
    <phoneticPr fontId="13" type="noConversion"/>
  </si>
  <si>
    <t>品群</t>
    <phoneticPr fontId="13" type="noConversion"/>
  </si>
  <si>
    <t>商品名稱</t>
    <phoneticPr fontId="13" type="noConversion"/>
  </si>
  <si>
    <t>計畫</t>
    <phoneticPr fontId="13" type="noConversion"/>
  </si>
  <si>
    <t>平均人時性</t>
    <phoneticPr fontId="13" type="noConversion"/>
  </si>
  <si>
    <t>實績</t>
    <phoneticPr fontId="13" type="noConversion"/>
  </si>
  <si>
    <t>排名</t>
    <phoneticPr fontId="13" type="noConversion"/>
  </si>
  <si>
    <t>日報</t>
    <phoneticPr fontId="13" type="noConversion"/>
  </si>
  <si>
    <t>實際</t>
    <phoneticPr fontId="13" type="noConversion"/>
  </si>
  <si>
    <t>產線配置圖</t>
    <phoneticPr fontId="13" type="noConversion"/>
  </si>
  <si>
    <t>生產實績</t>
    <phoneticPr fontId="13" type="noConversion"/>
  </si>
  <si>
    <t>人數</t>
    <phoneticPr fontId="13" type="noConversion"/>
  </si>
  <si>
    <t>產能／時</t>
    <phoneticPr fontId="13" type="noConversion"/>
  </si>
  <si>
    <t>人時性</t>
    <phoneticPr fontId="13" type="noConversion"/>
  </si>
  <si>
    <t>主食</t>
    <phoneticPr fontId="13" type="noConversion"/>
  </si>
  <si>
    <t>微波小吃</t>
    <phoneticPr fontId="13" type="noConversion"/>
  </si>
  <si>
    <t>季節調理麵</t>
    <phoneticPr fontId="13" type="noConversion"/>
  </si>
  <si>
    <r>
      <t>8</t>
    </r>
    <r>
      <rPr>
        <sz val="10"/>
        <color rgb="FF000000"/>
        <rFont val="細明體"/>
        <family val="3"/>
        <charset val="136"/>
      </rPr>
      <t>月</t>
    </r>
    <phoneticPr fontId="13" type="noConversion"/>
  </si>
  <si>
    <r>
      <t>9</t>
    </r>
    <r>
      <rPr>
        <sz val="10"/>
        <color rgb="FF000000"/>
        <rFont val="細明體"/>
        <family val="3"/>
        <charset val="136"/>
      </rPr>
      <t>月</t>
    </r>
    <phoneticPr fontId="13" type="noConversion"/>
  </si>
  <si>
    <r>
      <t>10月</t>
    </r>
    <r>
      <rPr>
        <sz val="10"/>
        <color rgb="FF000000"/>
        <rFont val="細明體"/>
        <family val="3"/>
        <charset val="136"/>
      </rPr>
      <t/>
    </r>
  </si>
  <si>
    <r>
      <t>11月</t>
    </r>
    <r>
      <rPr>
        <sz val="10"/>
        <color rgb="FF000000"/>
        <rFont val="細明體"/>
        <family val="3"/>
        <charset val="136"/>
      </rPr>
      <t/>
    </r>
  </si>
  <si>
    <r>
      <t>12月</t>
    </r>
    <r>
      <rPr>
        <sz val="10"/>
        <color rgb="FF000000"/>
        <rFont val="細明體"/>
        <family val="3"/>
        <charset val="136"/>
      </rPr>
      <t/>
    </r>
  </si>
  <si>
    <t>糖燻野郎起司炙燒牛烤飯糰</t>
  </si>
  <si>
    <t>品群</t>
    <phoneticPr fontId="13" type="noConversion"/>
  </si>
  <si>
    <t>商品名稱</t>
    <phoneticPr fontId="13" type="noConversion"/>
  </si>
  <si>
    <t>計畫</t>
    <phoneticPr fontId="13" type="noConversion"/>
  </si>
  <si>
    <t>日報</t>
    <phoneticPr fontId="13" type="noConversion"/>
  </si>
  <si>
    <t>實際</t>
    <phoneticPr fontId="13" type="noConversion"/>
  </si>
  <si>
    <t>平均人時性</t>
    <phoneticPr fontId="13" type="noConversion"/>
  </si>
  <si>
    <t>生產實績</t>
    <phoneticPr fontId="13" type="noConversion"/>
  </si>
  <si>
    <t>人時性</t>
    <phoneticPr fontId="13" type="noConversion"/>
  </si>
  <si>
    <t>產能／時</t>
    <phoneticPr fontId="13" type="noConversion"/>
  </si>
  <si>
    <t>排名</t>
    <phoneticPr fontId="13" type="noConversion"/>
  </si>
  <si>
    <t>人數</t>
    <phoneticPr fontId="13" type="noConversion"/>
  </si>
  <si>
    <t>季節調理麵</t>
    <phoneticPr fontId="13" type="noConversion"/>
  </si>
  <si>
    <t>品群</t>
    <phoneticPr fontId="13" type="noConversion"/>
  </si>
  <si>
    <t>微波小吃</t>
    <phoneticPr fontId="13" type="noConversion"/>
  </si>
  <si>
    <t>增加線上抽秤頻率</t>
  </si>
  <si>
    <r>
      <t>（５）品群別人時生</t>
    </r>
    <r>
      <rPr>
        <b/>
        <sz val="12"/>
        <color theme="1"/>
        <rFont val="細明體"/>
        <family val="3"/>
        <charset val="136"/>
      </rPr>
      <t>產</t>
    </r>
    <r>
      <rPr>
        <b/>
        <sz val="12"/>
        <color theme="1"/>
        <rFont val="Meiryo UI"/>
        <family val="2"/>
      </rPr>
      <t>性</t>
    </r>
    <phoneticPr fontId="10"/>
  </si>
  <si>
    <t>一</t>
  </si>
  <si>
    <t>二</t>
  </si>
  <si>
    <t>三</t>
  </si>
  <si>
    <t>四</t>
  </si>
  <si>
    <t>五</t>
  </si>
  <si>
    <t>六</t>
  </si>
  <si>
    <t>日</t>
  </si>
  <si>
    <r>
      <t>月</t>
    </r>
    <r>
      <rPr>
        <sz val="11"/>
        <color rgb="FFFF0000"/>
        <rFont val="細明體"/>
        <family val="3"/>
        <charset val="136"/>
      </rPr>
      <t>平均</t>
    </r>
    <phoneticPr fontId="13" type="noConversion"/>
  </si>
  <si>
    <t>品群</t>
    <phoneticPr fontId="13" type="noConversion"/>
  </si>
  <si>
    <t>商品名稱</t>
    <phoneticPr fontId="13" type="noConversion"/>
  </si>
  <si>
    <t>計畫</t>
    <phoneticPr fontId="13" type="noConversion"/>
  </si>
  <si>
    <t>平均人時性</t>
    <phoneticPr fontId="13" type="noConversion"/>
  </si>
  <si>
    <t>實績</t>
    <phoneticPr fontId="13" type="noConversion"/>
  </si>
  <si>
    <t>排名</t>
    <phoneticPr fontId="13" type="noConversion"/>
  </si>
  <si>
    <t>日報</t>
    <phoneticPr fontId="13" type="noConversion"/>
  </si>
  <si>
    <t>實際</t>
    <phoneticPr fontId="13" type="noConversion"/>
  </si>
  <si>
    <t>產線配置圖</t>
    <phoneticPr fontId="13" type="noConversion"/>
  </si>
  <si>
    <t>生產實績</t>
    <phoneticPr fontId="13" type="noConversion"/>
  </si>
  <si>
    <t>人數</t>
    <phoneticPr fontId="13" type="noConversion"/>
  </si>
  <si>
    <t>產能／時</t>
    <phoneticPr fontId="13" type="noConversion"/>
  </si>
  <si>
    <t>人時性</t>
    <phoneticPr fontId="13" type="noConversion"/>
  </si>
  <si>
    <r>
      <rPr>
        <sz val="10"/>
        <color rgb="FF000000"/>
        <rFont val="Arial"/>
        <family val="3"/>
        <charset val="136"/>
        <scheme val="minor"/>
      </rPr>
      <t>4℃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3" type="noConversion"/>
  </si>
  <si>
    <t>便當</t>
    <phoneticPr fontId="13" type="noConversion"/>
  </si>
  <si>
    <t>季節調理麵</t>
    <phoneticPr fontId="13" type="noConversion"/>
  </si>
  <si>
    <t>微波小吃</t>
    <phoneticPr fontId="13" type="noConversion"/>
  </si>
  <si>
    <t>品群</t>
    <phoneticPr fontId="13" type="noConversion"/>
  </si>
  <si>
    <r>
      <t>18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3" type="noConversion"/>
  </si>
  <si>
    <t>產線配置圖－月表</t>
    <phoneticPr fontId="13" type="noConversion"/>
  </si>
  <si>
    <t>品群</t>
    <phoneticPr fontId="13" type="noConversion"/>
  </si>
  <si>
    <t>商品名稱</t>
    <phoneticPr fontId="13" type="noConversion"/>
  </si>
  <si>
    <t>計畫</t>
    <phoneticPr fontId="13" type="noConversion"/>
  </si>
  <si>
    <t>平均人時性</t>
    <phoneticPr fontId="13" type="noConversion"/>
  </si>
  <si>
    <t>實績</t>
    <phoneticPr fontId="13" type="noConversion"/>
  </si>
  <si>
    <t>排名</t>
    <phoneticPr fontId="13" type="noConversion"/>
  </si>
  <si>
    <t>產線配置圖</t>
    <phoneticPr fontId="13" type="noConversion"/>
  </si>
  <si>
    <t>人數</t>
    <phoneticPr fontId="13" type="noConversion"/>
  </si>
  <si>
    <t>產能／時</t>
    <phoneticPr fontId="13" type="noConversion"/>
  </si>
  <si>
    <t>人時性</t>
    <phoneticPr fontId="13" type="noConversion"/>
  </si>
  <si>
    <r>
      <t>18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飯糰</t>
    </r>
    <phoneticPr fontId="13" type="noConversion"/>
  </si>
  <si>
    <r>
      <t>18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3" type="noConversion"/>
  </si>
  <si>
    <t>產線配置圖－月表</t>
    <phoneticPr fontId="13" type="noConversion"/>
  </si>
  <si>
    <r>
      <rPr>
        <sz val="10"/>
        <color rgb="FF000000"/>
        <rFont val="Arial"/>
        <family val="3"/>
        <charset val="136"/>
        <scheme val="minor"/>
      </rPr>
      <t>4℃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3" type="noConversion"/>
  </si>
  <si>
    <t>主食</t>
    <phoneticPr fontId="13" type="noConversion"/>
  </si>
  <si>
    <t>便當</t>
    <phoneticPr fontId="13" type="noConversion"/>
  </si>
  <si>
    <t>季節調理麵</t>
    <phoneticPr fontId="13" type="noConversion"/>
  </si>
  <si>
    <t>微波小吃</t>
    <phoneticPr fontId="13" type="noConversion"/>
  </si>
  <si>
    <t>海陸雙拼肉肉餐盒</t>
  </si>
  <si>
    <t>取樣不穩</t>
  </si>
  <si>
    <t>類型</t>
    <phoneticPr fontId="13" type="noConversion"/>
  </si>
  <si>
    <r>
      <t>生</t>
    </r>
    <r>
      <rPr>
        <b/>
        <sz val="20"/>
        <color rgb="FF000000"/>
        <rFont val="細明體"/>
        <family val="3"/>
        <charset val="136"/>
      </rPr>
      <t>產</t>
    </r>
    <r>
      <rPr>
        <b/>
        <sz val="20"/>
        <color rgb="FF000000"/>
        <rFont val="Meiryo UI"/>
        <family val="2"/>
      </rPr>
      <t>管理報表</t>
    </r>
    <phoneticPr fontId="13" type="noConversion"/>
  </si>
  <si>
    <t>（８）超用原因別前幾名品項</t>
    <phoneticPr fontId="13" type="noConversion"/>
  </si>
  <si>
    <t>展開量高於１０5％</t>
    <phoneticPr fontId="10"/>
  </si>
  <si>
    <r>
      <t>調理多</t>
    </r>
    <r>
      <rPr>
        <sz val="11"/>
        <color theme="1"/>
        <rFont val="Arial"/>
        <family val="3"/>
        <charset val="136"/>
      </rPr>
      <t>產</t>
    </r>
    <phoneticPr fontId="10"/>
  </si>
  <si>
    <t>製程不穩</t>
    <phoneticPr fontId="10"/>
  </si>
  <si>
    <t>取樣不穩</t>
    <phoneticPr fontId="10"/>
  </si>
  <si>
    <t>原物料規格</t>
    <phoneticPr fontId="10"/>
  </si>
  <si>
    <t>研發設定</t>
    <phoneticPr fontId="10"/>
  </si>
  <si>
    <t>其他原因</t>
    <phoneticPr fontId="10"/>
  </si>
  <si>
    <r>
      <rPr>
        <sz val="11"/>
        <color theme="1"/>
        <rFont val="細明體"/>
        <family val="3"/>
        <charset val="136"/>
      </rPr>
      <t>步</t>
    </r>
    <r>
      <rPr>
        <sz val="11"/>
        <color theme="1"/>
        <rFont val="Meiryo UI"/>
        <family val="2"/>
      </rPr>
      <t>留因素</t>
    </r>
    <phoneticPr fontId="10"/>
  </si>
  <si>
    <t>原物料大小、厚薄差異</t>
  </si>
  <si>
    <t>其他原因</t>
  </si>
  <si>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能</t>
    </r>
    <phoneticPr fontId="10"/>
  </si>
  <si>
    <t>兩粒飯糰(鮪魚.焦糖鮭魚)</t>
  </si>
  <si>
    <t>二配泰式綠咖哩雞</t>
  </si>
  <si>
    <t>香腸腿排雙拼便當</t>
  </si>
  <si>
    <t>日式蕎麥沾麵</t>
  </si>
  <si>
    <t>確認備料量是否正確，調整出料率</t>
  </si>
  <si>
    <t>回饋研發，後續開發列入考量，設定放料量範圍。</t>
  </si>
  <si>
    <t>增加線上抽秤頻率，維持人員放料手感</t>
  </si>
  <si>
    <t>品群</t>
    <phoneticPr fontId="13" type="noConversion"/>
  </si>
  <si>
    <t>商品名稱</t>
    <phoneticPr fontId="13" type="noConversion"/>
  </si>
  <si>
    <t>計畫</t>
    <phoneticPr fontId="13" type="noConversion"/>
  </si>
  <si>
    <t>平均人時性</t>
    <phoneticPr fontId="13" type="noConversion"/>
  </si>
  <si>
    <t>實績</t>
    <phoneticPr fontId="13" type="noConversion"/>
  </si>
  <si>
    <t>排名</t>
    <phoneticPr fontId="13" type="noConversion"/>
  </si>
  <si>
    <t>日報</t>
    <phoneticPr fontId="13" type="noConversion"/>
  </si>
  <si>
    <t>實際</t>
    <phoneticPr fontId="13" type="noConversion"/>
  </si>
  <si>
    <t>產線配置圖</t>
    <phoneticPr fontId="13" type="noConversion"/>
  </si>
  <si>
    <t>生產實績</t>
    <phoneticPr fontId="13" type="noConversion"/>
  </si>
  <si>
    <t>人數</t>
    <phoneticPr fontId="13" type="noConversion"/>
  </si>
  <si>
    <t>產能／時</t>
    <phoneticPr fontId="13" type="noConversion"/>
  </si>
  <si>
    <t>人時性</t>
    <phoneticPr fontId="13" type="noConversion"/>
  </si>
  <si>
    <r>
      <t>18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3" type="noConversion"/>
  </si>
  <si>
    <r>
      <t>4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飯糰</t>
    </r>
    <phoneticPr fontId="13" type="noConversion"/>
  </si>
  <si>
    <t>品群</t>
  </si>
  <si>
    <t>商品名稱</t>
  </si>
  <si>
    <t>計畫</t>
  </si>
  <si>
    <t>平均人時性</t>
  </si>
  <si>
    <t>實績</t>
  </si>
  <si>
    <t>排名</t>
  </si>
  <si>
    <t>日報</t>
  </si>
  <si>
    <t>產線配置圖</t>
  </si>
  <si>
    <t>人數</t>
  </si>
  <si>
    <t>產能／時</t>
  </si>
  <si>
    <t>人時性</t>
  </si>
  <si>
    <t>品群</t>
    <phoneticPr fontId="10"/>
  </si>
  <si>
    <t>排名</t>
    <phoneticPr fontId="10"/>
  </si>
  <si>
    <t>品群</t>
    <phoneticPr fontId="13" type="noConversion"/>
  </si>
  <si>
    <t>平均人時性</t>
    <phoneticPr fontId="13" type="noConversion"/>
  </si>
  <si>
    <r>
      <t>18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3" type="noConversion"/>
  </si>
  <si>
    <t>烤飯糰1</t>
    <phoneticPr fontId="13" type="noConversion"/>
  </si>
  <si>
    <t>烤飯糰2</t>
    <phoneticPr fontId="13" type="noConversion"/>
  </si>
  <si>
    <t>人數</t>
    <phoneticPr fontId="10"/>
  </si>
  <si>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能</t>
    </r>
    <phoneticPr fontId="10"/>
  </si>
  <si>
    <r>
      <t>人時生</t>
    </r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性</t>
    </r>
    <phoneticPr fontId="10"/>
  </si>
  <si>
    <t>前週比</t>
    <phoneticPr fontId="13" type="noConversion"/>
  </si>
  <si>
    <t>主要原因&amp;對策</t>
    <phoneticPr fontId="10"/>
  </si>
  <si>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能</t>
    </r>
    <phoneticPr fontId="10"/>
  </si>
  <si>
    <r>
      <t>人時生</t>
    </r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性</t>
    </r>
    <phoneticPr fontId="10"/>
  </si>
  <si>
    <t>前週比</t>
    <phoneticPr fontId="13" type="noConversion"/>
  </si>
  <si>
    <t>排名</t>
    <phoneticPr fontId="13" type="noConversion"/>
  </si>
  <si>
    <t>好吃雞肉便當</t>
  </si>
  <si>
    <t>長野稻荷壽司</t>
  </si>
  <si>
    <t>大口歐風焙煎咖哩漢堡排飯糰</t>
  </si>
  <si>
    <t>二配香辣醬蒜味香腸蛋炒飯</t>
  </si>
  <si>
    <t>媽媽煮藝-香滷牛肚絲</t>
  </si>
  <si>
    <t>壹號醬壽喜燒牛丼</t>
  </si>
  <si>
    <t>炒壽喜燒牛五花</t>
  </si>
  <si>
    <t>原物料的大小長短、油花分布不同導致相同賣相的需求下用量不一樣。</t>
  </si>
  <si>
    <t>冰杓放料，冰杓滿度差異、半成品均勻度影響放料量</t>
  </si>
  <si>
    <t>半成品使用前先攪拌均勻。生產前及生產中確認設定及實際放料狀況</t>
  </si>
  <si>
    <t/>
  </si>
  <si>
    <t>Q彈燕麥飯</t>
  </si>
  <si>
    <t>炸醬炒泡麵</t>
  </si>
  <si>
    <t>鐵道滷排便當</t>
  </si>
  <si>
    <t>單價高</t>
  </si>
  <si>
    <t>鮭鮪海饌雙手卷</t>
  </si>
  <si>
    <t>經典人氣雙手卷</t>
  </si>
  <si>
    <t>和風涓絲冷麵</t>
  </si>
  <si>
    <t>二配兩粒飯糰(鮪魚.焦糖鮭魚)</t>
  </si>
  <si>
    <r>
      <t>（７）</t>
    </r>
    <r>
      <rPr>
        <b/>
        <sz val="12"/>
        <color rgb="FF000000"/>
        <rFont val="Meiryo UI"/>
        <family val="2"/>
      </rPr>
      <t>原因別分析</t>
    </r>
    <phoneticPr fontId="13" type="noConversion"/>
  </si>
  <si>
    <t>%</t>
  </si>
  <si>
    <t>元</t>
  </si>
  <si>
    <t>展開量高於需求量</t>
  </si>
  <si>
    <t>百分比</t>
  </si>
  <si>
    <t>黑胡椒洋蔥豬飯糰</t>
  </si>
  <si>
    <t>二配香烤魚排青醬燉飯</t>
  </si>
  <si>
    <t>懷舊滷雙拼便當</t>
  </si>
  <si>
    <t>黑胡椒毛豆</t>
  </si>
  <si>
    <t>毛豆三兄弟</t>
  </si>
  <si>
    <t>椒鹽檸檬鯖魚飯糰</t>
  </si>
  <si>
    <t>生產前先行撥散半成品，便於人員放樣</t>
  </si>
  <si>
    <t>慢燉滷肉油蔥粄條</t>
  </si>
  <si>
    <t>嘉義崇文白醋涼麵</t>
  </si>
  <si>
    <t>菜梗、葉差異及分布不均，影響人員放料手感</t>
  </si>
  <si>
    <t>燻之味-糖燻雞腿</t>
  </si>
  <si>
    <t>香辣醬雞肉炒飯飯糰</t>
  </si>
  <si>
    <t>韓式黑嚕嚕炸醬麵</t>
  </si>
  <si>
    <t>半成品有結塊的狀況，影響人員放料手感</t>
  </si>
  <si>
    <t>炙烤醬香燒豚飯</t>
  </si>
  <si>
    <t>確認備料量</t>
  </si>
  <si>
    <t>二配西班牙風味海鮮燉飯</t>
  </si>
  <si>
    <t>原物料的大小、長短、厚薄分布差異導致取樣易有不穩定的狀況</t>
  </si>
  <si>
    <t>二配西班牙烤雞腿丁(115年)</t>
  </si>
  <si>
    <t>類型</t>
  </si>
  <si>
    <t>半成品名</t>
  </si>
  <si>
    <t>單價</t>
  </si>
  <si>
    <t>報廢率</t>
  </si>
  <si>
    <t>數量</t>
  </si>
  <si>
    <t>前幾名合計比例</t>
  </si>
  <si>
    <t>前幾名合計金額</t>
  </si>
  <si>
    <t>增加放料抽秤頻率</t>
  </si>
  <si>
    <t>超用率</t>
  </si>
  <si>
    <t>調理多產</t>
  </si>
  <si>
    <t>賣相設定</t>
  </si>
  <si>
    <t>回饋研發，後續開發列入考量。</t>
  </si>
  <si>
    <t>報廢前二十名紀錄表</t>
  </si>
  <si>
    <t>月別</t>
  </si>
  <si>
    <t>排序</t>
  </si>
  <si>
    <t>半成品名稱</t>
  </si>
  <si>
    <t>報廢金額
(元)</t>
  </si>
  <si>
    <t>半成品單價
(元/kg)</t>
  </si>
  <si>
    <t>訂單需求
(kg/個)</t>
  </si>
  <si>
    <t>生管展開</t>
  </si>
  <si>
    <t>生產實際產出</t>
  </si>
  <si>
    <t>生產補單</t>
  </si>
  <si>
    <t>總產出</t>
  </si>
  <si>
    <t>報廢</t>
  </si>
  <si>
    <t>超用A(多展)</t>
  </si>
  <si>
    <t>超用B(多展-報廢)</t>
  </si>
  <si>
    <t>分析原因</t>
  </si>
  <si>
    <t>原因說明</t>
  </si>
  <si>
    <t>後續對策</t>
  </si>
  <si>
    <t>次數</t>
  </si>
  <si>
    <t>分析原因（件）</t>
  </si>
  <si>
    <t>kg/個</t>
  </si>
  <si>
    <t>原因分析</t>
  </si>
  <si>
    <t>總件數</t>
  </si>
  <si>
    <t>準備課</t>
  </si>
  <si>
    <r>
      <rPr>
        <b/>
        <sz val="16"/>
        <color rgb="FF000000"/>
        <rFont val="Microsoft JhengHei"/>
        <family val="2"/>
      </rPr>
      <t>報廢</t>
    </r>
    <r>
      <rPr>
        <b/>
        <sz val="16"/>
        <color rgb="FF000000"/>
        <rFont val="Meiryo UI"/>
        <family val="2"/>
      </rPr>
      <t>前二十名紀</t>
    </r>
    <r>
      <rPr>
        <b/>
        <sz val="16"/>
        <color rgb="FF000000"/>
        <rFont val="細明體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  <phoneticPr fontId="13" type="noConversion"/>
  </si>
  <si>
    <t>超用前二十名紀錄表</t>
  </si>
  <si>
    <t>超用金額
(元)</t>
  </si>
  <si>
    <r>
      <rPr>
        <b/>
        <sz val="16"/>
        <color rgb="FF000000"/>
        <rFont val="Microsoft JhengHei"/>
        <family val="2"/>
      </rPr>
      <t>超用</t>
    </r>
    <r>
      <rPr>
        <b/>
        <sz val="16"/>
        <color rgb="FF000000"/>
        <rFont val="Meiryo UI"/>
        <family val="2"/>
      </rPr>
      <t>前二十名紀</t>
    </r>
    <r>
      <rPr>
        <b/>
        <sz val="16"/>
        <color rgb="FF000000"/>
        <rFont val="細明體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  <phoneticPr fontId="13" type="noConversion"/>
  </si>
  <si>
    <t>大口法式蕈菇起司雞排飯糰</t>
  </si>
  <si>
    <t>比例</t>
  </si>
  <si>
    <t>項目</t>
  </si>
  <si>
    <t>超用</t>
  </si>
  <si>
    <t>二配玉米濃湯焗烤飯</t>
  </si>
  <si>
    <t>二配美味蟹煲</t>
  </si>
  <si>
    <t>二配蒸紅雪蟹肉</t>
  </si>
  <si>
    <t>業績金額</t>
  </si>
  <si>
    <t>川燙青花菜</t>
  </si>
  <si>
    <t>二配烤鹹蛋黃碎</t>
  </si>
  <si>
    <t>炒鼎泰豐香辣醬</t>
  </si>
  <si>
    <t>蒜炒紅K高麗菜(111年)</t>
  </si>
  <si>
    <t>青木瓜雞絲泰泰雙手卷</t>
  </si>
  <si>
    <t>打拋風味豬肉拌麵</t>
  </si>
  <si>
    <t>▼1</t>
    <phoneticPr fontId="10"/>
  </si>
  <si>
    <t>▼2</t>
    <phoneticPr fontId="10"/>
  </si>
  <si>
    <t>▼3</t>
    <phoneticPr fontId="10"/>
  </si>
  <si>
    <t>▼4</t>
    <phoneticPr fontId="10"/>
  </si>
  <si>
    <t>▼5</t>
    <phoneticPr fontId="10"/>
  </si>
  <si>
    <t>－</t>
    <phoneticPr fontId="13" type="noConversion"/>
  </si>
  <si>
    <t>▲</t>
    <phoneticPr fontId="13" type="noConversion"/>
  </si>
  <si>
    <t>▼</t>
    <phoneticPr fontId="13" type="noConversion"/>
  </si>
  <si>
    <t>對比上週差異小。</t>
    <phoneticPr fontId="13" type="noConversion"/>
  </si>
  <si>
    <t>二配油亮蒜味香腸片</t>
  </si>
  <si>
    <t>二配排骨蛋炒飯</t>
  </si>
  <si>
    <t>韓式泡菜冷麵</t>
  </si>
  <si>
    <t>紹興醉雞風味飯糰(區)</t>
  </si>
  <si>
    <t>切-究極燒肉片</t>
  </si>
  <si>
    <t>二配蒸-全熟雞肉絲CL(升)</t>
  </si>
  <si>
    <t>二配雞肉飯飯糰</t>
  </si>
  <si>
    <t>益活雞胸補力餐盒</t>
  </si>
  <si>
    <t>大口益活烤雞蛋白青醬飯糰</t>
  </si>
  <si>
    <t>愛恨椒芝麵</t>
  </si>
  <si>
    <t>嫩烤魚排佐花椰菜義大利麵</t>
  </si>
  <si>
    <t>二配叉燒蛋炒飯</t>
  </si>
  <si>
    <t>醬燒炙烤牛飯糰</t>
  </si>
  <si>
    <t>沙茶牛肉炒麵</t>
  </si>
  <si>
    <t>炒沙茶牛肉</t>
  </si>
  <si>
    <t>卵黃牛挽肉飯糰</t>
  </si>
  <si>
    <t>農產品原物料的大小、長短、厚薄分布差異導致取樣易有不穩定的狀況</t>
  </si>
  <si>
    <t>北海道秋鮭親子飯糰</t>
  </si>
  <si>
    <t>鮪魚飯糰</t>
  </si>
  <si>
    <t>贅沢鮭魚肚飯糰</t>
  </si>
  <si>
    <t>熟成紅鮭飯糰</t>
  </si>
  <si>
    <t>明太子龍蝦風味沙拉飯糰</t>
  </si>
  <si>
    <t>碳烤燒肉飯飯糰(區)</t>
  </si>
  <si>
    <t>鮭魚奶油醬油飯糰</t>
  </si>
  <si>
    <t>明太子生鮭飯糰(區)</t>
  </si>
  <si>
    <t>筋子銀鮭飯糰</t>
  </si>
  <si>
    <t>二配芝麻香鬆飯糰</t>
  </si>
  <si>
    <t>二配三杯醬爆菇菇飯糰</t>
  </si>
  <si>
    <t>二配大飯糰韓式蒜烤豬五花</t>
  </si>
  <si>
    <t>生鱈魚子鮭魚飯糰</t>
  </si>
  <si>
    <t>鐵板滑蛋炸豬排丼</t>
  </si>
  <si>
    <t>日式炙烤親子丼</t>
  </si>
  <si>
    <t>二配里肌豬排可可咖哩歐姆蛋飯</t>
  </si>
  <si>
    <t>二配黃金雞排蘑菇白醬歐姆蛋飯</t>
  </si>
  <si>
    <t>二配金咖哩濃厚辛口咖哩飯</t>
  </si>
  <si>
    <t>二配金咖哩果香甘口咖哩飯</t>
  </si>
  <si>
    <t>韓式泡菜豬肉豆腐丼飯</t>
  </si>
  <si>
    <t>二配厚香料優格咖哩雞排飯</t>
  </si>
  <si>
    <t>二配打拋風味豬肉飯</t>
  </si>
  <si>
    <t>嫩烤香料雞胸排蔬滿盒</t>
  </si>
  <si>
    <t>本週無此類別品項</t>
    <phoneticPr fontId="13" type="noConversion"/>
  </si>
  <si>
    <t>二配鼎泰豐-煮麻婆豆腐(113年)</t>
  </si>
  <si>
    <t>廢棄週合計</t>
  </si>
  <si>
    <t>超用週合計</t>
  </si>
  <si>
    <t>日期</t>
  </si>
  <si>
    <t>營業額</t>
  </si>
  <si>
    <t>報廢額</t>
  </si>
  <si>
    <t>超用額A</t>
  </si>
  <si>
    <t>超用率A</t>
  </si>
  <si>
    <t>超用額B</t>
  </si>
  <si>
    <t>超用率B</t>
  </si>
  <si>
    <t>二配起司棉被海陸白醬焗烤飯</t>
  </si>
  <si>
    <t>壹號醬泡菜鹽蔥雞豚雙拼</t>
  </si>
  <si>
    <t>二配港式滑蛋牛肉燴飯</t>
  </si>
  <si>
    <t>飯糰排名前段品項，皆使用GKK生產的單餡三角飯糰，產能（機台產速）及人時生產性差異小。對比上週人時生產性差異小。</t>
    <phoneticPr fontId="13" type="noConversion"/>
  </si>
  <si>
    <t>前20名原因分析</t>
  </si>
  <si>
    <t>炒蔥花碎蛋</t>
  </si>
  <si>
    <t>二配歐姆蛋(111年版)</t>
  </si>
  <si>
    <t>人工抓樣放料差異</t>
  </si>
  <si>
    <t>生產前、中、後增加放樣抽秤，穩定人員放料量</t>
  </si>
  <si>
    <t>晉欣廠半成品管理日別總表</t>
  </si>
  <si>
    <t>報廢率
KPI 0.25%</t>
  </si>
  <si>
    <t>營業額合計</t>
  </si>
  <si>
    <t>調理加熱製程時間長短及糖鹽度判讀影響最終出料</t>
  </si>
  <si>
    <t>反應調理課級確認製程，穩定加熱時間</t>
  </si>
  <si>
    <t>二配炒蠔油牛肉片</t>
  </si>
  <si>
    <t>熊本麥味噌雞肉飯糰</t>
  </si>
  <si>
    <t>熊本麥味噌炸豬排丼飯</t>
  </si>
  <si>
    <t>烤飯糰商品皆僅有單一半成品，並直接入機台包裝，使用人數相同，產能及人時生產性相近。對比上月差異小。</t>
    <phoneticPr fontId="13" type="noConversion"/>
  </si>
  <si>
    <t>9/29-10/05</t>
  </si>
  <si>
    <t>煮慢燉滷肉</t>
  </si>
  <si>
    <t>煮愛恨芝麻醬</t>
  </si>
  <si>
    <t>二配蟹粉燴汁(115年)</t>
  </si>
  <si>
    <t>二配泰式椰香綠咖哩醬</t>
  </si>
  <si>
    <t>二配炒解凍11N培根片</t>
  </si>
  <si>
    <t>陽光蔬彩雙手卷</t>
  </si>
  <si>
    <t>113年煮義式洋蔥</t>
  </si>
  <si>
    <t>烤清酒雞腿片</t>
  </si>
  <si>
    <t>拌bongo鮭魚沙拉</t>
  </si>
  <si>
    <t>半成品結凍強度影響擠醬機出料量</t>
  </si>
  <si>
    <t>生產前及生產中確認設定及實際出料狀況</t>
  </si>
  <si>
    <t>二配油煮蛤蜊-肉</t>
  </si>
  <si>
    <t>113年奶油蕈菇起司醬</t>
  </si>
  <si>
    <t>10月總報廢合計</t>
    <phoneticPr fontId="13" type="noConversion"/>
  </si>
  <si>
    <t>10月總報廢率</t>
    <phoneticPr fontId="13" type="noConversion"/>
  </si>
  <si>
    <t>10月總超用A合計金額
(多展)</t>
    <phoneticPr fontId="13" type="noConversion"/>
  </si>
  <si>
    <t>10月總超用率A
(多展)</t>
    <phoneticPr fontId="13" type="noConversion"/>
  </si>
  <si>
    <t>10月總超用B合計金額
(多展-報廢)</t>
    <phoneticPr fontId="13" type="noConversion"/>
  </si>
  <si>
    <t>10月總超用率B
(多展-報廢)</t>
    <phoneticPr fontId="13" type="noConversion"/>
  </si>
  <si>
    <t>W1</t>
    <phoneticPr fontId="13" type="noConversion"/>
  </si>
  <si>
    <t>品群</t>
    <phoneticPr fontId="13" type="noConversion"/>
  </si>
  <si>
    <t>品群</t>
    <phoneticPr fontId="13" type="noConversion"/>
  </si>
  <si>
    <t>兩支飯糰商品皆為手工包裝，人時生產性較低且接近。對比上週差異小。</t>
    <phoneticPr fontId="13" type="noConversion"/>
  </si>
  <si>
    <t>對比上週差異小</t>
    <phoneticPr fontId="13" type="noConversion"/>
  </si>
  <si>
    <t>訂單量下降，產能及人時生產性對比上週下降。</t>
    <phoneticPr fontId="13" type="noConversion"/>
  </si>
  <si>
    <t>品項皆採用機台化生產作業，機台產速相同，產能及人時生產性差異小。對比上週差異小。</t>
    <phoneticPr fontId="13" type="noConversion"/>
  </si>
  <si>
    <t>10/06-10/12</t>
  </si>
  <si>
    <t>二配川燙辣椒圓片</t>
  </si>
  <si>
    <t>二配炒辣椒圓片</t>
  </si>
  <si>
    <t>開丼-醬色烤洋蔥絲</t>
  </si>
  <si>
    <t>炒紅K碎蛋</t>
  </si>
  <si>
    <t>煮愛恨椒麻湯凍</t>
  </si>
  <si>
    <t>辣炒筍尾</t>
  </si>
  <si>
    <t>清洗蔥花</t>
  </si>
  <si>
    <t>切烤雞胸肉</t>
  </si>
  <si>
    <t>蒸益活雞胸丁</t>
  </si>
  <si>
    <t>二配蒸鼎泰豐香辣醬</t>
  </si>
  <si>
    <t>蒜炒紅K油菜</t>
  </si>
  <si>
    <t>炒沙茶油菜胡蘿蔔絲</t>
  </si>
  <si>
    <t>蒸-醬香雞肉絲CL(全)</t>
  </si>
  <si>
    <t>二配濃辛辣咖哩醬(114年)</t>
  </si>
  <si>
    <t>115年炙燒牛五花</t>
  </si>
  <si>
    <t>混合蛋黃醬</t>
  </si>
  <si>
    <t>二配生鱈魚子鮭魚飯糰</t>
  </si>
  <si>
    <t>二配拌bongo鮭魚沙拉</t>
  </si>
  <si>
    <t>二配炒奶香玉米</t>
  </si>
  <si>
    <t>備料異常</t>
  </si>
  <si>
    <t>反應調理課級，確認製程及備料量</t>
  </si>
  <si>
    <t>二配果香甘口咖哩醬(114年)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</si>
</sst>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6">
    <numFmt numFmtId="42" formatCode="_-&quot;$&quot;* #,##0_-;\-&quot;$&quot;* #,##0_-;_-&quot;$&quot;* &quot;-&quot;_-;_-@_-"/>
    <numFmt numFmtId="44" formatCode="_-&quot;$&quot;* #,##0.00_-;\-&quot;$&quot;* #,##0.00_-;_-&quot;$&quot;* &quot;-&quot;??_-;_-@_-"/>
    <numFmt numFmtId="43" formatCode="_-* #,##0.00_-;\-* #,##0.00_-;_-* &quot;-&quot;??_-;_-@_-"/>
    <numFmt numFmtId="176" formatCode="&quot;NT$&quot;#,##0.0"/>
    <numFmt numFmtId="177" formatCode="0&quot;個&quot;"/>
    <numFmt numFmtId="178" formatCode="&quot;NT$&quot;#,##0.0_);[Red]\(&quot;NT$&quot;#,##0.0\)"/>
    <numFmt numFmtId="179" formatCode="m&quot;月&quot;d&quot;日&quot;"/>
    <numFmt numFmtId="180" formatCode="0.0&quot;個&quot;"/>
    <numFmt numFmtId="181" formatCode="0.0_);[Red]\(0.0\)"/>
    <numFmt numFmtId="182" formatCode="&quot;NT$&quot;#,##0.00_);[Red]\(&quot;NT$&quot;#,##0.00\)"/>
    <numFmt numFmtId="183" formatCode="0.0"/>
    <numFmt numFmtId="184" formatCode="0,000"/>
    <numFmt numFmtId="185" formatCode="0.0%"/>
    <numFmt numFmtId="186" formatCode="&quot;NT$&quot;#,##0_);[Red]\(&quot;NT$&quot;#,##0\)"/>
    <numFmt numFmtId="187" formatCode="&quot;NT$&quot;#,##0"/>
    <numFmt numFmtId="188" formatCode="_-* #,##0_-;\-* #,##0_-;_-* &quot;-&quot;??_-;_-@_-"/>
    <numFmt numFmtId="189" formatCode="0.000%"/>
    <numFmt numFmtId="190" formatCode="_-* #,##0.0_-;\-* #,##0.0_-;_-* &quot;-&quot;??_-;_-@_-"/>
    <numFmt numFmtId="191" formatCode="#,##0.0"/>
    <numFmt numFmtId="192" formatCode="#,##0.0_ "/>
    <numFmt numFmtId="193" formatCode="m/d\ aaaa"/>
    <numFmt numFmtId="194" formatCode="0,000&quot;元&quot;"/>
    <numFmt numFmtId="195" formatCode="000&quot;元&quot;"/>
    <numFmt numFmtId="196" formatCode="0.00_)"/>
    <numFmt numFmtId="197" formatCode="#,##0_ "/>
    <numFmt numFmtId="198" formatCode="#,##0.00_ "/>
  </numFmts>
  <fonts count="130">
    <font>
      <sz val="10"/>
      <color rgb="FF000000"/>
      <name val="Arial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1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name val="Arial"/>
      <family val="2"/>
    </font>
    <font>
      <sz val="6"/>
      <name val="Arial"/>
      <family val="3"/>
      <charset val="128"/>
      <scheme val="minor"/>
    </font>
    <font>
      <sz val="11"/>
      <color theme="1"/>
      <name val="Arial"/>
      <family val="3"/>
      <charset val="136"/>
      <scheme val="minor"/>
    </font>
    <font>
      <sz val="10"/>
      <color theme="1"/>
      <name val="Arial"/>
      <family val="3"/>
      <charset val="136"/>
      <scheme val="minor"/>
    </font>
    <font>
      <sz val="9"/>
      <name val="Arial"/>
      <family val="3"/>
      <charset val="136"/>
      <scheme val="minor"/>
    </font>
    <font>
      <sz val="10"/>
      <color rgb="FF000000"/>
      <name val="Meiryo UI"/>
      <family val="2"/>
      <charset val="128"/>
    </font>
    <font>
      <sz val="11"/>
      <color rgb="FF000000"/>
      <name val="Meiryo UI"/>
      <family val="2"/>
      <charset val="128"/>
    </font>
    <font>
      <sz val="11"/>
      <color rgb="FF000000"/>
      <name val="Arial"/>
      <family val="3"/>
      <charset val="136"/>
    </font>
    <font>
      <sz val="11"/>
      <color rgb="FF000000"/>
      <name val="細明體"/>
      <family val="3"/>
      <charset val="136"/>
    </font>
    <font>
      <sz val="18"/>
      <color rgb="FF000000"/>
      <name val="Meiryo UI"/>
      <family val="2"/>
      <charset val="128"/>
    </font>
    <font>
      <b/>
      <sz val="22"/>
      <color rgb="FF000000"/>
      <name val="Meiryo UI"/>
      <family val="2"/>
      <charset val="128"/>
    </font>
    <font>
      <b/>
      <sz val="22"/>
      <color rgb="FF000000"/>
      <name val="細明體"/>
      <family val="3"/>
      <charset val="136"/>
    </font>
    <font>
      <sz val="12"/>
      <color rgb="FF000000"/>
      <name val="Arial"/>
      <family val="3"/>
      <charset val="136"/>
    </font>
    <font>
      <sz val="11"/>
      <color theme="1"/>
      <name val="細明體"/>
      <family val="3"/>
      <charset val="136"/>
    </font>
    <font>
      <b/>
      <sz val="14"/>
      <color rgb="FF000000"/>
      <name val="細明體"/>
      <family val="3"/>
      <charset val="136"/>
    </font>
    <font>
      <sz val="10"/>
      <color rgb="FF000000"/>
      <name val="Arial"/>
      <family val="2"/>
      <scheme val="minor"/>
    </font>
    <font>
      <b/>
      <sz val="22"/>
      <color rgb="FF000000"/>
      <name val="Meiryo UI"/>
      <family val="2"/>
    </font>
    <font>
      <sz val="10"/>
      <color rgb="FF000000"/>
      <name val="Meiryo UI"/>
      <family val="2"/>
    </font>
    <font>
      <sz val="11"/>
      <color rgb="FF000000"/>
      <name val="Meiryo UI"/>
      <family val="2"/>
    </font>
    <font>
      <sz val="11"/>
      <color theme="1"/>
      <name val="Meiryo UI"/>
      <family val="2"/>
    </font>
    <font>
      <sz val="12"/>
      <color rgb="FF000000"/>
      <name val="Meiryo UI"/>
      <family val="2"/>
    </font>
    <font>
      <b/>
      <sz val="14"/>
      <color rgb="FF000000"/>
      <name val="Meiryo UI"/>
      <family val="2"/>
    </font>
    <font>
      <b/>
      <sz val="11.9"/>
      <color rgb="FF000000"/>
      <name val="Meiryo UI"/>
      <family val="2"/>
    </font>
    <font>
      <b/>
      <sz val="16"/>
      <color rgb="FF000000"/>
      <name val="Meiryo UI"/>
      <family val="2"/>
    </font>
    <font>
      <sz val="10"/>
      <color rgb="FF000000"/>
      <name val="Arial"/>
      <family val="3"/>
      <charset val="136"/>
      <scheme val="minor"/>
    </font>
    <font>
      <b/>
      <sz val="12"/>
      <color rgb="FF000000"/>
      <name val="Arial"/>
      <family val="3"/>
      <charset val="136"/>
      <scheme val="minor"/>
    </font>
    <font>
      <b/>
      <sz val="12"/>
      <color rgb="FF000000"/>
      <name val="Arial"/>
      <family val="2"/>
      <scheme val="minor"/>
    </font>
    <font>
      <sz val="12"/>
      <color theme="1"/>
      <name val="Meiryo UI"/>
      <family val="2"/>
    </font>
    <font>
      <sz val="12"/>
      <color theme="1"/>
      <name val="微軟正黑體"/>
      <family val="2"/>
      <charset val="136"/>
    </font>
    <font>
      <sz val="12"/>
      <name val="Meiryo UI"/>
      <family val="2"/>
    </font>
    <font>
      <b/>
      <sz val="16"/>
      <color rgb="FF000000"/>
      <name val="Meiryo UI"/>
      <family val="2"/>
      <charset val="128"/>
    </font>
    <font>
      <b/>
      <sz val="14"/>
      <color rgb="FF000000"/>
      <name val="Arial"/>
      <family val="3"/>
      <charset val="136"/>
    </font>
    <font>
      <b/>
      <sz val="20"/>
      <color rgb="FF000000"/>
      <name val="Meiryo UI"/>
      <family val="2"/>
      <charset val="128"/>
    </font>
    <font>
      <b/>
      <sz val="20"/>
      <color rgb="FF000000"/>
      <name val="細明體"/>
      <family val="3"/>
      <charset val="136"/>
    </font>
    <font>
      <b/>
      <sz val="20"/>
      <color rgb="FF000000"/>
      <name val="Meiryo UI"/>
      <family val="2"/>
    </font>
    <font>
      <sz val="10"/>
      <color theme="1"/>
      <name val="Meiryo UI"/>
      <family val="2"/>
    </font>
    <font>
      <sz val="11"/>
      <color rgb="FFFF0000"/>
      <name val="Meiryo UI"/>
      <family val="2"/>
    </font>
    <font>
      <sz val="11"/>
      <color theme="1"/>
      <name val="Arial"/>
      <family val="3"/>
      <charset val="136"/>
    </font>
    <font>
      <sz val="10"/>
      <color theme="1"/>
      <name val="Arial"/>
      <family val="3"/>
      <charset val="136"/>
    </font>
    <font>
      <b/>
      <sz val="12"/>
      <color theme="1"/>
      <name val="Meiryo UI"/>
      <family val="2"/>
    </font>
    <font>
      <b/>
      <sz val="12"/>
      <color theme="1"/>
      <name val="Arial"/>
      <family val="3"/>
      <charset val="136"/>
    </font>
    <font>
      <b/>
      <sz val="12"/>
      <color theme="1"/>
      <name val="Meiryo UI"/>
      <family val="2"/>
      <charset val="128"/>
    </font>
    <font>
      <sz val="14"/>
      <color theme="1"/>
      <name val="Meiryo UI"/>
      <family val="2"/>
    </font>
    <font>
      <sz val="10"/>
      <color theme="1"/>
      <name val="細明體"/>
      <family val="3"/>
      <charset val="136"/>
    </font>
    <font>
      <b/>
      <sz val="12"/>
      <color rgb="FF000000"/>
      <name val="Meiryo UI"/>
      <family val="2"/>
      <charset val="128"/>
    </font>
    <font>
      <b/>
      <sz val="12"/>
      <color rgb="FF000000"/>
      <name val="Meiryo UI"/>
      <family val="2"/>
    </font>
    <font>
      <sz val="10"/>
      <name val="Meiryo UI"/>
      <family val="2"/>
    </font>
    <font>
      <b/>
      <sz val="12"/>
      <color rgb="FF000000"/>
      <name val="Arial"/>
      <family val="3"/>
      <charset val="136"/>
    </font>
    <font>
      <sz val="11"/>
      <color theme="1"/>
      <name val="Arial"/>
      <family val="2"/>
    </font>
    <font>
      <sz val="10"/>
      <color rgb="FF000000"/>
      <name val="Arial"/>
      <family val="2"/>
    </font>
    <font>
      <b/>
      <sz val="12"/>
      <color rgb="FF000000"/>
      <name val="細明體"/>
      <family val="3"/>
      <charset val="136"/>
    </font>
    <font>
      <b/>
      <sz val="14"/>
      <color theme="1"/>
      <name val="Meiryo UI"/>
      <family val="2"/>
    </font>
    <font>
      <b/>
      <sz val="14"/>
      <color theme="1"/>
      <name val="Arial"/>
      <family val="3"/>
      <charset val="136"/>
    </font>
    <font>
      <sz val="11"/>
      <color theme="1"/>
      <name val="Meiryo UI"/>
      <family val="2"/>
      <charset val="128"/>
    </font>
    <font>
      <sz val="10"/>
      <color rgb="FFFF0000"/>
      <name val="Meiryo UI"/>
      <family val="2"/>
    </font>
    <font>
      <b/>
      <sz val="16"/>
      <color rgb="FF000000"/>
      <name val="細明體"/>
      <family val="3"/>
      <charset val="136"/>
    </font>
    <font>
      <sz val="12"/>
      <color rgb="FFFF0000"/>
      <name val="Meiryo UI"/>
      <family val="2"/>
    </font>
    <font>
      <b/>
      <sz val="20"/>
      <color rgb="FF000000"/>
      <name val="微軟正黑體"/>
      <family val="2"/>
      <charset val="136"/>
    </font>
    <font>
      <sz val="11"/>
      <color theme="1"/>
      <name val="微軟正黑體"/>
      <family val="2"/>
      <charset val="136"/>
    </font>
    <font>
      <sz val="14"/>
      <color theme="1"/>
      <name val="細明體"/>
      <family val="3"/>
      <charset val="136"/>
    </font>
    <font>
      <sz val="10"/>
      <color rgb="FFFF0000"/>
      <name val="Arial"/>
      <family val="3"/>
      <charset val="136"/>
      <scheme val="minor"/>
    </font>
    <font>
      <sz val="6"/>
      <color rgb="FF000000"/>
      <name val="Meiryo UI"/>
      <family val="2"/>
    </font>
    <font>
      <sz val="9"/>
      <color rgb="FF000000"/>
      <name val="Meiryo UI"/>
      <family val="2"/>
    </font>
    <font>
      <sz val="10"/>
      <color rgb="FF000000"/>
      <name val="Arial"/>
      <family val="2"/>
      <scheme val="minor"/>
    </font>
    <font>
      <sz val="11"/>
      <color rgb="FF0070C0"/>
      <name val="新細明體"/>
      <family val="1"/>
      <charset val="136"/>
    </font>
    <font>
      <sz val="11"/>
      <color rgb="FF92D050"/>
      <name val="細明體"/>
      <family val="3"/>
      <charset val="136"/>
    </font>
    <font>
      <sz val="11"/>
      <color rgb="FFFF0000"/>
      <name val="新細明體"/>
      <family val="1"/>
      <charset val="136"/>
    </font>
    <font>
      <sz val="7"/>
      <color rgb="FF000000"/>
      <name val="Meiryo UI"/>
      <family val="2"/>
    </font>
    <font>
      <sz val="10"/>
      <color rgb="FF000000"/>
      <name val="細明體"/>
      <family val="3"/>
      <charset val="136"/>
    </font>
    <font>
      <b/>
      <sz val="12"/>
      <color theme="1"/>
      <name val="細明體"/>
      <family val="3"/>
      <charset val="136"/>
    </font>
    <font>
      <sz val="11"/>
      <color rgb="FFFF0000"/>
      <name val="細明體"/>
      <family val="3"/>
      <charset val="136"/>
    </font>
    <font>
      <sz val="12"/>
      <color theme="1"/>
      <name val="Meiryo UI"/>
      <family val="2"/>
      <charset val="128"/>
    </font>
    <font>
      <sz val="9"/>
      <name val="Arial"/>
      <family val="2"/>
      <charset val="136"/>
      <scheme val="minor"/>
    </font>
    <font>
      <sz val="14"/>
      <name val="微軟正黑體"/>
      <family val="2"/>
      <charset val="136"/>
    </font>
    <font>
      <sz val="12"/>
      <name val="新細明體"/>
      <family val="1"/>
      <charset val="136"/>
    </font>
    <font>
      <sz val="12"/>
      <name val="Times New Roman"/>
      <family val="1"/>
    </font>
    <font>
      <b/>
      <i/>
      <sz val="16"/>
      <name val="Helv"/>
      <family val="2"/>
    </font>
    <font>
      <sz val="12"/>
      <color theme="1"/>
      <name val="Arial"/>
      <family val="1"/>
      <charset val="136"/>
      <scheme val="minor"/>
    </font>
    <font>
      <u/>
      <sz val="12"/>
      <color indexed="12"/>
      <name val="新細明體"/>
      <family val="1"/>
      <charset val="136"/>
    </font>
    <font>
      <sz val="10"/>
      <color indexed="8"/>
      <name val="ARIAL"/>
      <family val="2"/>
    </font>
    <font>
      <sz val="12"/>
      <color theme="1"/>
      <name val="Arial"/>
      <family val="2"/>
      <scheme val="minor"/>
    </font>
    <font>
      <sz val="12"/>
      <color indexed="8"/>
      <name val="新細明體"/>
      <family val="1"/>
      <charset val="136"/>
    </font>
    <font>
      <sz val="12"/>
      <color indexed="17"/>
      <name val="新細明體"/>
      <family val="1"/>
      <charset val="136"/>
    </font>
    <font>
      <sz val="16"/>
      <color indexed="17"/>
      <name val="新細明體"/>
      <family val="1"/>
      <charset val="136"/>
    </font>
    <font>
      <sz val="11"/>
      <name val="ＭＳ Ｐゴシック"/>
      <family val="2"/>
      <charset val="128"/>
    </font>
    <font>
      <sz val="12"/>
      <color indexed="20"/>
      <name val="新細明體"/>
      <family val="1"/>
      <charset val="136"/>
    </font>
    <font>
      <sz val="20"/>
      <color indexed="20"/>
      <name val="新細明體"/>
      <family val="1"/>
      <charset val="136"/>
    </font>
    <font>
      <sz val="10"/>
      <color rgb="FFFF0000"/>
      <name val="Meiryo UI"/>
      <family val="2"/>
      <charset val="128"/>
    </font>
    <font>
      <b/>
      <sz val="20"/>
      <color theme="0"/>
      <name val="微軟正黑體"/>
      <family val="2"/>
      <charset val="136"/>
    </font>
    <font>
      <b/>
      <sz val="18"/>
      <color theme="1"/>
      <name val="微軟正黑體"/>
      <family val="2"/>
      <charset val="136"/>
    </font>
    <font>
      <b/>
      <sz val="16"/>
      <color theme="1"/>
      <name val="微軟正黑體"/>
      <family val="2"/>
      <charset val="136"/>
    </font>
    <font>
      <b/>
      <sz val="16"/>
      <color rgb="FF000000"/>
      <name val="微軟正黑體"/>
      <family val="2"/>
      <charset val="136"/>
    </font>
    <font>
      <sz val="9"/>
      <color rgb="FFFF0000"/>
      <name val="Meiryo UI"/>
      <family val="2"/>
    </font>
    <font>
      <sz val="6"/>
      <name val="Meiryo UI"/>
      <family val="2"/>
    </font>
    <font>
      <sz val="10"/>
      <color rgb="FF000000"/>
      <name val="微軟正黑體"/>
      <family val="2"/>
      <charset val="136"/>
    </font>
    <font>
      <sz val="10"/>
      <color rgb="FF000000"/>
      <name val="Arial"/>
      <family val="2"/>
      <charset val="136"/>
      <scheme val="minor"/>
    </font>
    <font>
      <b/>
      <sz val="16"/>
      <color rgb="FF000000"/>
      <name val="Microsoft JhengHei"/>
      <family val="2"/>
    </font>
    <font>
      <sz val="14"/>
      <color theme="1"/>
      <name val="微軟正黑體"/>
      <family val="2"/>
      <charset val="136"/>
    </font>
    <font>
      <b/>
      <sz val="18"/>
      <color rgb="FFFF0000"/>
      <name val="微軟正黑體"/>
      <family val="2"/>
      <charset val="136"/>
    </font>
    <font>
      <b/>
      <sz val="16"/>
      <color rgb="FFFF0000"/>
      <name val="微軟正黑體"/>
      <family val="2"/>
      <charset val="136"/>
    </font>
    <font>
      <sz val="18"/>
      <color theme="1"/>
      <name val="微軟正黑體"/>
      <family val="2"/>
      <charset val="136"/>
    </font>
    <font>
      <sz val="14"/>
      <color rgb="FFFF0000"/>
      <name val="微軟正黑體"/>
      <family val="2"/>
      <charset val="136"/>
    </font>
    <font>
      <sz val="6"/>
      <color theme="1"/>
      <name val="細明體"/>
      <family val="2"/>
      <charset val="136"/>
    </font>
    <font>
      <sz val="11"/>
      <color theme="1"/>
      <name val="Microsoft JhengHei"/>
      <family val="2"/>
    </font>
    <font>
      <sz val="12"/>
      <color rgb="FF000000"/>
      <name val="微軟正黑體"/>
      <family val="2"/>
      <charset val="136"/>
    </font>
    <font>
      <sz val="10"/>
      <color theme="1"/>
      <name val="細明體"/>
      <family val="2"/>
      <charset val="136"/>
    </font>
    <font>
      <sz val="11"/>
      <color theme="1"/>
      <name val="細明體"/>
      <family val="2"/>
      <charset val="136"/>
    </font>
    <font>
      <sz val="10"/>
      <color theme="1"/>
      <name val="Microsoft JhengHei"/>
      <family val="2"/>
    </font>
    <font>
      <sz val="11"/>
      <color rgb="FFFF0000"/>
      <name val="Meiryo UI"/>
      <family val="2"/>
      <charset val="128"/>
    </font>
    <font>
      <sz val="10"/>
      <color rgb="FF000000"/>
      <name val="標楷體"/>
      <family val="4"/>
      <charset val="136"/>
    </font>
    <font>
      <b/>
      <sz val="14"/>
      <color theme="1"/>
      <name val="Meiryo UI"/>
      <family val="2"/>
      <charset val="128"/>
    </font>
    <font>
      <sz val="10"/>
      <color theme="1"/>
      <name val="Meiryo UI"/>
      <family val="2"/>
      <charset val="128"/>
    </font>
    <font>
      <sz val="11"/>
      <color theme="1"/>
      <name val="Microsoft JhengHei"/>
      <charset val="134"/>
    </font>
    <font>
      <sz val="12"/>
      <color rgb="FF000000"/>
      <name val="Meiryo UI"/>
      <family val="2"/>
      <charset val="128"/>
    </font>
    <font>
      <sz val="12"/>
      <color rgb="FFFF0000"/>
      <name val="Meiryo UI"/>
      <family val="2"/>
      <charset val="128"/>
    </font>
    <font>
      <sz val="12"/>
      <color theme="1"/>
      <name val="Microsoft JhengHei"/>
      <charset val="134"/>
    </font>
    <font>
      <sz val="12"/>
      <color theme="1"/>
      <name val="細明體"/>
      <family val="3"/>
      <charset val="136"/>
    </font>
    <font>
      <sz val="14"/>
      <color theme="1"/>
      <name val="Noto Sans CJK SC"/>
      <family val="1"/>
    </font>
    <font>
      <sz val="11"/>
      <name val="Meiryo UI"/>
      <family val="2"/>
    </font>
    <font>
      <sz val="8"/>
      <color theme="1"/>
      <name val="Microsoft JhengHei"/>
      <family val="2"/>
    </font>
    <font>
      <sz val="8"/>
      <color theme="1"/>
      <name val="Meiryo UI"/>
      <family val="2"/>
    </font>
  </fonts>
  <fills count="2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CFE2F3"/>
        <bgColor rgb="FFCFE2F3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indexed="42"/>
      </patternFill>
    </fill>
    <fill>
      <patternFill patternType="solid">
        <fgColor indexed="45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79992065187536243"/>
        <bgColor indexed="64"/>
      </patternFill>
    </fill>
    <fill>
      <patternFill patternType="solid">
        <fgColor theme="9" tint="0.79992065187536243"/>
        <bgColor indexed="64"/>
      </patternFill>
    </fill>
    <fill>
      <patternFill patternType="solid">
        <fgColor theme="4" tint="0.79992065187536243"/>
        <bgColor indexed="64"/>
      </patternFill>
    </fill>
  </fills>
  <borders count="8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 style="double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double">
        <color rgb="FF000000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</borders>
  <cellStyleXfs count="584">
    <xf numFmtId="0" fontId="0" fillId="0" borderId="0"/>
    <xf numFmtId="0" fontId="6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7" fillId="0" borderId="0"/>
    <xf numFmtId="0" fontId="6" fillId="0" borderId="0">
      <alignment vertical="center"/>
    </xf>
    <xf numFmtId="0" fontId="6" fillId="0" borderId="0">
      <alignment vertical="center"/>
    </xf>
    <xf numFmtId="9" fontId="9" fillId="0" borderId="0" applyFont="0" applyFill="0" applyBorder="0" applyAlignment="0" applyProtection="0">
      <alignment vertical="center"/>
    </xf>
    <xf numFmtId="0" fontId="9" fillId="0" borderId="0"/>
    <xf numFmtId="9" fontId="9" fillId="0" borderId="0" applyFont="0" applyFill="0" applyBorder="0" applyAlignment="0" applyProtection="0"/>
    <xf numFmtId="0" fontId="24" fillId="0" borderId="0"/>
    <xf numFmtId="0" fontId="5" fillId="0" borderId="0">
      <alignment vertical="center"/>
    </xf>
    <xf numFmtId="9" fontId="24" fillId="0" borderId="0" applyFont="0" applyFill="0" applyBorder="0" applyAlignment="0" applyProtection="0">
      <alignment vertical="center"/>
    </xf>
    <xf numFmtId="43" fontId="72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3" fontId="24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83" fillId="0" borderId="0"/>
    <xf numFmtId="9" fontId="83" fillId="0" borderId="0" applyFont="0" applyFill="0" applyBorder="0" applyAlignment="0" applyProtection="0"/>
    <xf numFmtId="0" fontId="84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9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196" fontId="85" fillId="0" borderId="0"/>
    <xf numFmtId="0" fontId="9" fillId="0" borderId="0"/>
    <xf numFmtId="0" fontId="83" fillId="0" borderId="0">
      <alignment vertical="center"/>
    </xf>
    <xf numFmtId="0" fontId="86" fillId="0" borderId="0"/>
    <xf numFmtId="42" fontId="84" fillId="0" borderId="0" applyFont="0" applyFill="0" applyBorder="0" applyAlignment="0" applyProtection="0"/>
    <xf numFmtId="0" fontId="87" fillId="0" borderId="0" applyNumberFormat="0" applyFill="0" applyBorder="0" applyAlignment="0" applyProtection="0">
      <alignment vertical="top"/>
      <protection locked="0"/>
    </xf>
    <xf numFmtId="0" fontId="88" fillId="0" borderId="0">
      <alignment vertical="top"/>
    </xf>
    <xf numFmtId="0" fontId="9" fillId="0" borderId="0"/>
    <xf numFmtId="0" fontId="86" fillId="0" borderId="0">
      <alignment vertical="center"/>
    </xf>
    <xf numFmtId="0" fontId="83" fillId="0" borderId="0"/>
    <xf numFmtId="0" fontId="83" fillId="0" borderId="0"/>
    <xf numFmtId="0" fontId="83" fillId="0" borderId="0"/>
    <xf numFmtId="0" fontId="86" fillId="0" borderId="0">
      <alignment vertical="center"/>
    </xf>
    <xf numFmtId="0" fontId="83" fillId="0" borderId="0"/>
    <xf numFmtId="0" fontId="83" fillId="0" borderId="0"/>
    <xf numFmtId="0" fontId="86" fillId="0" borderId="0">
      <alignment vertical="center"/>
    </xf>
    <xf numFmtId="0" fontId="86" fillId="0" borderId="0">
      <alignment vertical="center"/>
    </xf>
    <xf numFmtId="0" fontId="83" fillId="0" borderId="0"/>
    <xf numFmtId="0" fontId="86" fillId="0" borderId="0">
      <alignment vertical="center"/>
    </xf>
    <xf numFmtId="0" fontId="83" fillId="0" borderId="0"/>
    <xf numFmtId="0" fontId="86" fillId="0" borderId="0">
      <alignment vertical="center"/>
    </xf>
    <xf numFmtId="0" fontId="83" fillId="0" borderId="0"/>
    <xf numFmtId="0" fontId="83" fillId="0" borderId="0"/>
    <xf numFmtId="0" fontId="83" fillId="0" borderId="0"/>
    <xf numFmtId="0" fontId="89" fillId="0" borderId="0"/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3" fillId="0" borderId="0">
      <alignment vertical="center"/>
    </xf>
    <xf numFmtId="0" fontId="83" fillId="0" borderId="0"/>
    <xf numFmtId="0" fontId="83" fillId="0" borderId="0"/>
    <xf numFmtId="0" fontId="89" fillId="0" borderId="0"/>
    <xf numFmtId="0" fontId="3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86" fillId="0" borderId="0"/>
    <xf numFmtId="0" fontId="83" fillId="0" borderId="0"/>
    <xf numFmtId="0" fontId="3" fillId="0" borderId="0">
      <alignment vertical="center"/>
    </xf>
    <xf numFmtId="0" fontId="86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86" fillId="0" borderId="0">
      <alignment vertical="center"/>
    </xf>
    <xf numFmtId="0" fontId="83" fillId="0" borderId="0"/>
    <xf numFmtId="0" fontId="86" fillId="0" borderId="0">
      <alignment vertical="center"/>
    </xf>
    <xf numFmtId="0" fontId="86" fillId="0" borderId="0">
      <alignment vertical="center"/>
    </xf>
    <xf numFmtId="0" fontId="83" fillId="0" borderId="0"/>
    <xf numFmtId="0" fontId="86" fillId="0" borderId="0">
      <alignment vertical="center"/>
    </xf>
    <xf numFmtId="0" fontId="86" fillId="0" borderId="0">
      <alignment vertical="center"/>
    </xf>
    <xf numFmtId="0" fontId="3" fillId="0" borderId="0">
      <alignment vertical="center"/>
    </xf>
    <xf numFmtId="0" fontId="83" fillId="0" borderId="0"/>
    <xf numFmtId="0" fontId="86" fillId="0" borderId="0">
      <alignment vertical="center"/>
    </xf>
    <xf numFmtId="0" fontId="83" fillId="0" borderId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6" fillId="0" borderId="0" applyFont="0" applyFill="0" applyBorder="0" applyAlignment="0" applyProtection="0">
      <alignment vertical="center"/>
    </xf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0" fontId="91" fillId="15" borderId="0" applyNumberFormat="0" applyBorder="0" applyAlignment="0" applyProtection="0">
      <alignment vertical="center"/>
    </xf>
    <xf numFmtId="0" fontId="91" fillId="15" borderId="0" applyNumberFormat="0" applyBorder="0" applyAlignment="0" applyProtection="0">
      <alignment vertical="center"/>
    </xf>
    <xf numFmtId="0" fontId="92" fillId="15" borderId="0" applyNumberFormat="0" applyBorder="0" applyAlignment="0" applyProtection="0">
      <alignment vertical="center"/>
    </xf>
    <xf numFmtId="0" fontId="91" fillId="15" borderId="0" applyNumberFormat="0" applyBorder="0" applyAlignment="0" applyProtection="0">
      <alignment vertical="center"/>
    </xf>
    <xf numFmtId="0" fontId="91" fillId="15" borderId="0" applyNumberFormat="0" applyBorder="0" applyAlignment="0" applyProtection="0">
      <alignment vertical="center"/>
    </xf>
    <xf numFmtId="0" fontId="91" fillId="15" borderId="0" applyNumberFormat="0" applyBorder="0" applyAlignment="0" applyProtection="0">
      <alignment vertical="center"/>
    </xf>
    <xf numFmtId="0" fontId="91" fillId="15" borderId="0" applyNumberFormat="0" applyBorder="0" applyAlignment="0" applyProtection="0">
      <alignment vertical="center"/>
    </xf>
    <xf numFmtId="0" fontId="91" fillId="15" borderId="0" applyNumberFormat="0" applyBorder="0" applyAlignment="0" applyProtection="0">
      <alignment vertical="center"/>
    </xf>
    <xf numFmtId="0" fontId="91" fillId="15" borderId="0" applyNumberFormat="0" applyBorder="0" applyAlignment="0" applyProtection="0">
      <alignment vertical="center"/>
    </xf>
    <xf numFmtId="0" fontId="91" fillId="15" borderId="0" applyNumberFormat="0" applyBorder="0" applyAlignment="0" applyProtection="0">
      <alignment vertical="center"/>
    </xf>
    <xf numFmtId="0" fontId="91" fillId="15" borderId="0" applyNumberFormat="0" applyBorder="0" applyAlignment="0" applyProtection="0">
      <alignment vertical="center"/>
    </xf>
    <xf numFmtId="0" fontId="92" fillId="15" borderId="0" applyNumberFormat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90" fillId="0" borderId="0" applyFont="0" applyFill="0" applyBorder="0" applyAlignment="0" applyProtection="0">
      <alignment vertical="center"/>
    </xf>
    <xf numFmtId="9" fontId="86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83" fillId="0" borderId="0" applyFont="0" applyFill="0" applyBorder="0" applyAlignment="0" applyProtection="0"/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44" fontId="89" fillId="0" borderId="0" applyFont="0" applyFill="0" applyBorder="0" applyAlignment="0" applyProtection="0">
      <alignment vertical="center"/>
    </xf>
    <xf numFmtId="0" fontId="93" fillId="0" borderId="0">
      <alignment vertical="center"/>
    </xf>
    <xf numFmtId="0" fontId="94" fillId="16" borderId="0" applyNumberFormat="0" applyBorder="0" applyAlignment="0" applyProtection="0">
      <alignment vertical="center"/>
    </xf>
    <xf numFmtId="0" fontId="94" fillId="16" borderId="0" applyNumberFormat="0" applyBorder="0" applyAlignment="0" applyProtection="0">
      <alignment vertical="center"/>
    </xf>
    <xf numFmtId="0" fontId="95" fillId="16" borderId="0" applyNumberFormat="0" applyBorder="0" applyAlignment="0" applyProtection="0">
      <alignment vertical="center"/>
    </xf>
    <xf numFmtId="0" fontId="94" fillId="16" borderId="0" applyNumberFormat="0" applyBorder="0" applyAlignment="0" applyProtection="0">
      <alignment vertical="center"/>
    </xf>
    <xf numFmtId="0" fontId="94" fillId="16" borderId="0" applyNumberFormat="0" applyBorder="0" applyAlignment="0" applyProtection="0">
      <alignment vertical="center"/>
    </xf>
    <xf numFmtId="0" fontId="94" fillId="16" borderId="0" applyNumberFormat="0" applyBorder="0" applyAlignment="0" applyProtection="0">
      <alignment vertical="center"/>
    </xf>
    <xf numFmtId="0" fontId="94" fillId="16" borderId="0" applyNumberFormat="0" applyBorder="0" applyAlignment="0" applyProtection="0">
      <alignment vertical="center"/>
    </xf>
    <xf numFmtId="0" fontId="94" fillId="16" borderId="0" applyNumberFormat="0" applyBorder="0" applyAlignment="0" applyProtection="0">
      <alignment vertical="center"/>
    </xf>
    <xf numFmtId="0" fontId="94" fillId="16" borderId="0" applyNumberFormat="0" applyBorder="0" applyAlignment="0" applyProtection="0">
      <alignment vertical="center"/>
    </xf>
    <xf numFmtId="0" fontId="94" fillId="16" borderId="0" applyNumberFormat="0" applyBorder="0" applyAlignment="0" applyProtection="0">
      <alignment vertical="center"/>
    </xf>
    <xf numFmtId="0" fontId="94" fillId="16" borderId="0" applyNumberFormat="0" applyBorder="0" applyAlignment="0" applyProtection="0">
      <alignment vertical="center"/>
    </xf>
    <xf numFmtId="0" fontId="95" fillId="16" borderId="0" applyNumberFormat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950">
    <xf numFmtId="0" fontId="0" fillId="0" borderId="0" xfId="0" applyFont="1" applyAlignment="1"/>
    <xf numFmtId="0" fontId="7" fillId="0" borderId="0" xfId="0" applyFont="1" applyAlignment="1">
      <alignment shrinkToFit="1"/>
    </xf>
    <xf numFmtId="0" fontId="0" fillId="0" borderId="0" xfId="0" applyFont="1" applyAlignment="1">
      <alignment shrinkToFit="1"/>
    </xf>
    <xf numFmtId="0" fontId="7" fillId="0" borderId="1" xfId="0" applyFont="1" applyBorder="1" applyAlignment="1">
      <alignment horizontal="right" shrinkToFit="1"/>
    </xf>
    <xf numFmtId="0" fontId="7" fillId="0" borderId="1" xfId="0" applyFont="1" applyBorder="1" applyAlignment="1">
      <alignment shrinkToFit="1"/>
    </xf>
    <xf numFmtId="0" fontId="7" fillId="0" borderId="2" xfId="0" applyFont="1" applyBorder="1" applyAlignment="1">
      <alignment shrinkToFit="1"/>
    </xf>
    <xf numFmtId="0" fontId="8" fillId="0" borderId="3" xfId="0" applyFont="1" applyBorder="1" applyAlignment="1">
      <alignment shrinkToFit="1"/>
    </xf>
    <xf numFmtId="0" fontId="8" fillId="2" borderId="1" xfId="0" applyFont="1" applyFill="1" applyBorder="1" applyAlignment="1">
      <alignment shrinkToFit="1"/>
    </xf>
    <xf numFmtId="0" fontId="7" fillId="2" borderId="1" xfId="0" applyFont="1" applyFill="1" applyBorder="1" applyAlignment="1">
      <alignment shrinkToFit="1"/>
    </xf>
    <xf numFmtId="3" fontId="7" fillId="0" borderId="1" xfId="0" applyNumberFormat="1" applyFont="1" applyBorder="1" applyAlignment="1">
      <alignment shrinkToFit="1"/>
    </xf>
    <xf numFmtId="3" fontId="7" fillId="3" borderId="1" xfId="0" applyNumberFormat="1" applyFont="1" applyFill="1" applyBorder="1" applyAlignment="1">
      <alignment shrinkToFit="1"/>
    </xf>
    <xf numFmtId="4" fontId="7" fillId="0" borderId="1" xfId="0" applyNumberFormat="1" applyFont="1" applyBorder="1" applyAlignment="1">
      <alignment horizontal="right" shrinkToFit="1"/>
    </xf>
    <xf numFmtId="10" fontId="7" fillId="2" borderId="1" xfId="0" applyNumberFormat="1" applyFont="1" applyFill="1" applyBorder="1" applyAlignment="1">
      <alignment horizontal="right" shrinkToFit="1"/>
    </xf>
    <xf numFmtId="10" fontId="7" fillId="3" borderId="1" xfId="0" applyNumberFormat="1" applyFont="1" applyFill="1" applyBorder="1" applyAlignment="1">
      <alignment shrinkToFit="1"/>
    </xf>
    <xf numFmtId="10" fontId="7" fillId="0" borderId="1" xfId="0" applyNumberFormat="1" applyFont="1" applyBorder="1" applyAlignment="1">
      <alignment shrinkToFit="1"/>
    </xf>
    <xf numFmtId="10" fontId="8" fillId="0" borderId="0" xfId="0" applyNumberFormat="1" applyFont="1" applyAlignment="1">
      <alignment shrinkToFit="1"/>
    </xf>
    <xf numFmtId="0" fontId="7" fillId="3" borderId="1" xfId="0" applyFont="1" applyFill="1" applyBorder="1" applyAlignment="1">
      <alignment shrinkToFit="1"/>
    </xf>
    <xf numFmtId="4" fontId="7" fillId="0" borderId="1" xfId="0" applyNumberFormat="1" applyFont="1" applyBorder="1" applyAlignment="1">
      <alignment shrinkToFit="1"/>
    </xf>
    <xf numFmtId="0" fontId="8" fillId="2" borderId="5" xfId="0" applyFont="1" applyFill="1" applyBorder="1" applyAlignment="1">
      <alignment shrinkToFit="1"/>
    </xf>
    <xf numFmtId="0" fontId="8" fillId="2" borderId="3" xfId="0" applyFont="1" applyFill="1" applyBorder="1" applyAlignment="1">
      <alignment shrinkToFit="1"/>
    </xf>
    <xf numFmtId="0" fontId="8" fillId="2" borderId="6" xfId="0" applyFont="1" applyFill="1" applyBorder="1" applyAlignment="1">
      <alignment shrinkToFit="1"/>
    </xf>
    <xf numFmtId="0" fontId="7" fillId="2" borderId="3" xfId="0" applyFont="1" applyFill="1" applyBorder="1" applyAlignment="1">
      <alignment shrinkToFit="1"/>
    </xf>
    <xf numFmtId="0" fontId="7" fillId="2" borderId="6" xfId="0" applyFont="1" applyFill="1" applyBorder="1" applyAlignment="1">
      <alignment shrinkToFit="1"/>
    </xf>
    <xf numFmtId="0" fontId="8" fillId="2" borderId="7" xfId="0" applyFont="1" applyFill="1" applyBorder="1" applyAlignment="1">
      <alignment shrinkToFit="1"/>
    </xf>
    <xf numFmtId="0" fontId="7" fillId="0" borderId="3" xfId="0" applyFont="1" applyBorder="1" applyAlignment="1">
      <alignment shrinkToFit="1"/>
    </xf>
    <xf numFmtId="0" fontId="7" fillId="2" borderId="7" xfId="0" applyFont="1" applyFill="1" applyBorder="1" applyAlignment="1">
      <alignment shrinkToFit="1"/>
    </xf>
    <xf numFmtId="0" fontId="8" fillId="0" borderId="8" xfId="0" applyFont="1" applyBorder="1" applyAlignment="1">
      <alignment shrinkToFit="1"/>
    </xf>
    <xf numFmtId="0" fontId="7" fillId="0" borderId="5" xfId="0" applyFont="1" applyBorder="1" applyAlignment="1">
      <alignment shrinkToFit="1"/>
    </xf>
    <xf numFmtId="0" fontId="7" fillId="0" borderId="14" xfId="0" applyFont="1" applyBorder="1" applyAlignment="1">
      <alignment shrinkToFit="1"/>
    </xf>
    <xf numFmtId="0" fontId="7" fillId="0" borderId="8" xfId="0" applyFont="1" applyBorder="1" applyAlignment="1">
      <alignment shrinkToFit="1"/>
    </xf>
    <xf numFmtId="10" fontId="7" fillId="0" borderId="5" xfId="0" applyNumberFormat="1" applyFont="1" applyBorder="1" applyAlignment="1">
      <alignment shrinkToFit="1"/>
    </xf>
    <xf numFmtId="0" fontId="7" fillId="3" borderId="5" xfId="0" applyFont="1" applyFill="1" applyBorder="1" applyAlignment="1">
      <alignment shrinkToFit="1"/>
    </xf>
    <xf numFmtId="0" fontId="7" fillId="2" borderId="15" xfId="0" applyFont="1" applyFill="1" applyBorder="1" applyAlignment="1">
      <alignment shrinkToFit="1"/>
    </xf>
    <xf numFmtId="10" fontId="7" fillId="3" borderId="17" xfId="0" applyNumberFormat="1" applyFont="1" applyFill="1" applyBorder="1" applyAlignment="1">
      <alignment shrinkToFit="1"/>
    </xf>
    <xf numFmtId="0" fontId="7" fillId="3" borderId="18" xfId="0" applyFont="1" applyFill="1" applyBorder="1" applyAlignment="1">
      <alignment shrinkToFit="1"/>
    </xf>
    <xf numFmtId="0" fontId="7" fillId="0" borderId="6" xfId="0" applyFont="1" applyBorder="1" applyAlignment="1">
      <alignment shrinkToFit="1"/>
    </xf>
    <xf numFmtId="10" fontId="7" fillId="0" borderId="6" xfId="0" applyNumberFormat="1" applyFont="1" applyBorder="1" applyAlignment="1">
      <alignment shrinkToFit="1"/>
    </xf>
    <xf numFmtId="0" fontId="7" fillId="3" borderId="6" xfId="0" applyFont="1" applyFill="1" applyBorder="1" applyAlignment="1">
      <alignment shrinkToFit="1"/>
    </xf>
    <xf numFmtId="10" fontId="7" fillId="0" borderId="0" xfId="0" applyNumberFormat="1" applyFont="1" applyAlignment="1">
      <alignment shrinkToFit="1"/>
    </xf>
    <xf numFmtId="10" fontId="7" fillId="2" borderId="1" xfId="0" applyNumberFormat="1" applyFont="1" applyFill="1" applyBorder="1" applyAlignment="1">
      <alignment shrinkToFit="1"/>
    </xf>
    <xf numFmtId="0" fontId="7" fillId="3" borderId="7" xfId="0" applyFont="1" applyFill="1" applyBorder="1" applyAlignment="1">
      <alignment shrinkToFit="1"/>
    </xf>
    <xf numFmtId="10" fontId="7" fillId="3" borderId="5" xfId="0" applyNumberFormat="1" applyFont="1" applyFill="1" applyBorder="1" applyAlignment="1">
      <alignment shrinkToFit="1"/>
    </xf>
    <xf numFmtId="0" fontId="7" fillId="0" borderId="11" xfId="0" applyFont="1" applyBorder="1" applyAlignment="1">
      <alignment shrinkToFit="1"/>
    </xf>
    <xf numFmtId="10" fontId="7" fillId="0" borderId="14" xfId="0" applyNumberFormat="1" applyFont="1" applyBorder="1" applyAlignment="1">
      <alignment shrinkToFit="1"/>
    </xf>
    <xf numFmtId="10" fontId="7" fillId="3" borderId="14" xfId="0" applyNumberFormat="1" applyFont="1" applyFill="1" applyBorder="1" applyAlignment="1">
      <alignment shrinkToFit="1"/>
    </xf>
    <xf numFmtId="0" fontId="7" fillId="2" borderId="2" xfId="0" applyFont="1" applyFill="1" applyBorder="1" applyAlignment="1">
      <alignment shrinkToFit="1"/>
    </xf>
    <xf numFmtId="0" fontId="7" fillId="2" borderId="4" xfId="0" applyFont="1" applyFill="1" applyBorder="1" applyAlignment="1">
      <alignment shrinkToFit="1"/>
    </xf>
    <xf numFmtId="0" fontId="0" fillId="0" borderId="0" xfId="0" applyFont="1" applyAlignment="1">
      <alignment shrinkToFit="1"/>
    </xf>
    <xf numFmtId="0" fontId="11" fillId="0" borderId="1" xfId="0" applyFont="1" applyBorder="1" applyAlignment="1">
      <alignment shrinkToFit="1"/>
    </xf>
    <xf numFmtId="0" fontId="11" fillId="2" borderId="1" xfId="0" applyFont="1" applyFill="1" applyBorder="1" applyAlignment="1">
      <alignment horizontal="left" shrinkToFit="1"/>
    </xf>
    <xf numFmtId="0" fontId="12" fillId="2" borderId="1" xfId="0" applyFont="1" applyFill="1" applyBorder="1" applyAlignment="1">
      <alignment shrinkToFit="1"/>
    </xf>
    <xf numFmtId="0" fontId="11" fillId="2" borderId="6" xfId="0" applyFont="1" applyFill="1" applyBorder="1" applyAlignment="1">
      <alignment shrinkToFit="1"/>
    </xf>
    <xf numFmtId="0" fontId="11" fillId="2" borderId="2" xfId="0" applyFont="1" applyFill="1" applyBorder="1" applyAlignment="1">
      <alignment shrinkToFit="1"/>
    </xf>
    <xf numFmtId="0" fontId="12" fillId="2" borderId="5" xfId="0" applyFont="1" applyFill="1" applyBorder="1" applyAlignment="1">
      <alignment shrinkToFit="1"/>
    </xf>
    <xf numFmtId="0" fontId="12" fillId="2" borderId="4" xfId="0" applyFont="1" applyFill="1" applyBorder="1" applyAlignment="1">
      <alignment shrinkToFit="1"/>
    </xf>
    <xf numFmtId="0" fontId="7" fillId="2" borderId="22" xfId="0" applyFont="1" applyFill="1" applyBorder="1" applyAlignment="1">
      <alignment shrinkToFit="1"/>
    </xf>
    <xf numFmtId="0" fontId="7" fillId="2" borderId="23" xfId="0" applyFont="1" applyFill="1" applyBorder="1" applyAlignment="1">
      <alignment shrinkToFit="1"/>
    </xf>
    <xf numFmtId="0" fontId="11" fillId="2" borderId="22" xfId="0" applyFont="1" applyFill="1" applyBorder="1" applyAlignment="1">
      <alignment shrinkToFit="1"/>
    </xf>
    <xf numFmtId="0" fontId="11" fillId="2" borderId="1" xfId="0" applyFont="1" applyFill="1" applyBorder="1" applyAlignment="1">
      <alignment shrinkToFit="1"/>
    </xf>
    <xf numFmtId="0" fontId="11" fillId="2" borderId="4" xfId="0" applyFont="1" applyFill="1" applyBorder="1" applyAlignment="1">
      <alignment shrinkToFit="1"/>
    </xf>
    <xf numFmtId="0" fontId="11" fillId="2" borderId="16" xfId="0" applyFont="1" applyFill="1" applyBorder="1" applyAlignment="1">
      <alignment shrinkToFit="1"/>
    </xf>
    <xf numFmtId="0" fontId="11" fillId="4" borderId="0" xfId="0" applyFont="1" applyFill="1" applyAlignment="1"/>
    <xf numFmtId="0" fontId="12" fillId="4" borderId="0" xfId="0" applyFont="1" applyFill="1" applyAlignment="1">
      <alignment shrinkToFit="1"/>
    </xf>
    <xf numFmtId="0" fontId="11" fillId="4" borderId="0" xfId="0" applyFont="1" applyFill="1" applyAlignment="1">
      <alignment shrinkToFit="1"/>
    </xf>
    <xf numFmtId="0" fontId="8" fillId="4" borderId="0" xfId="0" applyFont="1" applyFill="1" applyAlignment="1">
      <alignment shrinkToFit="1"/>
    </xf>
    <xf numFmtId="0" fontId="7" fillId="4" borderId="0" xfId="0" applyFont="1" applyFill="1" applyAlignment="1"/>
    <xf numFmtId="10" fontId="7" fillId="4" borderId="0" xfId="0" applyNumberFormat="1" applyFont="1" applyFill="1" applyAlignment="1">
      <alignment shrinkToFit="1"/>
    </xf>
    <xf numFmtId="0" fontId="7" fillId="4" borderId="0" xfId="0" applyFont="1" applyFill="1" applyAlignment="1">
      <alignment shrinkToFit="1"/>
    </xf>
    <xf numFmtId="0" fontId="0" fillId="4" borderId="0" xfId="0" applyFont="1" applyFill="1" applyAlignment="1">
      <alignment shrinkToFit="1"/>
    </xf>
    <xf numFmtId="0" fontId="7" fillId="2" borderId="24" xfId="0" applyFont="1" applyFill="1" applyBorder="1" applyAlignment="1">
      <alignment shrinkToFit="1"/>
    </xf>
    <xf numFmtId="0" fontId="12" fillId="0" borderId="11" xfId="0" applyFont="1" applyBorder="1" applyAlignment="1">
      <alignment horizontal="right" shrinkToFit="1"/>
    </xf>
    <xf numFmtId="0" fontId="12" fillId="0" borderId="3" xfId="0" applyFont="1" applyBorder="1" applyAlignment="1">
      <alignment horizontal="right" shrinkToFit="1"/>
    </xf>
    <xf numFmtId="0" fontId="14" fillId="0" borderId="0" xfId="0" applyFont="1" applyAlignment="1">
      <alignment horizontal="center"/>
    </xf>
    <xf numFmtId="10" fontId="14" fillId="0" borderId="0" xfId="0" applyNumberFormat="1" applyFont="1" applyAlignment="1"/>
    <xf numFmtId="0" fontId="14" fillId="0" borderId="0" xfId="0" applyFont="1" applyAlignment="1"/>
    <xf numFmtId="0" fontId="18" fillId="0" borderId="0" xfId="0" applyFont="1" applyAlignment="1">
      <alignment horizontal="left" vertical="center"/>
    </xf>
    <xf numFmtId="0" fontId="0" fillId="0" borderId="0" xfId="0" applyFont="1" applyAlignment="1">
      <alignment shrinkToFit="1"/>
    </xf>
    <xf numFmtId="0" fontId="26" fillId="0" borderId="0" xfId="0" applyFont="1" applyAlignment="1"/>
    <xf numFmtId="176" fontId="27" fillId="5" borderId="0" xfId="0" applyNumberFormat="1" applyFont="1" applyFill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6" fillId="0" borderId="0" xfId="0" applyFont="1" applyAlignment="1">
      <alignment horizontal="center"/>
    </xf>
    <xf numFmtId="0" fontId="26" fillId="0" borderId="0" xfId="0" applyFont="1" applyAlignment="1">
      <alignment vertical="center"/>
    </xf>
    <xf numFmtId="0" fontId="14" fillId="0" borderId="0" xfId="0" applyFont="1" applyFill="1" applyAlignment="1">
      <alignment vertical="center"/>
    </xf>
    <xf numFmtId="0" fontId="26" fillId="0" borderId="0" xfId="0" applyFont="1" applyFill="1" applyAlignment="1"/>
    <xf numFmtId="0" fontId="26" fillId="0" borderId="0" xfId="0" applyFont="1" applyFill="1" applyAlignment="1">
      <alignment horizontal="center"/>
    </xf>
    <xf numFmtId="176" fontId="27" fillId="0" borderId="0" xfId="0" applyNumberFormat="1" applyFont="1" applyFill="1" applyAlignment="1">
      <alignment horizontal="center" vertical="center"/>
    </xf>
    <xf numFmtId="176" fontId="26" fillId="0" borderId="0" xfId="0" applyNumberFormat="1" applyFont="1" applyFill="1" applyAlignment="1"/>
    <xf numFmtId="177" fontId="26" fillId="0" borderId="0" xfId="0" applyNumberFormat="1" applyFont="1" applyFill="1" applyAlignment="1"/>
    <xf numFmtId="178" fontId="26" fillId="0" borderId="0" xfId="0" applyNumberFormat="1" applyFont="1" applyFill="1" applyAlignment="1"/>
    <xf numFmtId="10" fontId="26" fillId="0" borderId="0" xfId="0" applyNumberFormat="1" applyFont="1" applyFill="1" applyAlignment="1"/>
    <xf numFmtId="176" fontId="27" fillId="6" borderId="0" xfId="0" applyNumberFormat="1" applyFont="1" applyFill="1" applyAlignment="1">
      <alignment horizontal="center" vertical="center"/>
    </xf>
    <xf numFmtId="176" fontId="27" fillId="7" borderId="0" xfId="0" applyNumberFormat="1" applyFont="1" applyFill="1" applyAlignment="1">
      <alignment horizontal="center" vertical="center"/>
    </xf>
    <xf numFmtId="180" fontId="26" fillId="0" borderId="0" xfId="0" applyNumberFormat="1" applyFont="1" applyFill="1" applyAlignment="1"/>
    <xf numFmtId="180" fontId="14" fillId="0" borderId="0" xfId="0" applyNumberFormat="1" applyFont="1" applyAlignment="1"/>
    <xf numFmtId="176" fontId="17" fillId="0" borderId="0" xfId="0" applyNumberFormat="1" applyFont="1" applyFill="1" applyAlignment="1">
      <alignment horizontal="center" vertical="center"/>
    </xf>
    <xf numFmtId="180" fontId="17" fillId="0" borderId="0" xfId="0" applyNumberFormat="1" applyFont="1" applyFill="1" applyAlignment="1">
      <alignment horizontal="center" vertical="center"/>
    </xf>
    <xf numFmtId="182" fontId="26" fillId="0" borderId="0" xfId="0" applyNumberFormat="1" applyFont="1" applyFill="1" applyAlignment="1"/>
    <xf numFmtId="0" fontId="26" fillId="0" borderId="0" xfId="0" applyFont="1" applyFill="1" applyAlignment="1">
      <alignment vertical="center"/>
    </xf>
    <xf numFmtId="182" fontId="27" fillId="0" borderId="22" xfId="0" applyNumberFormat="1" applyFont="1" applyFill="1" applyBorder="1" applyAlignment="1">
      <alignment horizontal="center" vertical="center"/>
    </xf>
    <xf numFmtId="10" fontId="27" fillId="0" borderId="22" xfId="0" applyNumberFormat="1" applyFont="1" applyFill="1" applyBorder="1" applyAlignment="1">
      <alignment horizontal="center" vertical="center"/>
    </xf>
    <xf numFmtId="10" fontId="26" fillId="0" borderId="22" xfId="0" applyNumberFormat="1" applyFont="1" applyFill="1" applyBorder="1" applyAlignment="1"/>
    <xf numFmtId="182" fontId="26" fillId="0" borderId="0" xfId="0" applyNumberFormat="1" applyFont="1" applyFill="1" applyAlignment="1">
      <alignment horizontal="center"/>
    </xf>
    <xf numFmtId="0" fontId="29" fillId="0" borderId="0" xfId="0" applyFont="1" applyFill="1" applyAlignment="1"/>
    <xf numFmtId="177" fontId="26" fillId="0" borderId="0" xfId="0" applyNumberFormat="1" applyFont="1" applyFill="1" applyAlignment="1">
      <alignment horizontal="center"/>
    </xf>
    <xf numFmtId="177" fontId="17" fillId="0" borderId="22" xfId="0" applyNumberFormat="1" applyFont="1" applyFill="1" applyBorder="1" applyAlignment="1">
      <alignment horizontal="center" vertical="center"/>
    </xf>
    <xf numFmtId="177" fontId="26" fillId="0" borderId="22" xfId="0" applyNumberFormat="1" applyFont="1" applyFill="1" applyBorder="1" applyAlignment="1"/>
    <xf numFmtId="0" fontId="0" fillId="0" borderId="0" xfId="0" applyFont="1" applyAlignment="1">
      <alignment horizontal="center" vertical="center"/>
    </xf>
    <xf numFmtId="0" fontId="0" fillId="0" borderId="0" xfId="0" applyFont="1" applyAlignment="1">
      <alignment vertical="center"/>
    </xf>
    <xf numFmtId="0" fontId="0" fillId="0" borderId="0" xfId="0" applyFont="1" applyAlignment="1">
      <alignment vertical="center" shrinkToFit="1"/>
    </xf>
    <xf numFmtId="0" fontId="0" fillId="0" borderId="0" xfId="0" applyFont="1" applyAlignment="1">
      <alignment horizontal="center" vertical="center" shrinkToFit="1"/>
    </xf>
    <xf numFmtId="0" fontId="0" fillId="0" borderId="0" xfId="0" applyFont="1" applyAlignment="1">
      <alignment wrapText="1" shrinkToFit="1"/>
    </xf>
    <xf numFmtId="0" fontId="7" fillId="0" borderId="3" xfId="0" applyFont="1" applyBorder="1" applyAlignment="1">
      <alignment vertical="center" shrinkToFit="1"/>
    </xf>
    <xf numFmtId="0" fontId="7" fillId="0" borderId="8" xfId="0" applyFont="1" applyBorder="1" applyAlignment="1">
      <alignment vertical="center" shrinkToFit="1"/>
    </xf>
    <xf numFmtId="0" fontId="7" fillId="2" borderId="1" xfId="0" applyFont="1" applyFill="1" applyBorder="1" applyAlignment="1">
      <alignment horizontal="center" vertical="center" shrinkToFit="1"/>
    </xf>
    <xf numFmtId="0" fontId="26" fillId="0" borderId="0" xfId="0" applyFont="1" applyAlignment="1">
      <alignment shrinkToFit="1"/>
    </xf>
    <xf numFmtId="0" fontId="26" fillId="4" borderId="0" xfId="0" applyFont="1" applyFill="1" applyAlignment="1">
      <alignment shrinkToFit="1"/>
    </xf>
    <xf numFmtId="0" fontId="26" fillId="0" borderId="0" xfId="0" applyFont="1" applyFill="1" applyAlignment="1">
      <alignment shrinkToFit="1"/>
    </xf>
    <xf numFmtId="0" fontId="28" fillId="0" borderId="0" xfId="0" applyFont="1" applyFill="1" applyAlignment="1">
      <alignment shrinkToFit="1"/>
    </xf>
    <xf numFmtId="0" fontId="44" fillId="0" borderId="0" xfId="0" applyFont="1" applyFill="1" applyBorder="1" applyAlignment="1">
      <alignment shrinkToFit="1"/>
    </xf>
    <xf numFmtId="0" fontId="26" fillId="0" borderId="22" xfId="0" applyFont="1" applyFill="1" applyBorder="1" applyAlignment="1">
      <alignment shrinkToFit="1"/>
    </xf>
    <xf numFmtId="0" fontId="26" fillId="0" borderId="0" xfId="0" applyFont="1" applyFill="1" applyAlignment="1">
      <alignment horizontal="center" shrinkToFit="1"/>
    </xf>
    <xf numFmtId="0" fontId="28" fillId="0" borderId="0" xfId="0" applyFont="1" applyFill="1" applyAlignment="1">
      <alignment horizontal="center" shrinkToFit="1"/>
    </xf>
    <xf numFmtId="0" fontId="26" fillId="0" borderId="0" xfId="0" applyFont="1" applyFill="1" applyAlignment="1">
      <alignment horizontal="center" vertical="center" shrinkToFit="1"/>
    </xf>
    <xf numFmtId="0" fontId="44" fillId="0" borderId="22" xfId="0" applyFont="1" applyFill="1" applyBorder="1" applyAlignment="1">
      <alignment shrinkToFit="1"/>
    </xf>
    <xf numFmtId="4" fontId="28" fillId="0" borderId="22" xfId="0" applyNumberFormat="1" applyFont="1" applyFill="1" applyBorder="1" applyAlignment="1">
      <alignment shrinkToFit="1"/>
    </xf>
    <xf numFmtId="0" fontId="26" fillId="4" borderId="0" xfId="0" applyFont="1" applyFill="1" applyBorder="1" applyAlignment="1">
      <alignment shrinkToFit="1"/>
    </xf>
    <xf numFmtId="0" fontId="28" fillId="4" borderId="0" xfId="0" applyFont="1" applyFill="1" applyBorder="1" applyAlignment="1">
      <alignment shrinkToFit="1"/>
    </xf>
    <xf numFmtId="0" fontId="48" fillId="0" borderId="0" xfId="0" applyFont="1" applyFill="1" applyBorder="1" applyAlignment="1"/>
    <xf numFmtId="0" fontId="26" fillId="0" borderId="0" xfId="0" applyFont="1" applyFill="1" applyBorder="1" applyAlignment="1">
      <alignment shrinkToFit="1"/>
    </xf>
    <xf numFmtId="0" fontId="50" fillId="0" borderId="0" xfId="0" applyFont="1" applyFill="1" applyBorder="1" applyAlignment="1"/>
    <xf numFmtId="0" fontId="26" fillId="0" borderId="0" xfId="0" applyFont="1" applyFill="1" applyBorder="1" applyAlignment="1">
      <alignment horizontal="center" shrinkToFit="1"/>
    </xf>
    <xf numFmtId="0" fontId="26" fillId="0" borderId="0" xfId="0" applyFont="1" applyFill="1" applyBorder="1" applyAlignment="1">
      <alignment horizontal="center" vertical="center" shrinkToFit="1"/>
    </xf>
    <xf numFmtId="10" fontId="44" fillId="0" borderId="0" xfId="0" applyNumberFormat="1" applyFont="1" applyFill="1" applyBorder="1" applyAlignment="1">
      <alignment shrinkToFit="1"/>
    </xf>
    <xf numFmtId="0" fontId="45" fillId="0" borderId="0" xfId="0" applyFont="1" applyFill="1" applyBorder="1" applyAlignment="1"/>
    <xf numFmtId="0" fontId="51" fillId="0" borderId="22" xfId="0" applyFont="1" applyFill="1" applyBorder="1" applyAlignment="1">
      <alignment horizontal="center" vertical="center" shrinkToFit="1"/>
    </xf>
    <xf numFmtId="0" fontId="51" fillId="8" borderId="22" xfId="0" applyFont="1" applyFill="1" applyBorder="1" applyAlignment="1">
      <alignment horizontal="center" vertical="center" shrinkToFit="1"/>
    </xf>
    <xf numFmtId="0" fontId="44" fillId="0" borderId="22" xfId="0" applyFont="1" applyFill="1" applyBorder="1" applyAlignment="1">
      <alignment horizontal="center" shrinkToFit="1"/>
    </xf>
    <xf numFmtId="3" fontId="28" fillId="0" borderId="22" xfId="0" applyNumberFormat="1" applyFont="1" applyFill="1" applyBorder="1" applyAlignment="1">
      <alignment shrinkToFit="1"/>
    </xf>
    <xf numFmtId="10" fontId="28" fillId="0" borderId="22" xfId="0" applyNumberFormat="1" applyFont="1" applyFill="1" applyBorder="1" applyAlignment="1">
      <alignment shrinkToFit="1"/>
    </xf>
    <xf numFmtId="4" fontId="28" fillId="0" borderId="22" xfId="0" applyNumberFormat="1" applyFont="1" applyFill="1" applyBorder="1" applyAlignment="1">
      <alignment horizontal="right" shrinkToFit="1"/>
    </xf>
    <xf numFmtId="0" fontId="44" fillId="0" borderId="22" xfId="0" applyFont="1" applyFill="1" applyBorder="1" applyAlignment="1">
      <alignment horizontal="center" vertical="center" shrinkToFit="1"/>
    </xf>
    <xf numFmtId="0" fontId="52" fillId="0" borderId="22" xfId="0" applyFont="1" applyFill="1" applyBorder="1" applyAlignment="1">
      <alignment horizontal="center" shrinkToFit="1"/>
    </xf>
    <xf numFmtId="0" fontId="7" fillId="0" borderId="0" xfId="0" applyFont="1" applyBorder="1" applyAlignment="1">
      <alignment horizontal="center" vertical="center" shrinkToFit="1"/>
    </xf>
    <xf numFmtId="0" fontId="7" fillId="0" borderId="0" xfId="0" applyFont="1" applyBorder="1" applyAlignment="1">
      <alignment horizontal="right" shrinkToFit="1"/>
    </xf>
    <xf numFmtId="0" fontId="11" fillId="0" borderId="0" xfId="0" applyFont="1" applyBorder="1" applyAlignment="1">
      <alignment shrinkToFit="1"/>
    </xf>
    <xf numFmtId="0" fontId="7" fillId="0" borderId="0" xfId="0" applyFont="1" applyBorder="1" applyAlignment="1">
      <alignment shrinkToFit="1"/>
    </xf>
    <xf numFmtId="0" fontId="26" fillId="0" borderId="0" xfId="0" applyFont="1" applyBorder="1" applyAlignment="1">
      <alignment shrinkToFit="1"/>
    </xf>
    <xf numFmtId="0" fontId="26" fillId="4" borderId="0" xfId="0" applyFont="1" applyFill="1" applyBorder="1" applyAlignment="1">
      <alignment horizontal="center" vertical="center" shrinkToFit="1"/>
    </xf>
    <xf numFmtId="0" fontId="26" fillId="0" borderId="0" xfId="0" applyFont="1" applyAlignment="1">
      <alignment horizontal="center" vertical="center" shrinkToFit="1"/>
    </xf>
    <xf numFmtId="0" fontId="26" fillId="4" borderId="0" xfId="0" applyFont="1" applyFill="1" applyBorder="1" applyAlignment="1">
      <alignment horizontal="center" shrinkToFit="1"/>
    </xf>
    <xf numFmtId="0" fontId="28" fillId="0" borderId="22" xfId="0" applyFont="1" applyBorder="1" applyAlignment="1">
      <alignment horizontal="center" vertical="center" shrinkToFit="1"/>
    </xf>
    <xf numFmtId="0" fontId="28" fillId="0" borderId="22" xfId="0" applyFont="1" applyBorder="1" applyAlignment="1">
      <alignment horizontal="center" shrinkToFit="1"/>
    </xf>
    <xf numFmtId="0" fontId="44" fillId="0" borderId="22" xfId="0" applyFont="1" applyBorder="1" applyAlignment="1">
      <alignment horizontal="center" shrinkToFit="1"/>
    </xf>
    <xf numFmtId="0" fontId="26" fillId="4" borderId="22" xfId="0" applyFont="1" applyFill="1" applyBorder="1" applyAlignment="1">
      <alignment horizontal="center" shrinkToFit="1"/>
    </xf>
    <xf numFmtId="0" fontId="28" fillId="4" borderId="22" xfId="0" applyFont="1" applyFill="1" applyBorder="1" applyAlignment="1">
      <alignment horizontal="center" shrinkToFit="1"/>
    </xf>
    <xf numFmtId="0" fontId="26" fillId="0" borderId="0" xfId="0" applyFont="1" applyAlignment="1">
      <alignment vertical="center" shrinkToFit="1"/>
    </xf>
    <xf numFmtId="0" fontId="26" fillId="0" borderId="0" xfId="0" applyFont="1" applyAlignment="1">
      <alignment horizontal="center" shrinkToFit="1"/>
    </xf>
    <xf numFmtId="0" fontId="28" fillId="2" borderId="22" xfId="0" applyFont="1" applyFill="1" applyBorder="1" applyAlignment="1">
      <alignment horizontal="center" vertical="center" shrinkToFit="1"/>
    </xf>
    <xf numFmtId="0" fontId="28" fillId="0" borderId="22" xfId="0" applyFont="1" applyBorder="1" applyAlignment="1">
      <alignment shrinkToFit="1"/>
    </xf>
    <xf numFmtId="0" fontId="44" fillId="0" borderId="22" xfId="0" applyFont="1" applyBorder="1" applyAlignment="1">
      <alignment horizontal="right" shrinkToFit="1"/>
    </xf>
    <xf numFmtId="0" fontId="28" fillId="5" borderId="22" xfId="0" applyFont="1" applyFill="1" applyBorder="1" applyAlignment="1">
      <alignment horizontal="center" vertical="center" shrinkToFit="1"/>
    </xf>
    <xf numFmtId="0" fontId="28" fillId="5" borderId="22" xfId="0" applyFont="1" applyFill="1" applyBorder="1" applyAlignment="1">
      <alignment horizontal="center" shrinkToFit="1"/>
    </xf>
    <xf numFmtId="0" fontId="44" fillId="5" borderId="22" xfId="0" applyFont="1" applyFill="1" applyBorder="1" applyAlignment="1">
      <alignment horizontal="center" shrinkToFit="1"/>
    </xf>
    <xf numFmtId="0" fontId="26" fillId="5" borderId="22" xfId="0" applyFont="1" applyFill="1" applyBorder="1" applyAlignment="1">
      <alignment horizontal="center" shrinkToFit="1"/>
    </xf>
    <xf numFmtId="0" fontId="28" fillId="2" borderId="1" xfId="0" applyFont="1" applyFill="1" applyBorder="1" applyAlignment="1">
      <alignment horizontal="center" vertical="center" shrinkToFit="1"/>
    </xf>
    <xf numFmtId="0" fontId="28" fillId="0" borderId="3" xfId="0" applyFont="1" applyBorder="1" applyAlignment="1">
      <alignment vertical="center" shrinkToFit="1"/>
    </xf>
    <xf numFmtId="0" fontId="28" fillId="0" borderId="1" xfId="0" applyFont="1" applyBorder="1" applyAlignment="1">
      <alignment shrinkToFit="1"/>
    </xf>
    <xf numFmtId="0" fontId="28" fillId="0" borderId="8" xfId="0" applyFont="1" applyBorder="1" applyAlignment="1">
      <alignment vertical="center" shrinkToFit="1"/>
    </xf>
    <xf numFmtId="0" fontId="28" fillId="0" borderId="5" xfId="0" applyFont="1" applyBorder="1" applyAlignment="1">
      <alignment shrinkToFit="1"/>
    </xf>
    <xf numFmtId="0" fontId="26" fillId="0" borderId="0" xfId="0" applyFont="1" applyAlignment="1">
      <alignment wrapText="1" shrinkToFit="1"/>
    </xf>
    <xf numFmtId="0" fontId="26" fillId="0" borderId="0" xfId="0" applyFont="1" applyAlignment="1">
      <alignment horizontal="center" vertical="center" wrapText="1" shrinkToFit="1"/>
    </xf>
    <xf numFmtId="10" fontId="28" fillId="2" borderId="22" xfId="0" applyNumberFormat="1" applyFont="1" applyFill="1" applyBorder="1" applyAlignment="1">
      <alignment horizontal="center" vertical="center" shrinkToFit="1"/>
    </xf>
    <xf numFmtId="10" fontId="28" fillId="0" borderId="22" xfId="0" applyNumberFormat="1" applyFont="1" applyBorder="1" applyAlignment="1">
      <alignment shrinkToFit="1"/>
    </xf>
    <xf numFmtId="10" fontId="28" fillId="3" borderId="22" xfId="0" applyNumberFormat="1" applyFont="1" applyFill="1" applyBorder="1" applyAlignment="1">
      <alignment shrinkToFit="1"/>
    </xf>
    <xf numFmtId="0" fontId="28" fillId="2" borderId="23" xfId="0" applyFont="1" applyFill="1" applyBorder="1" applyAlignment="1">
      <alignment horizontal="center" vertical="center" shrinkToFit="1"/>
    </xf>
    <xf numFmtId="10" fontId="28" fillId="2" borderId="23" xfId="0" applyNumberFormat="1" applyFont="1" applyFill="1" applyBorder="1" applyAlignment="1">
      <alignment horizontal="center" vertical="center" shrinkToFit="1"/>
    </xf>
    <xf numFmtId="1" fontId="0" fillId="0" borderId="22" xfId="0" applyNumberFormat="1" applyFont="1" applyBorder="1" applyAlignment="1">
      <alignment horizontal="center" vertical="center"/>
    </xf>
    <xf numFmtId="0" fontId="26" fillId="0" borderId="0" xfId="11" applyFont="1" applyAlignment="1">
      <alignment shrinkToFit="1"/>
    </xf>
    <xf numFmtId="0" fontId="26" fillId="4" borderId="0" xfId="11" applyFont="1" applyFill="1" applyAlignment="1">
      <alignment shrinkToFit="1"/>
    </xf>
    <xf numFmtId="0" fontId="26" fillId="0" borderId="0" xfId="11" applyFont="1" applyBorder="1" applyAlignment="1">
      <alignment shrinkToFit="1"/>
    </xf>
    <xf numFmtId="0" fontId="26" fillId="4" borderId="0" xfId="11" applyFont="1" applyFill="1" applyBorder="1" applyAlignment="1">
      <alignment shrinkToFit="1"/>
    </xf>
    <xf numFmtId="0" fontId="45" fillId="0" borderId="0" xfId="11" applyFont="1" applyAlignment="1">
      <alignment shrinkToFit="1"/>
    </xf>
    <xf numFmtId="184" fontId="63" fillId="0" borderId="0" xfId="11" applyNumberFormat="1" applyFont="1" applyAlignment="1">
      <alignment shrinkToFit="1"/>
    </xf>
    <xf numFmtId="0" fontId="44" fillId="0" borderId="6" xfId="11" applyFont="1" applyFill="1" applyBorder="1" applyAlignment="1">
      <alignment horizontal="center" shrinkToFit="1"/>
    </xf>
    <xf numFmtId="3" fontId="36" fillId="0" borderId="6" xfId="11" applyNumberFormat="1" applyFont="1" applyFill="1" applyBorder="1" applyAlignment="1">
      <alignment shrinkToFit="1"/>
    </xf>
    <xf numFmtId="10" fontId="36" fillId="0" borderId="6" xfId="11" applyNumberFormat="1" applyFont="1" applyFill="1" applyBorder="1" applyAlignment="1">
      <alignment shrinkToFit="1"/>
    </xf>
    <xf numFmtId="3" fontId="28" fillId="0" borderId="22" xfId="11" applyNumberFormat="1" applyFont="1" applyFill="1" applyBorder="1" applyAlignment="1">
      <alignment shrinkToFit="1"/>
    </xf>
    <xf numFmtId="10" fontId="28" fillId="0" borderId="22" xfId="11" applyNumberFormat="1" applyFont="1" applyFill="1" applyBorder="1" applyAlignment="1">
      <alignment shrinkToFit="1"/>
    </xf>
    <xf numFmtId="0" fontId="26" fillId="0" borderId="0" xfId="11" applyFont="1" applyFill="1" applyAlignment="1">
      <alignment shrinkToFit="1"/>
    </xf>
    <xf numFmtId="0" fontId="44" fillId="0" borderId="1" xfId="11" applyFont="1" applyFill="1" applyBorder="1" applyAlignment="1">
      <alignment horizontal="center" shrinkToFit="1"/>
    </xf>
    <xf numFmtId="3" fontId="36" fillId="0" borderId="1" xfId="11" applyNumberFormat="1" applyFont="1" applyFill="1" applyBorder="1" applyAlignment="1">
      <alignment shrinkToFit="1"/>
    </xf>
    <xf numFmtId="0" fontId="35" fillId="0" borderId="34" xfId="0" applyFont="1" applyBorder="1" applyAlignment="1">
      <alignment horizontal="left" vertical="center"/>
    </xf>
    <xf numFmtId="0" fontId="35" fillId="0" borderId="36" xfId="0" applyFont="1" applyBorder="1" applyAlignment="1">
      <alignment horizontal="left" vertical="center"/>
    </xf>
    <xf numFmtId="1" fontId="0" fillId="0" borderId="22" xfId="0" applyNumberFormat="1" applyFont="1" applyFill="1" applyBorder="1" applyAlignment="1">
      <alignment horizontal="center" vertical="center"/>
    </xf>
    <xf numFmtId="183" fontId="0" fillId="0" borderId="22" xfId="0" applyNumberFormat="1" applyFont="1" applyFill="1" applyBorder="1" applyAlignment="1">
      <alignment horizontal="center" vertical="center"/>
    </xf>
    <xf numFmtId="1" fontId="0" fillId="0" borderId="31" xfId="0" applyNumberFormat="1" applyFont="1" applyFill="1" applyBorder="1" applyAlignment="1">
      <alignment horizontal="center" vertical="center"/>
    </xf>
    <xf numFmtId="0" fontId="0" fillId="0" borderId="22" xfId="0" applyFont="1" applyFill="1" applyBorder="1" applyAlignment="1">
      <alignment horizontal="center" vertical="center"/>
    </xf>
    <xf numFmtId="0" fontId="35" fillId="0" borderId="0" xfId="0" applyFont="1" applyFill="1" applyBorder="1" applyAlignment="1">
      <alignment horizontal="left" vertical="center"/>
    </xf>
    <xf numFmtId="0" fontId="35" fillId="0" borderId="34" xfId="0" applyFont="1" applyFill="1" applyBorder="1" applyAlignment="1">
      <alignment horizontal="left" vertical="center"/>
    </xf>
    <xf numFmtId="0" fontId="35" fillId="0" borderId="26" xfId="0" applyFont="1" applyFill="1" applyBorder="1" applyAlignment="1">
      <alignment horizontal="left" vertical="center"/>
    </xf>
    <xf numFmtId="0" fontId="35" fillId="0" borderId="36" xfId="0" applyFont="1" applyFill="1" applyBorder="1" applyAlignment="1">
      <alignment horizontal="left" vertical="center"/>
    </xf>
    <xf numFmtId="0" fontId="35" fillId="0" borderId="32" xfId="0" applyFont="1" applyFill="1" applyBorder="1" applyAlignment="1">
      <alignment horizontal="left" vertical="center"/>
    </xf>
    <xf numFmtId="0" fontId="35" fillId="0" borderId="37" xfId="0" applyFont="1" applyFill="1" applyBorder="1" applyAlignment="1">
      <alignment horizontal="left" vertical="center"/>
    </xf>
    <xf numFmtId="0" fontId="7" fillId="0" borderId="0" xfId="5"/>
    <xf numFmtId="0" fontId="67" fillId="8" borderId="30" xfId="5" applyFont="1" applyFill="1" applyBorder="1"/>
    <xf numFmtId="0" fontId="67" fillId="0" borderId="0" xfId="5" applyFont="1"/>
    <xf numFmtId="0" fontId="67" fillId="0" borderId="22" xfId="5" applyFont="1" applyBorder="1"/>
    <xf numFmtId="0" fontId="67" fillId="8" borderId="22" xfId="5" applyFont="1" applyFill="1" applyBorder="1"/>
    <xf numFmtId="185" fontId="26" fillId="0" borderId="0" xfId="0" applyNumberFormat="1" applyFont="1" applyFill="1" applyAlignment="1"/>
    <xf numFmtId="0" fontId="51" fillId="8" borderId="22" xfId="0" applyFont="1" applyFill="1" applyBorder="1" applyAlignment="1">
      <alignment horizontal="center" vertical="center" shrinkToFit="1"/>
    </xf>
    <xf numFmtId="0" fontId="28" fillId="0" borderId="22" xfId="11" applyFont="1" applyFill="1" applyBorder="1" applyAlignment="1">
      <alignment horizontal="center" vertical="center" shrinkToFit="1"/>
    </xf>
    <xf numFmtId="0" fontId="68" fillId="0" borderId="22" xfId="0" applyFont="1" applyFill="1" applyBorder="1" applyAlignment="1">
      <alignment horizontal="center" vertical="center" shrinkToFit="1"/>
    </xf>
    <xf numFmtId="0" fontId="52" fillId="0" borderId="22" xfId="0" applyFont="1" applyFill="1" applyBorder="1" applyAlignment="1">
      <alignment horizontal="center" vertical="center" shrinkToFit="1"/>
    </xf>
    <xf numFmtId="0" fontId="52" fillId="0" borderId="22" xfId="0" applyFont="1" applyFill="1" applyBorder="1" applyAlignment="1">
      <alignment shrinkToFit="1"/>
    </xf>
    <xf numFmtId="183" fontId="0" fillId="0" borderId="0" xfId="0" applyNumberFormat="1" applyFont="1" applyAlignment="1">
      <alignment horizontal="center" vertical="center"/>
    </xf>
    <xf numFmtId="0" fontId="69" fillId="0" borderId="0" xfId="0" applyFont="1" applyAlignment="1">
      <alignment vertical="center"/>
    </xf>
    <xf numFmtId="0" fontId="62" fillId="2" borderId="22" xfId="0" applyFont="1" applyFill="1" applyBorder="1" applyAlignment="1">
      <alignment horizontal="center" vertical="center" shrinkToFit="1"/>
    </xf>
    <xf numFmtId="0" fontId="29" fillId="5" borderId="23" xfId="11" applyFont="1" applyFill="1" applyBorder="1" applyAlignment="1">
      <alignment horizontal="center" vertical="center"/>
    </xf>
    <xf numFmtId="3" fontId="28" fillId="5" borderId="22" xfId="0" applyNumberFormat="1" applyFont="1" applyFill="1" applyBorder="1" applyAlignment="1">
      <alignment shrinkToFit="1"/>
    </xf>
    <xf numFmtId="10" fontId="28" fillId="5" borderId="22" xfId="0" applyNumberFormat="1" applyFont="1" applyFill="1" applyBorder="1" applyAlignment="1">
      <alignment shrinkToFit="1"/>
    </xf>
    <xf numFmtId="0" fontId="0" fillId="5" borderId="22" xfId="0" applyFont="1" applyFill="1" applyBorder="1" applyAlignment="1">
      <alignment horizontal="center" vertical="center"/>
    </xf>
    <xf numFmtId="186" fontId="70" fillId="0" borderId="22" xfId="0" applyNumberFormat="1" applyFont="1" applyFill="1" applyBorder="1" applyAlignment="1"/>
    <xf numFmtId="186" fontId="26" fillId="0" borderId="0" xfId="0" applyNumberFormat="1" applyFont="1" applyFill="1" applyAlignment="1"/>
    <xf numFmtId="180" fontId="26" fillId="9" borderId="0" xfId="0" applyNumberFormat="1" applyFont="1" applyFill="1" applyAlignment="1"/>
    <xf numFmtId="187" fontId="26" fillId="9" borderId="0" xfId="0" applyNumberFormat="1" applyFont="1" applyFill="1" applyAlignment="1"/>
    <xf numFmtId="177" fontId="26" fillId="9" borderId="0" xfId="0" applyNumberFormat="1" applyFont="1" applyFill="1" applyAlignment="1"/>
    <xf numFmtId="186" fontId="26" fillId="9" borderId="0" xfId="0" applyNumberFormat="1" applyFont="1" applyFill="1" applyAlignment="1"/>
    <xf numFmtId="185" fontId="26" fillId="9" borderId="0" xfId="0" applyNumberFormat="1" applyFont="1" applyFill="1" applyAlignment="1"/>
    <xf numFmtId="186" fontId="70" fillId="9" borderId="22" xfId="0" applyNumberFormat="1" applyFont="1" applyFill="1" applyBorder="1" applyAlignment="1"/>
    <xf numFmtId="177" fontId="26" fillId="9" borderId="22" xfId="0" applyNumberFormat="1" applyFont="1" applyFill="1" applyBorder="1" applyAlignment="1"/>
    <xf numFmtId="188" fontId="28" fillId="0" borderId="22" xfId="14" applyNumberFormat="1" applyFont="1" applyFill="1" applyBorder="1" applyAlignment="1">
      <alignment shrinkToFit="1"/>
    </xf>
    <xf numFmtId="189" fontId="28" fillId="5" borderId="22" xfId="0" applyNumberFormat="1" applyFont="1" applyFill="1" applyBorder="1" applyAlignment="1">
      <alignment shrinkToFit="1"/>
    </xf>
    <xf numFmtId="3" fontId="28" fillId="5" borderId="22" xfId="0" applyNumberFormat="1" applyFont="1" applyFill="1" applyBorder="1" applyAlignment="1">
      <alignment horizontal="right" shrinkToFit="1"/>
    </xf>
    <xf numFmtId="188" fontId="28" fillId="5" borderId="22" xfId="14" applyNumberFormat="1" applyFont="1" applyFill="1" applyBorder="1" applyAlignment="1">
      <alignment shrinkToFit="1"/>
    </xf>
    <xf numFmtId="0" fontId="73" fillId="0" borderId="22" xfId="0" applyFont="1" applyBorder="1" applyAlignment="1">
      <alignment horizontal="center" vertical="center" shrinkToFit="1"/>
    </xf>
    <xf numFmtId="0" fontId="74" fillId="0" borderId="22" xfId="0" applyFont="1" applyBorder="1" applyAlignment="1">
      <alignment horizontal="center" vertical="center" shrinkToFit="1"/>
    </xf>
    <xf numFmtId="0" fontId="75" fillId="0" borderId="22" xfId="0" applyFont="1" applyBorder="1" applyAlignment="1">
      <alignment horizontal="center" vertical="center" shrinkToFit="1"/>
    </xf>
    <xf numFmtId="190" fontId="28" fillId="5" borderId="22" xfId="14" applyNumberFormat="1" applyFont="1" applyFill="1" applyBorder="1" applyAlignment="1">
      <alignment shrinkToFit="1"/>
    </xf>
    <xf numFmtId="191" fontId="28" fillId="0" borderId="22" xfId="0" applyNumberFormat="1" applyFont="1" applyFill="1" applyBorder="1" applyAlignment="1">
      <alignment shrinkToFit="1"/>
    </xf>
    <xf numFmtId="10" fontId="28" fillId="3" borderId="22" xfId="0" applyNumberFormat="1" applyFont="1" applyFill="1" applyBorder="1" applyAlignment="1">
      <alignment horizontal="center" shrinkToFit="1"/>
    </xf>
    <xf numFmtId="189" fontId="26" fillId="9" borderId="0" xfId="0" applyNumberFormat="1" applyFont="1" applyFill="1" applyAlignment="1"/>
    <xf numFmtId="189" fontId="28" fillId="0" borderId="22" xfId="0" applyNumberFormat="1" applyFont="1" applyFill="1" applyBorder="1" applyAlignment="1">
      <alignment shrinkToFit="1"/>
    </xf>
    <xf numFmtId="185" fontId="28" fillId="5" borderId="22" xfId="0" applyNumberFormat="1" applyFont="1" applyFill="1" applyBorder="1" applyAlignment="1">
      <alignment shrinkToFit="1"/>
    </xf>
    <xf numFmtId="185" fontId="28" fillId="0" borderId="22" xfId="0" applyNumberFormat="1" applyFont="1" applyFill="1" applyBorder="1" applyAlignment="1">
      <alignment shrinkToFit="1"/>
    </xf>
    <xf numFmtId="183" fontId="26" fillId="0" borderId="0" xfId="0" applyNumberFormat="1" applyFont="1" applyAlignment="1">
      <alignment shrinkToFit="1"/>
    </xf>
    <xf numFmtId="9" fontId="28" fillId="5" borderId="22" xfId="0" applyNumberFormat="1" applyFont="1" applyFill="1" applyBorder="1" applyAlignment="1">
      <alignment shrinkToFit="1"/>
    </xf>
    <xf numFmtId="9" fontId="28" fillId="0" borderId="22" xfId="0" applyNumberFormat="1" applyFont="1" applyFill="1" applyBorder="1" applyAlignment="1">
      <alignment shrinkToFit="1"/>
    </xf>
    <xf numFmtId="3" fontId="45" fillId="5" borderId="22" xfId="0" applyNumberFormat="1" applyFont="1" applyFill="1" applyBorder="1" applyAlignment="1">
      <alignment shrinkToFit="1"/>
    </xf>
    <xf numFmtId="10" fontId="45" fillId="5" borderId="22" xfId="0" applyNumberFormat="1" applyFont="1" applyFill="1" applyBorder="1" applyAlignment="1">
      <alignment shrinkToFit="1"/>
    </xf>
    <xf numFmtId="189" fontId="45" fillId="5" borderId="22" xfId="0" applyNumberFormat="1" applyFont="1" applyFill="1" applyBorder="1" applyAlignment="1">
      <alignment shrinkToFit="1"/>
    </xf>
    <xf numFmtId="185" fontId="45" fillId="5" borderId="22" xfId="0" applyNumberFormat="1" applyFont="1" applyFill="1" applyBorder="1" applyAlignment="1">
      <alignment shrinkToFit="1"/>
    </xf>
    <xf numFmtId="190" fontId="45" fillId="5" borderId="22" xfId="14" applyNumberFormat="1" applyFont="1" applyFill="1" applyBorder="1" applyAlignment="1">
      <alignment shrinkToFit="1"/>
    </xf>
    <xf numFmtId="191" fontId="45" fillId="5" borderId="22" xfId="0" applyNumberFormat="1" applyFont="1" applyFill="1" applyBorder="1" applyAlignment="1">
      <alignment horizontal="right" shrinkToFit="1"/>
    </xf>
    <xf numFmtId="190" fontId="28" fillId="0" borderId="22" xfId="14" applyNumberFormat="1" applyFont="1" applyFill="1" applyBorder="1" applyAlignment="1">
      <alignment horizontal="right" shrinkToFit="1"/>
    </xf>
    <xf numFmtId="0" fontId="0" fillId="0" borderId="0" xfId="0" applyFont="1" applyAlignment="1">
      <alignment shrinkToFit="1"/>
    </xf>
    <xf numFmtId="10" fontId="26" fillId="10" borderId="22" xfId="0" applyNumberFormat="1" applyFont="1" applyFill="1" applyBorder="1" applyAlignment="1"/>
    <xf numFmtId="177" fontId="71" fillId="10" borderId="0" xfId="0" applyNumberFormat="1" applyFont="1" applyFill="1" applyAlignment="1"/>
    <xf numFmtId="177" fontId="71" fillId="0" borderId="0" xfId="0" applyNumberFormat="1" applyFont="1" applyFill="1" applyAlignment="1"/>
    <xf numFmtId="10" fontId="76" fillId="10" borderId="22" xfId="0" applyNumberFormat="1" applyFont="1" applyFill="1" applyBorder="1" applyAlignment="1"/>
    <xf numFmtId="177" fontId="76" fillId="0" borderId="0" xfId="0" applyNumberFormat="1" applyFont="1" applyFill="1" applyAlignment="1"/>
    <xf numFmtId="10" fontId="76" fillId="0" borderId="0" xfId="0" applyNumberFormat="1" applyFont="1" applyFill="1" applyAlignment="1"/>
    <xf numFmtId="3" fontId="76" fillId="0" borderId="0" xfId="0" applyNumberFormat="1" applyFont="1" applyFill="1" applyAlignment="1"/>
    <xf numFmtId="186" fontId="70" fillId="10" borderId="22" xfId="0" applyNumberFormat="1" applyFont="1" applyFill="1" applyBorder="1" applyAlignment="1"/>
    <xf numFmtId="3" fontId="28" fillId="11" borderId="22" xfId="0" applyNumberFormat="1" applyFont="1" applyFill="1" applyBorder="1" applyAlignment="1">
      <alignment shrinkToFit="1"/>
    </xf>
    <xf numFmtId="10" fontId="28" fillId="11" borderId="22" xfId="0" applyNumberFormat="1" applyFont="1" applyFill="1" applyBorder="1" applyAlignment="1">
      <alignment shrinkToFit="1"/>
    </xf>
    <xf numFmtId="183" fontId="28" fillId="0" borderId="22" xfId="0" applyNumberFormat="1" applyFont="1" applyFill="1" applyBorder="1" applyAlignment="1">
      <alignment shrinkToFit="1"/>
    </xf>
    <xf numFmtId="3" fontId="28" fillId="0" borderId="22" xfId="0" applyNumberFormat="1" applyFont="1" applyFill="1" applyBorder="1" applyAlignment="1">
      <alignment horizontal="right" shrinkToFit="1"/>
    </xf>
    <xf numFmtId="0" fontId="0" fillId="0" borderId="22" xfId="0" applyFont="1" applyBorder="1" applyAlignment="1">
      <alignment horizontal="center" vertical="center"/>
    </xf>
    <xf numFmtId="0" fontId="33" fillId="0" borderId="22" xfId="0" applyFont="1" applyBorder="1" applyAlignment="1">
      <alignment horizontal="center" vertical="center"/>
    </xf>
    <xf numFmtId="0" fontId="33" fillId="0" borderId="22" xfId="0" applyFont="1" applyFill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33" fillId="0" borderId="22" xfId="0" applyFont="1" applyBorder="1" applyAlignment="1">
      <alignment horizontal="center" vertical="center"/>
    </xf>
    <xf numFmtId="0" fontId="33" fillId="0" borderId="22" xfId="0" applyFont="1" applyFill="1" applyBorder="1" applyAlignment="1">
      <alignment horizontal="center" vertical="center"/>
    </xf>
    <xf numFmtId="0" fontId="33" fillId="0" borderId="22" xfId="0" applyFont="1" applyFill="1" applyBorder="1" applyAlignment="1">
      <alignment horizontal="center" vertical="center"/>
    </xf>
    <xf numFmtId="0" fontId="33" fillId="0" borderId="22" xfId="0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35" fillId="0" borderId="0" xfId="0" applyFont="1" applyBorder="1" applyAlignment="1">
      <alignment horizontal="left" vertical="center"/>
    </xf>
    <xf numFmtId="0" fontId="35" fillId="0" borderId="26" xfId="0" applyFont="1" applyBorder="1" applyAlignment="1">
      <alignment horizontal="left" vertical="center"/>
    </xf>
    <xf numFmtId="4" fontId="28" fillId="11" borderId="22" xfId="0" applyNumberFormat="1" applyFont="1" applyFill="1" applyBorder="1" applyAlignment="1">
      <alignment horizontal="right" shrinkToFit="1"/>
    </xf>
    <xf numFmtId="189" fontId="28" fillId="11" borderId="22" xfId="0" applyNumberFormat="1" applyFont="1" applyFill="1" applyBorder="1" applyAlignment="1">
      <alignment shrinkToFit="1"/>
    </xf>
    <xf numFmtId="185" fontId="28" fillId="11" borderId="22" xfId="0" applyNumberFormat="1" applyFont="1" applyFill="1" applyBorder="1" applyAlignment="1">
      <alignment shrinkToFit="1"/>
    </xf>
    <xf numFmtId="183" fontId="7" fillId="0" borderId="0" xfId="0" applyNumberFormat="1" applyFont="1" applyBorder="1" applyAlignment="1">
      <alignment horizontal="right" vertical="center" shrinkToFit="1"/>
    </xf>
    <xf numFmtId="0" fontId="33" fillId="0" borderId="22" xfId="0" applyFont="1" applyFill="1" applyBorder="1" applyAlignment="1">
      <alignment horizontal="center" vertical="center"/>
    </xf>
    <xf numFmtId="0" fontId="33" fillId="0" borderId="22" xfId="0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33" fillId="0" borderId="22" xfId="0" applyFont="1" applyFill="1" applyBorder="1" applyAlignment="1">
      <alignment horizontal="center" vertical="center"/>
    </xf>
    <xf numFmtId="0" fontId="33" fillId="0" borderId="22" xfId="0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91" fontId="26" fillId="0" borderId="0" xfId="0" applyNumberFormat="1" applyFont="1" applyFill="1" applyAlignment="1">
      <alignment shrinkToFit="1"/>
    </xf>
    <xf numFmtId="187" fontId="26" fillId="0" borderId="0" xfId="0" applyNumberFormat="1" applyFont="1" applyFill="1" applyAlignment="1"/>
    <xf numFmtId="189" fontId="26" fillId="0" borderId="0" xfId="0" applyNumberFormat="1" applyFont="1" applyFill="1" applyAlignment="1"/>
    <xf numFmtId="179" fontId="63" fillId="0" borderId="0" xfId="0" applyNumberFormat="1" applyFont="1" applyFill="1" applyAlignment="1">
      <alignment horizontal="center"/>
    </xf>
    <xf numFmtId="176" fontId="45" fillId="0" borderId="0" xfId="0" applyNumberFormat="1" applyFont="1" applyFill="1" applyAlignment="1">
      <alignment horizontal="center" vertical="center"/>
    </xf>
    <xf numFmtId="177" fontId="26" fillId="0" borderId="0" xfId="0" applyNumberFormat="1" applyFont="1" applyFill="1" applyAlignment="1">
      <alignment horizontal="right"/>
    </xf>
    <xf numFmtId="183" fontId="28" fillId="11" borderId="22" xfId="0" applyNumberFormat="1" applyFont="1" applyFill="1" applyBorder="1" applyAlignment="1">
      <alignment shrinkToFit="1"/>
    </xf>
    <xf numFmtId="0" fontId="0" fillId="0" borderId="22" xfId="0" applyFont="1" applyBorder="1" applyAlignment="1">
      <alignment horizontal="center" vertical="center"/>
    </xf>
    <xf numFmtId="0" fontId="33" fillId="0" borderId="22" xfId="0" applyFont="1" applyBorder="1" applyAlignment="1">
      <alignment horizontal="center" vertical="center"/>
    </xf>
    <xf numFmtId="0" fontId="33" fillId="0" borderId="22" xfId="0" applyFont="1" applyFill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0" fontId="35" fillId="12" borderId="37" xfId="0" applyFont="1" applyFill="1" applyBorder="1" applyAlignment="1">
      <alignment horizontal="left" vertical="center"/>
    </xf>
    <xf numFmtId="0" fontId="35" fillId="12" borderId="32" xfId="0" applyFont="1" applyFill="1" applyBorder="1" applyAlignment="1">
      <alignment horizontal="left" vertical="center"/>
    </xf>
    <xf numFmtId="0" fontId="35" fillId="12" borderId="26" xfId="0" applyFont="1" applyFill="1" applyBorder="1" applyAlignment="1">
      <alignment horizontal="left" vertical="center"/>
    </xf>
    <xf numFmtId="0" fontId="35" fillId="12" borderId="36" xfId="0" applyFont="1" applyFill="1" applyBorder="1" applyAlignment="1">
      <alignment horizontal="left" vertical="center"/>
    </xf>
    <xf numFmtId="1" fontId="33" fillId="0" borderId="22" xfId="0" applyNumberFormat="1" applyFont="1" applyFill="1" applyBorder="1" applyAlignment="1">
      <alignment horizontal="center" vertical="center"/>
    </xf>
    <xf numFmtId="0" fontId="33" fillId="5" borderId="22" xfId="0" applyFont="1" applyFill="1" applyBorder="1" applyAlignment="1">
      <alignment horizontal="center" vertical="center"/>
    </xf>
    <xf numFmtId="1" fontId="0" fillId="0" borderId="31" xfId="0" applyNumberFormat="1" applyFont="1" applyFill="1" applyBorder="1" applyAlignment="1">
      <alignment horizontal="center" vertical="center"/>
    </xf>
    <xf numFmtId="177" fontId="26" fillId="0" borderId="0" xfId="0" applyNumberFormat="1" applyFont="1" applyFill="1" applyBorder="1" applyAlignment="1"/>
    <xf numFmtId="10" fontId="26" fillId="0" borderId="0" xfId="0" applyNumberFormat="1" applyFont="1" applyFill="1" applyAlignment="1">
      <alignment vertical="center"/>
    </xf>
    <xf numFmtId="187" fontId="26" fillId="0" borderId="0" xfId="0" applyNumberFormat="1" applyFont="1" applyFill="1" applyAlignment="1">
      <alignment vertical="center"/>
    </xf>
    <xf numFmtId="177" fontId="26" fillId="0" borderId="0" xfId="0" applyNumberFormat="1" applyFont="1" applyFill="1" applyAlignment="1">
      <alignment vertical="center"/>
    </xf>
    <xf numFmtId="0" fontId="28" fillId="2" borderId="22" xfId="0" applyFont="1" applyFill="1" applyBorder="1" applyAlignment="1">
      <alignment horizontal="center" shrinkToFit="1"/>
    </xf>
    <xf numFmtId="0" fontId="26" fillId="0" borderId="0" xfId="11" applyFont="1" applyAlignment="1">
      <alignment horizontal="center" vertical="center" shrinkToFit="1"/>
    </xf>
    <xf numFmtId="0" fontId="26" fillId="0" borderId="0" xfId="11" applyFont="1" applyAlignment="1">
      <alignment wrapText="1" shrinkToFit="1"/>
    </xf>
    <xf numFmtId="0" fontId="26" fillId="0" borderId="0" xfId="11" applyFont="1" applyAlignment="1">
      <alignment vertical="center" shrinkToFit="1"/>
    </xf>
    <xf numFmtId="0" fontId="24" fillId="0" borderId="0" xfId="11" applyFont="1" applyAlignment="1">
      <alignment horizontal="center" vertical="center" shrinkToFit="1"/>
    </xf>
    <xf numFmtId="0" fontId="24" fillId="0" borderId="0" xfId="11" applyFont="1" applyAlignment="1">
      <alignment shrinkToFit="1"/>
    </xf>
    <xf numFmtId="0" fontId="24" fillId="0" borderId="0" xfId="11" applyFont="1" applyAlignment="1">
      <alignment wrapText="1" shrinkToFit="1"/>
    </xf>
    <xf numFmtId="0" fontId="24" fillId="0" borderId="0" xfId="11" applyFont="1" applyAlignment="1">
      <alignment vertical="center" shrinkToFit="1"/>
    </xf>
    <xf numFmtId="0" fontId="29" fillId="0" borderId="0" xfId="11" applyFont="1"/>
    <xf numFmtId="0" fontId="29" fillId="0" borderId="0" xfId="11" applyFont="1" applyAlignment="1">
      <alignment vertical="center"/>
    </xf>
    <xf numFmtId="0" fontId="29" fillId="0" borderId="22" xfId="11" applyFont="1" applyBorder="1" applyAlignment="1">
      <alignment horizontal="center" vertical="center"/>
    </xf>
    <xf numFmtId="0" fontId="29" fillId="0" borderId="41" xfId="11" applyFont="1" applyBorder="1" applyAlignment="1">
      <alignment horizontal="center" vertical="center"/>
    </xf>
    <xf numFmtId="0" fontId="29" fillId="0" borderId="0" xfId="11" applyFont="1" applyAlignment="1">
      <alignment horizontal="left" vertical="center"/>
    </xf>
    <xf numFmtId="0" fontId="55" fillId="0" borderId="0" xfId="0" applyFont="1" applyFill="1" applyAlignment="1">
      <alignment vertical="center"/>
    </xf>
    <xf numFmtId="0" fontId="55" fillId="0" borderId="0" xfId="0" applyFont="1" applyFill="1" applyAlignment="1"/>
    <xf numFmtId="177" fontId="55" fillId="0" borderId="0" xfId="0" applyNumberFormat="1" applyFont="1" applyFill="1" applyAlignment="1"/>
    <xf numFmtId="177" fontId="55" fillId="0" borderId="0" xfId="0" applyNumberFormat="1" applyFont="1" applyFill="1" applyAlignment="1">
      <alignment horizontal="right"/>
    </xf>
    <xf numFmtId="10" fontId="55" fillId="0" borderId="22" xfId="0" applyNumberFormat="1" applyFont="1" applyFill="1" applyBorder="1" applyAlignment="1"/>
    <xf numFmtId="0" fontId="55" fillId="0" borderId="0" xfId="0" applyFont="1" applyAlignment="1"/>
    <xf numFmtId="0" fontId="26" fillId="0" borderId="37" xfId="0" applyFont="1" applyFill="1" applyBorder="1" applyAlignment="1">
      <alignment vertical="center"/>
    </xf>
    <xf numFmtId="177" fontId="26" fillId="0" borderId="34" xfId="0" applyNumberFormat="1" applyFont="1" applyFill="1" applyBorder="1" applyAlignment="1">
      <alignment vertical="center"/>
    </xf>
    <xf numFmtId="0" fontId="0" fillId="0" borderId="27" xfId="0" applyBorder="1" applyAlignment="1">
      <alignment vertical="center"/>
    </xf>
    <xf numFmtId="0" fontId="0" fillId="0" borderId="28" xfId="0" applyBorder="1" applyAlignment="1">
      <alignment vertical="center"/>
    </xf>
    <xf numFmtId="0" fontId="0" fillId="0" borderId="25" xfId="0" applyBorder="1" applyAlignment="1">
      <alignment vertical="center"/>
    </xf>
    <xf numFmtId="0" fontId="33" fillId="0" borderId="22" xfId="0" applyFont="1" applyBorder="1" applyAlignment="1">
      <alignment horizontal="center" vertical="center"/>
    </xf>
    <xf numFmtId="0" fontId="44" fillId="2" borderId="22" xfId="0" applyFont="1" applyFill="1" applyBorder="1" applyAlignment="1">
      <alignment horizontal="center" vertical="center" shrinkToFit="1"/>
    </xf>
    <xf numFmtId="0" fontId="33" fillId="4" borderId="22" xfId="0" applyFont="1" applyFill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1" fontId="0" fillId="0" borderId="22" xfId="0" applyNumberFormat="1" applyBorder="1" applyAlignment="1">
      <alignment horizontal="center" vertical="center"/>
    </xf>
    <xf numFmtId="0" fontId="0" fillId="4" borderId="22" xfId="0" applyFill="1" applyBorder="1" applyAlignment="1">
      <alignment horizontal="center" vertical="center"/>
    </xf>
    <xf numFmtId="0" fontId="0" fillId="5" borderId="22" xfId="0" applyFill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179" fontId="55" fillId="0" borderId="0" xfId="0" applyNumberFormat="1" applyFont="1" applyFill="1" applyAlignment="1">
      <alignment horizontal="center"/>
    </xf>
    <xf numFmtId="0" fontId="0" fillId="0" borderId="27" xfId="0" applyBorder="1" applyAlignment="1">
      <alignment horizontal="left" vertical="center"/>
    </xf>
    <xf numFmtId="1" fontId="28" fillId="0" borderId="22" xfId="0" applyNumberFormat="1" applyFont="1" applyBorder="1" applyAlignment="1">
      <alignment shrinkToFit="1"/>
    </xf>
    <xf numFmtId="0" fontId="33" fillId="0" borderId="27" xfId="0" applyFont="1" applyBorder="1" applyAlignment="1">
      <alignment vertical="center"/>
    </xf>
    <xf numFmtId="0" fontId="33" fillId="0" borderId="22" xfId="0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44" fillId="2" borderId="22" xfId="0" applyFont="1" applyFill="1" applyBorder="1" applyAlignment="1">
      <alignment horizontal="center" vertical="center" shrinkToFit="1"/>
    </xf>
    <xf numFmtId="0" fontId="33" fillId="0" borderId="27" xfId="0" applyFont="1" applyBorder="1" applyAlignment="1">
      <alignment horizontal="left" vertical="center"/>
    </xf>
    <xf numFmtId="1" fontId="0" fillId="0" borderId="22" xfId="0" applyNumberFormat="1" applyFont="1" applyFill="1" applyBorder="1" applyAlignment="1">
      <alignment horizontal="center" vertical="center"/>
    </xf>
    <xf numFmtId="183" fontId="0" fillId="0" borderId="22" xfId="0" applyNumberForma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1" fontId="0" fillId="0" borderId="22" xfId="0" applyNumberFormat="1" applyBorder="1" applyAlignment="1">
      <alignment horizontal="center" vertical="center"/>
    </xf>
    <xf numFmtId="0" fontId="33" fillId="0" borderId="22" xfId="0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1" fontId="0" fillId="0" borderId="22" xfId="0" applyNumberFormat="1" applyBorder="1" applyAlignment="1">
      <alignment horizontal="center" vertical="center"/>
    </xf>
    <xf numFmtId="0" fontId="24" fillId="0" borderId="27" xfId="0" applyFont="1" applyBorder="1" applyAlignment="1">
      <alignment vertical="center"/>
    </xf>
    <xf numFmtId="0" fontId="0" fillId="0" borderId="22" xfId="0" applyFont="1" applyBorder="1" applyAlignment="1">
      <alignment horizontal="center" vertical="center"/>
    </xf>
    <xf numFmtId="0" fontId="33" fillId="0" borderId="22" xfId="0" applyFont="1" applyBorder="1" applyAlignment="1">
      <alignment horizontal="center" vertical="center"/>
    </xf>
    <xf numFmtId="0" fontId="33" fillId="4" borderId="22" xfId="0" applyFont="1" applyFill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33" fillId="0" borderId="22" xfId="0" applyFont="1" applyFill="1" applyBorder="1" applyAlignment="1">
      <alignment horizontal="center" vertical="center"/>
    </xf>
    <xf numFmtId="0" fontId="33" fillId="0" borderId="22" xfId="0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183" fontId="0" fillId="0" borderId="22" xfId="0" applyNumberFormat="1" applyBorder="1" applyAlignment="1">
      <alignment horizontal="center" vertical="center"/>
    </xf>
    <xf numFmtId="1" fontId="0" fillId="0" borderId="31" xfId="0" applyNumberFormat="1" applyFont="1" applyFill="1" applyBorder="1" applyAlignment="1">
      <alignment horizontal="center" vertical="center"/>
    </xf>
    <xf numFmtId="1" fontId="0" fillId="0" borderId="22" xfId="0" applyNumberFormat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1" fontId="0" fillId="0" borderId="31" xfId="0" applyNumberFormat="1" applyFont="1" applyFill="1" applyBorder="1" applyAlignment="1">
      <alignment horizontal="center" vertical="center"/>
    </xf>
    <xf numFmtId="1" fontId="0" fillId="0" borderId="22" xfId="0" applyNumberFormat="1" applyBorder="1" applyAlignment="1">
      <alignment horizontal="center" vertical="center"/>
    </xf>
    <xf numFmtId="0" fontId="29" fillId="0" borderId="0" xfId="11" applyFont="1" applyAlignment="1">
      <alignment horizontal="center" vertical="center"/>
    </xf>
    <xf numFmtId="1" fontId="7" fillId="3" borderId="1" xfId="0" applyNumberFormat="1" applyFont="1" applyFill="1" applyBorder="1" applyAlignment="1">
      <alignment shrinkToFit="1"/>
    </xf>
    <xf numFmtId="1" fontId="28" fillId="3" borderId="18" xfId="0" applyNumberFormat="1" applyFont="1" applyFill="1" applyBorder="1" applyAlignment="1">
      <alignment shrinkToFit="1"/>
    </xf>
    <xf numFmtId="0" fontId="0" fillId="0" borderId="0" xfId="0"/>
    <xf numFmtId="1" fontId="29" fillId="0" borderId="67" xfId="11" applyNumberFormat="1" applyFont="1" applyBorder="1" applyAlignment="1">
      <alignment horizontal="center" vertical="center"/>
    </xf>
    <xf numFmtId="0" fontId="0" fillId="0" borderId="0" xfId="5" applyFont="1"/>
    <xf numFmtId="1" fontId="29" fillId="0" borderId="22" xfId="11" applyNumberFormat="1" applyFont="1" applyBorder="1" applyAlignment="1">
      <alignment horizontal="center" vertical="center"/>
    </xf>
    <xf numFmtId="1" fontId="65" fillId="0" borderId="68" xfId="11" applyNumberFormat="1" applyFont="1" applyBorder="1" applyAlignment="1">
      <alignment horizontal="center" vertical="center"/>
    </xf>
    <xf numFmtId="9" fontId="29" fillId="0" borderId="68" xfId="13" applyFont="1" applyBorder="1" applyAlignment="1">
      <alignment horizontal="center" vertical="center"/>
    </xf>
    <xf numFmtId="0" fontId="26" fillId="0" borderId="69" xfId="11" applyFont="1" applyBorder="1" applyAlignment="1">
      <alignment shrinkToFit="1"/>
    </xf>
    <xf numFmtId="0" fontId="26" fillId="0" borderId="69" xfId="11" applyFont="1" applyFill="1" applyBorder="1" applyAlignment="1">
      <alignment shrinkToFit="1"/>
    </xf>
    <xf numFmtId="0" fontId="26" fillId="0" borderId="0" xfId="11" applyFont="1" applyFill="1" applyBorder="1" applyAlignment="1">
      <alignment shrinkToFit="1"/>
    </xf>
    <xf numFmtId="0" fontId="0" fillId="0" borderId="22" xfId="0" applyFont="1" applyBorder="1" applyAlignment="1">
      <alignment horizontal="center" vertical="center"/>
    </xf>
    <xf numFmtId="1" fontId="0" fillId="0" borderId="31" xfId="0" applyNumberFormat="1" applyFont="1" applyFill="1" applyBorder="1" applyAlignment="1">
      <alignment horizontal="center" vertical="center"/>
    </xf>
    <xf numFmtId="1" fontId="0" fillId="0" borderId="22" xfId="0" applyNumberFormat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1" fontId="0" fillId="0" borderId="31" xfId="0" applyNumberFormat="1" applyFont="1" applyFill="1" applyBorder="1" applyAlignment="1">
      <alignment horizontal="center" vertical="center"/>
    </xf>
    <xf numFmtId="1" fontId="0" fillId="0" borderId="22" xfId="0" applyNumberFormat="1" applyBorder="1" applyAlignment="1">
      <alignment horizontal="center" vertical="center"/>
    </xf>
    <xf numFmtId="1" fontId="0" fillId="0" borderId="22" xfId="0" applyNumberFormat="1" applyBorder="1" applyAlignment="1">
      <alignment horizontal="center" vertical="center"/>
    </xf>
    <xf numFmtId="1" fontId="27" fillId="0" borderId="22" xfId="0" applyNumberFormat="1" applyFont="1" applyBorder="1" applyAlignment="1">
      <alignment shrinkToFit="1"/>
    </xf>
    <xf numFmtId="0" fontId="63" fillId="0" borderId="0" xfId="0" applyFont="1" applyFill="1" applyAlignment="1">
      <alignment vertical="center"/>
    </xf>
    <xf numFmtId="187" fontId="63" fillId="0" borderId="0" xfId="0" applyNumberFormat="1" applyFont="1" applyFill="1" applyAlignment="1"/>
    <xf numFmtId="187" fontId="63" fillId="0" borderId="0" xfId="0" applyNumberFormat="1" applyFont="1" applyFill="1" applyAlignment="1">
      <alignment vertical="center"/>
    </xf>
    <xf numFmtId="10" fontId="63" fillId="0" borderId="0" xfId="0" applyNumberFormat="1" applyFont="1" applyFill="1" applyAlignment="1">
      <alignment vertical="center"/>
    </xf>
    <xf numFmtId="0" fontId="63" fillId="0" borderId="0" xfId="0" applyFont="1" applyFill="1" applyAlignment="1"/>
    <xf numFmtId="176" fontId="63" fillId="0" borderId="0" xfId="0" applyNumberFormat="1" applyFont="1" applyFill="1" applyAlignment="1"/>
    <xf numFmtId="187" fontId="55" fillId="9" borderId="0" xfId="0" applyNumberFormat="1" applyFont="1" applyFill="1" applyAlignment="1"/>
    <xf numFmtId="187" fontId="55" fillId="0" borderId="0" xfId="0" applyNumberFormat="1" applyFont="1" applyFill="1" applyAlignment="1"/>
    <xf numFmtId="187" fontId="55" fillId="0" borderId="0" xfId="0" applyNumberFormat="1" applyFont="1" applyFill="1" applyAlignment="1">
      <alignment vertical="center"/>
    </xf>
    <xf numFmtId="177" fontId="55" fillId="9" borderId="0" xfId="0" applyNumberFormat="1" applyFont="1" applyFill="1" applyAlignment="1"/>
    <xf numFmtId="177" fontId="55" fillId="0" borderId="0" xfId="0" applyNumberFormat="1" applyFont="1" applyFill="1" applyAlignment="1">
      <alignment vertical="center"/>
    </xf>
    <xf numFmtId="10" fontId="55" fillId="0" borderId="0" xfId="0" applyNumberFormat="1" applyFont="1" applyFill="1" applyAlignment="1"/>
    <xf numFmtId="10" fontId="55" fillId="0" borderId="0" xfId="0" applyNumberFormat="1" applyFont="1" applyFill="1" applyAlignment="1">
      <alignment vertical="center"/>
    </xf>
    <xf numFmtId="176" fontId="55" fillId="0" borderId="0" xfId="0" applyNumberFormat="1" applyFont="1" applyFill="1" applyAlignment="1"/>
    <xf numFmtId="180" fontId="55" fillId="9" borderId="0" xfId="0" applyNumberFormat="1" applyFont="1" applyFill="1" applyAlignment="1"/>
    <xf numFmtId="180" fontId="55" fillId="0" borderId="0" xfId="0" applyNumberFormat="1" applyFont="1" applyFill="1" applyAlignment="1"/>
    <xf numFmtId="185" fontId="55" fillId="0" borderId="0" xfId="0" applyNumberFormat="1" applyFont="1" applyFill="1" applyAlignment="1"/>
    <xf numFmtId="189" fontId="55" fillId="9" borderId="0" xfId="0" applyNumberFormat="1" applyFont="1" applyFill="1" applyAlignment="1"/>
    <xf numFmtId="189" fontId="55" fillId="0" borderId="0" xfId="0" applyNumberFormat="1" applyFont="1" applyFill="1" applyAlignment="1"/>
    <xf numFmtId="180" fontId="55" fillId="0" borderId="0" xfId="0" applyNumberFormat="1" applyFont="1" applyAlignment="1"/>
    <xf numFmtId="10" fontId="55" fillId="0" borderId="0" xfId="0" applyNumberFormat="1" applyFont="1" applyAlignment="1"/>
    <xf numFmtId="0" fontId="96" fillId="0" borderId="0" xfId="0" applyFont="1" applyFill="1" applyAlignment="1">
      <alignment vertical="center"/>
    </xf>
    <xf numFmtId="185" fontId="63" fillId="0" borderId="0" xfId="0" applyNumberFormat="1" applyFont="1" applyFill="1" applyAlignment="1"/>
    <xf numFmtId="189" fontId="63" fillId="0" borderId="0" xfId="0" applyNumberFormat="1" applyFont="1" applyFill="1" applyAlignment="1"/>
    <xf numFmtId="0" fontId="63" fillId="0" borderId="0" xfId="0" applyFont="1" applyAlignment="1"/>
    <xf numFmtId="186" fontId="63" fillId="0" borderId="0" xfId="0" applyNumberFormat="1" applyFont="1" applyFill="1" applyAlignment="1"/>
    <xf numFmtId="186" fontId="101" fillId="0" borderId="34" xfId="0" applyNumberFormat="1" applyFont="1" applyFill="1" applyBorder="1" applyAlignment="1">
      <alignment vertical="center"/>
    </xf>
    <xf numFmtId="182" fontId="63" fillId="0" borderId="0" xfId="0" applyNumberFormat="1" applyFont="1" applyFill="1" applyAlignment="1"/>
    <xf numFmtId="186" fontId="102" fillId="9" borderId="22" xfId="0" applyNumberFormat="1" applyFont="1" applyFill="1" applyBorder="1" applyAlignment="1"/>
    <xf numFmtId="186" fontId="102" fillId="0" borderId="22" xfId="0" applyNumberFormat="1" applyFont="1" applyFill="1" applyBorder="1" applyAlignment="1"/>
    <xf numFmtId="177" fontId="55" fillId="0" borderId="34" xfId="0" applyNumberFormat="1" applyFont="1" applyFill="1" applyBorder="1" applyAlignment="1">
      <alignment vertical="center"/>
    </xf>
    <xf numFmtId="183" fontId="26" fillId="0" borderId="0" xfId="0" applyNumberFormat="1" applyFont="1" applyAlignment="1">
      <alignment horizontal="center" vertical="center" shrinkToFit="1"/>
    </xf>
    <xf numFmtId="1" fontId="26" fillId="0" borderId="0" xfId="0" applyNumberFormat="1" applyFont="1" applyAlignment="1">
      <alignment horizontal="center" vertical="center" shrinkToFit="1"/>
    </xf>
    <xf numFmtId="1" fontId="26" fillId="0" borderId="0" xfId="0" applyNumberFormat="1" applyFont="1" applyAlignment="1">
      <alignment shrinkToFit="1"/>
    </xf>
    <xf numFmtId="0" fontId="33" fillId="0" borderId="22" xfId="0" applyFont="1" applyBorder="1" applyAlignment="1">
      <alignment horizontal="center" vertical="center"/>
    </xf>
    <xf numFmtId="0" fontId="104" fillId="0" borderId="27" xfId="0" applyFont="1" applyBorder="1" applyAlignment="1">
      <alignment horizontal="left" vertical="center"/>
    </xf>
    <xf numFmtId="0" fontId="103" fillId="0" borderId="27" xfId="0" applyFont="1" applyBorder="1" applyAlignment="1">
      <alignment vertical="center"/>
    </xf>
    <xf numFmtId="0" fontId="103" fillId="0" borderId="27" xfId="0" applyFont="1" applyBorder="1" applyAlignment="1">
      <alignment horizontal="left" vertical="center"/>
    </xf>
    <xf numFmtId="1" fontId="0" fillId="0" borderId="31" xfId="0" applyNumberFormat="1" applyFont="1" applyFill="1" applyBorder="1" applyAlignment="1">
      <alignment horizontal="center" vertical="center"/>
    </xf>
    <xf numFmtId="1" fontId="0" fillId="0" borderId="22" xfId="0" applyNumberFormat="1" applyBorder="1" applyAlignment="1">
      <alignment horizontal="center" vertical="center"/>
    </xf>
    <xf numFmtId="1" fontId="0" fillId="0" borderId="22" xfId="0" applyNumberFormat="1" applyBorder="1" applyAlignment="1">
      <alignment horizontal="center" vertical="center"/>
    </xf>
    <xf numFmtId="0" fontId="36" fillId="5" borderId="23" xfId="5" applyFont="1" applyFill="1" applyBorder="1" applyAlignment="1">
      <alignment horizontal="center" vertical="center"/>
    </xf>
    <xf numFmtId="0" fontId="80" fillId="0" borderId="22" xfId="11" applyFont="1" applyBorder="1" applyAlignment="1">
      <alignment horizontal="center" vertical="center"/>
    </xf>
    <xf numFmtId="0" fontId="32" fillId="0" borderId="0" xfId="11" applyFont="1"/>
    <xf numFmtId="9" fontId="29" fillId="0" borderId="68" xfId="13" applyFont="1" applyBorder="1" applyAlignment="1">
      <alignment horizontal="center"/>
    </xf>
    <xf numFmtId="0" fontId="106" fillId="0" borderId="0" xfId="581" applyFont="1">
      <alignment vertical="center"/>
    </xf>
    <xf numFmtId="0" fontId="37" fillId="0" borderId="0" xfId="581" applyFont="1">
      <alignment vertical="center"/>
    </xf>
    <xf numFmtId="0" fontId="98" fillId="0" borderId="25" xfId="581" applyFont="1" applyBorder="1" applyAlignment="1">
      <alignment horizontal="center" vertical="center" wrapText="1"/>
    </xf>
    <xf numFmtId="0" fontId="107" fillId="0" borderId="25" xfId="581" applyFont="1" applyBorder="1" applyAlignment="1">
      <alignment horizontal="center" vertical="center" wrapText="1"/>
    </xf>
    <xf numFmtId="0" fontId="98" fillId="0" borderId="0" xfId="581" applyFont="1">
      <alignment vertical="center"/>
    </xf>
    <xf numFmtId="10" fontId="98" fillId="0" borderId="23" xfId="581" applyNumberFormat="1" applyFont="1" applyBorder="1" applyAlignment="1">
      <alignment horizontal="center" vertical="center"/>
    </xf>
    <xf numFmtId="194" fontId="107" fillId="0" borderId="23" xfId="581" applyNumberFormat="1" applyFont="1" applyBorder="1" applyAlignment="1">
      <alignment horizontal="center" vertical="center"/>
    </xf>
    <xf numFmtId="10" fontId="107" fillId="0" borderId="23" xfId="581" applyNumberFormat="1" applyFont="1" applyBorder="1" applyAlignment="1">
      <alignment horizontal="center" vertical="center"/>
    </xf>
    <xf numFmtId="0" fontId="98" fillId="0" borderId="0" xfId="581" applyFont="1" applyAlignment="1">
      <alignment horizontal="center" vertical="center"/>
    </xf>
    <xf numFmtId="10" fontId="98" fillId="0" borderId="0" xfId="3" applyNumberFormat="1" applyFont="1" applyFill="1" applyBorder="1" applyAlignment="1">
      <alignment horizontal="center" vertical="center"/>
    </xf>
    <xf numFmtId="0" fontId="99" fillId="0" borderId="23" xfId="581" applyFont="1" applyBorder="1" applyAlignment="1">
      <alignment horizontal="center" vertical="center" wrapText="1"/>
    </xf>
    <xf numFmtId="0" fontId="108" fillId="0" borderId="23" xfId="581" applyFont="1" applyBorder="1" applyAlignment="1">
      <alignment horizontal="center" vertical="center" wrapText="1"/>
    </xf>
    <xf numFmtId="194" fontId="98" fillId="0" borderId="0" xfId="581" applyNumberFormat="1" applyFont="1">
      <alignment vertical="center"/>
    </xf>
    <xf numFmtId="194" fontId="109" fillId="0" borderId="0" xfId="581" applyNumberFormat="1" applyFont="1">
      <alignment vertical="center"/>
    </xf>
    <xf numFmtId="195" fontId="106" fillId="0" borderId="0" xfId="581" applyNumberFormat="1" applyFont="1">
      <alignment vertical="center"/>
    </xf>
    <xf numFmtId="195" fontId="37" fillId="0" borderId="0" xfId="581" applyNumberFormat="1" applyFont="1">
      <alignment vertical="center"/>
    </xf>
    <xf numFmtId="193" fontId="82" fillId="5" borderId="22" xfId="5" applyNumberFormat="1" applyFont="1" applyFill="1" applyBorder="1" applyAlignment="1">
      <alignment horizontal="center" vertical="center"/>
    </xf>
    <xf numFmtId="194" fontId="106" fillId="8" borderId="22" xfId="581" applyNumberFormat="1" applyFont="1" applyFill="1" applyBorder="1" applyAlignment="1">
      <alignment horizontal="center" vertical="center"/>
    </xf>
    <xf numFmtId="194" fontId="106" fillId="8" borderId="22" xfId="582" applyNumberFormat="1" applyFont="1" applyFill="1" applyBorder="1" applyAlignment="1">
      <alignment horizontal="center" vertical="center"/>
    </xf>
    <xf numFmtId="189" fontId="106" fillId="0" borderId="22" xfId="581" applyNumberFormat="1" applyFont="1" applyBorder="1" applyAlignment="1">
      <alignment horizontal="center" vertical="center"/>
    </xf>
    <xf numFmtId="10" fontId="106" fillId="0" borderId="22" xfId="3" applyNumberFormat="1" applyFont="1" applyBorder="1" applyAlignment="1">
      <alignment horizontal="center" vertical="center"/>
    </xf>
    <xf numFmtId="194" fontId="110" fillId="8" borderId="22" xfId="582" applyNumberFormat="1" applyFont="1" applyFill="1" applyBorder="1" applyAlignment="1">
      <alignment horizontal="center" vertical="center"/>
    </xf>
    <xf numFmtId="10" fontId="110" fillId="0" borderId="22" xfId="3" applyNumberFormat="1" applyFont="1" applyBorder="1" applyAlignment="1">
      <alignment horizontal="center" vertical="center"/>
    </xf>
    <xf numFmtId="193" fontId="82" fillId="14" borderId="22" xfId="5" applyNumberFormat="1" applyFont="1" applyFill="1" applyBorder="1" applyAlignment="1">
      <alignment horizontal="center" vertical="center"/>
    </xf>
    <xf numFmtId="193" fontId="82" fillId="0" borderId="22" xfId="5" applyNumberFormat="1" applyFont="1" applyBorder="1" applyAlignment="1">
      <alignment horizontal="center" vertical="center"/>
    </xf>
    <xf numFmtId="194" fontId="106" fillId="8" borderId="22" xfId="583" applyNumberFormat="1" applyFont="1" applyFill="1" applyBorder="1" applyAlignment="1">
      <alignment horizontal="center" vertical="center"/>
    </xf>
    <xf numFmtId="0" fontId="33" fillId="0" borderId="22" xfId="0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1" fontId="0" fillId="0" borderId="22" xfId="0" applyNumberFormat="1" applyFont="1" applyBorder="1" applyAlignment="1">
      <alignment horizontal="center" vertical="center"/>
    </xf>
    <xf numFmtId="1" fontId="0" fillId="0" borderId="22" xfId="0" applyNumberFormat="1" applyBorder="1" applyAlignment="1">
      <alignment horizontal="center" vertical="center"/>
    </xf>
    <xf numFmtId="0" fontId="33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0" fontId="33" fillId="0" borderId="22" xfId="0" applyFont="1" applyFill="1" applyBorder="1" applyAlignment="1">
      <alignment horizontal="center" vertical="center"/>
    </xf>
    <xf numFmtId="1" fontId="0" fillId="0" borderId="22" xfId="0" applyNumberFormat="1" applyFont="1" applyBorder="1" applyAlignment="1">
      <alignment horizontal="center" vertical="center"/>
    </xf>
    <xf numFmtId="0" fontId="33" fillId="0" borderId="22" xfId="0" applyFont="1" applyBorder="1" applyAlignment="1">
      <alignment horizontal="center" vertical="center"/>
    </xf>
    <xf numFmtId="0" fontId="33" fillId="0" borderId="22" xfId="0" applyFont="1" applyFill="1" applyBorder="1" applyAlignment="1">
      <alignment horizontal="center" vertical="center"/>
    </xf>
    <xf numFmtId="0" fontId="33" fillId="0" borderId="22" xfId="0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1" fontId="0" fillId="0" borderId="31" xfId="0" applyNumberFormat="1" applyFont="1" applyFill="1" applyBorder="1" applyAlignment="1">
      <alignment horizontal="center" vertical="center"/>
    </xf>
    <xf numFmtId="43" fontId="7" fillId="0" borderId="0" xfId="0" applyNumberFormat="1" applyFont="1" applyBorder="1" applyAlignment="1">
      <alignment horizontal="center" vertical="center" shrinkToFit="1"/>
    </xf>
    <xf numFmtId="176" fontId="26" fillId="19" borderId="0" xfId="0" applyNumberFormat="1" applyFont="1" applyFill="1" applyAlignment="1"/>
    <xf numFmtId="177" fontId="26" fillId="19" borderId="0" xfId="0" applyNumberFormat="1" applyFont="1" applyFill="1" applyAlignment="1"/>
    <xf numFmtId="0" fontId="0" fillId="0" borderId="22" xfId="0" applyFont="1" applyBorder="1" applyAlignment="1">
      <alignment horizontal="center" vertical="center"/>
    </xf>
    <xf numFmtId="1" fontId="0" fillId="0" borderId="22" xfId="0" applyNumberFormat="1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" fontId="0" fillId="0" borderId="22" xfId="0" applyNumberFormat="1" applyFont="1" applyBorder="1" applyAlignment="1">
      <alignment horizontal="center" vertical="center"/>
    </xf>
    <xf numFmtId="0" fontId="77" fillId="0" borderId="0" xfId="0" applyFont="1" applyFill="1" applyBorder="1" applyAlignment="1">
      <alignment shrinkToFit="1"/>
    </xf>
    <xf numFmtId="0" fontId="104" fillId="0" borderId="27" xfId="0" applyFont="1" applyBorder="1" applyAlignment="1">
      <alignment vertical="center"/>
    </xf>
    <xf numFmtId="0" fontId="28" fillId="0" borderId="43" xfId="11" applyFont="1" applyFill="1" applyBorder="1" applyAlignment="1">
      <alignment horizontal="center" vertical="center" shrinkToFit="1"/>
    </xf>
    <xf numFmtId="0" fontId="28" fillId="0" borderId="0" xfId="11" applyFont="1" applyFill="1" applyBorder="1" applyAlignment="1">
      <alignment vertical="center" shrinkToFit="1"/>
    </xf>
    <xf numFmtId="0" fontId="117" fillId="0" borderId="51" xfId="11" applyFont="1" applyBorder="1" applyAlignment="1">
      <alignment shrinkToFit="1"/>
    </xf>
    <xf numFmtId="184" fontId="96" fillId="13" borderId="52" xfId="11" applyNumberFormat="1" applyFont="1" applyFill="1" applyBorder="1" applyAlignment="1">
      <alignment shrinkToFit="1"/>
    </xf>
    <xf numFmtId="0" fontId="118" fillId="0" borderId="53" xfId="11" applyFont="1" applyBorder="1" applyAlignment="1">
      <alignment shrinkToFit="1"/>
    </xf>
    <xf numFmtId="0" fontId="28" fillId="0" borderId="42" xfId="11" applyFont="1" applyFill="1" applyBorder="1" applyAlignment="1">
      <alignment horizontal="center" vertical="center" shrinkToFit="1"/>
    </xf>
    <xf numFmtId="0" fontId="28" fillId="0" borderId="25" xfId="11" applyFont="1" applyFill="1" applyBorder="1" applyAlignment="1">
      <alignment horizontal="center" vertical="center" shrinkToFit="1"/>
    </xf>
    <xf numFmtId="0" fontId="28" fillId="0" borderId="27" xfId="11" applyFont="1" applyFill="1" applyBorder="1" applyAlignment="1">
      <alignment horizontal="center" vertical="center" shrinkToFit="1"/>
    </xf>
    <xf numFmtId="0" fontId="120" fillId="0" borderId="44" xfId="11" applyFont="1" applyFill="1" applyBorder="1" applyAlignment="1">
      <alignment horizontal="center" shrinkToFit="1"/>
    </xf>
    <xf numFmtId="3" fontId="80" fillId="20" borderId="6" xfId="11" applyNumberFormat="1" applyFont="1" applyFill="1" applyBorder="1" applyAlignment="1">
      <alignment shrinkToFit="1"/>
    </xf>
    <xf numFmtId="10" fontId="80" fillId="0" borderId="60" xfId="11" applyNumberFormat="1" applyFont="1" applyFill="1" applyBorder="1" applyAlignment="1">
      <alignment shrinkToFit="1"/>
    </xf>
    <xf numFmtId="0" fontId="120" fillId="0" borderId="61" xfId="11" applyFont="1" applyFill="1" applyBorder="1" applyAlignment="1">
      <alignment horizontal="center" shrinkToFit="1"/>
    </xf>
    <xf numFmtId="3" fontId="28" fillId="20" borderId="42" xfId="11" applyNumberFormat="1" applyFont="1" applyFill="1" applyBorder="1" applyAlignment="1">
      <alignment shrinkToFit="1"/>
    </xf>
    <xf numFmtId="10" fontId="28" fillId="0" borderId="43" xfId="11" applyNumberFormat="1" applyFont="1" applyFill="1" applyBorder="1" applyAlignment="1">
      <alignment shrinkToFit="1"/>
    </xf>
    <xf numFmtId="10" fontId="28" fillId="0" borderId="27" xfId="11" applyNumberFormat="1" applyFont="1" applyFill="1" applyBorder="1" applyAlignment="1">
      <alignment shrinkToFit="1"/>
    </xf>
    <xf numFmtId="0" fontId="120" fillId="0" borderId="62" xfId="11" applyFont="1" applyFill="1" applyBorder="1" applyAlignment="1">
      <alignment horizontal="center" shrinkToFit="1"/>
    </xf>
    <xf numFmtId="3" fontId="80" fillId="20" borderId="45" xfId="11" applyNumberFormat="1" applyFont="1" applyFill="1" applyBorder="1" applyAlignment="1">
      <alignment shrinkToFit="1"/>
    </xf>
    <xf numFmtId="10" fontId="80" fillId="0" borderId="63" xfId="11" applyNumberFormat="1" applyFont="1" applyFill="1" applyBorder="1" applyAlignment="1">
      <alignment shrinkToFit="1"/>
    </xf>
    <xf numFmtId="0" fontId="120" fillId="0" borderId="64" xfId="11" applyFont="1" applyFill="1" applyBorder="1" applyAlignment="1">
      <alignment horizontal="center" shrinkToFit="1"/>
    </xf>
    <xf numFmtId="3" fontId="28" fillId="20" borderId="65" xfId="11" applyNumberFormat="1" applyFont="1" applyFill="1" applyBorder="1" applyAlignment="1">
      <alignment shrinkToFit="1"/>
    </xf>
    <xf numFmtId="10" fontId="28" fillId="0" borderId="47" xfId="11" applyNumberFormat="1" applyFont="1" applyFill="1" applyBorder="1" applyAlignment="1">
      <alignment shrinkToFit="1"/>
    </xf>
    <xf numFmtId="10" fontId="28" fillId="0" borderId="46" xfId="11" applyNumberFormat="1" applyFont="1" applyFill="1" applyBorder="1" applyAlignment="1">
      <alignment shrinkToFit="1"/>
    </xf>
    <xf numFmtId="10" fontId="28" fillId="0" borderId="66" xfId="11" applyNumberFormat="1" applyFont="1" applyFill="1" applyBorder="1" applyAlignment="1">
      <alignment shrinkToFit="1"/>
    </xf>
    <xf numFmtId="0" fontId="7" fillId="2" borderId="16" xfId="0" applyFont="1" applyFill="1" applyBorder="1" applyAlignment="1">
      <alignment horizontal="center" shrinkToFit="1"/>
    </xf>
    <xf numFmtId="0" fontId="122" fillId="0" borderId="22" xfId="11" applyFont="1" applyBorder="1" applyAlignment="1">
      <alignment horizontal="center" vertical="center"/>
    </xf>
    <xf numFmtId="0" fontId="122" fillId="8" borderId="22" xfId="11" applyFont="1" applyFill="1" applyBorder="1" applyAlignment="1">
      <alignment horizontal="left" vertical="center"/>
    </xf>
    <xf numFmtId="197" fontId="80" fillId="4" borderId="22" xfId="11" applyNumberFormat="1" applyFont="1" applyFill="1" applyBorder="1" applyAlignment="1">
      <alignment horizontal="center" vertical="center"/>
    </xf>
    <xf numFmtId="192" fontId="80" fillId="8" borderId="22" xfId="11" applyNumberFormat="1" applyFont="1" applyFill="1" applyBorder="1" applyAlignment="1">
      <alignment horizontal="center" vertical="center"/>
    </xf>
    <xf numFmtId="198" fontId="80" fillId="8" borderId="22" xfId="11" applyNumberFormat="1" applyFont="1" applyFill="1" applyBorder="1" applyAlignment="1">
      <alignment horizontal="center" vertical="center"/>
    </xf>
    <xf numFmtId="185" fontId="80" fillId="0" borderId="22" xfId="13" applyNumberFormat="1" applyFont="1" applyFill="1" applyBorder="1" applyAlignment="1">
      <alignment horizontal="center" vertical="center"/>
    </xf>
    <xf numFmtId="198" fontId="80" fillId="8" borderId="22" xfId="13" applyNumberFormat="1" applyFont="1" applyFill="1" applyBorder="1" applyAlignment="1">
      <alignment horizontal="center" vertical="center"/>
    </xf>
    <xf numFmtId="198" fontId="80" fillId="0" borderId="22" xfId="11" applyNumberFormat="1" applyFont="1" applyBorder="1" applyAlignment="1">
      <alignment horizontal="center" vertical="center"/>
    </xf>
    <xf numFmtId="197" fontId="80" fillId="0" borderId="22" xfId="11" applyNumberFormat="1" applyFont="1" applyBorder="1" applyAlignment="1">
      <alignment horizontal="center" vertical="center"/>
    </xf>
    <xf numFmtId="198" fontId="123" fillId="0" borderId="22" xfId="11" applyNumberFormat="1" applyFont="1" applyBorder="1" applyAlignment="1">
      <alignment horizontal="center" vertical="center"/>
    </xf>
    <xf numFmtId="185" fontId="123" fillId="0" borderId="22" xfId="13" applyNumberFormat="1" applyFont="1" applyFill="1" applyBorder="1" applyAlignment="1">
      <alignment horizontal="center" vertical="center"/>
    </xf>
    <xf numFmtId="197" fontId="123" fillId="0" borderId="22" xfId="13" applyNumberFormat="1" applyFont="1" applyFill="1" applyBorder="1" applyAlignment="1">
      <alignment horizontal="center" vertical="center"/>
    </xf>
    <xf numFmtId="0" fontId="124" fillId="0" borderId="22" xfId="11" applyFont="1" applyBorder="1" applyAlignment="1">
      <alignment horizontal="center" vertical="center"/>
    </xf>
    <xf numFmtId="0" fontId="125" fillId="0" borderId="22" xfId="11" applyFont="1" applyBorder="1" applyAlignment="1">
      <alignment horizontal="center" vertical="center"/>
    </xf>
    <xf numFmtId="0" fontId="80" fillId="0" borderId="22" xfId="11" applyFont="1" applyBorder="1" applyAlignment="1">
      <alignment horizontal="left" vertical="center"/>
    </xf>
    <xf numFmtId="197" fontId="80" fillId="0" borderId="22" xfId="13" applyNumberFormat="1" applyFont="1" applyFill="1" applyBorder="1" applyAlignment="1">
      <alignment horizontal="center" vertical="center"/>
    </xf>
    <xf numFmtId="193" fontId="82" fillId="21" borderId="22" xfId="5" applyNumberFormat="1" applyFont="1" applyFill="1" applyBorder="1" applyAlignment="1">
      <alignment horizontal="center" vertical="center"/>
    </xf>
    <xf numFmtId="193" fontId="82" fillId="22" borderId="22" xfId="5" applyNumberFormat="1" applyFont="1" applyFill="1" applyBorder="1" applyAlignment="1">
      <alignment horizontal="center" vertical="center"/>
    </xf>
    <xf numFmtId="194" fontId="126" fillId="8" borderId="22" xfId="4" applyNumberFormat="1" applyFont="1" applyFill="1" applyBorder="1" applyAlignment="1">
      <alignment horizontal="center" vertical="center"/>
    </xf>
    <xf numFmtId="194" fontId="126" fillId="8" borderId="22" xfId="6" applyNumberFormat="1" applyFont="1" applyFill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1" fontId="0" fillId="0" borderId="22" xfId="0" applyNumberFormat="1" applyFont="1" applyBorder="1" applyAlignment="1">
      <alignment horizontal="center" vertical="center"/>
    </xf>
    <xf numFmtId="194" fontId="98" fillId="0" borderId="23" xfId="581" applyNumberFormat="1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1" fontId="0" fillId="0" borderId="22" xfId="0" applyNumberFormat="1" applyFont="1" applyBorder="1" applyAlignment="1">
      <alignment horizontal="center" vertical="center"/>
    </xf>
    <xf numFmtId="0" fontId="44" fillId="0" borderId="22" xfId="0" applyFont="1" applyBorder="1" applyAlignment="1">
      <alignment shrinkToFit="1"/>
    </xf>
    <xf numFmtId="0" fontId="0" fillId="0" borderId="22" xfId="0" applyFont="1" applyBorder="1" applyAlignment="1">
      <alignment horizontal="center" vertical="center"/>
    </xf>
    <xf numFmtId="1" fontId="0" fillId="0" borderId="22" xfId="0" applyNumberFormat="1" applyFont="1" applyBorder="1" applyAlignment="1">
      <alignment horizontal="center" vertical="center"/>
    </xf>
    <xf numFmtId="0" fontId="44" fillId="2" borderId="22" xfId="0" applyFont="1" applyFill="1" applyBorder="1" applyAlignment="1">
      <alignment horizontal="center" shrinkToFit="1"/>
    </xf>
    <xf numFmtId="0" fontId="28" fillId="0" borderId="22" xfId="0" applyFont="1" applyBorder="1" applyAlignment="1">
      <alignment shrinkToFit="1"/>
    </xf>
    <xf numFmtId="0" fontId="99" fillId="0" borderId="27" xfId="581" applyFont="1" applyBorder="1" applyAlignment="1">
      <alignment horizontal="center" vertical="center" wrapText="1"/>
    </xf>
    <xf numFmtId="0" fontId="33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33" fillId="0" borderId="22" xfId="0" applyFont="1" applyFill="1" applyBorder="1" applyAlignment="1">
      <alignment horizontal="center" vertical="center"/>
    </xf>
    <xf numFmtId="183" fontId="0" fillId="0" borderId="22" xfId="0" applyNumberFormat="1" applyBorder="1" applyAlignment="1">
      <alignment horizontal="center" vertical="center"/>
    </xf>
    <xf numFmtId="1" fontId="0" fillId="0" borderId="31" xfId="0" applyNumberFormat="1" applyFont="1" applyFill="1" applyBorder="1" applyAlignment="1">
      <alignment horizontal="center" vertical="center"/>
    </xf>
    <xf numFmtId="1" fontId="0" fillId="0" borderId="22" xfId="0" applyNumberFormat="1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1" fontId="0" fillId="0" borderId="22" xfId="0" applyNumberFormat="1" applyFont="1" applyBorder="1" applyAlignment="1">
      <alignment horizontal="center" vertical="center"/>
    </xf>
    <xf numFmtId="0" fontId="44" fillId="0" borderId="22" xfId="0" applyFont="1" applyBorder="1" applyAlignment="1">
      <alignment shrinkToFit="1"/>
    </xf>
    <xf numFmtId="0" fontId="44" fillId="2" borderId="22" xfId="0" applyFont="1" applyFill="1" applyBorder="1" applyAlignment="1">
      <alignment horizontal="center" shrinkToFit="1"/>
    </xf>
    <xf numFmtId="0" fontId="28" fillId="0" borderId="22" xfId="0" applyFont="1" applyBorder="1" applyAlignment="1">
      <alignment shrinkToFit="1"/>
    </xf>
    <xf numFmtId="0" fontId="0" fillId="0" borderId="0" xfId="0" applyFont="1" applyAlignment="1">
      <alignment shrinkToFit="1"/>
    </xf>
    <xf numFmtId="0" fontId="28" fillId="0" borderId="22" xfId="11" applyFont="1" applyFill="1" applyBorder="1" applyAlignment="1">
      <alignment horizontal="center" vertical="center" shrinkToFit="1"/>
    </xf>
    <xf numFmtId="0" fontId="28" fillId="2" borderId="4" xfId="0" applyFont="1" applyFill="1" applyBorder="1" applyAlignment="1">
      <alignment horizontal="center" vertical="center" shrinkToFit="1"/>
    </xf>
    <xf numFmtId="0" fontId="28" fillId="2" borderId="2" xfId="0" applyFont="1" applyFill="1" applyBorder="1" applyAlignment="1">
      <alignment horizontal="center" vertical="center" shrinkToFit="1"/>
    </xf>
    <xf numFmtId="0" fontId="28" fillId="2" borderId="3" xfId="0" applyFont="1" applyFill="1" applyBorder="1" applyAlignment="1">
      <alignment horizontal="center" vertical="center" shrinkToFit="1"/>
    </xf>
    <xf numFmtId="0" fontId="7" fillId="2" borderId="4" xfId="0" applyFont="1" applyFill="1" applyBorder="1" applyAlignment="1">
      <alignment horizontal="center" vertical="center" shrinkToFit="1"/>
    </xf>
    <xf numFmtId="0" fontId="7" fillId="2" borderId="2" xfId="0" applyFont="1" applyFill="1" applyBorder="1" applyAlignment="1">
      <alignment horizontal="center" vertical="center" shrinkToFit="1"/>
    </xf>
    <xf numFmtId="0" fontId="7" fillId="2" borderId="3" xfId="0" applyFont="1" applyFill="1" applyBorder="1" applyAlignment="1">
      <alignment horizontal="center" vertical="center" shrinkToFit="1"/>
    </xf>
    <xf numFmtId="0" fontId="7" fillId="2" borderId="22" xfId="0" applyFont="1" applyFill="1" applyBorder="1" applyAlignment="1">
      <alignment horizontal="center" shrinkToFit="1"/>
    </xf>
    <xf numFmtId="0" fontId="36" fillId="5" borderId="22" xfId="580" applyFont="1" applyFill="1" applyBorder="1" applyAlignment="1">
      <alignment horizontal="center" vertical="center" wrapText="1"/>
    </xf>
    <xf numFmtId="0" fontId="80" fillId="5" borderId="22" xfId="580" applyFont="1" applyFill="1" applyBorder="1" applyAlignment="1">
      <alignment horizontal="center" vertical="center" wrapText="1"/>
    </xf>
    <xf numFmtId="0" fontId="8" fillId="0" borderId="4" xfId="0" applyFont="1" applyBorder="1" applyAlignment="1">
      <alignment shrinkToFit="1"/>
    </xf>
    <xf numFmtId="0" fontId="9" fillId="0" borderId="2" xfId="0" applyFont="1" applyBorder="1" applyAlignment="1">
      <alignment shrinkToFit="1"/>
    </xf>
    <xf numFmtId="0" fontId="9" fillId="0" borderId="3" xfId="0" applyFont="1" applyBorder="1" applyAlignment="1">
      <alignment shrinkToFit="1"/>
    </xf>
    <xf numFmtId="0" fontId="8" fillId="2" borderId="4" xfId="0" applyFont="1" applyFill="1" applyBorder="1" applyAlignment="1">
      <alignment shrinkToFit="1"/>
    </xf>
    <xf numFmtId="0" fontId="11" fillId="0" borderId="4" xfId="0" applyFont="1" applyBorder="1" applyAlignment="1">
      <alignment shrinkToFit="1"/>
    </xf>
    <xf numFmtId="0" fontId="7" fillId="0" borderId="4" xfId="0" applyFont="1" applyBorder="1" applyAlignment="1">
      <alignment shrinkToFit="1"/>
    </xf>
    <xf numFmtId="0" fontId="7" fillId="0" borderId="9" xfId="0" applyFont="1" applyBorder="1" applyAlignment="1">
      <alignment shrinkToFit="1"/>
    </xf>
    <xf numFmtId="0" fontId="9" fillId="0" borderId="8" xfId="0" applyFont="1" applyBorder="1" applyAlignment="1">
      <alignment shrinkToFit="1"/>
    </xf>
    <xf numFmtId="0" fontId="11" fillId="0" borderId="12" xfId="0" applyFont="1" applyBorder="1" applyAlignment="1">
      <alignment shrinkToFit="1"/>
    </xf>
    <xf numFmtId="0" fontId="9" fillId="0" borderId="11" xfId="0" applyFont="1" applyBorder="1" applyAlignment="1">
      <alignment shrinkToFit="1"/>
    </xf>
    <xf numFmtId="0" fontId="9" fillId="0" borderId="10" xfId="0" applyFont="1" applyBorder="1" applyAlignment="1">
      <alignment shrinkToFit="1"/>
    </xf>
    <xf numFmtId="0" fontId="7" fillId="2" borderId="4" xfId="0" applyFont="1" applyFill="1" applyBorder="1" applyAlignment="1">
      <alignment shrinkToFit="1"/>
    </xf>
    <xf numFmtId="0" fontId="7" fillId="2" borderId="2" xfId="0" applyFont="1" applyFill="1" applyBorder="1" applyAlignment="1">
      <alignment shrinkToFit="1"/>
    </xf>
    <xf numFmtId="0" fontId="7" fillId="2" borderId="3" xfId="0" applyFont="1" applyFill="1" applyBorder="1" applyAlignment="1">
      <alignment shrinkToFit="1"/>
    </xf>
    <xf numFmtId="0" fontId="8" fillId="0" borderId="9" xfId="0" applyFont="1" applyBorder="1" applyAlignment="1">
      <alignment shrinkToFit="1"/>
    </xf>
    <xf numFmtId="0" fontId="9" fillId="0" borderId="13" xfId="0" applyFont="1" applyBorder="1" applyAlignment="1">
      <alignment shrinkToFit="1"/>
    </xf>
    <xf numFmtId="0" fontId="12" fillId="2" borderId="4" xfId="0" applyFont="1" applyFill="1" applyBorder="1" applyAlignment="1">
      <alignment shrinkToFit="1"/>
    </xf>
    <xf numFmtId="0" fontId="11" fillId="2" borderId="4" xfId="0" applyFont="1" applyFill="1" applyBorder="1" applyAlignment="1">
      <alignment shrinkToFit="1"/>
    </xf>
    <xf numFmtId="0" fontId="11" fillId="2" borderId="2" xfId="0" applyFont="1" applyFill="1" applyBorder="1" applyAlignment="1">
      <alignment shrinkToFit="1"/>
    </xf>
    <xf numFmtId="0" fontId="11" fillId="2" borderId="3" xfId="0" applyFont="1" applyFill="1" applyBorder="1" applyAlignment="1">
      <alignment shrinkToFit="1"/>
    </xf>
    <xf numFmtId="0" fontId="11" fillId="0" borderId="19" xfId="0" applyFont="1" applyBorder="1" applyAlignment="1">
      <alignment shrinkToFit="1"/>
    </xf>
    <xf numFmtId="0" fontId="9" fillId="0" borderId="20" xfId="0" applyFont="1" applyBorder="1" applyAlignment="1">
      <alignment shrinkToFit="1"/>
    </xf>
    <xf numFmtId="0" fontId="9" fillId="0" borderId="21" xfId="0" applyFont="1" applyBorder="1" applyAlignment="1">
      <alignment shrinkToFit="1"/>
    </xf>
    <xf numFmtId="0" fontId="7" fillId="0" borderId="0" xfId="0" applyFont="1" applyAlignment="1">
      <alignment shrinkToFit="1"/>
    </xf>
    <xf numFmtId="0" fontId="0" fillId="0" borderId="0" xfId="0" applyFont="1" applyAlignment="1">
      <alignment shrinkToFit="1"/>
    </xf>
    <xf numFmtId="0" fontId="7" fillId="0" borderId="19" xfId="0" applyFont="1" applyBorder="1" applyAlignment="1">
      <alignment shrinkToFit="1"/>
    </xf>
    <xf numFmtId="0" fontId="12" fillId="2" borderId="3" xfId="0" applyFont="1" applyFill="1" applyBorder="1" applyAlignment="1">
      <alignment shrinkToFit="1"/>
    </xf>
    <xf numFmtId="0" fontId="41" fillId="0" borderId="0" xfId="0" applyFont="1" applyBorder="1" applyAlignment="1">
      <alignment horizontal="center" vertical="center" shrinkToFit="1"/>
    </xf>
    <xf numFmtId="0" fontId="51" fillId="8" borderId="22" xfId="0" applyFont="1" applyFill="1" applyBorder="1" applyAlignment="1">
      <alignment horizontal="center" vertical="center" shrinkToFit="1"/>
    </xf>
    <xf numFmtId="10" fontId="27" fillId="0" borderId="0" xfId="0" applyNumberFormat="1" applyFont="1" applyFill="1" applyAlignment="1">
      <alignment horizontal="center" vertical="center"/>
    </xf>
    <xf numFmtId="0" fontId="19" fillId="0" borderId="0" xfId="0" applyFont="1" applyFill="1" applyAlignment="1">
      <alignment horizontal="center" vertical="center"/>
    </xf>
    <xf numFmtId="177" fontId="27" fillId="7" borderId="0" xfId="0" applyNumberFormat="1" applyFont="1" applyFill="1" applyAlignment="1">
      <alignment horizontal="center" vertical="center"/>
    </xf>
    <xf numFmtId="178" fontId="27" fillId="6" borderId="0" xfId="0" applyNumberFormat="1" applyFont="1" applyFill="1" applyAlignment="1">
      <alignment horizontal="center" vertical="center"/>
    </xf>
    <xf numFmtId="176" fontId="27" fillId="5" borderId="0" xfId="0" applyNumberFormat="1" applyFont="1" applyFill="1" applyAlignment="1">
      <alignment horizontal="center" vertical="center"/>
    </xf>
    <xf numFmtId="0" fontId="27" fillId="0" borderId="0" xfId="0" applyFont="1" applyFill="1" applyAlignment="1">
      <alignment horizontal="center" vertical="center"/>
    </xf>
    <xf numFmtId="0" fontId="28" fillId="0" borderId="0" xfId="0" applyFont="1" applyFill="1" applyBorder="1" applyAlignment="1">
      <alignment horizontal="center" vertical="center" shrinkToFit="1"/>
    </xf>
    <xf numFmtId="178" fontId="27" fillId="0" borderId="0" xfId="0" applyNumberFormat="1" applyFont="1" applyFill="1" applyAlignment="1">
      <alignment horizontal="center" vertical="center"/>
    </xf>
    <xf numFmtId="0" fontId="25" fillId="0" borderId="0" xfId="0" applyFont="1" applyFill="1" applyAlignment="1">
      <alignment horizontal="center" vertical="center"/>
    </xf>
    <xf numFmtId="181" fontId="15" fillId="0" borderId="0" xfId="0" applyNumberFormat="1" applyFont="1" applyFill="1" applyAlignment="1">
      <alignment horizontal="center" vertical="center"/>
    </xf>
    <xf numFmtId="10" fontId="15" fillId="5" borderId="0" xfId="0" applyNumberFormat="1" applyFont="1" applyFill="1" applyAlignment="1">
      <alignment horizontal="center" vertical="center"/>
    </xf>
    <xf numFmtId="10" fontId="15" fillId="0" borderId="0" xfId="0" applyNumberFormat="1" applyFont="1" applyFill="1" applyAlignment="1">
      <alignment horizontal="center" vertical="center"/>
    </xf>
    <xf numFmtId="0" fontId="30" fillId="0" borderId="22" xfId="0" applyFont="1" applyFill="1" applyBorder="1" applyAlignment="1">
      <alignment horizontal="center" vertical="center"/>
    </xf>
    <xf numFmtId="0" fontId="19" fillId="0" borderId="0" xfId="0" applyFont="1" applyFill="1" applyBorder="1" applyAlignment="1">
      <alignment horizontal="center" vertical="center"/>
    </xf>
    <xf numFmtId="0" fontId="29" fillId="0" borderId="22" xfId="0" applyFont="1" applyFill="1" applyBorder="1" applyAlignment="1">
      <alignment horizontal="center" vertical="center"/>
    </xf>
    <xf numFmtId="0" fontId="28" fillId="0" borderId="22" xfId="0" applyFont="1" applyFill="1" applyBorder="1" applyAlignment="1">
      <alignment horizontal="center" vertical="center" shrinkToFit="1"/>
    </xf>
    <xf numFmtId="182" fontId="28" fillId="0" borderId="22" xfId="0" applyNumberFormat="1" applyFont="1" applyFill="1" applyBorder="1" applyAlignment="1">
      <alignment horizontal="center" vertical="center" shrinkToFit="1"/>
    </xf>
    <xf numFmtId="0" fontId="18" fillId="0" borderId="22" xfId="0" applyFont="1" applyFill="1" applyBorder="1" applyAlignment="1">
      <alignment horizontal="center" vertical="center"/>
    </xf>
    <xf numFmtId="0" fontId="23" fillId="0" borderId="22" xfId="0" applyFont="1" applyFill="1" applyBorder="1" applyAlignment="1">
      <alignment horizontal="center" vertical="center"/>
    </xf>
    <xf numFmtId="182" fontId="27" fillId="0" borderId="22" xfId="0" applyNumberFormat="1" applyFont="1" applyFill="1" applyBorder="1" applyAlignment="1">
      <alignment horizontal="center" vertical="center"/>
    </xf>
    <xf numFmtId="177" fontId="27" fillId="0" borderId="22" xfId="0" applyNumberFormat="1" applyFont="1" applyFill="1" applyBorder="1" applyAlignment="1">
      <alignment horizontal="center" vertical="center"/>
    </xf>
    <xf numFmtId="177" fontId="18" fillId="0" borderId="22" xfId="0" applyNumberFormat="1" applyFont="1" applyFill="1" applyBorder="1" applyAlignment="1">
      <alignment horizontal="center" vertical="center"/>
    </xf>
    <xf numFmtId="177" fontId="30" fillId="0" borderId="22" xfId="0" applyNumberFormat="1" applyFont="1" applyFill="1" applyBorder="1" applyAlignment="1">
      <alignment horizontal="center" vertical="center"/>
    </xf>
    <xf numFmtId="177" fontId="22" fillId="0" borderId="22" xfId="0" applyNumberFormat="1" applyFont="1" applyFill="1" applyBorder="1" applyAlignment="1">
      <alignment horizontal="center" vertical="center" shrinkToFit="1"/>
    </xf>
    <xf numFmtId="177" fontId="28" fillId="0" borderId="22" xfId="0" applyNumberFormat="1" applyFont="1" applyFill="1" applyBorder="1" applyAlignment="1">
      <alignment horizontal="center" vertical="center" shrinkToFit="1"/>
    </xf>
    <xf numFmtId="177" fontId="23" fillId="0" borderId="22" xfId="0" applyNumberFormat="1" applyFont="1" applyFill="1" applyBorder="1" applyAlignment="1">
      <alignment horizontal="center" vertical="center"/>
    </xf>
    <xf numFmtId="183" fontId="0" fillId="0" borderId="23" xfId="0" applyNumberFormat="1" applyFont="1" applyBorder="1" applyAlignment="1">
      <alignment horizontal="center" vertical="center"/>
    </xf>
    <xf numFmtId="183" fontId="0" fillId="0" borderId="29" xfId="0" applyNumberFormat="1" applyFont="1" applyBorder="1" applyAlignment="1">
      <alignment horizontal="center" vertical="center"/>
    </xf>
    <xf numFmtId="183" fontId="0" fillId="0" borderId="30" xfId="0" applyNumberFormat="1" applyFont="1" applyBorder="1" applyAlignment="1">
      <alignment horizontal="center" vertical="center"/>
    </xf>
    <xf numFmtId="0" fontId="33" fillId="4" borderId="22" xfId="0" applyFont="1" applyFill="1" applyBorder="1" applyAlignment="1">
      <alignment horizontal="center" vertical="center"/>
    </xf>
    <xf numFmtId="183" fontId="0" fillId="4" borderId="22" xfId="0" applyNumberFormat="1" applyFill="1" applyBorder="1" applyAlignment="1">
      <alignment horizontal="center" vertical="center"/>
    </xf>
    <xf numFmtId="0" fontId="33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0" fontId="33" fillId="0" borderId="23" xfId="0" applyFont="1" applyBorder="1" applyAlignment="1">
      <alignment horizontal="center" vertical="center"/>
    </xf>
    <xf numFmtId="0" fontId="33" fillId="0" borderId="29" xfId="0" applyFont="1" applyBorder="1" applyAlignment="1">
      <alignment horizontal="center" vertical="center"/>
    </xf>
    <xf numFmtId="0" fontId="33" fillId="0" borderId="30" xfId="0" applyFont="1" applyBorder="1" applyAlignment="1">
      <alignment horizontal="center" vertical="center"/>
    </xf>
    <xf numFmtId="0" fontId="24" fillId="0" borderId="22" xfId="0" applyFont="1" applyBorder="1" applyAlignment="1">
      <alignment horizontal="center" vertical="center" wrapText="1"/>
    </xf>
    <xf numFmtId="0" fontId="0" fillId="0" borderId="22" xfId="0" applyFont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0" fontId="34" fillId="12" borderId="0" xfId="0" applyFont="1" applyFill="1" applyAlignment="1">
      <alignment horizontal="left" vertical="center"/>
    </xf>
    <xf numFmtId="0" fontId="35" fillId="12" borderId="0" xfId="0" applyFont="1" applyFill="1" applyAlignment="1">
      <alignment horizontal="left" vertical="center"/>
    </xf>
    <xf numFmtId="0" fontId="35" fillId="12" borderId="0" xfId="0" applyFont="1" applyFill="1" applyBorder="1" applyAlignment="1">
      <alignment horizontal="left" vertical="center"/>
    </xf>
    <xf numFmtId="0" fontId="35" fillId="12" borderId="26" xfId="0" applyFont="1" applyFill="1" applyBorder="1" applyAlignment="1">
      <alignment horizontal="left" vertical="center"/>
    </xf>
    <xf numFmtId="1" fontId="33" fillId="0" borderId="22" xfId="0" applyNumberFormat="1" applyFont="1" applyFill="1" applyBorder="1" applyAlignment="1">
      <alignment horizontal="center" vertical="center"/>
    </xf>
    <xf numFmtId="183" fontId="0" fillId="0" borderId="31" xfId="0" applyNumberFormat="1" applyBorder="1" applyAlignment="1">
      <alignment horizontal="center" vertical="center"/>
    </xf>
    <xf numFmtId="183" fontId="0" fillId="0" borderId="33" xfId="0" applyNumberFormat="1" applyBorder="1" applyAlignment="1">
      <alignment horizontal="center" vertical="center"/>
    </xf>
    <xf numFmtId="183" fontId="0" fillId="0" borderId="31" xfId="0" applyNumberFormat="1" applyFont="1" applyFill="1" applyBorder="1" applyAlignment="1">
      <alignment horizontal="center" vertical="center"/>
    </xf>
    <xf numFmtId="183" fontId="0" fillId="0" borderId="33" xfId="0" applyNumberFormat="1" applyFont="1" applyFill="1" applyBorder="1" applyAlignment="1">
      <alignment horizontal="center" vertical="center"/>
    </xf>
    <xf numFmtId="183" fontId="0" fillId="0" borderId="35" xfId="0" applyNumberFormat="1" applyFont="1" applyFill="1" applyBorder="1" applyAlignment="1">
      <alignment horizontal="center" vertical="center"/>
    </xf>
    <xf numFmtId="0" fontId="33" fillId="0" borderId="27" xfId="0" applyFont="1" applyBorder="1" applyAlignment="1">
      <alignment horizontal="center" vertical="center"/>
    </xf>
    <xf numFmtId="0" fontId="33" fillId="0" borderId="28" xfId="0" applyFont="1" applyBorder="1" applyAlignment="1">
      <alignment horizontal="center" vertical="center"/>
    </xf>
    <xf numFmtId="0" fontId="33" fillId="0" borderId="25" xfId="0" applyFont="1" applyBorder="1" applyAlignment="1">
      <alignment horizontal="center" vertical="center"/>
    </xf>
    <xf numFmtId="0" fontId="33" fillId="4" borderId="27" xfId="0" applyFont="1" applyFill="1" applyBorder="1" applyAlignment="1">
      <alignment horizontal="center" vertical="center"/>
    </xf>
    <xf numFmtId="0" fontId="33" fillId="4" borderId="28" xfId="0" applyFont="1" applyFill="1" applyBorder="1" applyAlignment="1">
      <alignment horizontal="center" vertical="center"/>
    </xf>
    <xf numFmtId="0" fontId="33" fillId="4" borderId="25" xfId="0" applyFont="1" applyFill="1" applyBorder="1" applyAlignment="1">
      <alignment horizontal="center" vertical="center"/>
    </xf>
    <xf numFmtId="179" fontId="33" fillId="0" borderId="27" xfId="0" applyNumberFormat="1" applyFont="1" applyBorder="1" applyAlignment="1">
      <alignment horizontal="center" vertical="center"/>
    </xf>
    <xf numFmtId="179" fontId="33" fillId="0" borderId="28" xfId="0" applyNumberFormat="1" applyFont="1" applyBorder="1" applyAlignment="1">
      <alignment horizontal="center" vertical="center"/>
    </xf>
    <xf numFmtId="179" fontId="33" fillId="0" borderId="25" xfId="0" applyNumberFormat="1" applyFont="1" applyBorder="1" applyAlignment="1">
      <alignment horizontal="center" vertical="center"/>
    </xf>
    <xf numFmtId="179" fontId="33" fillId="0" borderId="22" xfId="0" applyNumberFormat="1" applyFont="1" applyBorder="1" applyAlignment="1">
      <alignment horizontal="center" vertical="center"/>
    </xf>
    <xf numFmtId="0" fontId="34" fillId="0" borderId="0" xfId="0" applyFont="1" applyAlignment="1">
      <alignment horizontal="left" vertical="center"/>
    </xf>
    <xf numFmtId="0" fontId="35" fillId="0" borderId="0" xfId="0" applyFont="1" applyAlignment="1">
      <alignment horizontal="left" vertical="center"/>
    </xf>
    <xf numFmtId="0" fontId="35" fillId="0" borderId="0" xfId="0" applyFont="1" applyBorder="1" applyAlignment="1">
      <alignment horizontal="left" vertical="center"/>
    </xf>
    <xf numFmtId="0" fontId="35" fillId="0" borderId="26" xfId="0" applyFont="1" applyBorder="1" applyAlignment="1">
      <alignment horizontal="left" vertical="center"/>
    </xf>
    <xf numFmtId="0" fontId="33" fillId="0" borderId="31" xfId="0" applyFont="1" applyBorder="1" applyAlignment="1">
      <alignment horizontal="center" vertical="center"/>
    </xf>
    <xf numFmtId="0" fontId="33" fillId="0" borderId="33" xfId="0" applyFont="1" applyBorder="1" applyAlignment="1">
      <alignment horizontal="center" vertical="center"/>
    </xf>
    <xf numFmtId="0" fontId="33" fillId="0" borderId="35" xfId="0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33" fillId="0" borderId="23" xfId="0" applyFont="1" applyFill="1" applyBorder="1" applyAlignment="1">
      <alignment horizontal="center" vertical="center"/>
    </xf>
    <xf numFmtId="0" fontId="33" fillId="0" borderId="29" xfId="0" applyFont="1" applyFill="1" applyBorder="1" applyAlignment="1">
      <alignment horizontal="center" vertical="center"/>
    </xf>
    <xf numFmtId="0" fontId="33" fillId="0" borderId="30" xfId="0" applyFont="1" applyFill="1" applyBorder="1" applyAlignment="1">
      <alignment horizontal="center" vertical="center"/>
    </xf>
    <xf numFmtId="0" fontId="34" fillId="0" borderId="37" xfId="0" applyFont="1" applyBorder="1" applyAlignment="1">
      <alignment horizontal="left" vertical="center"/>
    </xf>
    <xf numFmtId="0" fontId="35" fillId="0" borderId="37" xfId="0" applyFont="1" applyBorder="1" applyAlignment="1">
      <alignment horizontal="left" vertical="center"/>
    </xf>
    <xf numFmtId="0" fontId="0" fillId="0" borderId="23" xfId="0" applyFont="1" applyBorder="1" applyAlignment="1">
      <alignment horizontal="center" vertical="center"/>
    </xf>
    <xf numFmtId="0" fontId="0" fillId="0" borderId="29" xfId="0" applyFont="1" applyBorder="1" applyAlignment="1">
      <alignment horizontal="center" vertical="center"/>
    </xf>
    <xf numFmtId="0" fontId="0" fillId="0" borderId="30" xfId="0" applyFont="1" applyBorder="1" applyAlignment="1">
      <alignment horizontal="center" vertical="center"/>
    </xf>
    <xf numFmtId="0" fontId="33" fillId="0" borderId="32" xfId="0" applyFont="1" applyBorder="1" applyAlignment="1">
      <alignment horizontal="center" vertical="center"/>
    </xf>
    <xf numFmtId="0" fontId="33" fillId="0" borderId="34" xfId="0" applyFont="1" applyBorder="1" applyAlignment="1">
      <alignment horizontal="center" vertical="center"/>
    </xf>
    <xf numFmtId="0" fontId="33" fillId="0" borderId="36" xfId="0" applyFont="1" applyBorder="1" applyAlignment="1">
      <alignment horizontal="center" vertical="center"/>
    </xf>
    <xf numFmtId="0" fontId="33" fillId="0" borderId="22" xfId="0" applyFont="1" applyFill="1" applyBorder="1" applyAlignment="1">
      <alignment horizontal="center" vertical="center"/>
    </xf>
    <xf numFmtId="0" fontId="33" fillId="0" borderId="31" xfId="0" applyFont="1" applyFill="1" applyBorder="1" applyAlignment="1">
      <alignment horizontal="center" vertical="center"/>
    </xf>
    <xf numFmtId="0" fontId="33" fillId="0" borderId="33" xfId="0" applyFont="1" applyFill="1" applyBorder="1" applyAlignment="1">
      <alignment horizontal="center" vertical="center"/>
    </xf>
    <xf numFmtId="0" fontId="33" fillId="0" borderId="35" xfId="0" applyFont="1" applyFill="1" applyBorder="1" applyAlignment="1">
      <alignment horizontal="center" vertical="center"/>
    </xf>
    <xf numFmtId="0" fontId="33" fillId="0" borderId="27" xfId="0" applyFont="1" applyFill="1" applyBorder="1" applyAlignment="1">
      <alignment horizontal="center" vertical="center"/>
    </xf>
    <xf numFmtId="0" fontId="33" fillId="0" borderId="28" xfId="0" applyFont="1" applyFill="1" applyBorder="1" applyAlignment="1">
      <alignment horizontal="center" vertical="center"/>
    </xf>
    <xf numFmtId="0" fontId="33" fillId="0" borderId="25" xfId="0" applyFont="1" applyFill="1" applyBorder="1" applyAlignment="1">
      <alignment horizontal="center" vertical="center"/>
    </xf>
    <xf numFmtId="183" fontId="0" fillId="0" borderId="23" xfId="0" applyNumberFormat="1" applyFont="1" applyFill="1" applyBorder="1" applyAlignment="1">
      <alignment horizontal="center" vertical="center"/>
    </xf>
    <xf numFmtId="183" fontId="0" fillId="0" borderId="29" xfId="0" applyNumberFormat="1" applyFont="1" applyFill="1" applyBorder="1" applyAlignment="1">
      <alignment horizontal="center" vertical="center"/>
    </xf>
    <xf numFmtId="183" fontId="0" fillId="0" borderId="30" xfId="0" applyNumberFormat="1" applyFont="1" applyFill="1" applyBorder="1" applyAlignment="1">
      <alignment horizontal="center" vertical="center"/>
    </xf>
    <xf numFmtId="183" fontId="0" fillId="0" borderId="22" xfId="0" applyNumberFormat="1" applyBorder="1" applyAlignment="1">
      <alignment horizontal="center" vertical="center"/>
    </xf>
    <xf numFmtId="0" fontId="24" fillId="0" borderId="22" xfId="0" applyFont="1" applyBorder="1" applyAlignment="1">
      <alignment horizontal="center" vertical="center"/>
    </xf>
    <xf numFmtId="183" fontId="0" fillId="0" borderId="31" xfId="0" applyNumberFormat="1" applyFont="1" applyBorder="1" applyAlignment="1">
      <alignment horizontal="center" vertical="center"/>
    </xf>
    <xf numFmtId="183" fontId="0" fillId="0" borderId="33" xfId="0" applyNumberFormat="1" applyFont="1" applyBorder="1" applyAlignment="1">
      <alignment horizontal="center" vertical="center"/>
    </xf>
    <xf numFmtId="183" fontId="0" fillId="0" borderId="35" xfId="0" applyNumberFormat="1" applyFont="1" applyBorder="1" applyAlignment="1">
      <alignment horizontal="center" vertical="center"/>
    </xf>
    <xf numFmtId="1" fontId="0" fillId="0" borderId="31" xfId="0" applyNumberFormat="1" applyFont="1" applyFill="1" applyBorder="1" applyAlignment="1">
      <alignment horizontal="center" vertical="center"/>
    </xf>
    <xf numFmtId="1" fontId="0" fillId="0" borderId="33" xfId="0" applyNumberFormat="1" applyFont="1" applyFill="1" applyBorder="1" applyAlignment="1">
      <alignment horizontal="center" vertical="center"/>
    </xf>
    <xf numFmtId="1" fontId="0" fillId="0" borderId="35" xfId="0" applyNumberFormat="1" applyFont="1" applyFill="1" applyBorder="1" applyAlignment="1">
      <alignment horizontal="center" vertical="center"/>
    </xf>
    <xf numFmtId="1" fontId="33" fillId="0" borderId="31" xfId="0" applyNumberFormat="1" applyFont="1" applyFill="1" applyBorder="1" applyAlignment="1">
      <alignment horizontal="center" vertical="center"/>
    </xf>
    <xf numFmtId="1" fontId="33" fillId="0" borderId="33" xfId="0" applyNumberFormat="1" applyFont="1" applyFill="1" applyBorder="1" applyAlignment="1">
      <alignment horizontal="center" vertical="center"/>
    </xf>
    <xf numFmtId="1" fontId="33" fillId="0" borderId="35" xfId="0" applyNumberFormat="1" applyFont="1" applyFill="1" applyBorder="1" applyAlignment="1">
      <alignment horizontal="center" vertical="center"/>
    </xf>
    <xf numFmtId="1" fontId="33" fillId="0" borderId="23" xfId="0" applyNumberFormat="1" applyFont="1" applyFill="1" applyBorder="1" applyAlignment="1">
      <alignment horizontal="center" vertical="center"/>
    </xf>
    <xf numFmtId="1" fontId="33" fillId="0" borderId="29" xfId="0" applyNumberFormat="1" applyFont="1" applyFill="1" applyBorder="1" applyAlignment="1">
      <alignment horizontal="center" vertical="center"/>
    </xf>
    <xf numFmtId="1" fontId="33" fillId="0" borderId="30" xfId="0" applyNumberFormat="1" applyFont="1" applyFill="1" applyBorder="1" applyAlignment="1">
      <alignment horizontal="center" vertical="center"/>
    </xf>
    <xf numFmtId="183" fontId="0" fillId="0" borderId="35" xfId="0" applyNumberFormat="1" applyBorder="1" applyAlignment="1">
      <alignment horizontal="center" vertical="center"/>
    </xf>
    <xf numFmtId="0" fontId="34" fillId="0" borderId="26" xfId="0" applyFont="1" applyBorder="1" applyAlignment="1">
      <alignment horizontal="left" vertical="center"/>
    </xf>
    <xf numFmtId="1" fontId="0" fillId="0" borderId="22" xfId="0" applyNumberFormat="1" applyFont="1" applyBorder="1" applyAlignment="1">
      <alignment horizontal="center" vertical="center"/>
    </xf>
    <xf numFmtId="1" fontId="33" fillId="0" borderId="28" xfId="0" applyNumberFormat="1" applyFont="1" applyBorder="1" applyAlignment="1">
      <alignment horizontal="center" vertical="center"/>
    </xf>
    <xf numFmtId="183" fontId="33" fillId="0" borderId="25" xfId="0" applyNumberFormat="1" applyFont="1" applyBorder="1" applyAlignment="1">
      <alignment horizontal="center" vertical="center"/>
    </xf>
    <xf numFmtId="2" fontId="0" fillId="0" borderId="22" xfId="0" applyNumberFormat="1" applyBorder="1" applyAlignment="1">
      <alignment horizontal="center" vertical="center"/>
    </xf>
    <xf numFmtId="1" fontId="0" fillId="0" borderId="23" xfId="0" applyNumberFormat="1" applyBorder="1" applyAlignment="1">
      <alignment horizontal="center" vertical="center"/>
    </xf>
    <xf numFmtId="1" fontId="0" fillId="0" borderId="29" xfId="0" applyNumberFormat="1" applyBorder="1" applyAlignment="1">
      <alignment horizontal="center" vertical="center"/>
    </xf>
    <xf numFmtId="1" fontId="0" fillId="0" borderId="30" xfId="0" applyNumberFormat="1" applyBorder="1" applyAlignment="1">
      <alignment horizontal="center" vertical="center"/>
    </xf>
    <xf numFmtId="0" fontId="26" fillId="0" borderId="22" xfId="0" applyFont="1" applyBorder="1" applyAlignment="1">
      <alignment horizontal="center" vertical="center" shrinkToFit="1"/>
    </xf>
    <xf numFmtId="0" fontId="44" fillId="2" borderId="22" xfId="0" applyFont="1" applyFill="1" applyBorder="1" applyAlignment="1">
      <alignment horizontal="center" vertical="center" shrinkToFit="1"/>
    </xf>
    <xf numFmtId="0" fontId="55" fillId="0" borderId="22" xfId="0" applyFont="1" applyBorder="1" applyAlignment="1">
      <alignment horizontal="center" vertical="center" shrinkToFit="1"/>
    </xf>
    <xf numFmtId="0" fontId="53" fillId="0" borderId="0" xfId="0" applyFont="1" applyBorder="1" applyAlignment="1">
      <alignment horizontal="left" vertical="center" shrinkToFit="1"/>
    </xf>
    <xf numFmtId="0" fontId="54" fillId="0" borderId="0" xfId="0" applyFont="1" applyBorder="1" applyAlignment="1">
      <alignment horizontal="left" vertical="center" shrinkToFit="1"/>
    </xf>
    <xf numFmtId="0" fontId="22" fillId="0" borderId="22" xfId="0" applyFont="1" applyBorder="1" applyAlignment="1">
      <alignment horizontal="center" vertical="center" shrinkToFit="1"/>
    </xf>
    <xf numFmtId="0" fontId="52" fillId="0" borderId="31" xfId="0" applyFont="1" applyBorder="1" applyAlignment="1">
      <alignment horizontal="center" vertical="center" wrapText="1" shrinkToFit="1"/>
    </xf>
    <xf numFmtId="0" fontId="52" fillId="0" borderId="32" xfId="0" applyFont="1" applyBorder="1" applyAlignment="1">
      <alignment horizontal="center" vertical="center" wrapText="1" shrinkToFit="1"/>
    </xf>
    <xf numFmtId="0" fontId="52" fillId="0" borderId="33" xfId="0" applyFont="1" applyBorder="1" applyAlignment="1">
      <alignment horizontal="center" vertical="center" wrapText="1" shrinkToFit="1"/>
    </xf>
    <xf numFmtId="0" fontId="52" fillId="0" borderId="34" xfId="0" applyFont="1" applyBorder="1" applyAlignment="1">
      <alignment horizontal="center" vertical="center" wrapText="1" shrinkToFit="1"/>
    </xf>
    <xf numFmtId="0" fontId="52" fillId="0" borderId="35" xfId="0" applyFont="1" applyBorder="1" applyAlignment="1">
      <alignment horizontal="center" vertical="center" wrapText="1" shrinkToFit="1"/>
    </xf>
    <xf numFmtId="0" fontId="52" fillId="0" borderId="36" xfId="0" applyFont="1" applyBorder="1" applyAlignment="1">
      <alignment horizontal="center" vertical="center" wrapText="1" shrinkToFit="1"/>
    </xf>
    <xf numFmtId="0" fontId="77" fillId="0" borderId="22" xfId="0" applyFont="1" applyBorder="1" applyAlignment="1">
      <alignment horizontal="center" shrinkToFit="1"/>
    </xf>
    <xf numFmtId="0" fontId="44" fillId="0" borderId="22" xfId="0" applyFont="1" applyBorder="1" applyAlignment="1">
      <alignment shrinkToFit="1"/>
    </xf>
    <xf numFmtId="0" fontId="55" fillId="0" borderId="22" xfId="0" applyFont="1" applyBorder="1" applyAlignment="1">
      <alignment shrinkToFit="1"/>
    </xf>
    <xf numFmtId="0" fontId="44" fillId="2" borderId="22" xfId="0" applyFont="1" applyFill="1" applyBorder="1" applyAlignment="1">
      <alignment horizontal="center" shrinkToFit="1"/>
    </xf>
    <xf numFmtId="0" fontId="55" fillId="0" borderId="22" xfId="0" applyFont="1" applyBorder="1" applyAlignment="1">
      <alignment horizontal="center" shrinkToFit="1"/>
    </xf>
    <xf numFmtId="0" fontId="52" fillId="0" borderId="22" xfId="0" applyFont="1" applyBorder="1" applyAlignment="1">
      <alignment shrinkToFit="1"/>
    </xf>
    <xf numFmtId="0" fontId="44" fillId="0" borderId="31" xfId="0" applyFont="1" applyBorder="1" applyAlignment="1">
      <alignment horizontal="center" vertical="center" shrinkToFit="1"/>
    </xf>
    <xf numFmtId="0" fontId="44" fillId="0" borderId="32" xfId="0" applyFont="1" applyBorder="1" applyAlignment="1">
      <alignment horizontal="center" vertical="center" shrinkToFit="1"/>
    </xf>
    <xf numFmtId="0" fontId="44" fillId="0" borderId="33" xfId="0" applyFont="1" applyBorder="1" applyAlignment="1">
      <alignment horizontal="center" vertical="center" shrinkToFit="1"/>
    </xf>
    <xf numFmtId="0" fontId="44" fillId="0" borderId="34" xfId="0" applyFont="1" applyBorder="1" applyAlignment="1">
      <alignment horizontal="center" vertical="center" shrinkToFit="1"/>
    </xf>
    <xf numFmtId="0" fontId="44" fillId="0" borderId="35" xfId="0" applyFont="1" applyBorder="1" applyAlignment="1">
      <alignment horizontal="center" vertical="center" shrinkToFit="1"/>
    </xf>
    <xf numFmtId="0" fontId="44" fillId="0" borderId="36" xfId="0" applyFont="1" applyBorder="1" applyAlignment="1">
      <alignment horizontal="center" vertical="center" shrinkToFit="1"/>
    </xf>
    <xf numFmtId="0" fontId="111" fillId="0" borderId="22" xfId="0" applyFont="1" applyBorder="1" applyAlignment="1">
      <alignment horizontal="center" vertical="center" wrapText="1" shrinkToFit="1"/>
    </xf>
    <xf numFmtId="0" fontId="102" fillId="0" borderId="22" xfId="0" applyFont="1" applyBorder="1" applyAlignment="1">
      <alignment horizontal="center" vertical="center" wrapText="1" shrinkToFit="1"/>
    </xf>
    <xf numFmtId="0" fontId="28" fillId="0" borderId="22" xfId="0" applyFont="1" applyBorder="1" applyAlignment="1">
      <alignment horizontal="center" shrinkToFit="1"/>
    </xf>
    <xf numFmtId="0" fontId="111" fillId="0" borderId="31" xfId="0" applyFont="1" applyBorder="1" applyAlignment="1">
      <alignment horizontal="center" vertical="center" wrapText="1" shrinkToFit="1"/>
    </xf>
    <xf numFmtId="0" fontId="111" fillId="0" borderId="32" xfId="0" applyFont="1" applyBorder="1" applyAlignment="1">
      <alignment horizontal="center" vertical="center" wrapText="1" shrinkToFit="1"/>
    </xf>
    <xf numFmtId="0" fontId="111" fillId="0" borderId="35" xfId="0" applyFont="1" applyBorder="1" applyAlignment="1">
      <alignment horizontal="center" vertical="center" wrapText="1" shrinkToFit="1"/>
    </xf>
    <xf numFmtId="0" fontId="111" fillId="0" borderId="36" xfId="0" applyFont="1" applyBorder="1" applyAlignment="1">
      <alignment horizontal="center" vertical="center" wrapText="1" shrinkToFit="1"/>
    </xf>
    <xf numFmtId="0" fontId="22" fillId="0" borderId="22" xfId="0" applyFont="1" applyBorder="1" applyAlignment="1">
      <alignment shrinkToFit="1"/>
    </xf>
    <xf numFmtId="0" fontId="67" fillId="0" borderId="22" xfId="0" applyFont="1" applyBorder="1" applyAlignment="1">
      <alignment shrinkToFit="1"/>
    </xf>
    <xf numFmtId="0" fontId="114" fillId="0" borderId="22" xfId="0" applyFont="1" applyBorder="1" applyAlignment="1">
      <alignment horizontal="center" vertical="center" shrinkToFit="1"/>
    </xf>
    <xf numFmtId="0" fontId="112" fillId="0" borderId="22" xfId="0" applyFont="1" applyBorder="1" applyAlignment="1">
      <alignment horizontal="center" shrinkToFit="1"/>
    </xf>
    <xf numFmtId="179" fontId="115" fillId="0" borderId="22" xfId="0" applyNumberFormat="1" applyFont="1" applyBorder="1" applyAlignment="1">
      <alignment horizontal="center" vertical="center" shrinkToFit="1"/>
    </xf>
    <xf numFmtId="0" fontId="127" fillId="0" borderId="22" xfId="0" applyFont="1" applyBorder="1" applyAlignment="1">
      <alignment horizontal="center" vertical="center" shrinkToFit="1"/>
    </xf>
    <xf numFmtId="0" fontId="128" fillId="0" borderId="31" xfId="0" applyFont="1" applyBorder="1" applyAlignment="1">
      <alignment horizontal="center" vertical="center" wrapText="1" shrinkToFit="1"/>
    </xf>
    <xf numFmtId="0" fontId="129" fillId="0" borderId="32" xfId="0" applyFont="1" applyBorder="1" applyAlignment="1">
      <alignment horizontal="center" vertical="center" wrapText="1" shrinkToFit="1"/>
    </xf>
    <xf numFmtId="0" fontId="129" fillId="0" borderId="35" xfId="0" applyFont="1" applyBorder="1" applyAlignment="1">
      <alignment horizontal="center" vertical="center" wrapText="1" shrinkToFit="1"/>
    </xf>
    <xf numFmtId="0" fontId="129" fillId="0" borderId="36" xfId="0" applyFont="1" applyBorder="1" applyAlignment="1">
      <alignment horizontal="center" vertical="center" wrapText="1" shrinkToFit="1"/>
    </xf>
    <xf numFmtId="0" fontId="52" fillId="0" borderId="22" xfId="0" applyFont="1" applyBorder="1" applyAlignment="1">
      <alignment horizontal="center" vertical="center" shrinkToFit="1"/>
    </xf>
    <xf numFmtId="0" fontId="52" fillId="0" borderId="31" xfId="0" applyFont="1" applyBorder="1" applyAlignment="1">
      <alignment horizontal="center" vertical="center" shrinkToFit="1"/>
    </xf>
    <xf numFmtId="0" fontId="52" fillId="0" borderId="32" xfId="0" applyFont="1" applyBorder="1" applyAlignment="1">
      <alignment horizontal="center" vertical="center" shrinkToFit="1"/>
    </xf>
    <xf numFmtId="0" fontId="52" fillId="0" borderId="33" xfId="0" applyFont="1" applyBorder="1" applyAlignment="1">
      <alignment horizontal="center" vertical="center" shrinkToFit="1"/>
    </xf>
    <xf numFmtId="0" fontId="52" fillId="0" borderId="34" xfId="0" applyFont="1" applyBorder="1" applyAlignment="1">
      <alignment horizontal="center" vertical="center" shrinkToFit="1"/>
    </xf>
    <xf numFmtId="0" fontId="52" fillId="0" borderId="35" xfId="0" applyFont="1" applyBorder="1" applyAlignment="1">
      <alignment horizontal="center" vertical="center" shrinkToFit="1"/>
    </xf>
    <xf numFmtId="0" fontId="52" fillId="0" borderId="36" xfId="0" applyFont="1" applyBorder="1" applyAlignment="1">
      <alignment horizontal="center" vertical="center" shrinkToFit="1"/>
    </xf>
    <xf numFmtId="0" fontId="44" fillId="0" borderId="22" xfId="0" applyFont="1" applyBorder="1" applyAlignment="1">
      <alignment horizontal="center" vertical="center" shrinkToFit="1"/>
    </xf>
    <xf numFmtId="0" fontId="116" fillId="0" borderId="22" xfId="0" applyFont="1" applyBorder="1" applyAlignment="1">
      <alignment horizontal="center" vertical="center" shrinkToFit="1"/>
    </xf>
    <xf numFmtId="0" fontId="22" fillId="0" borderId="27" xfId="0" applyFont="1" applyBorder="1" applyAlignment="1">
      <alignment vertical="center" shrinkToFit="1"/>
    </xf>
    <xf numFmtId="0" fontId="28" fillId="0" borderId="25" xfId="0" applyFont="1" applyBorder="1" applyAlignment="1">
      <alignment vertical="center" shrinkToFit="1"/>
    </xf>
    <xf numFmtId="0" fontId="26" fillId="0" borderId="23" xfId="0" applyFont="1" applyBorder="1" applyAlignment="1">
      <alignment horizontal="center" vertical="center" shrinkToFit="1"/>
    </xf>
    <xf numFmtId="0" fontId="26" fillId="0" borderId="29" xfId="0" applyFont="1" applyBorder="1" applyAlignment="1">
      <alignment horizontal="center" vertical="center" shrinkToFit="1"/>
    </xf>
    <xf numFmtId="0" fontId="26" fillId="0" borderId="30" xfId="0" applyFont="1" applyBorder="1" applyAlignment="1">
      <alignment horizontal="center" vertical="center" shrinkToFit="1"/>
    </xf>
    <xf numFmtId="0" fontId="44" fillId="2" borderId="23" xfId="0" applyFont="1" applyFill="1" applyBorder="1" applyAlignment="1">
      <alignment horizontal="center" vertical="center" shrinkToFit="1"/>
    </xf>
    <xf numFmtId="0" fontId="44" fillId="2" borderId="29" xfId="0" applyFont="1" applyFill="1" applyBorder="1" applyAlignment="1">
      <alignment horizontal="center" vertical="center" shrinkToFit="1"/>
    </xf>
    <xf numFmtId="0" fontId="44" fillId="2" borderId="30" xfId="0" applyFont="1" applyFill="1" applyBorder="1" applyAlignment="1">
      <alignment horizontal="center" vertical="center" shrinkToFit="1"/>
    </xf>
    <xf numFmtId="0" fontId="44" fillId="0" borderId="27" xfId="0" applyFont="1" applyBorder="1" applyAlignment="1">
      <alignment horizontal="center" vertical="center" shrinkToFit="1"/>
    </xf>
    <xf numFmtId="0" fontId="44" fillId="0" borderId="25" xfId="0" applyFont="1" applyBorder="1" applyAlignment="1">
      <alignment horizontal="center" vertical="center" shrinkToFit="1"/>
    </xf>
    <xf numFmtId="0" fontId="28" fillId="0" borderId="27" xfId="0" applyFont="1" applyBorder="1" applyAlignment="1">
      <alignment horizontal="center" vertical="center" shrinkToFit="1"/>
    </xf>
    <xf numFmtId="0" fontId="28" fillId="0" borderId="25" xfId="0" applyFont="1" applyBorder="1" applyAlignment="1">
      <alignment horizontal="center" vertical="center" shrinkToFit="1"/>
    </xf>
    <xf numFmtId="0" fontId="44" fillId="2" borderId="27" xfId="0" applyFont="1" applyFill="1" applyBorder="1" applyAlignment="1">
      <alignment horizontal="center" shrinkToFit="1"/>
    </xf>
    <xf numFmtId="0" fontId="44" fillId="2" borderId="25" xfId="0" applyFont="1" applyFill="1" applyBorder="1" applyAlignment="1">
      <alignment horizontal="center" shrinkToFit="1"/>
    </xf>
    <xf numFmtId="0" fontId="44" fillId="2" borderId="28" xfId="0" applyFont="1" applyFill="1" applyBorder="1" applyAlignment="1">
      <alignment horizontal="center" shrinkToFit="1"/>
    </xf>
    <xf numFmtId="0" fontId="112" fillId="0" borderId="27" xfId="0" applyFont="1" applyBorder="1" applyAlignment="1">
      <alignment horizontal="center" vertical="center" shrinkToFit="1"/>
    </xf>
    <xf numFmtId="0" fontId="44" fillId="2" borderId="27" xfId="0" applyFont="1" applyFill="1" applyBorder="1" applyAlignment="1">
      <alignment horizontal="center" vertical="center" shrinkToFit="1"/>
    </xf>
    <xf numFmtId="0" fontId="44" fillId="2" borderId="25" xfId="0" applyFont="1" applyFill="1" applyBorder="1" applyAlignment="1">
      <alignment horizontal="center" vertical="center" shrinkToFit="1"/>
    </xf>
    <xf numFmtId="0" fontId="44" fillId="2" borderId="28" xfId="0" applyFont="1" applyFill="1" applyBorder="1" applyAlignment="1">
      <alignment horizontal="center" vertical="center" shrinkToFit="1"/>
    </xf>
    <xf numFmtId="0" fontId="22" fillId="0" borderId="31" xfId="0" applyFont="1" applyBorder="1" applyAlignment="1">
      <alignment horizontal="center" vertical="center" shrinkToFit="1"/>
    </xf>
    <xf numFmtId="0" fontId="22" fillId="0" borderId="32" xfId="0" applyFont="1" applyBorder="1" applyAlignment="1">
      <alignment horizontal="center" vertical="center" shrinkToFit="1"/>
    </xf>
    <xf numFmtId="0" fontId="22" fillId="0" borderId="33" xfId="0" applyFont="1" applyBorder="1" applyAlignment="1">
      <alignment horizontal="center" vertical="center" shrinkToFit="1"/>
    </xf>
    <xf numFmtId="0" fontId="22" fillId="0" borderId="34" xfId="0" applyFont="1" applyBorder="1" applyAlignment="1">
      <alignment horizontal="center" vertical="center" shrinkToFit="1"/>
    </xf>
    <xf numFmtId="0" fontId="22" fillId="0" borderId="35" xfId="0" applyFont="1" applyBorder="1" applyAlignment="1">
      <alignment horizontal="center" vertical="center" shrinkToFit="1"/>
    </xf>
    <xf numFmtId="0" fontId="22" fillId="0" borderId="36" xfId="0" applyFont="1" applyBorder="1" applyAlignment="1">
      <alignment horizontal="center" vertical="center" shrinkToFit="1"/>
    </xf>
    <xf numFmtId="0" fontId="28" fillId="0" borderId="27" xfId="0" applyFont="1" applyBorder="1" applyAlignment="1">
      <alignment shrinkToFit="1"/>
    </xf>
    <xf numFmtId="0" fontId="28" fillId="0" borderId="25" xfId="0" applyFont="1" applyBorder="1" applyAlignment="1">
      <alignment shrinkToFit="1"/>
    </xf>
    <xf numFmtId="0" fontId="44" fillId="0" borderId="27" xfId="0" applyFont="1" applyBorder="1" applyAlignment="1">
      <alignment shrinkToFit="1"/>
    </xf>
    <xf numFmtId="0" fontId="44" fillId="0" borderId="25" xfId="0" applyFont="1" applyBorder="1" applyAlignment="1">
      <alignment shrinkToFit="1"/>
    </xf>
    <xf numFmtId="0" fontId="115" fillId="0" borderId="27" xfId="0" applyFont="1" applyBorder="1" applyAlignment="1">
      <alignment shrinkToFit="1"/>
    </xf>
    <xf numFmtId="0" fontId="115" fillId="0" borderId="31" xfId="0" applyFont="1" applyBorder="1" applyAlignment="1">
      <alignment horizontal="center" wrapText="1" shrinkToFit="1"/>
    </xf>
    <xf numFmtId="0" fontId="115" fillId="0" borderId="32" xfId="0" applyFont="1" applyBorder="1" applyAlignment="1">
      <alignment horizontal="center" wrapText="1" shrinkToFit="1"/>
    </xf>
    <xf numFmtId="0" fontId="115" fillId="0" borderId="33" xfId="0" applyFont="1" applyBorder="1" applyAlignment="1">
      <alignment horizontal="center" wrapText="1" shrinkToFit="1"/>
    </xf>
    <xf numFmtId="0" fontId="115" fillId="0" borderId="34" xfId="0" applyFont="1" applyBorder="1" applyAlignment="1">
      <alignment horizontal="center" wrapText="1" shrinkToFit="1"/>
    </xf>
    <xf numFmtId="0" fontId="115" fillId="0" borderId="35" xfId="0" applyFont="1" applyBorder="1" applyAlignment="1">
      <alignment horizontal="center" wrapText="1" shrinkToFit="1"/>
    </xf>
    <xf numFmtId="0" fontId="115" fillId="0" borderId="36" xfId="0" applyFont="1" applyBorder="1" applyAlignment="1">
      <alignment horizontal="center" wrapText="1" shrinkToFit="1"/>
    </xf>
    <xf numFmtId="0" fontId="41" fillId="0" borderId="0" xfId="11" applyFont="1" applyBorder="1" applyAlignment="1">
      <alignment horizontal="center" vertical="center" shrinkToFit="1"/>
    </xf>
    <xf numFmtId="0" fontId="53" fillId="0" borderId="0" xfId="11" applyFont="1" applyBorder="1" applyAlignment="1">
      <alignment horizontal="left" vertical="center" shrinkToFit="1"/>
    </xf>
    <xf numFmtId="0" fontId="45" fillId="0" borderId="22" xfId="11" applyFont="1" applyFill="1" applyBorder="1" applyAlignment="1">
      <alignment horizontal="center" vertical="center"/>
    </xf>
    <xf numFmtId="0" fontId="28" fillId="0" borderId="22" xfId="11" applyFont="1" applyFill="1" applyBorder="1" applyAlignment="1">
      <alignment horizontal="center" vertical="center" shrinkToFit="1"/>
    </xf>
    <xf numFmtId="0" fontId="28" fillId="0" borderId="37" xfId="11" applyFont="1" applyFill="1" applyBorder="1" applyAlignment="1">
      <alignment horizontal="center" vertical="center" shrinkToFit="1"/>
    </xf>
    <xf numFmtId="0" fontId="28" fillId="0" borderId="0" xfId="11" applyFont="1" applyFill="1" applyBorder="1" applyAlignment="1">
      <alignment horizontal="center" vertical="center" shrinkToFit="1"/>
    </xf>
    <xf numFmtId="0" fontId="26" fillId="0" borderId="22" xfId="11" applyFont="1" applyFill="1" applyBorder="1" applyAlignment="1">
      <alignment horizontal="center" vertical="center" shrinkToFit="1"/>
    </xf>
    <xf numFmtId="0" fontId="26" fillId="0" borderId="22" xfId="11" applyFont="1" applyBorder="1" applyAlignment="1">
      <alignment horizontal="center" shrinkToFit="1"/>
    </xf>
    <xf numFmtId="0" fontId="60" fillId="0" borderId="22" xfId="11" applyFont="1" applyFill="1" applyBorder="1" applyAlignment="1">
      <alignment horizontal="center" vertical="center" shrinkToFit="1"/>
    </xf>
    <xf numFmtId="0" fontId="30" fillId="0" borderId="22" xfId="11" applyFont="1" applyBorder="1" applyAlignment="1">
      <alignment horizontal="center" vertical="center" shrinkToFit="1"/>
    </xf>
    <xf numFmtId="0" fontId="119" fillId="0" borderId="59" xfId="11" applyFont="1" applyFill="1" applyBorder="1" applyAlignment="1">
      <alignment horizontal="center" vertical="center" shrinkToFit="1"/>
    </xf>
    <xf numFmtId="0" fontId="119" fillId="0" borderId="25" xfId="11" applyFont="1" applyFill="1" applyBorder="1" applyAlignment="1">
      <alignment horizontal="center" vertical="center" shrinkToFit="1"/>
    </xf>
    <xf numFmtId="0" fontId="119" fillId="0" borderId="27" xfId="11" applyFont="1" applyFill="1" applyBorder="1" applyAlignment="1">
      <alignment horizontal="center" vertical="center" shrinkToFit="1"/>
    </xf>
    <xf numFmtId="0" fontId="119" fillId="0" borderId="50" xfId="11" applyFont="1" applyFill="1" applyBorder="1" applyAlignment="1">
      <alignment horizontal="center" vertical="center" shrinkToFit="1"/>
    </xf>
    <xf numFmtId="0" fontId="26" fillId="17" borderId="54" xfId="11" applyFont="1" applyFill="1" applyBorder="1" applyAlignment="1">
      <alignment horizontal="center" vertical="center" shrinkToFit="1"/>
    </xf>
    <xf numFmtId="0" fontId="26" fillId="17" borderId="55" xfId="11" applyFont="1" applyFill="1" applyBorder="1" applyAlignment="1">
      <alignment horizontal="center" vertical="center" shrinkToFit="1"/>
    </xf>
    <xf numFmtId="0" fontId="26" fillId="17" borderId="56" xfId="11" applyFont="1" applyFill="1" applyBorder="1" applyAlignment="1">
      <alignment horizontal="center" vertical="center" shrinkToFit="1"/>
    </xf>
    <xf numFmtId="0" fontId="117" fillId="0" borderId="78" xfId="11" applyFont="1" applyFill="1" applyBorder="1" applyAlignment="1">
      <alignment horizontal="center" vertical="center"/>
    </xf>
    <xf numFmtId="0" fontId="117" fillId="0" borderId="79" xfId="11" applyFont="1" applyFill="1" applyBorder="1" applyAlignment="1">
      <alignment horizontal="center" vertical="center"/>
    </xf>
    <xf numFmtId="0" fontId="117" fillId="0" borderId="57" xfId="11" applyFont="1" applyFill="1" applyBorder="1" applyAlignment="1">
      <alignment horizontal="center" vertical="center"/>
    </xf>
    <xf numFmtId="0" fontId="28" fillId="0" borderId="31" xfId="11" applyFont="1" applyFill="1" applyBorder="1" applyAlignment="1">
      <alignment horizontal="center" vertical="center" shrinkToFit="1"/>
    </xf>
    <xf numFmtId="0" fontId="28" fillId="0" borderId="77" xfId="11" applyFont="1" applyFill="1" applyBorder="1" applyAlignment="1">
      <alignment horizontal="center" vertical="center" shrinkToFit="1"/>
    </xf>
    <xf numFmtId="0" fontId="28" fillId="0" borderId="35" xfId="11" applyFont="1" applyFill="1" applyBorder="1" applyAlignment="1">
      <alignment horizontal="center" vertical="center" shrinkToFit="1"/>
    </xf>
    <xf numFmtId="0" fontId="28" fillId="0" borderId="58" xfId="11" applyFont="1" applyFill="1" applyBorder="1" applyAlignment="1">
      <alignment horizontal="center" vertical="center" shrinkToFit="1"/>
    </xf>
    <xf numFmtId="0" fontId="117" fillId="0" borderId="74" xfId="11" applyFont="1" applyFill="1" applyBorder="1" applyAlignment="1">
      <alignment horizontal="center" vertical="center"/>
    </xf>
    <xf numFmtId="0" fontId="117" fillId="0" borderId="75" xfId="11" applyFont="1" applyFill="1" applyBorder="1" applyAlignment="1">
      <alignment horizontal="center" vertical="center"/>
    </xf>
    <xf numFmtId="0" fontId="117" fillId="0" borderId="76" xfId="11" applyFont="1" applyFill="1" applyBorder="1" applyAlignment="1">
      <alignment horizontal="center" vertical="center"/>
    </xf>
    <xf numFmtId="0" fontId="26" fillId="0" borderId="72" xfId="11" applyFont="1" applyFill="1" applyBorder="1" applyAlignment="1">
      <alignment horizontal="center" vertical="center" shrinkToFit="1"/>
    </xf>
    <xf numFmtId="0" fontId="26" fillId="0" borderId="71" xfId="11" applyFont="1" applyFill="1" applyBorder="1" applyAlignment="1">
      <alignment horizontal="center" vertical="center" shrinkToFit="1"/>
    </xf>
    <xf numFmtId="0" fontId="26" fillId="0" borderId="73" xfId="11" applyFont="1" applyFill="1" applyBorder="1" applyAlignment="1">
      <alignment horizontal="center" vertical="center" shrinkToFit="1"/>
    </xf>
    <xf numFmtId="0" fontId="26" fillId="0" borderId="70" xfId="11" applyFont="1" applyFill="1" applyBorder="1" applyAlignment="1">
      <alignment horizontal="center" vertical="center" shrinkToFit="1"/>
    </xf>
    <xf numFmtId="0" fontId="121" fillId="0" borderId="4" xfId="0" applyFont="1" applyBorder="1" applyAlignment="1">
      <alignment horizontal="center" shrinkToFit="1"/>
    </xf>
    <xf numFmtId="0" fontId="121" fillId="0" borderId="3" xfId="0" applyFont="1" applyBorder="1" applyAlignment="1">
      <alignment horizontal="center" shrinkToFit="1"/>
    </xf>
    <xf numFmtId="0" fontId="7" fillId="0" borderId="4" xfId="0" applyFont="1" applyBorder="1" applyAlignment="1">
      <alignment horizontal="center" shrinkToFit="1"/>
    </xf>
    <xf numFmtId="0" fontId="7" fillId="0" borderId="3" xfId="0" applyFont="1" applyBorder="1" applyAlignment="1">
      <alignment horizontal="center" shrinkToFit="1"/>
    </xf>
    <xf numFmtId="0" fontId="26" fillId="0" borderId="22" xfId="0" applyFont="1" applyFill="1" applyBorder="1" applyAlignment="1">
      <alignment horizontal="center" vertical="center" shrinkToFit="1"/>
    </xf>
    <xf numFmtId="0" fontId="62" fillId="0" borderId="22" xfId="0" applyFont="1" applyFill="1" applyBorder="1" applyAlignment="1">
      <alignment horizontal="center" vertical="center" shrinkToFit="1"/>
    </xf>
    <xf numFmtId="0" fontId="26" fillId="8" borderId="22" xfId="0" applyFont="1" applyFill="1" applyBorder="1" applyAlignment="1">
      <alignment horizontal="center" vertical="center" shrinkToFit="1"/>
    </xf>
    <xf numFmtId="0" fontId="28" fillId="8" borderId="22" xfId="0" applyFont="1" applyFill="1" applyBorder="1" applyAlignment="1">
      <alignment horizontal="center" vertical="center" shrinkToFit="1"/>
    </xf>
    <xf numFmtId="0" fontId="28" fillId="2" borderId="27" xfId="0" applyFont="1" applyFill="1" applyBorder="1" applyAlignment="1">
      <alignment horizontal="center" shrinkToFit="1"/>
    </xf>
    <xf numFmtId="0" fontId="28" fillId="2" borderId="28" xfId="0" applyFont="1" applyFill="1" applyBorder="1" applyAlignment="1">
      <alignment horizontal="center" shrinkToFit="1"/>
    </xf>
    <xf numFmtId="0" fontId="28" fillId="2" borderId="25" xfId="0" applyFont="1" applyFill="1" applyBorder="1" applyAlignment="1">
      <alignment horizontal="center" shrinkToFit="1"/>
    </xf>
    <xf numFmtId="0" fontId="7" fillId="0" borderId="2" xfId="0" applyFont="1" applyBorder="1" applyAlignment="1">
      <alignment shrinkToFit="1"/>
    </xf>
    <xf numFmtId="0" fontId="7" fillId="0" borderId="3" xfId="0" applyFont="1" applyBorder="1" applyAlignment="1">
      <alignment shrinkToFit="1"/>
    </xf>
    <xf numFmtId="0" fontId="120" fillId="2" borderId="4" xfId="0" applyFont="1" applyFill="1" applyBorder="1" applyAlignment="1">
      <alignment horizontal="center" vertical="center" shrinkToFit="1"/>
    </xf>
    <xf numFmtId="0" fontId="120" fillId="2" borderId="3" xfId="0" applyFont="1" applyFill="1" applyBorder="1" applyAlignment="1">
      <alignment horizontal="center" vertical="center" shrinkToFit="1"/>
    </xf>
    <xf numFmtId="0" fontId="26" fillId="0" borderId="27" xfId="0" applyFont="1" applyBorder="1" applyAlignment="1">
      <alignment horizontal="center" vertical="center" shrinkToFit="1"/>
    </xf>
    <xf numFmtId="0" fontId="26" fillId="0" borderId="25" xfId="0" applyFont="1" applyBorder="1" applyAlignment="1">
      <alignment horizontal="center" vertical="center" shrinkToFit="1"/>
    </xf>
    <xf numFmtId="0" fontId="26" fillId="0" borderId="23" xfId="0" applyFont="1" applyBorder="1" applyAlignment="1">
      <alignment horizontal="center" vertical="center" wrapText="1" shrinkToFit="1"/>
    </xf>
    <xf numFmtId="0" fontId="26" fillId="0" borderId="29" xfId="0" applyFont="1" applyBorder="1" applyAlignment="1">
      <alignment horizontal="center" vertical="center" wrapText="1" shrinkToFit="1"/>
    </xf>
    <xf numFmtId="0" fontId="26" fillId="0" borderId="30" xfId="0" applyFont="1" applyBorder="1" applyAlignment="1">
      <alignment horizontal="center" vertical="center" wrapText="1" shrinkToFit="1"/>
    </xf>
    <xf numFmtId="0" fontId="28" fillId="2" borderId="4" xfId="0" applyFont="1" applyFill="1" applyBorder="1" applyAlignment="1">
      <alignment horizontal="center" vertical="center" shrinkToFit="1"/>
    </xf>
    <xf numFmtId="0" fontId="28" fillId="2" borderId="2" xfId="0" applyFont="1" applyFill="1" applyBorder="1" applyAlignment="1">
      <alignment horizontal="center" vertical="center" shrinkToFit="1"/>
    </xf>
    <xf numFmtId="0" fontId="28" fillId="2" borderId="3" xfId="0" applyFont="1" applyFill="1" applyBorder="1" applyAlignment="1">
      <alignment horizontal="center" vertical="center" shrinkToFit="1"/>
    </xf>
    <xf numFmtId="0" fontId="28" fillId="2" borderId="27" xfId="0" applyFont="1" applyFill="1" applyBorder="1" applyAlignment="1">
      <alignment horizontal="center" vertical="center" shrinkToFit="1"/>
    </xf>
    <xf numFmtId="0" fontId="28" fillId="2" borderId="28" xfId="0" applyFont="1" applyFill="1" applyBorder="1" applyAlignment="1">
      <alignment horizontal="center" vertical="center" shrinkToFit="1"/>
    </xf>
    <xf numFmtId="0" fontId="28" fillId="2" borderId="25" xfId="0" applyFont="1" applyFill="1" applyBorder="1" applyAlignment="1">
      <alignment horizontal="center" vertical="center" shrinkToFit="1"/>
    </xf>
    <xf numFmtId="0" fontId="28" fillId="2" borderId="35" xfId="0" applyFont="1" applyFill="1" applyBorder="1" applyAlignment="1">
      <alignment horizontal="center" vertical="center" shrinkToFit="1"/>
    </xf>
    <xf numFmtId="0" fontId="28" fillId="2" borderId="26" xfId="0" applyFont="1" applyFill="1" applyBorder="1" applyAlignment="1">
      <alignment horizontal="center" vertical="center" shrinkToFit="1"/>
    </xf>
    <xf numFmtId="0" fontId="28" fillId="2" borderId="36" xfId="0" applyFont="1" applyFill="1" applyBorder="1" applyAlignment="1">
      <alignment horizontal="center" vertical="center" shrinkToFit="1"/>
    </xf>
    <xf numFmtId="0" fontId="0" fillId="0" borderId="22" xfId="0" applyFont="1" applyBorder="1" applyAlignment="1">
      <alignment horizontal="center" vertical="center" shrinkToFit="1"/>
    </xf>
    <xf numFmtId="0" fontId="7" fillId="2" borderId="4" xfId="0" applyFont="1" applyFill="1" applyBorder="1" applyAlignment="1">
      <alignment horizontal="center" vertical="center" shrinkToFit="1"/>
    </xf>
    <xf numFmtId="0" fontId="7" fillId="2" borderId="2" xfId="0" applyFont="1" applyFill="1" applyBorder="1" applyAlignment="1">
      <alignment horizontal="center" vertical="center" shrinkToFit="1"/>
    </xf>
    <xf numFmtId="0" fontId="7" fillId="2" borderId="3" xfId="0" applyFont="1" applyFill="1" applyBorder="1" applyAlignment="1">
      <alignment horizontal="center" vertical="center" shrinkToFit="1"/>
    </xf>
    <xf numFmtId="0" fontId="8" fillId="2" borderId="4" xfId="0" applyFont="1" applyFill="1" applyBorder="1" applyAlignment="1">
      <alignment horizontal="center" vertical="center" shrinkToFit="1"/>
    </xf>
    <xf numFmtId="0" fontId="8" fillId="2" borderId="3" xfId="0" applyFont="1" applyFill="1" applyBorder="1" applyAlignment="1">
      <alignment horizontal="center" vertical="center" shrinkToFit="1"/>
    </xf>
    <xf numFmtId="0" fontId="0" fillId="0" borderId="22" xfId="0" applyFont="1" applyBorder="1" applyAlignment="1">
      <alignment horizontal="center" vertical="center" wrapText="1" shrinkToFit="1"/>
    </xf>
    <xf numFmtId="0" fontId="7" fillId="2" borderId="22" xfId="0" applyFont="1" applyFill="1" applyBorder="1" applyAlignment="1">
      <alignment horizontal="center" shrinkToFit="1"/>
    </xf>
    <xf numFmtId="0" fontId="7" fillId="2" borderId="22" xfId="0" applyFont="1" applyFill="1" applyBorder="1" applyAlignment="1">
      <alignment horizontal="center" vertical="center" shrinkToFit="1"/>
    </xf>
    <xf numFmtId="0" fontId="7" fillId="2" borderId="39" xfId="0" applyFont="1" applyFill="1" applyBorder="1" applyAlignment="1">
      <alignment horizontal="center" shrinkToFit="1"/>
    </xf>
    <xf numFmtId="0" fontId="7" fillId="2" borderId="2" xfId="0" applyFont="1" applyFill="1" applyBorder="1" applyAlignment="1">
      <alignment horizontal="center" shrinkToFit="1"/>
    </xf>
    <xf numFmtId="0" fontId="7" fillId="2" borderId="3" xfId="0" applyFont="1" applyFill="1" applyBorder="1" applyAlignment="1">
      <alignment horizontal="center" shrinkToFit="1"/>
    </xf>
    <xf numFmtId="0" fontId="7" fillId="2" borderId="0" xfId="0" applyFont="1" applyFill="1" applyBorder="1" applyAlignment="1">
      <alignment horizontal="center" vertical="center" shrinkToFit="1"/>
    </xf>
    <xf numFmtId="0" fontId="7" fillId="2" borderId="40" xfId="0" applyFont="1" applyFill="1" applyBorder="1" applyAlignment="1">
      <alignment horizontal="center" vertical="center" shrinkToFit="1"/>
    </xf>
    <xf numFmtId="0" fontId="26" fillId="8" borderId="22" xfId="11" applyFont="1" applyFill="1" applyBorder="1" applyAlignment="1">
      <alignment horizontal="center" vertical="center" shrinkToFit="1"/>
    </xf>
    <xf numFmtId="0" fontId="28" fillId="8" borderId="22" xfId="11" applyFont="1" applyFill="1" applyBorder="1" applyAlignment="1">
      <alignment horizontal="center" vertical="center" shrinkToFit="1"/>
    </xf>
    <xf numFmtId="0" fontId="62" fillId="0" borderId="22" xfId="11" applyFont="1" applyFill="1" applyBorder="1" applyAlignment="1">
      <alignment horizontal="center" vertical="center" shrinkToFit="1"/>
    </xf>
    <xf numFmtId="0" fontId="7" fillId="0" borderId="48" xfId="0" applyFont="1" applyBorder="1" applyAlignment="1">
      <alignment horizontal="center" shrinkToFit="1"/>
    </xf>
    <xf numFmtId="0" fontId="7" fillId="0" borderId="49" xfId="0" applyFont="1" applyBorder="1" applyAlignment="1">
      <alignment horizontal="center" shrinkToFit="1"/>
    </xf>
    <xf numFmtId="0" fontId="62" fillId="8" borderId="22" xfId="11" applyFont="1" applyFill="1" applyBorder="1" applyAlignment="1">
      <alignment horizontal="center" vertical="center" shrinkToFit="1"/>
    </xf>
    <xf numFmtId="0" fontId="28" fillId="2" borderId="22" xfId="0" applyFont="1" applyFill="1" applyBorder="1" applyAlignment="1">
      <alignment horizontal="center" vertical="center" shrinkToFit="1"/>
    </xf>
    <xf numFmtId="0" fontId="53" fillId="0" borderId="26" xfId="0" applyFont="1" applyBorder="1" applyAlignment="1">
      <alignment horizontal="left" vertical="center" shrinkToFit="1"/>
    </xf>
    <xf numFmtId="0" fontId="28" fillId="2" borderId="23" xfId="0" applyFont="1" applyFill="1" applyBorder="1" applyAlignment="1">
      <alignment horizontal="center" vertical="center" shrinkToFit="1"/>
    </xf>
    <xf numFmtId="0" fontId="28" fillId="0" borderId="22" xfId="0" applyFont="1" applyBorder="1" applyAlignment="1">
      <alignment shrinkToFit="1"/>
    </xf>
    <xf numFmtId="0" fontId="28" fillId="2" borderId="33" xfId="0" applyFont="1" applyFill="1" applyBorder="1" applyAlignment="1">
      <alignment horizontal="center" vertical="center" shrinkToFit="1"/>
    </xf>
    <xf numFmtId="0" fontId="28" fillId="2" borderId="0" xfId="0" applyFont="1" applyFill="1" applyBorder="1" applyAlignment="1">
      <alignment horizontal="center" vertical="center" shrinkToFit="1"/>
    </xf>
    <xf numFmtId="0" fontId="28" fillId="0" borderId="0" xfId="0" applyFont="1" applyFill="1" applyBorder="1" applyAlignment="1">
      <alignment horizontal="center" shrinkToFit="1"/>
    </xf>
    <xf numFmtId="0" fontId="28" fillId="0" borderId="38" xfId="0" applyFont="1" applyFill="1" applyBorder="1" applyAlignment="1">
      <alignment horizontal="center" shrinkToFit="1"/>
    </xf>
    <xf numFmtId="0" fontId="28" fillId="2" borderId="29" xfId="0" applyFont="1" applyFill="1" applyBorder="1" applyAlignment="1">
      <alignment horizontal="center" vertical="center" shrinkToFit="1"/>
    </xf>
    <xf numFmtId="0" fontId="80" fillId="5" borderId="22" xfId="580" applyFont="1" applyFill="1" applyBorder="1" applyAlignment="1">
      <alignment horizontal="center" vertical="center"/>
    </xf>
    <xf numFmtId="0" fontId="36" fillId="5" borderId="22" xfId="580" applyFont="1" applyFill="1" applyBorder="1" applyAlignment="1">
      <alignment horizontal="center" vertical="center"/>
    </xf>
    <xf numFmtId="0" fontId="39" fillId="0" borderId="26" xfId="11" applyFont="1" applyBorder="1" applyAlignment="1">
      <alignment horizontal="center" vertical="center"/>
    </xf>
    <xf numFmtId="0" fontId="32" fillId="0" borderId="26" xfId="11" applyFont="1" applyBorder="1" applyAlignment="1">
      <alignment horizontal="center" vertical="center"/>
    </xf>
    <xf numFmtId="0" fontId="65" fillId="5" borderId="31" xfId="580" applyFont="1" applyFill="1" applyBorder="1" applyAlignment="1">
      <alignment horizontal="center" vertical="center" wrapText="1"/>
    </xf>
    <xf numFmtId="0" fontId="65" fillId="5" borderId="37" xfId="580" applyFont="1" applyFill="1" applyBorder="1" applyAlignment="1">
      <alignment horizontal="center" vertical="center" wrapText="1"/>
    </xf>
    <xf numFmtId="0" fontId="65" fillId="5" borderId="32" xfId="580" applyFont="1" applyFill="1" applyBorder="1" applyAlignment="1">
      <alignment horizontal="center" vertical="center" wrapText="1"/>
    </xf>
    <xf numFmtId="0" fontId="36" fillId="5" borderId="23" xfId="5" applyFont="1" applyFill="1" applyBorder="1" applyAlignment="1">
      <alignment horizontal="center" vertical="center"/>
    </xf>
    <xf numFmtId="0" fontId="36" fillId="5" borderId="30" xfId="5" applyFont="1" applyFill="1" applyBorder="1" applyAlignment="1">
      <alignment horizontal="center" vertical="center"/>
    </xf>
    <xf numFmtId="0" fontId="36" fillId="5" borderId="23" xfId="580" applyFont="1" applyFill="1" applyBorder="1" applyAlignment="1">
      <alignment horizontal="center" vertical="center" wrapText="1"/>
    </xf>
    <xf numFmtId="0" fontId="36" fillId="5" borderId="30" xfId="580" applyFont="1" applyFill="1" applyBorder="1" applyAlignment="1">
      <alignment horizontal="center" vertical="center" wrapText="1"/>
    </xf>
    <xf numFmtId="0" fontId="51" fillId="5" borderId="31" xfId="5" applyFont="1" applyFill="1" applyBorder="1" applyAlignment="1">
      <alignment horizontal="center" vertical="center"/>
    </xf>
    <xf numFmtId="0" fontId="51" fillId="5" borderId="37" xfId="5" applyFont="1" applyFill="1" applyBorder="1" applyAlignment="1">
      <alignment horizontal="center" vertical="center"/>
    </xf>
    <xf numFmtId="0" fontId="51" fillId="5" borderId="32" xfId="5" applyFont="1" applyFill="1" applyBorder="1" applyAlignment="1">
      <alignment horizontal="center" vertical="center"/>
    </xf>
    <xf numFmtId="0" fontId="51" fillId="5" borderId="33" xfId="5" applyFont="1" applyFill="1" applyBorder="1" applyAlignment="1">
      <alignment horizontal="center" vertical="center"/>
    </xf>
    <xf numFmtId="0" fontId="51" fillId="5" borderId="0" xfId="5" applyFont="1" applyFill="1" applyAlignment="1">
      <alignment horizontal="center" vertical="center"/>
    </xf>
    <xf numFmtId="0" fontId="51" fillId="5" borderId="34" xfId="5" applyFont="1" applyFill="1" applyBorder="1" applyAlignment="1">
      <alignment horizontal="center" vertical="center"/>
    </xf>
    <xf numFmtId="0" fontId="51" fillId="5" borderId="35" xfId="5" applyFont="1" applyFill="1" applyBorder="1" applyAlignment="1">
      <alignment horizontal="center" vertical="center"/>
    </xf>
    <xf numFmtId="0" fontId="51" fillId="5" borderId="26" xfId="5" applyFont="1" applyFill="1" applyBorder="1" applyAlignment="1">
      <alignment horizontal="center" vertical="center"/>
    </xf>
    <xf numFmtId="0" fontId="51" fillId="5" borderId="36" xfId="5" applyFont="1" applyFill="1" applyBorder="1" applyAlignment="1">
      <alignment horizontal="center" vertical="center"/>
    </xf>
    <xf numFmtId="0" fontId="113" fillId="0" borderId="31" xfId="11" applyFont="1" applyBorder="1" applyAlignment="1">
      <alignment horizontal="center" vertical="center"/>
    </xf>
    <xf numFmtId="0" fontId="29" fillId="0" borderId="32" xfId="11" applyFont="1" applyBorder="1" applyAlignment="1">
      <alignment horizontal="center" vertical="center"/>
    </xf>
    <xf numFmtId="0" fontId="29" fillId="0" borderId="33" xfId="11" applyFont="1" applyBorder="1" applyAlignment="1">
      <alignment horizontal="center" vertical="center"/>
    </xf>
    <xf numFmtId="0" fontId="29" fillId="0" borderId="34" xfId="11" applyFont="1" applyBorder="1" applyAlignment="1">
      <alignment horizontal="center" vertical="center"/>
    </xf>
    <xf numFmtId="0" fontId="29" fillId="0" borderId="35" xfId="11" applyFont="1" applyBorder="1" applyAlignment="1">
      <alignment horizontal="center" vertical="center"/>
    </xf>
    <xf numFmtId="0" fontId="29" fillId="0" borderId="36" xfId="11" applyFont="1" applyBorder="1" applyAlignment="1">
      <alignment horizontal="center" vertical="center"/>
    </xf>
    <xf numFmtId="0" fontId="38" fillId="5" borderId="27" xfId="580" applyFont="1" applyFill="1" applyBorder="1" applyAlignment="1">
      <alignment horizontal="center" vertical="center"/>
    </xf>
    <xf numFmtId="0" fontId="38" fillId="5" borderId="25" xfId="580" applyFont="1" applyFill="1" applyBorder="1" applyAlignment="1">
      <alignment horizontal="center" vertical="center"/>
    </xf>
    <xf numFmtId="0" fontId="38" fillId="5" borderId="27" xfId="580" applyFont="1" applyFill="1" applyBorder="1" applyAlignment="1">
      <alignment horizontal="center" vertical="center" wrapText="1"/>
    </xf>
    <xf numFmtId="0" fontId="38" fillId="5" borderId="28" xfId="580" applyFont="1" applyFill="1" applyBorder="1" applyAlignment="1">
      <alignment horizontal="center" vertical="center" wrapText="1"/>
    </xf>
    <xf numFmtId="0" fontId="38" fillId="5" borderId="25" xfId="580" applyFont="1" applyFill="1" applyBorder="1" applyAlignment="1">
      <alignment horizontal="center" vertical="center" wrapText="1"/>
    </xf>
    <xf numFmtId="0" fontId="36" fillId="5" borderId="22" xfId="580" applyFont="1" applyFill="1" applyBorder="1" applyAlignment="1">
      <alignment horizontal="center" vertical="center" wrapText="1"/>
    </xf>
    <xf numFmtId="0" fontId="80" fillId="5" borderId="23" xfId="580" applyFont="1" applyFill="1" applyBorder="1" applyAlignment="1">
      <alignment horizontal="center" vertical="center" wrapText="1"/>
    </xf>
    <xf numFmtId="0" fontId="29" fillId="5" borderId="33" xfId="11" applyFont="1" applyFill="1" applyBorder="1" applyAlignment="1">
      <alignment horizontal="center" vertical="center"/>
    </xf>
    <xf numFmtId="0" fontId="29" fillId="5" borderId="34" xfId="11" applyFont="1" applyFill="1" applyBorder="1" applyAlignment="1">
      <alignment horizontal="center" vertical="center"/>
    </xf>
    <xf numFmtId="0" fontId="29" fillId="5" borderId="35" xfId="11" applyFont="1" applyFill="1" applyBorder="1" applyAlignment="1">
      <alignment horizontal="center" vertical="center"/>
    </xf>
    <xf numFmtId="0" fontId="29" fillId="5" borderId="36" xfId="11" applyFont="1" applyFill="1" applyBorder="1" applyAlignment="1">
      <alignment horizontal="center" vertical="center"/>
    </xf>
    <xf numFmtId="0" fontId="80" fillId="5" borderId="22" xfId="580" applyFont="1" applyFill="1" applyBorder="1" applyAlignment="1">
      <alignment horizontal="center" vertical="center" wrapText="1"/>
    </xf>
    <xf numFmtId="0" fontId="38" fillId="5" borderId="28" xfId="580" applyFont="1" applyFill="1" applyBorder="1" applyAlignment="1">
      <alignment horizontal="center" vertical="center"/>
    </xf>
    <xf numFmtId="195" fontId="106" fillId="21" borderId="23" xfId="581" applyNumberFormat="1" applyFont="1" applyFill="1" applyBorder="1" applyAlignment="1">
      <alignment horizontal="center" vertical="center"/>
    </xf>
    <xf numFmtId="195" fontId="106" fillId="21" borderId="29" xfId="581" applyNumberFormat="1" applyFont="1" applyFill="1" applyBorder="1" applyAlignment="1">
      <alignment horizontal="center" vertical="center"/>
    </xf>
    <xf numFmtId="195" fontId="106" fillId="21" borderId="30" xfId="581" applyNumberFormat="1" applyFont="1" applyFill="1" applyBorder="1" applyAlignment="1">
      <alignment horizontal="center" vertical="center"/>
    </xf>
    <xf numFmtId="195" fontId="106" fillId="22" borderId="23" xfId="581" applyNumberFormat="1" applyFont="1" applyFill="1" applyBorder="1" applyAlignment="1">
      <alignment horizontal="center" vertical="center"/>
    </xf>
    <xf numFmtId="195" fontId="106" fillId="22" borderId="29" xfId="581" applyNumberFormat="1" applyFont="1" applyFill="1" applyBorder="1" applyAlignment="1">
      <alignment horizontal="center" vertical="center"/>
    </xf>
    <xf numFmtId="195" fontId="106" fillId="22" borderId="30" xfId="581" applyNumberFormat="1" applyFont="1" applyFill="1" applyBorder="1" applyAlignment="1">
      <alignment horizontal="center" vertical="center"/>
    </xf>
    <xf numFmtId="0" fontId="97" fillId="18" borderId="22" xfId="581" applyFont="1" applyFill="1" applyBorder="1" applyAlignment="1">
      <alignment horizontal="center" vertical="center"/>
    </xf>
    <xf numFmtId="0" fontId="98" fillId="0" borderId="23" xfId="581" applyFont="1" applyBorder="1" applyAlignment="1">
      <alignment horizontal="center" vertical="center"/>
    </xf>
    <xf numFmtId="0" fontId="98" fillId="0" borderId="30" xfId="581" applyFont="1" applyBorder="1" applyAlignment="1">
      <alignment horizontal="center" vertical="center"/>
    </xf>
    <xf numFmtId="194" fontId="98" fillId="0" borderId="23" xfId="581" applyNumberFormat="1" applyFont="1" applyBorder="1" applyAlignment="1">
      <alignment horizontal="center" vertical="center"/>
    </xf>
    <xf numFmtId="194" fontId="98" fillId="0" borderId="30" xfId="581" applyNumberFormat="1" applyFont="1" applyBorder="1" applyAlignment="1">
      <alignment horizontal="center" vertical="center"/>
    </xf>
    <xf numFmtId="189" fontId="98" fillId="0" borderId="23" xfId="581" applyNumberFormat="1" applyFont="1" applyBorder="1" applyAlignment="1">
      <alignment horizontal="center" vertical="center"/>
    </xf>
    <xf numFmtId="189" fontId="98" fillId="0" borderId="30" xfId="581" applyNumberFormat="1" applyFont="1" applyBorder="1" applyAlignment="1">
      <alignment horizontal="center" vertical="center"/>
    </xf>
    <xf numFmtId="0" fontId="100" fillId="0" borderId="23" xfId="11" applyFont="1" applyBorder="1" applyAlignment="1">
      <alignment horizontal="center" vertical="center"/>
    </xf>
    <xf numFmtId="0" fontId="100" fillId="0" borderId="29" xfId="11" applyFont="1" applyBorder="1" applyAlignment="1">
      <alignment horizontal="center" vertical="center"/>
    </xf>
    <xf numFmtId="0" fontId="100" fillId="0" borderId="30" xfId="11" applyFont="1" applyBorder="1" applyAlignment="1">
      <alignment horizontal="center" vertical="center"/>
    </xf>
    <xf numFmtId="195" fontId="106" fillId="5" borderId="22" xfId="581" applyNumberFormat="1" applyFont="1" applyFill="1" applyBorder="1" applyAlignment="1">
      <alignment horizontal="center" vertical="center"/>
    </xf>
    <xf numFmtId="195" fontId="106" fillId="14" borderId="22" xfId="581" applyNumberFormat="1" applyFont="1" applyFill="1" applyBorder="1" applyAlignment="1">
      <alignment horizontal="center" vertical="center"/>
    </xf>
    <xf numFmtId="0" fontId="37" fillId="5" borderId="22" xfId="5" applyFont="1" applyFill="1" applyBorder="1" applyAlignment="1">
      <alignment horizontal="center"/>
    </xf>
  </cellXfs>
  <cellStyles count="584">
    <cellStyle name="??_x000c_鞜_x0007__x000d_槉U_x0001_??_x0007__x0001__x0001_" xfId="25" xr:uid="{00000000-0005-0000-0000-000000000000}"/>
    <cellStyle name="_98-春節暫停營業明細-ToDC" xfId="26" xr:uid="{00000000-0005-0000-0000-000001000000}"/>
    <cellStyle name="_98-春節暫停營業明細-ToDC_1-晉欣鮮食廠-2012年春節作業體制" xfId="27" xr:uid="{00000000-0005-0000-0000-000002000000}"/>
    <cellStyle name="_excel報告書" xfId="28" xr:uid="{00000000-0005-0000-0000-000003000000}"/>
    <cellStyle name="_excel報告書_1-晉欣鮮食廠-2012年春節作業體制" xfId="29" xr:uid="{00000000-0005-0000-0000-000004000000}"/>
    <cellStyle name="_excel報告書_96年月餅預購競賽獎勵案" xfId="30" xr:uid="{00000000-0005-0000-0000-000005000000}"/>
    <cellStyle name="_excel報告書_96年月餅預購競賽獎勵案_1-晉欣鮮食廠-2012年春節作業體制" xfId="31" xr:uid="{00000000-0005-0000-0000-000006000000}"/>
    <cellStyle name="_excel報告書_96年月餅預購競賽獎勵案_97年春節保全回收報告書" xfId="32" xr:uid="{00000000-0005-0000-0000-000007000000}"/>
    <cellStyle name="_excel報告書_96年月餅預購競賽獎勵案_97年春節保全回收報告書_1-晉欣鮮食廠-2012年春節作業體制" xfId="33" xr:uid="{00000000-0005-0000-0000-000008000000}"/>
    <cellStyle name="_excel報告書_96年月餅預購競賽獎勵案_97年春節保全回收報告書_Book1" xfId="34" xr:uid="{00000000-0005-0000-0000-000009000000}"/>
    <cellStyle name="_excel報告書_96年月餅預購競賽獎勵案_97年春節保全回收報告書_Book1_1-晉欣鮮食廠-2012年春節作業體制" xfId="35" xr:uid="{00000000-0005-0000-0000-00000A000000}"/>
    <cellStyle name="_excel報告書_96年月餅預購競賽獎勵案_97年春節保全回收報告書_春節作業手冊-981217" xfId="36" xr:uid="{00000000-0005-0000-0000-00000B000000}"/>
    <cellStyle name="_excel報告書_96年月餅預購競賽獎勵案_97年春節保全回收報告書_春節作業手冊-981217_1-晉欣鮮食廠-2012年春節作業體制" xfId="37" xr:uid="{00000000-0005-0000-0000-00000C000000}"/>
    <cellStyle name="_excel報告書_96年月餅預購競賽獎勵案_97年營業競賽提案報告書" xfId="38" xr:uid="{00000000-0005-0000-0000-00000D000000}"/>
    <cellStyle name="_excel報告書_96年月餅預購競賽獎勵案_97年營業競賽提案報告書_1-晉欣鮮食廠-2012年春節作業體制" xfId="39" xr:uid="{00000000-0005-0000-0000-00000E000000}"/>
    <cellStyle name="_excel報告書_96年月餅預購競賽獎勵案_97年營業競賽提案報告書_97年春節保全回收報告書" xfId="40" xr:uid="{00000000-0005-0000-0000-00000F000000}"/>
    <cellStyle name="_excel報告書_96年月餅預購競賽獎勵案_97年營業競賽提案報告書_97年春節保全回收報告書_1-晉欣鮮食廠-2012年春節作業體制" xfId="41" xr:uid="{00000000-0005-0000-0000-000010000000}"/>
    <cellStyle name="_excel報告書_96年月餅預購競賽獎勵案_97年營業競賽提案報告書_97年春節保全回收報告書_Book1" xfId="42" xr:uid="{00000000-0005-0000-0000-000011000000}"/>
    <cellStyle name="_excel報告書_96年月餅預購競賽獎勵案_97年營業競賽提案報告書_97年春節保全回收報告書_Book1_1-晉欣鮮食廠-2012年春節作業體制" xfId="43" xr:uid="{00000000-0005-0000-0000-000012000000}"/>
    <cellStyle name="_excel報告書_96年月餅預購競賽獎勵案_97年營業競賽提案報告書_97年春節保全回收報告書_春節作業手冊-981217" xfId="44" xr:uid="{00000000-0005-0000-0000-000013000000}"/>
    <cellStyle name="_excel報告書_96年月餅預購競賽獎勵案_97年營業競賽提案報告書_97年春節保全回收報告書_春節作業手冊-981217_1-晉欣鮮食廠-2012年春節作業體制" xfId="45" xr:uid="{00000000-0005-0000-0000-000014000000}"/>
    <cellStyle name="_excel報告書_96年月餅預購競賽獎勵案_97年營業競賽提案報告書_97年營業競賽提案報告書" xfId="46" xr:uid="{00000000-0005-0000-0000-000015000000}"/>
    <cellStyle name="_excel報告書_96年月餅預購競賽獎勵案_97年營業競賽提案報告書_97年營業競賽提案報告書_1-晉欣鮮食廠-2012年春節作業體制" xfId="47" xr:uid="{00000000-0005-0000-0000-000016000000}"/>
    <cellStyle name="_excel報告書_96年月餅預購競賽獎勵案_97年營業競賽提案報告書_97年營業競賽提案報告書_97年春節保全回收報告書" xfId="48" xr:uid="{00000000-0005-0000-0000-000017000000}"/>
    <cellStyle name="_excel報告書_96年月餅預購競賽獎勵案_97年營業競賽提案報告書_97年營業競賽提案報告書_97年春節保全回收報告書_1-晉欣鮮食廠-2012年春節作業體制" xfId="49" xr:uid="{00000000-0005-0000-0000-000018000000}"/>
    <cellStyle name="_excel報告書_96年月餅預購競賽獎勵案_97年營業競賽提案報告書_97年營業競賽提案報告書_97年春節保全回收報告書_Book1" xfId="50" xr:uid="{00000000-0005-0000-0000-000019000000}"/>
    <cellStyle name="_excel報告書_96年月餅預購競賽獎勵案_97年營業競賽提案報告書_97年營業競賽提案報告書_97年春節保全回收報告書_Book1_1-晉欣鮮食廠-2012年春節作業體制" xfId="51" xr:uid="{00000000-0005-0000-0000-00001A000000}"/>
    <cellStyle name="_excel報告書_96年月餅預購競賽獎勵案_97年營業競賽提案報告書_97年營業競賽提案報告書_97年春節保全回收報告書_春節作業手冊-981217" xfId="52" xr:uid="{00000000-0005-0000-0000-00001B000000}"/>
    <cellStyle name="_excel報告書_96年月餅預購競賽獎勵案_97年營業競賽提案報告書_97年營業競賽提案報告書_97年春節保全回收報告書_春節作業手冊-981217_1-晉欣鮮食廠-2012年春節作業體制" xfId="53" xr:uid="{00000000-0005-0000-0000-00001C000000}"/>
    <cellStyle name="_excel報告書_96年月餅預購競賽獎勵案_97年營業競賽提案報告書_97年營業競賽提案報告書_97年營業競賽提案報告書" xfId="54" xr:uid="{00000000-0005-0000-0000-00001D000000}"/>
    <cellStyle name="_excel報告書_96年月餅預購競賽獎勵案_97年營業競賽提案報告書_97年營業競賽提案報告書_97年營業競賽提案報告書_1-晉欣鮮食廠-2012年春節作業體制" xfId="55" xr:uid="{00000000-0005-0000-0000-00001E000000}"/>
    <cellStyle name="_excel報告書_96年月餅預購競賽獎勵案_97年營業競賽提案報告書_97年營業競賽提案報告書_97年營業競賽提案報告書_97年春節保全回收報告書" xfId="56" xr:uid="{00000000-0005-0000-0000-00001F000000}"/>
    <cellStyle name="_excel報告書_96年月餅預購競賽獎勵案_97年營業競賽提案報告書_97年營業競賽提案報告書_97年營業競賽提案報告書_97年春節保全回收報告書_1-晉欣鮮食廠-2012年春節作業體制" xfId="57" xr:uid="{00000000-0005-0000-0000-000020000000}"/>
    <cellStyle name="_excel報告書_96年月餅預購競賽獎勵案_97年營業競賽提案報告書_97年營業競賽提案報告書_97年營業競賽提案報告書_97年春節保全回收報告書_Book1" xfId="58" xr:uid="{00000000-0005-0000-0000-000021000000}"/>
    <cellStyle name="_excel報告書_96年月餅預購競賽獎勵案_97年營業競賽提案報告書_97年營業競賽提案報告書_97年營業競賽提案報告書_97年春節保全回收報告書_Book1_1-晉欣鮮食廠-2012年春節作業體制" xfId="59" xr:uid="{00000000-0005-0000-0000-000022000000}"/>
    <cellStyle name="_excel報告書_96年月餅預購競賽獎勵案_97年營業競賽提案報告書_97年營業競賽提案報告書_97年營業競賽提案報告書_97年春節保全回收報告書_春節作業手冊-981217" xfId="60" xr:uid="{00000000-0005-0000-0000-000023000000}"/>
    <cellStyle name="_excel報告書_96年月餅預購競賽獎勵案_97年營業競賽提案報告書_97年營業競賽提案報告書_97年營業競賽提案報告書_97年春節保全回收報告書_春節作業手冊-981217_1-晉欣鮮食廠-2012年春節作業體制" xfId="61" xr:uid="{00000000-0005-0000-0000-000024000000}"/>
    <cellStyle name="_excel報告書_96年月餅預購競賽獎勵案_97年營業競賽提案報告書_97年營業競賽提案報告書_97年營業競賽提案報告書_Book1" xfId="62" xr:uid="{00000000-0005-0000-0000-000025000000}"/>
    <cellStyle name="_excel報告書_96年月餅預購競賽獎勵案_97年營業競賽提案報告書_97年營業競賽提案報告書_97年營業競賽提案報告書_Book1_1-晉欣鮮食廠-2012年春節作業體制" xfId="63" xr:uid="{00000000-0005-0000-0000-000026000000}"/>
    <cellStyle name="_excel報告書_96年月餅預購競賽獎勵案_97年營業競賽提案報告書_97年營業競賽提案報告書_97年營業競賽提案報告書_春節作業手冊-981217" xfId="64" xr:uid="{00000000-0005-0000-0000-000027000000}"/>
    <cellStyle name="_excel報告書_96年月餅預購競賽獎勵案_97年營業競賽提案報告書_97年營業競賽提案報告書_97年營業競賽提案報告書_春節作業手冊-981217_1-晉欣鮮食廠-2012年春節作業體制" xfId="65" xr:uid="{00000000-0005-0000-0000-000028000000}"/>
    <cellStyle name="_excel報告書_96年月餅預購競賽獎勵案_97年營業競賽提案報告書_97年營業競賽提案報告書_Book1" xfId="66" xr:uid="{00000000-0005-0000-0000-000029000000}"/>
    <cellStyle name="_excel報告書_96年月餅預購競賽獎勵案_97年營業競賽提案報告書_97年營業競賽提案報告書_Book1_1-晉欣鮮食廠-2012年春節作業體制" xfId="67" xr:uid="{00000000-0005-0000-0000-00002A000000}"/>
    <cellStyle name="_excel報告書_96年月餅預購競賽獎勵案_97年營業競賽提案報告書_97年營業競賽提案報告書_春節作業手冊-981217" xfId="68" xr:uid="{00000000-0005-0000-0000-00002B000000}"/>
    <cellStyle name="_excel報告書_96年月餅預購競賽獎勵案_97年營業競賽提案報告書_97年營業競賽提案報告書_春節作業手冊-981217_1-晉欣鮮食廠-2012年春節作業體制" xfId="69" xr:uid="{00000000-0005-0000-0000-00002C000000}"/>
    <cellStyle name="_excel報告書_96年月餅預購競賽獎勵案_97年營業競賽提案報告書_Book1" xfId="70" xr:uid="{00000000-0005-0000-0000-00002D000000}"/>
    <cellStyle name="_excel報告書_96年月餅預購競賽獎勵案_97年營業競賽提案報告書_Book1_1-晉欣鮮食廠-2012年春節作業體制" xfId="71" xr:uid="{00000000-0005-0000-0000-00002E000000}"/>
    <cellStyle name="_excel報告書_96年月餅預購競賽獎勵案_97年營業競賽提案報告書_春節作業手冊-981217" xfId="72" xr:uid="{00000000-0005-0000-0000-00002F000000}"/>
    <cellStyle name="_excel報告書_96年月餅預購競賽獎勵案_97年營業競賽提案報告書_春節作業手冊-981217_1-晉欣鮮食廠-2012年春節作業體制" xfId="73" xr:uid="{00000000-0005-0000-0000-000030000000}"/>
    <cellStyle name="_excel報告書_96年月餅預購競賽獎勵案_Book1" xfId="74" xr:uid="{00000000-0005-0000-0000-000031000000}"/>
    <cellStyle name="_excel報告書_96年月餅預購競賽獎勵案_Book1_1-晉欣鮮食廠-2012年春節作業體制" xfId="75" xr:uid="{00000000-0005-0000-0000-000032000000}"/>
    <cellStyle name="_excel報告書_96年月餅預購競賽獎勵案_春節作業手冊-981217" xfId="76" xr:uid="{00000000-0005-0000-0000-000033000000}"/>
    <cellStyle name="_excel報告書_96年月餅預購競賽獎勵案_春節作業手冊-981217_1-晉欣鮮食廠-2012年春節作業體制" xfId="77" xr:uid="{00000000-0005-0000-0000-000034000000}"/>
    <cellStyle name="_excel報告書_97年春節保全回收報告書" xfId="78" xr:uid="{00000000-0005-0000-0000-000035000000}"/>
    <cellStyle name="_excel報告書_97年春節保全回收報告書_1-晉欣鮮食廠-2012年春節作業體制" xfId="79" xr:uid="{00000000-0005-0000-0000-000036000000}"/>
    <cellStyle name="_excel報告書_97年春節保全回收報告書_Book1" xfId="80" xr:uid="{00000000-0005-0000-0000-000037000000}"/>
    <cellStyle name="_excel報告書_97年春節保全回收報告書_Book1_1-晉欣鮮食廠-2012年春節作業體制" xfId="81" xr:uid="{00000000-0005-0000-0000-000038000000}"/>
    <cellStyle name="_excel報告書_97年春節保全回收報告書_春節作業手冊-981217" xfId="82" xr:uid="{00000000-0005-0000-0000-000039000000}"/>
    <cellStyle name="_excel報告書_97年春節保全回收報告書_春節作業手冊-981217_1-晉欣鮮食廠-2012年春節作業體制" xfId="83" xr:uid="{00000000-0005-0000-0000-00003A000000}"/>
    <cellStyle name="_excel報告書_97年營業競賽提案報告書" xfId="84" xr:uid="{00000000-0005-0000-0000-00003B000000}"/>
    <cellStyle name="_excel報告書_97年營業競賽提案報告書_1-晉欣鮮食廠-2012年春節作業體制" xfId="85" xr:uid="{00000000-0005-0000-0000-00003C000000}"/>
    <cellStyle name="_excel報告書_97年營業競賽提案報告書_97年春節保全回收報告書" xfId="86" xr:uid="{00000000-0005-0000-0000-00003D000000}"/>
    <cellStyle name="_excel報告書_97年營業競賽提案報告書_97年春節保全回收報告書_1-晉欣鮮食廠-2012年春節作業體制" xfId="87" xr:uid="{00000000-0005-0000-0000-00003E000000}"/>
    <cellStyle name="_excel報告書_97年營業競賽提案報告書_97年春節保全回收報告書_Book1" xfId="88" xr:uid="{00000000-0005-0000-0000-00003F000000}"/>
    <cellStyle name="_excel報告書_97年營業競賽提案報告書_97年春節保全回收報告書_Book1_1-晉欣鮮食廠-2012年春節作業體制" xfId="89" xr:uid="{00000000-0005-0000-0000-000040000000}"/>
    <cellStyle name="_excel報告書_97年營業競賽提案報告書_97年春節保全回收報告書_春節作業手冊-981217" xfId="90" xr:uid="{00000000-0005-0000-0000-000041000000}"/>
    <cellStyle name="_excel報告書_97年營業競賽提案報告書_97年春節保全回收報告書_春節作業手冊-981217_1-晉欣鮮食廠-2012年春節作業體制" xfId="91" xr:uid="{00000000-0005-0000-0000-000042000000}"/>
    <cellStyle name="_excel報告書_97年營業競賽提案報告書_97年營業競賽提案報告書" xfId="92" xr:uid="{00000000-0005-0000-0000-000043000000}"/>
    <cellStyle name="_excel報告書_97年營業競賽提案報告書_97年營業競賽提案報告書_1-晉欣鮮食廠-2012年春節作業體制" xfId="93" xr:uid="{00000000-0005-0000-0000-000044000000}"/>
    <cellStyle name="_excel報告書_97年營業競賽提案報告書_97年營業競賽提案報告書_97年春節保全回收報告書" xfId="94" xr:uid="{00000000-0005-0000-0000-000045000000}"/>
    <cellStyle name="_excel報告書_97年營業競賽提案報告書_97年營業競賽提案報告書_97年春節保全回收報告書_1-晉欣鮮食廠-2012年春節作業體制" xfId="95" xr:uid="{00000000-0005-0000-0000-000046000000}"/>
    <cellStyle name="_excel報告書_97年營業競賽提案報告書_97年營業競賽提案報告書_97年春節保全回收報告書_Book1" xfId="96" xr:uid="{00000000-0005-0000-0000-000047000000}"/>
    <cellStyle name="_excel報告書_97年營業競賽提案報告書_97年營業競賽提案報告書_97年春節保全回收報告書_Book1_1-晉欣鮮食廠-2012年春節作業體制" xfId="97" xr:uid="{00000000-0005-0000-0000-000048000000}"/>
    <cellStyle name="_excel報告書_97年營業競賽提案報告書_97年營業競賽提案報告書_97年春節保全回收報告書_春節作業手冊-981217" xfId="98" xr:uid="{00000000-0005-0000-0000-000049000000}"/>
    <cellStyle name="_excel報告書_97年營業競賽提案報告書_97年營業競賽提案報告書_97年春節保全回收報告書_春節作業手冊-981217_1-晉欣鮮食廠-2012年春節作業體制" xfId="99" xr:uid="{00000000-0005-0000-0000-00004A000000}"/>
    <cellStyle name="_excel報告書_97年營業競賽提案報告書_97年營業競賽提案報告書_97年營業競賽提案報告書" xfId="100" xr:uid="{00000000-0005-0000-0000-00004B000000}"/>
    <cellStyle name="_excel報告書_97年營業競賽提案報告書_97年營業競賽提案報告書_97年營業競賽提案報告書_1-晉欣鮮食廠-2012年春節作業體制" xfId="101" xr:uid="{00000000-0005-0000-0000-00004C000000}"/>
    <cellStyle name="_excel報告書_97年營業競賽提案報告書_97年營業競賽提案報告書_97年營業競賽提案報告書_97年春節保全回收報告書" xfId="102" xr:uid="{00000000-0005-0000-0000-00004D000000}"/>
    <cellStyle name="_excel報告書_97年營業競賽提案報告書_97年營業競賽提案報告書_97年營業競賽提案報告書_97年春節保全回收報告書_1-晉欣鮮食廠-2012年春節作業體制" xfId="103" xr:uid="{00000000-0005-0000-0000-00004E000000}"/>
    <cellStyle name="_excel報告書_97年營業競賽提案報告書_97年營業競賽提案報告書_97年營業競賽提案報告書_97年春節保全回收報告書_Book1" xfId="104" xr:uid="{00000000-0005-0000-0000-00004F000000}"/>
    <cellStyle name="_excel報告書_97年營業競賽提案報告書_97年營業競賽提案報告書_97年營業競賽提案報告書_97年春節保全回收報告書_Book1_1-晉欣鮮食廠-2012年春節作業體制" xfId="105" xr:uid="{00000000-0005-0000-0000-000050000000}"/>
    <cellStyle name="_excel報告書_97年營業競賽提案報告書_97年營業競賽提案報告書_97年營業競賽提案報告書_97年春節保全回收報告書_春節作業手冊-981217" xfId="106" xr:uid="{00000000-0005-0000-0000-000051000000}"/>
    <cellStyle name="_excel報告書_97年營業競賽提案報告書_97年營業競賽提案報告書_97年營業競賽提案報告書_97年春節保全回收報告書_春節作業手冊-981217_1-晉欣鮮食廠-2012年春節作業體制" xfId="107" xr:uid="{00000000-0005-0000-0000-000052000000}"/>
    <cellStyle name="_excel報告書_97年營業競賽提案報告書_97年營業競賽提案報告書_97年營業競賽提案報告書_Book1" xfId="108" xr:uid="{00000000-0005-0000-0000-000053000000}"/>
    <cellStyle name="_excel報告書_97年營業競賽提案報告書_97年營業競賽提案報告書_97年營業競賽提案報告書_Book1_1-晉欣鮮食廠-2012年春節作業體制" xfId="109" xr:uid="{00000000-0005-0000-0000-000054000000}"/>
    <cellStyle name="_excel報告書_97年營業競賽提案報告書_97年營業競賽提案報告書_97年營業競賽提案報告書_春節作業手冊-981217" xfId="110" xr:uid="{00000000-0005-0000-0000-000055000000}"/>
    <cellStyle name="_excel報告書_97年營業競賽提案報告書_97年營業競賽提案報告書_97年營業競賽提案報告書_春節作業手冊-981217_1-晉欣鮮食廠-2012年春節作業體制" xfId="111" xr:uid="{00000000-0005-0000-0000-000056000000}"/>
    <cellStyle name="_excel報告書_97年營業競賽提案報告書_97年營業競賽提案報告書_Book1" xfId="112" xr:uid="{00000000-0005-0000-0000-000057000000}"/>
    <cellStyle name="_excel報告書_97年營業競賽提案報告書_97年營業競賽提案報告書_Book1_1-晉欣鮮食廠-2012年春節作業體制" xfId="113" xr:uid="{00000000-0005-0000-0000-000058000000}"/>
    <cellStyle name="_excel報告書_97年營業競賽提案報告書_97年營業競賽提案報告書_春節作業手冊-981217" xfId="114" xr:uid="{00000000-0005-0000-0000-000059000000}"/>
    <cellStyle name="_excel報告書_97年營業競賽提案報告書_97年營業競賽提案報告書_春節作業手冊-981217_1-晉欣鮮食廠-2012年春節作業體制" xfId="115" xr:uid="{00000000-0005-0000-0000-00005A000000}"/>
    <cellStyle name="_excel報告書_97年營業競賽提案報告書_Book1" xfId="116" xr:uid="{00000000-0005-0000-0000-00005B000000}"/>
    <cellStyle name="_excel報告書_97年營業競賽提案報告書_Book1_1-晉欣鮮食廠-2012年春節作業體制" xfId="117" xr:uid="{00000000-0005-0000-0000-00005C000000}"/>
    <cellStyle name="_excel報告書_97年營業競賽提案報告書_春節作業手冊-981217" xfId="118" xr:uid="{00000000-0005-0000-0000-00005D000000}"/>
    <cellStyle name="_excel報告書_97年營業競賽提案報告書_春節作業手冊-981217_1-晉欣鮮食廠-2012年春節作業體制" xfId="119" xr:uid="{00000000-0005-0000-0000-00005E000000}"/>
    <cellStyle name="_excel報告書_Book1" xfId="120" xr:uid="{00000000-0005-0000-0000-00005F000000}"/>
    <cellStyle name="_excel報告書_Book1_1-晉欣鮮食廠-2012年春節作業體制" xfId="121" xr:uid="{00000000-0005-0000-0000-000060000000}"/>
    <cellStyle name="_excel報告書_春節作業手冊-981217" xfId="122" xr:uid="{00000000-0005-0000-0000-000061000000}"/>
    <cellStyle name="_excel報告書_春節作業手冊-981217_1-晉欣鮮食廠-2012年春節作業體制" xfId="123" xr:uid="{00000000-0005-0000-0000-000062000000}"/>
    <cellStyle name="_日翊98年春節作業-To毓琦" xfId="124" xr:uid="{00000000-0005-0000-0000-000063000000}"/>
    <cellStyle name="_封閉型商圈日商" xfId="125" xr:uid="{00000000-0005-0000-0000-000064000000}"/>
    <cellStyle name="_封閉型商圈日商_1-晉欣鮮食廠-2012年春節作業體制" xfId="126" xr:uid="{00000000-0005-0000-0000-000065000000}"/>
    <cellStyle name="_封閉型商圈日商_97年春節保全回收報告書" xfId="127" xr:uid="{00000000-0005-0000-0000-000066000000}"/>
    <cellStyle name="_封閉型商圈日商_97年春節保全回收報告書_1-晉欣鮮食廠-2012年春節作業體制" xfId="128" xr:uid="{00000000-0005-0000-0000-000067000000}"/>
    <cellStyle name="_封閉型商圈日商_97年春節保全回收報告書_Book1" xfId="129" xr:uid="{00000000-0005-0000-0000-000068000000}"/>
    <cellStyle name="_封閉型商圈日商_97年春節保全回收報告書_Book1_1-晉欣鮮食廠-2012年春節作業體制" xfId="130" xr:uid="{00000000-0005-0000-0000-000069000000}"/>
    <cellStyle name="_封閉型商圈日商_97年春節保全回收報告書_春節作業手冊-981217" xfId="131" xr:uid="{00000000-0005-0000-0000-00006A000000}"/>
    <cellStyle name="_封閉型商圈日商_97年春節保全回收報告書_春節作業手冊-981217_1-晉欣鮮食廠-2012年春節作業體制" xfId="132" xr:uid="{00000000-0005-0000-0000-00006B000000}"/>
    <cellStyle name="_封閉型商圈日商_97年營業競賽提案報告書" xfId="133" xr:uid="{00000000-0005-0000-0000-00006C000000}"/>
    <cellStyle name="_封閉型商圈日商_97年營業競賽提案報告書_1-晉欣鮮食廠-2012年春節作業體制" xfId="134" xr:uid="{00000000-0005-0000-0000-00006D000000}"/>
    <cellStyle name="_封閉型商圈日商_97年營業競賽提案報告書_97年春節保全回收報告書" xfId="135" xr:uid="{00000000-0005-0000-0000-00006E000000}"/>
    <cellStyle name="_封閉型商圈日商_97年營業競賽提案報告書_97年春節保全回收報告書_1-晉欣鮮食廠-2012年春節作業體制" xfId="136" xr:uid="{00000000-0005-0000-0000-00006F000000}"/>
    <cellStyle name="_封閉型商圈日商_97年營業競賽提案報告書_97年春節保全回收報告書_Book1" xfId="137" xr:uid="{00000000-0005-0000-0000-000070000000}"/>
    <cellStyle name="_封閉型商圈日商_97年營業競賽提案報告書_97年春節保全回收報告書_Book1_1-晉欣鮮食廠-2012年春節作業體制" xfId="138" xr:uid="{00000000-0005-0000-0000-000071000000}"/>
    <cellStyle name="_封閉型商圈日商_97年營業競賽提案報告書_97年春節保全回收報告書_春節作業手冊-981217" xfId="139" xr:uid="{00000000-0005-0000-0000-000072000000}"/>
    <cellStyle name="_封閉型商圈日商_97年營業競賽提案報告書_97年春節保全回收報告書_春節作業手冊-981217_1-晉欣鮮食廠-2012年春節作業體制" xfId="140" xr:uid="{00000000-0005-0000-0000-000073000000}"/>
    <cellStyle name="_封閉型商圈日商_97年營業競賽提案報告書_97年營業競賽提案報告書" xfId="141" xr:uid="{00000000-0005-0000-0000-000074000000}"/>
    <cellStyle name="_封閉型商圈日商_97年營業競賽提案報告書_97年營業競賽提案報告書_1-晉欣鮮食廠-2012年春節作業體制" xfId="142" xr:uid="{00000000-0005-0000-0000-000075000000}"/>
    <cellStyle name="_封閉型商圈日商_97年營業競賽提案報告書_97年營業競賽提案報告書_97年春節保全回收報告書" xfId="143" xr:uid="{00000000-0005-0000-0000-000076000000}"/>
    <cellStyle name="_封閉型商圈日商_97年營業競賽提案報告書_97年營業競賽提案報告書_97年春節保全回收報告書_1-晉欣鮮食廠-2012年春節作業體制" xfId="144" xr:uid="{00000000-0005-0000-0000-000077000000}"/>
    <cellStyle name="_封閉型商圈日商_97年營業競賽提案報告書_97年營業競賽提案報告書_97年春節保全回收報告書_Book1" xfId="145" xr:uid="{00000000-0005-0000-0000-000078000000}"/>
    <cellStyle name="_封閉型商圈日商_97年營業競賽提案報告書_97年營業競賽提案報告書_97年春節保全回收報告書_Book1_1-晉欣鮮食廠-2012年春節作業體制" xfId="146" xr:uid="{00000000-0005-0000-0000-000079000000}"/>
    <cellStyle name="_封閉型商圈日商_97年營業競賽提案報告書_97年營業競賽提案報告書_97年春節保全回收報告書_春節作業手冊-981217" xfId="147" xr:uid="{00000000-0005-0000-0000-00007A000000}"/>
    <cellStyle name="_封閉型商圈日商_97年營業競賽提案報告書_97年營業競賽提案報告書_97年春節保全回收報告書_春節作業手冊-981217_1-晉欣鮮食廠-2012年春節作業體制" xfId="148" xr:uid="{00000000-0005-0000-0000-00007B000000}"/>
    <cellStyle name="_封閉型商圈日商_97年營業競賽提案報告書_97年營業競賽提案報告書_97年營業競賽提案報告書" xfId="149" xr:uid="{00000000-0005-0000-0000-00007C000000}"/>
    <cellStyle name="_封閉型商圈日商_97年營業競賽提案報告書_97年營業競賽提案報告書_97年營業競賽提案報告書_1-晉欣鮮食廠-2012年春節作業體制" xfId="150" xr:uid="{00000000-0005-0000-0000-00007D000000}"/>
    <cellStyle name="_封閉型商圈日商_97年營業競賽提案報告書_97年營業競賽提案報告書_97年營業競賽提案報告書_97年春節保全回收報告書" xfId="151" xr:uid="{00000000-0005-0000-0000-00007E000000}"/>
    <cellStyle name="_封閉型商圈日商_97年營業競賽提案報告書_97年營業競賽提案報告書_97年營業競賽提案報告書_97年春節保全回收報告書_1-晉欣鮮食廠-2012年春節作業體制" xfId="152" xr:uid="{00000000-0005-0000-0000-00007F000000}"/>
    <cellStyle name="_封閉型商圈日商_97年營業競賽提案報告書_97年營業競賽提案報告書_97年營業競賽提案報告書_97年春節保全回收報告書_Book1" xfId="153" xr:uid="{00000000-0005-0000-0000-000080000000}"/>
    <cellStyle name="_封閉型商圈日商_97年營業競賽提案報告書_97年營業競賽提案報告書_97年營業競賽提案報告書_97年春節保全回收報告書_Book1_1-晉欣鮮食廠-2012年春節作業體制" xfId="154" xr:uid="{00000000-0005-0000-0000-000081000000}"/>
    <cellStyle name="_封閉型商圈日商_97年營業競賽提案報告書_97年營業競賽提案報告書_97年營業競賽提案報告書_97年春節保全回收報告書_春節作業手冊-981217" xfId="155" xr:uid="{00000000-0005-0000-0000-000082000000}"/>
    <cellStyle name="_封閉型商圈日商_97年營業競賽提案報告書_97年營業競賽提案報告書_97年營業競賽提案報告書_97年春節保全回收報告書_春節作業手冊-981217_1-晉欣鮮食廠-2012年春節作業體制" xfId="156" xr:uid="{00000000-0005-0000-0000-000083000000}"/>
    <cellStyle name="_封閉型商圈日商_97年營業競賽提案報告書_97年營業競賽提案報告書_97年營業競賽提案報告書_Book1" xfId="157" xr:uid="{00000000-0005-0000-0000-000084000000}"/>
    <cellStyle name="_封閉型商圈日商_97年營業競賽提案報告書_97年營業競賽提案報告書_97年營業競賽提案報告書_Book1_1-晉欣鮮食廠-2012年春節作業體制" xfId="158" xr:uid="{00000000-0005-0000-0000-000085000000}"/>
    <cellStyle name="_封閉型商圈日商_97年營業競賽提案報告書_97年營業競賽提案報告書_97年營業競賽提案報告書_春節作業手冊-981217" xfId="159" xr:uid="{00000000-0005-0000-0000-000086000000}"/>
    <cellStyle name="_封閉型商圈日商_97年營業競賽提案報告書_97年營業競賽提案報告書_97年營業競賽提案報告書_春節作業手冊-981217_1-晉欣鮮食廠-2012年春節作業體制" xfId="160" xr:uid="{00000000-0005-0000-0000-000087000000}"/>
    <cellStyle name="_封閉型商圈日商_97年營業競賽提案報告書_97年營業競賽提案報告書_Book1" xfId="161" xr:uid="{00000000-0005-0000-0000-000088000000}"/>
    <cellStyle name="_封閉型商圈日商_97年營業競賽提案報告書_97年營業競賽提案報告書_Book1_1-晉欣鮮食廠-2012年春節作業體制" xfId="162" xr:uid="{00000000-0005-0000-0000-000089000000}"/>
    <cellStyle name="_封閉型商圈日商_97年營業競賽提案報告書_97年營業競賽提案報告書_春節作業手冊-981217" xfId="163" xr:uid="{00000000-0005-0000-0000-00008A000000}"/>
    <cellStyle name="_封閉型商圈日商_97年營業競賽提案報告書_97年營業競賽提案報告書_春節作業手冊-981217_1-晉欣鮮食廠-2012年春節作業體制" xfId="164" xr:uid="{00000000-0005-0000-0000-00008B000000}"/>
    <cellStyle name="_封閉型商圈日商_97年營業競賽提案報告書_Book1" xfId="165" xr:uid="{00000000-0005-0000-0000-00008C000000}"/>
    <cellStyle name="_封閉型商圈日商_97年營業競賽提案報告書_Book1_1-晉欣鮮食廠-2012年春節作業體制" xfId="166" xr:uid="{00000000-0005-0000-0000-00008D000000}"/>
    <cellStyle name="_封閉型商圈日商_97年營業競賽提案報告書_春節作業手冊-981217" xfId="167" xr:uid="{00000000-0005-0000-0000-00008E000000}"/>
    <cellStyle name="_封閉型商圈日商_97年營業競賽提案報告書_春節作業手冊-981217_1-晉欣鮮食廠-2012年春節作業體制" xfId="168" xr:uid="{00000000-0005-0000-0000-00008F000000}"/>
    <cellStyle name="_封閉型商圈日商_Book1" xfId="169" xr:uid="{00000000-0005-0000-0000-000090000000}"/>
    <cellStyle name="_封閉型商圈日商_Book1_1-晉欣鮮食廠-2012年春節作業體制" xfId="170" xr:uid="{00000000-0005-0000-0000-000091000000}"/>
    <cellStyle name="_封閉型商圈日商_春節作業手冊-981217" xfId="171" xr:uid="{00000000-0005-0000-0000-000092000000}"/>
    <cellStyle name="_封閉型商圈日商_春節作業手冊-981217_1-晉欣鮮食廠-2012年春節作業體制" xfId="172" xr:uid="{00000000-0005-0000-0000-000093000000}"/>
    <cellStyle name="_封閉型商圈日商-1" xfId="173" xr:uid="{00000000-0005-0000-0000-000094000000}"/>
    <cellStyle name="_封閉型商圈日商-1_1-晉欣鮮食廠-2012年春節作業體制" xfId="174" xr:uid="{00000000-0005-0000-0000-000095000000}"/>
    <cellStyle name="_封閉型商圈日商-1_97年春節保全回收報告書" xfId="175" xr:uid="{00000000-0005-0000-0000-000096000000}"/>
    <cellStyle name="_封閉型商圈日商-1_97年春節保全回收報告書_1-晉欣鮮食廠-2012年春節作業體制" xfId="176" xr:uid="{00000000-0005-0000-0000-000097000000}"/>
    <cellStyle name="_封閉型商圈日商-1_97年春節保全回收報告書_Book1" xfId="177" xr:uid="{00000000-0005-0000-0000-000098000000}"/>
    <cellStyle name="_封閉型商圈日商-1_97年春節保全回收報告書_Book1_1-晉欣鮮食廠-2012年春節作業體制" xfId="178" xr:uid="{00000000-0005-0000-0000-000099000000}"/>
    <cellStyle name="_封閉型商圈日商-1_97年春節保全回收報告書_春節作業手冊-981217" xfId="179" xr:uid="{00000000-0005-0000-0000-00009A000000}"/>
    <cellStyle name="_封閉型商圈日商-1_97年春節保全回收報告書_春節作業手冊-981217_1-晉欣鮮食廠-2012年春節作業體制" xfId="180" xr:uid="{00000000-0005-0000-0000-00009B000000}"/>
    <cellStyle name="_封閉型商圈日商-1_97年營業競賽提案報告書" xfId="181" xr:uid="{00000000-0005-0000-0000-00009C000000}"/>
    <cellStyle name="_封閉型商圈日商-1_97年營業競賽提案報告書_1-晉欣鮮食廠-2012年春節作業體制" xfId="182" xr:uid="{00000000-0005-0000-0000-00009D000000}"/>
    <cellStyle name="_封閉型商圈日商-1_97年營業競賽提案報告書_97年春節保全回收報告書" xfId="183" xr:uid="{00000000-0005-0000-0000-00009E000000}"/>
    <cellStyle name="_封閉型商圈日商-1_97年營業競賽提案報告書_97年春節保全回收報告書_1-晉欣鮮食廠-2012年春節作業體制" xfId="184" xr:uid="{00000000-0005-0000-0000-00009F000000}"/>
    <cellStyle name="_封閉型商圈日商-1_97年營業競賽提案報告書_97年春節保全回收報告書_Book1" xfId="185" xr:uid="{00000000-0005-0000-0000-0000A0000000}"/>
    <cellStyle name="_封閉型商圈日商-1_97年營業競賽提案報告書_97年春節保全回收報告書_Book1_1-晉欣鮮食廠-2012年春節作業體制" xfId="186" xr:uid="{00000000-0005-0000-0000-0000A1000000}"/>
    <cellStyle name="_封閉型商圈日商-1_97年營業競賽提案報告書_97年春節保全回收報告書_春節作業手冊-981217" xfId="187" xr:uid="{00000000-0005-0000-0000-0000A2000000}"/>
    <cellStyle name="_封閉型商圈日商-1_97年營業競賽提案報告書_97年春節保全回收報告書_春節作業手冊-981217_1-晉欣鮮食廠-2012年春節作業體制" xfId="188" xr:uid="{00000000-0005-0000-0000-0000A3000000}"/>
    <cellStyle name="_封閉型商圈日商-1_97年營業競賽提案報告書_97年營業競賽提案報告書" xfId="189" xr:uid="{00000000-0005-0000-0000-0000A4000000}"/>
    <cellStyle name="_封閉型商圈日商-1_97年營業競賽提案報告書_97年營業競賽提案報告書_1-晉欣鮮食廠-2012年春節作業體制" xfId="190" xr:uid="{00000000-0005-0000-0000-0000A5000000}"/>
    <cellStyle name="_封閉型商圈日商-1_97年營業競賽提案報告書_97年營業競賽提案報告書_97年春節保全回收報告書" xfId="191" xr:uid="{00000000-0005-0000-0000-0000A6000000}"/>
    <cellStyle name="_封閉型商圈日商-1_97年營業競賽提案報告書_97年營業競賽提案報告書_97年春節保全回收報告書_1-晉欣鮮食廠-2012年春節作業體制" xfId="192" xr:uid="{00000000-0005-0000-0000-0000A7000000}"/>
    <cellStyle name="_封閉型商圈日商-1_97年營業競賽提案報告書_97年營業競賽提案報告書_97年春節保全回收報告書_Book1" xfId="193" xr:uid="{00000000-0005-0000-0000-0000A8000000}"/>
    <cellStyle name="_封閉型商圈日商-1_97年營業競賽提案報告書_97年營業競賽提案報告書_97年春節保全回收報告書_Book1_1-晉欣鮮食廠-2012年春節作業體制" xfId="194" xr:uid="{00000000-0005-0000-0000-0000A9000000}"/>
    <cellStyle name="_封閉型商圈日商-1_97年營業競賽提案報告書_97年營業競賽提案報告書_97年春節保全回收報告書_春節作業手冊-981217" xfId="195" xr:uid="{00000000-0005-0000-0000-0000AA000000}"/>
    <cellStyle name="_封閉型商圈日商-1_97年營業競賽提案報告書_97年營業競賽提案報告書_97年春節保全回收報告書_春節作業手冊-981217_1-晉欣鮮食廠-2012年春節作業體制" xfId="196" xr:uid="{00000000-0005-0000-0000-0000AB000000}"/>
    <cellStyle name="_封閉型商圈日商-1_97年營業競賽提案報告書_97年營業競賽提案報告書_97年營業競賽提案報告書" xfId="197" xr:uid="{00000000-0005-0000-0000-0000AC000000}"/>
    <cellStyle name="_封閉型商圈日商-1_97年營業競賽提案報告書_97年營業競賽提案報告書_97年營業競賽提案報告書_1-晉欣鮮食廠-2012年春節作業體制" xfId="198" xr:uid="{00000000-0005-0000-0000-0000AD000000}"/>
    <cellStyle name="_封閉型商圈日商-1_97年營業競賽提案報告書_97年營業競賽提案報告書_97年營業競賽提案報告書_97年春節保全回收報告書" xfId="199" xr:uid="{00000000-0005-0000-0000-0000AE000000}"/>
    <cellStyle name="_封閉型商圈日商-1_97年營業競賽提案報告書_97年營業競賽提案報告書_97年營業競賽提案報告書_97年春節保全回收報告書_1-晉欣鮮食廠-2012年春節作業體制" xfId="200" xr:uid="{00000000-0005-0000-0000-0000AF000000}"/>
    <cellStyle name="_封閉型商圈日商-1_97年營業競賽提案報告書_97年營業競賽提案報告書_97年營業競賽提案報告書_97年春節保全回收報告書_Book1" xfId="201" xr:uid="{00000000-0005-0000-0000-0000B0000000}"/>
    <cellStyle name="_封閉型商圈日商-1_97年營業競賽提案報告書_97年營業競賽提案報告書_97年營業競賽提案報告書_97年春節保全回收報告書_Book1_1-晉欣鮮食廠-2012年春節作業體制" xfId="202" xr:uid="{00000000-0005-0000-0000-0000B1000000}"/>
    <cellStyle name="_封閉型商圈日商-1_97年營業競賽提案報告書_97年營業競賽提案報告書_97年營業競賽提案報告書_97年春節保全回收報告書_春節作業手冊-981217" xfId="203" xr:uid="{00000000-0005-0000-0000-0000B2000000}"/>
    <cellStyle name="_封閉型商圈日商-1_97年營業競賽提案報告書_97年營業競賽提案報告書_97年營業競賽提案報告書_97年春節保全回收報告書_春節作業手冊-981217_1-晉欣鮮食廠-2012年春節作業體制" xfId="204" xr:uid="{00000000-0005-0000-0000-0000B3000000}"/>
    <cellStyle name="_封閉型商圈日商-1_97年營業競賽提案報告書_97年營業競賽提案報告書_97年營業競賽提案報告書_Book1" xfId="205" xr:uid="{00000000-0005-0000-0000-0000B4000000}"/>
    <cellStyle name="_封閉型商圈日商-1_97年營業競賽提案報告書_97年營業競賽提案報告書_97年營業競賽提案報告書_Book1_1-晉欣鮮食廠-2012年春節作業體制" xfId="206" xr:uid="{00000000-0005-0000-0000-0000B5000000}"/>
    <cellStyle name="_封閉型商圈日商-1_97年營業競賽提案報告書_97年營業競賽提案報告書_97年營業競賽提案報告書_春節作業手冊-981217" xfId="207" xr:uid="{00000000-0005-0000-0000-0000B6000000}"/>
    <cellStyle name="_封閉型商圈日商-1_97年營業競賽提案報告書_97年營業競賽提案報告書_97年營業競賽提案報告書_春節作業手冊-981217_1-晉欣鮮食廠-2012年春節作業體制" xfId="208" xr:uid="{00000000-0005-0000-0000-0000B7000000}"/>
    <cellStyle name="_封閉型商圈日商-1_97年營業競賽提案報告書_97年營業競賽提案報告書_Book1" xfId="209" xr:uid="{00000000-0005-0000-0000-0000B8000000}"/>
    <cellStyle name="_封閉型商圈日商-1_97年營業競賽提案報告書_97年營業競賽提案報告書_Book1_1-晉欣鮮食廠-2012年春節作業體制" xfId="210" xr:uid="{00000000-0005-0000-0000-0000B9000000}"/>
    <cellStyle name="_封閉型商圈日商-1_97年營業競賽提案報告書_97年營業競賽提案報告書_春節作業手冊-981217" xfId="211" xr:uid="{00000000-0005-0000-0000-0000BA000000}"/>
    <cellStyle name="_封閉型商圈日商-1_97年營業競賽提案報告書_97年營業競賽提案報告書_春節作業手冊-981217_1-晉欣鮮食廠-2012年春節作業體制" xfId="212" xr:uid="{00000000-0005-0000-0000-0000BB000000}"/>
    <cellStyle name="_封閉型商圈日商-1_97年營業競賽提案報告書_Book1" xfId="213" xr:uid="{00000000-0005-0000-0000-0000BC000000}"/>
    <cellStyle name="_封閉型商圈日商-1_97年營業競賽提案報告書_Book1_1-晉欣鮮食廠-2012年春節作業體制" xfId="214" xr:uid="{00000000-0005-0000-0000-0000BD000000}"/>
    <cellStyle name="_封閉型商圈日商-1_97年營業競賽提案報告書_春節作業手冊-981217" xfId="215" xr:uid="{00000000-0005-0000-0000-0000BE000000}"/>
    <cellStyle name="_封閉型商圈日商-1_97年營業競賽提案報告書_春節作業手冊-981217_1-晉欣鮮食廠-2012年春節作業體制" xfId="216" xr:uid="{00000000-0005-0000-0000-0000BF000000}"/>
    <cellStyle name="_封閉型商圈日商-1_Book1" xfId="217" xr:uid="{00000000-0005-0000-0000-0000C0000000}"/>
    <cellStyle name="_封閉型商圈日商-1_Book1_1-晉欣鮮食廠-2012年春節作業體制" xfId="218" xr:uid="{00000000-0005-0000-0000-0000C1000000}"/>
    <cellStyle name="_封閉型商圈日商-1_春節作業手冊-981217" xfId="219" xr:uid="{00000000-0005-0000-0000-0000C2000000}"/>
    <cellStyle name="_封閉型商圈日商-1_春節作業手冊-981217_1-晉欣鮮食廠-2012年春節作業體制" xfId="220" xr:uid="{00000000-0005-0000-0000-0000C3000000}"/>
    <cellStyle name="_封閉型商圈店舖明細" xfId="221" xr:uid="{00000000-0005-0000-0000-0000C4000000}"/>
    <cellStyle name="_封閉型商圈店舖明細_1-晉欣鮮食廠-2012年春節作業體制" xfId="222" xr:uid="{00000000-0005-0000-0000-0000C5000000}"/>
    <cellStyle name="_封閉型商圈店舖明細_97年春節保全回收報告書" xfId="223" xr:uid="{00000000-0005-0000-0000-0000C6000000}"/>
    <cellStyle name="_封閉型商圈店舖明細_97年春節保全回收報告書_1-晉欣鮮食廠-2012年春節作業體制" xfId="224" xr:uid="{00000000-0005-0000-0000-0000C7000000}"/>
    <cellStyle name="_封閉型商圈店舖明細_97年春節保全回收報告書_Book1" xfId="225" xr:uid="{00000000-0005-0000-0000-0000C8000000}"/>
    <cellStyle name="_封閉型商圈店舖明細_97年春節保全回收報告書_Book1_1-晉欣鮮食廠-2012年春節作業體制" xfId="226" xr:uid="{00000000-0005-0000-0000-0000C9000000}"/>
    <cellStyle name="_封閉型商圈店舖明細_97年春節保全回收報告書_春節作業手冊-981217" xfId="227" xr:uid="{00000000-0005-0000-0000-0000CA000000}"/>
    <cellStyle name="_封閉型商圈店舖明細_97年春節保全回收報告書_春節作業手冊-981217_1-晉欣鮮食廠-2012年春節作業體制" xfId="228" xr:uid="{00000000-0005-0000-0000-0000CB000000}"/>
    <cellStyle name="_封閉型商圈店舖明細_97年營業競賽提案報告書" xfId="229" xr:uid="{00000000-0005-0000-0000-0000CC000000}"/>
    <cellStyle name="_封閉型商圈店舖明細_97年營業競賽提案報告書_1-晉欣鮮食廠-2012年春節作業體制" xfId="230" xr:uid="{00000000-0005-0000-0000-0000CD000000}"/>
    <cellStyle name="_封閉型商圈店舖明細_97年營業競賽提案報告書_97年春節保全回收報告書" xfId="231" xr:uid="{00000000-0005-0000-0000-0000CE000000}"/>
    <cellStyle name="_封閉型商圈店舖明細_97年營業競賽提案報告書_97年春節保全回收報告書_1-晉欣鮮食廠-2012年春節作業體制" xfId="232" xr:uid="{00000000-0005-0000-0000-0000CF000000}"/>
    <cellStyle name="_封閉型商圈店舖明細_97年營業競賽提案報告書_97年春節保全回收報告書_Book1" xfId="233" xr:uid="{00000000-0005-0000-0000-0000D0000000}"/>
    <cellStyle name="_封閉型商圈店舖明細_97年營業競賽提案報告書_97年春節保全回收報告書_Book1_1-晉欣鮮食廠-2012年春節作業體制" xfId="234" xr:uid="{00000000-0005-0000-0000-0000D1000000}"/>
    <cellStyle name="_封閉型商圈店舖明細_97年營業競賽提案報告書_97年春節保全回收報告書_春節作業手冊-981217" xfId="235" xr:uid="{00000000-0005-0000-0000-0000D2000000}"/>
    <cellStyle name="_封閉型商圈店舖明細_97年營業競賽提案報告書_97年春節保全回收報告書_春節作業手冊-981217_1-晉欣鮮食廠-2012年春節作業體制" xfId="236" xr:uid="{00000000-0005-0000-0000-0000D3000000}"/>
    <cellStyle name="_封閉型商圈店舖明細_97年營業競賽提案報告書_97年營業競賽提案報告書" xfId="237" xr:uid="{00000000-0005-0000-0000-0000D4000000}"/>
    <cellStyle name="_封閉型商圈店舖明細_97年營業競賽提案報告書_97年營業競賽提案報告書_1-晉欣鮮食廠-2012年春節作業體制" xfId="238" xr:uid="{00000000-0005-0000-0000-0000D5000000}"/>
    <cellStyle name="_封閉型商圈店舖明細_97年營業競賽提案報告書_97年營業競賽提案報告書_97年春節保全回收報告書" xfId="239" xr:uid="{00000000-0005-0000-0000-0000D6000000}"/>
    <cellStyle name="_封閉型商圈店舖明細_97年營業競賽提案報告書_97年營業競賽提案報告書_97年春節保全回收報告書_1-晉欣鮮食廠-2012年春節作業體制" xfId="240" xr:uid="{00000000-0005-0000-0000-0000D7000000}"/>
    <cellStyle name="_封閉型商圈店舖明細_97年營業競賽提案報告書_97年營業競賽提案報告書_97年春節保全回收報告書_Book1" xfId="241" xr:uid="{00000000-0005-0000-0000-0000D8000000}"/>
    <cellStyle name="_封閉型商圈店舖明細_97年營業競賽提案報告書_97年營業競賽提案報告書_97年春節保全回收報告書_Book1_1-晉欣鮮食廠-2012年春節作業體制" xfId="242" xr:uid="{00000000-0005-0000-0000-0000D9000000}"/>
    <cellStyle name="_封閉型商圈店舖明細_97年營業競賽提案報告書_97年營業競賽提案報告書_97年春節保全回收報告書_春節作業手冊-981217" xfId="243" xr:uid="{00000000-0005-0000-0000-0000DA000000}"/>
    <cellStyle name="_封閉型商圈店舖明細_97年營業競賽提案報告書_97年營業競賽提案報告書_97年春節保全回收報告書_春節作業手冊-981217_1-晉欣鮮食廠-2012年春節作業體制" xfId="244" xr:uid="{00000000-0005-0000-0000-0000DB000000}"/>
    <cellStyle name="_封閉型商圈店舖明細_97年營業競賽提案報告書_97年營業競賽提案報告書_97年營業競賽提案報告書" xfId="245" xr:uid="{00000000-0005-0000-0000-0000DC000000}"/>
    <cellStyle name="_封閉型商圈店舖明細_97年營業競賽提案報告書_97年營業競賽提案報告書_97年營業競賽提案報告書_1-晉欣鮮食廠-2012年春節作業體制" xfId="246" xr:uid="{00000000-0005-0000-0000-0000DD000000}"/>
    <cellStyle name="_封閉型商圈店舖明細_97年營業競賽提案報告書_97年營業競賽提案報告書_97年營業競賽提案報告書_97年春節保全回收報告書" xfId="247" xr:uid="{00000000-0005-0000-0000-0000DE000000}"/>
    <cellStyle name="_封閉型商圈店舖明細_97年營業競賽提案報告書_97年營業競賽提案報告書_97年營業競賽提案報告書_97年春節保全回收報告書_1-晉欣鮮食廠-2012年春節作業體制" xfId="248" xr:uid="{00000000-0005-0000-0000-0000DF000000}"/>
    <cellStyle name="_封閉型商圈店舖明細_97年營業競賽提案報告書_97年營業競賽提案報告書_97年營業競賽提案報告書_97年春節保全回收報告書_Book1" xfId="249" xr:uid="{00000000-0005-0000-0000-0000E0000000}"/>
    <cellStyle name="_封閉型商圈店舖明細_97年營業競賽提案報告書_97年營業競賽提案報告書_97年營業競賽提案報告書_97年春節保全回收報告書_Book1_1-晉欣鮮食廠-2012年春節作業體制" xfId="250" xr:uid="{00000000-0005-0000-0000-0000E1000000}"/>
    <cellStyle name="_封閉型商圈店舖明細_97年營業競賽提案報告書_97年營業競賽提案報告書_97年營業競賽提案報告書_97年春節保全回收報告書_春節作業手冊-981217" xfId="251" xr:uid="{00000000-0005-0000-0000-0000E2000000}"/>
    <cellStyle name="_封閉型商圈店舖明細_97年營業競賽提案報告書_97年營業競賽提案報告書_97年營業競賽提案報告書_97年春節保全回收報告書_春節作業手冊-981217_1-晉欣鮮食廠-2012年春節作業體制" xfId="252" xr:uid="{00000000-0005-0000-0000-0000E3000000}"/>
    <cellStyle name="_封閉型商圈店舖明細_97年營業競賽提案報告書_97年營業競賽提案報告書_97年營業競賽提案報告書_Book1" xfId="253" xr:uid="{00000000-0005-0000-0000-0000E4000000}"/>
    <cellStyle name="_封閉型商圈店舖明細_97年營業競賽提案報告書_97年營業競賽提案報告書_97年營業競賽提案報告書_Book1_1-晉欣鮮食廠-2012年春節作業體制" xfId="254" xr:uid="{00000000-0005-0000-0000-0000E5000000}"/>
    <cellStyle name="_封閉型商圈店舖明細_97年營業競賽提案報告書_97年營業競賽提案報告書_97年營業競賽提案報告書_春節作業手冊-981217" xfId="255" xr:uid="{00000000-0005-0000-0000-0000E6000000}"/>
    <cellStyle name="_封閉型商圈店舖明細_97年營業競賽提案報告書_97年營業競賽提案報告書_97年營業競賽提案報告書_春節作業手冊-981217_1-晉欣鮮食廠-2012年春節作業體制" xfId="256" xr:uid="{00000000-0005-0000-0000-0000E7000000}"/>
    <cellStyle name="_封閉型商圈店舖明細_97年營業競賽提案報告書_97年營業競賽提案報告書_Book1" xfId="257" xr:uid="{00000000-0005-0000-0000-0000E8000000}"/>
    <cellStyle name="_封閉型商圈店舖明細_97年營業競賽提案報告書_97年營業競賽提案報告書_Book1_1-晉欣鮮食廠-2012年春節作業體制" xfId="258" xr:uid="{00000000-0005-0000-0000-0000E9000000}"/>
    <cellStyle name="_封閉型商圈店舖明細_97年營業競賽提案報告書_97年營業競賽提案報告書_春節作業手冊-981217" xfId="259" xr:uid="{00000000-0005-0000-0000-0000EA000000}"/>
    <cellStyle name="_封閉型商圈店舖明細_97年營業競賽提案報告書_97年營業競賽提案報告書_春節作業手冊-981217_1-晉欣鮮食廠-2012年春節作業體制" xfId="260" xr:uid="{00000000-0005-0000-0000-0000EB000000}"/>
    <cellStyle name="_封閉型商圈店舖明細_97年營業競賽提案報告書_Book1" xfId="261" xr:uid="{00000000-0005-0000-0000-0000EC000000}"/>
    <cellStyle name="_封閉型商圈店舖明細_97年營業競賽提案報告書_Book1_1-晉欣鮮食廠-2012年春節作業體制" xfId="262" xr:uid="{00000000-0005-0000-0000-0000ED000000}"/>
    <cellStyle name="_封閉型商圈店舖明細_97年營業競賽提案報告書_春節作業手冊-981217" xfId="263" xr:uid="{00000000-0005-0000-0000-0000EE000000}"/>
    <cellStyle name="_封閉型商圈店舖明細_97年營業競賽提案報告書_春節作業手冊-981217_1-晉欣鮮食廠-2012年春節作業體制" xfId="264" xr:uid="{00000000-0005-0000-0000-0000EF000000}"/>
    <cellStyle name="_封閉型商圈店舖明細_Book1" xfId="265" xr:uid="{00000000-0005-0000-0000-0000F0000000}"/>
    <cellStyle name="_封閉型商圈店舖明細_Book1_1-晉欣鮮食廠-2012年春節作業體制" xfId="266" xr:uid="{00000000-0005-0000-0000-0000F1000000}"/>
    <cellStyle name="_封閉型商圈店舖明細_春節作業手冊-981217" xfId="267" xr:uid="{00000000-0005-0000-0000-0000F2000000}"/>
    <cellStyle name="_封閉型商圈店舖明細_春節作業手冊-981217_1-晉欣鮮食廠-2012年春節作業體制" xfId="268" xr:uid="{00000000-0005-0000-0000-0000F3000000}"/>
    <cellStyle name="_封閉型商圈建議台整品項" xfId="269" xr:uid="{00000000-0005-0000-0000-0000F4000000}"/>
    <cellStyle name="_封閉型商圈建議台整品項_1-晉欣鮮食廠-2012年春節作業體制" xfId="270" xr:uid="{00000000-0005-0000-0000-0000F5000000}"/>
    <cellStyle name="_封閉型商圈建議台整品項_97年春節保全回收報告書" xfId="271" xr:uid="{00000000-0005-0000-0000-0000F6000000}"/>
    <cellStyle name="_封閉型商圈建議台整品項_97年春節保全回收報告書_1-晉欣鮮食廠-2012年春節作業體制" xfId="272" xr:uid="{00000000-0005-0000-0000-0000F7000000}"/>
    <cellStyle name="_封閉型商圈建議台整品項_97年春節保全回收報告書_Book1" xfId="273" xr:uid="{00000000-0005-0000-0000-0000F8000000}"/>
    <cellStyle name="_封閉型商圈建議台整品項_97年春節保全回收報告書_Book1_1-晉欣鮮食廠-2012年春節作業體制" xfId="274" xr:uid="{00000000-0005-0000-0000-0000F9000000}"/>
    <cellStyle name="_封閉型商圈建議台整品項_97年春節保全回收報告書_春節作業手冊-981217" xfId="275" xr:uid="{00000000-0005-0000-0000-0000FA000000}"/>
    <cellStyle name="_封閉型商圈建議台整品項_97年春節保全回收報告書_春節作業手冊-981217_1-晉欣鮮食廠-2012年春節作業體制" xfId="276" xr:uid="{00000000-0005-0000-0000-0000FB000000}"/>
    <cellStyle name="_封閉型商圈建議台整品項_97年營業競賽提案報告書" xfId="277" xr:uid="{00000000-0005-0000-0000-0000FC000000}"/>
    <cellStyle name="_封閉型商圈建議台整品項_97年營業競賽提案報告書_1-晉欣鮮食廠-2012年春節作業體制" xfId="278" xr:uid="{00000000-0005-0000-0000-0000FD000000}"/>
    <cellStyle name="_封閉型商圈建議台整品項_97年營業競賽提案報告書_97年春節保全回收報告書" xfId="279" xr:uid="{00000000-0005-0000-0000-0000FE000000}"/>
    <cellStyle name="_封閉型商圈建議台整品項_97年營業競賽提案報告書_97年春節保全回收報告書_1-晉欣鮮食廠-2012年春節作業體制" xfId="280" xr:uid="{00000000-0005-0000-0000-0000FF000000}"/>
    <cellStyle name="_封閉型商圈建議台整品項_97年營業競賽提案報告書_97年春節保全回收報告書_Book1" xfId="281" xr:uid="{00000000-0005-0000-0000-000000010000}"/>
    <cellStyle name="_封閉型商圈建議台整品項_97年營業競賽提案報告書_97年春節保全回收報告書_Book1_1-晉欣鮮食廠-2012年春節作業體制" xfId="282" xr:uid="{00000000-0005-0000-0000-000001010000}"/>
    <cellStyle name="_封閉型商圈建議台整品項_97年營業競賽提案報告書_97年春節保全回收報告書_春節作業手冊-981217" xfId="283" xr:uid="{00000000-0005-0000-0000-000002010000}"/>
    <cellStyle name="_封閉型商圈建議台整品項_97年營業競賽提案報告書_97年春節保全回收報告書_春節作業手冊-981217_1-晉欣鮮食廠-2012年春節作業體制" xfId="284" xr:uid="{00000000-0005-0000-0000-000003010000}"/>
    <cellStyle name="_封閉型商圈建議台整品項_97年營業競賽提案報告書_97年營業競賽提案報告書" xfId="285" xr:uid="{00000000-0005-0000-0000-000004010000}"/>
    <cellStyle name="_封閉型商圈建議台整品項_97年營業競賽提案報告書_97年營業競賽提案報告書_1-晉欣鮮食廠-2012年春節作業體制" xfId="286" xr:uid="{00000000-0005-0000-0000-000005010000}"/>
    <cellStyle name="_封閉型商圈建議台整品項_97年營業競賽提案報告書_97年營業競賽提案報告書_97年春節保全回收報告書" xfId="287" xr:uid="{00000000-0005-0000-0000-000006010000}"/>
    <cellStyle name="_封閉型商圈建議台整品項_97年營業競賽提案報告書_97年營業競賽提案報告書_97年春節保全回收報告書_1-晉欣鮮食廠-2012年春節作業體制" xfId="288" xr:uid="{00000000-0005-0000-0000-000007010000}"/>
    <cellStyle name="_封閉型商圈建議台整品項_97年營業競賽提案報告書_97年營業競賽提案報告書_97年春節保全回收報告書_Book1" xfId="289" xr:uid="{00000000-0005-0000-0000-000008010000}"/>
    <cellStyle name="_封閉型商圈建議台整品項_97年營業競賽提案報告書_97年營業競賽提案報告書_97年春節保全回收報告書_Book1_1-晉欣鮮食廠-2012年春節作業體制" xfId="290" xr:uid="{00000000-0005-0000-0000-000009010000}"/>
    <cellStyle name="_封閉型商圈建議台整品項_97年營業競賽提案報告書_97年營業競賽提案報告書_97年春節保全回收報告書_春節作業手冊-981217" xfId="291" xr:uid="{00000000-0005-0000-0000-00000A010000}"/>
    <cellStyle name="_封閉型商圈建議台整品項_97年營業競賽提案報告書_97年營業競賽提案報告書_97年春節保全回收報告書_春節作業手冊-981217_1-晉欣鮮食廠-2012年春節作業體制" xfId="292" xr:uid="{00000000-0005-0000-0000-00000B010000}"/>
    <cellStyle name="_封閉型商圈建議台整品項_97年營業競賽提案報告書_97年營業競賽提案報告書_97年營業競賽提案報告書" xfId="293" xr:uid="{00000000-0005-0000-0000-00000C010000}"/>
    <cellStyle name="_封閉型商圈建議台整品項_97年營業競賽提案報告書_97年營業競賽提案報告書_97年營業競賽提案報告書_1-晉欣鮮食廠-2012年春節作業體制" xfId="294" xr:uid="{00000000-0005-0000-0000-00000D010000}"/>
    <cellStyle name="_封閉型商圈建議台整品項_97年營業競賽提案報告書_97年營業競賽提案報告書_97年營業競賽提案報告書_97年春節保全回收報告書" xfId="295" xr:uid="{00000000-0005-0000-0000-00000E010000}"/>
    <cellStyle name="_封閉型商圈建議台整品項_97年營業競賽提案報告書_97年營業競賽提案報告書_97年營業競賽提案報告書_97年春節保全回收報告書_1-晉欣鮮食廠-2012年春節作業體制" xfId="296" xr:uid="{00000000-0005-0000-0000-00000F010000}"/>
    <cellStyle name="_封閉型商圈建議台整品項_97年營業競賽提案報告書_97年營業競賽提案報告書_97年營業競賽提案報告書_97年春節保全回收報告書_Book1" xfId="297" xr:uid="{00000000-0005-0000-0000-000010010000}"/>
    <cellStyle name="_封閉型商圈建議台整品項_97年營業競賽提案報告書_97年營業競賽提案報告書_97年營業競賽提案報告書_97年春節保全回收報告書_Book1_1-晉欣鮮食廠-2012年春節作業體制" xfId="298" xr:uid="{00000000-0005-0000-0000-000011010000}"/>
    <cellStyle name="_封閉型商圈建議台整品項_97年營業競賽提案報告書_97年營業競賽提案報告書_97年營業競賽提案報告書_97年春節保全回收報告書_春節作業手冊-981217" xfId="299" xr:uid="{00000000-0005-0000-0000-000012010000}"/>
    <cellStyle name="_封閉型商圈建議台整品項_97年營業競賽提案報告書_97年營業競賽提案報告書_97年營業競賽提案報告書_97年春節保全回收報告書_春節作業手冊-981217_1-晉欣鮮食廠-2012年春節作業體制" xfId="300" xr:uid="{00000000-0005-0000-0000-000013010000}"/>
    <cellStyle name="_封閉型商圈建議台整品項_97年營業競賽提案報告書_97年營業競賽提案報告書_97年營業競賽提案報告書_Book1" xfId="301" xr:uid="{00000000-0005-0000-0000-000014010000}"/>
    <cellStyle name="_封閉型商圈建議台整品項_97年營業競賽提案報告書_97年營業競賽提案報告書_97年營業競賽提案報告書_Book1_1-晉欣鮮食廠-2012年春節作業體制" xfId="302" xr:uid="{00000000-0005-0000-0000-000015010000}"/>
    <cellStyle name="_封閉型商圈建議台整品項_97年營業競賽提案報告書_97年營業競賽提案報告書_97年營業競賽提案報告書_春節作業手冊-981217" xfId="303" xr:uid="{00000000-0005-0000-0000-000016010000}"/>
    <cellStyle name="_封閉型商圈建議台整品項_97年營業競賽提案報告書_97年營業競賽提案報告書_97年營業競賽提案報告書_春節作業手冊-981217_1-晉欣鮮食廠-2012年春節作業體制" xfId="304" xr:uid="{00000000-0005-0000-0000-000017010000}"/>
    <cellStyle name="_封閉型商圈建議台整品項_97年營業競賽提案報告書_97年營業競賽提案報告書_Book1" xfId="305" xr:uid="{00000000-0005-0000-0000-000018010000}"/>
    <cellStyle name="_封閉型商圈建議台整品項_97年營業競賽提案報告書_97年營業競賽提案報告書_Book1_1-晉欣鮮食廠-2012年春節作業體制" xfId="306" xr:uid="{00000000-0005-0000-0000-000019010000}"/>
    <cellStyle name="_封閉型商圈建議台整品項_97年營業競賽提案報告書_97年營業競賽提案報告書_春節作業手冊-981217" xfId="307" xr:uid="{00000000-0005-0000-0000-00001A010000}"/>
    <cellStyle name="_封閉型商圈建議台整品項_97年營業競賽提案報告書_97年營業競賽提案報告書_春節作業手冊-981217_1-晉欣鮮食廠-2012年春節作業體制" xfId="308" xr:uid="{00000000-0005-0000-0000-00001B010000}"/>
    <cellStyle name="_封閉型商圈建議台整品項_97年營業競賽提案報告書_Book1" xfId="309" xr:uid="{00000000-0005-0000-0000-00001C010000}"/>
    <cellStyle name="_封閉型商圈建議台整品項_97年營業競賽提案報告書_Book1_1-晉欣鮮食廠-2012年春節作業體制" xfId="310" xr:uid="{00000000-0005-0000-0000-00001D010000}"/>
    <cellStyle name="_封閉型商圈建議台整品項_97年營業競賽提案報告書_春節作業手冊-981217" xfId="311" xr:uid="{00000000-0005-0000-0000-00001E010000}"/>
    <cellStyle name="_封閉型商圈建議台整品項_97年營業競賽提案報告書_春節作業手冊-981217_1-晉欣鮮食廠-2012年春節作業體制" xfId="312" xr:uid="{00000000-0005-0000-0000-00001F010000}"/>
    <cellStyle name="_封閉型商圈建議台整品項_Book1" xfId="313" xr:uid="{00000000-0005-0000-0000-000020010000}"/>
    <cellStyle name="_封閉型商圈建議台整品項_Book1_1-晉欣鮮食廠-2012年春節作業體制" xfId="314" xr:uid="{00000000-0005-0000-0000-000021010000}"/>
    <cellStyle name="_封閉型商圈建議台整品項_春節作業手冊-981217" xfId="315" xr:uid="{00000000-0005-0000-0000-000022010000}"/>
    <cellStyle name="_封閉型商圈建議台整品項_春節作業手冊-981217_1-晉欣鮮食廠-2012年春節作業體制" xfId="316" xr:uid="{00000000-0005-0000-0000-000023010000}"/>
    <cellStyle name="_樂清9507租賃用品申請" xfId="317" xr:uid="{00000000-0005-0000-0000-000024010000}"/>
    <cellStyle name="_樂清9507租賃用品申請_1-晉欣鮮食廠-2012年春節作業體制" xfId="318" xr:uid="{00000000-0005-0000-0000-000025010000}"/>
    <cellStyle name="_樂清9507租賃用品申請_96年月餅預購競賽獎勵案" xfId="319" xr:uid="{00000000-0005-0000-0000-000026010000}"/>
    <cellStyle name="_樂清9507租賃用品申請_96年月餅預購競賽獎勵案_1-晉欣鮮食廠-2012年春節作業體制" xfId="320" xr:uid="{00000000-0005-0000-0000-000027010000}"/>
    <cellStyle name="_樂清9507租賃用品申請_96年月餅預購競賽獎勵案_96年月餅預購競賽獎勵案" xfId="321" xr:uid="{00000000-0005-0000-0000-000028010000}"/>
    <cellStyle name="_樂清9507租賃用品申請_96年月餅預購競賽獎勵案_96年月餅預購競賽獎勵案_1-晉欣鮮食廠-2012年春節作業體制" xfId="322" xr:uid="{00000000-0005-0000-0000-000029010000}"/>
    <cellStyle name="_樂清9507租賃用品申請_96年月餅預購競賽獎勵案_96年月餅預購競賽獎勵案_97年春節保全回收報告書" xfId="323" xr:uid="{00000000-0005-0000-0000-00002A010000}"/>
    <cellStyle name="_樂清9507租賃用品申請_96年月餅預購競賽獎勵案_96年月餅預購競賽獎勵案_97年春節保全回收報告書_1-晉欣鮮食廠-2012年春節作業體制" xfId="324" xr:uid="{00000000-0005-0000-0000-00002B010000}"/>
    <cellStyle name="_樂清9507租賃用品申請_96年月餅預購競賽獎勵案_96年月餅預購競賽獎勵案_97年春節保全回收報告書_Book1" xfId="325" xr:uid="{00000000-0005-0000-0000-00002C010000}"/>
    <cellStyle name="_樂清9507租賃用品申請_96年月餅預購競賽獎勵案_96年月餅預購競賽獎勵案_97年春節保全回收報告書_Book1_1-晉欣鮮食廠-2012年春節作業體制" xfId="326" xr:uid="{00000000-0005-0000-0000-00002D010000}"/>
    <cellStyle name="_樂清9507租賃用品申請_96年月餅預購競賽獎勵案_96年月餅預購競賽獎勵案_97年春節保全回收報告書_春節作業手冊-981217" xfId="327" xr:uid="{00000000-0005-0000-0000-00002E010000}"/>
    <cellStyle name="_樂清9507租賃用品申請_96年月餅預購競賽獎勵案_96年月餅預購競賽獎勵案_97年春節保全回收報告書_春節作業手冊-981217_1-晉欣鮮食廠-2012年春節作業體制" xfId="328" xr:uid="{00000000-0005-0000-0000-00002F010000}"/>
    <cellStyle name="_樂清9507租賃用品申請_96年月餅預購競賽獎勵案_96年月餅預購競賽獎勵案_97年營業競賽提案報告書" xfId="329" xr:uid="{00000000-0005-0000-0000-000030010000}"/>
    <cellStyle name="_樂清9507租賃用品申請_96年月餅預購競賽獎勵案_96年月餅預購競賽獎勵案_97年營業競賽提案報告書_1-晉欣鮮食廠-2012年春節作業體制" xfId="330" xr:uid="{00000000-0005-0000-0000-000031010000}"/>
    <cellStyle name="_樂清9507租賃用品申請_96年月餅預購競賽獎勵案_96年月餅預購競賽獎勵案_97年營業競賽提案報告書_97年春節保全回收報告書" xfId="331" xr:uid="{00000000-0005-0000-0000-000032010000}"/>
    <cellStyle name="_樂清9507租賃用品申請_96年月餅預購競賽獎勵案_96年月餅預購競賽獎勵案_97年營業競賽提案報告書_97年春節保全回收報告書_1-晉欣鮮食廠-2012年春節作業體制" xfId="332" xr:uid="{00000000-0005-0000-0000-000033010000}"/>
    <cellStyle name="_樂清9507租賃用品申請_96年月餅預購競賽獎勵案_96年月餅預購競賽獎勵案_97年營業競賽提案報告書_97年春節保全回收報告書_Book1" xfId="333" xr:uid="{00000000-0005-0000-0000-000034010000}"/>
    <cellStyle name="_樂清9507租賃用品申請_96年月餅預購競賽獎勵案_96年月餅預購競賽獎勵案_97年營業競賽提案報告書_97年春節保全回收報告書_Book1_1-晉欣鮮食廠-2012年春節作業體制" xfId="334" xr:uid="{00000000-0005-0000-0000-000035010000}"/>
    <cellStyle name="_樂清9507租賃用品申請_96年月餅預購競賽獎勵案_96年月餅預購競賽獎勵案_97年營業競賽提案報告書_97年春節保全回收報告書_春節作業手冊-981217" xfId="335" xr:uid="{00000000-0005-0000-0000-000036010000}"/>
    <cellStyle name="_樂清9507租賃用品申請_96年月餅預購競賽獎勵案_96年月餅預購競賽獎勵案_97年營業競賽提案報告書_97年春節保全回收報告書_春節作業手冊-981217_1-晉欣鮮食廠-2012年春節作業體制" xfId="336" xr:uid="{00000000-0005-0000-0000-000037010000}"/>
    <cellStyle name="_樂清9507租賃用品申請_96年月餅預購競賽獎勵案_96年月餅預購競賽獎勵案_97年營業競賽提案報告書_97年營業競賽提案報告書" xfId="337" xr:uid="{00000000-0005-0000-0000-000038010000}"/>
    <cellStyle name="_樂清9507租賃用品申請_96年月餅預購競賽獎勵案_96年月餅預購競賽獎勵案_97年營業競賽提案報告書_97年營業競賽提案報告書_1-晉欣鮮食廠-2012年春節作業體制" xfId="338" xr:uid="{00000000-0005-0000-0000-000039010000}"/>
    <cellStyle name="_樂清9507租賃用品申請_96年月餅預購競賽獎勵案_96年月餅預購競賽獎勵案_97年營業競賽提案報告書_97年營業競賽提案報告書_97年春節保全回收報告書" xfId="339" xr:uid="{00000000-0005-0000-0000-00003A010000}"/>
    <cellStyle name="_樂清9507租賃用品申請_96年月餅預購競賽獎勵案_96年月餅預購競賽獎勵案_97年營業競賽提案報告書_97年營業競賽提案報告書_97年春節保全回收報告書_1-晉欣鮮食廠-2012年春節作業體制" xfId="340" xr:uid="{00000000-0005-0000-0000-00003B010000}"/>
    <cellStyle name="_樂清9507租賃用品申請_96年月餅預購競賽獎勵案_96年月餅預購競賽獎勵案_97年營業競賽提案報告書_97年營業競賽提案報告書_97年春節保全回收報告書_Book1" xfId="341" xr:uid="{00000000-0005-0000-0000-00003C010000}"/>
    <cellStyle name="_樂清9507租賃用品申請_96年月餅預購競賽獎勵案_96年月餅預購競賽獎勵案_97年營業競賽提案報告書_97年營業競賽提案報告書_97年春節保全回收報告書_Book1_1-晉欣鮮食廠-2012年春節作業體制" xfId="342" xr:uid="{00000000-0005-0000-0000-00003D010000}"/>
    <cellStyle name="_樂清9507租賃用品申請_96年月餅預購競賽獎勵案_96年月餅預購競賽獎勵案_97年營業競賽提案報告書_97年營業競賽提案報告書_97年春節保全回收報告書_春節作業手冊-981217" xfId="343" xr:uid="{00000000-0005-0000-0000-00003E010000}"/>
    <cellStyle name="_樂清9507租賃用品申請_96年月餅預購競賽獎勵案_96年月餅預購競賽獎勵案_97年營業競賽提案報告書_97年營業競賽提案報告書_97年春節保全回收報告書_春節作業手冊-981217_1-晉欣鮮食廠-2012年春節作業體制" xfId="344" xr:uid="{00000000-0005-0000-0000-00003F010000}"/>
    <cellStyle name="_樂清9507租賃用品申請_96年月餅預購競賽獎勵案_96年月餅預購競賽獎勵案_97年營業競賽提案報告書_97年營業競賽提案報告書_97年營業競賽提案報告書" xfId="345" xr:uid="{00000000-0005-0000-0000-000040010000}"/>
    <cellStyle name="_樂清9507租賃用品申請_96年月餅預購競賽獎勵案_96年月餅預購競賽獎勵案_97年營業競賽提案報告書_97年營業競賽提案報告書_97年營業競賽提案報告書_1-晉欣鮮食廠-2012年春節作業體制" xfId="346" xr:uid="{00000000-0005-0000-0000-000041010000}"/>
    <cellStyle name="_樂清9507租賃用品申請_96年月餅預購競賽獎勵案_96年月餅預購競賽獎勵案_97年營業競賽提案報告書_97年營業競賽提案報告書_97年營業競賽提案報告書_97年春節保全回收報告書" xfId="347" xr:uid="{00000000-0005-0000-0000-000042010000}"/>
    <cellStyle name="_樂清9507租賃用品申請_96年月餅預購競賽獎勵案_96年月餅預購競賽獎勵案_97年營業競賽提案報告書_97年營業競賽提案報告書_97年營業競賽提案報告書_97年春節保全回收報告書_1-晉欣鮮食廠-2012年春節作業體制" xfId="348" xr:uid="{00000000-0005-0000-0000-000043010000}"/>
    <cellStyle name="_樂清9507租賃用品申請_96年月餅預購競賽獎勵案_96年月餅預購競賽獎勵案_97年營業競賽提案報告書_97年營業競賽提案報告書_97年營業競賽提案報告書_97年春節保全回收報告書_Book1" xfId="349" xr:uid="{00000000-0005-0000-0000-000044010000}"/>
    <cellStyle name="_樂清9507租賃用品申請_96年月餅預購競賽獎勵案_96年月餅預購競賽獎勵案_97年營業競賽提案報告書_97年營業競賽提案報告書_97年營業競賽提案報告書_97年春節保全回收報告書_Book1_1-晉欣鮮食廠-2012年春節作業體制" xfId="350" xr:uid="{00000000-0005-0000-0000-000045010000}"/>
    <cellStyle name="_樂清9507租賃用品申請_96年月餅預購競賽獎勵案_96年月餅預購競賽獎勵案_97年營業競賽提案報告書_97年營業競賽提案報告書_97年營業競賽提案報告書_97年春節保全回收報告書_春節作業手冊-981217" xfId="351" xr:uid="{00000000-0005-0000-0000-000046010000}"/>
    <cellStyle name="_樂清9507租賃用品申請_96年月餅預購競賽獎勵案_96年月餅預購競賽獎勵案_97年營業競賽提案報告書_97年營業競賽提案報告書_97年營業競賽提案報告書_97年春節保全回收報告書_春節作業手冊-981217_1-晉欣鮮食廠-2012年春節作業體制" xfId="352" xr:uid="{00000000-0005-0000-0000-000047010000}"/>
    <cellStyle name="_樂清9507租賃用品申請_96年月餅預購競賽獎勵案_96年月餅預購競賽獎勵案_97年營業競賽提案報告書_97年營業競賽提案報告書_97年營業競賽提案報告書_Book1" xfId="353" xr:uid="{00000000-0005-0000-0000-000048010000}"/>
    <cellStyle name="_樂清9507租賃用品申請_96年月餅預購競賽獎勵案_96年月餅預購競賽獎勵案_97年營業競賽提案報告書_97年營業競賽提案報告書_97年營業競賽提案報告書_Book1_1-晉欣鮮食廠-2012年春節作業體制" xfId="354" xr:uid="{00000000-0005-0000-0000-000049010000}"/>
    <cellStyle name="_樂清9507租賃用品申請_96年月餅預購競賽獎勵案_96年月餅預購競賽獎勵案_97年營業競賽提案報告書_97年營業競賽提案報告書_97年營業競賽提案報告書_春節作業手冊-981217" xfId="355" xr:uid="{00000000-0005-0000-0000-00004A010000}"/>
    <cellStyle name="_樂清9507租賃用品申請_96年月餅預購競賽獎勵案_96年月餅預購競賽獎勵案_97年營業競賽提案報告書_97年營業競賽提案報告書_97年營業競賽提案報告書_春節作業手冊-981217_1-晉欣鮮食廠-2012年春節作業體制" xfId="356" xr:uid="{00000000-0005-0000-0000-00004B010000}"/>
    <cellStyle name="_樂清9507租賃用品申請_96年月餅預購競賽獎勵案_96年月餅預購競賽獎勵案_97年營業競賽提案報告書_97年營業競賽提案報告書_Book1" xfId="357" xr:uid="{00000000-0005-0000-0000-00004C010000}"/>
    <cellStyle name="_樂清9507租賃用品申請_96年月餅預購競賽獎勵案_96年月餅預購競賽獎勵案_97年營業競賽提案報告書_97年營業競賽提案報告書_Book1_1-晉欣鮮食廠-2012年春節作業體制" xfId="358" xr:uid="{00000000-0005-0000-0000-00004D010000}"/>
    <cellStyle name="_樂清9507租賃用品申請_96年月餅預購競賽獎勵案_96年月餅預購競賽獎勵案_97年營業競賽提案報告書_97年營業競賽提案報告書_春節作業手冊-981217" xfId="359" xr:uid="{00000000-0005-0000-0000-00004E010000}"/>
    <cellStyle name="_樂清9507租賃用品申請_96年月餅預購競賽獎勵案_96年月餅預購競賽獎勵案_97年營業競賽提案報告書_97年營業競賽提案報告書_春節作業手冊-981217_1-晉欣鮮食廠-2012年春節作業體制" xfId="360" xr:uid="{00000000-0005-0000-0000-00004F010000}"/>
    <cellStyle name="_樂清9507租賃用品申請_96年月餅預購競賽獎勵案_96年月餅預購競賽獎勵案_97年營業競賽提案報告書_Book1" xfId="361" xr:uid="{00000000-0005-0000-0000-000050010000}"/>
    <cellStyle name="_樂清9507租賃用品申請_96年月餅預購競賽獎勵案_96年月餅預購競賽獎勵案_97年營業競賽提案報告書_Book1_1-晉欣鮮食廠-2012年春節作業體制" xfId="362" xr:uid="{00000000-0005-0000-0000-000051010000}"/>
    <cellStyle name="_樂清9507租賃用品申請_96年月餅預購競賽獎勵案_96年月餅預購競賽獎勵案_97年營業競賽提案報告書_春節作業手冊-981217" xfId="363" xr:uid="{00000000-0005-0000-0000-000052010000}"/>
    <cellStyle name="_樂清9507租賃用品申請_96年月餅預購競賽獎勵案_96年月餅預購競賽獎勵案_97年營業競賽提案報告書_春節作業手冊-981217_1-晉欣鮮食廠-2012年春節作業體制" xfId="364" xr:uid="{00000000-0005-0000-0000-000053010000}"/>
    <cellStyle name="_樂清9507租賃用品申請_96年月餅預購競賽獎勵案_96年月餅預購競賽獎勵案_Book1" xfId="365" xr:uid="{00000000-0005-0000-0000-000054010000}"/>
    <cellStyle name="_樂清9507租賃用品申請_96年月餅預購競賽獎勵案_96年月餅預購競賽獎勵案_Book1_1-晉欣鮮食廠-2012年春節作業體制" xfId="366" xr:uid="{00000000-0005-0000-0000-000055010000}"/>
    <cellStyle name="_樂清9507租賃用品申請_96年月餅預購競賽獎勵案_96年月餅預購競賽獎勵案_春節作業手冊-981217" xfId="367" xr:uid="{00000000-0005-0000-0000-000056010000}"/>
    <cellStyle name="_樂清9507租賃用品申請_96年月餅預購競賽獎勵案_96年月餅預購競賽獎勵案_春節作業手冊-981217_1-晉欣鮮食廠-2012年春節作業體制" xfId="368" xr:uid="{00000000-0005-0000-0000-000057010000}"/>
    <cellStyle name="_樂清9507租賃用品申請_96年月餅預購競賽獎勵案_97年春節保全回收報告書" xfId="369" xr:uid="{00000000-0005-0000-0000-000058010000}"/>
    <cellStyle name="_樂清9507租賃用品申請_96年月餅預購競賽獎勵案_97年春節保全回收報告書_1-晉欣鮮食廠-2012年春節作業體制" xfId="370" xr:uid="{00000000-0005-0000-0000-000059010000}"/>
    <cellStyle name="_樂清9507租賃用品申請_96年月餅預購競賽獎勵案_97年春節保全回收報告書_Book1" xfId="371" xr:uid="{00000000-0005-0000-0000-00005A010000}"/>
    <cellStyle name="_樂清9507租賃用品申請_96年月餅預購競賽獎勵案_97年春節保全回收報告書_Book1_1-晉欣鮮食廠-2012年春節作業體制" xfId="372" xr:uid="{00000000-0005-0000-0000-00005B010000}"/>
    <cellStyle name="_樂清9507租賃用品申請_96年月餅預購競賽獎勵案_97年春節保全回收報告書_春節作業手冊-981217" xfId="373" xr:uid="{00000000-0005-0000-0000-00005C010000}"/>
    <cellStyle name="_樂清9507租賃用品申請_96年月餅預購競賽獎勵案_97年春節保全回收報告書_春節作業手冊-981217_1-晉欣鮮食廠-2012年春節作業體制" xfId="374" xr:uid="{00000000-0005-0000-0000-00005D010000}"/>
    <cellStyle name="_樂清9507租賃用品申請_96年月餅預購競賽獎勵案_97年營業競賽提案報告書" xfId="375" xr:uid="{00000000-0005-0000-0000-00005E010000}"/>
    <cellStyle name="_樂清9507租賃用品申請_96年月餅預購競賽獎勵案_97年營業競賽提案報告書_1-晉欣鮮食廠-2012年春節作業體制" xfId="376" xr:uid="{00000000-0005-0000-0000-00005F010000}"/>
    <cellStyle name="_樂清9507租賃用品申請_96年月餅預購競賽獎勵案_97年營業競賽提案報告書_97年春節保全回收報告書" xfId="377" xr:uid="{00000000-0005-0000-0000-000060010000}"/>
    <cellStyle name="_樂清9507租賃用品申請_96年月餅預購競賽獎勵案_97年營業競賽提案報告書_97年春節保全回收報告書_1-晉欣鮮食廠-2012年春節作業體制" xfId="378" xr:uid="{00000000-0005-0000-0000-000061010000}"/>
    <cellStyle name="_樂清9507租賃用品申請_96年月餅預購競賽獎勵案_97年營業競賽提案報告書_97年春節保全回收報告書_Book1" xfId="379" xr:uid="{00000000-0005-0000-0000-000062010000}"/>
    <cellStyle name="_樂清9507租賃用品申請_96年月餅預購競賽獎勵案_97年營業競賽提案報告書_97年春節保全回收報告書_Book1_1-晉欣鮮食廠-2012年春節作業體制" xfId="380" xr:uid="{00000000-0005-0000-0000-000063010000}"/>
    <cellStyle name="_樂清9507租賃用品申請_96年月餅預購競賽獎勵案_97年營業競賽提案報告書_97年春節保全回收報告書_春節作業手冊-981217" xfId="381" xr:uid="{00000000-0005-0000-0000-000064010000}"/>
    <cellStyle name="_樂清9507租賃用品申請_96年月餅預購競賽獎勵案_97年營業競賽提案報告書_97年春節保全回收報告書_春節作業手冊-981217_1-晉欣鮮食廠-2012年春節作業體制" xfId="382" xr:uid="{00000000-0005-0000-0000-000065010000}"/>
    <cellStyle name="_樂清9507租賃用品申請_96年月餅預購競賽獎勵案_97年營業競賽提案報告書_97年營業競賽提案報告書" xfId="383" xr:uid="{00000000-0005-0000-0000-000066010000}"/>
    <cellStyle name="_樂清9507租賃用品申請_96年月餅預購競賽獎勵案_97年營業競賽提案報告書_97年營業競賽提案報告書_1-晉欣鮮食廠-2012年春節作業體制" xfId="384" xr:uid="{00000000-0005-0000-0000-000067010000}"/>
    <cellStyle name="_樂清9507租賃用品申請_96年月餅預購競賽獎勵案_97年營業競賽提案報告書_97年營業競賽提案報告書_97年春節保全回收報告書" xfId="385" xr:uid="{00000000-0005-0000-0000-000068010000}"/>
    <cellStyle name="_樂清9507租賃用品申請_96年月餅預購競賽獎勵案_97年營業競賽提案報告書_97年營業競賽提案報告書_97年春節保全回收報告書_1-晉欣鮮食廠-2012年春節作業體制" xfId="386" xr:uid="{00000000-0005-0000-0000-000069010000}"/>
    <cellStyle name="_樂清9507租賃用品申請_96年月餅預購競賽獎勵案_97年營業競賽提案報告書_97年營業競賽提案報告書_97年春節保全回收報告書_Book1" xfId="387" xr:uid="{00000000-0005-0000-0000-00006A010000}"/>
    <cellStyle name="_樂清9507租賃用品申請_96年月餅預購競賽獎勵案_97年營業競賽提案報告書_97年營業競賽提案報告書_97年春節保全回收報告書_Book1_1-晉欣鮮食廠-2012年春節作業體制" xfId="388" xr:uid="{00000000-0005-0000-0000-00006B010000}"/>
    <cellStyle name="_樂清9507租賃用品申請_96年月餅預購競賽獎勵案_97年營業競賽提案報告書_97年營業競賽提案報告書_97年春節保全回收報告書_春節作業手冊-981217" xfId="389" xr:uid="{00000000-0005-0000-0000-00006C010000}"/>
    <cellStyle name="_樂清9507租賃用品申請_96年月餅預購競賽獎勵案_97年營業競賽提案報告書_97年營業競賽提案報告書_97年春節保全回收報告書_春節作業手冊-981217_1-晉欣鮮食廠-2012年春節作業體制" xfId="390" xr:uid="{00000000-0005-0000-0000-00006D010000}"/>
    <cellStyle name="_樂清9507租賃用品申請_96年月餅預購競賽獎勵案_97年營業競賽提案報告書_97年營業競賽提案報告書_97年營業競賽提案報告書" xfId="391" xr:uid="{00000000-0005-0000-0000-00006E010000}"/>
    <cellStyle name="_樂清9507租賃用品申請_96年月餅預購競賽獎勵案_97年營業競賽提案報告書_97年營業競賽提案報告書_97年營業競賽提案報告書_1-晉欣鮮食廠-2012年春節作業體制" xfId="392" xr:uid="{00000000-0005-0000-0000-00006F010000}"/>
    <cellStyle name="_樂清9507租賃用品申請_96年月餅預購競賽獎勵案_97年營業競賽提案報告書_97年營業競賽提案報告書_97年營業競賽提案報告書_97年春節保全回收報告書" xfId="393" xr:uid="{00000000-0005-0000-0000-000070010000}"/>
    <cellStyle name="_樂清9507租賃用品申請_96年月餅預購競賽獎勵案_97年營業競賽提案報告書_97年營業競賽提案報告書_97年營業競賽提案報告書_97年春節保全回收報告書_1-晉欣鮮食廠-2012年春節作業體制" xfId="394" xr:uid="{00000000-0005-0000-0000-000071010000}"/>
    <cellStyle name="_樂清9507租賃用品申請_96年月餅預購競賽獎勵案_97年營業競賽提案報告書_97年營業競賽提案報告書_97年營業競賽提案報告書_97年春節保全回收報告書_Book1" xfId="395" xr:uid="{00000000-0005-0000-0000-000072010000}"/>
    <cellStyle name="_樂清9507租賃用品申請_96年月餅預購競賽獎勵案_97年營業競賽提案報告書_97年營業競賽提案報告書_97年營業競賽提案報告書_97年春節保全回收報告書_Book1_1-晉欣鮮食廠-2012年春節作業體制" xfId="396" xr:uid="{00000000-0005-0000-0000-000073010000}"/>
    <cellStyle name="_樂清9507租賃用品申請_96年月餅預購競賽獎勵案_97年營業競賽提案報告書_97年營業競賽提案報告書_97年營業競賽提案報告書_97年春節保全回收報告書_春節作業手冊-981217" xfId="397" xr:uid="{00000000-0005-0000-0000-000074010000}"/>
    <cellStyle name="_樂清9507租賃用品申請_96年月餅預購競賽獎勵案_97年營業競賽提案報告書_97年營業競賽提案報告書_97年營業競賽提案報告書_97年春節保全回收報告書_春節作業手冊-981217_1-晉欣鮮食廠-2012年春節作業體制" xfId="398" xr:uid="{00000000-0005-0000-0000-000075010000}"/>
    <cellStyle name="_樂清9507租賃用品申請_96年月餅預購競賽獎勵案_97年營業競賽提案報告書_97年營業競賽提案報告書_97年營業競賽提案報告書_Book1" xfId="399" xr:uid="{00000000-0005-0000-0000-000076010000}"/>
    <cellStyle name="_樂清9507租賃用品申請_96年月餅預購競賽獎勵案_97年營業競賽提案報告書_97年營業競賽提案報告書_97年營業競賽提案報告書_Book1_1-晉欣鮮食廠-2012年春節作業體制" xfId="400" xr:uid="{00000000-0005-0000-0000-000077010000}"/>
    <cellStyle name="_樂清9507租賃用品申請_96年月餅預購競賽獎勵案_97年營業競賽提案報告書_97年營業競賽提案報告書_97年營業競賽提案報告書_春節作業手冊-981217" xfId="401" xr:uid="{00000000-0005-0000-0000-000078010000}"/>
    <cellStyle name="_樂清9507租賃用品申請_96年月餅預購競賽獎勵案_97年營業競賽提案報告書_97年營業競賽提案報告書_97年營業競賽提案報告書_春節作業手冊-981217_1-晉欣鮮食廠-2012年春節作業體制" xfId="402" xr:uid="{00000000-0005-0000-0000-000079010000}"/>
    <cellStyle name="_樂清9507租賃用品申請_96年月餅預購競賽獎勵案_97年營業競賽提案報告書_97年營業競賽提案報告書_Book1" xfId="403" xr:uid="{00000000-0005-0000-0000-00007A010000}"/>
    <cellStyle name="_樂清9507租賃用品申請_96年月餅預購競賽獎勵案_97年營業競賽提案報告書_97年營業競賽提案報告書_Book1_1-晉欣鮮食廠-2012年春節作業體制" xfId="404" xr:uid="{00000000-0005-0000-0000-00007B010000}"/>
    <cellStyle name="_樂清9507租賃用品申請_96年月餅預購競賽獎勵案_97年營業競賽提案報告書_97年營業競賽提案報告書_春節作業手冊-981217" xfId="405" xr:uid="{00000000-0005-0000-0000-00007C010000}"/>
    <cellStyle name="_樂清9507租賃用品申請_96年月餅預購競賽獎勵案_97年營業競賽提案報告書_97年營業競賽提案報告書_春節作業手冊-981217_1-晉欣鮮食廠-2012年春節作業體制" xfId="406" xr:uid="{00000000-0005-0000-0000-00007D010000}"/>
    <cellStyle name="_樂清9507租賃用品申請_96年月餅預購競賽獎勵案_97年營業競賽提案報告書_Book1" xfId="407" xr:uid="{00000000-0005-0000-0000-00007E010000}"/>
    <cellStyle name="_樂清9507租賃用品申請_96年月餅預購競賽獎勵案_97年營業競賽提案報告書_Book1_1-晉欣鮮食廠-2012年春節作業體制" xfId="408" xr:uid="{00000000-0005-0000-0000-00007F010000}"/>
    <cellStyle name="_樂清9507租賃用品申請_96年月餅預購競賽獎勵案_97年營業競賽提案報告書_春節作業手冊-981217" xfId="409" xr:uid="{00000000-0005-0000-0000-000080010000}"/>
    <cellStyle name="_樂清9507租賃用品申請_96年月餅預購競賽獎勵案_97年營業競賽提案報告書_春節作業手冊-981217_1-晉欣鮮食廠-2012年春節作業體制" xfId="410" xr:uid="{00000000-0005-0000-0000-000081010000}"/>
    <cellStyle name="_樂清9507租賃用品申請_96年月餅預購競賽獎勵案_Book1" xfId="411" xr:uid="{00000000-0005-0000-0000-000082010000}"/>
    <cellStyle name="_樂清9507租賃用品申請_96年月餅預購競賽獎勵案_Book1_1-晉欣鮮食廠-2012年春節作業體制" xfId="412" xr:uid="{00000000-0005-0000-0000-000083010000}"/>
    <cellStyle name="_樂清9507租賃用品申請_96年月餅預購競賽獎勵案_春節作業手冊-981217" xfId="413" xr:uid="{00000000-0005-0000-0000-000084010000}"/>
    <cellStyle name="_樂清9507租賃用品申請_96年月餅預購競賽獎勵案_春節作業手冊-981217_1-晉欣鮮食廠-2012年春節作業體制" xfId="414" xr:uid="{00000000-0005-0000-0000-000085010000}"/>
    <cellStyle name="_樂清9507租賃用品申請_97年春節保全回收報告書" xfId="415" xr:uid="{00000000-0005-0000-0000-000086010000}"/>
    <cellStyle name="_樂清9507租賃用品申請_97年春節保全回收報告書_1-晉欣鮮食廠-2012年春節作業體制" xfId="416" xr:uid="{00000000-0005-0000-0000-000087010000}"/>
    <cellStyle name="_樂清9507租賃用品申請_97年春節保全回收報告書_Book1" xfId="417" xr:uid="{00000000-0005-0000-0000-000088010000}"/>
    <cellStyle name="_樂清9507租賃用品申請_97年春節保全回收報告書_Book1_1-晉欣鮮食廠-2012年春節作業體制" xfId="418" xr:uid="{00000000-0005-0000-0000-000089010000}"/>
    <cellStyle name="_樂清9507租賃用品申請_97年春節保全回收報告書_春節作業手冊-981217" xfId="419" xr:uid="{00000000-0005-0000-0000-00008A010000}"/>
    <cellStyle name="_樂清9507租賃用品申請_97年春節保全回收報告書_春節作業手冊-981217_1-晉欣鮮食廠-2012年春節作業體制" xfId="420" xr:uid="{00000000-0005-0000-0000-00008B010000}"/>
    <cellStyle name="_樂清9507租賃用品申請_97年營業競賽提案報告書" xfId="421" xr:uid="{00000000-0005-0000-0000-00008C010000}"/>
    <cellStyle name="_樂清9507租賃用品申請_97年營業競賽提案報告書_1-晉欣鮮食廠-2012年春節作業體制" xfId="422" xr:uid="{00000000-0005-0000-0000-00008D010000}"/>
    <cellStyle name="_樂清9507租賃用品申請_97年營業競賽提案報告書_97年春節保全回收報告書" xfId="423" xr:uid="{00000000-0005-0000-0000-00008E010000}"/>
    <cellStyle name="_樂清9507租賃用品申請_97年營業競賽提案報告書_97年春節保全回收報告書_1-晉欣鮮食廠-2012年春節作業體制" xfId="424" xr:uid="{00000000-0005-0000-0000-00008F010000}"/>
    <cellStyle name="_樂清9507租賃用品申請_97年營業競賽提案報告書_97年春節保全回收報告書_Book1" xfId="425" xr:uid="{00000000-0005-0000-0000-000090010000}"/>
    <cellStyle name="_樂清9507租賃用品申請_97年營業競賽提案報告書_97年春節保全回收報告書_Book1_1-晉欣鮮食廠-2012年春節作業體制" xfId="426" xr:uid="{00000000-0005-0000-0000-000091010000}"/>
    <cellStyle name="_樂清9507租賃用品申請_97年營業競賽提案報告書_97年春節保全回收報告書_春節作業手冊-981217" xfId="427" xr:uid="{00000000-0005-0000-0000-000092010000}"/>
    <cellStyle name="_樂清9507租賃用品申請_97年營業競賽提案報告書_97年春節保全回收報告書_春節作業手冊-981217_1-晉欣鮮食廠-2012年春節作業體制" xfId="428" xr:uid="{00000000-0005-0000-0000-000093010000}"/>
    <cellStyle name="_樂清9507租賃用品申請_97年營業競賽提案報告書_97年營業競賽提案報告書" xfId="429" xr:uid="{00000000-0005-0000-0000-000094010000}"/>
    <cellStyle name="_樂清9507租賃用品申請_97年營業競賽提案報告書_97年營業競賽提案報告書_1-晉欣鮮食廠-2012年春節作業體制" xfId="430" xr:uid="{00000000-0005-0000-0000-000095010000}"/>
    <cellStyle name="_樂清9507租賃用品申請_97年營業競賽提案報告書_97年營業競賽提案報告書_97年春節保全回收報告書" xfId="431" xr:uid="{00000000-0005-0000-0000-000096010000}"/>
    <cellStyle name="_樂清9507租賃用品申請_97年營業競賽提案報告書_97年營業競賽提案報告書_97年春節保全回收報告書_1-晉欣鮮食廠-2012年春節作業體制" xfId="432" xr:uid="{00000000-0005-0000-0000-000097010000}"/>
    <cellStyle name="_樂清9507租賃用品申請_97年營業競賽提案報告書_97年營業競賽提案報告書_97年春節保全回收報告書_Book1" xfId="433" xr:uid="{00000000-0005-0000-0000-000098010000}"/>
    <cellStyle name="_樂清9507租賃用品申請_97年營業競賽提案報告書_97年營業競賽提案報告書_97年春節保全回收報告書_Book1_1-晉欣鮮食廠-2012年春節作業體制" xfId="434" xr:uid="{00000000-0005-0000-0000-000099010000}"/>
    <cellStyle name="_樂清9507租賃用品申請_97年營業競賽提案報告書_97年營業競賽提案報告書_97年春節保全回收報告書_春節作業手冊-981217" xfId="435" xr:uid="{00000000-0005-0000-0000-00009A010000}"/>
    <cellStyle name="_樂清9507租賃用品申請_97年營業競賽提案報告書_97年營業競賽提案報告書_97年春節保全回收報告書_春節作業手冊-981217_1-晉欣鮮食廠-2012年春節作業體制" xfId="436" xr:uid="{00000000-0005-0000-0000-00009B010000}"/>
    <cellStyle name="_樂清9507租賃用品申請_97年營業競賽提案報告書_97年營業競賽提案報告書_97年營業競賽提案報告書" xfId="437" xr:uid="{00000000-0005-0000-0000-00009C010000}"/>
    <cellStyle name="_樂清9507租賃用品申請_97年營業競賽提案報告書_97年營業競賽提案報告書_97年營業競賽提案報告書_1-晉欣鮮食廠-2012年春節作業體制" xfId="438" xr:uid="{00000000-0005-0000-0000-00009D010000}"/>
    <cellStyle name="_樂清9507租賃用品申請_97年營業競賽提案報告書_97年營業競賽提案報告書_97年營業競賽提案報告書_97年春節保全回收報告書" xfId="439" xr:uid="{00000000-0005-0000-0000-00009E010000}"/>
    <cellStyle name="_樂清9507租賃用品申請_97年營業競賽提案報告書_97年營業競賽提案報告書_97年營業競賽提案報告書_97年春節保全回收報告書_1-晉欣鮮食廠-2012年春節作業體制" xfId="440" xr:uid="{00000000-0005-0000-0000-00009F010000}"/>
    <cellStyle name="_樂清9507租賃用品申請_97年營業競賽提案報告書_97年營業競賽提案報告書_97年營業競賽提案報告書_97年春節保全回收報告書_Book1" xfId="441" xr:uid="{00000000-0005-0000-0000-0000A0010000}"/>
    <cellStyle name="_樂清9507租賃用品申請_97年營業競賽提案報告書_97年營業競賽提案報告書_97年營業競賽提案報告書_97年春節保全回收報告書_Book1_1-晉欣鮮食廠-2012年春節作業體制" xfId="442" xr:uid="{00000000-0005-0000-0000-0000A1010000}"/>
    <cellStyle name="_樂清9507租賃用品申請_97年營業競賽提案報告書_97年營業競賽提案報告書_97年營業競賽提案報告書_97年春節保全回收報告書_春節作業手冊-981217" xfId="443" xr:uid="{00000000-0005-0000-0000-0000A2010000}"/>
    <cellStyle name="_樂清9507租賃用品申請_97年營業競賽提案報告書_97年營業競賽提案報告書_97年營業競賽提案報告書_97年春節保全回收報告書_春節作業手冊-981217_1-晉欣鮮食廠-2012年春節作業體制" xfId="444" xr:uid="{00000000-0005-0000-0000-0000A3010000}"/>
    <cellStyle name="_樂清9507租賃用品申請_97年營業競賽提案報告書_97年營業競賽提案報告書_97年營業競賽提案報告書_Book1" xfId="445" xr:uid="{00000000-0005-0000-0000-0000A4010000}"/>
    <cellStyle name="_樂清9507租賃用品申請_97年營業競賽提案報告書_97年營業競賽提案報告書_97年營業競賽提案報告書_Book1_1-晉欣鮮食廠-2012年春節作業體制" xfId="446" xr:uid="{00000000-0005-0000-0000-0000A5010000}"/>
    <cellStyle name="_樂清9507租賃用品申請_97年營業競賽提案報告書_97年營業競賽提案報告書_97年營業競賽提案報告書_春節作業手冊-981217" xfId="447" xr:uid="{00000000-0005-0000-0000-0000A6010000}"/>
    <cellStyle name="_樂清9507租賃用品申請_97年營業競賽提案報告書_97年營業競賽提案報告書_97年營業競賽提案報告書_春節作業手冊-981217_1-晉欣鮮食廠-2012年春節作業體制" xfId="448" xr:uid="{00000000-0005-0000-0000-0000A7010000}"/>
    <cellStyle name="_樂清9507租賃用品申請_97年營業競賽提案報告書_97年營業競賽提案報告書_Book1" xfId="449" xr:uid="{00000000-0005-0000-0000-0000A8010000}"/>
    <cellStyle name="_樂清9507租賃用品申請_97年營業競賽提案報告書_97年營業競賽提案報告書_Book1_1-晉欣鮮食廠-2012年春節作業體制" xfId="450" xr:uid="{00000000-0005-0000-0000-0000A9010000}"/>
    <cellStyle name="_樂清9507租賃用品申請_97年營業競賽提案報告書_97年營業競賽提案報告書_春節作業手冊-981217" xfId="451" xr:uid="{00000000-0005-0000-0000-0000AA010000}"/>
    <cellStyle name="_樂清9507租賃用品申請_97年營業競賽提案報告書_97年營業競賽提案報告書_春節作業手冊-981217_1-晉欣鮮食廠-2012年春節作業體制" xfId="452" xr:uid="{00000000-0005-0000-0000-0000AB010000}"/>
    <cellStyle name="_樂清9507租賃用品申請_97年營業競賽提案報告書_Book1" xfId="453" xr:uid="{00000000-0005-0000-0000-0000AC010000}"/>
    <cellStyle name="_樂清9507租賃用品申請_97年營業競賽提案報告書_Book1_1-晉欣鮮食廠-2012年春節作業體制" xfId="454" xr:uid="{00000000-0005-0000-0000-0000AD010000}"/>
    <cellStyle name="_樂清9507租賃用品申請_97年營業競賽提案報告書_春節作業手冊-981217" xfId="455" xr:uid="{00000000-0005-0000-0000-0000AE010000}"/>
    <cellStyle name="_樂清9507租賃用品申請_97年營業競賽提案報告書_春節作業手冊-981217_1-晉欣鮮食廠-2012年春節作業體制" xfId="456" xr:uid="{00000000-0005-0000-0000-0000AF010000}"/>
    <cellStyle name="_樂清9507租賃用品申請_Book1" xfId="457" xr:uid="{00000000-0005-0000-0000-0000B0010000}"/>
    <cellStyle name="_樂清9507租賃用品申請_Book1_1-晉欣鮮食廠-2012年春節作業體制" xfId="458" xr:uid="{00000000-0005-0000-0000-0000B1010000}"/>
    <cellStyle name="_樂清9507租賃用品申請_春節作業手冊-981217" xfId="459" xr:uid="{00000000-0005-0000-0000-0000B2010000}"/>
    <cellStyle name="_樂清9507租賃用品申請_春節作業手冊-981217_1-晉欣鮮食廠-2012年春節作業體制" xfId="460" xr:uid="{00000000-0005-0000-0000-0000B3010000}"/>
    <cellStyle name="Normal - Style1" xfId="461" xr:uid="{00000000-0005-0000-0000-0000B4010000}"/>
    <cellStyle name="Normal_Co-wide Monthly" xfId="462" xr:uid="{00000000-0005-0000-0000-0000B5010000}"/>
    <cellStyle name="一般" xfId="0" builtinId="0"/>
    <cellStyle name="一般 10" xfId="469" xr:uid="{00000000-0005-0000-0000-0000B7010000}"/>
    <cellStyle name="一般 10 2" xfId="470" xr:uid="{00000000-0005-0000-0000-0000B8010000}"/>
    <cellStyle name="一般 11" xfId="471" xr:uid="{00000000-0005-0000-0000-0000B9010000}"/>
    <cellStyle name="一般 12" xfId="472" xr:uid="{00000000-0005-0000-0000-0000BA010000}"/>
    <cellStyle name="一般 13" xfId="473" xr:uid="{00000000-0005-0000-0000-0000BB010000}"/>
    <cellStyle name="一般 14" xfId="474" xr:uid="{00000000-0005-0000-0000-0000BC010000}"/>
    <cellStyle name="一般 15" xfId="475" xr:uid="{00000000-0005-0000-0000-0000BD010000}"/>
    <cellStyle name="一般 15 2" xfId="476" xr:uid="{00000000-0005-0000-0000-0000BE010000}"/>
    <cellStyle name="一般 16" xfId="477" xr:uid="{00000000-0005-0000-0000-0000BF010000}"/>
    <cellStyle name="一般 17" xfId="478" xr:uid="{00000000-0005-0000-0000-0000C0010000}"/>
    <cellStyle name="一般 18" xfId="479" xr:uid="{00000000-0005-0000-0000-0000C1010000}"/>
    <cellStyle name="一般 19" xfId="480" xr:uid="{00000000-0005-0000-0000-0000C2010000}"/>
    <cellStyle name="一般 2" xfId="1" xr:uid="{00000000-0005-0000-0000-0000C3010000}"/>
    <cellStyle name="一般 2 2" xfId="481" xr:uid="{00000000-0005-0000-0000-0000C4010000}"/>
    <cellStyle name="一般 2 2 2" xfId="9" xr:uid="{00000000-0005-0000-0000-0000C5010000}"/>
    <cellStyle name="一般 2 2 2 2" xfId="482" xr:uid="{00000000-0005-0000-0000-0000C6010000}"/>
    <cellStyle name="一般 2 2 3" xfId="483" xr:uid="{00000000-0005-0000-0000-0000C7010000}"/>
    <cellStyle name="一般 2 2 30 2 2 30 2" xfId="4" xr:uid="{00000000-0005-0000-0000-0000C8010000}"/>
    <cellStyle name="一般 2 2 30 2 2 30 2 2" xfId="12" xr:uid="{00000000-0005-0000-0000-0000C9010000}"/>
    <cellStyle name="一般 2 2 30 2 2 30 2 2 2" xfId="15" xr:uid="{00000000-0005-0000-0000-0000CA010000}"/>
    <cellStyle name="一般 2 2 30 2 2 30 2 2 2 2 2" xfId="577" xr:uid="{00000000-0005-0000-0000-0000CB010000}"/>
    <cellStyle name="一般 2 2 30 2 2 30 2 2 2 2 2 2" xfId="580" xr:uid="{00000000-0005-0000-0000-0000CC010000}"/>
    <cellStyle name="一般 2 2 30 2 2 30 2 2 2 4" xfId="583" xr:uid="{00000000-0005-0000-0000-0000CD010000}"/>
    <cellStyle name="一般 2 2 30 2 2 30 2 2 3" xfId="16" xr:uid="{00000000-0005-0000-0000-0000CE010000}"/>
    <cellStyle name="一般 2 2 30 2 2 30 2 2 4" xfId="17" xr:uid="{00000000-0005-0000-0000-0000CF010000}"/>
    <cellStyle name="一般 2 2 30 2 2 30 2 3 2" xfId="578" xr:uid="{00000000-0005-0000-0000-0000D0010000}"/>
    <cellStyle name="一般 2 2 30 2 2 30 2 3 3" xfId="581" xr:uid="{00000000-0005-0000-0000-0000D1010000}"/>
    <cellStyle name="一般 2 2 30 2 3 2" xfId="6" xr:uid="{00000000-0005-0000-0000-0000D2010000}"/>
    <cellStyle name="一般 2 2 30 2 3 2 2 2" xfId="18" xr:uid="{00000000-0005-0000-0000-0000D3010000}"/>
    <cellStyle name="一般 2 2 30 2 3 2 3" xfId="579" xr:uid="{00000000-0005-0000-0000-0000D4010000}"/>
    <cellStyle name="一般 2 2 30 2 3 2 4" xfId="582" xr:uid="{00000000-0005-0000-0000-0000D5010000}"/>
    <cellStyle name="一般 2 2 30 3 30" xfId="7" xr:uid="{00000000-0005-0000-0000-0000D6010000}"/>
    <cellStyle name="一般 2 3" xfId="484" xr:uid="{00000000-0005-0000-0000-0000D7010000}"/>
    <cellStyle name="一般 2 4" xfId="485" xr:uid="{00000000-0005-0000-0000-0000D8010000}"/>
    <cellStyle name="一般 2 5" xfId="486" xr:uid="{00000000-0005-0000-0000-0000D9010000}"/>
    <cellStyle name="一般 2 6" xfId="487" xr:uid="{00000000-0005-0000-0000-0000DA010000}"/>
    <cellStyle name="一般 2 7" xfId="488" xr:uid="{00000000-0005-0000-0000-0000DB010000}"/>
    <cellStyle name="一般 2 8" xfId="489" xr:uid="{00000000-0005-0000-0000-0000DC010000}"/>
    <cellStyle name="一般 2 9" xfId="23" xr:uid="{00000000-0005-0000-0000-0000DD010000}"/>
    <cellStyle name="一般 20" xfId="490" xr:uid="{00000000-0005-0000-0000-0000DE010000}"/>
    <cellStyle name="一般 21" xfId="491" xr:uid="{00000000-0005-0000-0000-0000DF010000}"/>
    <cellStyle name="一般 22" xfId="492" xr:uid="{00000000-0005-0000-0000-0000E0010000}"/>
    <cellStyle name="一般 23" xfId="493" xr:uid="{00000000-0005-0000-0000-0000E1010000}"/>
    <cellStyle name="一般 24" xfId="21" xr:uid="{00000000-0005-0000-0000-0000E2010000}"/>
    <cellStyle name="一般 3" xfId="11" xr:uid="{00000000-0005-0000-0000-0000E3010000}"/>
    <cellStyle name="一般 3 2" xfId="494" xr:uid="{00000000-0005-0000-0000-0000E4010000}"/>
    <cellStyle name="一般 3 2 2" xfId="495" xr:uid="{00000000-0005-0000-0000-0000E5010000}"/>
    <cellStyle name="一般 3 3" xfId="496" xr:uid="{00000000-0005-0000-0000-0000E6010000}"/>
    <cellStyle name="一般 3 4" xfId="497" xr:uid="{00000000-0005-0000-0000-0000E7010000}"/>
    <cellStyle name="一般 3 5" xfId="498" xr:uid="{00000000-0005-0000-0000-0000E8010000}"/>
    <cellStyle name="一般 3 5 2" xfId="499" xr:uid="{00000000-0005-0000-0000-0000E9010000}"/>
    <cellStyle name="一般 3 6" xfId="500" xr:uid="{00000000-0005-0000-0000-0000EA010000}"/>
    <cellStyle name="一般 3 7" xfId="501" xr:uid="{00000000-0005-0000-0000-0000EB010000}"/>
    <cellStyle name="一般 3 8" xfId="463" xr:uid="{00000000-0005-0000-0000-0000EC010000}"/>
    <cellStyle name="一般 4" xfId="5" xr:uid="{00000000-0005-0000-0000-0000ED010000}"/>
    <cellStyle name="一般 4 2" xfId="502" xr:uid="{00000000-0005-0000-0000-0000EE010000}"/>
    <cellStyle name="一般 4 3" xfId="503" xr:uid="{00000000-0005-0000-0000-0000EF010000}"/>
    <cellStyle name="一般 4 4" xfId="464" xr:uid="{00000000-0005-0000-0000-0000F0010000}"/>
    <cellStyle name="一般 5" xfId="504" xr:uid="{00000000-0005-0000-0000-0000F1010000}"/>
    <cellStyle name="一般 5 2" xfId="505" xr:uid="{00000000-0005-0000-0000-0000F2010000}"/>
    <cellStyle name="一般 6" xfId="506" xr:uid="{00000000-0005-0000-0000-0000F3010000}"/>
    <cellStyle name="一般 6 2" xfId="507" xr:uid="{00000000-0005-0000-0000-0000F4010000}"/>
    <cellStyle name="一般 7" xfId="508" xr:uid="{00000000-0005-0000-0000-0000F5010000}"/>
    <cellStyle name="一般 8" xfId="509" xr:uid="{00000000-0005-0000-0000-0000F6010000}"/>
    <cellStyle name="一般 8 2" xfId="510" xr:uid="{00000000-0005-0000-0000-0000F7010000}"/>
    <cellStyle name="一般 9" xfId="511" xr:uid="{00000000-0005-0000-0000-0000F8010000}"/>
    <cellStyle name="一般 9 2" xfId="512" xr:uid="{00000000-0005-0000-0000-0000F9010000}"/>
    <cellStyle name="千分位" xfId="14" builtinId="3"/>
    <cellStyle name="千分位 2" xfId="2" xr:uid="{00000000-0005-0000-0000-0000FB010000}"/>
    <cellStyle name="千分位 2 2" xfId="514" xr:uid="{00000000-0005-0000-0000-0000FC010000}"/>
    <cellStyle name="千分位 2 3" xfId="515" xr:uid="{00000000-0005-0000-0000-0000FD010000}"/>
    <cellStyle name="千分位 2 4" xfId="516" xr:uid="{00000000-0005-0000-0000-0000FE010000}"/>
    <cellStyle name="千分位 2 5" xfId="517" xr:uid="{00000000-0005-0000-0000-0000FF010000}"/>
    <cellStyle name="千分位 2 6" xfId="518" xr:uid="{00000000-0005-0000-0000-000000020000}"/>
    <cellStyle name="千分位 2 7" xfId="519" xr:uid="{00000000-0005-0000-0000-000001020000}"/>
    <cellStyle name="千分位 2 8" xfId="513" xr:uid="{00000000-0005-0000-0000-000002020000}"/>
    <cellStyle name="千分位 3" xfId="19" xr:uid="{00000000-0005-0000-0000-000003020000}"/>
    <cellStyle name="千分位 3 2" xfId="520" xr:uid="{00000000-0005-0000-0000-000004020000}"/>
    <cellStyle name="千分位 4" xfId="521" xr:uid="{00000000-0005-0000-0000-000005020000}"/>
    <cellStyle name="千分位 5" xfId="522" xr:uid="{00000000-0005-0000-0000-000006020000}"/>
    <cellStyle name="千分位 5 2" xfId="523" xr:uid="{00000000-0005-0000-0000-000007020000}"/>
    <cellStyle name="千分位 6" xfId="524" xr:uid="{00000000-0005-0000-0000-000008020000}"/>
    <cellStyle name="千分位 7" xfId="525" xr:uid="{00000000-0005-0000-0000-000009020000}"/>
    <cellStyle name="千分位 8" xfId="526" xr:uid="{00000000-0005-0000-0000-00000A020000}"/>
    <cellStyle name="千分位 9" xfId="576" xr:uid="{00000000-0005-0000-0000-00000B020000}"/>
    <cellStyle name="好_1001024-晉欣重要管制流程 (3)" xfId="527" xr:uid="{00000000-0005-0000-0000-00000C020000}"/>
    <cellStyle name="好_Sheet1" xfId="528" xr:uid="{00000000-0005-0000-0000-00000D020000}"/>
    <cellStyle name="好_工作日報表---" xfId="529" xr:uid="{00000000-0005-0000-0000-00000E020000}"/>
    <cellStyle name="好_晉欣重要管制流程-油炸作業" xfId="530" xr:uid="{00000000-0005-0000-0000-00000F020000}"/>
    <cellStyle name="好_晉欣重要管制流程-原物料驗收" xfId="531" xr:uid="{00000000-0005-0000-0000-000010020000}"/>
    <cellStyle name="好_晉欣重要管制流程-烤箱作業" xfId="532" xr:uid="{00000000-0005-0000-0000-000011020000}"/>
    <cellStyle name="好_晉欣重要管制流程-理貨作業" xfId="533" xr:uid="{00000000-0005-0000-0000-000012020000}"/>
    <cellStyle name="好_晉欣重要管制流程-煮麵作業" xfId="534" xr:uid="{00000000-0005-0000-0000-000013020000}"/>
    <cellStyle name="好_晉欣重要管制流程-飯糰機操作&amp;丼飯作業&amp;三明治&amp;標籤&amp;炊飯&amp;美生菜" xfId="535" xr:uid="{00000000-0005-0000-0000-000014020000}"/>
    <cellStyle name="好_晉欣重要管制流程-準備室作業" xfId="536" xr:uid="{00000000-0005-0000-0000-000015020000}"/>
    <cellStyle name="好_晉欣重要管制流程-補料作業" xfId="537" xr:uid="{00000000-0005-0000-0000-000016020000}"/>
    <cellStyle name="好_配料相關一、二--------" xfId="538" xr:uid="{00000000-0005-0000-0000-000017020000}"/>
    <cellStyle name="百分比 2" xfId="8" xr:uid="{00000000-0005-0000-0000-000018020000}"/>
    <cellStyle name="百分比 2 2" xfId="10" xr:uid="{00000000-0005-0000-0000-000019020000}"/>
    <cellStyle name="百分比 2 2 2" xfId="20" xr:uid="{00000000-0005-0000-0000-00001A020000}"/>
    <cellStyle name="百分比 2 2 2 2" xfId="540" xr:uid="{00000000-0005-0000-0000-00001B020000}"/>
    <cellStyle name="百分比 2 2 3" xfId="539" xr:uid="{00000000-0005-0000-0000-00001C020000}"/>
    <cellStyle name="百分比 2 3" xfId="541" xr:uid="{00000000-0005-0000-0000-00001D020000}"/>
    <cellStyle name="百分比 2 4" xfId="542" xr:uid="{00000000-0005-0000-0000-00001E020000}"/>
    <cellStyle name="百分比 2 5" xfId="24" xr:uid="{00000000-0005-0000-0000-00001F020000}"/>
    <cellStyle name="百分比 3" xfId="3" xr:uid="{00000000-0005-0000-0000-000020020000}"/>
    <cellStyle name="百分比 3 2" xfId="544" xr:uid="{00000000-0005-0000-0000-000021020000}"/>
    <cellStyle name="百分比 3 3" xfId="545" xr:uid="{00000000-0005-0000-0000-000022020000}"/>
    <cellStyle name="百分比 3 4" xfId="543" xr:uid="{00000000-0005-0000-0000-000023020000}"/>
    <cellStyle name="百分比 4" xfId="13" xr:uid="{00000000-0005-0000-0000-000024020000}"/>
    <cellStyle name="百分比 4 2" xfId="547" xr:uid="{00000000-0005-0000-0000-000025020000}"/>
    <cellStyle name="百分比 4 2 2" xfId="548" xr:uid="{00000000-0005-0000-0000-000026020000}"/>
    <cellStyle name="百分比 4 2 2 2" xfId="549" xr:uid="{00000000-0005-0000-0000-000027020000}"/>
    <cellStyle name="百分比 4 2 3" xfId="550" xr:uid="{00000000-0005-0000-0000-000028020000}"/>
    <cellStyle name="百分比 4 3" xfId="551" xr:uid="{00000000-0005-0000-0000-000029020000}"/>
    <cellStyle name="百分比 4 3 2" xfId="552" xr:uid="{00000000-0005-0000-0000-00002A020000}"/>
    <cellStyle name="百分比 4 3 2 2" xfId="553" xr:uid="{00000000-0005-0000-0000-00002B020000}"/>
    <cellStyle name="百分比 4 3 2 2 2" xfId="554" xr:uid="{00000000-0005-0000-0000-00002C020000}"/>
    <cellStyle name="百分比 4 3 2 2 2 2" xfId="555" xr:uid="{00000000-0005-0000-0000-00002D020000}"/>
    <cellStyle name="百分比 4 3 2 2 2 2 2" xfId="556" xr:uid="{00000000-0005-0000-0000-00002E020000}"/>
    <cellStyle name="百分比 4 4" xfId="557" xr:uid="{00000000-0005-0000-0000-00002F020000}"/>
    <cellStyle name="百分比 4 5" xfId="546" xr:uid="{00000000-0005-0000-0000-000030020000}"/>
    <cellStyle name="百分比 5" xfId="558" xr:uid="{00000000-0005-0000-0000-000031020000}"/>
    <cellStyle name="百分比 5 2" xfId="559" xr:uid="{00000000-0005-0000-0000-000032020000}"/>
    <cellStyle name="百分比 5 3" xfId="560" xr:uid="{00000000-0005-0000-0000-000033020000}"/>
    <cellStyle name="百分比 6" xfId="561" xr:uid="{00000000-0005-0000-0000-000034020000}"/>
    <cellStyle name="百分比 7" xfId="22" xr:uid="{00000000-0005-0000-0000-000035020000}"/>
    <cellStyle name="貨幣 2" xfId="562" xr:uid="{00000000-0005-0000-0000-000036020000}"/>
    <cellStyle name="貨幣[0]_ AUDIT" xfId="465" xr:uid="{00000000-0005-0000-0000-000037020000}"/>
    <cellStyle name="超連結 2" xfId="466" xr:uid="{00000000-0005-0000-0000-000038020000}"/>
    <cellStyle name="標準 2_關所SOP" xfId="563" xr:uid="{00000000-0005-0000-0000-000039020000}"/>
    <cellStyle name="樣式 1" xfId="467" xr:uid="{00000000-0005-0000-0000-00003A020000}"/>
    <cellStyle name="樣式 2" xfId="468" xr:uid="{00000000-0005-0000-0000-00003B020000}"/>
    <cellStyle name="壞_1001024-晉欣重要管制流程 (3)" xfId="564" xr:uid="{00000000-0005-0000-0000-00003C020000}"/>
    <cellStyle name="壞_Sheet1" xfId="565" xr:uid="{00000000-0005-0000-0000-00003D020000}"/>
    <cellStyle name="壞_工作日報表---" xfId="566" xr:uid="{00000000-0005-0000-0000-00003E020000}"/>
    <cellStyle name="壞_晉欣重要管制流程-油炸作業" xfId="567" xr:uid="{00000000-0005-0000-0000-00003F020000}"/>
    <cellStyle name="壞_晉欣重要管制流程-原物料驗收" xfId="568" xr:uid="{00000000-0005-0000-0000-000040020000}"/>
    <cellStyle name="壞_晉欣重要管制流程-烤箱作業" xfId="569" xr:uid="{00000000-0005-0000-0000-000041020000}"/>
    <cellStyle name="壞_晉欣重要管制流程-理貨作業" xfId="570" xr:uid="{00000000-0005-0000-0000-000042020000}"/>
    <cellStyle name="壞_晉欣重要管制流程-煮麵作業" xfId="571" xr:uid="{00000000-0005-0000-0000-000043020000}"/>
    <cellStyle name="壞_晉欣重要管制流程-飯糰機操作&amp;丼飯作業&amp;三明治&amp;標籤&amp;炊飯&amp;美生菜" xfId="572" xr:uid="{00000000-0005-0000-0000-000044020000}"/>
    <cellStyle name="壞_晉欣重要管制流程-準備室作業" xfId="573" xr:uid="{00000000-0005-0000-0000-000045020000}"/>
    <cellStyle name="壞_晉欣重要管制流程-補料作業" xfId="574" xr:uid="{00000000-0005-0000-0000-000046020000}"/>
    <cellStyle name="壞_配料相關一、二--------" xfId="575" xr:uid="{00000000-0005-0000-0000-000047020000}"/>
  </cellStyles>
  <dxfs count="4"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theme="1"/>
      </font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66259</xdr:colOff>
      <xdr:row>15</xdr:row>
      <xdr:rowOff>74543</xdr:rowOff>
    </xdr:from>
    <xdr:to>
      <xdr:col>12</xdr:col>
      <xdr:colOff>627283</xdr:colOff>
      <xdr:row>29</xdr:row>
      <xdr:rowOff>132521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259" y="3602934"/>
          <a:ext cx="8934741" cy="2840935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AA55"/>
  <sheetViews>
    <sheetView zoomScaleNormal="100" workbookViewId="0">
      <selection activeCell="E17" sqref="E17"/>
    </sheetView>
  </sheetViews>
  <sheetFormatPr defaultColWidth="12.5703125" defaultRowHeight="15.75" customHeight="1"/>
  <cols>
    <col min="1" max="2" width="12.5703125" style="2" customWidth="1"/>
    <col min="3" max="16384" width="12.5703125" style="2"/>
  </cols>
  <sheetData>
    <row r="1" spans="1:23" ht="15.75" customHeight="1">
      <c r="A1" s="1"/>
      <c r="G1" s="1"/>
      <c r="M1" s="1"/>
      <c r="S1" s="1"/>
    </row>
    <row r="2" spans="1:23" ht="15.75" customHeight="1">
      <c r="A2" s="3">
        <v>7</v>
      </c>
      <c r="B2" s="49" t="s">
        <v>73</v>
      </c>
      <c r="C2" s="48" t="s">
        <v>74</v>
      </c>
      <c r="D2" s="5" t="s">
        <v>0</v>
      </c>
      <c r="E2" s="6"/>
      <c r="G2" s="1"/>
      <c r="M2" s="1"/>
      <c r="S2" s="1"/>
    </row>
    <row r="3" spans="1:23" ht="15.75" customHeight="1">
      <c r="A3" s="1"/>
      <c r="G3" s="1"/>
      <c r="M3" s="1"/>
      <c r="S3" s="1"/>
    </row>
    <row r="4" spans="1:23" ht="15.75" customHeight="1">
      <c r="A4" s="61" t="s">
        <v>21</v>
      </c>
      <c r="B4" s="68"/>
      <c r="C4" s="68"/>
      <c r="D4" s="68"/>
      <c r="E4" s="62" t="s">
        <v>23</v>
      </c>
      <c r="G4" s="61" t="s">
        <v>71</v>
      </c>
      <c r="H4" s="68"/>
      <c r="I4" s="68"/>
      <c r="J4" s="68"/>
      <c r="K4" s="68"/>
      <c r="M4" s="61" t="s">
        <v>32</v>
      </c>
      <c r="N4" s="68"/>
      <c r="O4" s="68"/>
      <c r="P4" s="68"/>
      <c r="Q4" s="68"/>
      <c r="R4" s="68"/>
      <c r="S4" s="61" t="s">
        <v>33</v>
      </c>
      <c r="T4" s="68"/>
      <c r="U4" s="68"/>
      <c r="V4" s="68"/>
      <c r="W4" s="68"/>
    </row>
    <row r="5" spans="1:23" ht="15.75" customHeight="1">
      <c r="A5" s="7"/>
      <c r="B5" s="50" t="s">
        <v>22</v>
      </c>
      <c r="C5" s="7" t="s">
        <v>1</v>
      </c>
      <c r="D5" s="7" t="s">
        <v>2</v>
      </c>
      <c r="E5" s="7" t="s">
        <v>3</v>
      </c>
      <c r="G5" s="7"/>
      <c r="H5" s="50" t="s">
        <v>69</v>
      </c>
      <c r="I5" s="50" t="s">
        <v>70</v>
      </c>
      <c r="J5" s="50" t="s">
        <v>67</v>
      </c>
      <c r="K5" s="7" t="s">
        <v>3</v>
      </c>
      <c r="L5" s="63" t="s">
        <v>60</v>
      </c>
      <c r="M5" s="7"/>
      <c r="N5" s="50" t="s">
        <v>22</v>
      </c>
      <c r="O5" s="50" t="s">
        <v>66</v>
      </c>
      <c r="P5" s="50" t="s">
        <v>67</v>
      </c>
      <c r="Q5" s="50" t="s">
        <v>68</v>
      </c>
      <c r="R5" s="68"/>
      <c r="S5" s="7"/>
      <c r="T5" s="50" t="s">
        <v>22</v>
      </c>
      <c r="U5" s="50" t="s">
        <v>66</v>
      </c>
      <c r="V5" s="50" t="s">
        <v>67</v>
      </c>
      <c r="W5" s="50" t="s">
        <v>68</v>
      </c>
    </row>
    <row r="6" spans="1:23" ht="15.75" customHeight="1">
      <c r="A6" s="50" t="s">
        <v>24</v>
      </c>
      <c r="B6" s="9">
        <v>500000</v>
      </c>
      <c r="C6" s="9">
        <v>510000</v>
      </c>
      <c r="D6" s="10">
        <f t="shared" ref="D6:D11" si="0">B6-C6</f>
        <v>-10000</v>
      </c>
      <c r="E6" s="9">
        <f>B6+C6</f>
        <v>1010000</v>
      </c>
      <c r="G6" s="50" t="s">
        <v>30</v>
      </c>
      <c r="H6" s="11">
        <v>110</v>
      </c>
      <c r="I6" s="11">
        <v>100</v>
      </c>
      <c r="J6" s="11">
        <v>90</v>
      </c>
      <c r="K6" s="12"/>
      <c r="L6" s="63" t="s">
        <v>61</v>
      </c>
      <c r="M6" s="50" t="s">
        <v>34</v>
      </c>
      <c r="N6" s="9">
        <v>150000</v>
      </c>
      <c r="O6" s="13">
        <f t="shared" ref="O6:O13" si="1">IFERROR(N6/$B$6,"")</f>
        <v>0.3</v>
      </c>
      <c r="P6" s="14">
        <v>0.4</v>
      </c>
      <c r="Q6" s="13">
        <f t="shared" ref="Q6:Q13" si="2">IFERROR(O6-P6,"")</f>
        <v>-0.10000000000000003</v>
      </c>
      <c r="S6" s="50" t="s">
        <v>34</v>
      </c>
      <c r="T6" s="9">
        <v>35000</v>
      </c>
      <c r="U6" s="13">
        <f t="shared" ref="U6:U13" si="3">IFERROR(T6/$B$7,"")</f>
        <v>0.35</v>
      </c>
      <c r="V6" s="14">
        <v>0.3</v>
      </c>
      <c r="W6" s="13">
        <f t="shared" ref="W6:W13" si="4">IFERROR(U6-V6,"")</f>
        <v>4.9999999999999989E-2</v>
      </c>
    </row>
    <row r="7" spans="1:23" ht="15.75" customHeight="1">
      <c r="A7" s="50" t="s">
        <v>25</v>
      </c>
      <c r="B7" s="9">
        <v>100000</v>
      </c>
      <c r="C7" s="9">
        <v>110000</v>
      </c>
      <c r="D7" s="10">
        <f t="shared" si="0"/>
        <v>-10000</v>
      </c>
      <c r="E7" s="9">
        <f>B7+C7</f>
        <v>210000</v>
      </c>
      <c r="G7" s="54" t="s">
        <v>31</v>
      </c>
      <c r="H7" s="14">
        <v>0.8</v>
      </c>
      <c r="I7" s="14">
        <v>0.85</v>
      </c>
      <c r="J7" s="14">
        <v>0.81</v>
      </c>
      <c r="K7" s="14">
        <v>0.84</v>
      </c>
      <c r="L7" s="67" t="s">
        <v>4</v>
      </c>
      <c r="M7" s="50" t="s">
        <v>35</v>
      </c>
      <c r="N7" s="9">
        <v>100000</v>
      </c>
      <c r="O7" s="13">
        <f t="shared" si="1"/>
        <v>0.2</v>
      </c>
      <c r="P7" s="14">
        <v>0.15</v>
      </c>
      <c r="Q7" s="13">
        <f t="shared" si="2"/>
        <v>5.0000000000000017E-2</v>
      </c>
      <c r="S7" s="50" t="s">
        <v>35</v>
      </c>
      <c r="T7" s="9">
        <v>30000</v>
      </c>
      <c r="U7" s="13">
        <f t="shared" si="3"/>
        <v>0.3</v>
      </c>
      <c r="V7" s="14">
        <v>0.15</v>
      </c>
      <c r="W7" s="13">
        <f t="shared" si="4"/>
        <v>0.15</v>
      </c>
    </row>
    <row r="8" spans="1:23" ht="15.75" customHeight="1">
      <c r="A8" s="7" t="s">
        <v>5</v>
      </c>
      <c r="B8" s="9">
        <v>250000</v>
      </c>
      <c r="C8" s="9">
        <v>260000</v>
      </c>
      <c r="D8" s="10">
        <f t="shared" si="0"/>
        <v>-10000</v>
      </c>
      <c r="E8" s="9">
        <f>B8+C8</f>
        <v>510000</v>
      </c>
      <c r="G8" s="50" t="s">
        <v>26</v>
      </c>
      <c r="H8" s="14">
        <v>2.5000000000000001E-3</v>
      </c>
      <c r="I8" s="14">
        <v>2.3999999999999998E-3</v>
      </c>
      <c r="J8" s="14">
        <v>2.3E-3</v>
      </c>
      <c r="K8" s="14">
        <v>2.3500000000000001E-3</v>
      </c>
      <c r="L8" s="63" t="s">
        <v>55</v>
      </c>
      <c r="M8" s="50" t="s">
        <v>36</v>
      </c>
      <c r="N8" s="9">
        <v>160000</v>
      </c>
      <c r="O8" s="13">
        <f t="shared" si="1"/>
        <v>0.32</v>
      </c>
      <c r="P8" s="14">
        <v>0.28000000000000003</v>
      </c>
      <c r="Q8" s="13">
        <f t="shared" si="2"/>
        <v>3.999999999999998E-2</v>
      </c>
      <c r="S8" s="50" t="s">
        <v>36</v>
      </c>
      <c r="T8" s="9">
        <v>20000</v>
      </c>
      <c r="U8" s="13">
        <f t="shared" si="3"/>
        <v>0.2</v>
      </c>
      <c r="V8" s="14">
        <v>0.28000000000000003</v>
      </c>
      <c r="W8" s="13">
        <f t="shared" si="4"/>
        <v>-8.0000000000000016E-2</v>
      </c>
    </row>
    <row r="9" spans="1:23" ht="15.75" customHeight="1">
      <c r="A9" s="7" t="s">
        <v>6</v>
      </c>
      <c r="B9" s="14">
        <f>B8/B6</f>
        <v>0.5</v>
      </c>
      <c r="C9" s="14">
        <f>C8/C6</f>
        <v>0.50980392156862742</v>
      </c>
      <c r="D9" s="13">
        <f t="shared" si="0"/>
        <v>-9.8039215686274161E-3</v>
      </c>
      <c r="E9" s="14">
        <f>(B9+C9)/2</f>
        <v>0.50490196078431371</v>
      </c>
      <c r="G9" s="50" t="s">
        <v>27</v>
      </c>
      <c r="H9" s="14">
        <v>6.0000000000000001E-3</v>
      </c>
      <c r="I9" s="14">
        <v>8.9999999999999993E-3</v>
      </c>
      <c r="J9" s="14">
        <v>9.4999999999999998E-3</v>
      </c>
      <c r="K9" s="14">
        <v>9.1999999999999998E-3</v>
      </c>
      <c r="L9" s="63" t="s">
        <v>104</v>
      </c>
      <c r="M9" s="50" t="s">
        <v>44</v>
      </c>
      <c r="N9" s="9">
        <v>90000</v>
      </c>
      <c r="O9" s="13">
        <f t="shared" si="1"/>
        <v>0.18</v>
      </c>
      <c r="P9" s="14">
        <v>0.17</v>
      </c>
      <c r="Q9" s="13">
        <f t="shared" si="2"/>
        <v>9.9999999999999811E-3</v>
      </c>
      <c r="S9" s="50" t="s">
        <v>44</v>
      </c>
      <c r="T9" s="9">
        <v>15000</v>
      </c>
      <c r="U9" s="13">
        <f t="shared" si="3"/>
        <v>0.15</v>
      </c>
      <c r="V9" s="14">
        <v>0.27</v>
      </c>
      <c r="W9" s="13">
        <f t="shared" si="4"/>
        <v>-0.12000000000000002</v>
      </c>
    </row>
    <row r="10" spans="1:23" ht="15.75" customHeight="1">
      <c r="A10" s="50" t="s">
        <v>64</v>
      </c>
      <c r="B10" s="9">
        <v>100000</v>
      </c>
      <c r="C10" s="9">
        <v>105000</v>
      </c>
      <c r="D10" s="10">
        <f t="shared" si="0"/>
        <v>-5000</v>
      </c>
      <c r="E10" s="9">
        <f>B10+C10</f>
        <v>205000</v>
      </c>
      <c r="G10" s="50" t="s">
        <v>28</v>
      </c>
      <c r="H10" s="14">
        <v>0.95</v>
      </c>
      <c r="I10" s="14">
        <v>0.9</v>
      </c>
      <c r="J10" s="14">
        <v>0.92</v>
      </c>
      <c r="K10" s="14">
        <v>0.91</v>
      </c>
      <c r="L10" s="67" t="s">
        <v>7</v>
      </c>
      <c r="M10" s="50" t="s">
        <v>37</v>
      </c>
      <c r="N10" s="9" t="s">
        <v>8</v>
      </c>
      <c r="O10" s="13" t="str">
        <f t="shared" si="1"/>
        <v/>
      </c>
      <c r="P10" s="4" t="s">
        <v>9</v>
      </c>
      <c r="Q10" s="13" t="str">
        <f t="shared" si="2"/>
        <v/>
      </c>
      <c r="S10" s="50" t="s">
        <v>37</v>
      </c>
      <c r="T10" s="9" t="s">
        <v>8</v>
      </c>
      <c r="U10" s="13" t="str">
        <f t="shared" si="3"/>
        <v/>
      </c>
      <c r="V10" s="4" t="s">
        <v>9</v>
      </c>
      <c r="W10" s="13" t="str">
        <f t="shared" si="4"/>
        <v/>
      </c>
    </row>
    <row r="11" spans="1:23" ht="15.75" customHeight="1">
      <c r="A11" s="50" t="s">
        <v>65</v>
      </c>
      <c r="B11" s="14">
        <f>B10/B6</f>
        <v>0.2</v>
      </c>
      <c r="C11" s="14">
        <f>C10/C6</f>
        <v>0.20588235294117646</v>
      </c>
      <c r="D11" s="13">
        <f t="shared" si="0"/>
        <v>-5.8823529411764497E-3</v>
      </c>
      <c r="E11" s="14">
        <f>(B11+C11)/2</f>
        <v>0.20294117647058824</v>
      </c>
      <c r="G11" s="50" t="s">
        <v>29</v>
      </c>
      <c r="H11" s="14">
        <v>0.8</v>
      </c>
      <c r="I11" s="14">
        <v>0.85</v>
      </c>
      <c r="J11" s="14">
        <v>1</v>
      </c>
      <c r="K11" s="14">
        <v>0.92</v>
      </c>
      <c r="L11" s="63" t="s">
        <v>62</v>
      </c>
      <c r="M11" s="50" t="s">
        <v>38</v>
      </c>
      <c r="N11" s="9" t="s">
        <v>8</v>
      </c>
      <c r="O11" s="13" t="str">
        <f t="shared" si="1"/>
        <v/>
      </c>
      <c r="P11" s="4" t="s">
        <v>9</v>
      </c>
      <c r="Q11" s="13" t="str">
        <f t="shared" si="2"/>
        <v/>
      </c>
      <c r="S11" s="50" t="s">
        <v>38</v>
      </c>
      <c r="T11" s="9" t="s">
        <v>8</v>
      </c>
      <c r="U11" s="13" t="str">
        <f t="shared" si="3"/>
        <v/>
      </c>
      <c r="V11" s="4" t="s">
        <v>9</v>
      </c>
      <c r="W11" s="13" t="str">
        <f t="shared" si="4"/>
        <v/>
      </c>
    </row>
    <row r="12" spans="1:23" ht="15.75" customHeight="1">
      <c r="M12" s="50" t="s">
        <v>39</v>
      </c>
      <c r="N12" s="9" t="s">
        <v>8</v>
      </c>
      <c r="O12" s="13" t="str">
        <f t="shared" si="1"/>
        <v/>
      </c>
      <c r="P12" s="4" t="s">
        <v>9</v>
      </c>
      <c r="Q12" s="13" t="str">
        <f t="shared" si="2"/>
        <v/>
      </c>
      <c r="S12" s="50" t="s">
        <v>39</v>
      </c>
      <c r="T12" s="9" t="s">
        <v>8</v>
      </c>
      <c r="U12" s="13" t="str">
        <f t="shared" si="3"/>
        <v/>
      </c>
      <c r="V12" s="4" t="s">
        <v>9</v>
      </c>
      <c r="W12" s="13" t="str">
        <f t="shared" si="4"/>
        <v/>
      </c>
    </row>
    <row r="13" spans="1:23" ht="15.75" customHeight="1">
      <c r="A13" s="61" t="s">
        <v>63</v>
      </c>
      <c r="B13" s="68"/>
      <c r="C13" s="68"/>
      <c r="D13" s="68"/>
      <c r="E13" s="68"/>
      <c r="F13" s="68"/>
      <c r="G13" s="47"/>
      <c r="H13" s="47"/>
      <c r="I13" s="47"/>
      <c r="J13" s="47"/>
      <c r="K13" s="47"/>
      <c r="M13" s="50" t="s">
        <v>40</v>
      </c>
      <c r="N13" s="9" t="s">
        <v>8</v>
      </c>
      <c r="O13" s="13" t="str">
        <f t="shared" si="1"/>
        <v/>
      </c>
      <c r="P13" s="4" t="s">
        <v>9</v>
      </c>
      <c r="Q13" s="13" t="str">
        <f t="shared" si="2"/>
        <v/>
      </c>
      <c r="S13" s="50" t="s">
        <v>40</v>
      </c>
      <c r="T13" s="9" t="s">
        <v>8</v>
      </c>
      <c r="U13" s="13" t="str">
        <f t="shared" si="3"/>
        <v/>
      </c>
      <c r="V13" s="4" t="s">
        <v>9</v>
      </c>
      <c r="W13" s="13" t="str">
        <f t="shared" si="4"/>
        <v/>
      </c>
    </row>
    <row r="14" spans="1:23" ht="12.75">
      <c r="A14" s="7"/>
      <c r="B14" s="50" t="s">
        <v>22</v>
      </c>
      <c r="C14" s="7" t="s">
        <v>1</v>
      </c>
      <c r="D14" s="7" t="s">
        <v>2</v>
      </c>
      <c r="E14" s="7" t="s">
        <v>3</v>
      </c>
      <c r="F14" s="68"/>
      <c r="G14" s="7"/>
      <c r="H14" s="50" t="s">
        <v>22</v>
      </c>
      <c r="I14" s="7" t="s">
        <v>1</v>
      </c>
      <c r="J14" s="7" t="s">
        <v>2</v>
      </c>
      <c r="K14" s="7" t="s">
        <v>3</v>
      </c>
      <c r="O14" s="15">
        <f>SUM(O6:O13)</f>
        <v>1</v>
      </c>
      <c r="P14" s="15">
        <f>SUM(P6:P13)</f>
        <v>1</v>
      </c>
      <c r="U14" s="15">
        <f>SUM(U6:U13)</f>
        <v>0.99999999999999989</v>
      </c>
      <c r="V14" s="15">
        <f>SUM(V6:V13)</f>
        <v>1</v>
      </c>
    </row>
    <row r="15" spans="1:23" ht="15.75" customHeight="1">
      <c r="A15" s="50" t="s">
        <v>34</v>
      </c>
      <c r="B15" s="4">
        <v>600</v>
      </c>
      <c r="C15" s="4">
        <v>660</v>
      </c>
      <c r="D15" s="16">
        <f>B15-C15</f>
        <v>-60</v>
      </c>
      <c r="E15" s="17">
        <f>(B15+C15)/2</f>
        <v>630</v>
      </c>
      <c r="G15" s="50" t="s">
        <v>37</v>
      </c>
      <c r="H15" s="4"/>
      <c r="I15" s="4"/>
      <c r="J15" s="16">
        <f>H15-I15</f>
        <v>0</v>
      </c>
      <c r="K15" s="17"/>
      <c r="M15" s="61" t="s">
        <v>72</v>
      </c>
      <c r="N15" s="68"/>
      <c r="O15" s="68"/>
      <c r="P15" s="68"/>
      <c r="Q15" s="68"/>
      <c r="R15" s="68"/>
      <c r="S15" s="68"/>
    </row>
    <row r="16" spans="1:23" ht="15.75" customHeight="1">
      <c r="A16" s="50" t="s">
        <v>35</v>
      </c>
      <c r="B16" s="4">
        <v>800</v>
      </c>
      <c r="C16" s="4">
        <v>780</v>
      </c>
      <c r="D16" s="16">
        <f>B16-C16</f>
        <v>20</v>
      </c>
      <c r="E16" s="17">
        <f>(B16+C16)/2</f>
        <v>790</v>
      </c>
      <c r="G16" s="50" t="s">
        <v>38</v>
      </c>
      <c r="H16" s="4"/>
      <c r="I16" s="4"/>
      <c r="J16" s="16">
        <f>H16-I16</f>
        <v>0</v>
      </c>
      <c r="K16" s="17"/>
      <c r="M16" s="18"/>
      <c r="N16" s="46" t="s">
        <v>10</v>
      </c>
      <c r="O16" s="19"/>
      <c r="P16" s="59" t="s">
        <v>42</v>
      </c>
      <c r="Q16" s="19"/>
      <c r="R16" s="52" t="s">
        <v>43</v>
      </c>
      <c r="S16" s="19"/>
    </row>
    <row r="17" spans="1:27" ht="15.75" customHeight="1">
      <c r="A17" s="50" t="s">
        <v>36</v>
      </c>
      <c r="B17" s="4">
        <v>130</v>
      </c>
      <c r="C17" s="4">
        <v>111</v>
      </c>
      <c r="D17" s="16">
        <f>B17-C17</f>
        <v>19</v>
      </c>
      <c r="E17" s="17">
        <f>(B17+C17)/2</f>
        <v>120.5</v>
      </c>
      <c r="G17" s="50" t="s">
        <v>39</v>
      </c>
      <c r="H17" s="4"/>
      <c r="I17" s="4"/>
      <c r="J17" s="16">
        <f>H17-I17</f>
        <v>0</v>
      </c>
      <c r="K17" s="17"/>
      <c r="M17" s="20"/>
      <c r="N17" s="21" t="s">
        <v>11</v>
      </c>
      <c r="O17" s="51" t="s">
        <v>41</v>
      </c>
      <c r="P17" s="8" t="s">
        <v>11</v>
      </c>
      <c r="Q17" s="51" t="s">
        <v>41</v>
      </c>
      <c r="R17" s="8" t="s">
        <v>11</v>
      </c>
      <c r="S17" s="51" t="s">
        <v>41</v>
      </c>
    </row>
    <row r="18" spans="1:27" ht="15.75" customHeight="1">
      <c r="A18" s="50" t="s">
        <v>44</v>
      </c>
      <c r="B18" s="4">
        <v>140</v>
      </c>
      <c r="C18" s="4">
        <v>165</v>
      </c>
      <c r="D18" s="16">
        <f>B18-C18</f>
        <v>-25</v>
      </c>
      <c r="E18" s="17">
        <f>(B18+C18)/2</f>
        <v>152.5</v>
      </c>
      <c r="G18" s="50" t="s">
        <v>40</v>
      </c>
      <c r="H18" s="4"/>
      <c r="I18" s="4"/>
      <c r="J18" s="16">
        <f>H18-I18</f>
        <v>0</v>
      </c>
      <c r="K18" s="17"/>
      <c r="M18" s="50" t="s">
        <v>26</v>
      </c>
      <c r="N18" s="9">
        <v>1200</v>
      </c>
      <c r="O18" s="13">
        <f>N18/$B$6</f>
        <v>2.3999999999999998E-3</v>
      </c>
      <c r="P18" s="9">
        <v>900</v>
      </c>
      <c r="Q18" s="13">
        <f>IFERROR(P18/$B$6,"")</f>
        <v>1.8E-3</v>
      </c>
      <c r="R18" s="9">
        <v>300</v>
      </c>
      <c r="S18" s="13">
        <f>IFERROR(R18/$B$6,"")</f>
        <v>5.9999999999999995E-4</v>
      </c>
    </row>
    <row r="19" spans="1:27" ht="15.75" customHeight="1">
      <c r="M19" s="50" t="s">
        <v>27</v>
      </c>
      <c r="N19" s="9">
        <v>4500</v>
      </c>
      <c r="O19" s="13">
        <f>N19/$B$6</f>
        <v>8.9999999999999993E-3</v>
      </c>
      <c r="P19" s="9">
        <v>3500</v>
      </c>
      <c r="Q19" s="13">
        <f>IFERROR(P19/$B$6,"")</f>
        <v>7.0000000000000001E-3</v>
      </c>
      <c r="R19" s="9">
        <v>1000</v>
      </c>
      <c r="S19" s="13">
        <f>IFERROR(R19/$B$6,"")</f>
        <v>2E-3</v>
      </c>
    </row>
    <row r="20" spans="1:27" ht="15.75" customHeight="1">
      <c r="A20" s="61" t="s">
        <v>45</v>
      </c>
      <c r="B20" s="68"/>
      <c r="C20" s="64"/>
      <c r="D20" s="68"/>
      <c r="E20" s="68"/>
      <c r="F20" s="64"/>
      <c r="G20" s="64"/>
      <c r="H20" s="64"/>
      <c r="I20" s="64"/>
      <c r="J20" s="68"/>
      <c r="K20" s="68"/>
    </row>
    <row r="21" spans="1:27" ht="15.75" customHeight="1">
      <c r="A21" s="18"/>
      <c r="B21" s="50" t="s">
        <v>47</v>
      </c>
      <c r="C21" s="580" t="s">
        <v>12</v>
      </c>
      <c r="D21" s="578"/>
      <c r="E21" s="579"/>
      <c r="F21" s="50" t="s">
        <v>46</v>
      </c>
      <c r="G21" s="50" t="s">
        <v>48</v>
      </c>
      <c r="H21" s="50" t="s">
        <v>49</v>
      </c>
      <c r="I21" s="8" t="s">
        <v>13</v>
      </c>
      <c r="J21" s="593" t="s">
        <v>51</v>
      </c>
      <c r="K21" s="579"/>
      <c r="M21" s="61" t="s">
        <v>52</v>
      </c>
      <c r="N21" s="68"/>
      <c r="O21" s="64"/>
      <c r="P21" s="68"/>
      <c r="Q21" s="68"/>
      <c r="R21" s="64"/>
      <c r="S21" s="64"/>
      <c r="T21" s="64"/>
      <c r="U21" s="64"/>
      <c r="V21" s="64"/>
      <c r="W21" s="64"/>
      <c r="X21" s="64"/>
      <c r="Y21" s="64"/>
      <c r="Z21" s="68"/>
      <c r="AA21" s="68"/>
    </row>
    <row r="22" spans="1:27" ht="15.75" customHeight="1">
      <c r="A22" s="53" t="s">
        <v>34</v>
      </c>
      <c r="B22" s="6">
        <v>1</v>
      </c>
      <c r="C22" s="582" t="s">
        <v>14</v>
      </c>
      <c r="D22" s="578"/>
      <c r="E22" s="579"/>
      <c r="F22" s="4">
        <v>3</v>
      </c>
      <c r="G22" s="4">
        <v>3000</v>
      </c>
      <c r="H22" s="4">
        <v>1000</v>
      </c>
      <c r="I22" s="4">
        <v>10</v>
      </c>
      <c r="J22" s="581" t="s">
        <v>76</v>
      </c>
      <c r="K22" s="579"/>
      <c r="M22" s="53" t="s">
        <v>26</v>
      </c>
      <c r="N22" s="58" t="s">
        <v>47</v>
      </c>
      <c r="O22" s="588" t="s">
        <v>12</v>
      </c>
      <c r="P22" s="578"/>
      <c r="Q22" s="579"/>
      <c r="R22" s="594" t="s">
        <v>53</v>
      </c>
      <c r="S22" s="578"/>
      <c r="T22" s="579"/>
      <c r="U22" s="58" t="s">
        <v>54</v>
      </c>
      <c r="V22" s="58" t="s">
        <v>55</v>
      </c>
      <c r="W22" s="58" t="s">
        <v>56</v>
      </c>
      <c r="X22" s="8" t="s">
        <v>11</v>
      </c>
      <c r="Y22" s="8" t="s">
        <v>13</v>
      </c>
      <c r="Z22" s="593" t="s">
        <v>51</v>
      </c>
      <c r="AA22" s="579"/>
    </row>
    <row r="23" spans="1:27" ht="15.75" customHeight="1">
      <c r="A23" s="23"/>
      <c r="B23" s="6">
        <v>2</v>
      </c>
      <c r="C23" s="577"/>
      <c r="D23" s="578"/>
      <c r="E23" s="579"/>
      <c r="F23" s="4"/>
      <c r="G23" s="4"/>
      <c r="H23" s="4"/>
      <c r="I23" s="4"/>
      <c r="J23" s="577"/>
      <c r="K23" s="579"/>
      <c r="M23" s="57" t="s">
        <v>42</v>
      </c>
      <c r="N23" s="24">
        <v>1</v>
      </c>
      <c r="O23" s="581" t="s">
        <v>82</v>
      </c>
      <c r="P23" s="578"/>
      <c r="Q23" s="579"/>
      <c r="R23" s="581" t="s">
        <v>85</v>
      </c>
      <c r="S23" s="578"/>
      <c r="T23" s="579"/>
      <c r="U23" s="4">
        <v>10</v>
      </c>
      <c r="V23" s="14">
        <v>0.15</v>
      </c>
      <c r="W23" s="4">
        <v>10</v>
      </c>
      <c r="X23" s="16">
        <f>W23*U23</f>
        <v>100</v>
      </c>
      <c r="Y23" s="4">
        <v>80</v>
      </c>
      <c r="Z23" s="581" t="s">
        <v>86</v>
      </c>
      <c r="AA23" s="579"/>
    </row>
    <row r="24" spans="1:27" ht="15.75" customHeight="1">
      <c r="A24" s="23"/>
      <c r="B24" s="6">
        <v>3</v>
      </c>
      <c r="C24" s="577"/>
      <c r="D24" s="578"/>
      <c r="E24" s="579"/>
      <c r="F24" s="4"/>
      <c r="G24" s="4"/>
      <c r="H24" s="4"/>
      <c r="I24" s="4"/>
      <c r="J24" s="577"/>
      <c r="K24" s="579"/>
      <c r="M24" s="25"/>
      <c r="N24" s="24">
        <v>2</v>
      </c>
      <c r="O24" s="582"/>
      <c r="P24" s="578"/>
      <c r="Q24" s="579"/>
      <c r="R24" s="582"/>
      <c r="S24" s="578"/>
      <c r="T24" s="579"/>
      <c r="U24" s="4"/>
      <c r="V24" s="14"/>
      <c r="W24" s="4"/>
      <c r="X24" s="16">
        <f>W24*U24</f>
        <v>0</v>
      </c>
      <c r="Y24" s="4"/>
      <c r="Z24" s="582"/>
      <c r="AA24" s="579"/>
    </row>
    <row r="25" spans="1:27" ht="15.75" customHeight="1">
      <c r="A25" s="23"/>
      <c r="B25" s="6">
        <v>4</v>
      </c>
      <c r="C25" s="577"/>
      <c r="D25" s="578"/>
      <c r="E25" s="579"/>
      <c r="F25" s="4"/>
      <c r="G25" s="4"/>
      <c r="H25" s="4"/>
      <c r="I25" s="4"/>
      <c r="J25" s="577"/>
      <c r="K25" s="579"/>
      <c r="M25" s="25"/>
      <c r="N25" s="24">
        <v>3</v>
      </c>
      <c r="O25" s="582"/>
      <c r="P25" s="578"/>
      <c r="Q25" s="579"/>
      <c r="R25" s="582"/>
      <c r="S25" s="578"/>
      <c r="T25" s="579"/>
      <c r="U25" s="4"/>
      <c r="V25" s="14"/>
      <c r="W25" s="4"/>
      <c r="X25" s="16">
        <f>W25*U25</f>
        <v>0</v>
      </c>
      <c r="Y25" s="4"/>
      <c r="Z25" s="582"/>
      <c r="AA25" s="579"/>
    </row>
    <row r="26" spans="1:27" ht="15.75" customHeight="1">
      <c r="A26" s="23"/>
      <c r="B26" s="26">
        <v>5</v>
      </c>
      <c r="C26" s="591"/>
      <c r="D26" s="587"/>
      <c r="E26" s="584"/>
      <c r="F26" s="27"/>
      <c r="G26" s="27"/>
      <c r="H26" s="27"/>
      <c r="I26" s="27"/>
      <c r="J26" s="591"/>
      <c r="K26" s="584"/>
      <c r="M26" s="25"/>
      <c r="N26" s="24">
        <v>4</v>
      </c>
      <c r="O26" s="582"/>
      <c r="P26" s="578"/>
      <c r="Q26" s="579"/>
      <c r="R26" s="582"/>
      <c r="S26" s="578"/>
      <c r="T26" s="579"/>
      <c r="U26" s="4"/>
      <c r="V26" s="14"/>
      <c r="W26" s="4"/>
      <c r="X26" s="16">
        <f>W26*U26</f>
        <v>0</v>
      </c>
      <c r="Y26" s="4"/>
      <c r="Z26" s="582"/>
      <c r="AA26" s="579"/>
    </row>
    <row r="27" spans="1:27" ht="15.75" customHeight="1">
      <c r="A27" s="23"/>
      <c r="B27" s="70" t="s">
        <v>101</v>
      </c>
      <c r="C27" s="585" t="s">
        <v>75</v>
      </c>
      <c r="D27" s="592"/>
      <c r="E27" s="586"/>
      <c r="F27" s="28">
        <v>4</v>
      </c>
      <c r="G27" s="28">
        <v>2800</v>
      </c>
      <c r="H27" s="28">
        <v>700</v>
      </c>
      <c r="I27" s="28" t="s">
        <v>15</v>
      </c>
      <c r="J27" s="585" t="s">
        <v>77</v>
      </c>
      <c r="K27" s="586"/>
      <c r="M27" s="25"/>
      <c r="N27" s="29">
        <v>5</v>
      </c>
      <c r="O27" s="583"/>
      <c r="P27" s="587"/>
      <c r="Q27" s="584"/>
      <c r="R27" s="583"/>
      <c r="S27" s="587"/>
      <c r="T27" s="584"/>
      <c r="U27" s="27"/>
      <c r="V27" s="30"/>
      <c r="W27" s="27"/>
      <c r="X27" s="31">
        <f>W27*U27</f>
        <v>0</v>
      </c>
      <c r="Y27" s="4"/>
      <c r="Z27" s="583"/>
      <c r="AA27" s="584"/>
    </row>
    <row r="28" spans="1:27" ht="15.75" customHeight="1">
      <c r="A28" s="23"/>
      <c r="B28" s="71" t="s">
        <v>102</v>
      </c>
      <c r="C28" s="577"/>
      <c r="D28" s="578"/>
      <c r="E28" s="579"/>
      <c r="F28" s="4"/>
      <c r="G28" s="4"/>
      <c r="H28" s="4"/>
      <c r="I28" s="4"/>
      <c r="J28" s="577"/>
      <c r="K28" s="579"/>
      <c r="M28" s="32"/>
      <c r="N28" s="56"/>
      <c r="O28" s="589"/>
      <c r="P28" s="578"/>
      <c r="Q28" s="578"/>
      <c r="R28" s="589"/>
      <c r="S28" s="578"/>
      <c r="T28" s="578"/>
      <c r="U28" s="60" t="s">
        <v>58</v>
      </c>
      <c r="V28" s="33">
        <f>X28/N18</f>
        <v>8.3333333333333329E-2</v>
      </c>
      <c r="W28" s="60" t="s">
        <v>59</v>
      </c>
      <c r="X28" s="34">
        <f>SUM(X23:X27)</f>
        <v>100</v>
      </c>
      <c r="Y28" s="45"/>
      <c r="Z28" s="589"/>
      <c r="AA28" s="579"/>
    </row>
    <row r="29" spans="1:27" ht="15.75" customHeight="1">
      <c r="A29" s="23"/>
      <c r="B29" s="71" t="s">
        <v>100</v>
      </c>
      <c r="C29" s="577"/>
      <c r="D29" s="578"/>
      <c r="E29" s="579"/>
      <c r="F29" s="4"/>
      <c r="G29" s="4"/>
      <c r="H29" s="4"/>
      <c r="I29" s="4"/>
      <c r="J29" s="577"/>
      <c r="K29" s="579"/>
      <c r="M29" s="57" t="s">
        <v>43</v>
      </c>
      <c r="N29" s="24">
        <v>1</v>
      </c>
      <c r="O29" s="602" t="s">
        <v>16</v>
      </c>
      <c r="P29" s="598"/>
      <c r="Q29" s="599"/>
      <c r="R29" s="597" t="s">
        <v>87</v>
      </c>
      <c r="S29" s="598"/>
      <c r="T29" s="599"/>
      <c r="U29" s="35">
        <v>5.55</v>
      </c>
      <c r="V29" s="36">
        <v>0.21</v>
      </c>
      <c r="W29" s="35">
        <v>50</v>
      </c>
      <c r="X29" s="37">
        <f>W29*U29</f>
        <v>277.5</v>
      </c>
      <c r="Y29" s="4">
        <v>35</v>
      </c>
      <c r="Z29" s="597" t="s">
        <v>88</v>
      </c>
      <c r="AA29" s="599"/>
    </row>
    <row r="30" spans="1:27" ht="15.75" customHeight="1">
      <c r="A30" s="23"/>
      <c r="B30" s="71" t="s">
        <v>99</v>
      </c>
      <c r="C30" s="577"/>
      <c r="D30" s="578"/>
      <c r="E30" s="579"/>
      <c r="F30" s="4"/>
      <c r="G30" s="4"/>
      <c r="H30" s="4"/>
      <c r="I30" s="4"/>
      <c r="J30" s="577"/>
      <c r="K30" s="579"/>
      <c r="M30" s="25"/>
      <c r="N30" s="24">
        <v>2</v>
      </c>
      <c r="O30" s="582"/>
      <c r="P30" s="578"/>
      <c r="Q30" s="579"/>
      <c r="R30" s="582"/>
      <c r="S30" s="578"/>
      <c r="T30" s="579"/>
      <c r="U30" s="4"/>
      <c r="V30" s="14"/>
      <c r="W30" s="4"/>
      <c r="X30" s="16">
        <f>W30*U30</f>
        <v>0</v>
      </c>
      <c r="Y30" s="4"/>
      <c r="Z30" s="582"/>
      <c r="AA30" s="579"/>
    </row>
    <row r="31" spans="1:27" ht="15.75" customHeight="1">
      <c r="A31" s="20"/>
      <c r="B31" s="71" t="s">
        <v>103</v>
      </c>
      <c r="C31" s="577"/>
      <c r="D31" s="578"/>
      <c r="E31" s="579"/>
      <c r="F31" s="4"/>
      <c r="G31" s="4"/>
      <c r="H31" s="4"/>
      <c r="I31" s="4"/>
      <c r="J31" s="577"/>
      <c r="K31" s="579"/>
      <c r="M31" s="25"/>
      <c r="N31" s="24">
        <v>3</v>
      </c>
      <c r="O31" s="582"/>
      <c r="P31" s="578"/>
      <c r="Q31" s="579"/>
      <c r="R31" s="582"/>
      <c r="S31" s="578"/>
      <c r="T31" s="579"/>
      <c r="U31" s="4"/>
      <c r="V31" s="14"/>
      <c r="W31" s="4"/>
      <c r="X31" s="16">
        <f>W31*U31</f>
        <v>0</v>
      </c>
      <c r="Y31" s="4"/>
      <c r="Z31" s="582"/>
      <c r="AA31" s="579"/>
    </row>
    <row r="32" spans="1:27" ht="15.75" customHeight="1">
      <c r="A32" s="68"/>
      <c r="M32" s="25"/>
      <c r="N32" s="24">
        <v>4</v>
      </c>
      <c r="O32" s="582"/>
      <c r="P32" s="578"/>
      <c r="Q32" s="579"/>
      <c r="R32" s="582"/>
      <c r="S32" s="578"/>
      <c r="T32" s="579"/>
      <c r="U32" s="4"/>
      <c r="V32" s="14"/>
      <c r="W32" s="4"/>
      <c r="X32" s="16">
        <f>W32*U32</f>
        <v>0</v>
      </c>
      <c r="Y32" s="4"/>
      <c r="Z32" s="582"/>
      <c r="AA32" s="579"/>
    </row>
    <row r="33" spans="1:27" ht="15.75" customHeight="1">
      <c r="A33" s="18"/>
      <c r="B33" s="50" t="s">
        <v>47</v>
      </c>
      <c r="C33" s="580" t="s">
        <v>12</v>
      </c>
      <c r="D33" s="578"/>
      <c r="E33" s="579"/>
      <c r="F33" s="50" t="s">
        <v>46</v>
      </c>
      <c r="G33" s="50" t="s">
        <v>48</v>
      </c>
      <c r="H33" s="50" t="s">
        <v>49</v>
      </c>
      <c r="I33" s="8" t="s">
        <v>13</v>
      </c>
      <c r="J33" s="593" t="s">
        <v>51</v>
      </c>
      <c r="K33" s="579"/>
      <c r="M33" s="25"/>
      <c r="N33" s="29">
        <v>5</v>
      </c>
      <c r="O33" s="582"/>
      <c r="P33" s="578"/>
      <c r="Q33" s="579"/>
      <c r="R33" s="582"/>
      <c r="S33" s="578"/>
      <c r="T33" s="579"/>
      <c r="U33" s="27"/>
      <c r="V33" s="30"/>
      <c r="W33" s="27"/>
      <c r="X33" s="31">
        <f>W33*U33</f>
        <v>0</v>
      </c>
      <c r="Y33" s="4"/>
      <c r="Z33" s="582"/>
      <c r="AA33" s="579"/>
    </row>
    <row r="34" spans="1:27" ht="15.75" customHeight="1">
      <c r="A34" s="53" t="s">
        <v>35</v>
      </c>
      <c r="B34" s="6">
        <v>1</v>
      </c>
      <c r="C34" s="581" t="s">
        <v>79</v>
      </c>
      <c r="D34" s="578"/>
      <c r="E34" s="579"/>
      <c r="F34" s="4">
        <v>3</v>
      </c>
      <c r="G34" s="4">
        <v>2500</v>
      </c>
      <c r="H34" s="4">
        <v>833.33</v>
      </c>
      <c r="I34" s="4">
        <v>20</v>
      </c>
      <c r="J34" s="581" t="s">
        <v>78</v>
      </c>
      <c r="K34" s="579"/>
      <c r="M34" s="69"/>
      <c r="N34" s="45"/>
      <c r="O34" s="589"/>
      <c r="P34" s="578"/>
      <c r="Q34" s="578"/>
      <c r="R34" s="589"/>
      <c r="S34" s="578"/>
      <c r="T34" s="578"/>
      <c r="U34" s="60" t="s">
        <v>58</v>
      </c>
      <c r="V34" s="33">
        <f>X34/N18</f>
        <v>0.23125000000000001</v>
      </c>
      <c r="W34" s="60" t="s">
        <v>59</v>
      </c>
      <c r="X34" s="34">
        <f>SUM(X29:X33)</f>
        <v>277.5</v>
      </c>
      <c r="Y34" s="45"/>
      <c r="Z34" s="589"/>
      <c r="AA34" s="579"/>
    </row>
    <row r="35" spans="1:27" ht="15.75" customHeight="1">
      <c r="A35" s="23"/>
      <c r="B35" s="6">
        <v>2</v>
      </c>
      <c r="C35" s="582"/>
      <c r="D35" s="578"/>
      <c r="E35" s="579"/>
      <c r="F35" s="4"/>
      <c r="G35" s="4"/>
      <c r="H35" s="4"/>
      <c r="I35" s="4"/>
      <c r="J35" s="582"/>
      <c r="K35" s="579"/>
      <c r="M35" s="1"/>
      <c r="N35" s="1"/>
      <c r="O35" s="600"/>
      <c r="P35" s="601"/>
      <c r="Q35" s="601"/>
      <c r="R35" s="600"/>
      <c r="S35" s="601"/>
      <c r="T35" s="601"/>
      <c r="U35" s="1"/>
      <c r="V35" s="38"/>
      <c r="W35" s="1"/>
      <c r="X35" s="1"/>
      <c r="Y35" s="600"/>
      <c r="Z35" s="601"/>
      <c r="AA35" s="601"/>
    </row>
    <row r="36" spans="1:27" ht="15.75" customHeight="1">
      <c r="A36" s="23"/>
      <c r="B36" s="6">
        <v>3</v>
      </c>
      <c r="C36" s="582"/>
      <c r="D36" s="578"/>
      <c r="E36" s="579"/>
      <c r="F36" s="4"/>
      <c r="G36" s="4"/>
      <c r="H36" s="4"/>
      <c r="I36" s="4"/>
      <c r="J36" s="582"/>
      <c r="K36" s="579"/>
      <c r="M36" s="53" t="s">
        <v>27</v>
      </c>
      <c r="N36" s="58" t="s">
        <v>47</v>
      </c>
      <c r="O36" s="588" t="s">
        <v>12</v>
      </c>
      <c r="P36" s="589"/>
      <c r="Q36" s="590"/>
      <c r="R36" s="594" t="s">
        <v>53</v>
      </c>
      <c r="S36" s="595"/>
      <c r="T36" s="596"/>
      <c r="U36" s="58" t="s">
        <v>54</v>
      </c>
      <c r="V36" s="58" t="s">
        <v>55</v>
      </c>
      <c r="W36" s="58" t="s">
        <v>56</v>
      </c>
      <c r="X36" s="8" t="s">
        <v>11</v>
      </c>
      <c r="Y36" s="8" t="s">
        <v>13</v>
      </c>
      <c r="Z36" s="593" t="s">
        <v>51</v>
      </c>
      <c r="AA36" s="603"/>
    </row>
    <row r="37" spans="1:27" ht="15.75" customHeight="1">
      <c r="A37" s="23"/>
      <c r="B37" s="6">
        <v>4</v>
      </c>
      <c r="C37" s="582"/>
      <c r="D37" s="578"/>
      <c r="E37" s="579"/>
      <c r="F37" s="4"/>
      <c r="G37" s="4"/>
      <c r="H37" s="4"/>
      <c r="I37" s="4"/>
      <c r="J37" s="582"/>
      <c r="K37" s="579"/>
      <c r="M37" s="57" t="s">
        <v>42</v>
      </c>
      <c r="N37" s="24">
        <v>1</v>
      </c>
      <c r="O37" s="581" t="s">
        <v>89</v>
      </c>
      <c r="P37" s="578"/>
      <c r="Q37" s="579"/>
      <c r="R37" s="581" t="s">
        <v>90</v>
      </c>
      <c r="S37" s="578"/>
      <c r="T37" s="579"/>
      <c r="U37" s="4">
        <v>25</v>
      </c>
      <c r="V37" s="14">
        <v>0.25</v>
      </c>
      <c r="W37" s="4">
        <v>10</v>
      </c>
      <c r="X37" s="16">
        <f>W37*U37</f>
        <v>250</v>
      </c>
      <c r="Y37" s="4">
        <v>150</v>
      </c>
      <c r="Z37" s="581" t="s">
        <v>91</v>
      </c>
      <c r="AA37" s="579"/>
    </row>
    <row r="38" spans="1:27" ht="15.75" customHeight="1">
      <c r="A38" s="23"/>
      <c r="B38" s="26">
        <v>5</v>
      </c>
      <c r="C38" s="583"/>
      <c r="D38" s="587"/>
      <c r="E38" s="584"/>
      <c r="F38" s="27"/>
      <c r="G38" s="27"/>
      <c r="H38" s="27"/>
      <c r="I38" s="27"/>
      <c r="J38" s="583"/>
      <c r="K38" s="584"/>
      <c r="M38" s="25"/>
      <c r="N38" s="24">
        <v>2</v>
      </c>
      <c r="O38" s="582"/>
      <c r="P38" s="578"/>
      <c r="Q38" s="579"/>
      <c r="R38" s="582"/>
      <c r="S38" s="578"/>
      <c r="T38" s="579"/>
      <c r="U38" s="4"/>
      <c r="V38" s="14"/>
      <c r="W38" s="4"/>
      <c r="X38" s="16">
        <f>W38*U38</f>
        <v>0</v>
      </c>
      <c r="Y38" s="4"/>
      <c r="Z38" s="582"/>
      <c r="AA38" s="579"/>
    </row>
    <row r="39" spans="1:27" ht="14.25">
      <c r="A39" s="23"/>
      <c r="B39" s="70" t="s">
        <v>101</v>
      </c>
      <c r="C39" s="585" t="s">
        <v>80</v>
      </c>
      <c r="D39" s="592"/>
      <c r="E39" s="586"/>
      <c r="F39" s="28">
        <v>7</v>
      </c>
      <c r="G39" s="28">
        <v>2200</v>
      </c>
      <c r="H39" s="28">
        <v>314.29000000000002</v>
      </c>
      <c r="I39" s="28">
        <v>-15</v>
      </c>
      <c r="J39" s="585" t="s">
        <v>81</v>
      </c>
      <c r="K39" s="586"/>
      <c r="M39" s="25"/>
      <c r="N39" s="24">
        <v>3</v>
      </c>
      <c r="O39" s="582"/>
      <c r="P39" s="578"/>
      <c r="Q39" s="579"/>
      <c r="R39" s="582"/>
      <c r="S39" s="578"/>
      <c r="T39" s="579"/>
      <c r="U39" s="4"/>
      <c r="V39" s="14"/>
      <c r="W39" s="4"/>
      <c r="X39" s="16">
        <f>W39*U39</f>
        <v>0</v>
      </c>
      <c r="Y39" s="4"/>
      <c r="Z39" s="582"/>
      <c r="AA39" s="579"/>
    </row>
    <row r="40" spans="1:27" ht="14.25">
      <c r="A40" s="23"/>
      <c r="B40" s="71" t="s">
        <v>102</v>
      </c>
      <c r="C40" s="582"/>
      <c r="D40" s="578"/>
      <c r="E40" s="579"/>
      <c r="F40" s="4"/>
      <c r="G40" s="4"/>
      <c r="H40" s="4"/>
      <c r="I40" s="4"/>
      <c r="J40" s="582"/>
      <c r="K40" s="579"/>
      <c r="M40" s="25"/>
      <c r="N40" s="24">
        <v>4</v>
      </c>
      <c r="O40" s="582"/>
      <c r="P40" s="578"/>
      <c r="Q40" s="579"/>
      <c r="R40" s="582"/>
      <c r="S40" s="578"/>
      <c r="T40" s="579"/>
      <c r="U40" s="4"/>
      <c r="V40" s="14"/>
      <c r="W40" s="4"/>
      <c r="X40" s="16">
        <f>W40*U40</f>
        <v>0</v>
      </c>
      <c r="Y40" s="4"/>
      <c r="Z40" s="582"/>
      <c r="AA40" s="579"/>
    </row>
    <row r="41" spans="1:27" ht="14.25">
      <c r="A41" s="23"/>
      <c r="B41" s="71" t="s">
        <v>100</v>
      </c>
      <c r="C41" s="582"/>
      <c r="D41" s="578"/>
      <c r="E41" s="579"/>
      <c r="F41" s="4"/>
      <c r="G41" s="4"/>
      <c r="H41" s="4"/>
      <c r="I41" s="4"/>
      <c r="J41" s="582"/>
      <c r="K41" s="579"/>
      <c r="M41" s="25"/>
      <c r="N41" s="29">
        <v>5</v>
      </c>
      <c r="O41" s="583"/>
      <c r="P41" s="587"/>
      <c r="Q41" s="584"/>
      <c r="R41" s="583"/>
      <c r="S41" s="587"/>
      <c r="T41" s="584"/>
      <c r="U41" s="27"/>
      <c r="V41" s="30"/>
      <c r="W41" s="27"/>
      <c r="X41" s="31">
        <f>W41*U41</f>
        <v>0</v>
      </c>
      <c r="Y41" s="4"/>
      <c r="Z41" s="582"/>
      <c r="AA41" s="579"/>
    </row>
    <row r="42" spans="1:27" ht="14.25">
      <c r="A42" s="23"/>
      <c r="B42" s="71" t="s">
        <v>99</v>
      </c>
      <c r="C42" s="582"/>
      <c r="D42" s="578"/>
      <c r="E42" s="579"/>
      <c r="F42" s="4"/>
      <c r="G42" s="4"/>
      <c r="H42" s="4"/>
      <c r="I42" s="4"/>
      <c r="J42" s="582"/>
      <c r="K42" s="579"/>
      <c r="M42" s="32"/>
      <c r="N42" s="55"/>
      <c r="O42" s="589"/>
      <c r="P42" s="578"/>
      <c r="Q42" s="578"/>
      <c r="R42" s="589"/>
      <c r="S42" s="578"/>
      <c r="T42" s="578"/>
      <c r="U42" s="60" t="s">
        <v>58</v>
      </c>
      <c r="V42" s="33">
        <f>X42/N19</f>
        <v>5.5555555555555552E-2</v>
      </c>
      <c r="W42" s="60" t="s">
        <v>59</v>
      </c>
      <c r="X42" s="34">
        <f>SUM(X37:X41)</f>
        <v>250</v>
      </c>
      <c r="Y42" s="45"/>
      <c r="Z42" s="589"/>
      <c r="AA42" s="579"/>
    </row>
    <row r="43" spans="1:27" ht="14.25">
      <c r="A43" s="20"/>
      <c r="B43" s="71" t="s">
        <v>103</v>
      </c>
      <c r="C43" s="582"/>
      <c r="D43" s="578"/>
      <c r="E43" s="579"/>
      <c r="F43" s="4"/>
      <c r="G43" s="4"/>
      <c r="H43" s="4"/>
      <c r="I43" s="4"/>
      <c r="J43" s="582"/>
      <c r="K43" s="579"/>
      <c r="M43" s="57" t="s">
        <v>43</v>
      </c>
      <c r="N43" s="24">
        <v>1</v>
      </c>
      <c r="O43" s="581" t="s">
        <v>89</v>
      </c>
      <c r="P43" s="578"/>
      <c r="Q43" s="579"/>
      <c r="R43" s="597" t="s">
        <v>93</v>
      </c>
      <c r="S43" s="598"/>
      <c r="T43" s="599"/>
      <c r="U43" s="35">
        <v>30</v>
      </c>
      <c r="V43" s="36">
        <v>0.1</v>
      </c>
      <c r="W43" s="35">
        <v>20</v>
      </c>
      <c r="X43" s="37">
        <f>W43*U43</f>
        <v>600</v>
      </c>
      <c r="Y43" s="4">
        <v>400</v>
      </c>
      <c r="Z43" s="581" t="s">
        <v>92</v>
      </c>
      <c r="AA43" s="579"/>
    </row>
    <row r="44" spans="1:27" ht="14.25">
      <c r="A44" s="68"/>
      <c r="M44" s="25"/>
      <c r="N44" s="24">
        <v>2</v>
      </c>
      <c r="O44" s="582"/>
      <c r="P44" s="578"/>
      <c r="Q44" s="579"/>
      <c r="R44" s="582"/>
      <c r="S44" s="578"/>
      <c r="T44" s="579"/>
      <c r="U44" s="4"/>
      <c r="V44" s="14"/>
      <c r="W44" s="4"/>
      <c r="X44" s="37">
        <f>W44*U44</f>
        <v>0</v>
      </c>
      <c r="Y44" s="4"/>
      <c r="Z44" s="582"/>
      <c r="AA44" s="579"/>
    </row>
    <row r="45" spans="1:27" ht="14.25">
      <c r="A45" s="18"/>
      <c r="B45" s="50" t="s">
        <v>47</v>
      </c>
      <c r="C45" s="580" t="s">
        <v>12</v>
      </c>
      <c r="D45" s="578"/>
      <c r="E45" s="579"/>
      <c r="F45" s="50" t="s">
        <v>46</v>
      </c>
      <c r="G45" s="50" t="s">
        <v>48</v>
      </c>
      <c r="H45" s="50" t="s">
        <v>49</v>
      </c>
      <c r="I45" s="8" t="s">
        <v>13</v>
      </c>
      <c r="J45" s="593" t="s">
        <v>51</v>
      </c>
      <c r="K45" s="579"/>
      <c r="M45" s="25"/>
      <c r="N45" s="24">
        <v>3</v>
      </c>
      <c r="O45" s="582"/>
      <c r="P45" s="578"/>
      <c r="Q45" s="579"/>
      <c r="R45" s="582"/>
      <c r="S45" s="578"/>
      <c r="T45" s="579"/>
      <c r="U45" s="4"/>
      <c r="V45" s="14"/>
      <c r="W45" s="4"/>
      <c r="X45" s="37">
        <f>W45*U45</f>
        <v>0</v>
      </c>
      <c r="Y45" s="4"/>
      <c r="Z45" s="582"/>
      <c r="AA45" s="579"/>
    </row>
    <row r="46" spans="1:27" ht="14.25">
      <c r="A46" s="53" t="s">
        <v>36</v>
      </c>
      <c r="B46" s="6">
        <v>1</v>
      </c>
      <c r="C46" s="581" t="s">
        <v>82</v>
      </c>
      <c r="D46" s="578"/>
      <c r="E46" s="579"/>
      <c r="F46" s="4">
        <v>15</v>
      </c>
      <c r="G46" s="4">
        <v>1200</v>
      </c>
      <c r="H46" s="4">
        <v>80</v>
      </c>
      <c r="I46" s="4">
        <v>5</v>
      </c>
      <c r="J46" s="581" t="s">
        <v>83</v>
      </c>
      <c r="K46" s="579"/>
      <c r="M46" s="25"/>
      <c r="N46" s="24">
        <v>4</v>
      </c>
      <c r="O46" s="582"/>
      <c r="P46" s="578"/>
      <c r="Q46" s="579"/>
      <c r="R46" s="582"/>
      <c r="S46" s="578"/>
      <c r="T46" s="579"/>
      <c r="U46" s="4"/>
      <c r="V46" s="14"/>
      <c r="W46" s="4"/>
      <c r="X46" s="37">
        <f>W46*U46</f>
        <v>0</v>
      </c>
      <c r="Y46" s="4"/>
      <c r="Z46" s="582"/>
      <c r="AA46" s="579"/>
    </row>
    <row r="47" spans="1:27" ht="14.25">
      <c r="A47" s="23"/>
      <c r="B47" s="6">
        <v>2</v>
      </c>
      <c r="C47" s="582"/>
      <c r="D47" s="578"/>
      <c r="E47" s="579"/>
      <c r="F47" s="4"/>
      <c r="G47" s="4"/>
      <c r="H47" s="4"/>
      <c r="I47" s="4"/>
      <c r="J47" s="582"/>
      <c r="K47" s="579"/>
      <c r="M47" s="25"/>
      <c r="N47" s="29">
        <v>5</v>
      </c>
      <c r="O47" s="582"/>
      <c r="P47" s="578"/>
      <c r="Q47" s="579"/>
      <c r="R47" s="582"/>
      <c r="S47" s="578"/>
      <c r="T47" s="579"/>
      <c r="U47" s="27"/>
      <c r="V47" s="30"/>
      <c r="W47" s="27"/>
      <c r="X47" s="40">
        <f>W47*U47</f>
        <v>0</v>
      </c>
      <c r="Y47" s="4"/>
      <c r="Z47" s="582"/>
      <c r="AA47" s="579"/>
    </row>
    <row r="48" spans="1:27" ht="14.25">
      <c r="A48" s="23"/>
      <c r="B48" s="6">
        <v>3</v>
      </c>
      <c r="C48" s="582"/>
      <c r="D48" s="578"/>
      <c r="E48" s="579"/>
      <c r="F48" s="4"/>
      <c r="G48" s="4"/>
      <c r="H48" s="4"/>
      <c r="I48" s="4"/>
      <c r="J48" s="582"/>
      <c r="K48" s="579"/>
      <c r="M48" s="69"/>
      <c r="N48" s="45"/>
      <c r="O48" s="589"/>
      <c r="P48" s="578"/>
      <c r="Q48" s="578"/>
      <c r="R48" s="589"/>
      <c r="S48" s="578"/>
      <c r="T48" s="578"/>
      <c r="U48" s="60" t="s">
        <v>58</v>
      </c>
      <c r="V48" s="33">
        <f>X48/N19</f>
        <v>0.13333333333333333</v>
      </c>
      <c r="W48" s="60" t="s">
        <v>59</v>
      </c>
      <c r="X48" s="34">
        <f>SUM(X43:X47)</f>
        <v>600</v>
      </c>
      <c r="Y48" s="45"/>
      <c r="Z48" s="589"/>
      <c r="AA48" s="579"/>
    </row>
    <row r="49" spans="1:27" ht="14.25">
      <c r="A49" s="23"/>
      <c r="B49" s="6">
        <v>4</v>
      </c>
      <c r="C49" s="582"/>
      <c r="D49" s="578"/>
      <c r="E49" s="579"/>
      <c r="F49" s="4"/>
      <c r="G49" s="4"/>
      <c r="H49" s="4"/>
      <c r="I49" s="4"/>
      <c r="J49" s="582"/>
      <c r="K49" s="579"/>
      <c r="M49" s="1"/>
      <c r="N49" s="1"/>
      <c r="O49" s="1"/>
      <c r="P49" s="1"/>
      <c r="Q49" s="1"/>
      <c r="R49" s="1"/>
      <c r="S49" s="1"/>
      <c r="T49" s="1"/>
      <c r="U49" s="1"/>
      <c r="V49" s="38"/>
      <c r="W49" s="1"/>
      <c r="X49" s="1"/>
      <c r="Y49" s="1"/>
      <c r="Z49" s="1"/>
      <c r="AA49" s="1"/>
    </row>
    <row r="50" spans="1:27" ht="14.25">
      <c r="A50" s="23"/>
      <c r="B50" s="26">
        <v>5</v>
      </c>
      <c r="C50" s="583"/>
      <c r="D50" s="587"/>
      <c r="E50" s="584"/>
      <c r="F50" s="27"/>
      <c r="G50" s="27"/>
      <c r="H50" s="27"/>
      <c r="I50" s="27"/>
      <c r="J50" s="583"/>
      <c r="K50" s="584"/>
      <c r="M50" s="65" t="s">
        <v>17</v>
      </c>
      <c r="N50" s="67"/>
      <c r="O50" s="67"/>
      <c r="P50" s="67"/>
      <c r="Q50" s="67"/>
      <c r="R50" s="67"/>
      <c r="S50" s="67"/>
      <c r="T50" s="67"/>
      <c r="U50" s="67"/>
      <c r="V50" s="66"/>
      <c r="W50" s="67"/>
      <c r="X50" s="67"/>
      <c r="Y50" s="67"/>
      <c r="Z50" s="67"/>
      <c r="AA50" s="67"/>
    </row>
    <row r="51" spans="1:27" ht="14.25">
      <c r="A51" s="23"/>
      <c r="B51" s="70" t="s">
        <v>101</v>
      </c>
      <c r="C51" s="585" t="s">
        <v>89</v>
      </c>
      <c r="D51" s="592"/>
      <c r="E51" s="586"/>
      <c r="F51" s="28">
        <v>18</v>
      </c>
      <c r="G51" s="28">
        <v>800</v>
      </c>
      <c r="H51" s="28">
        <v>44.44</v>
      </c>
      <c r="I51" s="28">
        <v>-15</v>
      </c>
      <c r="J51" s="585" t="s">
        <v>84</v>
      </c>
      <c r="K51" s="586"/>
      <c r="M51" s="8"/>
      <c r="N51" s="8" t="s">
        <v>18</v>
      </c>
      <c r="O51" s="588" t="s">
        <v>12</v>
      </c>
      <c r="P51" s="589"/>
      <c r="Q51" s="590"/>
      <c r="R51" s="594" t="s">
        <v>53</v>
      </c>
      <c r="S51" s="595"/>
      <c r="T51" s="596"/>
      <c r="U51" s="58" t="s">
        <v>54</v>
      </c>
      <c r="V51" s="39" t="s">
        <v>19</v>
      </c>
      <c r="W51" s="58" t="s">
        <v>57</v>
      </c>
      <c r="X51" s="8" t="s">
        <v>2</v>
      </c>
      <c r="Y51" s="588" t="s">
        <v>50</v>
      </c>
      <c r="Z51" s="589"/>
      <c r="AA51" s="590"/>
    </row>
    <row r="52" spans="1:27" ht="14.25">
      <c r="A52" s="23"/>
      <c r="B52" s="71" t="s">
        <v>102</v>
      </c>
      <c r="C52" s="582"/>
      <c r="D52" s="578"/>
      <c r="E52" s="579"/>
      <c r="F52" s="4"/>
      <c r="G52" s="4"/>
      <c r="H52" s="4"/>
      <c r="I52" s="4"/>
      <c r="J52" s="582"/>
      <c r="K52" s="579"/>
      <c r="M52" s="57" t="s">
        <v>42</v>
      </c>
      <c r="N52" s="24">
        <v>1</v>
      </c>
      <c r="O52" s="581" t="s">
        <v>89</v>
      </c>
      <c r="P52" s="578"/>
      <c r="Q52" s="579"/>
      <c r="R52" s="597" t="s">
        <v>93</v>
      </c>
      <c r="S52" s="598"/>
      <c r="T52" s="599"/>
      <c r="U52" s="4">
        <v>30</v>
      </c>
      <c r="V52" s="14">
        <v>0.62</v>
      </c>
      <c r="W52" s="14">
        <v>0.57999999999999996</v>
      </c>
      <c r="X52" s="13">
        <f>W52-V52</f>
        <v>-4.0000000000000036E-2</v>
      </c>
      <c r="Y52" s="581" t="s">
        <v>97</v>
      </c>
      <c r="Z52" s="578"/>
      <c r="AA52" s="579"/>
    </row>
    <row r="53" spans="1:27" ht="14.25">
      <c r="A53" s="23"/>
      <c r="B53" s="71" t="s">
        <v>100</v>
      </c>
      <c r="C53" s="582"/>
      <c r="D53" s="578"/>
      <c r="E53" s="579"/>
      <c r="F53" s="4"/>
      <c r="G53" s="4"/>
      <c r="H53" s="4"/>
      <c r="I53" s="4"/>
      <c r="J53" s="582"/>
      <c r="K53" s="579"/>
      <c r="M53" s="25"/>
      <c r="N53" s="29">
        <v>2</v>
      </c>
      <c r="O53" s="583"/>
      <c r="P53" s="587"/>
      <c r="Q53" s="584"/>
      <c r="R53" s="583"/>
      <c r="S53" s="587"/>
      <c r="T53" s="584"/>
      <c r="U53" s="27"/>
      <c r="V53" s="30"/>
      <c r="W53" s="30"/>
      <c r="X53" s="41">
        <f>W53-V53</f>
        <v>0</v>
      </c>
      <c r="Y53" s="583"/>
      <c r="Z53" s="587"/>
      <c r="AA53" s="584"/>
    </row>
    <row r="54" spans="1:27" ht="14.25">
      <c r="A54" s="23"/>
      <c r="B54" s="71" t="s">
        <v>99</v>
      </c>
      <c r="C54" s="582"/>
      <c r="D54" s="578"/>
      <c r="E54" s="579"/>
      <c r="F54" s="4"/>
      <c r="G54" s="4"/>
      <c r="H54" s="4"/>
      <c r="I54" s="4"/>
      <c r="J54" s="582"/>
      <c r="K54" s="579"/>
      <c r="M54" s="57" t="s">
        <v>43</v>
      </c>
      <c r="N54" s="42">
        <v>1</v>
      </c>
      <c r="O54" s="585" t="s">
        <v>94</v>
      </c>
      <c r="P54" s="592"/>
      <c r="Q54" s="586"/>
      <c r="R54" s="585" t="s">
        <v>95</v>
      </c>
      <c r="S54" s="592"/>
      <c r="T54" s="586"/>
      <c r="U54" s="28">
        <v>20</v>
      </c>
      <c r="V54" s="43">
        <v>0.9</v>
      </c>
      <c r="W54" s="43">
        <v>0.82</v>
      </c>
      <c r="X54" s="44">
        <f>W54-V54</f>
        <v>-8.0000000000000071E-2</v>
      </c>
      <c r="Y54" s="585" t="s">
        <v>96</v>
      </c>
      <c r="Z54" s="592"/>
      <c r="AA54" s="586"/>
    </row>
    <row r="55" spans="1:27" ht="14.25">
      <c r="A55" s="20"/>
      <c r="B55" s="71" t="s">
        <v>103</v>
      </c>
      <c r="C55" s="582"/>
      <c r="D55" s="578"/>
      <c r="E55" s="579"/>
      <c r="F55" s="4"/>
      <c r="G55" s="4"/>
      <c r="H55" s="4"/>
      <c r="I55" s="4"/>
      <c r="J55" s="582"/>
      <c r="K55" s="579"/>
      <c r="M55" s="22"/>
      <c r="N55" s="24">
        <v>2</v>
      </c>
      <c r="O55" s="582"/>
      <c r="P55" s="578"/>
      <c r="Q55" s="579"/>
      <c r="R55" s="582"/>
      <c r="S55" s="578"/>
      <c r="T55" s="579"/>
      <c r="U55" s="4"/>
      <c r="V55" s="14"/>
      <c r="W55" s="14"/>
      <c r="X55" s="13">
        <f>W55-V55</f>
        <v>0</v>
      </c>
      <c r="Y55" s="582"/>
      <c r="Z55" s="578"/>
      <c r="AA55" s="579"/>
    </row>
  </sheetData>
  <mergeCells count="162">
    <mergeCell ref="Z26:AA26"/>
    <mergeCell ref="Z27:AA27"/>
    <mergeCell ref="Z28:AA28"/>
    <mergeCell ref="Z29:AA29"/>
    <mergeCell ref="Z30:AA30"/>
    <mergeCell ref="Z31:AA31"/>
    <mergeCell ref="Z32:AA32"/>
    <mergeCell ref="Y52:AA52"/>
    <mergeCell ref="Y53:AA53"/>
    <mergeCell ref="Y54:AA54"/>
    <mergeCell ref="Y55:AA55"/>
    <mergeCell ref="Z33:AA33"/>
    <mergeCell ref="Z34:AA34"/>
    <mergeCell ref="Z45:AA45"/>
    <mergeCell ref="Z46:AA46"/>
    <mergeCell ref="Z47:AA47"/>
    <mergeCell ref="Z48:AA48"/>
    <mergeCell ref="Y51:AA51"/>
    <mergeCell ref="Y35:AA35"/>
    <mergeCell ref="Z36:AA36"/>
    <mergeCell ref="Z42:AA42"/>
    <mergeCell ref="Z43:AA43"/>
    <mergeCell ref="Z44:AA44"/>
    <mergeCell ref="O35:Q35"/>
    <mergeCell ref="R35:T35"/>
    <mergeCell ref="R36:T36"/>
    <mergeCell ref="J35:K35"/>
    <mergeCell ref="J36:K36"/>
    <mergeCell ref="J27:K27"/>
    <mergeCell ref="J28:K28"/>
    <mergeCell ref="J29:K29"/>
    <mergeCell ref="J30:K30"/>
    <mergeCell ref="J31:K31"/>
    <mergeCell ref="J33:K33"/>
    <mergeCell ref="J34:K34"/>
    <mergeCell ref="O32:Q32"/>
    <mergeCell ref="O33:Q33"/>
    <mergeCell ref="O29:Q29"/>
    <mergeCell ref="R29:T29"/>
    <mergeCell ref="O30:Q30"/>
    <mergeCell ref="R30:T30"/>
    <mergeCell ref="O31:Q31"/>
    <mergeCell ref="R31:T31"/>
    <mergeCell ref="R32:T32"/>
    <mergeCell ref="R33:T33"/>
    <mergeCell ref="C52:E52"/>
    <mergeCell ref="C53:E53"/>
    <mergeCell ref="C54:E54"/>
    <mergeCell ref="C34:E34"/>
    <mergeCell ref="C35:E35"/>
    <mergeCell ref="C36:E36"/>
    <mergeCell ref="C37:E37"/>
    <mergeCell ref="J37:K37"/>
    <mergeCell ref="C38:E38"/>
    <mergeCell ref="C39:E39"/>
    <mergeCell ref="C40:E40"/>
    <mergeCell ref="J40:K40"/>
    <mergeCell ref="J49:K49"/>
    <mergeCell ref="J50:K50"/>
    <mergeCell ref="J51:K51"/>
    <mergeCell ref="C41:E41"/>
    <mergeCell ref="J41:K41"/>
    <mergeCell ref="C42:E42"/>
    <mergeCell ref="J42:K42"/>
    <mergeCell ref="J43:K43"/>
    <mergeCell ref="C51:E51"/>
    <mergeCell ref="O42:Q42"/>
    <mergeCell ref="R42:T42"/>
    <mergeCell ref="O43:Q43"/>
    <mergeCell ref="R43:T43"/>
    <mergeCell ref="O44:Q44"/>
    <mergeCell ref="R44:T44"/>
    <mergeCell ref="O45:Q45"/>
    <mergeCell ref="R45:T45"/>
    <mergeCell ref="C55:E55"/>
    <mergeCell ref="C43:E43"/>
    <mergeCell ref="C45:E45"/>
    <mergeCell ref="C46:E46"/>
    <mergeCell ref="C47:E47"/>
    <mergeCell ref="C48:E48"/>
    <mergeCell ref="C49:E49"/>
    <mergeCell ref="C50:E50"/>
    <mergeCell ref="J52:K52"/>
    <mergeCell ref="J53:K53"/>
    <mergeCell ref="J54:K54"/>
    <mergeCell ref="J55:K55"/>
    <mergeCell ref="J45:K45"/>
    <mergeCell ref="J46:K46"/>
    <mergeCell ref="J47:K47"/>
    <mergeCell ref="J48:K48"/>
    <mergeCell ref="O46:Q46"/>
    <mergeCell ref="R46:T46"/>
    <mergeCell ref="O47:Q47"/>
    <mergeCell ref="R47:T47"/>
    <mergeCell ref="R48:T48"/>
    <mergeCell ref="O54:Q54"/>
    <mergeCell ref="R54:T54"/>
    <mergeCell ref="O55:Q55"/>
    <mergeCell ref="R55:T55"/>
    <mergeCell ref="O48:Q48"/>
    <mergeCell ref="O51:Q51"/>
    <mergeCell ref="R51:T51"/>
    <mergeCell ref="O52:Q52"/>
    <mergeCell ref="R52:T52"/>
    <mergeCell ref="O53:Q53"/>
    <mergeCell ref="R53:T53"/>
    <mergeCell ref="C21:E21"/>
    <mergeCell ref="J21:K21"/>
    <mergeCell ref="C22:E22"/>
    <mergeCell ref="O22:Q22"/>
    <mergeCell ref="R22:T22"/>
    <mergeCell ref="Z22:AA22"/>
    <mergeCell ref="C23:E23"/>
    <mergeCell ref="Z23:AA23"/>
    <mergeCell ref="O23:Q23"/>
    <mergeCell ref="R23:T23"/>
    <mergeCell ref="O24:Q24"/>
    <mergeCell ref="R24:T24"/>
    <mergeCell ref="Z24:AA24"/>
    <mergeCell ref="R25:T25"/>
    <mergeCell ref="Z25:AA25"/>
    <mergeCell ref="J22:K22"/>
    <mergeCell ref="J23:K23"/>
    <mergeCell ref="C24:E24"/>
    <mergeCell ref="J24:K24"/>
    <mergeCell ref="C25:E25"/>
    <mergeCell ref="J25:K25"/>
    <mergeCell ref="J26:K26"/>
    <mergeCell ref="O25:Q25"/>
    <mergeCell ref="O26:Q26"/>
    <mergeCell ref="R26:T26"/>
    <mergeCell ref="O27:Q27"/>
    <mergeCell ref="R27:T27"/>
    <mergeCell ref="O28:Q28"/>
    <mergeCell ref="R28:T28"/>
    <mergeCell ref="C26:E26"/>
    <mergeCell ref="C27:E27"/>
    <mergeCell ref="C28:E28"/>
    <mergeCell ref="C29:E29"/>
    <mergeCell ref="C30:E30"/>
    <mergeCell ref="C31:E31"/>
    <mergeCell ref="C33:E33"/>
    <mergeCell ref="Z37:AA37"/>
    <mergeCell ref="Z38:AA38"/>
    <mergeCell ref="Z39:AA39"/>
    <mergeCell ref="Z40:AA40"/>
    <mergeCell ref="Z41:AA41"/>
    <mergeCell ref="J38:K38"/>
    <mergeCell ref="J39:K39"/>
    <mergeCell ref="O39:Q39"/>
    <mergeCell ref="R39:T39"/>
    <mergeCell ref="O40:Q40"/>
    <mergeCell ref="R40:T40"/>
    <mergeCell ref="R41:T41"/>
    <mergeCell ref="O41:Q41"/>
    <mergeCell ref="O36:Q36"/>
    <mergeCell ref="O37:Q37"/>
    <mergeCell ref="R37:T37"/>
    <mergeCell ref="O38:Q38"/>
    <mergeCell ref="R38:T38"/>
    <mergeCell ref="O34:Q34"/>
    <mergeCell ref="R34:T34"/>
  </mergeCells>
  <phoneticPr fontId="10"/>
  <printOptions horizontalCentered="1" gridLines="1"/>
  <pageMargins left="0.7" right="0.7" top="0.75" bottom="0.75" header="0" footer="0"/>
  <pageSetup paperSize="9" fitToHeight="0" pageOrder="overThenDown" orientation="landscape" cellComments="atEnd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  <outlinePr summaryBelow="0" summaryRight="0"/>
  </sheetPr>
  <dimension ref="A1:R38"/>
  <sheetViews>
    <sheetView zoomScale="90" zoomScaleNormal="90" zoomScaleSheetLayoutView="115" workbookViewId="0">
      <selection activeCell="B6" sqref="B6:B11"/>
    </sheetView>
  </sheetViews>
  <sheetFormatPr defaultColWidth="12.5703125" defaultRowHeight="15.75" customHeight="1"/>
  <cols>
    <col min="1" max="1" width="27.42578125" style="114" bestFit="1" customWidth="1"/>
    <col min="2" max="2" width="12.5703125" style="114" customWidth="1"/>
    <col min="3" max="4" width="12.5703125" style="114"/>
    <col min="5" max="5" width="16.42578125" style="114" customWidth="1"/>
    <col min="6" max="6" width="2.42578125" style="114" customWidth="1"/>
    <col min="7" max="7" width="24.85546875" style="114" bestFit="1" customWidth="1"/>
    <col min="8" max="10" width="12.5703125" style="114"/>
    <col min="11" max="11" width="16.42578125" style="114" customWidth="1"/>
    <col min="12" max="12" width="12.5703125" style="115"/>
    <col min="13" max="16384" width="12.5703125" style="114"/>
  </cols>
  <sheetData>
    <row r="1" spans="1:12" ht="15.75" customHeight="1">
      <c r="A1" s="604" t="s">
        <v>354</v>
      </c>
      <c r="B1" s="604"/>
      <c r="C1" s="604"/>
      <c r="D1" s="604"/>
      <c r="E1" s="604"/>
      <c r="F1" s="604"/>
      <c r="G1" s="604"/>
      <c r="H1" s="604"/>
      <c r="I1" s="604"/>
      <c r="J1" s="604"/>
      <c r="K1" s="604"/>
      <c r="L1" s="114"/>
    </row>
    <row r="2" spans="1:12" s="115" customFormat="1" ht="15.75" customHeight="1">
      <c r="A2" s="604"/>
      <c r="B2" s="604"/>
      <c r="C2" s="604"/>
      <c r="D2" s="604"/>
      <c r="E2" s="604"/>
      <c r="F2" s="604"/>
      <c r="G2" s="604"/>
      <c r="H2" s="604"/>
      <c r="I2" s="604"/>
      <c r="J2" s="604"/>
      <c r="K2" s="604"/>
    </row>
    <row r="3" spans="1:12" ht="21.6" customHeight="1">
      <c r="A3" s="134" t="s">
        <v>306</v>
      </c>
      <c r="B3" s="135">
        <v>10</v>
      </c>
      <c r="C3" s="134" t="s">
        <v>20</v>
      </c>
      <c r="D3" s="605" t="s">
        <v>353</v>
      </c>
      <c r="E3" s="605"/>
      <c r="F3" s="125"/>
      <c r="G3" s="126"/>
      <c r="H3" s="125"/>
      <c r="I3" s="125"/>
      <c r="J3" s="125"/>
      <c r="K3" s="125"/>
    </row>
    <row r="4" spans="1:12" s="116" customFormat="1" ht="15.75" customHeight="1">
      <c r="A4" s="127" t="s">
        <v>176</v>
      </c>
      <c r="B4" s="128"/>
      <c r="C4" s="128"/>
      <c r="D4" s="128"/>
      <c r="E4" s="118" t="s">
        <v>23</v>
      </c>
      <c r="F4" s="128"/>
      <c r="G4" s="129" t="s">
        <v>125</v>
      </c>
      <c r="H4" s="128"/>
      <c r="I4" s="128"/>
      <c r="J4" s="128"/>
      <c r="K4" s="128"/>
    </row>
    <row r="5" spans="1:12" s="120" customFormat="1" ht="15.75" customHeight="1">
      <c r="A5" s="141" t="s">
        <v>178</v>
      </c>
      <c r="B5" s="136" t="s">
        <v>22</v>
      </c>
      <c r="C5" s="136" t="s">
        <v>1</v>
      </c>
      <c r="D5" s="136" t="s">
        <v>2</v>
      </c>
      <c r="E5" s="136" t="s">
        <v>3</v>
      </c>
      <c r="F5" s="130"/>
      <c r="G5" s="141" t="s">
        <v>178</v>
      </c>
      <c r="H5" s="136" t="s">
        <v>69</v>
      </c>
      <c r="I5" s="136" t="s">
        <v>22</v>
      </c>
      <c r="J5" s="136" t="s">
        <v>67</v>
      </c>
      <c r="K5" s="136" t="s">
        <v>3</v>
      </c>
      <c r="L5" s="121" t="s">
        <v>60</v>
      </c>
    </row>
    <row r="6" spans="1:12" s="116" customFormat="1" ht="18" customHeight="1">
      <c r="A6" s="123" t="s">
        <v>24</v>
      </c>
      <c r="B6" s="137">
        <f>'（１）收支狀況'!H10/1000</f>
        <v>109266.932</v>
      </c>
      <c r="C6" s="263">
        <v>224463.48699999999</v>
      </c>
      <c r="D6" s="137">
        <f t="shared" ref="D6:D11" si="0">B6-C6</f>
        <v>-115196.55499999999</v>
      </c>
      <c r="E6" s="137">
        <f t="shared" ref="E6:E11" si="1">B6</f>
        <v>109266.932</v>
      </c>
      <c r="F6" s="128"/>
      <c r="G6" s="123" t="s">
        <v>179</v>
      </c>
      <c r="H6" s="266">
        <v>266</v>
      </c>
      <c r="I6" s="139">
        <f>'（２）ＫＰＩ達成進度'!H6</f>
        <v>0</v>
      </c>
      <c r="J6" s="278">
        <v>330.21457859125206</v>
      </c>
      <c r="K6" s="139">
        <f t="shared" ref="K6:K11" si="2">I6</f>
        <v>0</v>
      </c>
      <c r="L6" s="117" t="s">
        <v>175</v>
      </c>
    </row>
    <row r="7" spans="1:12" s="116" customFormat="1" ht="18" customHeight="1">
      <c r="A7" s="123" t="s">
        <v>25</v>
      </c>
      <c r="B7" s="137">
        <f>'（１）收支狀況'!K10</f>
        <v>3459888</v>
      </c>
      <c r="C7" s="263">
        <v>6964636</v>
      </c>
      <c r="D7" s="137">
        <f t="shared" si="0"/>
        <v>-3504748</v>
      </c>
      <c r="E7" s="137">
        <f t="shared" si="1"/>
        <v>3459888</v>
      </c>
      <c r="F7" s="128"/>
      <c r="G7" s="123" t="s">
        <v>180</v>
      </c>
      <c r="H7" s="246">
        <v>0.8</v>
      </c>
      <c r="I7" s="138">
        <f>'（２）ＫＰＩ達成進度'!K6</f>
        <v>0</v>
      </c>
      <c r="J7" s="264">
        <v>0.90222562456626254</v>
      </c>
      <c r="K7" s="138">
        <f t="shared" si="2"/>
        <v>0</v>
      </c>
      <c r="L7" s="117" t="s">
        <v>4</v>
      </c>
    </row>
    <row r="8" spans="1:12" s="116" customFormat="1" ht="18" customHeight="1">
      <c r="A8" s="123" t="s">
        <v>5</v>
      </c>
      <c r="B8" s="137">
        <f>'（１）收支狀況'!N10/1000</f>
        <v>73768.288</v>
      </c>
      <c r="C8" s="263">
        <v>150244.29199999999</v>
      </c>
      <c r="D8" s="137">
        <f>B8-C8</f>
        <v>-76476.003999999986</v>
      </c>
      <c r="E8" s="137">
        <f t="shared" si="1"/>
        <v>73768.288</v>
      </c>
      <c r="F8" s="128"/>
      <c r="G8" s="123" t="s">
        <v>181</v>
      </c>
      <c r="H8" s="241">
        <v>2.5000000000000001E-3</v>
      </c>
      <c r="I8" s="241">
        <f>'（２）ＫＰＩ達成進度'!N6</f>
        <v>0</v>
      </c>
      <c r="J8" s="279">
        <v>2.4646256819628254E-3</v>
      </c>
      <c r="K8" s="241">
        <f t="shared" si="2"/>
        <v>0</v>
      </c>
      <c r="L8" s="117" t="s">
        <v>55</v>
      </c>
    </row>
    <row r="9" spans="1:12" s="116" customFormat="1" ht="18" customHeight="1">
      <c r="A9" s="123" t="s">
        <v>6</v>
      </c>
      <c r="B9" s="138">
        <f>'（１）收支狀況'!Q10</f>
        <v>0.67511997133771451</v>
      </c>
      <c r="C9" s="264">
        <v>0.66934847180735457</v>
      </c>
      <c r="D9" s="138">
        <f t="shared" si="0"/>
        <v>5.7714995303599359E-3</v>
      </c>
      <c r="E9" s="138">
        <f t="shared" si="1"/>
        <v>0.67511997133771451</v>
      </c>
      <c r="F9" s="128"/>
      <c r="G9" s="123" t="s">
        <v>182</v>
      </c>
      <c r="H9" s="241">
        <v>2.5999999999999999E-3</v>
      </c>
      <c r="I9" s="241">
        <f>'（２）ＫＰＩ達成進度'!Q6</f>
        <v>0</v>
      </c>
      <c r="J9" s="279">
        <v>2.3405370745029669E-3</v>
      </c>
      <c r="K9" s="241">
        <f t="shared" si="2"/>
        <v>0</v>
      </c>
      <c r="L9" s="117" t="s">
        <v>98</v>
      </c>
    </row>
    <row r="10" spans="1:12" s="116" customFormat="1" ht="18" customHeight="1">
      <c r="A10" s="123" t="s">
        <v>64</v>
      </c>
      <c r="B10" s="137">
        <f>'（１）收支狀況'!T10/1000</f>
        <v>12968.86137508707</v>
      </c>
      <c r="C10" s="263">
        <v>32105.786706827967</v>
      </c>
      <c r="D10" s="137">
        <f t="shared" si="0"/>
        <v>-19136.925331740895</v>
      </c>
      <c r="E10" s="137">
        <f t="shared" si="1"/>
        <v>12968.86137508707</v>
      </c>
      <c r="F10" s="128"/>
      <c r="G10" s="123" t="s">
        <v>183</v>
      </c>
      <c r="H10" s="243">
        <v>0.8</v>
      </c>
      <c r="I10" s="243">
        <f>'（２）ＫＰＩ達成進度'!T6</f>
        <v>0</v>
      </c>
      <c r="J10" s="280">
        <v>0.91666666666666707</v>
      </c>
      <c r="K10" s="243">
        <f t="shared" si="2"/>
        <v>0</v>
      </c>
      <c r="L10" s="117" t="s">
        <v>7</v>
      </c>
    </row>
    <row r="11" spans="1:12" s="116" customFormat="1" ht="18" customHeight="1">
      <c r="A11" s="123" t="s">
        <v>65</v>
      </c>
      <c r="B11" s="138">
        <f>'（１）收支狀況'!W10</f>
        <v>0.11868971826798495</v>
      </c>
      <c r="C11" s="264">
        <v>0.14303344894053066</v>
      </c>
      <c r="D11" s="138">
        <f t="shared" si="0"/>
        <v>-2.4343730672545708E-2</v>
      </c>
      <c r="E11" s="138">
        <f t="shared" si="1"/>
        <v>0.11868971826798495</v>
      </c>
      <c r="F11" s="128"/>
      <c r="G11" s="123" t="s">
        <v>184</v>
      </c>
      <c r="H11" s="243">
        <v>1</v>
      </c>
      <c r="I11" s="138">
        <f>'（２）ＫＰＩ達成進度'!W6</f>
        <v>0</v>
      </c>
      <c r="J11" s="264">
        <v>0.84941935483870945</v>
      </c>
      <c r="K11" s="138">
        <f t="shared" si="2"/>
        <v>0</v>
      </c>
      <c r="L11" s="117" t="s">
        <v>62</v>
      </c>
    </row>
    <row r="12" spans="1:12" s="116" customFormat="1" ht="9.6" customHeight="1">
      <c r="A12" s="128"/>
      <c r="B12" s="128"/>
      <c r="C12" s="128"/>
      <c r="D12" s="128"/>
      <c r="E12" s="128"/>
      <c r="F12" s="128"/>
      <c r="G12" s="128"/>
      <c r="H12" s="128"/>
      <c r="I12" s="128"/>
      <c r="J12" s="128"/>
      <c r="K12" s="128"/>
    </row>
    <row r="13" spans="1:12" s="116" customFormat="1" ht="15.75" customHeight="1">
      <c r="A13" s="127" t="s">
        <v>32</v>
      </c>
      <c r="B13" s="128"/>
      <c r="C13" s="128"/>
      <c r="D13" s="128"/>
      <c r="E13" s="128"/>
      <c r="F13" s="128"/>
      <c r="G13" s="127" t="s">
        <v>147</v>
      </c>
      <c r="H13" s="128"/>
      <c r="I13" s="128"/>
      <c r="J13" s="128"/>
      <c r="K13" s="128"/>
    </row>
    <row r="14" spans="1:12" s="122" customFormat="1" ht="14.25">
      <c r="A14" s="140"/>
      <c r="B14" s="140" t="s">
        <v>22</v>
      </c>
      <c r="C14" s="140" t="s">
        <v>66</v>
      </c>
      <c r="D14" s="140" t="s">
        <v>67</v>
      </c>
      <c r="E14" s="140" t="s">
        <v>68</v>
      </c>
      <c r="F14" s="131"/>
      <c r="G14" s="140"/>
      <c r="H14" s="140" t="s">
        <v>22</v>
      </c>
      <c r="I14" s="140" t="s">
        <v>66</v>
      </c>
      <c r="J14" s="140" t="s">
        <v>67</v>
      </c>
      <c r="K14" s="140" t="s">
        <v>68</v>
      </c>
    </row>
    <row r="15" spans="1:12" s="116" customFormat="1" ht="18" customHeight="1">
      <c r="A15" s="123" t="s">
        <v>208</v>
      </c>
      <c r="B15" s="137">
        <f>'（３）業績構成比'!M50/1000</f>
        <v>24344.326961564842</v>
      </c>
      <c r="C15" s="138">
        <f>IFERROR(B15/$B$6,"")</f>
        <v>0.22279683812816162</v>
      </c>
      <c r="D15" s="264">
        <v>0.19061185820038584</v>
      </c>
      <c r="E15" s="138">
        <f>IFERROR(C15-D15,"")</f>
        <v>3.2184979927775775E-2</v>
      </c>
      <c r="F15" s="128"/>
      <c r="G15" s="123" t="s">
        <v>213</v>
      </c>
      <c r="H15" s="137">
        <f>'（４）訂單數量構成比'!M50</f>
        <v>1391295</v>
      </c>
      <c r="I15" s="138">
        <f t="shared" ref="I15:I23" si="3">IFERROR(H15/$B$7,"")</f>
        <v>0.40212139814930425</v>
      </c>
      <c r="J15" s="264">
        <v>0.33067557299476957</v>
      </c>
      <c r="K15" s="138">
        <f t="shared" ref="K15:K23" si="4">IFERROR(I15-J15,"")</f>
        <v>7.1445825154534681E-2</v>
      </c>
    </row>
    <row r="16" spans="1:12" s="116" customFormat="1" ht="18" customHeight="1">
      <c r="A16" s="123" t="s">
        <v>203</v>
      </c>
      <c r="B16" s="137">
        <f>'（３）業績構成比'!S50/1000</f>
        <v>3880.1644970454549</v>
      </c>
      <c r="C16" s="138">
        <f t="shared" ref="C16:C23" si="5">IFERROR(B16/$B$6,"")</f>
        <v>3.5510876218666547E-2</v>
      </c>
      <c r="D16" s="264">
        <v>4.2789233591899609E-2</v>
      </c>
      <c r="E16" s="138">
        <f t="shared" ref="E16:E23" si="6">IFERROR(C16-D16,"")</f>
        <v>-7.2783573732330617E-3</v>
      </c>
      <c r="F16" s="128"/>
      <c r="G16" s="123" t="s">
        <v>232</v>
      </c>
      <c r="H16" s="137">
        <f>'（４）訂單數量構成比'!S51</f>
        <v>144413</v>
      </c>
      <c r="I16" s="138">
        <f t="shared" si="3"/>
        <v>4.1739212367567967E-2</v>
      </c>
      <c r="J16" s="264">
        <v>6.1681041191528174E-2</v>
      </c>
      <c r="K16" s="138">
        <f t="shared" si="4"/>
        <v>-1.9941828823960207E-2</v>
      </c>
    </row>
    <row r="17" spans="1:18" s="116" customFormat="1" ht="18" customHeight="1">
      <c r="A17" s="123" t="s">
        <v>199</v>
      </c>
      <c r="B17" s="137">
        <f>'（３）業績構成比'!U50/1000</f>
        <v>13532.851388391584</v>
      </c>
      <c r="C17" s="138">
        <f t="shared" si="5"/>
        <v>0.12385129829024195</v>
      </c>
      <c r="D17" s="264">
        <v>8.6938303169141445E-2</v>
      </c>
      <c r="E17" s="138">
        <f t="shared" si="6"/>
        <v>3.6912995121100509E-2</v>
      </c>
      <c r="F17" s="128"/>
      <c r="G17" s="123" t="s">
        <v>214</v>
      </c>
      <c r="H17" s="137">
        <f>'（４）訂單數量構成比'!U50</f>
        <v>408076</v>
      </c>
      <c r="I17" s="138">
        <f t="shared" si="3"/>
        <v>0.11794485833067429</v>
      </c>
      <c r="J17" s="264">
        <v>8.2530228428305513E-2</v>
      </c>
      <c r="K17" s="138">
        <f t="shared" si="4"/>
        <v>3.541462990236878E-2</v>
      </c>
    </row>
    <row r="18" spans="1:18" s="116" customFormat="1" ht="18" customHeight="1">
      <c r="A18" s="123" t="s">
        <v>201</v>
      </c>
      <c r="B18" s="137">
        <f>'（３）業績構成比'!W50/1000</f>
        <v>0</v>
      </c>
      <c r="C18" s="138">
        <f t="shared" si="5"/>
        <v>0</v>
      </c>
      <c r="D18" s="264">
        <v>1.4659145993880142E-2</v>
      </c>
      <c r="E18" s="138">
        <f t="shared" si="6"/>
        <v>-1.4659145993880142E-2</v>
      </c>
      <c r="F18" s="128"/>
      <c r="G18" s="123" t="s">
        <v>200</v>
      </c>
      <c r="H18" s="137">
        <f>'（４）訂單數量構成比'!W50</f>
        <v>0</v>
      </c>
      <c r="I18" s="138">
        <f t="shared" si="3"/>
        <v>0</v>
      </c>
      <c r="J18" s="264">
        <v>1.6773740939224964E-2</v>
      </c>
      <c r="K18" s="138">
        <f t="shared" si="4"/>
        <v>-1.6773740939224964E-2</v>
      </c>
    </row>
    <row r="19" spans="1:18" s="116" customFormat="1" ht="18" customHeight="1">
      <c r="A19" s="123" t="s">
        <v>205</v>
      </c>
      <c r="B19" s="137">
        <f>'（３）業績構成比'!AC50/1000</f>
        <v>24063.071521860791</v>
      </c>
      <c r="C19" s="138">
        <f t="shared" si="5"/>
        <v>0.2202228165595497</v>
      </c>
      <c r="D19" s="264">
        <v>0.24409177848792188</v>
      </c>
      <c r="E19" s="138">
        <f t="shared" si="6"/>
        <v>-2.3868961928372179E-2</v>
      </c>
      <c r="F19" s="128"/>
      <c r="G19" s="123" t="s">
        <v>204</v>
      </c>
      <c r="H19" s="137">
        <f>'（４）訂單數量構成比'!AC50</f>
        <v>677792</v>
      </c>
      <c r="I19" s="138">
        <f t="shared" si="3"/>
        <v>0.19589998288961954</v>
      </c>
      <c r="J19" s="264">
        <v>0.19673059726308739</v>
      </c>
      <c r="K19" s="138">
        <f t="shared" si="4"/>
        <v>-8.3061437346784728E-4</v>
      </c>
    </row>
    <row r="20" spans="1:18" s="116" customFormat="1" ht="18" customHeight="1">
      <c r="A20" s="123" t="s">
        <v>207</v>
      </c>
      <c r="B20" s="137">
        <f>'（３）業績構成比'!AE50/1000</f>
        <v>18950.933606855266</v>
      </c>
      <c r="C20" s="138">
        <f t="shared" si="5"/>
        <v>0.17343704321134656</v>
      </c>
      <c r="D20" s="264">
        <v>0.1397972381723295</v>
      </c>
      <c r="E20" s="138">
        <f t="shared" si="6"/>
        <v>3.3639805039017062E-2</v>
      </c>
      <c r="F20" s="128"/>
      <c r="G20" s="123" t="s">
        <v>206</v>
      </c>
      <c r="H20" s="137">
        <f>'（４）訂單數量構成比'!AE50</f>
        <v>322967</v>
      </c>
      <c r="I20" s="138">
        <f t="shared" si="3"/>
        <v>9.3346085191196942E-2</v>
      </c>
      <c r="J20" s="264">
        <v>7.9797709456746913E-2</v>
      </c>
      <c r="K20" s="138">
        <f t="shared" si="4"/>
        <v>1.354837573445003E-2</v>
      </c>
    </row>
    <row r="21" spans="1:18" s="116" customFormat="1" ht="18" customHeight="1">
      <c r="A21" s="123" t="s">
        <v>209</v>
      </c>
      <c r="B21" s="137">
        <f>'（３）業績構成比'!AG50/1000</f>
        <v>7820.5090448431292</v>
      </c>
      <c r="C21" s="138">
        <f>IFERROR(B21/$B$6,"")</f>
        <v>7.1572514224551756E-2</v>
      </c>
      <c r="D21" s="264">
        <v>0.13619626613806221</v>
      </c>
      <c r="E21" s="138">
        <f>IFERROR(C21-D21,"")</f>
        <v>-6.4623751913510455E-2</v>
      </c>
      <c r="F21" s="128"/>
      <c r="G21" s="123" t="s">
        <v>215</v>
      </c>
      <c r="H21" s="137">
        <f>'（４）訂單數量構成比'!AG50</f>
        <v>162657</v>
      </c>
      <c r="I21" s="138">
        <f>IFERROR(H21/$B$7,"")</f>
        <v>4.7012215424314316E-2</v>
      </c>
      <c r="J21" s="264">
        <v>9.0009011239065476E-2</v>
      </c>
      <c r="K21" s="138">
        <f>IFERROR(I21-J21,"")</f>
        <v>-4.299679581475116E-2</v>
      </c>
    </row>
    <row r="22" spans="1:18" s="116" customFormat="1" ht="18" customHeight="1">
      <c r="A22" s="123" t="s">
        <v>210</v>
      </c>
      <c r="B22" s="137">
        <f>'（３）業績構成比'!AI50/1000</f>
        <v>12559.052709464069</v>
      </c>
      <c r="C22" s="138">
        <f t="shared" si="5"/>
        <v>0.11493919047222877</v>
      </c>
      <c r="D22" s="264">
        <v>6.8175373790099608E-2</v>
      </c>
      <c r="E22" s="138">
        <f t="shared" si="6"/>
        <v>4.6763816682129158E-2</v>
      </c>
      <c r="F22" s="128"/>
      <c r="G22" s="123" t="s">
        <v>216</v>
      </c>
      <c r="H22" s="137">
        <f>'（４）訂單數量構成比'!AI50</f>
        <v>344718</v>
      </c>
      <c r="I22" s="138">
        <f t="shared" si="3"/>
        <v>9.9632704873683767E-2</v>
      </c>
      <c r="J22" s="264">
        <v>5.972113976954431E-2</v>
      </c>
      <c r="K22" s="138">
        <f t="shared" si="4"/>
        <v>3.9911565104139457E-2</v>
      </c>
    </row>
    <row r="23" spans="1:18" s="116" customFormat="1" ht="18" customHeight="1">
      <c r="A23" s="123" t="s">
        <v>212</v>
      </c>
      <c r="B23" s="137">
        <f>'（３）業績構成比'!AK50/1000</f>
        <v>8904.4941489925877</v>
      </c>
      <c r="C23" s="138">
        <f t="shared" si="5"/>
        <v>8.1493037152288561E-2</v>
      </c>
      <c r="D23" s="264">
        <v>7.674080245627983E-2</v>
      </c>
      <c r="E23" s="138">
        <f t="shared" si="6"/>
        <v>4.7522346960087308E-3</v>
      </c>
      <c r="F23" s="128"/>
      <c r="G23" s="123" t="s">
        <v>211</v>
      </c>
      <c r="H23" s="137">
        <f>'（４）訂單數量構成比'!AK50</f>
        <v>301340</v>
      </c>
      <c r="I23" s="138">
        <f t="shared" si="3"/>
        <v>8.7095304819115538E-2</v>
      </c>
      <c r="J23" s="264">
        <v>8.2080958717727678E-2</v>
      </c>
      <c r="K23" s="138">
        <f t="shared" si="4"/>
        <v>5.0143461013878593E-3</v>
      </c>
    </row>
    <row r="24" spans="1:18" s="116" customFormat="1" ht="15.75" customHeight="1">
      <c r="A24" s="128"/>
      <c r="B24" s="128"/>
      <c r="C24" s="132">
        <f>SUM(C15:C23)</f>
        <v>1.0438236142570354</v>
      </c>
      <c r="D24" s="132">
        <f>SUM(D15:D23)</f>
        <v>1.0000000000000002</v>
      </c>
      <c r="E24" s="128"/>
      <c r="F24" s="128"/>
      <c r="G24" s="128"/>
      <c r="H24" s="128"/>
      <c r="I24" s="132">
        <f>SUM(I15:I23)</f>
        <v>1.0847917620454766</v>
      </c>
      <c r="J24" s="132">
        <f>SUM(J15:J23)</f>
        <v>1</v>
      </c>
      <c r="K24" s="128"/>
    </row>
    <row r="25" spans="1:18" s="116" customFormat="1" ht="9.6" customHeight="1">
      <c r="A25" s="133"/>
      <c r="B25" s="128"/>
      <c r="C25" s="128"/>
      <c r="D25" s="128"/>
      <c r="E25" s="128"/>
      <c r="F25" s="128"/>
      <c r="G25" s="128"/>
      <c r="H25" s="128"/>
      <c r="I25" s="128"/>
      <c r="J25" s="128"/>
      <c r="K25" s="128"/>
    </row>
    <row r="26" spans="1:18" s="116" customFormat="1" ht="15.75" customHeight="1">
      <c r="A26" s="127" t="s">
        <v>177</v>
      </c>
      <c r="B26" s="128"/>
      <c r="C26" s="128"/>
      <c r="D26" s="128"/>
      <c r="E26" s="128"/>
      <c r="F26" s="128"/>
      <c r="G26" s="128"/>
      <c r="H26" s="128"/>
      <c r="I26" s="128"/>
      <c r="J26" s="128"/>
      <c r="K26" s="128"/>
      <c r="L26" s="128"/>
      <c r="M26" s="128"/>
      <c r="N26" s="128"/>
      <c r="O26" s="128"/>
      <c r="P26" s="128"/>
      <c r="Q26" s="128"/>
      <c r="R26" s="128"/>
    </row>
    <row r="27" spans="1:18" s="116" customFormat="1" ht="15.75" customHeight="1">
      <c r="A27" s="123" t="s">
        <v>167</v>
      </c>
      <c r="B27" s="123" t="s">
        <v>22</v>
      </c>
      <c r="C27" s="123" t="s">
        <v>1</v>
      </c>
      <c r="D27" s="123" t="s">
        <v>2</v>
      </c>
      <c r="E27" s="123" t="s">
        <v>3</v>
      </c>
      <c r="F27" s="128"/>
      <c r="G27" s="128"/>
      <c r="H27" s="128"/>
      <c r="I27" s="128"/>
      <c r="M27" s="130" t="s">
        <v>414</v>
      </c>
      <c r="N27" s="130" t="s">
        <v>415</v>
      </c>
      <c r="O27" s="130" t="s">
        <v>416</v>
      </c>
      <c r="P27" s="130" t="s">
        <v>417</v>
      </c>
      <c r="Q27" s="130" t="s">
        <v>418</v>
      </c>
      <c r="R27" s="128"/>
    </row>
    <row r="28" spans="1:18" s="116" customFormat="1" ht="18" customHeight="1">
      <c r="A28" s="123" t="s">
        <v>213</v>
      </c>
      <c r="B28" s="265">
        <f>'（５-1）品群別人時生產性（18℃-飯糰）'!$C$1</f>
        <v>857.30664219748178</v>
      </c>
      <c r="C28" s="294">
        <v>756.20246993670457</v>
      </c>
      <c r="D28" s="238">
        <f t="shared" ref="D28:D36" si="7">B28-C28</f>
        <v>101.1041722607772</v>
      </c>
      <c r="E28" s="265">
        <f>R28</f>
        <v>787.41708856272066</v>
      </c>
      <c r="F28" s="128"/>
      <c r="G28" s="142"/>
      <c r="H28" s="142"/>
      <c r="I28" s="142"/>
      <c r="M28" s="265">
        <v>717.52753492795955</v>
      </c>
      <c r="N28" s="265">
        <f>B28</f>
        <v>857.30664219748178</v>
      </c>
      <c r="O28" s="265"/>
      <c r="P28" s="265"/>
      <c r="Q28" s="265"/>
      <c r="R28" s="281">
        <f>AVERAGE(M28:Q28)</f>
        <v>787.41708856272066</v>
      </c>
    </row>
    <row r="29" spans="1:18" s="116" customFormat="1" ht="18" customHeight="1">
      <c r="A29" s="123" t="s">
        <v>202</v>
      </c>
      <c r="B29" s="265">
        <f>'（５-2）品群別人時生產性（18-壽司手卷)'!$C$1</f>
        <v>131.71191799964089</v>
      </c>
      <c r="C29" s="294">
        <v>198.82982221081653</v>
      </c>
      <c r="D29" s="238">
        <f t="shared" si="7"/>
        <v>-67.117904211175642</v>
      </c>
      <c r="E29" s="265">
        <f t="shared" ref="E29:E36" si="8">R29</f>
        <v>164.67231744297447</v>
      </c>
      <c r="F29" s="128"/>
      <c r="G29" s="143"/>
      <c r="H29" s="143"/>
      <c r="I29" s="143"/>
      <c r="M29" s="265">
        <v>197.63271688630809</v>
      </c>
      <c r="N29" s="265">
        <f t="shared" ref="N29:N36" si="9">B29</f>
        <v>131.71191799964089</v>
      </c>
      <c r="O29" s="265"/>
      <c r="P29" s="265"/>
      <c r="Q29" s="265"/>
      <c r="R29" s="281">
        <f t="shared" ref="R29:R36" si="10">AVERAGE(M29:Q29)</f>
        <v>164.67231744297447</v>
      </c>
    </row>
    <row r="30" spans="1:18" s="116" customFormat="1" ht="18" customHeight="1">
      <c r="A30" s="123" t="s">
        <v>214</v>
      </c>
      <c r="B30" s="265">
        <f>'（５-3）品群別人時生產性（4℃-飯糰)'!$C$1</f>
        <v>212.25955965487793</v>
      </c>
      <c r="C30" s="294">
        <v>253.36933201602551</v>
      </c>
      <c r="D30" s="238">
        <f t="shared" si="7"/>
        <v>-41.109772361147577</v>
      </c>
      <c r="E30" s="265">
        <f t="shared" si="8"/>
        <v>226.35906551659059</v>
      </c>
      <c r="F30" s="128"/>
      <c r="G30" s="128"/>
      <c r="H30" s="128"/>
      <c r="I30" s="128"/>
      <c r="M30" s="265">
        <v>240.45857137830325</v>
      </c>
      <c r="N30" s="265">
        <f t="shared" si="9"/>
        <v>212.25955965487793</v>
      </c>
      <c r="O30" s="265"/>
      <c r="P30" s="265"/>
      <c r="Q30" s="265"/>
      <c r="R30" s="281">
        <f t="shared" si="10"/>
        <v>226.35906551659059</v>
      </c>
    </row>
    <row r="31" spans="1:18" s="116" customFormat="1" ht="18" customHeight="1">
      <c r="A31" s="123" t="s">
        <v>200</v>
      </c>
      <c r="B31" s="265" t="e">
        <f>'（５-4）品群別人時生產性（4℃-壽司手卷)'!$C$1</f>
        <v>#DIV/0!</v>
      </c>
      <c r="C31" s="294">
        <v>112.99131142028241</v>
      </c>
      <c r="D31" s="238" t="e">
        <f t="shared" si="7"/>
        <v>#DIV/0!</v>
      </c>
      <c r="E31" s="265" t="e">
        <f t="shared" si="8"/>
        <v>#DIV/0!</v>
      </c>
      <c r="F31" s="128"/>
      <c r="G31" s="128"/>
      <c r="H31" s="128"/>
      <c r="I31" s="128"/>
      <c r="M31" s="265">
        <v>106.86512290813759</v>
      </c>
      <c r="N31" s="265" t="e">
        <f t="shared" si="9"/>
        <v>#DIV/0!</v>
      </c>
      <c r="O31" s="265"/>
      <c r="P31" s="265"/>
      <c r="Q31" s="265"/>
      <c r="R31" s="281" t="e">
        <f t="shared" si="10"/>
        <v>#DIV/0!</v>
      </c>
    </row>
    <row r="32" spans="1:18" s="116" customFormat="1" ht="18" customHeight="1">
      <c r="A32" s="123" t="s">
        <v>204</v>
      </c>
      <c r="B32" s="265">
        <f>'（５-5）品群別人時生產性(主食) '!$C$1</f>
        <v>91.505453545877714</v>
      </c>
      <c r="C32" s="294">
        <v>85.495684450909806</v>
      </c>
      <c r="D32" s="238">
        <f t="shared" si="7"/>
        <v>6.0097690949679077</v>
      </c>
      <c r="E32" s="265">
        <f t="shared" si="8"/>
        <v>90.407940975305507</v>
      </c>
      <c r="F32" s="128"/>
      <c r="G32" s="128"/>
      <c r="H32" s="128"/>
      <c r="I32" s="128"/>
      <c r="M32" s="265">
        <v>89.310428404733287</v>
      </c>
      <c r="N32" s="265">
        <f t="shared" si="9"/>
        <v>91.505453545877714</v>
      </c>
      <c r="O32" s="265"/>
      <c r="P32" s="265"/>
      <c r="Q32" s="265"/>
      <c r="R32" s="281">
        <f t="shared" si="10"/>
        <v>90.407940975305507</v>
      </c>
    </row>
    <row r="33" spans="1:18" s="116" customFormat="1" ht="18" customHeight="1">
      <c r="A33" s="123" t="s">
        <v>206</v>
      </c>
      <c r="B33" s="265">
        <f>'（５-6）品群別人時生產性(便當)'!$C$1</f>
        <v>73.366880257448841</v>
      </c>
      <c r="C33" s="294">
        <v>66.943613625537381</v>
      </c>
      <c r="D33" s="238">
        <f t="shared" si="7"/>
        <v>6.42326663191146</v>
      </c>
      <c r="E33" s="265">
        <f t="shared" si="8"/>
        <v>69.519811358364308</v>
      </c>
      <c r="F33" s="128"/>
      <c r="G33" s="128"/>
      <c r="H33" s="128"/>
      <c r="I33" s="128"/>
      <c r="M33" s="265">
        <v>65.67274245927976</v>
      </c>
      <c r="N33" s="265">
        <f t="shared" si="9"/>
        <v>73.366880257448841</v>
      </c>
      <c r="O33" s="265"/>
      <c r="P33" s="265"/>
      <c r="Q33" s="265"/>
      <c r="R33" s="281">
        <f t="shared" si="10"/>
        <v>69.519811358364308</v>
      </c>
    </row>
    <row r="34" spans="1:18" s="116" customFormat="1" ht="18" customHeight="1">
      <c r="A34" s="123" t="s">
        <v>215</v>
      </c>
      <c r="B34" s="265">
        <f>'（５-7）品群別人時生產性(熱食義麵) '!$C$1</f>
        <v>81.426320185077984</v>
      </c>
      <c r="C34" s="294">
        <v>80.555861357885718</v>
      </c>
      <c r="D34" s="238">
        <f t="shared" si="7"/>
        <v>0.87045882719226597</v>
      </c>
      <c r="E34" s="265">
        <f t="shared" si="8"/>
        <v>78.452444603515374</v>
      </c>
      <c r="F34" s="128"/>
      <c r="G34" s="128"/>
      <c r="H34" s="128"/>
      <c r="I34" s="128"/>
      <c r="M34" s="265">
        <v>75.478569021952779</v>
      </c>
      <c r="N34" s="265">
        <f t="shared" si="9"/>
        <v>81.426320185077984</v>
      </c>
      <c r="O34" s="265"/>
      <c r="P34" s="265"/>
      <c r="Q34" s="265"/>
      <c r="R34" s="281">
        <f t="shared" si="10"/>
        <v>78.452444603515374</v>
      </c>
    </row>
    <row r="35" spans="1:18" s="116" customFormat="1" ht="18" customHeight="1">
      <c r="A35" s="123" t="s">
        <v>216</v>
      </c>
      <c r="B35" s="265">
        <f>'（５-8）品群別人時生產性(季節調理麵) '!$C$1</f>
        <v>125.33722905890653</v>
      </c>
      <c r="C35" s="294">
        <v>121.13262609451999</v>
      </c>
      <c r="D35" s="238">
        <f t="shared" si="7"/>
        <v>4.2046029643865381</v>
      </c>
      <c r="E35" s="265">
        <f t="shared" si="8"/>
        <v>119.92140054275478</v>
      </c>
      <c r="F35" s="128"/>
      <c r="G35" s="128"/>
      <c r="H35" s="128"/>
      <c r="I35" s="128"/>
      <c r="M35" s="265">
        <v>114.50557202660302</v>
      </c>
      <c r="N35" s="265">
        <f t="shared" si="9"/>
        <v>125.33722905890653</v>
      </c>
      <c r="O35" s="265"/>
      <c r="P35" s="265"/>
      <c r="Q35" s="265"/>
      <c r="R35" s="281">
        <f t="shared" si="10"/>
        <v>119.92140054275478</v>
      </c>
    </row>
    <row r="36" spans="1:18" s="116" customFormat="1" ht="18" customHeight="1">
      <c r="A36" s="119" t="s">
        <v>211</v>
      </c>
      <c r="B36" s="265">
        <f>'（５-9）品群別人時生產性(微波小吃)'!$C$1</f>
        <v>161.50422008679055</v>
      </c>
      <c r="C36" s="294">
        <v>115.3662253913358</v>
      </c>
      <c r="D36" s="238">
        <f t="shared" si="7"/>
        <v>46.137994695454751</v>
      </c>
      <c r="E36" s="265">
        <f t="shared" si="8"/>
        <v>130.57628106432816</v>
      </c>
      <c r="F36" s="128"/>
      <c r="G36" s="128"/>
      <c r="H36" s="128"/>
      <c r="I36" s="128"/>
      <c r="M36" s="265">
        <v>99.648342041865732</v>
      </c>
      <c r="N36" s="265">
        <f t="shared" si="9"/>
        <v>161.50422008679055</v>
      </c>
      <c r="O36" s="265"/>
      <c r="P36" s="265"/>
      <c r="Q36" s="265"/>
      <c r="R36" s="281">
        <f t="shared" si="10"/>
        <v>130.57628106432816</v>
      </c>
    </row>
    <row r="37" spans="1:18" s="116" customFormat="1" ht="15.75" customHeight="1"/>
    <row r="38" spans="1:18" s="116" customFormat="1" ht="15.75" customHeight="1"/>
  </sheetData>
  <mergeCells count="2">
    <mergeCell ref="A1:K2"/>
    <mergeCell ref="D3:E3"/>
  </mergeCells>
  <phoneticPr fontId="13" type="noConversion"/>
  <printOptions horizontalCentered="1" gridLines="1"/>
  <pageMargins left="0.39370078740157483" right="0.39370078740157483" top="0.39370078740157483" bottom="0.19685039370078741" header="0" footer="0"/>
  <pageSetup paperSize="9" scale="86" fitToWidth="0" fitToHeight="0" pageOrder="overThenDown" orientation="landscape" cellComments="atEnd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  <outlinePr summaryBelow="0" summaryRight="0"/>
  </sheetPr>
  <dimension ref="A1:R38"/>
  <sheetViews>
    <sheetView tabSelected="1" zoomScale="85" zoomScaleNormal="85" zoomScaleSheetLayoutView="100" workbookViewId="0">
      <selection activeCell="C8" sqref="C8"/>
    </sheetView>
  </sheetViews>
  <sheetFormatPr defaultColWidth="12.5703125" defaultRowHeight="15.75" customHeight="1"/>
  <cols>
    <col min="1" max="1" width="27.42578125" style="114" bestFit="1" customWidth="1"/>
    <col min="2" max="2" width="12.5703125" style="114" customWidth="1"/>
    <col min="3" max="4" width="12.5703125" style="114"/>
    <col min="5" max="5" width="16.42578125" style="114" customWidth="1"/>
    <col min="6" max="6" width="2.42578125" style="114" customWidth="1"/>
    <col min="7" max="7" width="24.85546875" style="114" bestFit="1" customWidth="1"/>
    <col min="8" max="10" width="12.5703125" style="114"/>
    <col min="11" max="11" width="16.42578125" style="114" customWidth="1"/>
    <col min="12" max="12" width="12.5703125" style="115"/>
    <col min="13" max="16384" width="12.5703125" style="114"/>
  </cols>
  <sheetData>
    <row r="1" spans="1:18" ht="15.75" customHeight="1">
      <c r="A1" s="604" t="s">
        <v>354</v>
      </c>
      <c r="B1" s="604"/>
      <c r="C1" s="604"/>
      <c r="D1" s="604"/>
      <c r="E1" s="604"/>
      <c r="F1" s="604"/>
      <c r="G1" s="604"/>
      <c r="H1" s="604"/>
      <c r="I1" s="604"/>
      <c r="J1" s="604"/>
      <c r="K1" s="604"/>
      <c r="L1" s="114"/>
    </row>
    <row r="2" spans="1:18" s="115" customFormat="1" ht="15.75" customHeight="1">
      <c r="A2" s="604"/>
      <c r="B2" s="604"/>
      <c r="C2" s="604"/>
      <c r="D2" s="604"/>
      <c r="E2" s="604"/>
      <c r="F2" s="604"/>
      <c r="G2" s="604"/>
      <c r="H2" s="604"/>
      <c r="I2" s="604"/>
      <c r="J2" s="604"/>
      <c r="K2" s="604"/>
    </row>
    <row r="3" spans="1:18" ht="21.6" customHeight="1">
      <c r="A3" s="134" t="s">
        <v>306</v>
      </c>
      <c r="B3" s="209">
        <v>10</v>
      </c>
      <c r="C3" s="211" t="s">
        <v>307</v>
      </c>
      <c r="D3" s="209" t="s">
        <v>741</v>
      </c>
      <c r="E3" s="134" t="s">
        <v>20</v>
      </c>
      <c r="F3" s="605" t="s">
        <v>353</v>
      </c>
      <c r="G3" s="605"/>
      <c r="H3" s="125"/>
      <c r="I3" s="126"/>
      <c r="J3" s="125"/>
      <c r="K3" s="125"/>
      <c r="L3" s="125"/>
      <c r="M3" s="125"/>
      <c r="N3" s="115"/>
    </row>
    <row r="4" spans="1:18" s="116" customFormat="1" ht="15.75" customHeight="1">
      <c r="A4" s="127" t="s">
        <v>176</v>
      </c>
      <c r="B4" s="128"/>
      <c r="C4" s="128"/>
      <c r="D4" s="128"/>
      <c r="E4" s="118" t="s">
        <v>23</v>
      </c>
      <c r="F4" s="128"/>
      <c r="G4" s="129" t="s">
        <v>125</v>
      </c>
      <c r="H4" s="128"/>
      <c r="I4" s="128"/>
      <c r="J4" s="128"/>
      <c r="K4" s="128"/>
    </row>
    <row r="5" spans="1:18" s="120" customFormat="1" ht="15.75" customHeight="1">
      <c r="A5" s="141" t="s">
        <v>178</v>
      </c>
      <c r="B5" s="141" t="s">
        <v>309</v>
      </c>
      <c r="C5" s="141" t="s">
        <v>311</v>
      </c>
      <c r="D5" s="136" t="s">
        <v>2</v>
      </c>
      <c r="E5" s="136" t="s">
        <v>3</v>
      </c>
      <c r="F5" s="130"/>
      <c r="G5" s="141" t="s">
        <v>178</v>
      </c>
      <c r="H5" s="136" t="s">
        <v>69</v>
      </c>
      <c r="I5" s="136" t="s">
        <v>308</v>
      </c>
      <c r="J5" s="136" t="s">
        <v>310</v>
      </c>
      <c r="K5" s="136" t="s">
        <v>3</v>
      </c>
      <c r="L5" s="121" t="s">
        <v>60</v>
      </c>
    </row>
    <row r="6" spans="1:18" s="116" customFormat="1" ht="18" customHeight="1">
      <c r="A6" s="123" t="s">
        <v>24</v>
      </c>
      <c r="B6" s="218">
        <f>'（１）收支狀況'!G12/1000</f>
        <v>58375.379000000001</v>
      </c>
      <c r="C6" s="247">
        <v>60334.337</v>
      </c>
      <c r="D6" s="137">
        <f t="shared" ref="D6:D11" si="0">B6-C6</f>
        <v>-1958.9579999999987</v>
      </c>
      <c r="E6" s="230">
        <f>'（１）收支狀況'!H10/1000</f>
        <v>109266.932</v>
      </c>
      <c r="F6" s="128"/>
      <c r="G6" s="123" t="s">
        <v>179</v>
      </c>
      <c r="H6" s="266">
        <v>366</v>
      </c>
      <c r="I6" s="232">
        <f>'（２）ＫＰＩ達成進度'!G12</f>
        <v>384.19486298046252</v>
      </c>
      <c r="J6" s="252">
        <v>383.51112798426323</v>
      </c>
      <c r="K6" s="253">
        <f>'（２）ＫＰＩ達成進度'!H10</f>
        <v>384.04005514451552</v>
      </c>
      <c r="L6" s="117" t="s">
        <v>175</v>
      </c>
    </row>
    <row r="7" spans="1:18" s="116" customFormat="1" ht="18" customHeight="1">
      <c r="A7" s="123" t="s">
        <v>25</v>
      </c>
      <c r="B7" s="218">
        <f>'（１）收支狀況'!J12</f>
        <v>1851466</v>
      </c>
      <c r="C7" s="247">
        <v>1901792</v>
      </c>
      <c r="D7" s="137">
        <f t="shared" si="0"/>
        <v>-50326</v>
      </c>
      <c r="E7" s="230">
        <f>'（１）收支狀況'!K10</f>
        <v>3459888</v>
      </c>
      <c r="F7" s="128"/>
      <c r="G7" s="123" t="s">
        <v>180</v>
      </c>
      <c r="H7" s="246">
        <v>0.8</v>
      </c>
      <c r="I7" s="245">
        <f>'（２）ＫＰＩ達成進度'!J12</f>
        <v>1.0497127403837774</v>
      </c>
      <c r="J7" s="250">
        <v>1.0478446119788614</v>
      </c>
      <c r="K7" s="246">
        <f>'（２）ＫＰＩ達成進度'!K10</f>
        <v>0.44002474148410919</v>
      </c>
      <c r="L7" s="117" t="s">
        <v>4</v>
      </c>
    </row>
    <row r="8" spans="1:18" s="116" customFormat="1" ht="18" customHeight="1">
      <c r="A8" s="123" t="s">
        <v>5</v>
      </c>
      <c r="B8" s="218">
        <f>'（１）收支狀況'!M12/1000</f>
        <v>39484.277999999998</v>
      </c>
      <c r="C8" s="247">
        <f>40572211/1000</f>
        <v>40572.211000000003</v>
      </c>
      <c r="D8" s="137">
        <f>B8-C8</f>
        <v>-1087.9330000000045</v>
      </c>
      <c r="E8" s="230">
        <f>'（１）收支狀況'!N10/1000</f>
        <v>73768.288</v>
      </c>
      <c r="F8" s="128"/>
      <c r="G8" s="123" t="s">
        <v>181</v>
      </c>
      <c r="H8" s="241">
        <v>2.5000000000000001E-3</v>
      </c>
      <c r="I8" s="231">
        <f>'（２）ＫＰＩ達成進度'!M12</f>
        <v>2.3868659656887891E-3</v>
      </c>
      <c r="J8" s="249">
        <v>2.390985606135934E-3</v>
      </c>
      <c r="K8" s="241">
        <f>'（２）ＫＰＩ達成進度'!N10</f>
        <v>2.3875662633589144E-3</v>
      </c>
      <c r="L8" s="117" t="s">
        <v>55</v>
      </c>
    </row>
    <row r="9" spans="1:18" s="116" customFormat="1" ht="18" customHeight="1">
      <c r="A9" s="123" t="s">
        <v>6</v>
      </c>
      <c r="B9" s="219">
        <f>'（１）收支狀況'!P12</f>
        <v>0.67638580984630525</v>
      </c>
      <c r="C9" s="248">
        <v>0.67245639908167054</v>
      </c>
      <c r="D9" s="138">
        <f t="shared" si="0"/>
        <v>3.929410764634711E-3</v>
      </c>
      <c r="E9" s="138">
        <f>'（１）收支狀況'!Q10</f>
        <v>0.67511997133771451</v>
      </c>
      <c r="F9" s="128"/>
      <c r="G9" s="123" t="s">
        <v>182</v>
      </c>
      <c r="H9" s="241">
        <v>2.5999999999999999E-3</v>
      </c>
      <c r="I9" s="231">
        <f>'（２）ＫＰＩ達成進度'!P12</f>
        <v>3.9210002850288105E-3</v>
      </c>
      <c r="J9" s="249">
        <v>3.9621078336836268E-3</v>
      </c>
      <c r="K9" s="241">
        <f>'（２）ＫＰＩ達成進度'!Q10</f>
        <v>3.9397625297082168E-3</v>
      </c>
      <c r="L9" s="117" t="s">
        <v>98</v>
      </c>
    </row>
    <row r="10" spans="1:18" s="116" customFormat="1" ht="18" customHeight="1">
      <c r="A10" s="123" t="s">
        <v>64</v>
      </c>
      <c r="B10" s="218">
        <f>'（１）收支狀況'!S12/1000</f>
        <v>6874.0022654642107</v>
      </c>
      <c r="C10" s="247">
        <v>7141.9175438743905</v>
      </c>
      <c r="D10" s="137">
        <f t="shared" si="0"/>
        <v>-267.91527841017978</v>
      </c>
      <c r="E10" s="230">
        <f>'（１）收支狀況'!T10/1000</f>
        <v>12968.86137508707</v>
      </c>
      <c r="F10" s="128"/>
      <c r="G10" s="123" t="s">
        <v>183</v>
      </c>
      <c r="H10" s="243">
        <v>0.8</v>
      </c>
      <c r="I10" s="242">
        <v>0.91400000000000003</v>
      </c>
      <c r="J10" s="250">
        <v>0.91400000000000003</v>
      </c>
      <c r="K10" s="243">
        <v>0.91700000000000004</v>
      </c>
      <c r="L10" s="117" t="s">
        <v>7</v>
      </c>
    </row>
    <row r="11" spans="1:18" s="116" customFormat="1" ht="18" customHeight="1">
      <c r="A11" s="123" t="s">
        <v>65</v>
      </c>
      <c r="B11" s="219">
        <f>'（１）收支狀況'!V12</f>
        <v>0.11775516293374662</v>
      </c>
      <c r="C11" s="248">
        <v>0.11837235476498881</v>
      </c>
      <c r="D11" s="138">
        <f t="shared" si="0"/>
        <v>-6.1719183124218924E-4</v>
      </c>
      <c r="E11" s="138">
        <f>'（１）收支狀況'!W10</f>
        <v>0.11868971826798495</v>
      </c>
      <c r="F11" s="128"/>
      <c r="G11" s="123" t="s">
        <v>184</v>
      </c>
      <c r="H11" s="243">
        <v>1</v>
      </c>
      <c r="I11" s="242">
        <f>'（２）ＫＰＩ達成進度'!V12</f>
        <v>0.79914285714285727</v>
      </c>
      <c r="J11" s="250">
        <v>0.78600000000000014</v>
      </c>
      <c r="K11" s="243">
        <f>'（２）ＫＰＩ達成進度'!W10</f>
        <v>0.79338461538461558</v>
      </c>
      <c r="L11" s="117" t="s">
        <v>62</v>
      </c>
    </row>
    <row r="12" spans="1:18" s="116" customFormat="1" ht="9.6" customHeight="1">
      <c r="A12" s="128"/>
      <c r="B12" s="128"/>
      <c r="C12" s="128"/>
      <c r="D12" s="128"/>
      <c r="E12" s="128"/>
      <c r="F12" s="128"/>
      <c r="G12" s="128"/>
      <c r="H12" s="128"/>
      <c r="I12" s="128"/>
      <c r="J12" s="128"/>
      <c r="K12" s="128"/>
    </row>
    <row r="13" spans="1:18" s="116" customFormat="1" ht="15.75" customHeight="1">
      <c r="A13" s="127" t="s">
        <v>32</v>
      </c>
      <c r="B13" s="128"/>
      <c r="C13" s="128"/>
      <c r="D13" s="128"/>
      <c r="E13" s="128"/>
      <c r="F13" s="128"/>
      <c r="G13" s="127" t="s">
        <v>147</v>
      </c>
      <c r="H13" s="128"/>
      <c r="I13" s="128"/>
      <c r="J13" s="128"/>
      <c r="K13" s="128"/>
    </row>
    <row r="14" spans="1:18" s="122" customFormat="1" ht="14.25">
      <c r="A14" s="140"/>
      <c r="B14" s="212" t="s">
        <v>309</v>
      </c>
      <c r="C14" s="140" t="s">
        <v>66</v>
      </c>
      <c r="D14" s="212" t="s">
        <v>312</v>
      </c>
      <c r="E14" s="140" t="s">
        <v>68</v>
      </c>
      <c r="F14" s="131"/>
      <c r="G14" s="140"/>
      <c r="H14" s="212" t="s">
        <v>309</v>
      </c>
      <c r="I14" s="140" t="s">
        <v>66</v>
      </c>
      <c r="J14" s="212" t="s">
        <v>312</v>
      </c>
      <c r="K14" s="140" t="s">
        <v>68</v>
      </c>
      <c r="M14" s="116"/>
      <c r="N14" s="116"/>
      <c r="O14" s="116"/>
      <c r="P14" s="116"/>
      <c r="Q14" s="116"/>
      <c r="R14" s="116"/>
    </row>
    <row r="15" spans="1:18" s="116" customFormat="1" ht="18" customHeight="1">
      <c r="A15" s="123" t="s">
        <v>316</v>
      </c>
      <c r="B15" s="233">
        <f>SUM('（３）業績構成比'!I14:I49,'（３）業績構成比'!K14:K49)/1000</f>
        <v>12887.291525915811</v>
      </c>
      <c r="C15" s="138">
        <f>IFERROR(B15/$B$6,"")</f>
        <v>0.2207658733301896</v>
      </c>
      <c r="D15" s="248">
        <v>0.22446781993321485</v>
      </c>
      <c r="E15" s="138">
        <f>IFERROR(C15-D15,"")</f>
        <v>-3.7019466030252524E-3</v>
      </c>
      <c r="F15" s="128"/>
      <c r="G15" s="123" t="s">
        <v>316</v>
      </c>
      <c r="H15" s="233">
        <f>SUM(,'（４）訂單數量構成比'!I14:I49,'（４）訂單數量構成比'!K14:K49)</f>
        <v>681072</v>
      </c>
      <c r="I15" s="138">
        <f t="shared" ref="I15:I23" si="1">IFERROR(H15/$B$7,"")</f>
        <v>0.36785552637747598</v>
      </c>
      <c r="J15" s="248">
        <v>0.3734493572378052</v>
      </c>
      <c r="K15" s="138">
        <f t="shared" ref="K15:K23" si="2">IFERROR(I15-J15,"")</f>
        <v>-5.5938308603292186E-3</v>
      </c>
    </row>
    <row r="16" spans="1:18" s="116" customFormat="1" ht="18" customHeight="1">
      <c r="A16" s="123" t="s">
        <v>203</v>
      </c>
      <c r="B16" s="233">
        <f>SUM('（３）業績構成比'!O14:O49,'（３）業績構成比'!Q14:Q49)/1000</f>
        <v>1998.9672139663437</v>
      </c>
      <c r="C16" s="138">
        <f t="shared" ref="C16:C23" si="3">IFERROR(B16/$B$6,"")</f>
        <v>3.4243327378933909E-2</v>
      </c>
      <c r="D16" s="248">
        <v>3.7510708766421791E-2</v>
      </c>
      <c r="E16" s="138">
        <f t="shared" ref="E16:E23" si="4">IFERROR(C16-D16,"")</f>
        <v>-3.2673813874878818E-3</v>
      </c>
      <c r="F16" s="128"/>
      <c r="G16" s="123" t="s">
        <v>232</v>
      </c>
      <c r="H16" s="233">
        <f>SUM('（４）訂單數量構成比'!O14:O49,'（４）訂單數量構成比'!Q14:Q49)</f>
        <v>67874</v>
      </c>
      <c r="I16" s="138">
        <f t="shared" si="1"/>
        <v>3.6659598393921355E-2</v>
      </c>
      <c r="J16" s="248">
        <v>4.0245726136191547E-2</v>
      </c>
      <c r="K16" s="138">
        <f t="shared" si="2"/>
        <v>-3.5861277422701912E-3</v>
      </c>
    </row>
    <row r="17" spans="1:11" s="116" customFormat="1" ht="18" customHeight="1">
      <c r="A17" s="123" t="s">
        <v>199</v>
      </c>
      <c r="B17" s="233">
        <f>SUM('（３）業績構成比'!U14:U49)/1000</f>
        <v>6860.8340581344028</v>
      </c>
      <c r="C17" s="138">
        <f t="shared" si="3"/>
        <v>0.11752958482949469</v>
      </c>
      <c r="D17" s="248">
        <v>0.11058408299501461</v>
      </c>
      <c r="E17" s="138">
        <f t="shared" si="4"/>
        <v>6.9455018344800751E-3</v>
      </c>
      <c r="F17" s="128"/>
      <c r="G17" s="123" t="s">
        <v>214</v>
      </c>
      <c r="H17" s="233">
        <f>SUM('（４）訂單數量構成比'!U14:U49)</f>
        <v>206604</v>
      </c>
      <c r="I17" s="138">
        <f t="shared" si="1"/>
        <v>0.11158941076962796</v>
      </c>
      <c r="J17" s="248">
        <v>0.10593797849607108</v>
      </c>
      <c r="K17" s="138">
        <f t="shared" si="2"/>
        <v>5.6514322735568834E-3</v>
      </c>
    </row>
    <row r="18" spans="1:11" s="116" customFormat="1" ht="18" customHeight="1">
      <c r="A18" s="123" t="s">
        <v>201</v>
      </c>
      <c r="B18" s="233">
        <f>SUM('（３）業績構成比'!W14:W49)/1000</f>
        <v>0</v>
      </c>
      <c r="C18" s="138">
        <f t="shared" si="3"/>
        <v>0</v>
      </c>
      <c r="D18" s="248">
        <v>0</v>
      </c>
      <c r="E18" s="138">
        <f t="shared" si="4"/>
        <v>0</v>
      </c>
      <c r="F18" s="128"/>
      <c r="G18" s="123" t="s">
        <v>200</v>
      </c>
      <c r="H18" s="233">
        <f>SUM('（４）訂單數量構成比'!W14:W49)</f>
        <v>0</v>
      </c>
      <c r="I18" s="138">
        <f t="shared" si="1"/>
        <v>0</v>
      </c>
      <c r="J18" s="248">
        <v>0</v>
      </c>
      <c r="K18" s="138">
        <f t="shared" si="2"/>
        <v>0</v>
      </c>
    </row>
    <row r="19" spans="1:11" s="116" customFormat="1" ht="18" customHeight="1">
      <c r="A19" s="123" t="s">
        <v>205</v>
      </c>
      <c r="B19" s="233">
        <f>SUM('（３）業績構成比'!Y14:Y49,'（３）業績構成比'!AA14:AA49)/1000</f>
        <v>12576.892163078581</v>
      </c>
      <c r="C19" s="138">
        <f t="shared" si="3"/>
        <v>0.21544857401403048</v>
      </c>
      <c r="D19" s="248">
        <v>0.22661098208744013</v>
      </c>
      <c r="E19" s="138">
        <f t="shared" si="4"/>
        <v>-1.1162408073409652E-2</v>
      </c>
      <c r="F19" s="128"/>
      <c r="G19" s="123" t="s">
        <v>204</v>
      </c>
      <c r="H19" s="233">
        <f>SUM('（４）訂單數量構成比'!Y14:Y49,'（４）訂單數量構成比'!AA14:AA49)</f>
        <v>328091</v>
      </c>
      <c r="I19" s="138">
        <f t="shared" si="1"/>
        <v>0.17720606265521485</v>
      </c>
      <c r="J19" s="248">
        <v>0.18387973027544546</v>
      </c>
      <c r="K19" s="138">
        <f t="shared" si="2"/>
        <v>-6.6736676202306111E-3</v>
      </c>
    </row>
    <row r="20" spans="1:11" s="116" customFormat="1" ht="18" customHeight="1">
      <c r="A20" s="123" t="s">
        <v>207</v>
      </c>
      <c r="B20" s="233">
        <f>SUM('（３）業績構成比'!AE14:AE49)/1000</f>
        <v>9225.7414665386168</v>
      </c>
      <c r="C20" s="138">
        <f t="shared" si="3"/>
        <v>0.15804165428268341</v>
      </c>
      <c r="D20" s="248">
        <v>0.16118834852393671</v>
      </c>
      <c r="E20" s="138">
        <f t="shared" si="4"/>
        <v>-3.1466942412533006E-3</v>
      </c>
      <c r="F20" s="128"/>
      <c r="G20" s="123" t="s">
        <v>206</v>
      </c>
      <c r="H20" s="233">
        <f>SUM('（４）訂單數量構成比'!AE14:AE49)</f>
        <v>157207</v>
      </c>
      <c r="I20" s="138">
        <f t="shared" si="1"/>
        <v>8.4909471737531231E-2</v>
      </c>
      <c r="J20" s="248">
        <v>8.7159899715636618E-2</v>
      </c>
      <c r="K20" s="138">
        <f t="shared" si="2"/>
        <v>-2.2504279781053876E-3</v>
      </c>
    </row>
    <row r="21" spans="1:11" s="116" customFormat="1" ht="18" customHeight="1">
      <c r="A21" s="123" t="s">
        <v>209</v>
      </c>
      <c r="B21" s="233">
        <f>SUM('（３）業績構成比'!AG14:AG49)/1000</f>
        <v>3664.9913699489089</v>
      </c>
      <c r="C21" s="138">
        <f t="shared" si="3"/>
        <v>6.278317045185966E-2</v>
      </c>
      <c r="D21" s="248">
        <v>6.8874837804121736E-2</v>
      </c>
      <c r="E21" s="138">
        <f t="shared" si="4"/>
        <v>-6.0916673522620757E-3</v>
      </c>
      <c r="F21" s="128"/>
      <c r="G21" s="123" t="s">
        <v>215</v>
      </c>
      <c r="H21" s="233">
        <f>SUM('（４）訂單數量構成比'!AG14:AG49)</f>
        <v>77323</v>
      </c>
      <c r="I21" s="138">
        <f t="shared" si="1"/>
        <v>4.176312176405076E-2</v>
      </c>
      <c r="J21" s="248">
        <v>4.487031179014319E-2</v>
      </c>
      <c r="K21" s="138">
        <f t="shared" si="2"/>
        <v>-3.1071900260924296E-3</v>
      </c>
    </row>
    <row r="22" spans="1:11" s="116" customFormat="1" ht="18" customHeight="1">
      <c r="A22" s="123" t="s">
        <v>210</v>
      </c>
      <c r="B22" s="233">
        <f>SUM('（３）業績構成比'!AI14:AI49)/1000</f>
        <v>6780.6136381797942</v>
      </c>
      <c r="C22" s="138">
        <f t="shared" si="3"/>
        <v>0.1161553681421031</v>
      </c>
      <c r="D22" s="248">
        <v>9.5773639996811016E-2</v>
      </c>
      <c r="E22" s="138">
        <f t="shared" si="4"/>
        <v>2.0381728145292086E-2</v>
      </c>
      <c r="F22" s="128"/>
      <c r="G22" s="123" t="s">
        <v>216</v>
      </c>
      <c r="H22" s="233">
        <f>SUM('（４）訂單數量構成比'!AI14:AI49)</f>
        <v>185323</v>
      </c>
      <c r="I22" s="138">
        <f t="shared" si="1"/>
        <v>0.10009527585167645</v>
      </c>
      <c r="J22" s="248">
        <v>8.3813056317410109E-2</v>
      </c>
      <c r="K22" s="138">
        <f t="shared" si="2"/>
        <v>1.628221953426634E-2</v>
      </c>
    </row>
    <row r="23" spans="1:11" s="116" customFormat="1" ht="18" customHeight="1">
      <c r="A23" s="123" t="s">
        <v>212</v>
      </c>
      <c r="B23" s="233">
        <f>SUM('（３）業績構成比'!AK14:AK49)/1000</f>
        <v>4380.0475642375432</v>
      </c>
      <c r="C23" s="138">
        <f t="shared" si="3"/>
        <v>7.5032447570705166E-2</v>
      </c>
      <c r="D23" s="248">
        <v>7.4989579893039088E-2</v>
      </c>
      <c r="E23" s="138">
        <f t="shared" si="4"/>
        <v>4.2867677666078019E-5</v>
      </c>
      <c r="F23" s="128"/>
      <c r="G23" s="123" t="s">
        <v>211</v>
      </c>
      <c r="H23" s="233">
        <f>SUM('（４）訂單數量構成比'!AK14:AK49)</f>
        <v>147972</v>
      </c>
      <c r="I23" s="138">
        <f t="shared" si="1"/>
        <v>7.992153245050139E-2</v>
      </c>
      <c r="J23" s="248">
        <v>8.0643940031296796E-2</v>
      </c>
      <c r="K23" s="138">
        <f t="shared" si="2"/>
        <v>-7.2240758079540612E-4</v>
      </c>
    </row>
    <row r="24" spans="1:11" s="116" customFormat="1" ht="15.75" customHeight="1">
      <c r="A24" s="128"/>
      <c r="B24" s="128"/>
      <c r="C24" s="132">
        <f>SUM(C15:C23)</f>
        <v>1</v>
      </c>
      <c r="D24" s="132">
        <f>SUM(D15:D23)</f>
        <v>1</v>
      </c>
      <c r="E24" s="128"/>
      <c r="F24" s="128"/>
      <c r="G24" s="128"/>
      <c r="H24" s="128"/>
      <c r="I24" s="132">
        <f>SUM(I15:I23)</f>
        <v>1</v>
      </c>
      <c r="J24" s="132">
        <f>SUM(J15:J23)</f>
        <v>1</v>
      </c>
      <c r="K24" s="128"/>
    </row>
    <row r="25" spans="1:11" s="116" customFormat="1" ht="9.6" customHeight="1">
      <c r="A25" s="133"/>
      <c r="B25" s="128"/>
      <c r="C25" s="128"/>
      <c r="D25" s="128"/>
      <c r="E25" s="128"/>
      <c r="F25" s="128"/>
      <c r="G25" s="128"/>
      <c r="H25" s="128"/>
      <c r="I25" s="128"/>
      <c r="J25" s="128"/>
      <c r="K25" s="128"/>
    </row>
    <row r="26" spans="1:11" s="116" customFormat="1" ht="15.75" customHeight="1">
      <c r="A26" s="127" t="s">
        <v>435</v>
      </c>
      <c r="B26" s="128"/>
      <c r="C26" s="128"/>
      <c r="D26" s="128"/>
      <c r="E26" s="128"/>
      <c r="F26" s="128"/>
      <c r="G26" s="128"/>
      <c r="H26" s="128"/>
      <c r="I26" s="128"/>
      <c r="J26" s="128"/>
      <c r="K26" s="128"/>
    </row>
    <row r="27" spans="1:11" s="116" customFormat="1" ht="15.75" customHeight="1">
      <c r="A27" s="123" t="s">
        <v>167</v>
      </c>
      <c r="B27" s="213" t="s">
        <v>309</v>
      </c>
      <c r="C27" s="213" t="s">
        <v>311</v>
      </c>
      <c r="D27" s="123" t="s">
        <v>2</v>
      </c>
      <c r="E27" s="123" t="s">
        <v>355</v>
      </c>
      <c r="G27" s="128"/>
      <c r="H27" s="128"/>
      <c r="I27" s="128"/>
      <c r="J27" s="128"/>
      <c r="K27" s="128"/>
    </row>
    <row r="28" spans="1:11" s="116" customFormat="1" ht="18" customHeight="1">
      <c r="A28" s="123" t="s">
        <v>316</v>
      </c>
      <c r="B28" s="237">
        <f>'（５-1）品群別人時生產性（18℃-飯糰）'!L42</f>
        <v>847.96868981942487</v>
      </c>
      <c r="C28" s="251">
        <v>866.64459457553869</v>
      </c>
      <c r="D28" s="238">
        <f t="shared" ref="D28:D36" si="5">B28-C28</f>
        <v>-18.675904756113823</v>
      </c>
      <c r="E28" s="124">
        <f>'（５-1）品群別人時生產性（18℃-飯糰）'!C1</f>
        <v>857.30664219748178</v>
      </c>
      <c r="G28" s="142"/>
      <c r="H28" s="484"/>
      <c r="I28" s="142"/>
      <c r="J28" s="142"/>
      <c r="K28" s="128"/>
    </row>
    <row r="29" spans="1:11" s="116" customFormat="1" ht="18" customHeight="1">
      <c r="A29" s="123" t="s">
        <v>202</v>
      </c>
      <c r="B29" s="237">
        <f>'（５-2）品群別人時生產性（18-壽司手卷)'!L27</f>
        <v>127.87654018133756</v>
      </c>
      <c r="C29" s="251">
        <v>135.54729581794425</v>
      </c>
      <c r="D29" s="238">
        <f t="shared" si="5"/>
        <v>-7.6707556366066854</v>
      </c>
      <c r="E29" s="124">
        <f>'（５-2）品群別人時生產性（18-壽司手卷)'!C1</f>
        <v>131.71191799964089</v>
      </c>
      <c r="G29" s="143"/>
      <c r="H29" s="484"/>
      <c r="I29" s="144"/>
      <c r="J29" s="145"/>
      <c r="K29" s="128"/>
    </row>
    <row r="30" spans="1:11" s="116" customFormat="1" ht="18" customHeight="1">
      <c r="A30" s="123" t="s">
        <v>214</v>
      </c>
      <c r="B30" s="237">
        <f>'（５-3）品群別人時生產性（4℃-飯糰)'!L27</f>
        <v>211.49932306740652</v>
      </c>
      <c r="C30" s="251">
        <v>213.01979624234934</v>
      </c>
      <c r="D30" s="238">
        <f t="shared" si="5"/>
        <v>-1.520473174942822</v>
      </c>
      <c r="E30" s="124">
        <f>'（５-3）品群別人時生產性（4℃-飯糰)'!C1</f>
        <v>212.25955965487793</v>
      </c>
      <c r="G30" s="128"/>
      <c r="H30" s="484"/>
      <c r="I30" s="128"/>
      <c r="J30" s="128"/>
      <c r="K30" s="128"/>
    </row>
    <row r="31" spans="1:11" s="116" customFormat="1" ht="18" customHeight="1">
      <c r="A31" s="123" t="s">
        <v>200</v>
      </c>
      <c r="B31" s="237" t="str">
        <f>'（５-4）品群別人時生產性（4℃-壽司手卷)'!L27</f>
        <v>-</v>
      </c>
      <c r="C31" s="251" t="s">
        <v>8</v>
      </c>
      <c r="D31" s="238" t="e">
        <f t="shared" si="5"/>
        <v>#VALUE!</v>
      </c>
      <c r="E31" s="124" t="e">
        <f>'（５-4）品群別人時生產性（4℃-壽司手卷)'!C1</f>
        <v>#DIV/0!</v>
      </c>
      <c r="G31" s="492" t="s">
        <v>692</v>
      </c>
      <c r="H31" s="484"/>
      <c r="I31" s="128"/>
      <c r="J31" s="128"/>
      <c r="K31" s="128"/>
    </row>
    <row r="32" spans="1:11" s="116" customFormat="1" ht="18" customHeight="1">
      <c r="A32" s="123" t="s">
        <v>204</v>
      </c>
      <c r="B32" s="237">
        <f>'（５-5）品群別人時生產性(主食) '!L42</f>
        <v>91.499736475159281</v>
      </c>
      <c r="C32" s="251">
        <v>91.511170616596161</v>
      </c>
      <c r="D32" s="238">
        <f t="shared" si="5"/>
        <v>-1.1434141436879486E-2</v>
      </c>
      <c r="E32" s="124">
        <f>'（５-5）品群別人時生產性(主食) '!C1</f>
        <v>91.505453545877714</v>
      </c>
      <c r="G32" s="128"/>
      <c r="H32" s="484"/>
      <c r="I32" s="128"/>
      <c r="J32" s="128"/>
      <c r="K32" s="128"/>
    </row>
    <row r="33" spans="1:11" s="116" customFormat="1" ht="18" customHeight="1">
      <c r="A33" s="123" t="s">
        <v>206</v>
      </c>
      <c r="B33" s="237">
        <f>'（５-6）品群別人時生產性(便當)'!L27</f>
        <v>73.413492913453638</v>
      </c>
      <c r="C33" s="251">
        <v>73.320267601444044</v>
      </c>
      <c r="D33" s="238">
        <f t="shared" si="5"/>
        <v>9.3225312009593608E-2</v>
      </c>
      <c r="E33" s="124">
        <f>'（５-6）品群別人時生產性(便當)'!C1</f>
        <v>73.366880257448841</v>
      </c>
      <c r="G33" s="128"/>
      <c r="H33" s="484"/>
      <c r="I33" s="128"/>
      <c r="J33" s="128"/>
      <c r="K33" s="128"/>
    </row>
    <row r="34" spans="1:11" s="116" customFormat="1" ht="18" customHeight="1">
      <c r="A34" s="123" t="s">
        <v>215</v>
      </c>
      <c r="B34" s="237">
        <f>'（５-7）品群別人時生產性(熱食義麵) '!L27</f>
        <v>81.61691910651065</v>
      </c>
      <c r="C34" s="251">
        <v>81.235721263645317</v>
      </c>
      <c r="D34" s="238">
        <f t="shared" si="5"/>
        <v>0.38119784286533331</v>
      </c>
      <c r="E34" s="124">
        <f>'（５-7）品群別人時生產性(熱食義麵) '!C1</f>
        <v>81.426320185077984</v>
      </c>
      <c r="G34" s="128"/>
      <c r="H34" s="484"/>
      <c r="I34" s="128"/>
      <c r="J34" s="128"/>
      <c r="K34" s="128"/>
    </row>
    <row r="35" spans="1:11" s="116" customFormat="1" ht="18" customHeight="1">
      <c r="A35" s="123" t="s">
        <v>216</v>
      </c>
      <c r="B35" s="237">
        <f>'（５-8）品群別人時生產性(季節調理麵) '!L27</f>
        <v>125.24691367583185</v>
      </c>
      <c r="C35" s="251">
        <v>125.42754444198121</v>
      </c>
      <c r="D35" s="238">
        <f t="shared" si="5"/>
        <v>-0.18063076614936335</v>
      </c>
      <c r="E35" s="124">
        <f>'（５-8）品群別人時生產性(季節調理麵) '!C1</f>
        <v>125.33722905890653</v>
      </c>
      <c r="G35" s="128"/>
      <c r="H35" s="484"/>
      <c r="I35" s="128"/>
      <c r="J35" s="128"/>
      <c r="K35" s="128"/>
    </row>
    <row r="36" spans="1:11" s="116" customFormat="1" ht="18" customHeight="1">
      <c r="A36" s="119" t="s">
        <v>211</v>
      </c>
      <c r="B36" s="237">
        <f>'（５-9）品群別人時生產性(微波小吃)'!L27</f>
        <v>161.81572107195677</v>
      </c>
      <c r="C36" s="251">
        <v>149.15370790642854</v>
      </c>
      <c r="D36" s="238">
        <f t="shared" si="5"/>
        <v>12.662013165528236</v>
      </c>
      <c r="E36" s="124">
        <f>'（５-9）品群別人時生產性(微波小吃)'!C1</f>
        <v>161.50422008679055</v>
      </c>
      <c r="G36" s="128"/>
      <c r="H36" s="484"/>
      <c r="I36" s="128"/>
      <c r="J36" s="128"/>
      <c r="K36" s="128"/>
    </row>
    <row r="37" spans="1:11" s="116" customFormat="1" ht="15.75" customHeight="1">
      <c r="D37" s="288"/>
    </row>
    <row r="38" spans="1:11" s="116" customFormat="1" ht="15.75" customHeight="1"/>
  </sheetData>
  <mergeCells count="2">
    <mergeCell ref="A1:K2"/>
    <mergeCell ref="F3:G3"/>
  </mergeCells>
  <phoneticPr fontId="13" type="noConversion"/>
  <printOptions horizontalCentered="1" gridLines="1"/>
  <pageMargins left="0.39370078740157483" right="0.39370078740157483" top="0.39370078740157483" bottom="0.19685039370078741" header="0" footer="0"/>
  <pageSetup paperSize="9" scale="86" fitToWidth="0" fitToHeight="0" pageOrder="overThenDown" orientation="landscape" cellComments="atEnd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F0"/>
  </sheetPr>
  <dimension ref="A2:W58"/>
  <sheetViews>
    <sheetView zoomScale="70" zoomScaleNormal="70" workbookViewId="0">
      <pane xSplit="5" ySplit="4" topLeftCell="F5" activePane="bottomRight" state="frozen"/>
      <selection pane="topRight" activeCell="F1" sqref="F1"/>
      <selection pane="bottomLeft" activeCell="A5" sqref="A5"/>
      <selection pane="bottomRight" activeCell="R18" sqref="R18"/>
    </sheetView>
  </sheetViews>
  <sheetFormatPr defaultColWidth="8.85546875" defaultRowHeight="14.25"/>
  <cols>
    <col min="1" max="1" width="10.42578125" style="83" bestFit="1" customWidth="1"/>
    <col min="2" max="2" width="12.5703125" style="82" customWidth="1"/>
    <col min="3" max="3" width="8.85546875" style="83"/>
    <col min="4" max="4" width="17.42578125" style="84" customWidth="1"/>
    <col min="5" max="5" width="4.42578125" style="84" customWidth="1"/>
    <col min="6" max="8" width="19.5703125" style="86" customWidth="1"/>
    <col min="9" max="13" width="19.5703125" style="87" customWidth="1"/>
    <col min="14" max="14" width="19.5703125" style="88" customWidth="1"/>
    <col min="15" max="17" width="19.5703125" style="89" customWidth="1"/>
    <col min="18" max="20" width="19.5703125" style="88" customWidth="1"/>
    <col min="21" max="21" width="19.5703125" style="89" customWidth="1"/>
    <col min="22" max="23" width="19.5703125" style="83" customWidth="1"/>
    <col min="24" max="16384" width="8.85546875" style="83"/>
  </cols>
  <sheetData>
    <row r="2" spans="1:23" ht="38.1" customHeight="1">
      <c r="B2" s="607" t="s">
        <v>121</v>
      </c>
      <c r="C2" s="607"/>
      <c r="D2" s="607"/>
      <c r="E2" s="607"/>
      <c r="F2" s="607"/>
      <c r="G2" s="607"/>
      <c r="H2" s="607"/>
      <c r="I2" s="607"/>
      <c r="J2" s="607"/>
      <c r="K2" s="607"/>
      <c r="L2" s="607"/>
      <c r="M2" s="607"/>
      <c r="N2" s="607"/>
      <c r="O2" s="607"/>
      <c r="P2" s="607"/>
      <c r="Q2" s="607"/>
      <c r="R2" s="607"/>
      <c r="S2" s="607"/>
      <c r="T2" s="607"/>
      <c r="U2" s="607"/>
      <c r="V2" s="607"/>
      <c r="W2" s="607"/>
    </row>
    <row r="3" spans="1:23" s="84" customFormat="1" ht="23.45" customHeight="1">
      <c r="B3" s="97"/>
      <c r="C3" s="611" t="s">
        <v>116</v>
      </c>
      <c r="D3" s="612" t="s">
        <v>105</v>
      </c>
      <c r="E3" s="612"/>
      <c r="F3" s="610" t="s">
        <v>330</v>
      </c>
      <c r="G3" s="610"/>
      <c r="H3" s="610"/>
      <c r="I3" s="608" t="s">
        <v>119</v>
      </c>
      <c r="J3" s="608"/>
      <c r="K3" s="608"/>
      <c r="L3" s="609" t="s">
        <v>120</v>
      </c>
      <c r="M3" s="609"/>
      <c r="N3" s="609"/>
      <c r="O3" s="606" t="s">
        <v>122</v>
      </c>
      <c r="P3" s="606"/>
      <c r="Q3" s="606"/>
      <c r="R3" s="613" t="s">
        <v>123</v>
      </c>
      <c r="S3" s="613"/>
      <c r="T3" s="613"/>
      <c r="U3" s="606" t="s">
        <v>124</v>
      </c>
      <c r="V3" s="606"/>
      <c r="W3" s="606"/>
    </row>
    <row r="4" spans="1:23" s="84" customFormat="1" ht="23.45" customHeight="1">
      <c r="A4" s="97"/>
      <c r="B4" s="97"/>
      <c r="C4" s="611"/>
      <c r="D4" s="612"/>
      <c r="E4" s="612"/>
      <c r="F4" s="78" t="s">
        <v>115</v>
      </c>
      <c r="G4" s="78" t="s">
        <v>117</v>
      </c>
      <c r="H4" s="78" t="s">
        <v>118</v>
      </c>
      <c r="I4" s="91" t="s">
        <v>115</v>
      </c>
      <c r="J4" s="91" t="s">
        <v>117</v>
      </c>
      <c r="K4" s="91" t="s">
        <v>118</v>
      </c>
      <c r="L4" s="90" t="s">
        <v>115</v>
      </c>
      <c r="M4" s="90" t="s">
        <v>117</v>
      </c>
      <c r="N4" s="90" t="s">
        <v>118</v>
      </c>
      <c r="O4" s="85" t="s">
        <v>115</v>
      </c>
      <c r="P4" s="85" t="s">
        <v>117</v>
      </c>
      <c r="Q4" s="292" t="s">
        <v>443</v>
      </c>
      <c r="R4" s="85" t="s">
        <v>115</v>
      </c>
      <c r="S4" s="85" t="s">
        <v>117</v>
      </c>
      <c r="T4" s="85" t="s">
        <v>118</v>
      </c>
      <c r="U4" s="85" t="s">
        <v>115</v>
      </c>
      <c r="V4" s="85" t="s">
        <v>117</v>
      </c>
      <c r="W4" s="292" t="s">
        <v>443</v>
      </c>
    </row>
    <row r="5" spans="1:23">
      <c r="A5" s="97"/>
      <c r="B5" s="97"/>
      <c r="C5" s="97"/>
      <c r="D5" s="291">
        <v>46294</v>
      </c>
      <c r="E5" s="291" t="s">
        <v>437</v>
      </c>
      <c r="F5" s="402">
        <v>9442784</v>
      </c>
      <c r="H5" s="308"/>
      <c r="I5" s="405">
        <v>293370</v>
      </c>
      <c r="K5" s="309"/>
      <c r="L5" s="224">
        <v>6288201</v>
      </c>
      <c r="M5" s="289"/>
      <c r="N5" s="308"/>
      <c r="O5" s="89">
        <f t="shared" ref="O5:O39" si="0">L5/F5</f>
        <v>0.66592659537695664</v>
      </c>
      <c r="P5" s="290"/>
      <c r="Q5" s="307"/>
      <c r="R5" s="402">
        <v>1047058.4342515324</v>
      </c>
      <c r="S5" s="289"/>
      <c r="T5" s="308"/>
      <c r="U5" s="89">
        <f t="shared" ref="U5:U40" si="1">R5/F5</f>
        <v>0.11088450548604442</v>
      </c>
      <c r="V5" s="290"/>
      <c r="W5" s="307"/>
    </row>
    <row r="6" spans="1:23">
      <c r="A6" s="97"/>
      <c r="B6" s="97"/>
      <c r="C6" s="97"/>
      <c r="D6" s="291">
        <f t="shared" ref="D6" si="2">D5+1</f>
        <v>46295</v>
      </c>
      <c r="E6" s="291" t="s">
        <v>438</v>
      </c>
      <c r="F6" s="402">
        <v>9018978</v>
      </c>
      <c r="G6" s="289">
        <f>SUM(F5:F11)</f>
        <v>60334337</v>
      </c>
      <c r="H6" s="308"/>
      <c r="I6" s="405">
        <v>282568</v>
      </c>
      <c r="J6" s="87">
        <f>SUM(I5:I11)</f>
        <v>1901792</v>
      </c>
      <c r="K6" s="309"/>
      <c r="L6" s="224">
        <v>5846024</v>
      </c>
      <c r="M6" s="289">
        <f>SUM(L5:L11)</f>
        <v>40572211</v>
      </c>
      <c r="N6" s="308"/>
      <c r="O6" s="89">
        <f t="shared" si="0"/>
        <v>0.64819140261790198</v>
      </c>
      <c r="P6" s="89">
        <f>M6/G6</f>
        <v>0.67245639908167054</v>
      </c>
      <c r="Q6" s="307"/>
      <c r="R6" s="402">
        <v>1035724.3699633379</v>
      </c>
      <c r="S6" s="289">
        <f>SUM(R5:R11)</f>
        <v>7141917.5438743904</v>
      </c>
      <c r="T6" s="308"/>
      <c r="U6" s="89">
        <f t="shared" si="1"/>
        <v>0.11483832979339099</v>
      </c>
      <c r="V6" s="89">
        <f>S6/G6</f>
        <v>0.11837235476498881</v>
      </c>
      <c r="W6" s="307"/>
    </row>
    <row r="7" spans="1:23" ht="16.5" customHeight="1">
      <c r="A7" s="97"/>
      <c r="B7" s="97"/>
      <c r="C7" s="97"/>
      <c r="D7" s="291">
        <f>D6+1</f>
        <v>46296</v>
      </c>
      <c r="E7" s="291" t="s">
        <v>439</v>
      </c>
      <c r="F7" s="402">
        <v>8168633</v>
      </c>
      <c r="I7" s="405">
        <v>259744</v>
      </c>
      <c r="L7" s="224">
        <v>5893303</v>
      </c>
      <c r="M7" s="86"/>
      <c r="N7" s="86"/>
      <c r="O7" s="89">
        <f t="shared" si="0"/>
        <v>0.7214552300244117</v>
      </c>
      <c r="R7" s="402">
        <v>1025608.276752043</v>
      </c>
      <c r="S7" s="86"/>
      <c r="T7" s="86"/>
      <c r="U7" s="89">
        <f t="shared" si="1"/>
        <v>0.12555445651090494</v>
      </c>
      <c r="V7" s="89"/>
    </row>
    <row r="8" spans="1:23" ht="16.5" customHeight="1">
      <c r="A8" s="97"/>
      <c r="B8" s="97"/>
      <c r="C8" s="97"/>
      <c r="D8" s="291">
        <f t="shared" ref="D8:D11" si="3">D7+1</f>
        <v>46297</v>
      </c>
      <c r="E8" s="291" t="s">
        <v>440</v>
      </c>
      <c r="F8" s="402">
        <v>7055865</v>
      </c>
      <c r="G8" s="289"/>
      <c r="H8" s="308"/>
      <c r="I8" s="405">
        <v>226048</v>
      </c>
      <c r="K8" s="309"/>
      <c r="L8" s="224">
        <v>4906802</v>
      </c>
      <c r="M8" s="289"/>
      <c r="N8" s="308"/>
      <c r="O8" s="89">
        <f t="shared" si="0"/>
        <v>0.6954217519751299</v>
      </c>
      <c r="P8" s="290"/>
      <c r="Q8" s="307"/>
      <c r="R8" s="402">
        <v>987316.0793492652</v>
      </c>
      <c r="S8" s="289"/>
      <c r="T8" s="308"/>
      <c r="U8" s="89">
        <f t="shared" si="1"/>
        <v>0.13992842540911216</v>
      </c>
      <c r="V8" s="290"/>
      <c r="W8" s="307"/>
    </row>
    <row r="9" spans="1:23" ht="16.5" customHeight="1">
      <c r="A9" s="97"/>
      <c r="B9" s="97"/>
      <c r="C9" s="97"/>
      <c r="D9" s="291">
        <f t="shared" si="3"/>
        <v>46298</v>
      </c>
      <c r="E9" s="291" t="s">
        <v>441</v>
      </c>
      <c r="F9" s="402">
        <v>7451826</v>
      </c>
      <c r="G9" s="289"/>
      <c r="H9" s="308"/>
      <c r="I9" s="405">
        <v>238422</v>
      </c>
      <c r="K9" s="309"/>
      <c r="L9" s="402">
        <v>4978383</v>
      </c>
      <c r="M9" s="289"/>
      <c r="N9" s="308"/>
      <c r="O9" s="89">
        <f t="shared" si="0"/>
        <v>0.66807558308527337</v>
      </c>
      <c r="P9" s="290"/>
      <c r="Q9" s="307"/>
      <c r="R9" s="402">
        <v>1004093.4134950985</v>
      </c>
      <c r="S9" s="289"/>
      <c r="T9" s="308"/>
      <c r="U9" s="89">
        <f t="shared" si="1"/>
        <v>0.13474461340013824</v>
      </c>
      <c r="V9" s="290"/>
      <c r="W9" s="307"/>
    </row>
    <row r="10" spans="1:23" ht="16.5" customHeight="1">
      <c r="A10" s="97"/>
      <c r="B10" s="97"/>
      <c r="C10" s="97"/>
      <c r="D10" s="291">
        <f t="shared" si="3"/>
        <v>46299</v>
      </c>
      <c r="E10" s="291" t="s">
        <v>442</v>
      </c>
      <c r="F10" s="402">
        <v>9737432</v>
      </c>
      <c r="H10" s="308">
        <f>SUM(F6:F36)</f>
        <v>109266932</v>
      </c>
      <c r="I10" s="405">
        <v>304350</v>
      </c>
      <c r="K10" s="309">
        <f>SUM(I6:I36)</f>
        <v>3459888</v>
      </c>
      <c r="L10" s="402">
        <v>6244174</v>
      </c>
      <c r="M10" s="86"/>
      <c r="N10" s="308">
        <f>SUM(L6:L36)</f>
        <v>73768288</v>
      </c>
      <c r="O10" s="89">
        <f t="shared" si="0"/>
        <v>0.64125469631007437</v>
      </c>
      <c r="P10" s="290"/>
      <c r="Q10" s="307">
        <f>N10/H10</f>
        <v>0.67511997133771451</v>
      </c>
      <c r="R10" s="402">
        <v>1064557.9966825987</v>
      </c>
      <c r="S10" s="86"/>
      <c r="T10" s="308">
        <f>SUM(R6:R36)</f>
        <v>12968861.375087069</v>
      </c>
      <c r="U10" s="89">
        <f t="shared" si="1"/>
        <v>0.10932636003851927</v>
      </c>
      <c r="V10" s="290"/>
      <c r="W10" s="307">
        <f>T10/H10</f>
        <v>0.11868971826798495</v>
      </c>
    </row>
    <row r="11" spans="1:23" ht="16.5" customHeight="1">
      <c r="A11" s="97"/>
      <c r="B11" s="97"/>
      <c r="C11" s="97"/>
      <c r="D11" s="291">
        <f t="shared" si="3"/>
        <v>46300</v>
      </c>
      <c r="E11" s="291" t="s">
        <v>436</v>
      </c>
      <c r="F11" s="402">
        <v>9458819</v>
      </c>
      <c r="G11" s="289"/>
      <c r="H11" s="308"/>
      <c r="I11" s="405">
        <v>297290</v>
      </c>
      <c r="K11" s="309"/>
      <c r="L11" s="402">
        <v>6415324</v>
      </c>
      <c r="M11" s="289"/>
      <c r="N11" s="308"/>
      <c r="O11" s="89">
        <f t="shared" si="0"/>
        <v>0.67823731482756988</v>
      </c>
      <c r="Q11" s="307"/>
      <c r="R11" s="402">
        <v>977558.97338051489</v>
      </c>
      <c r="S11" s="289"/>
      <c r="T11" s="308"/>
      <c r="U11" s="89">
        <f t="shared" si="1"/>
        <v>0.10334894592871635</v>
      </c>
      <c r="V11" s="89"/>
      <c r="W11" s="307"/>
    </row>
    <row r="12" spans="1:23" ht="16.5" customHeight="1">
      <c r="A12" s="97"/>
      <c r="B12" s="97"/>
      <c r="C12" s="97"/>
      <c r="D12" s="344">
        <f t="shared" ref="D12:D34" si="4">D11+1</f>
        <v>46301</v>
      </c>
      <c r="E12" s="344" t="s">
        <v>437</v>
      </c>
      <c r="F12" s="224">
        <v>8843571</v>
      </c>
      <c r="G12" s="289">
        <f>SUM(F12:F18)</f>
        <v>58375379</v>
      </c>
      <c r="H12" s="308"/>
      <c r="I12" s="225">
        <v>281903</v>
      </c>
      <c r="J12" s="87">
        <f>SUM(I12:I18)</f>
        <v>1851466</v>
      </c>
      <c r="K12" s="309"/>
      <c r="L12" s="224">
        <v>5805400</v>
      </c>
      <c r="M12" s="289">
        <f>SUM(L12:L18)</f>
        <v>39484278</v>
      </c>
      <c r="N12" s="308"/>
      <c r="O12" s="89">
        <f t="shared" si="0"/>
        <v>0.6564542762194141</v>
      </c>
      <c r="P12" s="89">
        <f>M12/G12</f>
        <v>0.67638580984630525</v>
      </c>
      <c r="Q12" s="307"/>
      <c r="R12" s="226">
        <v>954775.58045574278</v>
      </c>
      <c r="S12" s="289">
        <f>SUM(R12:R18)</f>
        <v>6874002.2654642109</v>
      </c>
      <c r="T12" s="308"/>
      <c r="U12" s="89">
        <f t="shared" si="1"/>
        <v>0.10796267485789877</v>
      </c>
      <c r="V12" s="89">
        <f>S12/G12</f>
        <v>0.11775516293374662</v>
      </c>
      <c r="W12" s="307"/>
    </row>
    <row r="13" spans="1:23" ht="16.5" customHeight="1">
      <c r="A13" s="97"/>
      <c r="B13" s="97"/>
      <c r="C13" s="97"/>
      <c r="D13" s="344">
        <f t="shared" si="4"/>
        <v>46302</v>
      </c>
      <c r="E13" s="344" t="s">
        <v>438</v>
      </c>
      <c r="F13" s="224">
        <v>8266220</v>
      </c>
      <c r="H13" s="308"/>
      <c r="I13" s="225">
        <v>265437</v>
      </c>
      <c r="K13" s="309"/>
      <c r="L13" s="224">
        <v>5654118</v>
      </c>
      <c r="M13" s="86"/>
      <c r="N13" s="308"/>
      <c r="O13" s="89">
        <f t="shared" si="0"/>
        <v>0.68400284531502908</v>
      </c>
      <c r="P13" s="290"/>
      <c r="Q13" s="307"/>
      <c r="R13" s="224">
        <v>978038.37252865988</v>
      </c>
      <c r="S13" s="86"/>
      <c r="T13" s="308"/>
      <c r="U13" s="89">
        <f t="shared" si="1"/>
        <v>0.11831748641200693</v>
      </c>
      <c r="V13" s="290"/>
      <c r="W13" s="307"/>
    </row>
    <row r="14" spans="1:23" ht="16.5" customHeight="1">
      <c r="A14" s="97"/>
      <c r="B14" s="97"/>
      <c r="C14" s="97"/>
      <c r="D14" s="344">
        <f t="shared" si="4"/>
        <v>46303</v>
      </c>
      <c r="E14" s="344" t="s">
        <v>439</v>
      </c>
      <c r="F14" s="224">
        <v>7580746</v>
      </c>
      <c r="G14" s="289"/>
      <c r="H14" s="308"/>
      <c r="I14" s="225">
        <v>241766</v>
      </c>
      <c r="K14" s="309"/>
      <c r="L14" s="224">
        <v>5393410</v>
      </c>
      <c r="M14" s="289"/>
      <c r="N14" s="308"/>
      <c r="O14" s="89">
        <f t="shared" si="0"/>
        <v>0.71146164242938625</v>
      </c>
      <c r="P14" s="290"/>
      <c r="Q14" s="307"/>
      <c r="R14" s="224">
        <v>988534.05696963193</v>
      </c>
      <c r="S14" s="289"/>
      <c r="T14" s="308"/>
      <c r="U14" s="89">
        <f t="shared" si="1"/>
        <v>0.13040063035611957</v>
      </c>
      <c r="V14" s="290"/>
      <c r="W14" s="307"/>
    </row>
    <row r="15" spans="1:23" ht="16.5" customHeight="1">
      <c r="A15" s="97"/>
      <c r="B15" s="97"/>
      <c r="C15" s="97"/>
      <c r="D15" s="344">
        <f t="shared" si="4"/>
        <v>46304</v>
      </c>
      <c r="E15" s="344" t="s">
        <v>440</v>
      </c>
      <c r="F15" s="224">
        <v>6953258</v>
      </c>
      <c r="G15" s="289"/>
      <c r="H15" s="308"/>
      <c r="I15" s="225">
        <v>222770</v>
      </c>
      <c r="K15" s="309"/>
      <c r="L15" s="224">
        <v>4954776</v>
      </c>
      <c r="M15" s="289"/>
      <c r="N15" s="308"/>
      <c r="O15" s="89">
        <f t="shared" si="0"/>
        <v>0.71258336739410499</v>
      </c>
      <c r="Q15" s="307"/>
      <c r="R15" s="224">
        <v>949304.66284463205</v>
      </c>
      <c r="S15" s="289"/>
      <c r="T15" s="308"/>
      <c r="U15" s="89">
        <f t="shared" si="1"/>
        <v>0.1365265984441584</v>
      </c>
      <c r="V15" s="89"/>
      <c r="W15" s="307"/>
    </row>
    <row r="16" spans="1:23" ht="16.5" customHeight="1">
      <c r="A16" s="97"/>
      <c r="B16" s="97"/>
      <c r="C16" s="97"/>
      <c r="D16" s="344">
        <f t="shared" si="4"/>
        <v>46305</v>
      </c>
      <c r="E16" s="344" t="s">
        <v>441</v>
      </c>
      <c r="F16" s="224">
        <v>7224381</v>
      </c>
      <c r="G16" s="289"/>
      <c r="H16" s="308"/>
      <c r="I16" s="225">
        <v>228538</v>
      </c>
      <c r="K16" s="309"/>
      <c r="L16" s="224">
        <v>4809362</v>
      </c>
      <c r="M16" s="289"/>
      <c r="N16" s="308"/>
      <c r="O16" s="89">
        <f t="shared" si="0"/>
        <v>0.66571267489906749</v>
      </c>
      <c r="P16" s="290"/>
      <c r="Q16" s="307"/>
      <c r="R16" s="224">
        <v>955662.96943838196</v>
      </c>
      <c r="S16" s="289"/>
      <c r="T16" s="308"/>
      <c r="U16" s="89">
        <f t="shared" si="1"/>
        <v>0.13228302458555022</v>
      </c>
      <c r="V16" s="290"/>
      <c r="W16" s="307"/>
    </row>
    <row r="17" spans="1:23" ht="16.5" customHeight="1">
      <c r="A17" s="97"/>
      <c r="B17" s="97"/>
      <c r="C17" s="97"/>
      <c r="D17" s="344">
        <f t="shared" si="4"/>
        <v>46306</v>
      </c>
      <c r="E17" s="344" t="s">
        <v>442</v>
      </c>
      <c r="F17" s="224">
        <v>9961344</v>
      </c>
      <c r="H17" s="308"/>
      <c r="I17" s="225">
        <v>312714</v>
      </c>
      <c r="K17" s="309"/>
      <c r="L17" s="224">
        <v>6356121</v>
      </c>
      <c r="M17" s="86"/>
      <c r="N17" s="308"/>
      <c r="O17" s="89">
        <f t="shared" si="0"/>
        <v>0.63807865685594234</v>
      </c>
      <c r="P17" s="290"/>
      <c r="Q17" s="307"/>
      <c r="R17" s="224">
        <v>1018615.037796021</v>
      </c>
      <c r="S17" s="86"/>
      <c r="T17" s="308"/>
      <c r="U17" s="89">
        <f t="shared" si="1"/>
        <v>0.10225678761781754</v>
      </c>
      <c r="V17" s="290"/>
      <c r="W17" s="307"/>
    </row>
    <row r="18" spans="1:23" ht="16.5" customHeight="1">
      <c r="A18" s="97"/>
      <c r="B18" s="97"/>
      <c r="C18" s="97"/>
      <c r="D18" s="344">
        <f t="shared" si="4"/>
        <v>46307</v>
      </c>
      <c r="E18" s="344" t="s">
        <v>436</v>
      </c>
      <c r="F18" s="224">
        <v>9545859</v>
      </c>
      <c r="G18" s="289"/>
      <c r="H18" s="308"/>
      <c r="I18" s="225">
        <v>298338</v>
      </c>
      <c r="K18" s="309"/>
      <c r="L18" s="224">
        <v>6511091</v>
      </c>
      <c r="M18" s="289"/>
      <c r="N18" s="308"/>
      <c r="O18" s="89">
        <f t="shared" si="0"/>
        <v>0.68208539430553083</v>
      </c>
      <c r="P18" s="290"/>
      <c r="Q18" s="307"/>
      <c r="R18" s="224">
        <v>1029071.5854311422</v>
      </c>
      <c r="S18" s="289"/>
      <c r="T18" s="308"/>
      <c r="U18" s="89">
        <f t="shared" si="1"/>
        <v>0.10780293166190096</v>
      </c>
      <c r="V18" s="290"/>
      <c r="W18" s="307"/>
    </row>
    <row r="19" spans="1:23" ht="16.5" customHeight="1">
      <c r="A19" s="97"/>
      <c r="B19" s="97"/>
      <c r="C19" s="97"/>
      <c r="D19" s="291">
        <f t="shared" si="4"/>
        <v>46308</v>
      </c>
      <c r="E19" s="291" t="s">
        <v>437</v>
      </c>
      <c r="F19" s="224"/>
      <c r="G19" s="289">
        <f>SUM(F19:F25)</f>
        <v>0</v>
      </c>
      <c r="H19" s="308"/>
      <c r="I19" s="225"/>
      <c r="J19" s="87">
        <f>SUM(I19:I25)</f>
        <v>0</v>
      </c>
      <c r="K19" s="309"/>
      <c r="L19" s="224"/>
      <c r="M19" s="289">
        <f>SUM(L19:L25)</f>
        <v>0</v>
      </c>
      <c r="N19" s="308"/>
      <c r="O19" s="89" t="e">
        <f t="shared" si="0"/>
        <v>#DIV/0!</v>
      </c>
      <c r="P19" s="89" t="e">
        <f>M19/G19</f>
        <v>#DIV/0!</v>
      </c>
      <c r="Q19" s="307"/>
      <c r="R19" s="224"/>
      <c r="S19" s="289">
        <f>SUM(R19:R25)</f>
        <v>0</v>
      </c>
      <c r="T19" s="308"/>
      <c r="U19" s="89" t="e">
        <f t="shared" si="1"/>
        <v>#DIV/0!</v>
      </c>
      <c r="V19" s="89" t="e">
        <f>S19/G19</f>
        <v>#DIV/0!</v>
      </c>
      <c r="W19" s="307"/>
    </row>
    <row r="20" spans="1:23" ht="16.5" customHeight="1">
      <c r="A20" s="97"/>
      <c r="B20" s="97"/>
      <c r="C20" s="97"/>
      <c r="D20" s="291">
        <f t="shared" si="4"/>
        <v>46309</v>
      </c>
      <c r="E20" s="291" t="s">
        <v>438</v>
      </c>
      <c r="F20" s="224"/>
      <c r="G20" s="289"/>
      <c r="H20" s="308"/>
      <c r="I20" s="225"/>
      <c r="K20" s="309"/>
      <c r="L20" s="224"/>
      <c r="M20" s="289"/>
      <c r="N20" s="308"/>
      <c r="O20" s="89" t="e">
        <f t="shared" si="0"/>
        <v>#DIV/0!</v>
      </c>
      <c r="P20" s="290"/>
      <c r="Q20" s="307"/>
      <c r="R20" s="224"/>
      <c r="S20" s="289"/>
      <c r="T20" s="308"/>
      <c r="U20" s="89" t="e">
        <f t="shared" si="1"/>
        <v>#DIV/0!</v>
      </c>
      <c r="V20" s="290"/>
      <c r="W20" s="307"/>
    </row>
    <row r="21" spans="1:23" ht="16.5" customHeight="1">
      <c r="A21" s="97"/>
      <c r="B21" s="97"/>
      <c r="C21" s="97"/>
      <c r="D21" s="291">
        <f t="shared" si="4"/>
        <v>46310</v>
      </c>
      <c r="E21" s="291" t="s">
        <v>439</v>
      </c>
      <c r="F21" s="224"/>
      <c r="H21" s="308"/>
      <c r="I21" s="225"/>
      <c r="K21" s="309"/>
      <c r="L21" s="224"/>
      <c r="M21" s="86"/>
      <c r="N21" s="308"/>
      <c r="O21" s="89" t="e">
        <f t="shared" si="0"/>
        <v>#DIV/0!</v>
      </c>
      <c r="P21" s="290"/>
      <c r="Q21" s="307"/>
      <c r="R21" s="224"/>
      <c r="S21" s="86"/>
      <c r="T21" s="308"/>
      <c r="U21" s="89" t="e">
        <f t="shared" si="1"/>
        <v>#DIV/0!</v>
      </c>
      <c r="V21" s="290"/>
      <c r="W21" s="307"/>
    </row>
    <row r="22" spans="1:23" ht="16.5" customHeight="1">
      <c r="A22" s="97"/>
      <c r="B22" s="97"/>
      <c r="C22" s="97"/>
      <c r="D22" s="291">
        <f t="shared" si="4"/>
        <v>46311</v>
      </c>
      <c r="E22" s="291" t="s">
        <v>440</v>
      </c>
      <c r="F22" s="224"/>
      <c r="G22" s="289"/>
      <c r="H22" s="308"/>
      <c r="I22" s="225"/>
      <c r="K22" s="309"/>
      <c r="L22" s="224"/>
      <c r="M22" s="289"/>
      <c r="N22" s="308"/>
      <c r="O22" s="89" t="e">
        <f t="shared" si="0"/>
        <v>#DIV/0!</v>
      </c>
      <c r="Q22" s="307"/>
      <c r="R22" s="224"/>
      <c r="S22" s="289"/>
      <c r="T22" s="308"/>
      <c r="U22" s="89" t="e">
        <f t="shared" si="1"/>
        <v>#DIV/0!</v>
      </c>
      <c r="V22" s="89"/>
      <c r="W22" s="307"/>
    </row>
    <row r="23" spans="1:23" ht="16.5" customHeight="1">
      <c r="A23" s="97"/>
      <c r="B23" s="97"/>
      <c r="C23" s="97"/>
      <c r="D23" s="291">
        <f t="shared" si="4"/>
        <v>46312</v>
      </c>
      <c r="E23" s="291" t="s">
        <v>441</v>
      </c>
      <c r="F23" s="224"/>
      <c r="G23" s="289"/>
      <c r="H23" s="308"/>
      <c r="I23" s="225"/>
      <c r="K23" s="309"/>
      <c r="L23" s="224"/>
      <c r="M23" s="289"/>
      <c r="N23" s="308"/>
      <c r="O23" s="89" t="e">
        <f t="shared" si="0"/>
        <v>#DIV/0!</v>
      </c>
      <c r="P23" s="290"/>
      <c r="Q23" s="307"/>
      <c r="R23" s="224"/>
      <c r="S23" s="289"/>
      <c r="T23" s="308"/>
      <c r="U23" s="89" t="e">
        <f t="shared" si="1"/>
        <v>#DIV/0!</v>
      </c>
      <c r="V23" s="290"/>
      <c r="W23" s="307"/>
    </row>
    <row r="24" spans="1:23" ht="16.5" customHeight="1">
      <c r="A24" s="97"/>
      <c r="B24" s="97"/>
      <c r="C24" s="97"/>
      <c r="D24" s="291">
        <f t="shared" si="4"/>
        <v>46313</v>
      </c>
      <c r="E24" s="291" t="s">
        <v>442</v>
      </c>
      <c r="F24" s="224"/>
      <c r="G24" s="289"/>
      <c r="H24" s="308"/>
      <c r="I24" s="225"/>
      <c r="K24" s="309"/>
      <c r="L24" s="224"/>
      <c r="M24" s="289"/>
      <c r="N24" s="308"/>
      <c r="O24" s="89" t="e">
        <f t="shared" si="0"/>
        <v>#DIV/0!</v>
      </c>
      <c r="P24" s="290"/>
      <c r="Q24" s="307"/>
      <c r="R24" s="224"/>
      <c r="S24" s="289"/>
      <c r="T24" s="308"/>
      <c r="U24" s="89" t="e">
        <f t="shared" si="1"/>
        <v>#DIV/0!</v>
      </c>
      <c r="V24" s="290"/>
      <c r="W24" s="307"/>
    </row>
    <row r="25" spans="1:23" ht="16.5" customHeight="1">
      <c r="A25" s="97"/>
      <c r="B25" s="97"/>
      <c r="C25" s="97"/>
      <c r="D25" s="291">
        <f t="shared" si="4"/>
        <v>46314</v>
      </c>
      <c r="E25" s="291" t="s">
        <v>436</v>
      </c>
      <c r="F25" s="224"/>
      <c r="H25" s="308"/>
      <c r="I25" s="225"/>
      <c r="K25" s="309"/>
      <c r="L25" s="224"/>
      <c r="M25" s="86"/>
      <c r="N25" s="308"/>
      <c r="O25" s="89" t="e">
        <f t="shared" si="0"/>
        <v>#DIV/0!</v>
      </c>
      <c r="P25" s="290"/>
      <c r="Q25" s="307"/>
      <c r="R25" s="224"/>
      <c r="S25" s="86"/>
      <c r="T25" s="308"/>
      <c r="U25" s="89" t="e">
        <f t="shared" si="1"/>
        <v>#DIV/0!</v>
      </c>
      <c r="V25" s="290"/>
      <c r="W25" s="307"/>
    </row>
    <row r="26" spans="1:23" ht="16.5" customHeight="1">
      <c r="A26" s="97"/>
      <c r="B26" s="97"/>
      <c r="C26" s="97"/>
      <c r="D26" s="344">
        <f t="shared" si="4"/>
        <v>46315</v>
      </c>
      <c r="E26" s="344" t="s">
        <v>437</v>
      </c>
      <c r="F26" s="224"/>
      <c r="G26" s="289">
        <f>SUM(F26:F32)</f>
        <v>0</v>
      </c>
      <c r="H26" s="308"/>
      <c r="I26" s="225"/>
      <c r="J26" s="87">
        <f>SUM(I26:I32)</f>
        <v>0</v>
      </c>
      <c r="K26" s="309"/>
      <c r="L26" s="224"/>
      <c r="M26" s="289">
        <f>SUM(L26:L32)</f>
        <v>0</v>
      </c>
      <c r="N26" s="308"/>
      <c r="O26" s="89" t="e">
        <f t="shared" si="0"/>
        <v>#DIV/0!</v>
      </c>
      <c r="P26" s="89" t="e">
        <f>M26/G26</f>
        <v>#DIV/0!</v>
      </c>
      <c r="Q26" s="307"/>
      <c r="R26" s="224"/>
      <c r="S26" s="289">
        <f>SUM(R26:R32)</f>
        <v>0</v>
      </c>
      <c r="T26" s="308"/>
      <c r="U26" s="89" t="e">
        <f t="shared" si="1"/>
        <v>#DIV/0!</v>
      </c>
      <c r="V26" s="89" t="e">
        <f>S26/G26</f>
        <v>#DIV/0!</v>
      </c>
      <c r="W26" s="307"/>
    </row>
    <row r="27" spans="1:23">
      <c r="A27" s="97"/>
      <c r="B27" s="97"/>
      <c r="C27" s="97"/>
      <c r="D27" s="344">
        <f t="shared" si="4"/>
        <v>46316</v>
      </c>
      <c r="E27" s="344" t="s">
        <v>438</v>
      </c>
      <c r="F27" s="224"/>
      <c r="G27" s="289"/>
      <c r="H27" s="308"/>
      <c r="I27" s="225"/>
      <c r="K27" s="309"/>
      <c r="L27" s="224"/>
      <c r="M27" s="289"/>
      <c r="N27" s="308"/>
      <c r="O27" s="89" t="e">
        <f t="shared" si="0"/>
        <v>#DIV/0!</v>
      </c>
      <c r="P27" s="290"/>
      <c r="Q27" s="307"/>
      <c r="R27" s="224"/>
      <c r="S27" s="289"/>
      <c r="T27" s="308"/>
      <c r="U27" s="89" t="e">
        <f t="shared" si="1"/>
        <v>#DIV/0!</v>
      </c>
      <c r="V27" s="290"/>
      <c r="W27" s="307"/>
    </row>
    <row r="28" spans="1:23">
      <c r="A28" s="97"/>
      <c r="B28" s="97"/>
      <c r="C28" s="97"/>
      <c r="D28" s="344">
        <f t="shared" si="4"/>
        <v>46317</v>
      </c>
      <c r="E28" s="344" t="s">
        <v>439</v>
      </c>
      <c r="F28" s="224"/>
      <c r="H28" s="308"/>
      <c r="I28" s="225"/>
      <c r="K28" s="309"/>
      <c r="L28" s="224"/>
      <c r="M28" s="86"/>
      <c r="N28" s="308"/>
      <c r="O28" s="89" t="e">
        <f t="shared" si="0"/>
        <v>#DIV/0!</v>
      </c>
      <c r="P28" s="290"/>
      <c r="Q28" s="307"/>
      <c r="R28" s="224"/>
      <c r="S28" s="86"/>
      <c r="T28" s="308"/>
      <c r="U28" s="89" t="e">
        <f t="shared" si="1"/>
        <v>#DIV/0!</v>
      </c>
      <c r="V28" s="290"/>
      <c r="W28" s="307"/>
    </row>
    <row r="29" spans="1:23">
      <c r="A29" s="97"/>
      <c r="B29" s="97"/>
      <c r="C29" s="97"/>
      <c r="D29" s="344">
        <f t="shared" si="4"/>
        <v>46318</v>
      </c>
      <c r="E29" s="344" t="s">
        <v>440</v>
      </c>
      <c r="F29" s="224"/>
      <c r="G29" s="289"/>
      <c r="H29" s="308"/>
      <c r="I29" s="225"/>
      <c r="K29" s="309"/>
      <c r="L29" s="224"/>
      <c r="M29" s="289"/>
      <c r="N29" s="308"/>
      <c r="O29" s="89" t="e">
        <f t="shared" si="0"/>
        <v>#DIV/0!</v>
      </c>
      <c r="Q29" s="307"/>
      <c r="R29" s="224"/>
      <c r="S29" s="289"/>
      <c r="T29" s="308"/>
      <c r="U29" s="89" t="e">
        <f t="shared" si="1"/>
        <v>#DIV/0!</v>
      </c>
      <c r="V29" s="89"/>
      <c r="W29" s="307"/>
    </row>
    <row r="30" spans="1:23">
      <c r="A30" s="97"/>
      <c r="B30" s="97"/>
      <c r="C30" s="97"/>
      <c r="D30" s="344">
        <f t="shared" si="4"/>
        <v>46319</v>
      </c>
      <c r="E30" s="344" t="s">
        <v>441</v>
      </c>
      <c r="F30" s="224"/>
      <c r="G30" s="289"/>
      <c r="H30" s="308"/>
      <c r="I30" s="225"/>
      <c r="K30" s="309"/>
      <c r="L30" s="224"/>
      <c r="M30" s="289"/>
      <c r="N30" s="308"/>
      <c r="O30" s="89" t="e">
        <f t="shared" si="0"/>
        <v>#DIV/0!</v>
      </c>
      <c r="P30" s="290"/>
      <c r="Q30" s="307"/>
      <c r="R30" s="224"/>
      <c r="S30" s="289"/>
      <c r="T30" s="308"/>
      <c r="U30" s="89" t="e">
        <f t="shared" si="1"/>
        <v>#DIV/0!</v>
      </c>
      <c r="V30" s="290"/>
      <c r="W30" s="307"/>
    </row>
    <row r="31" spans="1:23">
      <c r="A31" s="97"/>
      <c r="B31" s="97"/>
      <c r="C31" s="97"/>
      <c r="D31" s="344">
        <f t="shared" si="4"/>
        <v>46320</v>
      </c>
      <c r="E31" s="344" t="s">
        <v>442</v>
      </c>
      <c r="F31" s="224"/>
      <c r="G31" s="289"/>
      <c r="H31" s="308"/>
      <c r="I31" s="225"/>
      <c r="K31" s="309"/>
      <c r="L31" s="224"/>
      <c r="M31" s="289"/>
      <c r="N31" s="308"/>
      <c r="O31" s="89" t="e">
        <f>L31/F31</f>
        <v>#DIV/0!</v>
      </c>
      <c r="P31" s="290"/>
      <c r="Q31" s="307"/>
      <c r="R31" s="224"/>
      <c r="S31" s="289"/>
      <c r="T31" s="308"/>
      <c r="U31" s="89" t="e">
        <f>R31/F31</f>
        <v>#DIV/0!</v>
      </c>
      <c r="V31" s="290"/>
      <c r="W31" s="307"/>
    </row>
    <row r="32" spans="1:23">
      <c r="A32" s="97"/>
      <c r="B32" s="97"/>
      <c r="C32" s="97"/>
      <c r="D32" s="344">
        <f t="shared" si="4"/>
        <v>46321</v>
      </c>
      <c r="E32" s="344" t="s">
        <v>436</v>
      </c>
      <c r="F32" s="224"/>
      <c r="H32" s="308"/>
      <c r="I32" s="225"/>
      <c r="K32" s="309"/>
      <c r="L32" s="224"/>
      <c r="M32" s="86"/>
      <c r="N32" s="308"/>
      <c r="O32" s="89" t="e">
        <f t="shared" si="0"/>
        <v>#DIV/0!</v>
      </c>
      <c r="P32" s="290"/>
      <c r="Q32" s="307"/>
      <c r="R32" s="224"/>
      <c r="S32" s="86"/>
      <c r="T32" s="308"/>
      <c r="U32" s="89" t="e">
        <f t="shared" si="1"/>
        <v>#DIV/0!</v>
      </c>
      <c r="V32" s="290"/>
      <c r="W32" s="307"/>
    </row>
    <row r="33" spans="1:23" s="400" customFormat="1">
      <c r="A33" s="396"/>
      <c r="B33" s="396"/>
      <c r="C33" s="396"/>
      <c r="D33" s="291">
        <f t="shared" si="4"/>
        <v>46322</v>
      </c>
      <c r="E33" s="291" t="s">
        <v>437</v>
      </c>
      <c r="F33" s="402"/>
      <c r="G33" s="403">
        <f>SUM(F33:F39)</f>
        <v>0</v>
      </c>
      <c r="H33" s="404"/>
      <c r="I33" s="405"/>
      <c r="J33" s="325">
        <f>SUM(I33:I39)</f>
        <v>0</v>
      </c>
      <c r="K33" s="406"/>
      <c r="L33" s="224"/>
      <c r="M33" s="403">
        <f>SUM(L33:L39)</f>
        <v>0</v>
      </c>
      <c r="N33" s="404"/>
      <c r="O33" s="407" t="e">
        <f t="shared" si="0"/>
        <v>#DIV/0!</v>
      </c>
      <c r="P33" s="407" t="e">
        <f>M33/G33</f>
        <v>#DIV/0!</v>
      </c>
      <c r="Q33" s="408"/>
      <c r="R33" s="402"/>
      <c r="S33" s="403">
        <f>SUM(R33:R39)</f>
        <v>0</v>
      </c>
      <c r="T33" s="404"/>
      <c r="U33" s="407" t="e">
        <f t="shared" si="1"/>
        <v>#DIV/0!</v>
      </c>
      <c r="V33" s="407" t="e">
        <f>S33/G33</f>
        <v>#DIV/0!</v>
      </c>
      <c r="W33" s="399"/>
    </row>
    <row r="34" spans="1:23" s="400" customFormat="1">
      <c r="A34" s="396"/>
      <c r="B34" s="396"/>
      <c r="C34" s="396"/>
      <c r="D34" s="291">
        <f t="shared" si="4"/>
        <v>46323</v>
      </c>
      <c r="E34" s="291" t="s">
        <v>438</v>
      </c>
      <c r="F34" s="402"/>
      <c r="G34" s="409"/>
      <c r="H34" s="404"/>
      <c r="I34" s="405"/>
      <c r="J34" s="325"/>
      <c r="K34" s="406"/>
      <c r="L34" s="224"/>
      <c r="M34" s="403"/>
      <c r="N34" s="404"/>
      <c r="O34" s="407" t="e">
        <f t="shared" si="0"/>
        <v>#DIV/0!</v>
      </c>
      <c r="P34" s="407"/>
      <c r="Q34" s="408"/>
      <c r="R34" s="402"/>
      <c r="S34" s="403"/>
      <c r="T34" s="404"/>
      <c r="U34" s="407" t="e">
        <f t="shared" si="1"/>
        <v>#DIV/0!</v>
      </c>
      <c r="V34" s="407"/>
      <c r="W34" s="399"/>
    </row>
    <row r="35" spans="1:23" s="400" customFormat="1">
      <c r="A35" s="396"/>
      <c r="B35" s="396"/>
      <c r="D35" s="291">
        <f>D34+1</f>
        <v>46324</v>
      </c>
      <c r="E35" s="291" t="s">
        <v>439</v>
      </c>
      <c r="F35" s="402"/>
      <c r="G35" s="403"/>
      <c r="H35" s="409"/>
      <c r="I35" s="405"/>
      <c r="J35" s="325"/>
      <c r="K35" s="325"/>
      <c r="L35" s="224"/>
      <c r="M35" s="403"/>
      <c r="N35" s="409"/>
      <c r="O35" s="407" t="e">
        <f t="shared" si="0"/>
        <v>#DIV/0!</v>
      </c>
      <c r="P35" s="407"/>
      <c r="Q35" s="409"/>
      <c r="R35" s="402"/>
      <c r="S35" s="403"/>
      <c r="T35" s="409"/>
      <c r="U35" s="407" t="e">
        <f t="shared" si="1"/>
        <v>#DIV/0!</v>
      </c>
      <c r="V35" s="407"/>
      <c r="W35" s="401"/>
    </row>
    <row r="36" spans="1:23" s="400" customFormat="1">
      <c r="A36" s="396"/>
      <c r="B36" s="396"/>
      <c r="C36" s="396"/>
      <c r="D36" s="291">
        <f t="shared" ref="D36:D39" si="5">D35+1</f>
        <v>46325</v>
      </c>
      <c r="E36" s="291" t="s">
        <v>440</v>
      </c>
      <c r="F36" s="402"/>
      <c r="G36" s="403"/>
      <c r="H36" s="404"/>
      <c r="I36" s="405"/>
      <c r="J36" s="325"/>
      <c r="K36" s="406"/>
      <c r="L36" s="224"/>
      <c r="M36" s="403"/>
      <c r="N36" s="404"/>
      <c r="O36" s="407" t="e">
        <f t="shared" si="0"/>
        <v>#DIV/0!</v>
      </c>
      <c r="P36" s="407"/>
      <c r="Q36" s="408"/>
      <c r="R36" s="402"/>
      <c r="S36" s="403"/>
      <c r="T36" s="404"/>
      <c r="U36" s="407" t="e">
        <f t="shared" si="1"/>
        <v>#DIV/0!</v>
      </c>
      <c r="V36" s="407"/>
      <c r="W36" s="399"/>
    </row>
    <row r="37" spans="1:23" s="400" customFormat="1">
      <c r="A37" s="396"/>
      <c r="B37" s="396"/>
      <c r="D37" s="291">
        <f t="shared" si="5"/>
        <v>46326</v>
      </c>
      <c r="E37" s="291" t="s">
        <v>441</v>
      </c>
      <c r="F37" s="402"/>
      <c r="G37" s="403"/>
      <c r="H37" s="409"/>
      <c r="I37" s="405"/>
      <c r="J37" s="325"/>
      <c r="K37" s="325"/>
      <c r="L37" s="402"/>
      <c r="M37" s="403"/>
      <c r="N37" s="409"/>
      <c r="O37" s="407" t="e">
        <f t="shared" si="0"/>
        <v>#DIV/0!</v>
      </c>
      <c r="P37" s="407"/>
      <c r="Q37" s="409"/>
      <c r="R37" s="402"/>
      <c r="S37" s="403"/>
      <c r="T37" s="409"/>
      <c r="U37" s="407" t="e">
        <f t="shared" si="1"/>
        <v>#DIV/0!</v>
      </c>
      <c r="V37" s="407"/>
      <c r="W37" s="401"/>
    </row>
    <row r="38" spans="1:23" s="400" customFormat="1">
      <c r="A38" s="396"/>
      <c r="B38" s="396"/>
      <c r="D38" s="291">
        <f t="shared" si="5"/>
        <v>46327</v>
      </c>
      <c r="E38" s="291" t="s">
        <v>442</v>
      </c>
      <c r="F38" s="402"/>
      <c r="G38" s="403"/>
      <c r="H38" s="409"/>
      <c r="I38" s="405"/>
      <c r="J38" s="325"/>
      <c r="K38" s="325"/>
      <c r="L38" s="402"/>
      <c r="M38" s="403"/>
      <c r="N38" s="409"/>
      <c r="O38" s="407" t="e">
        <f t="shared" si="0"/>
        <v>#DIV/0!</v>
      </c>
      <c r="P38" s="407"/>
      <c r="Q38" s="409"/>
      <c r="R38" s="402"/>
      <c r="S38" s="403"/>
      <c r="T38" s="409"/>
      <c r="U38" s="407" t="e">
        <f t="shared" si="1"/>
        <v>#DIV/0!</v>
      </c>
      <c r="V38" s="407"/>
      <c r="W38" s="401"/>
    </row>
    <row r="39" spans="1:23" s="400" customFormat="1">
      <c r="A39" s="396"/>
      <c r="B39" s="396"/>
      <c r="D39" s="291">
        <f t="shared" si="5"/>
        <v>46328</v>
      </c>
      <c r="E39" s="291" t="s">
        <v>436</v>
      </c>
      <c r="F39" s="402"/>
      <c r="G39" s="403"/>
      <c r="H39" s="409"/>
      <c r="I39" s="405"/>
      <c r="J39" s="325"/>
      <c r="K39" s="325"/>
      <c r="L39" s="402"/>
      <c r="M39" s="403"/>
      <c r="N39" s="409"/>
      <c r="O39" s="407" t="e">
        <f t="shared" si="0"/>
        <v>#DIV/0!</v>
      </c>
      <c r="P39" s="407"/>
      <c r="Q39" s="409"/>
      <c r="R39" s="402"/>
      <c r="S39" s="403"/>
      <c r="T39" s="409"/>
      <c r="U39" s="407" t="e">
        <f t="shared" si="1"/>
        <v>#DIV/0!</v>
      </c>
      <c r="V39" s="407"/>
      <c r="W39" s="401"/>
    </row>
    <row r="40" spans="1:23">
      <c r="A40" s="97"/>
      <c r="B40" s="97"/>
      <c r="D40" s="344"/>
      <c r="E40" s="344"/>
      <c r="F40" s="224"/>
      <c r="G40" s="403">
        <f>SUM(F40:F46)</f>
        <v>0</v>
      </c>
      <c r="I40" s="225"/>
      <c r="J40" s="325">
        <f>SUM(I40:I46)</f>
        <v>0</v>
      </c>
      <c r="L40" s="224"/>
      <c r="M40" s="403">
        <f>SUM(L40:L46)</f>
        <v>0</v>
      </c>
      <c r="N40" s="86"/>
      <c r="O40" s="89" t="e">
        <f>L40/F40</f>
        <v>#DIV/0!</v>
      </c>
      <c r="P40" s="407" t="e">
        <f>M40/G40</f>
        <v>#DIV/0!</v>
      </c>
      <c r="Q40" s="86"/>
      <c r="R40" s="224"/>
      <c r="S40" s="403">
        <f>SUM(R40:R46)</f>
        <v>0</v>
      </c>
      <c r="T40" s="86"/>
      <c r="U40" s="89" t="e">
        <f t="shared" si="1"/>
        <v>#DIV/0!</v>
      </c>
      <c r="V40" s="407" t="e">
        <f>S40/G40</f>
        <v>#DIV/0!</v>
      </c>
      <c r="W40" s="86"/>
    </row>
    <row r="41" spans="1:23">
      <c r="A41" s="97"/>
      <c r="B41" s="97"/>
      <c r="D41" s="344"/>
      <c r="E41" s="344"/>
      <c r="F41" s="224"/>
      <c r="G41" s="289"/>
      <c r="I41" s="225"/>
      <c r="L41" s="224"/>
      <c r="M41" s="289"/>
      <c r="N41" s="86"/>
      <c r="O41" s="89" t="e">
        <f>L41/F41</f>
        <v>#DIV/0!</v>
      </c>
      <c r="Q41" s="86"/>
      <c r="R41" s="224"/>
      <c r="S41" s="289"/>
      <c r="T41" s="86"/>
      <c r="U41" s="89" t="e">
        <f>R41/F41</f>
        <v>#DIV/0!</v>
      </c>
      <c r="V41" s="89"/>
      <c r="W41" s="86"/>
    </row>
    <row r="42" spans="1:23">
      <c r="A42" s="97"/>
      <c r="B42" s="97"/>
      <c r="D42" s="344"/>
      <c r="E42" s="344"/>
      <c r="F42" s="224"/>
      <c r="G42" s="289"/>
      <c r="I42" s="225"/>
      <c r="L42" s="224"/>
      <c r="M42" s="289"/>
      <c r="N42" s="86"/>
      <c r="O42" s="89" t="e">
        <f t="shared" ref="O42:O46" si="6">L42/F42</f>
        <v>#DIV/0!</v>
      </c>
      <c r="Q42" s="86"/>
      <c r="R42" s="224"/>
      <c r="S42" s="289"/>
      <c r="T42" s="86"/>
      <c r="U42" s="89" t="e">
        <f t="shared" ref="U42:U46" si="7">R42/F42</f>
        <v>#DIV/0!</v>
      </c>
      <c r="V42" s="89"/>
      <c r="W42" s="86"/>
    </row>
    <row r="43" spans="1:23">
      <c r="A43" s="97"/>
      <c r="B43" s="97"/>
      <c r="D43" s="344"/>
      <c r="E43" s="344"/>
      <c r="F43" s="224"/>
      <c r="G43" s="289"/>
      <c r="I43" s="225"/>
      <c r="L43" s="224"/>
      <c r="M43" s="289"/>
      <c r="N43" s="86"/>
      <c r="O43" s="89" t="e">
        <f t="shared" si="6"/>
        <v>#DIV/0!</v>
      </c>
      <c r="Q43" s="86"/>
      <c r="R43" s="224"/>
      <c r="S43" s="289"/>
      <c r="T43" s="86"/>
      <c r="U43" s="89" t="e">
        <f t="shared" si="7"/>
        <v>#DIV/0!</v>
      </c>
      <c r="V43" s="89"/>
      <c r="W43" s="86"/>
    </row>
    <row r="44" spans="1:23">
      <c r="A44" s="97"/>
      <c r="B44" s="97"/>
      <c r="D44" s="344"/>
      <c r="E44" s="344"/>
      <c r="F44" s="224"/>
      <c r="G44" s="289"/>
      <c r="I44" s="225"/>
      <c r="L44" s="224"/>
      <c r="M44" s="289"/>
      <c r="N44" s="86"/>
      <c r="O44" s="89" t="e">
        <f t="shared" si="6"/>
        <v>#DIV/0!</v>
      </c>
      <c r="Q44" s="86"/>
      <c r="R44" s="224"/>
      <c r="S44" s="289"/>
      <c r="T44" s="86"/>
      <c r="U44" s="89" t="e">
        <f t="shared" si="7"/>
        <v>#DIV/0!</v>
      </c>
      <c r="V44" s="89"/>
      <c r="W44" s="86"/>
    </row>
    <row r="45" spans="1:23">
      <c r="A45" s="97"/>
      <c r="B45" s="97"/>
      <c r="D45" s="344"/>
      <c r="E45" s="344"/>
      <c r="F45" s="224"/>
      <c r="G45" s="289"/>
      <c r="I45" s="225"/>
      <c r="L45" s="224"/>
      <c r="M45" s="289"/>
      <c r="N45" s="86"/>
      <c r="O45" s="89" t="e">
        <f t="shared" si="6"/>
        <v>#DIV/0!</v>
      </c>
      <c r="Q45" s="86"/>
      <c r="R45" s="224"/>
      <c r="S45" s="289"/>
      <c r="T45" s="86"/>
      <c r="U45" s="89" t="e">
        <f t="shared" si="7"/>
        <v>#DIV/0!</v>
      </c>
      <c r="V45" s="89"/>
      <c r="W45" s="86"/>
    </row>
    <row r="46" spans="1:23">
      <c r="A46" s="97"/>
      <c r="B46" s="97"/>
      <c r="D46" s="344"/>
      <c r="E46" s="344"/>
      <c r="F46" s="224"/>
      <c r="G46" s="289"/>
      <c r="I46" s="225"/>
      <c r="L46" s="224"/>
      <c r="M46" s="289"/>
      <c r="N46" s="86"/>
      <c r="O46" s="89" t="e">
        <f t="shared" si="6"/>
        <v>#DIV/0!</v>
      </c>
      <c r="Q46" s="86"/>
      <c r="R46" s="224"/>
      <c r="S46" s="289"/>
      <c r="T46" s="86"/>
      <c r="U46" s="89" t="e">
        <f t="shared" si="7"/>
        <v>#DIV/0!</v>
      </c>
      <c r="V46" s="89"/>
      <c r="W46" s="86"/>
    </row>
    <row r="47" spans="1:23">
      <c r="A47" s="97"/>
      <c r="B47" s="97"/>
      <c r="F47" s="485"/>
      <c r="I47" s="486"/>
      <c r="M47" s="86"/>
    </row>
    <row r="48" spans="1:23">
      <c r="A48" s="97"/>
      <c r="B48" s="97"/>
      <c r="M48" s="86"/>
    </row>
    <row r="49" spans="1:13">
      <c r="A49" s="97"/>
      <c r="B49" s="97"/>
      <c r="M49" s="86"/>
    </row>
    <row r="50" spans="1:13">
      <c r="B50" s="97"/>
      <c r="M50" s="86"/>
    </row>
    <row r="51" spans="1:13">
      <c r="M51" s="86"/>
    </row>
    <row r="52" spans="1:13">
      <c r="M52" s="86"/>
    </row>
    <row r="53" spans="1:13">
      <c r="M53" s="86"/>
    </row>
    <row r="54" spans="1:13">
      <c r="M54" s="86"/>
    </row>
    <row r="55" spans="1:13">
      <c r="M55" s="86"/>
    </row>
    <row r="56" spans="1:13">
      <c r="M56" s="86"/>
    </row>
    <row r="57" spans="1:13">
      <c r="M57" s="86"/>
    </row>
    <row r="58" spans="1:13">
      <c r="M58" s="86"/>
    </row>
  </sheetData>
  <mergeCells count="9">
    <mergeCell ref="O3:Q3"/>
    <mergeCell ref="B2:W2"/>
    <mergeCell ref="I3:K3"/>
    <mergeCell ref="L3:N3"/>
    <mergeCell ref="F3:H3"/>
    <mergeCell ref="C3:C4"/>
    <mergeCell ref="D3:E4"/>
    <mergeCell ref="R3:T3"/>
    <mergeCell ref="U3:W3"/>
  </mergeCells>
  <phoneticPr fontId="13" type="noConversion"/>
  <pageMargins left="0.7" right="0.7" top="0.75" bottom="0.75" header="0.3" footer="0.3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CC"/>
  </sheetPr>
  <dimension ref="B1:W50"/>
  <sheetViews>
    <sheetView zoomScale="70" zoomScaleNormal="70" workbookViewId="0">
      <pane xSplit="5" ySplit="4" topLeftCell="F5" activePane="bottomRight" state="frozen"/>
      <selection pane="topRight" activeCell="F1" sqref="F1"/>
      <selection pane="bottomLeft" activeCell="A5" sqref="A5"/>
      <selection pane="bottomRight" activeCell="O12" sqref="O12:O18"/>
    </sheetView>
  </sheetViews>
  <sheetFormatPr defaultColWidth="8.85546875" defaultRowHeight="14.25"/>
  <cols>
    <col min="1" max="1" width="4.42578125" style="74" customWidth="1"/>
    <col min="2" max="2" width="12.5703125" style="82" customWidth="1"/>
    <col min="3" max="3" width="8.85546875" style="83"/>
    <col min="4" max="4" width="17.42578125" style="84" customWidth="1"/>
    <col min="5" max="5" width="4.42578125" style="84" customWidth="1"/>
    <col min="6" max="8" width="25.5703125" style="93" customWidth="1"/>
    <col min="9" max="11" width="15" style="73" customWidth="1"/>
    <col min="12" max="17" width="14.5703125" style="73" customWidth="1"/>
    <col min="18" max="21" width="14.140625" style="73" customWidth="1"/>
    <col min="22" max="23" width="14.140625" style="74" customWidth="1"/>
    <col min="24" max="16384" width="8.85546875" style="74"/>
  </cols>
  <sheetData>
    <row r="1" spans="2:23">
      <c r="B1" s="82" t="s">
        <v>315</v>
      </c>
      <c r="C1" s="83">
        <v>366</v>
      </c>
    </row>
    <row r="2" spans="2:23" ht="38.1" customHeight="1">
      <c r="B2" s="607" t="s">
        <v>126</v>
      </c>
      <c r="C2" s="614"/>
      <c r="D2" s="614"/>
      <c r="E2" s="614"/>
      <c r="F2" s="614"/>
      <c r="G2" s="614"/>
      <c r="H2" s="614"/>
      <c r="I2" s="614"/>
      <c r="J2" s="614"/>
      <c r="K2" s="614"/>
      <c r="L2" s="614"/>
      <c r="M2" s="614"/>
      <c r="N2" s="614"/>
      <c r="O2" s="614"/>
      <c r="P2" s="614"/>
      <c r="Q2" s="614"/>
      <c r="R2" s="614"/>
      <c r="S2" s="614"/>
      <c r="T2" s="614"/>
      <c r="U2" s="614"/>
    </row>
    <row r="3" spans="2:23" s="72" customFormat="1" ht="23.45" customHeight="1">
      <c r="B3" s="97"/>
      <c r="C3" s="611" t="s">
        <v>116</v>
      </c>
      <c r="D3" s="612" t="s">
        <v>105</v>
      </c>
      <c r="E3" s="612"/>
      <c r="F3" s="615" t="s">
        <v>107</v>
      </c>
      <c r="G3" s="615"/>
      <c r="H3" s="615"/>
      <c r="I3" s="617" t="s">
        <v>108</v>
      </c>
      <c r="J3" s="617"/>
      <c r="K3" s="617"/>
      <c r="L3" s="616" t="s">
        <v>305</v>
      </c>
      <c r="M3" s="616"/>
      <c r="N3" s="616"/>
      <c r="O3" s="616" t="s">
        <v>106</v>
      </c>
      <c r="P3" s="616"/>
      <c r="Q3" s="616"/>
      <c r="R3" s="616" t="s">
        <v>109</v>
      </c>
      <c r="S3" s="616"/>
      <c r="T3" s="616"/>
      <c r="U3" s="616" t="s">
        <v>110</v>
      </c>
      <c r="V3" s="616"/>
      <c r="W3" s="616"/>
    </row>
    <row r="4" spans="2:23" ht="15.75">
      <c r="B4" s="97"/>
      <c r="C4" s="611"/>
      <c r="D4" s="612"/>
      <c r="E4" s="612"/>
      <c r="F4" s="85" t="s">
        <v>115</v>
      </c>
      <c r="G4" s="95" t="s">
        <v>127</v>
      </c>
      <c r="H4" s="95" t="s">
        <v>128</v>
      </c>
      <c r="I4" s="85" t="s">
        <v>115</v>
      </c>
      <c r="J4" s="94" t="s">
        <v>127</v>
      </c>
      <c r="K4" s="94" t="s">
        <v>128</v>
      </c>
      <c r="L4" s="85" t="s">
        <v>115</v>
      </c>
      <c r="M4" s="94" t="s">
        <v>127</v>
      </c>
      <c r="N4" s="94" t="s">
        <v>128</v>
      </c>
      <c r="O4" s="85" t="s">
        <v>115</v>
      </c>
      <c r="P4" s="94" t="s">
        <v>127</v>
      </c>
      <c r="Q4" s="94" t="s">
        <v>128</v>
      </c>
      <c r="R4" s="85" t="s">
        <v>115</v>
      </c>
      <c r="S4" s="94" t="s">
        <v>127</v>
      </c>
      <c r="T4" s="94" t="s">
        <v>128</v>
      </c>
      <c r="U4" s="85" t="s">
        <v>115</v>
      </c>
      <c r="V4" s="94" t="s">
        <v>127</v>
      </c>
      <c r="W4" s="94" t="s">
        <v>128</v>
      </c>
    </row>
    <row r="5" spans="2:23" ht="14.45" customHeight="1">
      <c r="B5" s="97"/>
      <c r="C5" s="97"/>
      <c r="D5" s="291">
        <v>46294</v>
      </c>
      <c r="E5" s="291" t="s">
        <v>437</v>
      </c>
      <c r="F5" s="410">
        <v>381.42121987437736</v>
      </c>
      <c r="G5" s="92"/>
      <c r="H5" s="92"/>
      <c r="I5" s="89">
        <f>F5/$C$1</f>
        <v>1.0421344805310857</v>
      </c>
      <c r="J5" s="208"/>
      <c r="K5" s="208"/>
      <c r="L5" s="413">
        <v>2.4065995791071786E-3</v>
      </c>
      <c r="M5" s="290"/>
      <c r="N5" s="290"/>
      <c r="O5" s="413">
        <v>3.9648439447802402E-3</v>
      </c>
      <c r="P5" s="290"/>
      <c r="Q5" s="290"/>
      <c r="R5" s="227">
        <v>0.91700000000000004</v>
      </c>
      <c r="S5" s="208"/>
      <c r="T5" s="290"/>
      <c r="U5" s="227">
        <v>0.78200000000000003</v>
      </c>
      <c r="V5" s="208"/>
      <c r="W5" s="290"/>
    </row>
    <row r="6" spans="2:23" ht="14.45" customHeight="1">
      <c r="B6" s="97"/>
      <c r="C6" s="97"/>
      <c r="D6" s="291">
        <f t="shared" ref="D6" si="0">D5+1</f>
        <v>46295</v>
      </c>
      <c r="E6" s="291" t="s">
        <v>438</v>
      </c>
      <c r="F6" s="410">
        <v>381.89271315816075</v>
      </c>
      <c r="G6" s="93">
        <f>AVERAGE(F5:F11)</f>
        <v>383.51112798426323</v>
      </c>
      <c r="H6" s="92"/>
      <c r="I6" s="89">
        <f>F6/$C$1</f>
        <v>1.0434227135468872</v>
      </c>
      <c r="J6" s="208">
        <f>AVERAGE(I5:I11)</f>
        <v>1.0478446119788614</v>
      </c>
      <c r="K6" s="208"/>
      <c r="L6" s="413">
        <v>2.4007680249358634E-3</v>
      </c>
      <c r="M6" s="290">
        <f>AVERAGE(L5:L11)</f>
        <v>2.390985606135934E-3</v>
      </c>
      <c r="N6" s="290"/>
      <c r="O6" s="413">
        <v>3.9403870590453928E-3</v>
      </c>
      <c r="P6" s="290">
        <f>AVERAGE(O5:O11)</f>
        <v>3.9621078336836268E-3</v>
      </c>
      <c r="Q6" s="290"/>
      <c r="R6" s="227">
        <v>0.91700000000000004</v>
      </c>
      <c r="S6" s="208">
        <f>AVERAGE(R5:R11)</f>
        <v>0.91699999999999993</v>
      </c>
      <c r="T6" s="290"/>
      <c r="U6" s="227">
        <v>0.78400000000000003</v>
      </c>
      <c r="V6" s="208">
        <f>AVERAGE(U5:U11)</f>
        <v>0.78600000000000014</v>
      </c>
      <c r="W6" s="290"/>
    </row>
    <row r="7" spans="2:23" ht="14.45" customHeight="1">
      <c r="B7" s="97"/>
      <c r="C7" s="97"/>
      <c r="D7" s="291">
        <f>D6+1</f>
        <v>46296</v>
      </c>
      <c r="E7" s="291" t="s">
        <v>439</v>
      </c>
      <c r="F7" s="410">
        <v>383.31724004142336</v>
      </c>
      <c r="I7" s="89">
        <f t="shared" ref="I7:I40" si="1">F7/$C$1</f>
        <v>1.0473148635011567</v>
      </c>
      <c r="J7" s="208"/>
      <c r="L7" s="413">
        <v>2.3811817717848262E-3</v>
      </c>
      <c r="M7" s="290"/>
      <c r="O7" s="413">
        <v>3.9895292149861551E-3</v>
      </c>
      <c r="P7" s="290"/>
      <c r="R7" s="227">
        <v>0.91700000000000004</v>
      </c>
      <c r="S7" s="208"/>
      <c r="U7" s="227">
        <v>0.78400000000000003</v>
      </c>
      <c r="V7" s="208"/>
    </row>
    <row r="8" spans="2:23" ht="14.45" customHeight="1">
      <c r="B8" s="97"/>
      <c r="C8" s="97"/>
      <c r="D8" s="291">
        <f t="shared" ref="D8:D34" si="2">D7+1</f>
        <v>46297</v>
      </c>
      <c r="E8" s="291" t="s">
        <v>440</v>
      </c>
      <c r="F8" s="410">
        <v>385.23301245522447</v>
      </c>
      <c r="G8" s="92"/>
      <c r="H8" s="92"/>
      <c r="I8" s="89">
        <f t="shared" si="1"/>
        <v>1.0525492143585369</v>
      </c>
      <c r="J8" s="208"/>
      <c r="K8" s="208"/>
      <c r="L8" s="413">
        <v>2.3794912459351191E-3</v>
      </c>
      <c r="M8" s="290"/>
      <c r="N8" s="290"/>
      <c r="O8" s="413">
        <v>3.9892824480418235E-3</v>
      </c>
      <c r="P8" s="290"/>
      <c r="Q8" s="290"/>
      <c r="R8" s="227">
        <v>0.91700000000000004</v>
      </c>
      <c r="S8" s="208"/>
      <c r="T8" s="290"/>
      <c r="U8" s="227">
        <v>0.78600000000000003</v>
      </c>
      <c r="V8" s="208"/>
      <c r="W8" s="290"/>
    </row>
    <row r="9" spans="2:23" ht="14.45" customHeight="1">
      <c r="B9" s="97"/>
      <c r="C9" s="97"/>
      <c r="D9" s="291">
        <f t="shared" si="2"/>
        <v>46298</v>
      </c>
      <c r="E9" s="291" t="s">
        <v>441</v>
      </c>
      <c r="F9" s="410">
        <v>387.13662328791565</v>
      </c>
      <c r="G9" s="92"/>
      <c r="H9" s="92"/>
      <c r="I9" s="89">
        <f t="shared" si="1"/>
        <v>1.0577503368522285</v>
      </c>
      <c r="J9" s="208"/>
      <c r="K9" s="208"/>
      <c r="L9" s="413">
        <v>2.3968927884252789E-3</v>
      </c>
      <c r="M9" s="290"/>
      <c r="N9" s="290"/>
      <c r="O9" s="413">
        <v>4.0350695708307694E-3</v>
      </c>
      <c r="P9" s="290"/>
      <c r="Q9" s="290"/>
      <c r="R9" s="227">
        <v>0.91700000000000004</v>
      </c>
      <c r="S9" s="208"/>
      <c r="T9" s="290"/>
      <c r="U9" s="227">
        <v>0.78800000000000003</v>
      </c>
      <c r="V9" s="208"/>
      <c r="W9" s="290"/>
    </row>
    <row r="10" spans="2:23" ht="14.45" customHeight="1">
      <c r="B10" s="97"/>
      <c r="C10" s="97"/>
      <c r="D10" s="291">
        <f t="shared" si="2"/>
        <v>46299</v>
      </c>
      <c r="E10" s="291" t="s">
        <v>442</v>
      </c>
      <c r="F10" s="410">
        <v>383.10006114444832</v>
      </c>
      <c r="G10" s="92"/>
      <c r="H10" s="92">
        <f>AVERAGE(F6:F36)</f>
        <v>384.04005514451552</v>
      </c>
      <c r="I10" s="89">
        <f t="shared" si="1"/>
        <v>1.046721478536744</v>
      </c>
      <c r="J10" s="208"/>
      <c r="K10" s="208">
        <f>AVERAGE(I6:I36)</f>
        <v>0.44002474148410919</v>
      </c>
      <c r="L10" s="413">
        <v>2.3804449674205688E-3</v>
      </c>
      <c r="M10" s="290"/>
      <c r="N10" s="290">
        <f>AVERAGE(L6:L36)</f>
        <v>2.3875662633589144E-3</v>
      </c>
      <c r="O10" s="413">
        <v>3.9031929230816252E-3</v>
      </c>
      <c r="P10" s="290"/>
      <c r="Q10" s="290">
        <f>AVERAGE(O6:O36)</f>
        <v>3.9397625297082168E-3</v>
      </c>
      <c r="R10" s="227">
        <v>0.91700000000000004</v>
      </c>
      <c r="S10" s="208"/>
      <c r="T10" s="208">
        <f>AVERAGE(R6:R36)</f>
        <v>0.91699999999999993</v>
      </c>
      <c r="U10" s="227">
        <v>0.78800000000000003</v>
      </c>
      <c r="V10" s="208"/>
      <c r="W10" s="208">
        <f>AVERAGE(U6:U36)</f>
        <v>0.79338461538461558</v>
      </c>
    </row>
    <row r="11" spans="2:23" ht="14.45" customHeight="1">
      <c r="B11" s="97"/>
      <c r="C11" s="97"/>
      <c r="D11" s="291">
        <f t="shared" si="2"/>
        <v>46300</v>
      </c>
      <c r="E11" s="291" t="s">
        <v>436</v>
      </c>
      <c r="F11" s="410">
        <v>382.47702592829262</v>
      </c>
      <c r="G11" s="92"/>
      <c r="H11" s="92"/>
      <c r="I11" s="89">
        <f t="shared" si="1"/>
        <v>1.0450191965253897</v>
      </c>
      <c r="J11" s="208"/>
      <c r="K11" s="208"/>
      <c r="L11" s="413">
        <v>2.3915208653427019E-3</v>
      </c>
      <c r="M11" s="290"/>
      <c r="N11" s="290"/>
      <c r="O11" s="413">
        <v>3.9124496750193825E-3</v>
      </c>
      <c r="P11" s="290"/>
      <c r="Q11" s="290"/>
      <c r="R11" s="227">
        <v>0.91700000000000004</v>
      </c>
      <c r="S11" s="208"/>
      <c r="T11" s="290"/>
      <c r="U11" s="227">
        <v>0.79</v>
      </c>
      <c r="V11" s="208"/>
      <c r="W11" s="208"/>
    </row>
    <row r="12" spans="2:23" ht="14.45" customHeight="1">
      <c r="B12" s="97"/>
      <c r="C12" s="97"/>
      <c r="D12" s="344">
        <f t="shared" si="2"/>
        <v>46301</v>
      </c>
      <c r="E12" s="344" t="s">
        <v>437</v>
      </c>
      <c r="F12" s="223">
        <v>377.45715983350885</v>
      </c>
      <c r="G12" s="92">
        <f>AVERAGE(F12:F18)</f>
        <v>384.19486298046252</v>
      </c>
      <c r="H12" s="92"/>
      <c r="I12" s="89">
        <f t="shared" si="1"/>
        <v>1.0313037153921008</v>
      </c>
      <c r="J12" s="208">
        <f>AVERAGE(I12:I18)</f>
        <v>1.0497127403837774</v>
      </c>
      <c r="K12" s="208"/>
      <c r="L12" s="240">
        <v>2.3757371315275243E-3</v>
      </c>
      <c r="M12" s="290">
        <f>AVERAGE(L12:L18)</f>
        <v>2.3868659656887891E-3</v>
      </c>
      <c r="N12" s="290"/>
      <c r="O12" s="240">
        <v>3.8794283440478964E-3</v>
      </c>
      <c r="P12" s="290">
        <f>AVERAGE(O12:O18)</f>
        <v>3.9210002850288105E-3</v>
      </c>
      <c r="Q12" s="290"/>
      <c r="R12" s="227">
        <v>0.91700000000000004</v>
      </c>
      <c r="S12" s="208">
        <f>AVERAGE(R12:R18)</f>
        <v>0.91699999999999993</v>
      </c>
      <c r="T12" s="290"/>
      <c r="U12" s="227">
        <v>0.79200000000000004</v>
      </c>
      <c r="V12" s="208">
        <f>AVERAGE(U12:U18)</f>
        <v>0.79914285714285727</v>
      </c>
      <c r="W12" s="290"/>
    </row>
    <row r="13" spans="2:23" ht="14.45" customHeight="1">
      <c r="B13" s="97"/>
      <c r="C13" s="97"/>
      <c r="D13" s="344">
        <f t="shared" si="2"/>
        <v>46302</v>
      </c>
      <c r="E13" s="344" t="s">
        <v>438</v>
      </c>
      <c r="F13" s="223">
        <v>393.82958290943941</v>
      </c>
      <c r="G13" s="92"/>
      <c r="H13" s="92"/>
      <c r="I13" s="89">
        <f t="shared" si="1"/>
        <v>1.0760371117744245</v>
      </c>
      <c r="J13" s="208"/>
      <c r="K13" s="208"/>
      <c r="L13" s="240">
        <v>2.40206527288168E-3</v>
      </c>
      <c r="M13" s="290"/>
      <c r="N13" s="290"/>
      <c r="O13" s="240">
        <v>3.9354142522216922E-3</v>
      </c>
      <c r="P13" s="290"/>
      <c r="Q13" s="290"/>
      <c r="R13" s="227">
        <v>0.91700000000000004</v>
      </c>
      <c r="S13" s="208"/>
      <c r="T13" s="290"/>
      <c r="U13" s="227">
        <v>0.79400000000000004</v>
      </c>
      <c r="V13" s="208"/>
      <c r="W13" s="290"/>
    </row>
    <row r="14" spans="2:23" ht="14.45" customHeight="1">
      <c r="B14" s="97"/>
      <c r="C14" s="97"/>
      <c r="D14" s="344">
        <f t="shared" si="2"/>
        <v>46303</v>
      </c>
      <c r="E14" s="344" t="s">
        <v>439</v>
      </c>
      <c r="F14" s="223">
        <v>381.83516942480043</v>
      </c>
      <c r="H14" s="92"/>
      <c r="I14" s="89">
        <f t="shared" si="1"/>
        <v>1.0432654902316951</v>
      </c>
      <c r="J14" s="208"/>
      <c r="K14" s="208"/>
      <c r="L14" s="240">
        <v>2.3671812774099014E-3</v>
      </c>
      <c r="M14" s="290"/>
      <c r="N14" s="290"/>
      <c r="O14" s="240">
        <v>3.9637259974150303E-3</v>
      </c>
      <c r="P14" s="290"/>
      <c r="Q14" s="290"/>
      <c r="R14" s="227">
        <v>0.91700000000000004</v>
      </c>
      <c r="S14" s="208"/>
      <c r="T14" s="290"/>
      <c r="U14" s="227">
        <v>0.79600000000000004</v>
      </c>
      <c r="V14" s="208"/>
      <c r="W14" s="290"/>
    </row>
    <row r="15" spans="2:23" ht="14.45" customHeight="1">
      <c r="B15" s="97"/>
      <c r="C15" s="97"/>
      <c r="D15" s="344">
        <f t="shared" si="2"/>
        <v>46304</v>
      </c>
      <c r="E15" s="344" t="s">
        <v>440</v>
      </c>
      <c r="F15" s="223">
        <v>389.98538669574702</v>
      </c>
      <c r="G15" s="92"/>
      <c r="H15" s="92"/>
      <c r="I15" s="89">
        <f t="shared" si="1"/>
        <v>1.0655338434310029</v>
      </c>
      <c r="J15" s="208"/>
      <c r="K15" s="208"/>
      <c r="L15" s="240">
        <v>2.3870824295603586E-3</v>
      </c>
      <c r="M15" s="290"/>
      <c r="N15" s="290"/>
      <c r="O15" s="240">
        <v>3.9024871506278063E-3</v>
      </c>
      <c r="P15" s="290"/>
      <c r="Q15" s="290"/>
      <c r="R15" s="227">
        <v>0.91700000000000004</v>
      </c>
      <c r="S15" s="208"/>
      <c r="T15" s="290"/>
      <c r="U15" s="227">
        <v>0.8</v>
      </c>
      <c r="V15" s="208"/>
      <c r="W15" s="290"/>
    </row>
    <row r="16" spans="2:23" ht="14.45" customHeight="1">
      <c r="B16" s="97"/>
      <c r="C16" s="97"/>
      <c r="D16" s="344">
        <f t="shared" si="2"/>
        <v>46305</v>
      </c>
      <c r="E16" s="344" t="s">
        <v>441</v>
      </c>
      <c r="F16" s="223">
        <v>382.74490842918783</v>
      </c>
      <c r="G16" s="92"/>
      <c r="H16" s="92"/>
      <c r="I16" s="89">
        <f t="shared" si="1"/>
        <v>1.0457511159267427</v>
      </c>
      <c r="J16" s="208"/>
      <c r="K16" s="208"/>
      <c r="L16" s="240">
        <v>2.3915783234577477E-3</v>
      </c>
      <c r="M16" s="290"/>
      <c r="N16" s="290"/>
      <c r="O16" s="240">
        <v>3.9298606366465361E-3</v>
      </c>
      <c r="P16" s="290"/>
      <c r="Q16" s="290"/>
      <c r="R16" s="227">
        <v>0.91700000000000004</v>
      </c>
      <c r="S16" s="208"/>
      <c r="T16" s="290"/>
      <c r="U16" s="227">
        <v>0.80400000000000005</v>
      </c>
      <c r="V16" s="208"/>
      <c r="W16" s="290"/>
    </row>
    <row r="17" spans="2:23" ht="14.45" customHeight="1">
      <c r="B17" s="97"/>
      <c r="C17" s="97"/>
      <c r="D17" s="344">
        <f t="shared" si="2"/>
        <v>46306</v>
      </c>
      <c r="E17" s="344" t="s">
        <v>442</v>
      </c>
      <c r="F17" s="223">
        <v>377.93424115767931</v>
      </c>
      <c r="G17" s="92"/>
      <c r="H17" s="92"/>
      <c r="I17" s="89">
        <f t="shared" si="1"/>
        <v>1.0326072162778124</v>
      </c>
      <c r="J17" s="208"/>
      <c r="K17" s="208"/>
      <c r="L17" s="240">
        <v>2.4043944270973876E-3</v>
      </c>
      <c r="M17" s="290"/>
      <c r="N17" s="290"/>
      <c r="O17" s="240">
        <v>3.9177197685232234E-3</v>
      </c>
      <c r="P17" s="290"/>
      <c r="Q17" s="290"/>
      <c r="R17" s="227">
        <v>0.91700000000000004</v>
      </c>
      <c r="S17" s="208"/>
      <c r="T17" s="290"/>
      <c r="U17" s="227">
        <v>0.80400000000000005</v>
      </c>
      <c r="V17" s="208"/>
      <c r="W17" s="290"/>
    </row>
    <row r="18" spans="2:23" ht="14.45" customHeight="1">
      <c r="B18" s="97"/>
      <c r="C18" s="97"/>
      <c r="D18" s="344">
        <f t="shared" si="2"/>
        <v>46307</v>
      </c>
      <c r="E18" s="344" t="s">
        <v>436</v>
      </c>
      <c r="F18" s="223">
        <v>385.57759241287482</v>
      </c>
      <c r="G18" s="92"/>
      <c r="H18" s="92"/>
      <c r="I18" s="89">
        <f t="shared" si="1"/>
        <v>1.0534906896526635</v>
      </c>
      <c r="J18" s="208"/>
      <c r="K18" s="208"/>
      <c r="L18" s="240">
        <v>2.3800228978869261E-3</v>
      </c>
      <c r="M18" s="290"/>
      <c r="N18" s="290"/>
      <c r="O18" s="240">
        <v>3.918365845719491E-3</v>
      </c>
      <c r="P18" s="290"/>
      <c r="Q18" s="290"/>
      <c r="R18" s="227">
        <v>0.91700000000000004</v>
      </c>
      <c r="S18" s="208"/>
      <c r="T18" s="290"/>
      <c r="U18" s="227">
        <v>0.80400000000000005</v>
      </c>
      <c r="V18" s="208"/>
      <c r="W18" s="290"/>
    </row>
    <row r="19" spans="2:23" ht="14.45" customHeight="1">
      <c r="B19" s="97"/>
      <c r="C19" s="97"/>
      <c r="D19" s="291">
        <f t="shared" si="2"/>
        <v>46308</v>
      </c>
      <c r="E19" s="291" t="s">
        <v>437</v>
      </c>
      <c r="F19" s="223"/>
      <c r="G19" s="92" t="e">
        <f>AVERAGE(F19:F25)</f>
        <v>#DIV/0!</v>
      </c>
      <c r="H19" s="92"/>
      <c r="I19" s="89">
        <f t="shared" si="1"/>
        <v>0</v>
      </c>
      <c r="J19" s="208">
        <f>AVERAGE(I19:I25)</f>
        <v>0</v>
      </c>
      <c r="K19" s="208"/>
      <c r="L19" s="240"/>
      <c r="M19" s="290" t="e">
        <f>AVERAGE(L19:L25)</f>
        <v>#DIV/0!</v>
      </c>
      <c r="N19" s="290"/>
      <c r="O19" s="240"/>
      <c r="P19" s="290" t="e">
        <f>AVERAGE(O19:O25)</f>
        <v>#DIV/0!</v>
      </c>
      <c r="Q19" s="290"/>
      <c r="R19" s="227"/>
      <c r="S19" s="208" t="e">
        <f>AVERAGE(R19:R25)</f>
        <v>#DIV/0!</v>
      </c>
      <c r="T19" s="290"/>
      <c r="U19" s="227"/>
      <c r="V19" s="208" t="e">
        <f>AVERAGE(U19:U25)</f>
        <v>#DIV/0!</v>
      </c>
      <c r="W19" s="290"/>
    </row>
    <row r="20" spans="2:23" ht="14.45" customHeight="1">
      <c r="B20" s="97"/>
      <c r="C20" s="97"/>
      <c r="D20" s="291">
        <f t="shared" si="2"/>
        <v>46309</v>
      </c>
      <c r="E20" s="291" t="s">
        <v>438</v>
      </c>
      <c r="F20" s="223"/>
      <c r="G20" s="92"/>
      <c r="H20" s="92"/>
      <c r="I20" s="89">
        <f t="shared" si="1"/>
        <v>0</v>
      </c>
      <c r="J20" s="208"/>
      <c r="K20" s="208"/>
      <c r="L20" s="240"/>
      <c r="M20" s="290"/>
      <c r="N20" s="290"/>
      <c r="O20" s="240"/>
      <c r="P20" s="290"/>
      <c r="Q20" s="290"/>
      <c r="R20" s="227"/>
      <c r="S20" s="208"/>
      <c r="T20" s="290"/>
      <c r="U20" s="227"/>
      <c r="V20" s="208"/>
      <c r="W20" s="290"/>
    </row>
    <row r="21" spans="2:23" ht="14.45" customHeight="1">
      <c r="B21" s="97"/>
      <c r="C21" s="97"/>
      <c r="D21" s="291">
        <f t="shared" si="2"/>
        <v>46310</v>
      </c>
      <c r="E21" s="291" t="s">
        <v>439</v>
      </c>
      <c r="F21" s="223"/>
      <c r="G21" s="92"/>
      <c r="H21" s="92"/>
      <c r="I21" s="89">
        <f t="shared" si="1"/>
        <v>0</v>
      </c>
      <c r="J21" s="208"/>
      <c r="K21" s="208"/>
      <c r="L21" s="240"/>
      <c r="M21" s="290"/>
      <c r="N21" s="290"/>
      <c r="O21" s="240"/>
      <c r="P21" s="290"/>
      <c r="Q21" s="290"/>
      <c r="R21" s="227"/>
      <c r="S21" s="208"/>
      <c r="T21" s="290"/>
      <c r="U21" s="227"/>
      <c r="V21" s="208"/>
      <c r="W21" s="290"/>
    </row>
    <row r="22" spans="2:23" ht="14.45" customHeight="1">
      <c r="B22" s="97"/>
      <c r="C22" s="97"/>
      <c r="D22" s="291">
        <f t="shared" si="2"/>
        <v>46311</v>
      </c>
      <c r="E22" s="291" t="s">
        <v>440</v>
      </c>
      <c r="F22" s="223"/>
      <c r="G22" s="92"/>
      <c r="H22" s="92"/>
      <c r="I22" s="89">
        <f t="shared" si="1"/>
        <v>0</v>
      </c>
      <c r="J22" s="208"/>
      <c r="K22" s="208"/>
      <c r="L22" s="240"/>
      <c r="M22" s="290"/>
      <c r="N22" s="290"/>
      <c r="O22" s="240"/>
      <c r="P22" s="290"/>
      <c r="Q22" s="290"/>
      <c r="R22" s="227"/>
      <c r="S22" s="208"/>
      <c r="T22" s="290"/>
      <c r="U22" s="227"/>
      <c r="V22" s="208"/>
      <c r="W22" s="290"/>
    </row>
    <row r="23" spans="2:23" ht="14.45" customHeight="1">
      <c r="B23" s="97"/>
      <c r="C23" s="97"/>
      <c r="D23" s="291">
        <f t="shared" si="2"/>
        <v>46312</v>
      </c>
      <c r="E23" s="291" t="s">
        <v>441</v>
      </c>
      <c r="F23" s="223"/>
      <c r="G23" s="92"/>
      <c r="H23" s="92"/>
      <c r="I23" s="89">
        <f t="shared" si="1"/>
        <v>0</v>
      </c>
      <c r="J23" s="208"/>
      <c r="K23" s="208"/>
      <c r="L23" s="240"/>
      <c r="M23" s="290"/>
      <c r="N23" s="290"/>
      <c r="O23" s="240"/>
      <c r="P23" s="290"/>
      <c r="Q23" s="290"/>
      <c r="R23" s="227"/>
      <c r="S23" s="208"/>
      <c r="T23" s="290"/>
      <c r="U23" s="227"/>
      <c r="V23" s="208"/>
      <c r="W23" s="290"/>
    </row>
    <row r="24" spans="2:23" ht="14.45" customHeight="1">
      <c r="B24" s="97"/>
      <c r="C24" s="97"/>
      <c r="D24" s="291">
        <f t="shared" si="2"/>
        <v>46313</v>
      </c>
      <c r="E24" s="291" t="s">
        <v>442</v>
      </c>
      <c r="F24" s="223"/>
      <c r="G24" s="92"/>
      <c r="H24" s="92"/>
      <c r="I24" s="89">
        <f t="shared" si="1"/>
        <v>0</v>
      </c>
      <c r="J24" s="208"/>
      <c r="K24" s="208"/>
      <c r="L24" s="240"/>
      <c r="M24" s="290"/>
      <c r="N24" s="290"/>
      <c r="O24" s="240"/>
      <c r="P24" s="290"/>
      <c r="Q24" s="290"/>
      <c r="R24" s="227"/>
      <c r="S24" s="208"/>
      <c r="T24" s="290"/>
      <c r="U24" s="227"/>
      <c r="V24" s="208"/>
      <c r="W24" s="290"/>
    </row>
    <row r="25" spans="2:23" ht="14.45" customHeight="1">
      <c r="B25" s="97"/>
      <c r="C25" s="97"/>
      <c r="D25" s="291">
        <f t="shared" si="2"/>
        <v>46314</v>
      </c>
      <c r="E25" s="291" t="s">
        <v>436</v>
      </c>
      <c r="F25" s="223"/>
      <c r="G25" s="92"/>
      <c r="H25" s="92"/>
      <c r="I25" s="89">
        <f t="shared" si="1"/>
        <v>0</v>
      </c>
      <c r="J25" s="208"/>
      <c r="K25" s="208"/>
      <c r="L25" s="240"/>
      <c r="M25" s="290"/>
      <c r="N25" s="290"/>
      <c r="O25" s="240"/>
      <c r="P25" s="290"/>
      <c r="Q25" s="290"/>
      <c r="R25" s="227"/>
      <c r="S25" s="208"/>
      <c r="T25" s="290"/>
      <c r="U25" s="227"/>
      <c r="V25" s="208"/>
      <c r="W25" s="290"/>
    </row>
    <row r="26" spans="2:23" ht="14.45" customHeight="1">
      <c r="B26" s="97"/>
      <c r="C26" s="97"/>
      <c r="D26" s="344">
        <f t="shared" si="2"/>
        <v>46315</v>
      </c>
      <c r="E26" s="344" t="s">
        <v>437</v>
      </c>
      <c r="F26" s="223"/>
      <c r="G26" s="92" t="e">
        <f>AVERAGE(F26:F32)</f>
        <v>#DIV/0!</v>
      </c>
      <c r="H26" s="92"/>
      <c r="I26" s="89">
        <f t="shared" si="1"/>
        <v>0</v>
      </c>
      <c r="J26" s="208">
        <f>AVERAGE(I26:I32)</f>
        <v>0</v>
      </c>
      <c r="K26" s="208"/>
      <c r="L26" s="240"/>
      <c r="M26" s="290" t="e">
        <f>AVERAGE(L26:L32)</f>
        <v>#DIV/0!</v>
      </c>
      <c r="N26" s="290"/>
      <c r="O26" s="240"/>
      <c r="P26" s="290" t="e">
        <f>AVERAGE(O26:O32)</f>
        <v>#DIV/0!</v>
      </c>
      <c r="Q26" s="290"/>
      <c r="R26" s="227"/>
      <c r="S26" s="208" t="e">
        <f>AVERAGE(R26:R32)</f>
        <v>#DIV/0!</v>
      </c>
      <c r="T26" s="290"/>
      <c r="U26" s="227"/>
      <c r="V26" s="208" t="e">
        <f>AVERAGE(U26:U32)</f>
        <v>#DIV/0!</v>
      </c>
      <c r="W26" s="290"/>
    </row>
    <row r="27" spans="2:23" ht="14.45" customHeight="1">
      <c r="B27" s="97"/>
      <c r="C27" s="97"/>
      <c r="D27" s="344">
        <f t="shared" si="2"/>
        <v>46316</v>
      </c>
      <c r="E27" s="344" t="s">
        <v>438</v>
      </c>
      <c r="F27" s="223"/>
      <c r="G27" s="92"/>
      <c r="H27" s="92"/>
      <c r="I27" s="89">
        <f t="shared" si="1"/>
        <v>0</v>
      </c>
      <c r="J27" s="208"/>
      <c r="K27" s="208"/>
      <c r="L27" s="240"/>
      <c r="M27" s="290"/>
      <c r="N27" s="290"/>
      <c r="O27" s="240"/>
      <c r="P27" s="290"/>
      <c r="Q27" s="290"/>
      <c r="R27" s="227"/>
      <c r="S27" s="208"/>
      <c r="T27" s="290"/>
      <c r="U27" s="227"/>
      <c r="V27" s="208"/>
      <c r="W27" s="290"/>
    </row>
    <row r="28" spans="2:23" ht="14.45" customHeight="1">
      <c r="B28" s="97"/>
      <c r="C28" s="97"/>
      <c r="D28" s="344">
        <f t="shared" si="2"/>
        <v>46317</v>
      </c>
      <c r="E28" s="344" t="s">
        <v>439</v>
      </c>
      <c r="F28" s="223"/>
      <c r="G28" s="92"/>
      <c r="H28" s="92"/>
      <c r="I28" s="89">
        <f t="shared" si="1"/>
        <v>0</v>
      </c>
      <c r="J28" s="208"/>
      <c r="K28" s="208"/>
      <c r="L28" s="240"/>
      <c r="M28" s="290"/>
      <c r="N28" s="290"/>
      <c r="O28" s="240"/>
      <c r="P28" s="290"/>
      <c r="Q28" s="290"/>
      <c r="R28" s="227"/>
      <c r="S28" s="208"/>
      <c r="T28" s="290"/>
      <c r="U28" s="227"/>
      <c r="V28" s="208"/>
      <c r="W28" s="290"/>
    </row>
    <row r="29" spans="2:23" ht="14.45" customHeight="1">
      <c r="B29" s="97"/>
      <c r="C29" s="97"/>
      <c r="D29" s="344">
        <f t="shared" si="2"/>
        <v>46318</v>
      </c>
      <c r="E29" s="344" t="s">
        <v>440</v>
      </c>
      <c r="F29" s="223"/>
      <c r="G29" s="92"/>
      <c r="H29" s="92"/>
      <c r="I29" s="89">
        <f t="shared" si="1"/>
        <v>0</v>
      </c>
      <c r="J29" s="208"/>
      <c r="K29" s="208"/>
      <c r="L29" s="240"/>
      <c r="M29" s="290"/>
      <c r="N29" s="290"/>
      <c r="O29" s="240"/>
      <c r="P29" s="290"/>
      <c r="Q29" s="290"/>
      <c r="R29" s="227"/>
      <c r="S29" s="208"/>
      <c r="T29" s="290"/>
      <c r="U29" s="227"/>
      <c r="V29" s="208"/>
      <c r="W29" s="290"/>
    </row>
    <row r="30" spans="2:23" ht="14.45" customHeight="1">
      <c r="B30" s="97"/>
      <c r="C30" s="97"/>
      <c r="D30" s="344">
        <f t="shared" si="2"/>
        <v>46319</v>
      </c>
      <c r="E30" s="344" t="s">
        <v>441</v>
      </c>
      <c r="F30" s="223"/>
      <c r="G30" s="92"/>
      <c r="H30" s="92"/>
      <c r="I30" s="89">
        <f t="shared" si="1"/>
        <v>0</v>
      </c>
      <c r="J30" s="208"/>
      <c r="K30" s="208"/>
      <c r="L30" s="240"/>
      <c r="M30" s="290"/>
      <c r="N30" s="290"/>
      <c r="O30" s="240"/>
      <c r="P30" s="290"/>
      <c r="Q30" s="290"/>
      <c r="R30" s="227"/>
      <c r="S30" s="208"/>
      <c r="T30" s="290"/>
      <c r="U30" s="227"/>
      <c r="V30" s="208"/>
      <c r="W30" s="290"/>
    </row>
    <row r="31" spans="2:23" ht="14.45" customHeight="1">
      <c r="B31" s="97"/>
      <c r="C31" s="97"/>
      <c r="D31" s="344">
        <f t="shared" si="2"/>
        <v>46320</v>
      </c>
      <c r="E31" s="344" t="s">
        <v>442</v>
      </c>
      <c r="F31" s="223"/>
      <c r="G31" s="92"/>
      <c r="H31" s="92"/>
      <c r="I31" s="89">
        <f t="shared" si="1"/>
        <v>0</v>
      </c>
      <c r="J31" s="208"/>
      <c r="K31" s="208"/>
      <c r="L31" s="240"/>
      <c r="M31" s="290"/>
      <c r="N31" s="290"/>
      <c r="O31" s="240"/>
      <c r="P31" s="290"/>
      <c r="Q31" s="290"/>
      <c r="R31" s="227"/>
      <c r="S31" s="208"/>
      <c r="T31" s="290"/>
      <c r="U31" s="227"/>
      <c r="V31" s="208"/>
      <c r="W31" s="290"/>
    </row>
    <row r="32" spans="2:23" ht="14.45" customHeight="1">
      <c r="B32" s="97"/>
      <c r="C32" s="97"/>
      <c r="D32" s="344">
        <f t="shared" si="2"/>
        <v>46321</v>
      </c>
      <c r="E32" s="344" t="s">
        <v>436</v>
      </c>
      <c r="F32" s="223"/>
      <c r="G32" s="92"/>
      <c r="H32" s="92"/>
      <c r="I32" s="89">
        <f t="shared" si="1"/>
        <v>0</v>
      </c>
      <c r="J32" s="208"/>
      <c r="K32" s="208"/>
      <c r="L32" s="240"/>
      <c r="M32" s="290"/>
      <c r="N32" s="290"/>
      <c r="O32" s="240"/>
      <c r="P32" s="290"/>
      <c r="Q32" s="290"/>
      <c r="R32" s="227"/>
      <c r="S32" s="208"/>
      <c r="T32" s="290"/>
      <c r="U32" s="227"/>
      <c r="V32" s="208"/>
      <c r="W32" s="290"/>
    </row>
    <row r="33" spans="2:23" s="420" customFormat="1" ht="14.45" customHeight="1">
      <c r="B33" s="417"/>
      <c r="C33" s="417"/>
      <c r="D33" s="291">
        <f t="shared" si="2"/>
        <v>46322</v>
      </c>
      <c r="E33" s="291" t="s">
        <v>437</v>
      </c>
      <c r="F33" s="410"/>
      <c r="G33" s="411" t="e">
        <f>AVERAGE(F33:F39)</f>
        <v>#DIV/0!</v>
      </c>
      <c r="H33" s="411"/>
      <c r="I33" s="407">
        <f t="shared" si="1"/>
        <v>0</v>
      </c>
      <c r="J33" s="412">
        <f>AVERAGE(I33:I39)</f>
        <v>0</v>
      </c>
      <c r="K33" s="412"/>
      <c r="L33" s="413"/>
      <c r="M33" s="414" t="e">
        <f>AVERAGE(L33:L39)</f>
        <v>#DIV/0!</v>
      </c>
      <c r="N33" s="414"/>
      <c r="O33" s="413"/>
      <c r="P33" s="414" t="e">
        <f>AVERAGE(O33:O39)</f>
        <v>#DIV/0!</v>
      </c>
      <c r="Q33" s="414"/>
      <c r="R33" s="227"/>
      <c r="S33" s="208" t="e">
        <f>AVERAGE(R33:R39)</f>
        <v>#DIV/0!</v>
      </c>
      <c r="T33" s="414"/>
      <c r="U33" s="227"/>
      <c r="V33" s="412" t="e">
        <f>AVERAGE(U33:U39)</f>
        <v>#DIV/0!</v>
      </c>
      <c r="W33" s="419"/>
    </row>
    <row r="34" spans="2:23" s="420" customFormat="1" ht="14.45" customHeight="1">
      <c r="B34" s="417"/>
      <c r="C34" s="417"/>
      <c r="D34" s="291">
        <f t="shared" si="2"/>
        <v>46323</v>
      </c>
      <c r="E34" s="291" t="s">
        <v>438</v>
      </c>
      <c r="F34" s="410"/>
      <c r="G34" s="411"/>
      <c r="H34" s="411"/>
      <c r="I34" s="407">
        <f t="shared" si="1"/>
        <v>0</v>
      </c>
      <c r="J34" s="412"/>
      <c r="K34" s="412"/>
      <c r="L34" s="413"/>
      <c r="M34" s="414"/>
      <c r="N34" s="414"/>
      <c r="O34" s="413"/>
      <c r="P34" s="414"/>
      <c r="Q34" s="414"/>
      <c r="R34" s="227"/>
      <c r="S34" s="412"/>
      <c r="T34" s="414"/>
      <c r="U34" s="227"/>
      <c r="V34" s="412"/>
      <c r="W34" s="419"/>
    </row>
    <row r="35" spans="2:23" s="420" customFormat="1">
      <c r="B35" s="417"/>
      <c r="C35" s="400"/>
      <c r="D35" s="291">
        <f>D34+1</f>
        <v>46324</v>
      </c>
      <c r="E35" s="291" t="s">
        <v>439</v>
      </c>
      <c r="F35" s="410"/>
      <c r="G35" s="411"/>
      <c r="H35" s="415"/>
      <c r="I35" s="407">
        <f t="shared" si="1"/>
        <v>0</v>
      </c>
      <c r="J35" s="412"/>
      <c r="K35" s="416"/>
      <c r="L35" s="413"/>
      <c r="M35" s="414"/>
      <c r="N35" s="416"/>
      <c r="O35" s="413"/>
      <c r="P35" s="414"/>
      <c r="Q35" s="416"/>
      <c r="R35" s="227"/>
      <c r="S35" s="412"/>
      <c r="T35" s="416"/>
      <c r="U35" s="227"/>
      <c r="V35" s="412"/>
    </row>
    <row r="36" spans="2:23" s="420" customFormat="1">
      <c r="B36" s="417"/>
      <c r="C36" s="417"/>
      <c r="D36" s="291">
        <f t="shared" ref="D36:D39" si="3">D35+1</f>
        <v>46325</v>
      </c>
      <c r="E36" s="291" t="s">
        <v>440</v>
      </c>
      <c r="F36" s="410"/>
      <c r="G36" s="411"/>
      <c r="H36" s="411"/>
      <c r="I36" s="407">
        <f t="shared" si="1"/>
        <v>0</v>
      </c>
      <c r="J36" s="412"/>
      <c r="K36" s="412"/>
      <c r="L36" s="413"/>
      <c r="M36" s="412"/>
      <c r="N36" s="414"/>
      <c r="O36" s="413"/>
      <c r="P36" s="412"/>
      <c r="Q36" s="414"/>
      <c r="R36" s="227"/>
      <c r="S36" s="412"/>
      <c r="T36" s="412"/>
      <c r="U36" s="227"/>
      <c r="V36" s="412"/>
      <c r="W36" s="418"/>
    </row>
    <row r="37" spans="2:23" s="420" customFormat="1">
      <c r="B37" s="417"/>
      <c r="C37" s="400"/>
      <c r="D37" s="291">
        <f t="shared" si="3"/>
        <v>46326</v>
      </c>
      <c r="E37" s="291" t="s">
        <v>441</v>
      </c>
      <c r="F37" s="410"/>
      <c r="G37" s="411"/>
      <c r="H37" s="411"/>
      <c r="I37" s="407">
        <f t="shared" si="1"/>
        <v>0</v>
      </c>
      <c r="J37" s="412"/>
      <c r="K37" s="409"/>
      <c r="L37" s="413"/>
      <c r="M37" s="412"/>
      <c r="N37" s="407"/>
      <c r="O37" s="413"/>
      <c r="P37" s="412"/>
      <c r="Q37" s="407"/>
      <c r="R37" s="227"/>
      <c r="S37" s="412"/>
      <c r="T37" s="412"/>
      <c r="U37" s="227"/>
      <c r="V37" s="412"/>
      <c r="W37" s="418"/>
    </row>
    <row r="38" spans="2:23" s="420" customFormat="1">
      <c r="B38" s="417"/>
      <c r="C38" s="400"/>
      <c r="D38" s="291">
        <f t="shared" si="3"/>
        <v>46327</v>
      </c>
      <c r="E38" s="291" t="s">
        <v>442</v>
      </c>
      <c r="F38" s="410"/>
      <c r="G38" s="411"/>
      <c r="H38" s="411"/>
      <c r="I38" s="407">
        <f t="shared" si="1"/>
        <v>0</v>
      </c>
      <c r="J38" s="412"/>
      <c r="K38" s="409"/>
      <c r="L38" s="413"/>
      <c r="M38" s="412"/>
      <c r="N38" s="407"/>
      <c r="O38" s="413"/>
      <c r="P38" s="412"/>
      <c r="Q38" s="407"/>
      <c r="R38" s="227"/>
      <c r="S38" s="412"/>
      <c r="T38" s="412"/>
      <c r="U38" s="227"/>
      <c r="V38" s="412"/>
      <c r="W38" s="418"/>
    </row>
    <row r="39" spans="2:23" s="420" customFormat="1">
      <c r="B39" s="417"/>
      <c r="C39" s="400"/>
      <c r="D39" s="291">
        <f t="shared" si="3"/>
        <v>46328</v>
      </c>
      <c r="E39" s="291" t="s">
        <v>436</v>
      </c>
      <c r="F39" s="410"/>
      <c r="G39" s="411"/>
      <c r="H39" s="411"/>
      <c r="I39" s="407">
        <f t="shared" si="1"/>
        <v>0</v>
      </c>
      <c r="J39" s="412"/>
      <c r="K39" s="409"/>
      <c r="L39" s="413"/>
      <c r="M39" s="412"/>
      <c r="N39" s="407"/>
      <c r="O39" s="413"/>
      <c r="P39" s="412"/>
      <c r="Q39" s="407"/>
      <c r="R39" s="227"/>
      <c r="S39" s="412"/>
      <c r="T39" s="412"/>
      <c r="U39" s="227"/>
      <c r="V39" s="412"/>
      <c r="W39" s="418"/>
    </row>
    <row r="40" spans="2:23">
      <c r="B40" s="97"/>
      <c r="D40" s="344"/>
      <c r="E40" s="344"/>
      <c r="F40" s="223"/>
      <c r="G40" s="411" t="e">
        <f>AVERAGE(F40:F46)</f>
        <v>#DIV/0!</v>
      </c>
      <c r="H40" s="92"/>
      <c r="I40" s="89">
        <f t="shared" si="1"/>
        <v>0</v>
      </c>
      <c r="J40" s="412">
        <f>AVERAGE(I40:I46)</f>
        <v>0</v>
      </c>
      <c r="K40" s="86"/>
      <c r="L40" s="240"/>
      <c r="M40" s="414" t="e">
        <f>AVERAGE(L40:L46)</f>
        <v>#DIV/0!</v>
      </c>
      <c r="N40" s="89"/>
      <c r="O40" s="240"/>
      <c r="P40" s="414" t="e">
        <f>AVERAGE(O40:O46)</f>
        <v>#DIV/0!</v>
      </c>
      <c r="Q40" s="89"/>
      <c r="R40" s="227"/>
      <c r="S40" s="208" t="e">
        <f>AVERAGE(R40:R46)</f>
        <v>#DIV/0!</v>
      </c>
      <c r="T40" s="208"/>
      <c r="U40" s="227"/>
      <c r="V40" s="412" t="e">
        <f>AVERAGE(U40:U46)</f>
        <v>#DIV/0!</v>
      </c>
      <c r="W40" s="208"/>
    </row>
    <row r="41" spans="2:23">
      <c r="B41" s="97"/>
      <c r="D41" s="344"/>
      <c r="E41" s="344"/>
      <c r="F41" s="223"/>
      <c r="G41" s="92"/>
      <c r="H41" s="92"/>
      <c r="I41" s="89">
        <f t="shared" ref="I41:I45" si="4">F41/$C$1</f>
        <v>0</v>
      </c>
      <c r="J41" s="208"/>
      <c r="K41" s="86"/>
      <c r="L41" s="240"/>
      <c r="M41" s="208"/>
      <c r="N41" s="89"/>
      <c r="O41" s="240"/>
      <c r="P41" s="208"/>
      <c r="Q41" s="89"/>
      <c r="R41" s="227"/>
      <c r="S41" s="208"/>
      <c r="T41" s="208"/>
      <c r="U41" s="227"/>
      <c r="V41" s="208"/>
      <c r="W41" s="208"/>
    </row>
    <row r="42" spans="2:23">
      <c r="B42" s="97"/>
      <c r="D42" s="344"/>
      <c r="E42" s="344"/>
      <c r="F42" s="223"/>
      <c r="G42" s="92"/>
      <c r="H42" s="92"/>
      <c r="I42" s="89">
        <f t="shared" si="4"/>
        <v>0</v>
      </c>
      <c r="J42" s="208"/>
      <c r="K42" s="86"/>
      <c r="L42" s="240"/>
      <c r="M42" s="208"/>
      <c r="N42" s="89"/>
      <c r="O42" s="240"/>
      <c r="P42" s="208"/>
      <c r="Q42" s="89"/>
      <c r="R42" s="227"/>
      <c r="S42" s="208"/>
      <c r="T42" s="208"/>
      <c r="U42" s="227"/>
      <c r="V42" s="208"/>
      <c r="W42" s="208"/>
    </row>
    <row r="43" spans="2:23">
      <c r="B43" s="97"/>
      <c r="D43" s="344"/>
      <c r="E43" s="344"/>
      <c r="F43" s="223"/>
      <c r="G43" s="92"/>
      <c r="H43" s="92"/>
      <c r="I43" s="89">
        <f t="shared" si="4"/>
        <v>0</v>
      </c>
      <c r="J43" s="208"/>
      <c r="K43" s="86"/>
      <c r="L43" s="240"/>
      <c r="M43" s="208"/>
      <c r="N43" s="89"/>
      <c r="O43" s="240"/>
      <c r="P43" s="208"/>
      <c r="Q43" s="89"/>
      <c r="R43" s="227"/>
      <c r="S43" s="208"/>
      <c r="T43" s="208"/>
      <c r="U43" s="227"/>
      <c r="V43" s="208"/>
      <c r="W43" s="208"/>
    </row>
    <row r="44" spans="2:23">
      <c r="B44" s="97"/>
      <c r="D44" s="344"/>
      <c r="E44" s="344"/>
      <c r="F44" s="223"/>
      <c r="G44" s="92"/>
      <c r="H44" s="92"/>
      <c r="I44" s="89">
        <f t="shared" si="4"/>
        <v>0</v>
      </c>
      <c r="J44" s="208"/>
      <c r="K44" s="86"/>
      <c r="L44" s="240"/>
      <c r="M44" s="208"/>
      <c r="N44" s="89"/>
      <c r="O44" s="240"/>
      <c r="P44" s="208"/>
      <c r="Q44" s="89"/>
      <c r="R44" s="227"/>
      <c r="S44" s="208"/>
      <c r="T44" s="208"/>
      <c r="U44" s="227"/>
      <c r="V44" s="208"/>
      <c r="W44" s="208"/>
    </row>
    <row r="45" spans="2:23">
      <c r="B45" s="97"/>
      <c r="D45" s="344"/>
      <c r="E45" s="344"/>
      <c r="F45" s="223"/>
      <c r="G45" s="92"/>
      <c r="H45" s="92"/>
      <c r="I45" s="89">
        <f t="shared" si="4"/>
        <v>0</v>
      </c>
      <c r="J45" s="208"/>
      <c r="K45" s="86"/>
      <c r="L45" s="240"/>
      <c r="M45" s="208"/>
      <c r="N45" s="89"/>
      <c r="O45" s="240"/>
      <c r="P45" s="208"/>
      <c r="Q45" s="89"/>
      <c r="R45" s="227"/>
      <c r="S45" s="208"/>
      <c r="T45" s="208"/>
      <c r="U45" s="227"/>
      <c r="V45" s="208"/>
      <c r="W45" s="208"/>
    </row>
    <row r="46" spans="2:23">
      <c r="B46" s="97"/>
      <c r="D46" s="344"/>
      <c r="E46" s="344"/>
      <c r="F46" s="223"/>
      <c r="G46" s="92"/>
      <c r="H46" s="92"/>
      <c r="I46" s="89">
        <f t="shared" ref="I46" si="5">F46/$C$1</f>
        <v>0</v>
      </c>
      <c r="J46" s="208"/>
      <c r="K46" s="86"/>
      <c r="L46" s="240"/>
      <c r="M46" s="208"/>
      <c r="N46" s="89"/>
      <c r="O46" s="240"/>
      <c r="P46" s="208"/>
      <c r="Q46" s="89"/>
      <c r="R46" s="227"/>
      <c r="S46" s="208"/>
      <c r="T46" s="208"/>
      <c r="U46" s="227"/>
      <c r="V46" s="208"/>
      <c r="W46" s="208"/>
    </row>
    <row r="47" spans="2:23">
      <c r="B47" s="97"/>
    </row>
    <row r="48" spans="2:23">
      <c r="B48" s="97"/>
    </row>
    <row r="49" spans="2:2">
      <c r="B49" s="97"/>
    </row>
    <row r="50" spans="2:2">
      <c r="B50" s="97"/>
    </row>
  </sheetData>
  <mergeCells count="9">
    <mergeCell ref="B2:U2"/>
    <mergeCell ref="F3:H3"/>
    <mergeCell ref="L3:N3"/>
    <mergeCell ref="R3:T3"/>
    <mergeCell ref="C3:C4"/>
    <mergeCell ref="D3:E4"/>
    <mergeCell ref="I3:K3"/>
    <mergeCell ref="O3:Q3"/>
    <mergeCell ref="U3:W3"/>
  </mergeCells>
  <phoneticPr fontId="13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B0F0"/>
  </sheetPr>
  <dimension ref="A2:AT106"/>
  <sheetViews>
    <sheetView zoomScale="70" zoomScaleNormal="70" workbookViewId="0">
      <pane xSplit="5" ySplit="6" topLeftCell="G7" activePane="bottomRight" state="frozen"/>
      <selection pane="topRight" activeCell="F1" sqref="F1"/>
      <selection pane="bottomLeft" activeCell="A7" sqref="A7"/>
      <selection pane="bottomRight" activeCell="H22" sqref="H22"/>
    </sheetView>
  </sheetViews>
  <sheetFormatPr defaultColWidth="8.85546875" defaultRowHeight="16.5"/>
  <cols>
    <col min="1" max="1" width="0" style="77" hidden="1" customWidth="1"/>
    <col min="2" max="2" width="13.140625" style="77" hidden="1" customWidth="1"/>
    <col min="3" max="3" width="0" style="102" hidden="1" customWidth="1"/>
    <col min="4" max="4" width="11" style="102" bestFit="1" customWidth="1"/>
    <col min="5" max="5" width="8.5703125" style="84" customWidth="1"/>
    <col min="6" max="8" width="17.42578125" style="101" customWidth="1"/>
    <col min="9" max="9" width="10.5703125" style="96" customWidth="1"/>
    <col min="10" max="10" width="10.5703125" style="89" customWidth="1"/>
    <col min="11" max="11" width="10.5703125" style="96" customWidth="1"/>
    <col min="12" max="14" width="10.5703125" style="89" customWidth="1"/>
    <col min="15" max="15" width="10.5703125" style="96" customWidth="1"/>
    <col min="16" max="16" width="10.5703125" style="89" customWidth="1"/>
    <col min="17" max="17" width="10.5703125" style="96" customWidth="1"/>
    <col min="18" max="18" width="10.5703125" style="89" customWidth="1"/>
    <col min="19" max="19" width="10.5703125" style="96" customWidth="1"/>
    <col min="20" max="20" width="10.5703125" style="89" customWidth="1"/>
    <col min="21" max="21" width="10.5703125" style="96" customWidth="1"/>
    <col min="22" max="22" width="10.5703125" style="89" customWidth="1"/>
    <col min="23" max="23" width="10.5703125" style="96" customWidth="1"/>
    <col min="24" max="24" width="10.5703125" style="89" customWidth="1"/>
    <col min="25" max="25" width="10.5703125" style="96" customWidth="1"/>
    <col min="26" max="26" width="10.5703125" style="89" customWidth="1"/>
    <col min="27" max="27" width="10.5703125" style="96" customWidth="1"/>
    <col min="28" max="28" width="10.5703125" style="89" customWidth="1"/>
    <col min="29" max="29" width="10.5703125" style="96" customWidth="1"/>
    <col min="30" max="30" width="10.5703125" style="89" customWidth="1"/>
    <col min="31" max="31" width="10.5703125" style="96" customWidth="1"/>
    <col min="32" max="32" width="10.5703125" style="89" customWidth="1"/>
    <col min="33" max="33" width="10.42578125" style="96" customWidth="1"/>
    <col min="34" max="34" width="10.42578125" style="89" customWidth="1"/>
    <col min="35" max="35" width="10.42578125" style="96" customWidth="1"/>
    <col min="36" max="36" width="10.42578125" style="89" customWidth="1"/>
    <col min="37" max="37" width="10.42578125" style="96" customWidth="1"/>
    <col min="38" max="38" width="10.42578125" style="89" customWidth="1"/>
    <col min="39" max="16384" width="8.85546875" style="77"/>
  </cols>
  <sheetData>
    <row r="2" spans="1:38" ht="38.1" customHeight="1">
      <c r="A2" s="75"/>
      <c r="B2" s="619" t="s">
        <v>300</v>
      </c>
      <c r="C2" s="619"/>
      <c r="D2" s="619"/>
      <c r="E2" s="619"/>
      <c r="F2" s="619"/>
      <c r="G2" s="619"/>
      <c r="H2" s="619"/>
      <c r="I2" s="619"/>
      <c r="J2" s="619"/>
      <c r="K2" s="619"/>
      <c r="L2" s="619"/>
      <c r="M2" s="619"/>
      <c r="N2" s="619"/>
      <c r="O2" s="619"/>
      <c r="P2" s="619"/>
      <c r="Q2" s="619"/>
      <c r="R2" s="619"/>
      <c r="S2" s="619"/>
      <c r="T2" s="619"/>
      <c r="U2" s="619"/>
      <c r="V2" s="619"/>
      <c r="W2" s="619"/>
      <c r="X2" s="619"/>
      <c r="Y2" s="619"/>
      <c r="Z2" s="619"/>
      <c r="AA2" s="619"/>
      <c r="AB2" s="619"/>
      <c r="AC2" s="619"/>
      <c r="AD2" s="619"/>
      <c r="AE2" s="619"/>
      <c r="AF2" s="619"/>
      <c r="AG2" s="619"/>
      <c r="AH2" s="619"/>
      <c r="AI2" s="619"/>
      <c r="AJ2" s="619"/>
      <c r="AK2" s="619"/>
      <c r="AL2" s="619"/>
    </row>
    <row r="3" spans="1:38" ht="25.35" customHeight="1">
      <c r="B3" s="97"/>
      <c r="C3" s="620" t="s">
        <v>139</v>
      </c>
      <c r="D3" s="621" t="s">
        <v>105</v>
      </c>
      <c r="E3" s="621"/>
      <c r="F3" s="622" t="s">
        <v>331</v>
      </c>
      <c r="G3" s="622"/>
      <c r="H3" s="622"/>
      <c r="I3" s="623" t="s">
        <v>111</v>
      </c>
      <c r="J3" s="623"/>
      <c r="K3" s="623"/>
      <c r="L3" s="623"/>
      <c r="M3" s="623"/>
      <c r="N3" s="623"/>
      <c r="O3" s="623"/>
      <c r="P3" s="623"/>
      <c r="Q3" s="623"/>
      <c r="R3" s="623"/>
      <c r="S3" s="623"/>
      <c r="T3" s="623"/>
      <c r="U3" s="623"/>
      <c r="V3" s="623"/>
      <c r="W3" s="623"/>
      <c r="X3" s="623"/>
      <c r="Y3" s="623"/>
      <c r="Z3" s="623"/>
      <c r="AA3" s="623"/>
      <c r="AB3" s="623"/>
      <c r="AC3" s="623"/>
      <c r="AD3" s="623"/>
      <c r="AE3" s="623"/>
      <c r="AF3" s="623"/>
      <c r="AG3" s="623"/>
      <c r="AH3" s="623"/>
      <c r="AI3" s="623"/>
      <c r="AJ3" s="623"/>
      <c r="AK3" s="623"/>
      <c r="AL3" s="623"/>
    </row>
    <row r="4" spans="1:38" ht="25.35" customHeight="1">
      <c r="B4" s="97"/>
      <c r="C4" s="620"/>
      <c r="D4" s="621"/>
      <c r="E4" s="621"/>
      <c r="F4" s="622"/>
      <c r="G4" s="622"/>
      <c r="H4" s="622"/>
      <c r="I4" s="618" t="s">
        <v>140</v>
      </c>
      <c r="J4" s="618"/>
      <c r="K4" s="618"/>
      <c r="L4" s="618"/>
      <c r="M4" s="618"/>
      <c r="N4" s="618"/>
      <c r="O4" s="618" t="s">
        <v>141</v>
      </c>
      <c r="P4" s="618"/>
      <c r="Q4" s="618"/>
      <c r="R4" s="618"/>
      <c r="S4" s="618"/>
      <c r="T4" s="618"/>
      <c r="U4" s="618" t="s">
        <v>324</v>
      </c>
      <c r="V4" s="618"/>
      <c r="W4" s="618" t="s">
        <v>143</v>
      </c>
      <c r="X4" s="618"/>
      <c r="Y4" s="618" t="s">
        <v>134</v>
      </c>
      <c r="Z4" s="618"/>
      <c r="AA4" s="618"/>
      <c r="AB4" s="618"/>
      <c r="AC4" s="618"/>
      <c r="AD4" s="618"/>
      <c r="AE4" s="618" t="s">
        <v>132</v>
      </c>
      <c r="AF4" s="618"/>
      <c r="AG4" s="618" t="s">
        <v>144</v>
      </c>
      <c r="AH4" s="618"/>
      <c r="AI4" s="618" t="s">
        <v>145</v>
      </c>
      <c r="AJ4" s="618"/>
      <c r="AK4" s="618" t="s">
        <v>138</v>
      </c>
      <c r="AL4" s="618"/>
    </row>
    <row r="5" spans="1:38" ht="25.35" customHeight="1">
      <c r="B5" s="97"/>
      <c r="C5" s="620"/>
      <c r="D5" s="621"/>
      <c r="E5" s="621"/>
      <c r="F5" s="625" t="s">
        <v>115</v>
      </c>
      <c r="G5" s="625" t="s">
        <v>117</v>
      </c>
      <c r="H5" s="625" t="s">
        <v>118</v>
      </c>
      <c r="I5" s="618" t="s">
        <v>129</v>
      </c>
      <c r="J5" s="618"/>
      <c r="K5" s="618" t="s">
        <v>130</v>
      </c>
      <c r="L5" s="618"/>
      <c r="M5" s="624" t="s">
        <v>146</v>
      </c>
      <c r="N5" s="618"/>
      <c r="O5" s="618" t="s">
        <v>129</v>
      </c>
      <c r="P5" s="618"/>
      <c r="Q5" s="618" t="s">
        <v>130</v>
      </c>
      <c r="R5" s="618"/>
      <c r="S5" s="624" t="s">
        <v>146</v>
      </c>
      <c r="T5" s="618"/>
      <c r="U5" s="618" t="s">
        <v>129</v>
      </c>
      <c r="V5" s="618"/>
      <c r="W5" s="618" t="s">
        <v>129</v>
      </c>
      <c r="X5" s="618"/>
      <c r="Y5" s="618" t="s">
        <v>129</v>
      </c>
      <c r="Z5" s="618"/>
      <c r="AA5" s="618" t="s">
        <v>130</v>
      </c>
      <c r="AB5" s="618"/>
      <c r="AC5" s="624" t="s">
        <v>146</v>
      </c>
      <c r="AD5" s="618"/>
      <c r="AE5" s="618" t="s">
        <v>129</v>
      </c>
      <c r="AF5" s="618"/>
      <c r="AG5" s="618" t="s">
        <v>129</v>
      </c>
      <c r="AH5" s="618"/>
      <c r="AI5" s="618" t="s">
        <v>129</v>
      </c>
      <c r="AJ5" s="618"/>
      <c r="AK5" s="618" t="s">
        <v>129</v>
      </c>
      <c r="AL5" s="618"/>
    </row>
    <row r="6" spans="1:38" s="80" customFormat="1" ht="23.45" customHeight="1">
      <c r="B6" s="97"/>
      <c r="C6" s="620"/>
      <c r="D6" s="621"/>
      <c r="E6" s="621"/>
      <c r="F6" s="625"/>
      <c r="G6" s="625"/>
      <c r="H6" s="625"/>
      <c r="I6" s="98" t="s">
        <v>112</v>
      </c>
      <c r="J6" s="99" t="s">
        <v>113</v>
      </c>
      <c r="K6" s="98" t="s">
        <v>112</v>
      </c>
      <c r="L6" s="99" t="s">
        <v>113</v>
      </c>
      <c r="M6" s="98" t="s">
        <v>112</v>
      </c>
      <c r="N6" s="99" t="s">
        <v>113</v>
      </c>
      <c r="O6" s="98" t="s">
        <v>112</v>
      </c>
      <c r="P6" s="99" t="s">
        <v>113</v>
      </c>
      <c r="Q6" s="98" t="s">
        <v>112</v>
      </c>
      <c r="R6" s="99" t="s">
        <v>113</v>
      </c>
      <c r="S6" s="98" t="s">
        <v>112</v>
      </c>
      <c r="T6" s="99" t="s">
        <v>113</v>
      </c>
      <c r="U6" s="98" t="s">
        <v>112</v>
      </c>
      <c r="V6" s="99" t="s">
        <v>113</v>
      </c>
      <c r="W6" s="98" t="s">
        <v>112</v>
      </c>
      <c r="X6" s="99" t="s">
        <v>113</v>
      </c>
      <c r="Y6" s="98" t="s">
        <v>112</v>
      </c>
      <c r="Z6" s="99" t="s">
        <v>113</v>
      </c>
      <c r="AA6" s="98" t="s">
        <v>112</v>
      </c>
      <c r="AB6" s="99" t="s">
        <v>113</v>
      </c>
      <c r="AC6" s="98" t="s">
        <v>112</v>
      </c>
      <c r="AD6" s="99" t="s">
        <v>113</v>
      </c>
      <c r="AE6" s="98" t="s">
        <v>112</v>
      </c>
      <c r="AF6" s="99" t="s">
        <v>113</v>
      </c>
      <c r="AG6" s="98" t="s">
        <v>112</v>
      </c>
      <c r="AH6" s="99" t="s">
        <v>113</v>
      </c>
      <c r="AI6" s="98" t="s">
        <v>112</v>
      </c>
      <c r="AJ6" s="99" t="s">
        <v>113</v>
      </c>
      <c r="AK6" s="98" t="s">
        <v>112</v>
      </c>
      <c r="AL6" s="99" t="s">
        <v>113</v>
      </c>
    </row>
    <row r="7" spans="1:38" ht="14.25">
      <c r="B7" s="97"/>
      <c r="C7" s="83"/>
      <c r="D7" s="291">
        <v>46294</v>
      </c>
      <c r="E7" s="291" t="s">
        <v>437</v>
      </c>
      <c r="F7" s="222">
        <f t="shared" ref="F7" si="0">SUM(M7,S7,U7,W7,AC7,AE7,AG7,AI7,AK7)</f>
        <v>9442784</v>
      </c>
      <c r="G7" s="289"/>
      <c r="I7" s="424">
        <v>922748.63066815119</v>
      </c>
      <c r="J7" s="327">
        <f t="shared" ref="J7:J13" si="1">I7/F7</f>
        <v>9.7719976509909698E-2</v>
      </c>
      <c r="K7" s="424">
        <v>1163333.0271887193</v>
      </c>
      <c r="L7" s="327">
        <f t="shared" ref="L7:L13" si="2">K7/F7</f>
        <v>0.12319809784791426</v>
      </c>
      <c r="M7" s="425">
        <f t="shared" ref="M7:M10" si="3">SUM(I7+K7)</f>
        <v>2086081.6578568704</v>
      </c>
      <c r="N7" s="327">
        <f t="shared" ref="N7:N13" si="4">M7/F7</f>
        <v>0.22091807435782396</v>
      </c>
      <c r="O7" s="424">
        <v>381986.46074303455</v>
      </c>
      <c r="P7" s="327">
        <f t="shared" ref="P7:P13" si="5">O7/F7</f>
        <v>4.0452737322280649E-2</v>
      </c>
      <c r="Q7" s="424"/>
      <c r="R7" s="327">
        <f t="shared" ref="R7:R13" si="6">Q7/$F7</f>
        <v>0</v>
      </c>
      <c r="S7" s="425">
        <f t="shared" ref="S7:S13" si="7">SUM(O7+Q7)</f>
        <v>381986.46074303455</v>
      </c>
      <c r="T7" s="327">
        <f t="shared" ref="T7:T13" si="8">S7/F7</f>
        <v>4.0452737322280649E-2</v>
      </c>
      <c r="U7" s="424">
        <v>1077923.6186012561</v>
      </c>
      <c r="V7" s="327">
        <f t="shared" ref="V7:V13" si="9">U7/F7</f>
        <v>0.11415315849661033</v>
      </c>
      <c r="W7" s="424"/>
      <c r="X7" s="327">
        <f t="shared" ref="X7:X13" si="10">W7/F7</f>
        <v>0</v>
      </c>
      <c r="Y7" s="424">
        <v>901195.72844650387</v>
      </c>
      <c r="Z7" s="327">
        <f t="shared" ref="Z7:Z13" si="11">Y7/F7</f>
        <v>9.5437503224314338E-2</v>
      </c>
      <c r="AA7" s="424">
        <v>1285048.2739358696</v>
      </c>
      <c r="AB7" s="327">
        <f t="shared" ref="AB7:AB13" si="12">AA7/$F7</f>
        <v>0.13608786073427812</v>
      </c>
      <c r="AC7" s="425">
        <f t="shared" ref="AC7:AC13" si="13">SUM(Y7+AA7)</f>
        <v>2186244.0023823734</v>
      </c>
      <c r="AD7" s="327">
        <f t="shared" ref="AD7:AD13" si="14">AC7/F7</f>
        <v>0.23152536395859244</v>
      </c>
      <c r="AE7" s="424">
        <v>1535420.4033437031</v>
      </c>
      <c r="AF7" s="327">
        <f t="shared" ref="AF7:AF13" si="15">AE7/F7</f>
        <v>0.16260251249458879</v>
      </c>
      <c r="AG7" s="424">
        <v>689680.14409092418</v>
      </c>
      <c r="AH7" s="327">
        <f t="shared" ref="AH7:AH13" si="16">AG7/F7</f>
        <v>7.3037797337196758E-2</v>
      </c>
      <c r="AI7" s="424">
        <v>795935.65408155753</v>
      </c>
      <c r="AJ7" s="327">
        <f t="shared" ref="AJ7:AJ13" si="17">AI7/F7</f>
        <v>8.4290359080707297E-2</v>
      </c>
      <c r="AK7" s="424">
        <v>689512.05890028062</v>
      </c>
      <c r="AL7" s="100">
        <f>AK7/F7</f>
        <v>7.3019996952199753E-2</v>
      </c>
    </row>
    <row r="8" spans="1:38" ht="14.25">
      <c r="B8" s="97"/>
      <c r="C8" s="329"/>
      <c r="D8" s="291">
        <f t="shared" ref="D8" si="18">D7+1</f>
        <v>46295</v>
      </c>
      <c r="E8" s="291" t="s">
        <v>438</v>
      </c>
      <c r="F8" s="222">
        <f>SUM(M8,S8,U8,W8,AC8,AE8,AG8,AI8,AK8)</f>
        <v>9018978</v>
      </c>
      <c r="G8" s="289">
        <f>SUM(F7:F13)</f>
        <v>60334337</v>
      </c>
      <c r="H8" s="308"/>
      <c r="I8" s="424">
        <v>847328.50762593374</v>
      </c>
      <c r="J8" s="327">
        <f t="shared" si="1"/>
        <v>9.3949503771484283E-2</v>
      </c>
      <c r="K8" s="424">
        <v>1143702.3545312027</v>
      </c>
      <c r="L8" s="327">
        <f t="shared" si="2"/>
        <v>0.12681063802696965</v>
      </c>
      <c r="M8" s="425">
        <f t="shared" si="3"/>
        <v>1991030.8621571364</v>
      </c>
      <c r="N8" s="327">
        <f t="shared" si="4"/>
        <v>0.22076014179845393</v>
      </c>
      <c r="O8" s="424">
        <v>318812.78696709516</v>
      </c>
      <c r="P8" s="327">
        <f t="shared" si="5"/>
        <v>3.5349103520054617E-2</v>
      </c>
      <c r="Q8" s="424"/>
      <c r="R8" s="327">
        <f t="shared" si="6"/>
        <v>0</v>
      </c>
      <c r="S8" s="425">
        <f t="shared" si="7"/>
        <v>318812.78696709516</v>
      </c>
      <c r="T8" s="327">
        <f t="shared" si="8"/>
        <v>3.5349103520054617E-2</v>
      </c>
      <c r="U8" s="424">
        <v>988191.30689109198</v>
      </c>
      <c r="V8" s="327">
        <f t="shared" si="9"/>
        <v>0.10956799172712163</v>
      </c>
      <c r="W8" s="424"/>
      <c r="X8" s="327">
        <f t="shared" si="10"/>
        <v>0</v>
      </c>
      <c r="Y8" s="424">
        <v>838114.34682545229</v>
      </c>
      <c r="Z8" s="327">
        <f t="shared" si="11"/>
        <v>9.2927862428032568E-2</v>
      </c>
      <c r="AA8" s="424">
        <v>1257688.1152898821</v>
      </c>
      <c r="AB8" s="327">
        <f t="shared" si="12"/>
        <v>0.13944907231061901</v>
      </c>
      <c r="AC8" s="425">
        <f t="shared" si="13"/>
        <v>2095802.4621153343</v>
      </c>
      <c r="AD8" s="327">
        <f t="shared" si="14"/>
        <v>0.23237693473865159</v>
      </c>
      <c r="AE8" s="424">
        <v>1513315.2128625198</v>
      </c>
      <c r="AF8" s="327">
        <f t="shared" si="15"/>
        <v>0.16779231669735969</v>
      </c>
      <c r="AG8" s="424">
        <v>645309.13945525116</v>
      </c>
      <c r="AH8" s="327">
        <f t="shared" si="16"/>
        <v>7.1550140099604545E-2</v>
      </c>
      <c r="AI8" s="424">
        <v>794014.72251656768</v>
      </c>
      <c r="AJ8" s="327">
        <f t="shared" si="17"/>
        <v>8.8038214808437015E-2</v>
      </c>
      <c r="AK8" s="424">
        <v>672501.50703500223</v>
      </c>
      <c r="AL8" s="100">
        <f>AK8/F8</f>
        <v>7.4565156610316846E-2</v>
      </c>
    </row>
    <row r="9" spans="1:38" ht="14.25">
      <c r="B9" s="97"/>
      <c r="C9" s="97"/>
      <c r="D9" s="291">
        <f>D8+1</f>
        <v>46296</v>
      </c>
      <c r="E9" s="291" t="s">
        <v>439</v>
      </c>
      <c r="F9" s="222">
        <f t="shared" ref="F9:F49" si="19">SUM(M9,S9,U9,W9,AC9,AE9,AG9,AI9,AK9)</f>
        <v>8168632.9999999981</v>
      </c>
      <c r="G9" s="86"/>
      <c r="H9" s="86"/>
      <c r="I9" s="228">
        <v>828997.53549272497</v>
      </c>
      <c r="J9" s="100">
        <f t="shared" si="1"/>
        <v>0.10148546709011473</v>
      </c>
      <c r="K9" s="228">
        <v>1009504.9587072694</v>
      </c>
      <c r="L9" s="100">
        <f t="shared" si="2"/>
        <v>0.12358309630353936</v>
      </c>
      <c r="M9" s="221">
        <f t="shared" si="3"/>
        <v>1838502.4941999945</v>
      </c>
      <c r="N9" s="100">
        <f t="shared" si="4"/>
        <v>0.22506856339365411</v>
      </c>
      <c r="O9" s="228">
        <v>307043.22631810879</v>
      </c>
      <c r="P9" s="100">
        <f t="shared" si="5"/>
        <v>3.758807946422723E-2</v>
      </c>
      <c r="Q9" s="228"/>
      <c r="R9" s="100">
        <f t="shared" si="6"/>
        <v>0</v>
      </c>
      <c r="S9" s="221">
        <f t="shared" si="7"/>
        <v>307043.22631810879</v>
      </c>
      <c r="T9" s="100">
        <f t="shared" si="8"/>
        <v>3.758807946422723E-2</v>
      </c>
      <c r="U9" s="228">
        <v>898771.6910699592</v>
      </c>
      <c r="V9" s="100">
        <f t="shared" si="9"/>
        <v>0.11002718460603621</v>
      </c>
      <c r="W9" s="228"/>
      <c r="X9" s="100">
        <f t="shared" si="10"/>
        <v>0</v>
      </c>
      <c r="Y9" s="228">
        <v>787581.73656342644</v>
      </c>
      <c r="Z9" s="100">
        <f t="shared" si="11"/>
        <v>9.6415365528531721E-2</v>
      </c>
      <c r="AA9" s="228">
        <v>973196.62353342422</v>
      </c>
      <c r="AB9" s="100">
        <f t="shared" si="12"/>
        <v>0.11913824792146059</v>
      </c>
      <c r="AC9" s="221">
        <f t="shared" si="13"/>
        <v>1760778.3600968507</v>
      </c>
      <c r="AD9" s="100">
        <f t="shared" si="14"/>
        <v>0.21555361344999233</v>
      </c>
      <c r="AE9" s="228">
        <v>1285584.069637707</v>
      </c>
      <c r="AF9" s="100">
        <f t="shared" si="15"/>
        <v>0.15738056412103557</v>
      </c>
      <c r="AG9" s="228">
        <v>612630.78740672302</v>
      </c>
      <c r="AH9" s="100">
        <f t="shared" si="16"/>
        <v>7.499795711310854E-2</v>
      </c>
      <c r="AI9" s="228">
        <v>813245.88613593241</v>
      </c>
      <c r="AJ9" s="100">
        <f t="shared" si="17"/>
        <v>9.9557157989094702E-2</v>
      </c>
      <c r="AK9" s="228">
        <v>652076.48513472395</v>
      </c>
      <c r="AL9" s="100">
        <f>AK9/F9</f>
        <v>7.9826879862851488E-2</v>
      </c>
    </row>
    <row r="10" spans="1:38" ht="14.25">
      <c r="B10" s="97"/>
      <c r="C10" s="97"/>
      <c r="D10" s="291">
        <f t="shared" ref="D10:D36" si="20">D9+1</f>
        <v>46297</v>
      </c>
      <c r="E10" s="291" t="s">
        <v>440</v>
      </c>
      <c r="F10" s="222">
        <f t="shared" si="19"/>
        <v>7055864.9999999991</v>
      </c>
      <c r="G10" s="289"/>
      <c r="H10" s="308"/>
      <c r="I10" s="228">
        <v>706550.1157961518</v>
      </c>
      <c r="J10" s="100">
        <f t="shared" si="1"/>
        <v>0.10013656947747043</v>
      </c>
      <c r="K10" s="228">
        <v>929331.21487003751</v>
      </c>
      <c r="L10" s="100">
        <f t="shared" si="2"/>
        <v>0.13171045858587679</v>
      </c>
      <c r="M10" s="221">
        <f t="shared" si="3"/>
        <v>1635881.3306661893</v>
      </c>
      <c r="N10" s="100">
        <f t="shared" si="4"/>
        <v>0.23184702806334723</v>
      </c>
      <c r="O10" s="228">
        <v>290402.00595807575</v>
      </c>
      <c r="P10" s="100">
        <f t="shared" si="5"/>
        <v>4.1157534328969701E-2</v>
      </c>
      <c r="Q10" s="228"/>
      <c r="R10" s="100">
        <f t="shared" si="6"/>
        <v>0</v>
      </c>
      <c r="S10" s="221">
        <f t="shared" si="7"/>
        <v>290402.00595807575</v>
      </c>
      <c r="T10" s="100">
        <f t="shared" si="8"/>
        <v>4.1157534328969701E-2</v>
      </c>
      <c r="U10" s="228">
        <v>703182.51725635875</v>
      </c>
      <c r="V10" s="100">
        <f t="shared" si="9"/>
        <v>9.965929297915406E-2</v>
      </c>
      <c r="W10" s="228"/>
      <c r="X10" s="100">
        <f t="shared" si="10"/>
        <v>0</v>
      </c>
      <c r="Y10" s="228">
        <v>635385.1562963078</v>
      </c>
      <c r="Z10" s="100">
        <f t="shared" si="11"/>
        <v>9.0050639616306133E-2</v>
      </c>
      <c r="AA10" s="228">
        <v>970168.97286569176</v>
      </c>
      <c r="AB10" s="100">
        <f t="shared" si="12"/>
        <v>0.13749823343639539</v>
      </c>
      <c r="AC10" s="221">
        <f t="shared" si="13"/>
        <v>1605554.1291619996</v>
      </c>
      <c r="AD10" s="100">
        <f t="shared" si="14"/>
        <v>0.22754887305270152</v>
      </c>
      <c r="AE10" s="228">
        <v>1024508.5852611979</v>
      </c>
      <c r="AF10" s="100">
        <f t="shared" si="15"/>
        <v>0.14519957301637687</v>
      </c>
      <c r="AG10" s="228">
        <v>500291.77835862938</v>
      </c>
      <c r="AH10" s="100">
        <f t="shared" si="16"/>
        <v>7.0904386401756475E-2</v>
      </c>
      <c r="AI10" s="228">
        <v>769156.76447666273</v>
      </c>
      <c r="AJ10" s="100">
        <f t="shared" si="17"/>
        <v>0.10900956360087145</v>
      </c>
      <c r="AK10" s="228">
        <v>526887.88886088564</v>
      </c>
      <c r="AL10" s="100">
        <f t="shared" ref="AL10:AL13" si="21">AK10/F10</f>
        <v>7.4673748556822683E-2</v>
      </c>
    </row>
    <row r="11" spans="1:38" ht="14.25">
      <c r="B11" s="97"/>
      <c r="C11" s="97"/>
      <c r="D11" s="291">
        <f t="shared" si="20"/>
        <v>46298</v>
      </c>
      <c r="E11" s="291" t="s">
        <v>441</v>
      </c>
      <c r="F11" s="222">
        <f t="shared" si="19"/>
        <v>7451826</v>
      </c>
      <c r="G11" s="289"/>
      <c r="H11" s="308"/>
      <c r="I11" s="424">
        <v>662962.67717101343</v>
      </c>
      <c r="J11" s="327">
        <f t="shared" si="1"/>
        <v>8.896647307264198E-2</v>
      </c>
      <c r="K11" s="424">
        <v>1081476.7447362985</v>
      </c>
      <c r="L11" s="327">
        <f t="shared" si="2"/>
        <v>0.14512909248502293</v>
      </c>
      <c r="M11" s="425">
        <f t="shared" ref="M11:M13" si="22">SUM(I11+K11)</f>
        <v>1744439.4219073118</v>
      </c>
      <c r="N11" s="327">
        <f t="shared" si="4"/>
        <v>0.23409556555766489</v>
      </c>
      <c r="O11" s="424">
        <v>273325.91578397166</v>
      </c>
      <c r="P11" s="327">
        <f t="shared" si="5"/>
        <v>3.6679052326768186E-2</v>
      </c>
      <c r="Q11" s="424"/>
      <c r="R11" s="327">
        <f t="shared" si="6"/>
        <v>0</v>
      </c>
      <c r="S11" s="425">
        <f t="shared" si="7"/>
        <v>273325.91578397166</v>
      </c>
      <c r="T11" s="327">
        <f t="shared" si="8"/>
        <v>3.6679052326768186E-2</v>
      </c>
      <c r="U11" s="424">
        <v>790648.20816532779</v>
      </c>
      <c r="V11" s="327">
        <f t="shared" si="9"/>
        <v>0.10610127077112748</v>
      </c>
      <c r="W11" s="424"/>
      <c r="X11" s="327">
        <f t="shared" si="10"/>
        <v>0</v>
      </c>
      <c r="Y11" s="424">
        <v>664675.2240168089</v>
      </c>
      <c r="Z11" s="327">
        <f t="shared" si="11"/>
        <v>8.9196288804490195E-2</v>
      </c>
      <c r="AA11" s="424">
        <v>1112934.9884928283</v>
      </c>
      <c r="AB11" s="327">
        <f t="shared" si="12"/>
        <v>0.14935064083525679</v>
      </c>
      <c r="AC11" s="425">
        <f t="shared" si="13"/>
        <v>1777610.2125096372</v>
      </c>
      <c r="AD11" s="327">
        <f t="shared" si="14"/>
        <v>0.238546929639747</v>
      </c>
      <c r="AE11" s="424">
        <v>1107271.7623436633</v>
      </c>
      <c r="AF11" s="327">
        <f t="shared" si="15"/>
        <v>0.14859066252267072</v>
      </c>
      <c r="AG11" s="424">
        <v>442750.23854050261</v>
      </c>
      <c r="AH11" s="327">
        <f t="shared" si="16"/>
        <v>5.9414999563932737E-2</v>
      </c>
      <c r="AI11" s="424">
        <v>799707.88469228521</v>
      </c>
      <c r="AJ11" s="327">
        <f t="shared" si="17"/>
        <v>0.10731703674942024</v>
      </c>
      <c r="AK11" s="424">
        <v>516072.35605730081</v>
      </c>
      <c r="AL11" s="100">
        <f t="shared" si="21"/>
        <v>6.925448286866881E-2</v>
      </c>
    </row>
    <row r="12" spans="1:38" ht="14.25">
      <c r="B12" s="97"/>
      <c r="C12" s="97"/>
      <c r="D12" s="291">
        <f t="shared" si="20"/>
        <v>46299</v>
      </c>
      <c r="E12" s="291" t="s">
        <v>442</v>
      </c>
      <c r="F12" s="222">
        <f t="shared" si="19"/>
        <v>9737432</v>
      </c>
      <c r="G12" s="86"/>
      <c r="H12" s="308">
        <f>SUM(F8:F38)</f>
        <v>109266932</v>
      </c>
      <c r="I12" s="424">
        <v>914689.35322960198</v>
      </c>
      <c r="J12" s="327">
        <f t="shared" si="1"/>
        <v>9.3935377749452015E-2</v>
      </c>
      <c r="K12" s="424">
        <v>1233668.6595992271</v>
      </c>
      <c r="L12" s="327">
        <f t="shared" si="2"/>
        <v>0.12669343001309041</v>
      </c>
      <c r="M12" s="425">
        <f t="shared" si="22"/>
        <v>2148358.0128288292</v>
      </c>
      <c r="N12" s="327">
        <f t="shared" si="4"/>
        <v>0.22062880776254246</v>
      </c>
      <c r="O12" s="424">
        <v>365065.86199306883</v>
      </c>
      <c r="P12" s="327">
        <f t="shared" si="5"/>
        <v>3.7490979345793513E-2</v>
      </c>
      <c r="Q12" s="424"/>
      <c r="R12" s="327">
        <f t="shared" si="6"/>
        <v>0</v>
      </c>
      <c r="S12" s="425">
        <f t="shared" si="7"/>
        <v>365065.86199306883</v>
      </c>
      <c r="T12" s="327">
        <f t="shared" si="8"/>
        <v>3.7490979345793513E-2</v>
      </c>
      <c r="U12" s="424">
        <v>1082124.8169912405</v>
      </c>
      <c r="V12" s="327">
        <f t="shared" si="9"/>
        <v>0.11113041066589635</v>
      </c>
      <c r="W12" s="424"/>
      <c r="X12" s="327">
        <f t="shared" si="10"/>
        <v>0</v>
      </c>
      <c r="Y12" s="424">
        <v>841605.92833183822</v>
      </c>
      <c r="Z12" s="327">
        <f t="shared" si="11"/>
        <v>8.6429967195851859E-2</v>
      </c>
      <c r="AA12" s="424">
        <v>1344568.8887508942</v>
      </c>
      <c r="AB12" s="327">
        <f t="shared" si="12"/>
        <v>0.13808249328476893</v>
      </c>
      <c r="AC12" s="425">
        <f t="shared" si="13"/>
        <v>2186174.8170827325</v>
      </c>
      <c r="AD12" s="327">
        <f t="shared" si="14"/>
        <v>0.22451246048062082</v>
      </c>
      <c r="AE12" s="424">
        <v>1700096.7992826379</v>
      </c>
      <c r="AF12" s="327">
        <f t="shared" si="15"/>
        <v>0.17459395857990462</v>
      </c>
      <c r="AG12" s="424">
        <v>604960.06170084374</v>
      </c>
      <c r="AH12" s="327">
        <f t="shared" si="16"/>
        <v>6.2127269458810468E-2</v>
      </c>
      <c r="AI12" s="424">
        <v>942080.26711861719</v>
      </c>
      <c r="AJ12" s="327">
        <f t="shared" si="17"/>
        <v>9.6748328216167995E-2</v>
      </c>
      <c r="AK12" s="424">
        <v>708571.36300203088</v>
      </c>
      <c r="AL12" s="100">
        <f t="shared" si="21"/>
        <v>7.2767785490263845E-2</v>
      </c>
    </row>
    <row r="13" spans="1:38" ht="14.25">
      <c r="B13" s="97"/>
      <c r="C13" s="97"/>
      <c r="D13" s="291">
        <f t="shared" si="20"/>
        <v>46300</v>
      </c>
      <c r="E13" s="291" t="s">
        <v>436</v>
      </c>
      <c r="F13" s="222">
        <f t="shared" si="19"/>
        <v>9458819</v>
      </c>
      <c r="G13" s="289"/>
      <c r="H13" s="308"/>
      <c r="I13" s="424">
        <v>894470.84175419225</v>
      </c>
      <c r="J13" s="327">
        <f t="shared" si="1"/>
        <v>9.4564748702157447E-2</v>
      </c>
      <c r="K13" s="424">
        <v>1204352.472135378</v>
      </c>
      <c r="L13" s="327">
        <f t="shared" si="2"/>
        <v>0.12732588202981557</v>
      </c>
      <c r="M13" s="425">
        <f t="shared" si="22"/>
        <v>2098823.3138895705</v>
      </c>
      <c r="N13" s="327">
        <f t="shared" si="4"/>
        <v>0.22189063073197304</v>
      </c>
      <c r="O13" s="424">
        <v>326547.48605879175</v>
      </c>
      <c r="P13" s="327">
        <f t="shared" si="5"/>
        <v>3.4523071649726227E-2</v>
      </c>
      <c r="Q13" s="424"/>
      <c r="R13" s="327">
        <f t="shared" si="6"/>
        <v>0</v>
      </c>
      <c r="S13" s="425">
        <f t="shared" si="7"/>
        <v>326547.48605879175</v>
      </c>
      <c r="T13" s="327">
        <f t="shared" si="8"/>
        <v>3.4523071649726227E-2</v>
      </c>
      <c r="U13" s="424">
        <v>1131175.1712819471</v>
      </c>
      <c r="V13" s="327">
        <f t="shared" si="9"/>
        <v>0.11958947214043815</v>
      </c>
      <c r="W13" s="424"/>
      <c r="X13" s="327">
        <f t="shared" si="10"/>
        <v>0</v>
      </c>
      <c r="Y13" s="424">
        <v>785343.80686379678</v>
      </c>
      <c r="Z13" s="327">
        <f t="shared" si="11"/>
        <v>8.3027681031193928E-2</v>
      </c>
      <c r="AA13" s="424">
        <v>1274915.5709518532</v>
      </c>
      <c r="AB13" s="327">
        <f t="shared" si="12"/>
        <v>0.13478591470582671</v>
      </c>
      <c r="AC13" s="425">
        <f t="shared" si="13"/>
        <v>2060259.3778156498</v>
      </c>
      <c r="AD13" s="327">
        <f t="shared" si="14"/>
        <v>0.21781359573702064</v>
      </c>
      <c r="AE13" s="424">
        <v>1558995.307585221</v>
      </c>
      <c r="AF13" s="327">
        <f t="shared" si="15"/>
        <v>0.16481923457729988</v>
      </c>
      <c r="AG13" s="424">
        <v>659895.52534134628</v>
      </c>
      <c r="AH13" s="327">
        <f t="shared" si="16"/>
        <v>6.9765107603956295E-2</v>
      </c>
      <c r="AI13" s="424">
        <v>864297.89226265298</v>
      </c>
      <c r="AJ13" s="327">
        <f t="shared" si="17"/>
        <v>9.1374820922427311E-2</v>
      </c>
      <c r="AK13" s="424">
        <v>758824.92576482089</v>
      </c>
      <c r="AL13" s="100">
        <f t="shared" si="21"/>
        <v>8.0224066637158489E-2</v>
      </c>
    </row>
    <row r="14" spans="1:38" ht="14.25">
      <c r="B14" s="97"/>
      <c r="C14" s="97"/>
      <c r="D14" s="344">
        <f t="shared" si="20"/>
        <v>46301</v>
      </c>
      <c r="E14" s="344" t="s">
        <v>437</v>
      </c>
      <c r="F14" s="222">
        <f t="shared" si="19"/>
        <v>8843571.0000000056</v>
      </c>
      <c r="G14" s="289">
        <f>SUM(F14:F20)</f>
        <v>58375379</v>
      </c>
      <c r="H14" s="308"/>
      <c r="I14" s="228">
        <v>886299.89763853909</v>
      </c>
      <c r="J14" s="100">
        <f>I14/F14</f>
        <v>0.10021968474483198</v>
      </c>
      <c r="K14" s="228">
        <v>1168121.3459181699</v>
      </c>
      <c r="L14" s="100">
        <f>K14/F14</f>
        <v>0.13208706595086636</v>
      </c>
      <c r="M14" s="221">
        <f>SUM(I14+K14)</f>
        <v>2054421.243556709</v>
      </c>
      <c r="N14" s="100">
        <f>M14/F14</f>
        <v>0.23230675069569834</v>
      </c>
      <c r="O14" s="228">
        <v>336263.37352980272</v>
      </c>
      <c r="P14" s="100">
        <f>O14/F14</f>
        <v>3.8023483220726392E-2</v>
      </c>
      <c r="Q14" s="228"/>
      <c r="R14" s="100">
        <f t="shared" ref="R14" si="23">Q14/$F14</f>
        <v>0</v>
      </c>
      <c r="S14" s="221">
        <f t="shared" ref="S14" si="24">SUM(O14+Q14)</f>
        <v>336263.37352980272</v>
      </c>
      <c r="T14" s="100">
        <f>S14/F14</f>
        <v>3.8023483220726392E-2</v>
      </c>
      <c r="U14" s="228">
        <v>1030932.0402148882</v>
      </c>
      <c r="V14" s="100">
        <f>U14/F14</f>
        <v>0.11657418029604642</v>
      </c>
      <c r="W14" s="228"/>
      <c r="X14" s="100">
        <f>W14/F14</f>
        <v>0</v>
      </c>
      <c r="Y14" s="228">
        <v>744265.3018702243</v>
      </c>
      <c r="Z14" s="100">
        <f t="shared" ref="Z14:Z16" si="25">Y14/F14</f>
        <v>8.4158910678754528E-2</v>
      </c>
      <c r="AA14" s="228">
        <v>1224875.0059076804</v>
      </c>
      <c r="AB14" s="100">
        <f t="shared" ref="AB14:AB40" si="26">AA14/$F14</f>
        <v>0.13850457082412518</v>
      </c>
      <c r="AC14" s="221">
        <f t="shared" ref="AC14:AC16" si="27">SUM(Y14+AA14)</f>
        <v>1969140.3077779047</v>
      </c>
      <c r="AD14" s="100">
        <f t="shared" ref="AD14:AD16" si="28">AC14/F14</f>
        <v>0.22266348150287971</v>
      </c>
      <c r="AE14" s="228">
        <v>1439021.9447193274</v>
      </c>
      <c r="AF14" s="100">
        <f t="shared" ref="AF14:AF16" si="29">AE14/F14</f>
        <v>0.16271955579022621</v>
      </c>
      <c r="AG14" s="228">
        <v>553529.93767196732</v>
      </c>
      <c r="AH14" s="100">
        <f t="shared" ref="AH14:AH16" si="30">AG14/F14</f>
        <v>6.259122448069529E-2</v>
      </c>
      <c r="AI14" s="228">
        <v>778185.93631091726</v>
      </c>
      <c r="AJ14" s="100">
        <f t="shared" ref="AJ14:AJ16" si="31">AI14/F14</f>
        <v>8.7994537083596294E-2</v>
      </c>
      <c r="AK14" s="228">
        <v>682076.21621848841</v>
      </c>
      <c r="AL14" s="100">
        <f>AK14/F14</f>
        <v>7.712678693013128E-2</v>
      </c>
    </row>
    <row r="15" spans="1:38" ht="14.25">
      <c r="B15" s="97"/>
      <c r="C15" s="97"/>
      <c r="D15" s="344">
        <f t="shared" si="20"/>
        <v>46302</v>
      </c>
      <c r="E15" s="344" t="s">
        <v>438</v>
      </c>
      <c r="F15" s="222">
        <f t="shared" si="19"/>
        <v>8266219.9999999991</v>
      </c>
      <c r="G15" s="86"/>
      <c r="H15" s="308"/>
      <c r="I15" s="228">
        <v>859344.12250566133</v>
      </c>
      <c r="J15" s="100">
        <f t="shared" ref="J15" si="32">I15/F15</f>
        <v>0.10395853515943944</v>
      </c>
      <c r="K15" s="228">
        <v>1073462.2098442574</v>
      </c>
      <c r="L15" s="100">
        <f t="shared" ref="L15" si="33">K15/F15</f>
        <v>0.12986131627808811</v>
      </c>
      <c r="M15" s="221">
        <f t="shared" ref="M15" si="34">SUM(I15+K15)</f>
        <v>1932806.3323499188</v>
      </c>
      <c r="N15" s="100">
        <f t="shared" ref="N15" si="35">M15/F15</f>
        <v>0.23381985143752756</v>
      </c>
      <c r="O15" s="228">
        <v>323112.79345135338</v>
      </c>
      <c r="P15" s="100">
        <f t="shared" ref="P15" si="36">O15/F15</f>
        <v>3.9088337045391171E-2</v>
      </c>
      <c r="Q15" s="228"/>
      <c r="R15" s="100">
        <f t="shared" ref="R15" si="37">Q15/$F15</f>
        <v>0</v>
      </c>
      <c r="S15" s="221">
        <f t="shared" ref="S15" si="38">SUM(O15+Q15)</f>
        <v>323112.79345135338</v>
      </c>
      <c r="T15" s="100">
        <f t="shared" ref="T15" si="39">S15/F15</f>
        <v>3.9088337045391171E-2</v>
      </c>
      <c r="U15" s="228">
        <v>966090.85253359587</v>
      </c>
      <c r="V15" s="100">
        <f t="shared" ref="V15" si="40">U15/F15</f>
        <v>0.11687214380135007</v>
      </c>
      <c r="W15" s="228"/>
      <c r="X15" s="100">
        <f t="shared" ref="X15" si="41">W15/F15</f>
        <v>0</v>
      </c>
      <c r="Y15" s="228">
        <v>684338.41143563844</v>
      </c>
      <c r="Z15" s="100">
        <f t="shared" si="25"/>
        <v>8.27873455383039E-2</v>
      </c>
      <c r="AA15" s="228">
        <v>1065390.8163355382</v>
      </c>
      <c r="AB15" s="100">
        <f t="shared" si="26"/>
        <v>0.12888488527229353</v>
      </c>
      <c r="AC15" s="221">
        <f t="shared" si="27"/>
        <v>1749729.2277711765</v>
      </c>
      <c r="AD15" s="100">
        <f t="shared" si="28"/>
        <v>0.21167223081059744</v>
      </c>
      <c r="AE15" s="228">
        <v>1394704.6515233645</v>
      </c>
      <c r="AF15" s="100">
        <f t="shared" si="29"/>
        <v>0.16872338886738614</v>
      </c>
      <c r="AG15" s="228">
        <v>510067.80684154056</v>
      </c>
      <c r="AH15" s="100">
        <f t="shared" si="30"/>
        <v>6.170508489267653E-2</v>
      </c>
      <c r="AI15" s="228">
        <v>745376.76834040135</v>
      </c>
      <c r="AJ15" s="100">
        <f t="shared" si="31"/>
        <v>9.0171416722565026E-2</v>
      </c>
      <c r="AK15" s="228">
        <v>644331.56718864851</v>
      </c>
      <c r="AL15" s="100">
        <f t="shared" ref="AL15" si="42">AK15/F15</f>
        <v>7.794754642250612E-2</v>
      </c>
    </row>
    <row r="16" spans="1:38" ht="14.25">
      <c r="B16" s="97"/>
      <c r="C16" s="97"/>
      <c r="D16" s="344">
        <f t="shared" si="20"/>
        <v>46303</v>
      </c>
      <c r="E16" s="344" t="s">
        <v>439</v>
      </c>
      <c r="F16" s="222">
        <f t="shared" si="19"/>
        <v>7580745.9999999991</v>
      </c>
      <c r="G16" s="289"/>
      <c r="H16" s="308"/>
      <c r="I16" s="228">
        <v>684234.08520362014</v>
      </c>
      <c r="J16" s="100">
        <f t="shared" ref="J16:J41" si="43">I16/F16</f>
        <v>9.0259465915837334E-2</v>
      </c>
      <c r="K16" s="228">
        <v>960279.63461560966</v>
      </c>
      <c r="L16" s="100">
        <f t="shared" ref="L16:L41" si="44">K16/F16</f>
        <v>0.12667350081583129</v>
      </c>
      <c r="M16" s="221">
        <f t="shared" ref="M16:M41" si="45">SUM(I16+K16)</f>
        <v>1644513.7198192298</v>
      </c>
      <c r="N16" s="100">
        <f t="shared" ref="N16:N41" si="46">M16/F16</f>
        <v>0.21693296673166862</v>
      </c>
      <c r="O16" s="228">
        <v>273843.5531667092</v>
      </c>
      <c r="P16" s="100">
        <f t="shared" ref="P16:P41" si="47">O16/F16</f>
        <v>3.6123562663451493E-2</v>
      </c>
      <c r="Q16" s="228"/>
      <c r="R16" s="100">
        <f t="shared" ref="R16:R49" si="48">Q16/$F16</f>
        <v>0</v>
      </c>
      <c r="S16" s="221">
        <f t="shared" ref="S16:S49" si="49">SUM(O16+Q16)</f>
        <v>273843.5531667092</v>
      </c>
      <c r="T16" s="100">
        <f t="shared" ref="T16:T41" si="50">S16/F16</f>
        <v>3.6123562663451493E-2</v>
      </c>
      <c r="U16" s="228">
        <v>902105.25417742273</v>
      </c>
      <c r="V16" s="100">
        <f t="shared" ref="V16:V41" si="51">U16/F16</f>
        <v>0.1189995356891555</v>
      </c>
      <c r="W16" s="228"/>
      <c r="X16" s="100">
        <f t="shared" ref="X16:X41" si="52">W16/F16</f>
        <v>0</v>
      </c>
      <c r="Y16" s="228">
        <v>639957.71307805856</v>
      </c>
      <c r="Z16" s="100">
        <f t="shared" si="25"/>
        <v>8.4418830690021623E-2</v>
      </c>
      <c r="AA16" s="228">
        <v>872332.53518254694</v>
      </c>
      <c r="AB16" s="100">
        <f t="shared" si="26"/>
        <v>0.11507212287320365</v>
      </c>
      <c r="AC16" s="221">
        <f t="shared" si="27"/>
        <v>1512290.2482606056</v>
      </c>
      <c r="AD16" s="100">
        <f t="shared" si="28"/>
        <v>0.19949095356322527</v>
      </c>
      <c r="AE16" s="228">
        <v>1206584.9670695087</v>
      </c>
      <c r="AF16" s="100">
        <f t="shared" si="29"/>
        <v>0.15916441034556611</v>
      </c>
      <c r="AG16" s="228">
        <v>477055.25456131826</v>
      </c>
      <c r="AH16" s="100">
        <f t="shared" si="30"/>
        <v>6.2929856053918487E-2</v>
      </c>
      <c r="AI16" s="228">
        <v>1005778.0062419689</v>
      </c>
      <c r="AJ16" s="100">
        <f t="shared" si="31"/>
        <v>0.13267533383152122</v>
      </c>
      <c r="AK16" s="228">
        <v>558574.9967032366</v>
      </c>
      <c r="AL16" s="100">
        <f t="shared" ref="AL16:AL41" si="53">AK16/F16</f>
        <v>7.3683381121493405E-2</v>
      </c>
    </row>
    <row r="17" spans="2:38" ht="14.25">
      <c r="B17" s="97"/>
      <c r="C17" s="97"/>
      <c r="D17" s="344">
        <f t="shared" si="20"/>
        <v>46304</v>
      </c>
      <c r="E17" s="344" t="s">
        <v>440</v>
      </c>
      <c r="F17" s="222">
        <f>SUM(M17,S17,U17,W17,AC17,AE17,AG17,AI17,AK17)</f>
        <v>6953258</v>
      </c>
      <c r="G17" s="289"/>
      <c r="H17" s="308"/>
      <c r="I17" s="228">
        <v>633731.20149866724</v>
      </c>
      <c r="J17" s="100">
        <f t="shared" si="43"/>
        <v>9.1141620445935878E-2</v>
      </c>
      <c r="K17" s="228">
        <v>912037.57155575103</v>
      </c>
      <c r="L17" s="100">
        <f t="shared" si="44"/>
        <v>0.13116693952040195</v>
      </c>
      <c r="M17" s="221">
        <f t="shared" si="45"/>
        <v>1545768.7730544182</v>
      </c>
      <c r="N17" s="100">
        <f t="shared" si="46"/>
        <v>0.2223085599663378</v>
      </c>
      <c r="O17" s="228">
        <v>267097.97097830864</v>
      </c>
      <c r="P17" s="100">
        <f t="shared" si="47"/>
        <v>3.8413355434000672E-2</v>
      </c>
      <c r="Q17" s="228"/>
      <c r="R17" s="100">
        <f t="shared" si="48"/>
        <v>0</v>
      </c>
      <c r="S17" s="221">
        <f t="shared" si="49"/>
        <v>267097.97097830864</v>
      </c>
      <c r="T17" s="100">
        <f t="shared" si="50"/>
        <v>3.8413355434000672E-2</v>
      </c>
      <c r="U17" s="228">
        <v>775284.40216323244</v>
      </c>
      <c r="V17" s="100">
        <f t="shared" si="51"/>
        <v>0.11149944416893957</v>
      </c>
      <c r="W17" s="228"/>
      <c r="X17" s="100">
        <f t="shared" si="52"/>
        <v>0</v>
      </c>
      <c r="Y17" s="228">
        <v>591785.70359873387</v>
      </c>
      <c r="Z17" s="100">
        <f>Y17/F17</f>
        <v>8.5109124902129893E-2</v>
      </c>
      <c r="AA17" s="228">
        <v>879355.07449564047</v>
      </c>
      <c r="AB17" s="100">
        <f t="shared" si="26"/>
        <v>0.12646662535686731</v>
      </c>
      <c r="AC17" s="221">
        <f>SUM(Y17+AA17)</f>
        <v>1471140.7780943743</v>
      </c>
      <c r="AD17" s="100">
        <f>AC17/F17</f>
        <v>0.21157575025899719</v>
      </c>
      <c r="AE17" s="228">
        <v>977034.35453537374</v>
      </c>
      <c r="AF17" s="100">
        <f>AE17/F17</f>
        <v>0.14051461265141804</v>
      </c>
      <c r="AG17" s="228">
        <v>424516.02200325509</v>
      </c>
      <c r="AH17" s="100">
        <f>AG17/F17</f>
        <v>6.1052821857502639E-2</v>
      </c>
      <c r="AI17" s="228">
        <v>971582.67813925317</v>
      </c>
      <c r="AJ17" s="100">
        <f>AI17/F17</f>
        <v>0.13973056632434078</v>
      </c>
      <c r="AK17" s="228">
        <v>520833.02103178401</v>
      </c>
      <c r="AL17" s="100">
        <f t="shared" si="53"/>
        <v>7.4904889338463204E-2</v>
      </c>
    </row>
    <row r="18" spans="2:38" ht="14.25">
      <c r="B18" s="97"/>
      <c r="C18" s="97"/>
      <c r="D18" s="344">
        <f t="shared" si="20"/>
        <v>46305</v>
      </c>
      <c r="E18" s="344" t="s">
        <v>441</v>
      </c>
      <c r="F18" s="222">
        <f t="shared" si="19"/>
        <v>7224381</v>
      </c>
      <c r="G18" s="289"/>
      <c r="H18" s="308"/>
      <c r="I18" s="228">
        <v>575749.73297176021</v>
      </c>
      <c r="J18" s="100">
        <f t="shared" si="43"/>
        <v>7.9695372236287129E-2</v>
      </c>
      <c r="K18" s="228">
        <v>1025288.9119391178</v>
      </c>
      <c r="L18" s="100">
        <f t="shared" si="44"/>
        <v>0.14192065893799313</v>
      </c>
      <c r="M18" s="221">
        <f t="shared" si="45"/>
        <v>1601038.644910878</v>
      </c>
      <c r="N18" s="100">
        <f t="shared" si="46"/>
        <v>0.22161603117428028</v>
      </c>
      <c r="O18" s="228">
        <v>223077.40289497573</v>
      </c>
      <c r="P18" s="100">
        <f t="shared" si="47"/>
        <v>3.0878410606386311E-2</v>
      </c>
      <c r="Q18" s="228"/>
      <c r="R18" s="100">
        <f t="shared" si="48"/>
        <v>0</v>
      </c>
      <c r="S18" s="221">
        <f t="shared" si="49"/>
        <v>223077.40289497573</v>
      </c>
      <c r="T18" s="100">
        <f t="shared" si="50"/>
        <v>3.0878410606386311E-2</v>
      </c>
      <c r="U18" s="228">
        <v>813096.29737355595</v>
      </c>
      <c r="V18" s="100">
        <f t="shared" si="51"/>
        <v>0.11254892251302305</v>
      </c>
      <c r="W18" s="228"/>
      <c r="X18" s="100">
        <f t="shared" si="52"/>
        <v>0</v>
      </c>
      <c r="Y18" s="228">
        <v>558206.84035675402</v>
      </c>
      <c r="Z18" s="100">
        <f t="shared" ref="Z18:Z40" si="54">Y18/F18</f>
        <v>7.7267082170327669E-2</v>
      </c>
      <c r="AA18" s="228">
        <v>1089914.0391050039</v>
      </c>
      <c r="AB18" s="100">
        <f t="shared" si="26"/>
        <v>0.15086607961360343</v>
      </c>
      <c r="AC18" s="221">
        <f t="shared" ref="AC18:AC40" si="55">SUM(Y18+AA18)</f>
        <v>1648120.8794617578</v>
      </c>
      <c r="AD18" s="100">
        <f t="shared" ref="AD18:AD40" si="56">AC18/F18</f>
        <v>0.22813316178393109</v>
      </c>
      <c r="AE18" s="228">
        <v>1022237.0179309904</v>
      </c>
      <c r="AF18" s="100">
        <f t="shared" ref="AF18:AF40" si="57">AE18/F18</f>
        <v>0.14149821527006817</v>
      </c>
      <c r="AG18" s="228">
        <v>450587.21804232133</v>
      </c>
      <c r="AH18" s="100">
        <f t="shared" ref="AH18:AH40" si="58">AG18/F18</f>
        <v>6.2370356441932027E-2</v>
      </c>
      <c r="AI18" s="228">
        <v>985730.05503795866</v>
      </c>
      <c r="AJ18" s="100">
        <f t="shared" ref="AJ18:AJ40" si="59">AI18/F18</f>
        <v>0.13644491549351545</v>
      </c>
      <c r="AK18" s="228">
        <v>480493.48434756236</v>
      </c>
      <c r="AL18" s="100">
        <f t="shared" si="53"/>
        <v>6.6509986716863687E-2</v>
      </c>
    </row>
    <row r="19" spans="2:38" ht="14.25">
      <c r="B19" s="97"/>
      <c r="C19" s="97"/>
      <c r="D19" s="344">
        <f t="shared" si="20"/>
        <v>46306</v>
      </c>
      <c r="E19" s="344" t="s">
        <v>442</v>
      </c>
      <c r="F19" s="222">
        <f t="shared" si="19"/>
        <v>9961343.9999999963</v>
      </c>
      <c r="G19" s="86"/>
      <c r="H19" s="308"/>
      <c r="I19" s="228">
        <v>868808.31508397404</v>
      </c>
      <c r="J19" s="100">
        <f t="shared" si="43"/>
        <v>8.7217981337053954E-2</v>
      </c>
      <c r="K19" s="228">
        <v>1216188.5819760831</v>
      </c>
      <c r="L19" s="100">
        <f t="shared" si="44"/>
        <v>0.12209081244218487</v>
      </c>
      <c r="M19" s="221">
        <f t="shared" si="45"/>
        <v>2084996.8970600571</v>
      </c>
      <c r="N19" s="100">
        <f t="shared" si="46"/>
        <v>0.20930879377923881</v>
      </c>
      <c r="O19" s="228">
        <v>339037.28660980443</v>
      </c>
      <c r="P19" s="100">
        <f t="shared" si="47"/>
        <v>3.4035295499262402E-2</v>
      </c>
      <c r="Q19" s="228"/>
      <c r="R19" s="100">
        <f t="shared" si="48"/>
        <v>0</v>
      </c>
      <c r="S19" s="221">
        <f t="shared" si="49"/>
        <v>339037.28660980443</v>
      </c>
      <c r="T19" s="100">
        <f t="shared" si="50"/>
        <v>3.4035295499262402E-2</v>
      </c>
      <c r="U19" s="228">
        <v>1230197.7446903966</v>
      </c>
      <c r="V19" s="100">
        <f t="shared" si="51"/>
        <v>0.12349716511049082</v>
      </c>
      <c r="W19" s="228"/>
      <c r="X19" s="100">
        <f t="shared" si="52"/>
        <v>0</v>
      </c>
      <c r="Y19" s="228">
        <v>798754.93251851341</v>
      </c>
      <c r="Z19" s="100">
        <f t="shared" si="54"/>
        <v>8.0185458158910455E-2</v>
      </c>
      <c r="AA19" s="228">
        <v>1277068.1334882881</v>
      </c>
      <c r="AB19" s="100">
        <f t="shared" si="26"/>
        <v>0.12820239251734392</v>
      </c>
      <c r="AC19" s="221">
        <f t="shared" si="55"/>
        <v>2075823.0660068016</v>
      </c>
      <c r="AD19" s="100">
        <f t="shared" si="56"/>
        <v>0.20838785067625437</v>
      </c>
      <c r="AE19" s="228">
        <v>1644062.106661363</v>
      </c>
      <c r="AF19" s="100">
        <f t="shared" si="57"/>
        <v>0.16504420554709923</v>
      </c>
      <c r="AG19" s="228">
        <v>614288.03105935815</v>
      </c>
      <c r="AH19" s="100">
        <f t="shared" si="58"/>
        <v>6.166718377152304E-2</v>
      </c>
      <c r="AI19" s="228">
        <v>1238493.6457057511</v>
      </c>
      <c r="AJ19" s="100">
        <f t="shared" si="59"/>
        <v>0.12432997452007997</v>
      </c>
      <c r="AK19" s="228">
        <v>734445.2222064666</v>
      </c>
      <c r="AL19" s="100">
        <f t="shared" si="53"/>
        <v>7.3729531096051584E-2</v>
      </c>
    </row>
    <row r="20" spans="2:38" ht="14.25">
      <c r="B20" s="97"/>
      <c r="C20" s="97"/>
      <c r="D20" s="344">
        <f t="shared" si="20"/>
        <v>46307</v>
      </c>
      <c r="E20" s="344" t="s">
        <v>436</v>
      </c>
      <c r="F20" s="222">
        <f t="shared" si="19"/>
        <v>9545859</v>
      </c>
      <c r="G20" s="289"/>
      <c r="H20" s="308"/>
      <c r="I20" s="228">
        <v>835373.65183181886</v>
      </c>
      <c r="J20" s="100">
        <f t="shared" si="43"/>
        <v>8.7511626961158634E-2</v>
      </c>
      <c r="K20" s="228">
        <v>1188372.2633327821</v>
      </c>
      <c r="L20" s="100">
        <f t="shared" si="44"/>
        <v>0.12449086701707851</v>
      </c>
      <c r="M20" s="221">
        <f t="shared" si="45"/>
        <v>2023745.9151646011</v>
      </c>
      <c r="N20" s="100">
        <f t="shared" si="46"/>
        <v>0.21200249397823717</v>
      </c>
      <c r="O20" s="228">
        <v>236534.83333538947</v>
      </c>
      <c r="P20" s="100">
        <f t="shared" si="47"/>
        <v>2.4778789770034261E-2</v>
      </c>
      <c r="Q20" s="228"/>
      <c r="R20" s="100">
        <f t="shared" si="48"/>
        <v>0</v>
      </c>
      <c r="S20" s="221">
        <f t="shared" si="49"/>
        <v>236534.83333538947</v>
      </c>
      <c r="T20" s="100">
        <f t="shared" si="50"/>
        <v>2.4778789770034261E-2</v>
      </c>
      <c r="U20" s="228">
        <v>1143127.4669813113</v>
      </c>
      <c r="V20" s="100">
        <f t="shared" si="51"/>
        <v>0.1197511367998743</v>
      </c>
      <c r="W20" s="228"/>
      <c r="X20" s="100">
        <f t="shared" si="52"/>
        <v>0</v>
      </c>
      <c r="Y20" s="228">
        <v>765785.82588823745</v>
      </c>
      <c r="Z20" s="100">
        <f t="shared" si="54"/>
        <v>8.022178264818676E-2</v>
      </c>
      <c r="AA20" s="228">
        <v>1384861.8298177237</v>
      </c>
      <c r="AB20" s="100">
        <f t="shared" si="26"/>
        <v>0.1450746161050277</v>
      </c>
      <c r="AC20" s="221">
        <f t="shared" si="55"/>
        <v>2150647.6557059614</v>
      </c>
      <c r="AD20" s="100">
        <f t="shared" si="56"/>
        <v>0.2252963987532145</v>
      </c>
      <c r="AE20" s="228">
        <v>1542096.4240986886</v>
      </c>
      <c r="AF20" s="100">
        <f t="shared" si="57"/>
        <v>0.16154611377547989</v>
      </c>
      <c r="AG20" s="228">
        <v>634947.0997691477</v>
      </c>
      <c r="AH20" s="100">
        <f t="shared" si="58"/>
        <v>6.6515449240256708E-2</v>
      </c>
      <c r="AI20" s="228">
        <v>1055466.5484035432</v>
      </c>
      <c r="AJ20" s="100">
        <f t="shared" si="59"/>
        <v>0.11056800109906748</v>
      </c>
      <c r="AK20" s="228">
        <v>759293.05654135684</v>
      </c>
      <c r="AL20" s="100">
        <f t="shared" si="53"/>
        <v>7.9541616583835656E-2</v>
      </c>
    </row>
    <row r="21" spans="2:38" ht="14.25">
      <c r="B21" s="97"/>
      <c r="C21" s="97"/>
      <c r="D21" s="291">
        <f t="shared" si="20"/>
        <v>46308</v>
      </c>
      <c r="E21" s="291" t="s">
        <v>437</v>
      </c>
      <c r="F21" s="222">
        <f t="shared" si="19"/>
        <v>0</v>
      </c>
      <c r="G21" s="289">
        <f>SUM(F21:F27)</f>
        <v>0</v>
      </c>
      <c r="H21" s="308"/>
      <c r="I21" s="228"/>
      <c r="J21" s="100" t="e">
        <f t="shared" si="43"/>
        <v>#DIV/0!</v>
      </c>
      <c r="K21" s="228"/>
      <c r="L21" s="100" t="e">
        <f t="shared" si="44"/>
        <v>#DIV/0!</v>
      </c>
      <c r="M21" s="221">
        <f t="shared" si="45"/>
        <v>0</v>
      </c>
      <c r="N21" s="100" t="e">
        <f t="shared" si="46"/>
        <v>#DIV/0!</v>
      </c>
      <c r="O21" s="228"/>
      <c r="P21" s="100" t="e">
        <f t="shared" si="47"/>
        <v>#DIV/0!</v>
      </c>
      <c r="Q21" s="228"/>
      <c r="R21" s="100" t="e">
        <f t="shared" si="48"/>
        <v>#DIV/0!</v>
      </c>
      <c r="S21" s="221">
        <f t="shared" si="49"/>
        <v>0</v>
      </c>
      <c r="T21" s="100" t="e">
        <f t="shared" si="50"/>
        <v>#DIV/0!</v>
      </c>
      <c r="U21" s="228"/>
      <c r="V21" s="100" t="e">
        <f t="shared" si="51"/>
        <v>#DIV/0!</v>
      </c>
      <c r="W21" s="228"/>
      <c r="X21" s="100" t="e">
        <f t="shared" si="52"/>
        <v>#DIV/0!</v>
      </c>
      <c r="Y21" s="228"/>
      <c r="Z21" s="100" t="e">
        <f t="shared" si="54"/>
        <v>#DIV/0!</v>
      </c>
      <c r="AA21" s="228"/>
      <c r="AB21" s="100" t="e">
        <f t="shared" si="26"/>
        <v>#DIV/0!</v>
      </c>
      <c r="AC21" s="221">
        <f t="shared" si="55"/>
        <v>0</v>
      </c>
      <c r="AD21" s="100" t="e">
        <f t="shared" si="56"/>
        <v>#DIV/0!</v>
      </c>
      <c r="AE21" s="228"/>
      <c r="AF21" s="100" t="e">
        <f t="shared" si="57"/>
        <v>#DIV/0!</v>
      </c>
      <c r="AG21" s="228"/>
      <c r="AH21" s="100" t="e">
        <f t="shared" si="58"/>
        <v>#DIV/0!</v>
      </c>
      <c r="AI21" s="228"/>
      <c r="AJ21" s="100" t="e">
        <f t="shared" si="59"/>
        <v>#DIV/0!</v>
      </c>
      <c r="AK21" s="228"/>
      <c r="AL21" s="100" t="e">
        <f t="shared" si="53"/>
        <v>#DIV/0!</v>
      </c>
    </row>
    <row r="22" spans="2:38" ht="14.25">
      <c r="B22" s="97"/>
      <c r="C22" s="97"/>
      <c r="D22" s="291">
        <f t="shared" si="20"/>
        <v>46309</v>
      </c>
      <c r="E22" s="291" t="s">
        <v>438</v>
      </c>
      <c r="F22" s="222">
        <f t="shared" si="19"/>
        <v>0</v>
      </c>
      <c r="G22" s="289"/>
      <c r="H22" s="308"/>
      <c r="I22" s="228"/>
      <c r="J22" s="100" t="e">
        <f t="shared" si="43"/>
        <v>#DIV/0!</v>
      </c>
      <c r="K22" s="228"/>
      <c r="L22" s="100" t="e">
        <f t="shared" si="44"/>
        <v>#DIV/0!</v>
      </c>
      <c r="M22" s="221">
        <f t="shared" si="45"/>
        <v>0</v>
      </c>
      <c r="N22" s="100" t="e">
        <f t="shared" si="46"/>
        <v>#DIV/0!</v>
      </c>
      <c r="O22" s="228"/>
      <c r="P22" s="100" t="e">
        <f t="shared" si="47"/>
        <v>#DIV/0!</v>
      </c>
      <c r="Q22" s="228"/>
      <c r="R22" s="100" t="e">
        <f t="shared" si="48"/>
        <v>#DIV/0!</v>
      </c>
      <c r="S22" s="221">
        <f t="shared" si="49"/>
        <v>0</v>
      </c>
      <c r="T22" s="100" t="e">
        <f t="shared" si="50"/>
        <v>#DIV/0!</v>
      </c>
      <c r="U22" s="228"/>
      <c r="V22" s="100" t="e">
        <f t="shared" si="51"/>
        <v>#DIV/0!</v>
      </c>
      <c r="W22" s="228"/>
      <c r="X22" s="100" t="e">
        <f t="shared" si="52"/>
        <v>#DIV/0!</v>
      </c>
      <c r="Y22" s="228"/>
      <c r="Z22" s="100" t="e">
        <f t="shared" si="54"/>
        <v>#DIV/0!</v>
      </c>
      <c r="AA22" s="228"/>
      <c r="AB22" s="100" t="e">
        <f t="shared" si="26"/>
        <v>#DIV/0!</v>
      </c>
      <c r="AC22" s="221">
        <f t="shared" si="55"/>
        <v>0</v>
      </c>
      <c r="AD22" s="100" t="e">
        <f t="shared" si="56"/>
        <v>#DIV/0!</v>
      </c>
      <c r="AE22" s="228"/>
      <c r="AF22" s="100" t="e">
        <f t="shared" si="57"/>
        <v>#DIV/0!</v>
      </c>
      <c r="AG22" s="228"/>
      <c r="AH22" s="100" t="e">
        <f t="shared" si="58"/>
        <v>#DIV/0!</v>
      </c>
      <c r="AI22" s="228"/>
      <c r="AJ22" s="100" t="e">
        <f t="shared" si="59"/>
        <v>#DIV/0!</v>
      </c>
      <c r="AK22" s="228"/>
      <c r="AL22" s="100" t="e">
        <f t="shared" si="53"/>
        <v>#DIV/0!</v>
      </c>
    </row>
    <row r="23" spans="2:38" ht="14.25">
      <c r="B23" s="97"/>
      <c r="C23" s="97"/>
      <c r="D23" s="291">
        <f t="shared" si="20"/>
        <v>46310</v>
      </c>
      <c r="E23" s="291" t="s">
        <v>439</v>
      </c>
      <c r="F23" s="222">
        <f t="shared" si="19"/>
        <v>0</v>
      </c>
      <c r="G23" s="86"/>
      <c r="H23" s="308"/>
      <c r="I23" s="228"/>
      <c r="J23" s="100" t="e">
        <f t="shared" si="43"/>
        <v>#DIV/0!</v>
      </c>
      <c r="K23" s="228"/>
      <c r="L23" s="100" t="e">
        <f t="shared" si="44"/>
        <v>#DIV/0!</v>
      </c>
      <c r="M23" s="221">
        <f t="shared" si="45"/>
        <v>0</v>
      </c>
      <c r="N23" s="100" t="e">
        <f t="shared" si="46"/>
        <v>#DIV/0!</v>
      </c>
      <c r="O23" s="228"/>
      <c r="P23" s="100" t="e">
        <f t="shared" si="47"/>
        <v>#DIV/0!</v>
      </c>
      <c r="Q23" s="228"/>
      <c r="R23" s="100" t="e">
        <f t="shared" si="48"/>
        <v>#DIV/0!</v>
      </c>
      <c r="S23" s="221">
        <f t="shared" si="49"/>
        <v>0</v>
      </c>
      <c r="T23" s="100" t="e">
        <f t="shared" si="50"/>
        <v>#DIV/0!</v>
      </c>
      <c r="U23" s="228"/>
      <c r="V23" s="100" t="e">
        <f t="shared" si="51"/>
        <v>#DIV/0!</v>
      </c>
      <c r="W23" s="228"/>
      <c r="X23" s="100" t="e">
        <f t="shared" si="52"/>
        <v>#DIV/0!</v>
      </c>
      <c r="Y23" s="228"/>
      <c r="Z23" s="100" t="e">
        <f t="shared" si="54"/>
        <v>#DIV/0!</v>
      </c>
      <c r="AA23" s="228"/>
      <c r="AB23" s="100" t="e">
        <f t="shared" si="26"/>
        <v>#DIV/0!</v>
      </c>
      <c r="AC23" s="221">
        <f t="shared" si="55"/>
        <v>0</v>
      </c>
      <c r="AD23" s="100" t="e">
        <f t="shared" si="56"/>
        <v>#DIV/0!</v>
      </c>
      <c r="AE23" s="228"/>
      <c r="AF23" s="100" t="e">
        <f t="shared" si="57"/>
        <v>#DIV/0!</v>
      </c>
      <c r="AG23" s="228"/>
      <c r="AH23" s="100" t="e">
        <f t="shared" si="58"/>
        <v>#DIV/0!</v>
      </c>
      <c r="AI23" s="228"/>
      <c r="AJ23" s="100" t="e">
        <f t="shared" si="59"/>
        <v>#DIV/0!</v>
      </c>
      <c r="AK23" s="228"/>
      <c r="AL23" s="100" t="e">
        <f t="shared" si="53"/>
        <v>#DIV/0!</v>
      </c>
    </row>
    <row r="24" spans="2:38" ht="14.25">
      <c r="B24" s="97"/>
      <c r="C24" s="97"/>
      <c r="D24" s="291">
        <f t="shared" si="20"/>
        <v>46311</v>
      </c>
      <c r="E24" s="291" t="s">
        <v>440</v>
      </c>
      <c r="F24" s="222">
        <f t="shared" si="19"/>
        <v>0</v>
      </c>
      <c r="G24" s="289"/>
      <c r="H24" s="308"/>
      <c r="I24" s="228"/>
      <c r="J24" s="100" t="e">
        <f t="shared" si="43"/>
        <v>#DIV/0!</v>
      </c>
      <c r="K24" s="228"/>
      <c r="L24" s="100" t="e">
        <f t="shared" si="44"/>
        <v>#DIV/0!</v>
      </c>
      <c r="M24" s="221">
        <f t="shared" si="45"/>
        <v>0</v>
      </c>
      <c r="N24" s="100" t="e">
        <f t="shared" si="46"/>
        <v>#DIV/0!</v>
      </c>
      <c r="O24" s="228"/>
      <c r="P24" s="100" t="e">
        <f t="shared" si="47"/>
        <v>#DIV/0!</v>
      </c>
      <c r="Q24" s="228"/>
      <c r="R24" s="100" t="e">
        <f t="shared" si="48"/>
        <v>#DIV/0!</v>
      </c>
      <c r="S24" s="221">
        <f t="shared" si="49"/>
        <v>0</v>
      </c>
      <c r="T24" s="100" t="e">
        <f t="shared" si="50"/>
        <v>#DIV/0!</v>
      </c>
      <c r="U24" s="228"/>
      <c r="V24" s="100" t="e">
        <f t="shared" si="51"/>
        <v>#DIV/0!</v>
      </c>
      <c r="W24" s="228"/>
      <c r="X24" s="100" t="e">
        <f t="shared" si="52"/>
        <v>#DIV/0!</v>
      </c>
      <c r="Y24" s="228"/>
      <c r="Z24" s="100" t="e">
        <f t="shared" si="54"/>
        <v>#DIV/0!</v>
      </c>
      <c r="AA24" s="228"/>
      <c r="AB24" s="100" t="e">
        <f t="shared" si="26"/>
        <v>#DIV/0!</v>
      </c>
      <c r="AC24" s="221">
        <f t="shared" si="55"/>
        <v>0</v>
      </c>
      <c r="AD24" s="100" t="e">
        <f t="shared" si="56"/>
        <v>#DIV/0!</v>
      </c>
      <c r="AE24" s="228"/>
      <c r="AF24" s="100" t="e">
        <f t="shared" si="57"/>
        <v>#DIV/0!</v>
      </c>
      <c r="AG24" s="228"/>
      <c r="AH24" s="100" t="e">
        <f t="shared" si="58"/>
        <v>#DIV/0!</v>
      </c>
      <c r="AI24" s="228"/>
      <c r="AJ24" s="100" t="e">
        <f t="shared" si="59"/>
        <v>#DIV/0!</v>
      </c>
      <c r="AK24" s="228"/>
      <c r="AL24" s="100" t="e">
        <f t="shared" si="53"/>
        <v>#DIV/0!</v>
      </c>
    </row>
    <row r="25" spans="2:38" ht="14.25">
      <c r="B25" s="97"/>
      <c r="C25" s="97"/>
      <c r="D25" s="291">
        <f t="shared" si="20"/>
        <v>46312</v>
      </c>
      <c r="E25" s="291" t="s">
        <v>441</v>
      </c>
      <c r="F25" s="222">
        <f t="shared" si="19"/>
        <v>0</v>
      </c>
      <c r="G25" s="289"/>
      <c r="H25" s="308"/>
      <c r="I25" s="228"/>
      <c r="J25" s="100" t="e">
        <f t="shared" si="43"/>
        <v>#DIV/0!</v>
      </c>
      <c r="K25" s="228"/>
      <c r="L25" s="100" t="e">
        <f t="shared" si="44"/>
        <v>#DIV/0!</v>
      </c>
      <c r="M25" s="221">
        <f t="shared" si="45"/>
        <v>0</v>
      </c>
      <c r="N25" s="100" t="e">
        <f t="shared" si="46"/>
        <v>#DIV/0!</v>
      </c>
      <c r="O25" s="228"/>
      <c r="P25" s="100" t="e">
        <f t="shared" si="47"/>
        <v>#DIV/0!</v>
      </c>
      <c r="Q25" s="228"/>
      <c r="R25" s="100" t="e">
        <f t="shared" si="48"/>
        <v>#DIV/0!</v>
      </c>
      <c r="S25" s="221">
        <f t="shared" si="49"/>
        <v>0</v>
      </c>
      <c r="T25" s="100" t="e">
        <f t="shared" si="50"/>
        <v>#DIV/0!</v>
      </c>
      <c r="U25" s="228"/>
      <c r="V25" s="100" t="e">
        <f t="shared" si="51"/>
        <v>#DIV/0!</v>
      </c>
      <c r="W25" s="228"/>
      <c r="X25" s="100" t="e">
        <f t="shared" si="52"/>
        <v>#DIV/0!</v>
      </c>
      <c r="Y25" s="228"/>
      <c r="Z25" s="100" t="e">
        <f t="shared" si="54"/>
        <v>#DIV/0!</v>
      </c>
      <c r="AA25" s="228"/>
      <c r="AB25" s="100" t="e">
        <f t="shared" si="26"/>
        <v>#DIV/0!</v>
      </c>
      <c r="AC25" s="221">
        <f t="shared" si="55"/>
        <v>0</v>
      </c>
      <c r="AD25" s="100" t="e">
        <f t="shared" si="56"/>
        <v>#DIV/0!</v>
      </c>
      <c r="AE25" s="228"/>
      <c r="AF25" s="100" t="e">
        <f t="shared" si="57"/>
        <v>#DIV/0!</v>
      </c>
      <c r="AG25" s="228"/>
      <c r="AH25" s="100" t="e">
        <f t="shared" si="58"/>
        <v>#DIV/0!</v>
      </c>
      <c r="AI25" s="228"/>
      <c r="AJ25" s="100" t="e">
        <f t="shared" si="59"/>
        <v>#DIV/0!</v>
      </c>
      <c r="AK25" s="228"/>
      <c r="AL25" s="100" t="e">
        <f t="shared" si="53"/>
        <v>#DIV/0!</v>
      </c>
    </row>
    <row r="26" spans="2:38" ht="14.25">
      <c r="B26" s="97"/>
      <c r="C26" s="97"/>
      <c r="D26" s="291">
        <f t="shared" si="20"/>
        <v>46313</v>
      </c>
      <c r="E26" s="291" t="s">
        <v>442</v>
      </c>
      <c r="F26" s="222">
        <f t="shared" si="19"/>
        <v>0</v>
      </c>
      <c r="G26" s="289"/>
      <c r="H26" s="308"/>
      <c r="I26" s="228"/>
      <c r="J26" s="100" t="e">
        <f t="shared" si="43"/>
        <v>#DIV/0!</v>
      </c>
      <c r="K26" s="228"/>
      <c r="L26" s="100" t="e">
        <f t="shared" si="44"/>
        <v>#DIV/0!</v>
      </c>
      <c r="M26" s="221">
        <f t="shared" si="45"/>
        <v>0</v>
      </c>
      <c r="N26" s="100" t="e">
        <f t="shared" si="46"/>
        <v>#DIV/0!</v>
      </c>
      <c r="O26" s="228"/>
      <c r="P26" s="100" t="e">
        <f t="shared" si="47"/>
        <v>#DIV/0!</v>
      </c>
      <c r="Q26" s="228"/>
      <c r="R26" s="100" t="e">
        <f t="shared" si="48"/>
        <v>#DIV/0!</v>
      </c>
      <c r="S26" s="221">
        <f t="shared" si="49"/>
        <v>0</v>
      </c>
      <c r="T26" s="100" t="e">
        <f t="shared" si="50"/>
        <v>#DIV/0!</v>
      </c>
      <c r="U26" s="228"/>
      <c r="V26" s="100" t="e">
        <f t="shared" si="51"/>
        <v>#DIV/0!</v>
      </c>
      <c r="W26" s="228"/>
      <c r="X26" s="100" t="e">
        <f t="shared" si="52"/>
        <v>#DIV/0!</v>
      </c>
      <c r="Y26" s="228"/>
      <c r="Z26" s="100" t="e">
        <f t="shared" si="54"/>
        <v>#DIV/0!</v>
      </c>
      <c r="AA26" s="228"/>
      <c r="AB26" s="100" t="e">
        <f t="shared" si="26"/>
        <v>#DIV/0!</v>
      </c>
      <c r="AC26" s="221">
        <f t="shared" si="55"/>
        <v>0</v>
      </c>
      <c r="AD26" s="100" t="e">
        <f t="shared" si="56"/>
        <v>#DIV/0!</v>
      </c>
      <c r="AE26" s="228"/>
      <c r="AF26" s="100" t="e">
        <f t="shared" si="57"/>
        <v>#DIV/0!</v>
      </c>
      <c r="AG26" s="228"/>
      <c r="AH26" s="100" t="e">
        <f t="shared" si="58"/>
        <v>#DIV/0!</v>
      </c>
      <c r="AI26" s="228"/>
      <c r="AJ26" s="100" t="e">
        <f t="shared" si="59"/>
        <v>#DIV/0!</v>
      </c>
      <c r="AK26" s="228"/>
      <c r="AL26" s="100" t="e">
        <f t="shared" si="53"/>
        <v>#DIV/0!</v>
      </c>
    </row>
    <row r="27" spans="2:38" ht="14.25">
      <c r="B27" s="97"/>
      <c r="C27" s="97"/>
      <c r="D27" s="291">
        <f t="shared" si="20"/>
        <v>46314</v>
      </c>
      <c r="E27" s="291" t="s">
        <v>436</v>
      </c>
      <c r="F27" s="222">
        <f t="shared" si="19"/>
        <v>0</v>
      </c>
      <c r="G27" s="86"/>
      <c r="H27" s="308"/>
      <c r="I27" s="228"/>
      <c r="J27" s="100" t="e">
        <f t="shared" si="43"/>
        <v>#DIV/0!</v>
      </c>
      <c r="K27" s="228"/>
      <c r="L27" s="100" t="e">
        <f t="shared" si="44"/>
        <v>#DIV/0!</v>
      </c>
      <c r="M27" s="221">
        <f t="shared" si="45"/>
        <v>0</v>
      </c>
      <c r="N27" s="100" t="e">
        <f t="shared" si="46"/>
        <v>#DIV/0!</v>
      </c>
      <c r="O27" s="228"/>
      <c r="P27" s="100" t="e">
        <f t="shared" si="47"/>
        <v>#DIV/0!</v>
      </c>
      <c r="Q27" s="228"/>
      <c r="R27" s="100" t="e">
        <f t="shared" si="48"/>
        <v>#DIV/0!</v>
      </c>
      <c r="S27" s="221">
        <f t="shared" si="49"/>
        <v>0</v>
      </c>
      <c r="T27" s="100" t="e">
        <f t="shared" si="50"/>
        <v>#DIV/0!</v>
      </c>
      <c r="U27" s="228"/>
      <c r="V27" s="100" t="e">
        <f t="shared" si="51"/>
        <v>#DIV/0!</v>
      </c>
      <c r="W27" s="228"/>
      <c r="X27" s="100" t="e">
        <f t="shared" si="52"/>
        <v>#DIV/0!</v>
      </c>
      <c r="Y27" s="228"/>
      <c r="Z27" s="100" t="e">
        <f t="shared" si="54"/>
        <v>#DIV/0!</v>
      </c>
      <c r="AA27" s="228"/>
      <c r="AB27" s="100" t="e">
        <f t="shared" si="26"/>
        <v>#DIV/0!</v>
      </c>
      <c r="AC27" s="221">
        <f t="shared" si="55"/>
        <v>0</v>
      </c>
      <c r="AD27" s="100" t="e">
        <f t="shared" si="56"/>
        <v>#DIV/0!</v>
      </c>
      <c r="AE27" s="228"/>
      <c r="AF27" s="100" t="e">
        <f t="shared" si="57"/>
        <v>#DIV/0!</v>
      </c>
      <c r="AG27" s="228"/>
      <c r="AH27" s="100" t="e">
        <f t="shared" si="58"/>
        <v>#DIV/0!</v>
      </c>
      <c r="AI27" s="228"/>
      <c r="AJ27" s="100" t="e">
        <f t="shared" si="59"/>
        <v>#DIV/0!</v>
      </c>
      <c r="AK27" s="228"/>
      <c r="AL27" s="100" t="e">
        <f t="shared" si="53"/>
        <v>#DIV/0!</v>
      </c>
    </row>
    <row r="28" spans="2:38" ht="14.25">
      <c r="B28" s="97"/>
      <c r="C28" s="97"/>
      <c r="D28" s="344">
        <f t="shared" si="20"/>
        <v>46315</v>
      </c>
      <c r="E28" s="344" t="s">
        <v>437</v>
      </c>
      <c r="F28" s="222">
        <f t="shared" si="19"/>
        <v>0</v>
      </c>
      <c r="G28" s="289">
        <f>SUM(F28:F34)</f>
        <v>0</v>
      </c>
      <c r="H28" s="308"/>
      <c r="I28" s="228"/>
      <c r="J28" s="100" t="e">
        <f t="shared" si="43"/>
        <v>#DIV/0!</v>
      </c>
      <c r="K28" s="228"/>
      <c r="L28" s="100" t="e">
        <f t="shared" si="44"/>
        <v>#DIV/0!</v>
      </c>
      <c r="M28" s="221">
        <f t="shared" si="45"/>
        <v>0</v>
      </c>
      <c r="N28" s="100" t="e">
        <f t="shared" si="46"/>
        <v>#DIV/0!</v>
      </c>
      <c r="O28" s="228"/>
      <c r="P28" s="100" t="e">
        <f t="shared" si="47"/>
        <v>#DIV/0!</v>
      </c>
      <c r="Q28" s="228"/>
      <c r="R28" s="100" t="e">
        <f t="shared" si="48"/>
        <v>#DIV/0!</v>
      </c>
      <c r="S28" s="221">
        <f t="shared" si="49"/>
        <v>0</v>
      </c>
      <c r="T28" s="100" t="e">
        <f t="shared" si="50"/>
        <v>#DIV/0!</v>
      </c>
      <c r="U28" s="228"/>
      <c r="V28" s="100" t="e">
        <f t="shared" si="51"/>
        <v>#DIV/0!</v>
      </c>
      <c r="W28" s="228"/>
      <c r="X28" s="100" t="e">
        <f t="shared" si="52"/>
        <v>#DIV/0!</v>
      </c>
      <c r="Y28" s="228"/>
      <c r="Z28" s="100" t="e">
        <f t="shared" si="54"/>
        <v>#DIV/0!</v>
      </c>
      <c r="AA28" s="228"/>
      <c r="AB28" s="100" t="e">
        <f t="shared" si="26"/>
        <v>#DIV/0!</v>
      </c>
      <c r="AC28" s="221">
        <f t="shared" si="55"/>
        <v>0</v>
      </c>
      <c r="AD28" s="100" t="e">
        <f t="shared" si="56"/>
        <v>#DIV/0!</v>
      </c>
      <c r="AE28" s="228"/>
      <c r="AF28" s="100" t="e">
        <f t="shared" si="57"/>
        <v>#DIV/0!</v>
      </c>
      <c r="AG28" s="228"/>
      <c r="AH28" s="100" t="e">
        <f t="shared" si="58"/>
        <v>#DIV/0!</v>
      </c>
      <c r="AI28" s="228"/>
      <c r="AJ28" s="100" t="e">
        <f t="shared" si="59"/>
        <v>#DIV/0!</v>
      </c>
      <c r="AK28" s="228"/>
      <c r="AL28" s="100" t="e">
        <f t="shared" si="53"/>
        <v>#DIV/0!</v>
      </c>
    </row>
    <row r="29" spans="2:38" ht="14.25">
      <c r="B29" s="97"/>
      <c r="C29" s="97"/>
      <c r="D29" s="344">
        <f t="shared" si="20"/>
        <v>46316</v>
      </c>
      <c r="E29" s="344" t="s">
        <v>438</v>
      </c>
      <c r="F29" s="222">
        <f t="shared" si="19"/>
        <v>0</v>
      </c>
      <c r="G29" s="289"/>
      <c r="H29" s="308"/>
      <c r="I29" s="228"/>
      <c r="J29" s="100" t="e">
        <f t="shared" si="43"/>
        <v>#DIV/0!</v>
      </c>
      <c r="K29" s="228"/>
      <c r="L29" s="100" t="e">
        <f t="shared" si="44"/>
        <v>#DIV/0!</v>
      </c>
      <c r="M29" s="221">
        <f t="shared" si="45"/>
        <v>0</v>
      </c>
      <c r="N29" s="100" t="e">
        <f t="shared" si="46"/>
        <v>#DIV/0!</v>
      </c>
      <c r="O29" s="228"/>
      <c r="P29" s="100" t="e">
        <f t="shared" si="47"/>
        <v>#DIV/0!</v>
      </c>
      <c r="Q29" s="228"/>
      <c r="R29" s="100" t="e">
        <f t="shared" si="48"/>
        <v>#DIV/0!</v>
      </c>
      <c r="S29" s="221">
        <f t="shared" si="49"/>
        <v>0</v>
      </c>
      <c r="T29" s="100" t="e">
        <f t="shared" si="50"/>
        <v>#DIV/0!</v>
      </c>
      <c r="U29" s="228"/>
      <c r="V29" s="100" t="e">
        <f t="shared" si="51"/>
        <v>#DIV/0!</v>
      </c>
      <c r="W29" s="228"/>
      <c r="X29" s="100" t="e">
        <f t="shared" si="52"/>
        <v>#DIV/0!</v>
      </c>
      <c r="Y29" s="228"/>
      <c r="Z29" s="100" t="e">
        <f t="shared" si="54"/>
        <v>#DIV/0!</v>
      </c>
      <c r="AA29" s="228"/>
      <c r="AB29" s="100" t="e">
        <f t="shared" si="26"/>
        <v>#DIV/0!</v>
      </c>
      <c r="AC29" s="221">
        <f t="shared" si="55"/>
        <v>0</v>
      </c>
      <c r="AD29" s="100" t="e">
        <f t="shared" si="56"/>
        <v>#DIV/0!</v>
      </c>
      <c r="AE29" s="228"/>
      <c r="AF29" s="100" t="e">
        <f t="shared" si="57"/>
        <v>#DIV/0!</v>
      </c>
      <c r="AG29" s="228"/>
      <c r="AH29" s="100" t="e">
        <f t="shared" si="58"/>
        <v>#DIV/0!</v>
      </c>
      <c r="AI29" s="228"/>
      <c r="AJ29" s="100" t="e">
        <f t="shared" si="59"/>
        <v>#DIV/0!</v>
      </c>
      <c r="AK29" s="228"/>
      <c r="AL29" s="100" t="e">
        <f t="shared" si="53"/>
        <v>#DIV/0!</v>
      </c>
    </row>
    <row r="30" spans="2:38" ht="14.25">
      <c r="B30" s="97"/>
      <c r="C30" s="97"/>
      <c r="D30" s="344">
        <f t="shared" si="20"/>
        <v>46317</v>
      </c>
      <c r="E30" s="344" t="s">
        <v>439</v>
      </c>
      <c r="F30" s="222">
        <f t="shared" si="19"/>
        <v>0</v>
      </c>
      <c r="G30" s="86"/>
      <c r="H30" s="308"/>
      <c r="I30" s="228"/>
      <c r="J30" s="100" t="e">
        <f t="shared" si="43"/>
        <v>#DIV/0!</v>
      </c>
      <c r="K30" s="228"/>
      <c r="L30" s="100" t="e">
        <f t="shared" si="44"/>
        <v>#DIV/0!</v>
      </c>
      <c r="M30" s="221">
        <f t="shared" si="45"/>
        <v>0</v>
      </c>
      <c r="N30" s="100" t="e">
        <f t="shared" si="46"/>
        <v>#DIV/0!</v>
      </c>
      <c r="O30" s="228"/>
      <c r="P30" s="100" t="e">
        <f t="shared" si="47"/>
        <v>#DIV/0!</v>
      </c>
      <c r="Q30" s="228"/>
      <c r="R30" s="100" t="e">
        <f t="shared" si="48"/>
        <v>#DIV/0!</v>
      </c>
      <c r="S30" s="221">
        <f t="shared" si="49"/>
        <v>0</v>
      </c>
      <c r="T30" s="100" t="e">
        <f t="shared" si="50"/>
        <v>#DIV/0!</v>
      </c>
      <c r="U30" s="228"/>
      <c r="V30" s="100" t="e">
        <f t="shared" si="51"/>
        <v>#DIV/0!</v>
      </c>
      <c r="W30" s="228"/>
      <c r="X30" s="100" t="e">
        <f t="shared" si="52"/>
        <v>#DIV/0!</v>
      </c>
      <c r="Y30" s="228"/>
      <c r="Z30" s="100" t="e">
        <f t="shared" si="54"/>
        <v>#DIV/0!</v>
      </c>
      <c r="AA30" s="228"/>
      <c r="AB30" s="100" t="e">
        <f t="shared" si="26"/>
        <v>#DIV/0!</v>
      </c>
      <c r="AC30" s="221">
        <f t="shared" si="55"/>
        <v>0</v>
      </c>
      <c r="AD30" s="100" t="e">
        <f t="shared" si="56"/>
        <v>#DIV/0!</v>
      </c>
      <c r="AE30" s="228"/>
      <c r="AF30" s="100" t="e">
        <f t="shared" si="57"/>
        <v>#DIV/0!</v>
      </c>
      <c r="AG30" s="228"/>
      <c r="AH30" s="100" t="e">
        <f t="shared" si="58"/>
        <v>#DIV/0!</v>
      </c>
      <c r="AI30" s="228"/>
      <c r="AJ30" s="100" t="e">
        <f t="shared" si="59"/>
        <v>#DIV/0!</v>
      </c>
      <c r="AK30" s="228"/>
      <c r="AL30" s="100" t="e">
        <f t="shared" si="53"/>
        <v>#DIV/0!</v>
      </c>
    </row>
    <row r="31" spans="2:38" ht="14.25">
      <c r="B31" s="97"/>
      <c r="C31" s="97"/>
      <c r="D31" s="344">
        <f t="shared" si="20"/>
        <v>46318</v>
      </c>
      <c r="E31" s="344" t="s">
        <v>440</v>
      </c>
      <c r="F31" s="222">
        <f t="shared" si="19"/>
        <v>0</v>
      </c>
      <c r="G31" s="289"/>
      <c r="H31" s="308"/>
      <c r="I31" s="228"/>
      <c r="J31" s="100" t="e">
        <f t="shared" si="43"/>
        <v>#DIV/0!</v>
      </c>
      <c r="K31" s="228"/>
      <c r="L31" s="100" t="e">
        <f t="shared" si="44"/>
        <v>#DIV/0!</v>
      </c>
      <c r="M31" s="221">
        <f t="shared" si="45"/>
        <v>0</v>
      </c>
      <c r="N31" s="100" t="e">
        <f t="shared" si="46"/>
        <v>#DIV/0!</v>
      </c>
      <c r="O31" s="228"/>
      <c r="P31" s="100" t="e">
        <f t="shared" si="47"/>
        <v>#DIV/0!</v>
      </c>
      <c r="Q31" s="228"/>
      <c r="R31" s="100" t="e">
        <f t="shared" si="48"/>
        <v>#DIV/0!</v>
      </c>
      <c r="S31" s="221">
        <f t="shared" si="49"/>
        <v>0</v>
      </c>
      <c r="T31" s="100" t="e">
        <f t="shared" si="50"/>
        <v>#DIV/0!</v>
      </c>
      <c r="U31" s="228"/>
      <c r="V31" s="100" t="e">
        <f t="shared" si="51"/>
        <v>#DIV/0!</v>
      </c>
      <c r="W31" s="228"/>
      <c r="X31" s="100" t="e">
        <f t="shared" si="52"/>
        <v>#DIV/0!</v>
      </c>
      <c r="Y31" s="228"/>
      <c r="Z31" s="100" t="e">
        <f t="shared" si="54"/>
        <v>#DIV/0!</v>
      </c>
      <c r="AA31" s="228"/>
      <c r="AB31" s="100" t="e">
        <f t="shared" si="26"/>
        <v>#DIV/0!</v>
      </c>
      <c r="AC31" s="221">
        <f t="shared" si="55"/>
        <v>0</v>
      </c>
      <c r="AD31" s="100" t="e">
        <f t="shared" si="56"/>
        <v>#DIV/0!</v>
      </c>
      <c r="AE31" s="228"/>
      <c r="AF31" s="100" t="e">
        <f t="shared" si="57"/>
        <v>#DIV/0!</v>
      </c>
      <c r="AG31" s="228"/>
      <c r="AH31" s="100" t="e">
        <f t="shared" si="58"/>
        <v>#DIV/0!</v>
      </c>
      <c r="AI31" s="228"/>
      <c r="AJ31" s="100" t="e">
        <f t="shared" si="59"/>
        <v>#DIV/0!</v>
      </c>
      <c r="AK31" s="228"/>
      <c r="AL31" s="100" t="e">
        <f t="shared" si="53"/>
        <v>#DIV/0!</v>
      </c>
    </row>
    <row r="32" spans="2:38" ht="14.25">
      <c r="B32" s="97"/>
      <c r="C32" s="97"/>
      <c r="D32" s="344">
        <f t="shared" si="20"/>
        <v>46319</v>
      </c>
      <c r="E32" s="344" t="s">
        <v>441</v>
      </c>
      <c r="F32" s="222">
        <f t="shared" si="19"/>
        <v>0</v>
      </c>
      <c r="G32" s="289"/>
      <c r="H32" s="308"/>
      <c r="I32" s="228"/>
      <c r="J32" s="100" t="e">
        <f t="shared" si="43"/>
        <v>#DIV/0!</v>
      </c>
      <c r="K32" s="228"/>
      <c r="L32" s="100" t="e">
        <f t="shared" si="44"/>
        <v>#DIV/0!</v>
      </c>
      <c r="M32" s="221">
        <f t="shared" si="45"/>
        <v>0</v>
      </c>
      <c r="N32" s="100" t="e">
        <f t="shared" si="46"/>
        <v>#DIV/0!</v>
      </c>
      <c r="O32" s="228"/>
      <c r="P32" s="100" t="e">
        <f t="shared" si="47"/>
        <v>#DIV/0!</v>
      </c>
      <c r="Q32" s="228"/>
      <c r="R32" s="100" t="e">
        <f t="shared" si="48"/>
        <v>#DIV/0!</v>
      </c>
      <c r="S32" s="221">
        <f t="shared" si="49"/>
        <v>0</v>
      </c>
      <c r="T32" s="100" t="e">
        <f t="shared" si="50"/>
        <v>#DIV/0!</v>
      </c>
      <c r="U32" s="228"/>
      <c r="V32" s="100" t="e">
        <f t="shared" si="51"/>
        <v>#DIV/0!</v>
      </c>
      <c r="W32" s="228"/>
      <c r="X32" s="100" t="e">
        <f t="shared" si="52"/>
        <v>#DIV/0!</v>
      </c>
      <c r="Y32" s="228"/>
      <c r="Z32" s="100" t="e">
        <f t="shared" si="54"/>
        <v>#DIV/0!</v>
      </c>
      <c r="AA32" s="228"/>
      <c r="AB32" s="100" t="e">
        <f t="shared" si="26"/>
        <v>#DIV/0!</v>
      </c>
      <c r="AC32" s="221">
        <f t="shared" si="55"/>
        <v>0</v>
      </c>
      <c r="AD32" s="100" t="e">
        <f t="shared" si="56"/>
        <v>#DIV/0!</v>
      </c>
      <c r="AE32" s="228"/>
      <c r="AF32" s="100" t="e">
        <f t="shared" si="57"/>
        <v>#DIV/0!</v>
      </c>
      <c r="AG32" s="228"/>
      <c r="AH32" s="100" t="e">
        <f t="shared" si="58"/>
        <v>#DIV/0!</v>
      </c>
      <c r="AI32" s="228"/>
      <c r="AJ32" s="100" t="e">
        <f t="shared" si="59"/>
        <v>#DIV/0!</v>
      </c>
      <c r="AK32" s="228"/>
      <c r="AL32" s="100" t="e">
        <f t="shared" si="53"/>
        <v>#DIV/0!</v>
      </c>
    </row>
    <row r="33" spans="2:38" ht="14.25">
      <c r="B33" s="97"/>
      <c r="C33" s="97"/>
      <c r="D33" s="344">
        <f t="shared" si="20"/>
        <v>46320</v>
      </c>
      <c r="E33" s="344" t="s">
        <v>442</v>
      </c>
      <c r="F33" s="222">
        <f t="shared" si="19"/>
        <v>0</v>
      </c>
      <c r="G33" s="289"/>
      <c r="H33" s="308"/>
      <c r="I33" s="228"/>
      <c r="J33" s="100" t="e">
        <f t="shared" si="43"/>
        <v>#DIV/0!</v>
      </c>
      <c r="K33" s="228"/>
      <c r="L33" s="100" t="e">
        <f t="shared" si="44"/>
        <v>#DIV/0!</v>
      </c>
      <c r="M33" s="221">
        <f t="shared" si="45"/>
        <v>0</v>
      </c>
      <c r="N33" s="100" t="e">
        <f t="shared" si="46"/>
        <v>#DIV/0!</v>
      </c>
      <c r="O33" s="228"/>
      <c r="P33" s="100" t="e">
        <f t="shared" si="47"/>
        <v>#DIV/0!</v>
      </c>
      <c r="Q33" s="228"/>
      <c r="R33" s="100" t="e">
        <f t="shared" si="48"/>
        <v>#DIV/0!</v>
      </c>
      <c r="S33" s="221">
        <f t="shared" si="49"/>
        <v>0</v>
      </c>
      <c r="T33" s="100" t="e">
        <f t="shared" si="50"/>
        <v>#DIV/0!</v>
      </c>
      <c r="U33" s="228"/>
      <c r="V33" s="100" t="e">
        <f t="shared" si="51"/>
        <v>#DIV/0!</v>
      </c>
      <c r="W33" s="228"/>
      <c r="X33" s="100" t="e">
        <f t="shared" si="52"/>
        <v>#DIV/0!</v>
      </c>
      <c r="Y33" s="228"/>
      <c r="Z33" s="100" t="e">
        <f t="shared" si="54"/>
        <v>#DIV/0!</v>
      </c>
      <c r="AA33" s="228"/>
      <c r="AB33" s="100" t="e">
        <f t="shared" si="26"/>
        <v>#DIV/0!</v>
      </c>
      <c r="AC33" s="221">
        <f t="shared" si="55"/>
        <v>0</v>
      </c>
      <c r="AD33" s="100" t="e">
        <f t="shared" si="56"/>
        <v>#DIV/0!</v>
      </c>
      <c r="AE33" s="228"/>
      <c r="AF33" s="100" t="e">
        <f t="shared" si="57"/>
        <v>#DIV/0!</v>
      </c>
      <c r="AG33" s="228"/>
      <c r="AH33" s="100" t="e">
        <f t="shared" si="58"/>
        <v>#DIV/0!</v>
      </c>
      <c r="AI33" s="228"/>
      <c r="AJ33" s="100" t="e">
        <f t="shared" si="59"/>
        <v>#DIV/0!</v>
      </c>
      <c r="AK33" s="228"/>
      <c r="AL33" s="100" t="e">
        <f t="shared" si="53"/>
        <v>#DIV/0!</v>
      </c>
    </row>
    <row r="34" spans="2:38" ht="14.25">
      <c r="B34" s="97"/>
      <c r="C34" s="97"/>
      <c r="D34" s="344">
        <f t="shared" si="20"/>
        <v>46321</v>
      </c>
      <c r="E34" s="344" t="s">
        <v>436</v>
      </c>
      <c r="F34" s="222">
        <f t="shared" si="19"/>
        <v>0</v>
      </c>
      <c r="G34" s="86"/>
      <c r="H34" s="308"/>
      <c r="I34" s="228"/>
      <c r="J34" s="100" t="e">
        <f t="shared" si="43"/>
        <v>#DIV/0!</v>
      </c>
      <c r="K34" s="228"/>
      <c r="L34" s="100" t="e">
        <f t="shared" si="44"/>
        <v>#DIV/0!</v>
      </c>
      <c r="M34" s="221">
        <f t="shared" si="45"/>
        <v>0</v>
      </c>
      <c r="N34" s="100" t="e">
        <f t="shared" si="46"/>
        <v>#DIV/0!</v>
      </c>
      <c r="O34" s="228"/>
      <c r="P34" s="100" t="e">
        <f t="shared" si="47"/>
        <v>#DIV/0!</v>
      </c>
      <c r="Q34" s="228"/>
      <c r="R34" s="100" t="e">
        <f t="shared" si="48"/>
        <v>#DIV/0!</v>
      </c>
      <c r="S34" s="221">
        <f t="shared" si="49"/>
        <v>0</v>
      </c>
      <c r="T34" s="100" t="e">
        <f t="shared" si="50"/>
        <v>#DIV/0!</v>
      </c>
      <c r="U34" s="228"/>
      <c r="V34" s="100" t="e">
        <f t="shared" si="51"/>
        <v>#DIV/0!</v>
      </c>
      <c r="W34" s="228"/>
      <c r="X34" s="100" t="e">
        <f t="shared" si="52"/>
        <v>#DIV/0!</v>
      </c>
      <c r="Y34" s="228"/>
      <c r="Z34" s="100" t="e">
        <f t="shared" si="54"/>
        <v>#DIV/0!</v>
      </c>
      <c r="AA34" s="228"/>
      <c r="AB34" s="100" t="e">
        <f t="shared" si="26"/>
        <v>#DIV/0!</v>
      </c>
      <c r="AC34" s="221">
        <f t="shared" si="55"/>
        <v>0</v>
      </c>
      <c r="AD34" s="100" t="e">
        <f t="shared" si="56"/>
        <v>#DIV/0!</v>
      </c>
      <c r="AE34" s="228"/>
      <c r="AF34" s="100" t="e">
        <f t="shared" si="57"/>
        <v>#DIV/0!</v>
      </c>
      <c r="AG34" s="228"/>
      <c r="AH34" s="100" t="e">
        <f t="shared" si="58"/>
        <v>#DIV/0!</v>
      </c>
      <c r="AI34" s="228"/>
      <c r="AJ34" s="100" t="e">
        <f t="shared" si="59"/>
        <v>#DIV/0!</v>
      </c>
      <c r="AK34" s="228"/>
      <c r="AL34" s="100" t="e">
        <f t="shared" si="53"/>
        <v>#DIV/0!</v>
      </c>
    </row>
    <row r="35" spans="2:38" s="420" customFormat="1" ht="14.25">
      <c r="B35" s="396"/>
      <c r="C35" s="396"/>
      <c r="D35" s="291">
        <f t="shared" si="20"/>
        <v>46322</v>
      </c>
      <c r="E35" s="291" t="s">
        <v>437</v>
      </c>
      <c r="F35" s="421">
        <f t="shared" si="19"/>
        <v>0</v>
      </c>
      <c r="G35" s="397">
        <f>SUM(F35:F41)</f>
        <v>0</v>
      </c>
      <c r="H35" s="398"/>
      <c r="I35" s="424"/>
      <c r="J35" s="327" t="e">
        <f t="shared" si="43"/>
        <v>#DIV/0!</v>
      </c>
      <c r="K35" s="424"/>
      <c r="L35" s="327" t="e">
        <f t="shared" si="44"/>
        <v>#DIV/0!</v>
      </c>
      <c r="M35" s="425">
        <f t="shared" ref="M35:M36" si="60">SUM(I35+K35)</f>
        <v>0</v>
      </c>
      <c r="N35" s="327" t="e">
        <f t="shared" si="46"/>
        <v>#DIV/0!</v>
      </c>
      <c r="O35" s="424"/>
      <c r="P35" s="327" t="e">
        <f t="shared" si="47"/>
        <v>#DIV/0!</v>
      </c>
      <c r="Q35" s="424"/>
      <c r="R35" s="327" t="e">
        <f t="shared" si="48"/>
        <v>#DIV/0!</v>
      </c>
      <c r="S35" s="425">
        <f t="shared" si="49"/>
        <v>0</v>
      </c>
      <c r="T35" s="327" t="e">
        <f t="shared" si="50"/>
        <v>#DIV/0!</v>
      </c>
      <c r="U35" s="424"/>
      <c r="V35" s="327" t="e">
        <f t="shared" si="51"/>
        <v>#DIV/0!</v>
      </c>
      <c r="W35" s="424"/>
      <c r="X35" s="327" t="e">
        <f t="shared" si="52"/>
        <v>#DIV/0!</v>
      </c>
      <c r="Y35" s="424"/>
      <c r="Z35" s="327" t="e">
        <f t="shared" si="54"/>
        <v>#DIV/0!</v>
      </c>
      <c r="AA35" s="424"/>
      <c r="AB35" s="327" t="e">
        <f t="shared" si="26"/>
        <v>#DIV/0!</v>
      </c>
      <c r="AC35" s="425">
        <f t="shared" si="55"/>
        <v>0</v>
      </c>
      <c r="AD35" s="327" t="e">
        <f t="shared" si="56"/>
        <v>#DIV/0!</v>
      </c>
      <c r="AE35" s="424"/>
      <c r="AF35" s="327" t="e">
        <f t="shared" si="57"/>
        <v>#DIV/0!</v>
      </c>
      <c r="AG35" s="424"/>
      <c r="AH35" s="327" t="e">
        <f t="shared" si="58"/>
        <v>#DIV/0!</v>
      </c>
      <c r="AI35" s="424"/>
      <c r="AJ35" s="327" t="e">
        <f t="shared" si="59"/>
        <v>#DIV/0!</v>
      </c>
      <c r="AK35" s="424"/>
      <c r="AL35" s="327" t="e">
        <f t="shared" si="53"/>
        <v>#DIV/0!</v>
      </c>
    </row>
    <row r="36" spans="2:38" s="420" customFormat="1" ht="14.25">
      <c r="B36" s="396"/>
      <c r="C36" s="396"/>
      <c r="D36" s="291">
        <f t="shared" si="20"/>
        <v>46323</v>
      </c>
      <c r="E36" s="291" t="s">
        <v>438</v>
      </c>
      <c r="F36" s="421">
        <f t="shared" si="19"/>
        <v>0</v>
      </c>
      <c r="G36" s="397"/>
      <c r="H36" s="422"/>
      <c r="I36" s="424"/>
      <c r="J36" s="327" t="e">
        <f t="shared" si="43"/>
        <v>#DIV/0!</v>
      </c>
      <c r="K36" s="424"/>
      <c r="L36" s="327" t="e">
        <f t="shared" si="44"/>
        <v>#DIV/0!</v>
      </c>
      <c r="M36" s="425">
        <f t="shared" si="60"/>
        <v>0</v>
      </c>
      <c r="N36" s="327" t="e">
        <f t="shared" si="46"/>
        <v>#DIV/0!</v>
      </c>
      <c r="O36" s="424"/>
      <c r="P36" s="327" t="e">
        <f t="shared" si="47"/>
        <v>#DIV/0!</v>
      </c>
      <c r="Q36" s="424"/>
      <c r="R36" s="327" t="e">
        <f t="shared" si="48"/>
        <v>#DIV/0!</v>
      </c>
      <c r="S36" s="425">
        <f t="shared" si="49"/>
        <v>0</v>
      </c>
      <c r="T36" s="327" t="e">
        <f t="shared" si="50"/>
        <v>#DIV/0!</v>
      </c>
      <c r="U36" s="424"/>
      <c r="V36" s="327" t="e">
        <f t="shared" si="51"/>
        <v>#DIV/0!</v>
      </c>
      <c r="W36" s="424"/>
      <c r="X36" s="327" t="e">
        <f t="shared" si="52"/>
        <v>#DIV/0!</v>
      </c>
      <c r="Y36" s="424"/>
      <c r="Z36" s="327" t="e">
        <f t="shared" si="54"/>
        <v>#DIV/0!</v>
      </c>
      <c r="AA36" s="424"/>
      <c r="AB36" s="327" t="e">
        <f t="shared" si="26"/>
        <v>#DIV/0!</v>
      </c>
      <c r="AC36" s="425">
        <f t="shared" si="55"/>
        <v>0</v>
      </c>
      <c r="AD36" s="327" t="e">
        <f t="shared" si="56"/>
        <v>#DIV/0!</v>
      </c>
      <c r="AE36" s="424"/>
      <c r="AF36" s="327" t="e">
        <f t="shared" si="57"/>
        <v>#DIV/0!</v>
      </c>
      <c r="AG36" s="424"/>
      <c r="AH36" s="327" t="e">
        <f t="shared" si="58"/>
        <v>#DIV/0!</v>
      </c>
      <c r="AI36" s="424"/>
      <c r="AJ36" s="327" t="e">
        <f t="shared" si="59"/>
        <v>#DIV/0!</v>
      </c>
      <c r="AK36" s="424"/>
      <c r="AL36" s="327" t="e">
        <f t="shared" si="53"/>
        <v>#DIV/0!</v>
      </c>
    </row>
    <row r="37" spans="2:38" s="420" customFormat="1" ht="14.25">
      <c r="B37" s="396"/>
      <c r="C37" s="396"/>
      <c r="D37" s="291">
        <f>D36+1</f>
        <v>46324</v>
      </c>
      <c r="E37" s="291" t="s">
        <v>439</v>
      </c>
      <c r="F37" s="421">
        <f t="shared" si="19"/>
        <v>0</v>
      </c>
      <c r="G37" s="397"/>
      <c r="H37" s="422"/>
      <c r="I37" s="228"/>
      <c r="J37" s="100" t="e">
        <f t="shared" si="43"/>
        <v>#DIV/0!</v>
      </c>
      <c r="K37" s="228"/>
      <c r="L37" s="100" t="e">
        <f t="shared" si="44"/>
        <v>#DIV/0!</v>
      </c>
      <c r="M37" s="221">
        <f t="shared" ref="M37:M38" si="61">SUM(I37+K37)</f>
        <v>0</v>
      </c>
      <c r="N37" s="100" t="e">
        <f t="shared" si="46"/>
        <v>#DIV/0!</v>
      </c>
      <c r="O37" s="228"/>
      <c r="P37" s="100" t="e">
        <f t="shared" si="47"/>
        <v>#DIV/0!</v>
      </c>
      <c r="Q37" s="228"/>
      <c r="R37" s="100" t="e">
        <f t="shared" si="48"/>
        <v>#DIV/0!</v>
      </c>
      <c r="S37" s="221">
        <f t="shared" si="49"/>
        <v>0</v>
      </c>
      <c r="T37" s="100" t="e">
        <f t="shared" si="50"/>
        <v>#DIV/0!</v>
      </c>
      <c r="U37" s="228"/>
      <c r="V37" s="100" t="e">
        <f t="shared" si="51"/>
        <v>#DIV/0!</v>
      </c>
      <c r="W37" s="228"/>
      <c r="X37" s="100" t="e">
        <f t="shared" si="52"/>
        <v>#DIV/0!</v>
      </c>
      <c r="Y37" s="228"/>
      <c r="Z37" s="100" t="e">
        <f t="shared" si="54"/>
        <v>#DIV/0!</v>
      </c>
      <c r="AA37" s="228"/>
      <c r="AB37" s="100" t="e">
        <f t="shared" si="26"/>
        <v>#DIV/0!</v>
      </c>
      <c r="AC37" s="221">
        <f t="shared" si="55"/>
        <v>0</v>
      </c>
      <c r="AD37" s="100" t="e">
        <f t="shared" si="56"/>
        <v>#DIV/0!</v>
      </c>
      <c r="AE37" s="228"/>
      <c r="AF37" s="100" t="e">
        <f t="shared" si="57"/>
        <v>#DIV/0!</v>
      </c>
      <c r="AG37" s="228"/>
      <c r="AH37" s="100" t="e">
        <f t="shared" si="58"/>
        <v>#DIV/0!</v>
      </c>
      <c r="AI37" s="228"/>
      <c r="AJ37" s="100" t="e">
        <f t="shared" si="59"/>
        <v>#DIV/0!</v>
      </c>
      <c r="AK37" s="228"/>
      <c r="AL37" s="100" t="e">
        <f t="shared" si="53"/>
        <v>#DIV/0!</v>
      </c>
    </row>
    <row r="38" spans="2:38" s="420" customFormat="1" ht="14.25">
      <c r="B38" s="396"/>
      <c r="C38" s="396"/>
      <c r="D38" s="291">
        <f t="shared" ref="D38:D41" si="62">D37+1</f>
        <v>46325</v>
      </c>
      <c r="E38" s="291" t="s">
        <v>440</v>
      </c>
      <c r="F38" s="421">
        <f t="shared" si="19"/>
        <v>0</v>
      </c>
      <c r="G38" s="397"/>
      <c r="H38" s="422"/>
      <c r="I38" s="228"/>
      <c r="J38" s="100" t="e">
        <f t="shared" si="43"/>
        <v>#DIV/0!</v>
      </c>
      <c r="K38" s="228"/>
      <c r="L38" s="100" t="e">
        <f t="shared" si="44"/>
        <v>#DIV/0!</v>
      </c>
      <c r="M38" s="221">
        <f t="shared" si="61"/>
        <v>0</v>
      </c>
      <c r="N38" s="100" t="e">
        <f t="shared" si="46"/>
        <v>#DIV/0!</v>
      </c>
      <c r="O38" s="228"/>
      <c r="P38" s="100" t="e">
        <f t="shared" si="47"/>
        <v>#DIV/0!</v>
      </c>
      <c r="Q38" s="228"/>
      <c r="R38" s="100" t="e">
        <f t="shared" si="48"/>
        <v>#DIV/0!</v>
      </c>
      <c r="S38" s="221">
        <f t="shared" si="49"/>
        <v>0</v>
      </c>
      <c r="T38" s="100" t="e">
        <f t="shared" si="50"/>
        <v>#DIV/0!</v>
      </c>
      <c r="U38" s="228"/>
      <c r="V38" s="100" t="e">
        <f t="shared" si="51"/>
        <v>#DIV/0!</v>
      </c>
      <c r="W38" s="228"/>
      <c r="X38" s="100" t="e">
        <f t="shared" si="52"/>
        <v>#DIV/0!</v>
      </c>
      <c r="Y38" s="228"/>
      <c r="Z38" s="100" t="e">
        <f t="shared" si="54"/>
        <v>#DIV/0!</v>
      </c>
      <c r="AA38" s="228"/>
      <c r="AB38" s="100" t="e">
        <f t="shared" si="26"/>
        <v>#DIV/0!</v>
      </c>
      <c r="AC38" s="221">
        <f t="shared" si="55"/>
        <v>0</v>
      </c>
      <c r="AD38" s="100" t="e">
        <f t="shared" si="56"/>
        <v>#DIV/0!</v>
      </c>
      <c r="AE38" s="228"/>
      <c r="AF38" s="100" t="e">
        <f t="shared" si="57"/>
        <v>#DIV/0!</v>
      </c>
      <c r="AG38" s="228"/>
      <c r="AH38" s="100" t="e">
        <f t="shared" si="58"/>
        <v>#DIV/0!</v>
      </c>
      <c r="AI38" s="228"/>
      <c r="AJ38" s="100" t="e">
        <f t="shared" si="59"/>
        <v>#DIV/0!</v>
      </c>
      <c r="AK38" s="228"/>
      <c r="AL38" s="100" t="e">
        <f t="shared" si="53"/>
        <v>#DIV/0!</v>
      </c>
    </row>
    <row r="39" spans="2:38" s="420" customFormat="1" ht="14.25">
      <c r="B39" s="396"/>
      <c r="C39" s="400"/>
      <c r="D39" s="291">
        <f t="shared" si="62"/>
        <v>46326</v>
      </c>
      <c r="E39" s="291" t="s">
        <v>441</v>
      </c>
      <c r="F39" s="421">
        <f t="shared" si="19"/>
        <v>0</v>
      </c>
      <c r="G39" s="397"/>
      <c r="H39" s="423"/>
      <c r="I39" s="424"/>
      <c r="J39" s="327" t="e">
        <f t="shared" si="43"/>
        <v>#DIV/0!</v>
      </c>
      <c r="K39" s="424"/>
      <c r="L39" s="327" t="e">
        <f t="shared" si="44"/>
        <v>#DIV/0!</v>
      </c>
      <c r="M39" s="425">
        <f t="shared" si="45"/>
        <v>0</v>
      </c>
      <c r="N39" s="327" t="e">
        <f t="shared" si="46"/>
        <v>#DIV/0!</v>
      </c>
      <c r="O39" s="424"/>
      <c r="P39" s="327" t="e">
        <f t="shared" si="47"/>
        <v>#DIV/0!</v>
      </c>
      <c r="Q39" s="424"/>
      <c r="R39" s="327" t="e">
        <f t="shared" si="48"/>
        <v>#DIV/0!</v>
      </c>
      <c r="S39" s="425">
        <f t="shared" si="49"/>
        <v>0</v>
      </c>
      <c r="T39" s="327" t="e">
        <f t="shared" si="50"/>
        <v>#DIV/0!</v>
      </c>
      <c r="U39" s="424"/>
      <c r="V39" s="327" t="e">
        <f t="shared" si="51"/>
        <v>#DIV/0!</v>
      </c>
      <c r="W39" s="424"/>
      <c r="X39" s="327" t="e">
        <f t="shared" si="52"/>
        <v>#DIV/0!</v>
      </c>
      <c r="Y39" s="424"/>
      <c r="Z39" s="327" t="e">
        <f t="shared" si="54"/>
        <v>#DIV/0!</v>
      </c>
      <c r="AA39" s="424"/>
      <c r="AB39" s="327" t="e">
        <f t="shared" si="26"/>
        <v>#DIV/0!</v>
      </c>
      <c r="AC39" s="425">
        <f t="shared" si="55"/>
        <v>0</v>
      </c>
      <c r="AD39" s="327" t="e">
        <f t="shared" si="56"/>
        <v>#DIV/0!</v>
      </c>
      <c r="AE39" s="424"/>
      <c r="AF39" s="327" t="e">
        <f t="shared" si="57"/>
        <v>#DIV/0!</v>
      </c>
      <c r="AG39" s="424"/>
      <c r="AH39" s="327" t="e">
        <f t="shared" si="58"/>
        <v>#DIV/0!</v>
      </c>
      <c r="AI39" s="424"/>
      <c r="AJ39" s="327" t="e">
        <f t="shared" si="59"/>
        <v>#DIV/0!</v>
      </c>
      <c r="AK39" s="424"/>
      <c r="AL39" s="327" t="e">
        <f t="shared" si="53"/>
        <v>#DIV/0!</v>
      </c>
    </row>
    <row r="40" spans="2:38" s="420" customFormat="1" ht="14.25">
      <c r="B40" s="396"/>
      <c r="C40" s="400"/>
      <c r="D40" s="291">
        <f t="shared" si="62"/>
        <v>46327</v>
      </c>
      <c r="E40" s="291" t="s">
        <v>442</v>
      </c>
      <c r="F40" s="421">
        <f t="shared" si="19"/>
        <v>0</v>
      </c>
      <c r="G40" s="397"/>
      <c r="H40" s="423"/>
      <c r="I40" s="424"/>
      <c r="J40" s="327" t="e">
        <f t="shared" si="43"/>
        <v>#DIV/0!</v>
      </c>
      <c r="K40" s="424"/>
      <c r="L40" s="327" t="e">
        <f t="shared" si="44"/>
        <v>#DIV/0!</v>
      </c>
      <c r="M40" s="425">
        <f t="shared" si="45"/>
        <v>0</v>
      </c>
      <c r="N40" s="327" t="e">
        <f t="shared" si="46"/>
        <v>#DIV/0!</v>
      </c>
      <c r="O40" s="424"/>
      <c r="P40" s="327" t="e">
        <f t="shared" si="47"/>
        <v>#DIV/0!</v>
      </c>
      <c r="Q40" s="424"/>
      <c r="R40" s="327" t="e">
        <f t="shared" si="48"/>
        <v>#DIV/0!</v>
      </c>
      <c r="S40" s="425">
        <f t="shared" si="49"/>
        <v>0</v>
      </c>
      <c r="T40" s="327" t="e">
        <f t="shared" si="50"/>
        <v>#DIV/0!</v>
      </c>
      <c r="U40" s="424"/>
      <c r="V40" s="327" t="e">
        <f t="shared" si="51"/>
        <v>#DIV/0!</v>
      </c>
      <c r="W40" s="424"/>
      <c r="X40" s="327" t="e">
        <f t="shared" si="52"/>
        <v>#DIV/0!</v>
      </c>
      <c r="Y40" s="424"/>
      <c r="Z40" s="327" t="e">
        <f t="shared" si="54"/>
        <v>#DIV/0!</v>
      </c>
      <c r="AA40" s="424"/>
      <c r="AB40" s="327" t="e">
        <f t="shared" si="26"/>
        <v>#DIV/0!</v>
      </c>
      <c r="AC40" s="425">
        <f t="shared" si="55"/>
        <v>0</v>
      </c>
      <c r="AD40" s="327" t="e">
        <f t="shared" si="56"/>
        <v>#DIV/0!</v>
      </c>
      <c r="AE40" s="424"/>
      <c r="AF40" s="327" t="e">
        <f t="shared" si="57"/>
        <v>#DIV/0!</v>
      </c>
      <c r="AG40" s="424"/>
      <c r="AH40" s="327" t="e">
        <f t="shared" si="58"/>
        <v>#DIV/0!</v>
      </c>
      <c r="AI40" s="424"/>
      <c r="AJ40" s="327" t="e">
        <f t="shared" si="59"/>
        <v>#DIV/0!</v>
      </c>
      <c r="AK40" s="424"/>
      <c r="AL40" s="327" t="e">
        <f t="shared" si="53"/>
        <v>#DIV/0!</v>
      </c>
    </row>
    <row r="41" spans="2:38" s="420" customFormat="1" ht="14.25">
      <c r="B41" s="396"/>
      <c r="C41" s="400"/>
      <c r="D41" s="291">
        <f t="shared" si="62"/>
        <v>46328</v>
      </c>
      <c r="E41" s="291" t="s">
        <v>436</v>
      </c>
      <c r="F41" s="421">
        <f t="shared" si="19"/>
        <v>0</v>
      </c>
      <c r="G41" s="397"/>
      <c r="H41" s="423"/>
      <c r="I41" s="424"/>
      <c r="J41" s="327" t="e">
        <f t="shared" si="43"/>
        <v>#DIV/0!</v>
      </c>
      <c r="K41" s="424"/>
      <c r="L41" s="327" t="e">
        <f t="shared" si="44"/>
        <v>#DIV/0!</v>
      </c>
      <c r="M41" s="425">
        <f t="shared" si="45"/>
        <v>0</v>
      </c>
      <c r="N41" s="327" t="e">
        <f t="shared" si="46"/>
        <v>#DIV/0!</v>
      </c>
      <c r="O41" s="424"/>
      <c r="P41" s="327" t="e">
        <f t="shared" si="47"/>
        <v>#DIV/0!</v>
      </c>
      <c r="Q41" s="424"/>
      <c r="R41" s="327" t="e">
        <f t="shared" si="48"/>
        <v>#DIV/0!</v>
      </c>
      <c r="S41" s="425">
        <f t="shared" si="49"/>
        <v>0</v>
      </c>
      <c r="T41" s="327" t="e">
        <f t="shared" si="50"/>
        <v>#DIV/0!</v>
      </c>
      <c r="U41" s="424"/>
      <c r="V41" s="327" t="e">
        <f t="shared" si="51"/>
        <v>#DIV/0!</v>
      </c>
      <c r="W41" s="424"/>
      <c r="X41" s="327" t="e">
        <f t="shared" si="52"/>
        <v>#DIV/0!</v>
      </c>
      <c r="Y41" s="424"/>
      <c r="Z41" s="327" t="e">
        <f t="shared" ref="Z41" si="63">Y41/F41</f>
        <v>#DIV/0!</v>
      </c>
      <c r="AA41" s="424"/>
      <c r="AB41" s="327" t="e">
        <f t="shared" ref="AB41:AB49" si="64">AA41/$F41</f>
        <v>#DIV/0!</v>
      </c>
      <c r="AC41" s="425">
        <f t="shared" ref="AC41" si="65">SUM(Y41+AA41)</f>
        <v>0</v>
      </c>
      <c r="AD41" s="327" t="e">
        <f t="shared" ref="AD41" si="66">AC41/F41</f>
        <v>#DIV/0!</v>
      </c>
      <c r="AE41" s="424"/>
      <c r="AF41" s="327" t="e">
        <f t="shared" ref="AF41" si="67">AE41/F41</f>
        <v>#DIV/0!</v>
      </c>
      <c r="AG41" s="424"/>
      <c r="AH41" s="327" t="e">
        <f t="shared" ref="AH41" si="68">AG41/F41</f>
        <v>#DIV/0!</v>
      </c>
      <c r="AI41" s="424"/>
      <c r="AJ41" s="327" t="e">
        <f t="shared" ref="AJ41" si="69">AI41/F41</f>
        <v>#DIV/0!</v>
      </c>
      <c r="AK41" s="424"/>
      <c r="AL41" s="327" t="e">
        <f t="shared" si="53"/>
        <v>#DIV/0!</v>
      </c>
    </row>
    <row r="42" spans="2:38" ht="14.25">
      <c r="B42" s="97"/>
      <c r="C42" s="83"/>
      <c r="D42" s="344"/>
      <c r="E42" s="344"/>
      <c r="F42" s="222">
        <f t="shared" si="19"/>
        <v>0</v>
      </c>
      <c r="G42" s="289"/>
      <c r="H42" s="96"/>
      <c r="I42" s="228"/>
      <c r="J42" s="100" t="e">
        <f>I42/F42</f>
        <v>#DIV/0!</v>
      </c>
      <c r="K42" s="228"/>
      <c r="L42" s="100" t="e">
        <f>K42/F42</f>
        <v>#DIV/0!</v>
      </c>
      <c r="M42" s="221">
        <f>SUM(I42+K42)</f>
        <v>0</v>
      </c>
      <c r="N42" s="100" t="e">
        <f>M42/F42</f>
        <v>#DIV/0!</v>
      </c>
      <c r="O42" s="228"/>
      <c r="P42" s="100" t="e">
        <f>O42/F42</f>
        <v>#DIV/0!</v>
      </c>
      <c r="Q42" s="228"/>
      <c r="R42" s="100" t="e">
        <f t="shared" si="48"/>
        <v>#DIV/0!</v>
      </c>
      <c r="S42" s="221">
        <f t="shared" si="49"/>
        <v>0</v>
      </c>
      <c r="T42" s="100" t="e">
        <f>S42/F42</f>
        <v>#DIV/0!</v>
      </c>
      <c r="U42" s="228"/>
      <c r="V42" s="100" t="e">
        <f>U42/F42</f>
        <v>#DIV/0!</v>
      </c>
      <c r="W42" s="228"/>
      <c r="X42" s="100" t="e">
        <f>W42/F42</f>
        <v>#DIV/0!</v>
      </c>
      <c r="Y42" s="228"/>
      <c r="Z42" s="100" t="e">
        <f>Y42/F42</f>
        <v>#DIV/0!</v>
      </c>
      <c r="AA42" s="228"/>
      <c r="AB42" s="100" t="e">
        <f t="shared" si="64"/>
        <v>#DIV/0!</v>
      </c>
      <c r="AC42" s="221">
        <f>SUM(Y42+AA42)</f>
        <v>0</v>
      </c>
      <c r="AD42" s="100" t="e">
        <f>AC42/F42</f>
        <v>#DIV/0!</v>
      </c>
      <c r="AE42" s="228"/>
      <c r="AF42" s="100" t="e">
        <f>AE42/F42</f>
        <v>#DIV/0!</v>
      </c>
      <c r="AG42" s="228"/>
      <c r="AH42" s="100" t="e">
        <f>AG42/F42</f>
        <v>#DIV/0!</v>
      </c>
      <c r="AI42" s="228"/>
      <c r="AJ42" s="100" t="e">
        <f>AI42/F42</f>
        <v>#DIV/0!</v>
      </c>
      <c r="AK42" s="228"/>
      <c r="AL42" s="100" t="e">
        <f>AK42/F42</f>
        <v>#DIV/0!</v>
      </c>
    </row>
    <row r="43" spans="2:38" ht="14.25">
      <c r="B43" s="97"/>
      <c r="C43" s="83"/>
      <c r="D43" s="344"/>
      <c r="E43" s="344"/>
      <c r="F43" s="222">
        <f t="shared" si="19"/>
        <v>0</v>
      </c>
      <c r="G43" s="289"/>
      <c r="H43" s="96"/>
      <c r="I43" s="228"/>
      <c r="J43" s="100" t="e">
        <f>I43/F43</f>
        <v>#DIV/0!</v>
      </c>
      <c r="K43" s="228"/>
      <c r="L43" s="100" t="e">
        <f>K43/F43</f>
        <v>#DIV/0!</v>
      </c>
      <c r="M43" s="221">
        <f>SUM(I43+K43)</f>
        <v>0</v>
      </c>
      <c r="N43" s="100" t="e">
        <f>M43/F43</f>
        <v>#DIV/0!</v>
      </c>
      <c r="O43" s="228"/>
      <c r="P43" s="100" t="e">
        <f>O43/F43</f>
        <v>#DIV/0!</v>
      </c>
      <c r="Q43" s="228"/>
      <c r="R43" s="100" t="e">
        <f t="shared" si="48"/>
        <v>#DIV/0!</v>
      </c>
      <c r="S43" s="221">
        <f t="shared" si="49"/>
        <v>0</v>
      </c>
      <c r="T43" s="100" t="e">
        <f>S43/F43</f>
        <v>#DIV/0!</v>
      </c>
      <c r="U43" s="228"/>
      <c r="V43" s="100" t="e">
        <f>U43/F43</f>
        <v>#DIV/0!</v>
      </c>
      <c r="W43" s="228"/>
      <c r="X43" s="100" t="e">
        <f>W43/F43</f>
        <v>#DIV/0!</v>
      </c>
      <c r="Y43" s="228"/>
      <c r="Z43" s="100" t="e">
        <f>Y43/F43</f>
        <v>#DIV/0!</v>
      </c>
      <c r="AA43" s="228"/>
      <c r="AB43" s="100" t="e">
        <f t="shared" si="64"/>
        <v>#DIV/0!</v>
      </c>
      <c r="AC43" s="221">
        <f>SUM(Y43+AA43)</f>
        <v>0</v>
      </c>
      <c r="AD43" s="100" t="e">
        <f>AC43/F43</f>
        <v>#DIV/0!</v>
      </c>
      <c r="AE43" s="228"/>
      <c r="AF43" s="100" t="e">
        <f>AE43/F43</f>
        <v>#DIV/0!</v>
      </c>
      <c r="AG43" s="228"/>
      <c r="AH43" s="100" t="e">
        <f>AG43/F43</f>
        <v>#DIV/0!</v>
      </c>
      <c r="AI43" s="228"/>
      <c r="AJ43" s="100" t="e">
        <f>AI43/F43</f>
        <v>#DIV/0!</v>
      </c>
      <c r="AK43" s="228"/>
      <c r="AL43" s="100" t="e">
        <f>AK43/F43</f>
        <v>#DIV/0!</v>
      </c>
    </row>
    <row r="44" spans="2:38" ht="14.25">
      <c r="B44" s="97"/>
      <c r="C44" s="83"/>
      <c r="D44" s="344"/>
      <c r="E44" s="344"/>
      <c r="F44" s="222">
        <f t="shared" si="19"/>
        <v>0</v>
      </c>
      <c r="G44" s="222"/>
      <c r="H44" s="96"/>
      <c r="I44" s="228"/>
      <c r="J44" s="100" t="e">
        <f>I44/F44</f>
        <v>#DIV/0!</v>
      </c>
      <c r="K44" s="228"/>
      <c r="L44" s="100" t="e">
        <f>K44/F44</f>
        <v>#DIV/0!</v>
      </c>
      <c r="M44" s="221">
        <f>SUM(I44+K44)</f>
        <v>0</v>
      </c>
      <c r="N44" s="100" t="e">
        <f>M44/F44</f>
        <v>#DIV/0!</v>
      </c>
      <c r="O44" s="228"/>
      <c r="P44" s="100" t="e">
        <f>O44/F44</f>
        <v>#DIV/0!</v>
      </c>
      <c r="Q44" s="228"/>
      <c r="R44" s="100" t="e">
        <f t="shared" si="48"/>
        <v>#DIV/0!</v>
      </c>
      <c r="S44" s="221">
        <f t="shared" si="49"/>
        <v>0</v>
      </c>
      <c r="T44" s="100" t="e">
        <f>S44/F44</f>
        <v>#DIV/0!</v>
      </c>
      <c r="U44" s="228"/>
      <c r="V44" s="100" t="e">
        <f>U44/F44</f>
        <v>#DIV/0!</v>
      </c>
      <c r="W44" s="228"/>
      <c r="X44" s="100" t="e">
        <f>W44/F44</f>
        <v>#DIV/0!</v>
      </c>
      <c r="Y44" s="228"/>
      <c r="Z44" s="100" t="e">
        <f>Y44/F44</f>
        <v>#DIV/0!</v>
      </c>
      <c r="AA44" s="228"/>
      <c r="AB44" s="100" t="e">
        <f t="shared" si="64"/>
        <v>#DIV/0!</v>
      </c>
      <c r="AC44" s="221">
        <f>SUM(Y44+AA44)</f>
        <v>0</v>
      </c>
      <c r="AD44" s="100" t="e">
        <f>AC44/F44</f>
        <v>#DIV/0!</v>
      </c>
      <c r="AE44" s="228"/>
      <c r="AF44" s="100" t="e">
        <f>AE44/F44</f>
        <v>#DIV/0!</v>
      </c>
      <c r="AG44" s="228"/>
      <c r="AH44" s="100" t="e">
        <f>AG44/F44</f>
        <v>#DIV/0!</v>
      </c>
      <c r="AI44" s="228"/>
      <c r="AJ44" s="100" t="e">
        <f>AI44/F44</f>
        <v>#DIV/0!</v>
      </c>
      <c r="AK44" s="228"/>
      <c r="AL44" s="100" t="e">
        <f>AK44/F44</f>
        <v>#DIV/0!</v>
      </c>
    </row>
    <row r="45" spans="2:38" ht="14.25">
      <c r="B45" s="97"/>
      <c r="C45" s="83"/>
      <c r="D45" s="344"/>
      <c r="E45" s="344"/>
      <c r="F45" s="222">
        <f t="shared" ref="F45:F48" si="70">SUM(M45,S45,U45,W45,AC45,AE45,AG45,AI45,AK45)</f>
        <v>0</v>
      </c>
      <c r="G45" s="222"/>
      <c r="H45" s="96"/>
      <c r="I45" s="228"/>
      <c r="J45" s="100" t="e">
        <f t="shared" ref="J45:J48" si="71">I45/F45</f>
        <v>#DIV/0!</v>
      </c>
      <c r="K45" s="228"/>
      <c r="L45" s="100" t="e">
        <f t="shared" ref="L45:L48" si="72">K45/F45</f>
        <v>#DIV/0!</v>
      </c>
      <c r="M45" s="221">
        <f t="shared" ref="M45:M48" si="73">SUM(I45+K45)</f>
        <v>0</v>
      </c>
      <c r="N45" s="100" t="e">
        <f t="shared" ref="N45:N48" si="74">M45/F45</f>
        <v>#DIV/0!</v>
      </c>
      <c r="O45" s="228"/>
      <c r="P45" s="100" t="e">
        <f t="shared" ref="P45:P48" si="75">O45/F45</f>
        <v>#DIV/0!</v>
      </c>
      <c r="Q45" s="228"/>
      <c r="R45" s="100" t="e">
        <f t="shared" ref="R45:R48" si="76">Q45/$F45</f>
        <v>#DIV/0!</v>
      </c>
      <c r="S45" s="221">
        <f t="shared" ref="S45:S48" si="77">SUM(O45+Q45)</f>
        <v>0</v>
      </c>
      <c r="T45" s="100" t="e">
        <f t="shared" ref="T45:T48" si="78">S45/F45</f>
        <v>#DIV/0!</v>
      </c>
      <c r="U45" s="228"/>
      <c r="V45" s="100" t="e">
        <f t="shared" ref="V45:V48" si="79">U45/F45</f>
        <v>#DIV/0!</v>
      </c>
      <c r="W45" s="228"/>
      <c r="X45" s="100" t="e">
        <f t="shared" ref="X45:X48" si="80">W45/F45</f>
        <v>#DIV/0!</v>
      </c>
      <c r="Y45" s="228"/>
      <c r="Z45" s="100" t="e">
        <f t="shared" ref="Z45:Z48" si="81">Y45/F45</f>
        <v>#DIV/0!</v>
      </c>
      <c r="AA45" s="228"/>
      <c r="AB45" s="100" t="e">
        <f t="shared" ref="AB45:AB48" si="82">AA45/$F45</f>
        <v>#DIV/0!</v>
      </c>
      <c r="AC45" s="221">
        <f t="shared" ref="AC45:AC48" si="83">SUM(Y45+AA45)</f>
        <v>0</v>
      </c>
      <c r="AD45" s="100" t="e">
        <f t="shared" ref="AD45:AD48" si="84">AC45/F45</f>
        <v>#DIV/0!</v>
      </c>
      <c r="AE45" s="228"/>
      <c r="AF45" s="100" t="e">
        <f t="shared" ref="AF45:AF48" si="85">AE45/F45</f>
        <v>#DIV/0!</v>
      </c>
      <c r="AG45" s="228"/>
      <c r="AH45" s="100" t="e">
        <f t="shared" ref="AH45:AH48" si="86">AG45/F45</f>
        <v>#DIV/0!</v>
      </c>
      <c r="AI45" s="228"/>
      <c r="AJ45" s="100" t="e">
        <f t="shared" ref="AJ45:AJ48" si="87">AI45/F45</f>
        <v>#DIV/0!</v>
      </c>
      <c r="AK45" s="228"/>
      <c r="AL45" s="100" t="e">
        <f t="shared" ref="AL45:AL48" si="88">AK45/F45</f>
        <v>#DIV/0!</v>
      </c>
    </row>
    <row r="46" spans="2:38" ht="14.25">
      <c r="B46" s="97"/>
      <c r="C46" s="83"/>
      <c r="D46" s="344"/>
      <c r="E46" s="344"/>
      <c r="F46" s="222">
        <f t="shared" si="70"/>
        <v>0</v>
      </c>
      <c r="G46" s="222"/>
      <c r="H46" s="96"/>
      <c r="I46" s="228"/>
      <c r="J46" s="100" t="e">
        <f t="shared" si="71"/>
        <v>#DIV/0!</v>
      </c>
      <c r="K46" s="228"/>
      <c r="L46" s="100" t="e">
        <f t="shared" si="72"/>
        <v>#DIV/0!</v>
      </c>
      <c r="M46" s="221">
        <f t="shared" si="73"/>
        <v>0</v>
      </c>
      <c r="N46" s="100" t="e">
        <f t="shared" si="74"/>
        <v>#DIV/0!</v>
      </c>
      <c r="O46" s="228"/>
      <c r="P46" s="100" t="e">
        <f t="shared" si="75"/>
        <v>#DIV/0!</v>
      </c>
      <c r="Q46" s="228"/>
      <c r="R46" s="100" t="e">
        <f t="shared" si="76"/>
        <v>#DIV/0!</v>
      </c>
      <c r="S46" s="221">
        <f t="shared" si="77"/>
        <v>0</v>
      </c>
      <c r="T46" s="100" t="e">
        <f t="shared" si="78"/>
        <v>#DIV/0!</v>
      </c>
      <c r="U46" s="228"/>
      <c r="V46" s="100" t="e">
        <f t="shared" si="79"/>
        <v>#DIV/0!</v>
      </c>
      <c r="W46" s="228"/>
      <c r="X46" s="100" t="e">
        <f t="shared" si="80"/>
        <v>#DIV/0!</v>
      </c>
      <c r="Y46" s="228"/>
      <c r="Z46" s="100" t="e">
        <f t="shared" si="81"/>
        <v>#DIV/0!</v>
      </c>
      <c r="AA46" s="228"/>
      <c r="AB46" s="100" t="e">
        <f t="shared" si="82"/>
        <v>#DIV/0!</v>
      </c>
      <c r="AC46" s="221">
        <f t="shared" si="83"/>
        <v>0</v>
      </c>
      <c r="AD46" s="100" t="e">
        <f t="shared" si="84"/>
        <v>#DIV/0!</v>
      </c>
      <c r="AE46" s="228"/>
      <c r="AF46" s="100" t="e">
        <f t="shared" si="85"/>
        <v>#DIV/0!</v>
      </c>
      <c r="AG46" s="228"/>
      <c r="AH46" s="100" t="e">
        <f t="shared" si="86"/>
        <v>#DIV/0!</v>
      </c>
      <c r="AI46" s="228"/>
      <c r="AJ46" s="100" t="e">
        <f t="shared" si="87"/>
        <v>#DIV/0!</v>
      </c>
      <c r="AK46" s="228"/>
      <c r="AL46" s="100" t="e">
        <f t="shared" si="88"/>
        <v>#DIV/0!</v>
      </c>
    </row>
    <row r="47" spans="2:38" ht="14.25">
      <c r="B47" s="97"/>
      <c r="C47" s="83"/>
      <c r="D47" s="344"/>
      <c r="E47" s="344"/>
      <c r="F47" s="222">
        <f t="shared" si="70"/>
        <v>0</v>
      </c>
      <c r="G47" s="222"/>
      <c r="H47" s="96"/>
      <c r="I47" s="228"/>
      <c r="J47" s="100" t="e">
        <f t="shared" si="71"/>
        <v>#DIV/0!</v>
      </c>
      <c r="K47" s="228"/>
      <c r="L47" s="100" t="e">
        <f t="shared" si="72"/>
        <v>#DIV/0!</v>
      </c>
      <c r="M47" s="221">
        <f t="shared" si="73"/>
        <v>0</v>
      </c>
      <c r="N47" s="100" t="e">
        <f t="shared" si="74"/>
        <v>#DIV/0!</v>
      </c>
      <c r="O47" s="228"/>
      <c r="P47" s="100" t="e">
        <f t="shared" si="75"/>
        <v>#DIV/0!</v>
      </c>
      <c r="Q47" s="228"/>
      <c r="R47" s="100" t="e">
        <f t="shared" si="76"/>
        <v>#DIV/0!</v>
      </c>
      <c r="S47" s="221">
        <f t="shared" si="77"/>
        <v>0</v>
      </c>
      <c r="T47" s="100" t="e">
        <f t="shared" si="78"/>
        <v>#DIV/0!</v>
      </c>
      <c r="U47" s="228"/>
      <c r="V47" s="100" t="e">
        <f t="shared" si="79"/>
        <v>#DIV/0!</v>
      </c>
      <c r="W47" s="228"/>
      <c r="X47" s="100" t="e">
        <f t="shared" si="80"/>
        <v>#DIV/0!</v>
      </c>
      <c r="Y47" s="228"/>
      <c r="Z47" s="100" t="e">
        <f t="shared" si="81"/>
        <v>#DIV/0!</v>
      </c>
      <c r="AA47" s="228"/>
      <c r="AB47" s="100" t="e">
        <f t="shared" si="82"/>
        <v>#DIV/0!</v>
      </c>
      <c r="AC47" s="221">
        <f t="shared" si="83"/>
        <v>0</v>
      </c>
      <c r="AD47" s="100" t="e">
        <f t="shared" si="84"/>
        <v>#DIV/0!</v>
      </c>
      <c r="AE47" s="228"/>
      <c r="AF47" s="100" t="e">
        <f t="shared" si="85"/>
        <v>#DIV/0!</v>
      </c>
      <c r="AG47" s="228"/>
      <c r="AH47" s="100" t="e">
        <f t="shared" si="86"/>
        <v>#DIV/0!</v>
      </c>
      <c r="AI47" s="228"/>
      <c r="AJ47" s="100" t="e">
        <f t="shared" si="87"/>
        <v>#DIV/0!</v>
      </c>
      <c r="AK47" s="228"/>
      <c r="AL47" s="100" t="e">
        <f t="shared" si="88"/>
        <v>#DIV/0!</v>
      </c>
    </row>
    <row r="48" spans="2:38" ht="14.25">
      <c r="B48" s="97"/>
      <c r="C48" s="83"/>
      <c r="D48" s="344"/>
      <c r="E48" s="344"/>
      <c r="F48" s="222">
        <f t="shared" si="70"/>
        <v>0</v>
      </c>
      <c r="G48" s="222"/>
      <c r="H48" s="96"/>
      <c r="I48" s="228"/>
      <c r="J48" s="100" t="e">
        <f t="shared" si="71"/>
        <v>#DIV/0!</v>
      </c>
      <c r="K48" s="228"/>
      <c r="L48" s="100" t="e">
        <f t="shared" si="72"/>
        <v>#DIV/0!</v>
      </c>
      <c r="M48" s="221">
        <f t="shared" si="73"/>
        <v>0</v>
      </c>
      <c r="N48" s="100" t="e">
        <f t="shared" si="74"/>
        <v>#DIV/0!</v>
      </c>
      <c r="O48" s="228"/>
      <c r="P48" s="100" t="e">
        <f t="shared" si="75"/>
        <v>#DIV/0!</v>
      </c>
      <c r="Q48" s="228"/>
      <c r="R48" s="100" t="e">
        <f t="shared" si="76"/>
        <v>#DIV/0!</v>
      </c>
      <c r="S48" s="221">
        <f t="shared" si="77"/>
        <v>0</v>
      </c>
      <c r="T48" s="100" t="e">
        <f t="shared" si="78"/>
        <v>#DIV/0!</v>
      </c>
      <c r="U48" s="228"/>
      <c r="V48" s="100" t="e">
        <f t="shared" si="79"/>
        <v>#DIV/0!</v>
      </c>
      <c r="W48" s="228"/>
      <c r="X48" s="100" t="e">
        <f t="shared" si="80"/>
        <v>#DIV/0!</v>
      </c>
      <c r="Y48" s="228"/>
      <c r="Z48" s="100" t="e">
        <f t="shared" si="81"/>
        <v>#DIV/0!</v>
      </c>
      <c r="AA48" s="228"/>
      <c r="AB48" s="100" t="e">
        <f t="shared" si="82"/>
        <v>#DIV/0!</v>
      </c>
      <c r="AC48" s="221">
        <f t="shared" si="83"/>
        <v>0</v>
      </c>
      <c r="AD48" s="100" t="e">
        <f t="shared" si="84"/>
        <v>#DIV/0!</v>
      </c>
      <c r="AE48" s="228"/>
      <c r="AF48" s="100" t="e">
        <f t="shared" si="85"/>
        <v>#DIV/0!</v>
      </c>
      <c r="AG48" s="228"/>
      <c r="AH48" s="100" t="e">
        <f t="shared" si="86"/>
        <v>#DIV/0!</v>
      </c>
      <c r="AI48" s="228"/>
      <c r="AJ48" s="100" t="e">
        <f t="shared" si="87"/>
        <v>#DIV/0!</v>
      </c>
      <c r="AK48" s="228"/>
      <c r="AL48" s="100" t="e">
        <f t="shared" si="88"/>
        <v>#DIV/0!</v>
      </c>
    </row>
    <row r="49" spans="1:46" ht="14.25">
      <c r="B49" s="97"/>
      <c r="C49" s="83"/>
      <c r="D49" s="344"/>
      <c r="E49" s="344"/>
      <c r="F49" s="222">
        <f t="shared" si="19"/>
        <v>0</v>
      </c>
      <c r="G49" s="222"/>
      <c r="H49" s="96"/>
      <c r="I49" s="228"/>
      <c r="J49" s="100" t="e">
        <f>I49/F49</f>
        <v>#DIV/0!</v>
      </c>
      <c r="K49" s="228"/>
      <c r="L49" s="100" t="e">
        <f>K49/F49</f>
        <v>#DIV/0!</v>
      </c>
      <c r="M49" s="221">
        <f>SUM(I49+K49)</f>
        <v>0</v>
      </c>
      <c r="N49" s="100" t="e">
        <f>M49/F49</f>
        <v>#DIV/0!</v>
      </c>
      <c r="O49" s="228"/>
      <c r="P49" s="100" t="e">
        <f>O49/F49</f>
        <v>#DIV/0!</v>
      </c>
      <c r="Q49" s="228"/>
      <c r="R49" s="100" t="e">
        <f t="shared" si="48"/>
        <v>#DIV/0!</v>
      </c>
      <c r="S49" s="221">
        <f t="shared" si="49"/>
        <v>0</v>
      </c>
      <c r="T49" s="100" t="e">
        <f>S49/F49</f>
        <v>#DIV/0!</v>
      </c>
      <c r="U49" s="228"/>
      <c r="V49" s="100" t="e">
        <f>U49/F49</f>
        <v>#DIV/0!</v>
      </c>
      <c r="W49" s="228"/>
      <c r="X49" s="100" t="e">
        <f>W49/F49</f>
        <v>#DIV/0!</v>
      </c>
      <c r="Y49" s="228"/>
      <c r="Z49" s="100" t="e">
        <f>Y49/F49</f>
        <v>#DIV/0!</v>
      </c>
      <c r="AA49" s="228"/>
      <c r="AB49" s="100" t="e">
        <f t="shared" si="64"/>
        <v>#DIV/0!</v>
      </c>
      <c r="AC49" s="221">
        <f>SUM(Y49+AA49)</f>
        <v>0</v>
      </c>
      <c r="AD49" s="100" t="e">
        <f>AC49/F49</f>
        <v>#DIV/0!</v>
      </c>
      <c r="AE49" s="228"/>
      <c r="AF49" s="100" t="e">
        <f>AE49/F49</f>
        <v>#DIV/0!</v>
      </c>
      <c r="AG49" s="228"/>
      <c r="AH49" s="100" t="e">
        <f>AG49/F49</f>
        <v>#DIV/0!</v>
      </c>
      <c r="AI49" s="228"/>
      <c r="AJ49" s="100" t="e">
        <f>AI49/F49</f>
        <v>#DIV/0!</v>
      </c>
      <c r="AK49" s="228"/>
      <c r="AL49" s="100" t="e">
        <f>AK49/F49</f>
        <v>#DIV/0!</v>
      </c>
    </row>
    <row r="50" spans="1:46" ht="14.25">
      <c r="B50" s="97"/>
      <c r="C50" s="83"/>
      <c r="D50" s="344"/>
      <c r="E50" s="344"/>
      <c r="F50" s="96"/>
      <c r="G50" s="96"/>
      <c r="H50" s="96"/>
      <c r="I50" s="262">
        <f>SUM(I7:I49)</f>
        <v>11121288.668471808</v>
      </c>
      <c r="J50" s="258">
        <f>I50/$H$12</f>
        <v>0.101780918205627</v>
      </c>
      <c r="K50" s="262">
        <f>SUM(K7:K49)</f>
        <v>15309119.950949902</v>
      </c>
      <c r="L50" s="258">
        <f>K50/$H$12</f>
        <v>0.14010752997942599</v>
      </c>
      <c r="M50" s="262">
        <f>SUM(M8:M49)</f>
        <v>24344326.961564843</v>
      </c>
      <c r="N50" s="258" t="e">
        <f>M50/$H$8</f>
        <v>#DIV/0!</v>
      </c>
      <c r="O50" s="262">
        <f>SUM(O7:O49)</f>
        <v>4262150.9577884898</v>
      </c>
      <c r="P50" s="258">
        <f>O50/$H$12</f>
        <v>3.9006777986486246E-2</v>
      </c>
      <c r="Q50" s="262">
        <f>SUM(Q7:Q49)</f>
        <v>0</v>
      </c>
      <c r="R50" s="258">
        <f>Q50/$H$12</f>
        <v>0</v>
      </c>
      <c r="S50" s="262">
        <f>SUM(S8:S49)</f>
        <v>3880164.497045455</v>
      </c>
      <c r="T50" s="258" t="e">
        <f>S50/$H$8</f>
        <v>#DIV/0!</v>
      </c>
      <c r="U50" s="262">
        <f>SUM(U7:U49)</f>
        <v>13532851.388391584</v>
      </c>
      <c r="V50" s="258">
        <f>U50/$H$12</f>
        <v>0.12385129829024195</v>
      </c>
      <c r="W50" s="262">
        <f>SUM(W7:W49)</f>
        <v>0</v>
      </c>
      <c r="X50" s="258">
        <f>W50/$H$12</f>
        <v>0</v>
      </c>
      <c r="Y50" s="262">
        <f>SUM(Y7:Y49)</f>
        <v>10236996.656090293</v>
      </c>
      <c r="Z50" s="258">
        <f>Y50/$H$12</f>
        <v>9.3687966420529623E-2</v>
      </c>
      <c r="AA50" s="262">
        <f>SUM(AA7:AA49)</f>
        <v>16012318.868152864</v>
      </c>
      <c r="AB50" s="258">
        <f>AA50/$H$12</f>
        <v>0.14654313592471749</v>
      </c>
      <c r="AC50" s="262">
        <f>SUM(AC8:AC49)</f>
        <v>24063071.52186079</v>
      </c>
      <c r="AD50" s="258" t="e">
        <f>AC50/$H$8</f>
        <v>#DIV/0!</v>
      </c>
      <c r="AE50" s="262">
        <f>SUM(AE7:AE49)</f>
        <v>18950933.606855266</v>
      </c>
      <c r="AF50" s="258">
        <f>AE50/$H$12</f>
        <v>0.17343704321134656</v>
      </c>
      <c r="AG50" s="262">
        <f>SUM(AG7:AG49)</f>
        <v>7820509.0448431289</v>
      </c>
      <c r="AH50" s="258">
        <f>AG50/$H$12</f>
        <v>7.1572514224551756E-2</v>
      </c>
      <c r="AI50" s="262">
        <f>SUM(AI7:AI49)</f>
        <v>12559052.709464069</v>
      </c>
      <c r="AJ50" s="258">
        <f>AI50/$H$12</f>
        <v>0.11493919047222878</v>
      </c>
      <c r="AK50" s="262">
        <f>SUM(AK7:AK49)</f>
        <v>8904494.1489925869</v>
      </c>
      <c r="AL50" s="258">
        <f>AK50/$H$12</f>
        <v>8.1493037152288547E-2</v>
      </c>
    </row>
    <row r="51" spans="1:46" ht="14.25">
      <c r="B51" s="97"/>
      <c r="C51" s="83"/>
      <c r="D51" s="344"/>
      <c r="E51" s="344"/>
      <c r="F51" s="96"/>
      <c r="G51" s="96"/>
      <c r="H51" s="96"/>
      <c r="I51" s="259"/>
      <c r="J51" s="260"/>
      <c r="K51" s="259"/>
      <c r="L51" s="260"/>
      <c r="M51" s="261">
        <f>M50</f>
        <v>24344326.961564843</v>
      </c>
      <c r="N51" s="260"/>
      <c r="O51" s="259"/>
      <c r="P51" s="260"/>
      <c r="Q51" s="259"/>
      <c r="R51" s="260"/>
      <c r="S51" s="261">
        <f>S50</f>
        <v>3880164.497045455</v>
      </c>
      <c r="T51" s="260"/>
      <c r="U51" s="261">
        <f>U50</f>
        <v>13532851.388391584</v>
      </c>
      <c r="V51" s="260"/>
      <c r="W51" s="261">
        <f>W50</f>
        <v>0</v>
      </c>
      <c r="X51" s="260"/>
      <c r="Y51" s="259"/>
      <c r="Z51" s="260"/>
      <c r="AA51" s="259"/>
      <c r="AB51" s="260"/>
      <c r="AC51" s="261">
        <f>AC50</f>
        <v>24063071.52186079</v>
      </c>
      <c r="AD51" s="260"/>
      <c r="AE51" s="261">
        <f>AE50</f>
        <v>18950933.606855266</v>
      </c>
      <c r="AF51" s="260"/>
      <c r="AG51" s="261">
        <f>AG50</f>
        <v>7820509.0448431289</v>
      </c>
      <c r="AH51" s="260"/>
      <c r="AI51" s="261">
        <f>AI50</f>
        <v>12559052.709464069</v>
      </c>
      <c r="AJ51" s="260"/>
      <c r="AK51" s="261">
        <f>AK50</f>
        <v>8904494.1489925869</v>
      </c>
      <c r="AL51" s="260"/>
    </row>
    <row r="52" spans="1:46" ht="14.25">
      <c r="B52" s="97"/>
      <c r="C52" s="83"/>
      <c r="D52" s="344"/>
      <c r="E52" s="344"/>
      <c r="F52" s="96"/>
      <c r="G52" s="96"/>
      <c r="H52" s="96"/>
    </row>
    <row r="53" spans="1:46" ht="14.25">
      <c r="B53" s="97"/>
      <c r="C53" s="83"/>
      <c r="D53" s="84"/>
      <c r="F53" s="96"/>
      <c r="G53" s="96"/>
      <c r="H53" s="96"/>
    </row>
    <row r="54" spans="1:46" s="84" customFormat="1" ht="14.25">
      <c r="A54" s="77"/>
      <c r="B54" s="97"/>
      <c r="C54" s="83"/>
      <c r="F54" s="101"/>
      <c r="G54" s="101"/>
      <c r="H54" s="101"/>
      <c r="I54" s="96"/>
      <c r="J54" s="89"/>
      <c r="K54" s="96"/>
      <c r="L54" s="89"/>
      <c r="M54" s="89"/>
      <c r="N54" s="89"/>
      <c r="O54" s="96"/>
      <c r="P54" s="89"/>
      <c r="Q54" s="96"/>
      <c r="R54" s="89"/>
      <c r="S54" s="96"/>
      <c r="T54" s="89"/>
      <c r="U54" s="96"/>
      <c r="V54" s="89"/>
      <c r="W54" s="96"/>
      <c r="X54" s="89"/>
      <c r="Y54" s="96"/>
      <c r="Z54" s="89"/>
      <c r="AA54" s="96"/>
      <c r="AB54" s="89"/>
      <c r="AC54" s="96"/>
      <c r="AD54" s="89"/>
      <c r="AE54" s="96"/>
      <c r="AF54" s="89"/>
      <c r="AG54" s="96"/>
      <c r="AH54" s="89"/>
      <c r="AI54" s="96"/>
      <c r="AJ54" s="89"/>
      <c r="AK54" s="96"/>
      <c r="AL54" s="89"/>
      <c r="AM54" s="77"/>
      <c r="AN54" s="77"/>
      <c r="AO54" s="77"/>
      <c r="AP54" s="77"/>
      <c r="AQ54" s="77"/>
      <c r="AR54" s="77"/>
      <c r="AS54" s="77"/>
      <c r="AT54" s="77"/>
    </row>
    <row r="55" spans="1:46" s="84" customFormat="1" ht="14.25">
      <c r="A55" s="77"/>
      <c r="B55" s="97"/>
      <c r="C55" s="83"/>
      <c r="F55" s="101"/>
      <c r="G55" s="101"/>
      <c r="H55" s="101"/>
      <c r="I55" s="96"/>
      <c r="J55" s="89"/>
      <c r="K55" s="96"/>
      <c r="L55" s="89"/>
      <c r="M55" s="89"/>
      <c r="N55" s="89"/>
      <c r="O55" s="96"/>
      <c r="P55" s="89"/>
      <c r="Q55" s="96"/>
      <c r="R55" s="89"/>
      <c r="S55" s="96"/>
      <c r="T55" s="89"/>
      <c r="U55" s="96"/>
      <c r="V55" s="89"/>
      <c r="W55" s="96"/>
      <c r="X55" s="89"/>
      <c r="Y55" s="96"/>
      <c r="Z55" s="89"/>
      <c r="AA55" s="96"/>
      <c r="AB55" s="89"/>
      <c r="AC55" s="96"/>
      <c r="AD55" s="89"/>
      <c r="AE55" s="96"/>
      <c r="AF55" s="89"/>
      <c r="AG55" s="96"/>
      <c r="AH55" s="89"/>
      <c r="AI55" s="96"/>
      <c r="AJ55" s="89"/>
      <c r="AK55" s="96"/>
      <c r="AL55" s="89"/>
      <c r="AM55" s="77"/>
      <c r="AN55" s="77"/>
      <c r="AO55" s="77"/>
      <c r="AP55" s="77"/>
      <c r="AQ55" s="77"/>
      <c r="AR55" s="77"/>
      <c r="AS55" s="77"/>
      <c r="AT55" s="77"/>
    </row>
    <row r="56" spans="1:46" s="84" customFormat="1" ht="14.25">
      <c r="A56" s="77"/>
      <c r="B56" s="97"/>
      <c r="C56" s="83"/>
      <c r="F56" s="101"/>
      <c r="G56" s="101"/>
      <c r="H56" s="101"/>
      <c r="I56" s="96"/>
      <c r="J56" s="89"/>
      <c r="K56" s="96"/>
      <c r="L56" s="89"/>
      <c r="M56" s="89"/>
      <c r="N56" s="89"/>
      <c r="O56" s="96"/>
      <c r="P56" s="89"/>
      <c r="Q56" s="96"/>
      <c r="R56" s="89"/>
      <c r="S56" s="96"/>
      <c r="T56" s="89"/>
      <c r="U56" s="96"/>
      <c r="V56" s="89"/>
      <c r="W56" s="96"/>
      <c r="X56" s="89"/>
      <c r="Y56" s="96"/>
      <c r="Z56" s="89"/>
      <c r="AA56" s="96"/>
      <c r="AB56" s="89"/>
      <c r="AC56" s="96"/>
      <c r="AD56" s="89"/>
      <c r="AE56" s="96"/>
      <c r="AF56" s="89"/>
      <c r="AG56" s="96"/>
      <c r="AH56" s="89"/>
      <c r="AI56" s="96"/>
      <c r="AJ56" s="89"/>
      <c r="AK56" s="96"/>
      <c r="AL56" s="89"/>
      <c r="AM56" s="77"/>
      <c r="AN56" s="77"/>
      <c r="AO56" s="77"/>
      <c r="AP56" s="77"/>
      <c r="AQ56" s="77"/>
      <c r="AR56" s="77"/>
      <c r="AS56" s="77"/>
      <c r="AT56" s="77"/>
    </row>
    <row r="57" spans="1:46" s="84" customFormat="1" ht="14.25">
      <c r="A57" s="77"/>
      <c r="B57" s="97"/>
      <c r="C57" s="83"/>
      <c r="F57" s="101"/>
      <c r="G57" s="101"/>
      <c r="H57" s="101"/>
      <c r="I57" s="96"/>
      <c r="J57" s="89"/>
      <c r="K57" s="96"/>
      <c r="L57" s="89"/>
      <c r="M57" s="89"/>
      <c r="N57" s="89"/>
      <c r="O57" s="96"/>
      <c r="P57" s="89"/>
      <c r="Q57" s="96"/>
      <c r="R57" s="89"/>
      <c r="S57" s="96"/>
      <c r="T57" s="89"/>
      <c r="U57" s="96"/>
      <c r="V57" s="89"/>
      <c r="W57" s="96"/>
      <c r="X57" s="89"/>
      <c r="Y57" s="96"/>
      <c r="Z57" s="89"/>
      <c r="AA57" s="96"/>
      <c r="AB57" s="89"/>
      <c r="AC57" s="96"/>
      <c r="AD57" s="89"/>
      <c r="AE57" s="96"/>
      <c r="AF57" s="89"/>
      <c r="AG57" s="96"/>
      <c r="AH57" s="89"/>
      <c r="AI57" s="96"/>
      <c r="AJ57" s="89"/>
      <c r="AK57" s="96"/>
      <c r="AL57" s="89"/>
      <c r="AM57" s="77"/>
      <c r="AN57" s="77"/>
      <c r="AO57" s="77"/>
      <c r="AP57" s="77"/>
      <c r="AQ57" s="77"/>
      <c r="AR57" s="77"/>
      <c r="AS57" s="77"/>
      <c r="AT57" s="77"/>
    </row>
    <row r="58" spans="1:46" s="84" customFormat="1" ht="14.25">
      <c r="A58" s="77"/>
      <c r="B58" s="97"/>
      <c r="C58" s="83"/>
      <c r="F58" s="101"/>
      <c r="G58" s="101"/>
      <c r="H58" s="101"/>
      <c r="I58" s="96"/>
      <c r="J58" s="89"/>
      <c r="K58" s="96"/>
      <c r="L58" s="89"/>
      <c r="M58" s="89"/>
      <c r="N58" s="89"/>
      <c r="O58" s="96"/>
      <c r="P58" s="89"/>
      <c r="Q58" s="96"/>
      <c r="R58" s="89"/>
      <c r="S58" s="96"/>
      <c r="T58" s="89"/>
      <c r="U58" s="96"/>
      <c r="V58" s="89"/>
      <c r="W58" s="96"/>
      <c r="X58" s="89"/>
      <c r="Y58" s="96"/>
      <c r="Z58" s="89"/>
      <c r="AA58" s="96"/>
      <c r="AB58" s="89"/>
      <c r="AC58" s="96"/>
      <c r="AD58" s="89"/>
      <c r="AE58" s="96"/>
      <c r="AF58" s="89"/>
      <c r="AG58" s="96"/>
      <c r="AH58" s="89"/>
      <c r="AI58" s="96"/>
      <c r="AJ58" s="89"/>
      <c r="AK58" s="96"/>
      <c r="AL58" s="89"/>
      <c r="AM58" s="77"/>
      <c r="AN58" s="77"/>
      <c r="AO58" s="77"/>
      <c r="AP58" s="77"/>
      <c r="AQ58" s="77"/>
      <c r="AR58" s="77"/>
      <c r="AS58" s="77"/>
      <c r="AT58" s="77"/>
    </row>
    <row r="59" spans="1:46" s="84" customFormat="1" ht="14.25">
      <c r="A59" s="77"/>
      <c r="B59" s="97"/>
      <c r="C59" s="83"/>
      <c r="F59" s="101"/>
      <c r="G59" s="101"/>
      <c r="H59" s="101"/>
      <c r="I59" s="96"/>
      <c r="J59" s="89"/>
      <c r="K59" s="96"/>
      <c r="L59" s="89"/>
      <c r="M59" s="89"/>
      <c r="N59" s="89"/>
      <c r="O59" s="96"/>
      <c r="P59" s="89"/>
      <c r="Q59" s="96"/>
      <c r="R59" s="89"/>
      <c r="S59" s="96"/>
      <c r="T59" s="89"/>
      <c r="U59" s="96"/>
      <c r="V59" s="89"/>
      <c r="W59" s="96"/>
      <c r="X59" s="89"/>
      <c r="Y59" s="96"/>
      <c r="Z59" s="89"/>
      <c r="AA59" s="96"/>
      <c r="AB59" s="89"/>
      <c r="AC59" s="96"/>
      <c r="AD59" s="89"/>
      <c r="AE59" s="96"/>
      <c r="AF59" s="89"/>
      <c r="AG59" s="96"/>
      <c r="AH59" s="89"/>
      <c r="AI59" s="96"/>
      <c r="AJ59" s="89"/>
      <c r="AK59" s="96"/>
      <c r="AL59" s="89"/>
      <c r="AM59" s="77"/>
      <c r="AN59" s="77"/>
      <c r="AO59" s="77"/>
      <c r="AP59" s="77"/>
      <c r="AQ59" s="77"/>
      <c r="AR59" s="77"/>
      <c r="AS59" s="77"/>
      <c r="AT59" s="77"/>
    </row>
    <row r="60" spans="1:46" s="84" customFormat="1" ht="14.25">
      <c r="A60" s="77"/>
      <c r="B60" s="97"/>
      <c r="C60" s="83"/>
      <c r="F60" s="101"/>
      <c r="G60" s="101"/>
      <c r="H60" s="101"/>
      <c r="I60" s="96"/>
      <c r="J60" s="89"/>
      <c r="K60" s="96"/>
      <c r="L60" s="89"/>
      <c r="M60" s="89"/>
      <c r="N60" s="89"/>
      <c r="O60" s="96"/>
      <c r="P60" s="89"/>
      <c r="Q60" s="96"/>
      <c r="R60" s="89"/>
      <c r="S60" s="96"/>
      <c r="T60" s="89"/>
      <c r="U60" s="96"/>
      <c r="V60" s="89"/>
      <c r="W60" s="96"/>
      <c r="X60" s="89"/>
      <c r="Y60" s="96"/>
      <c r="Z60" s="89"/>
      <c r="AA60" s="96"/>
      <c r="AB60" s="89"/>
      <c r="AC60" s="96"/>
      <c r="AD60" s="89"/>
      <c r="AE60" s="96"/>
      <c r="AF60" s="89"/>
      <c r="AG60" s="96"/>
      <c r="AH60" s="89"/>
      <c r="AI60" s="96"/>
      <c r="AJ60" s="89"/>
      <c r="AK60" s="96"/>
      <c r="AL60" s="89"/>
      <c r="AM60" s="77"/>
      <c r="AN60" s="77"/>
      <c r="AO60" s="77"/>
      <c r="AP60" s="77"/>
      <c r="AQ60" s="77"/>
      <c r="AR60" s="77"/>
      <c r="AS60" s="77"/>
      <c r="AT60" s="77"/>
    </row>
    <row r="61" spans="1:46" s="84" customFormat="1" ht="14.25">
      <c r="A61" s="77"/>
      <c r="B61" s="97"/>
      <c r="C61" s="83"/>
      <c r="F61" s="101"/>
      <c r="G61" s="101"/>
      <c r="H61" s="101"/>
      <c r="I61" s="96"/>
      <c r="J61" s="89"/>
      <c r="K61" s="96"/>
      <c r="L61" s="89"/>
      <c r="M61" s="89"/>
      <c r="N61" s="89"/>
      <c r="O61" s="96"/>
      <c r="P61" s="89"/>
      <c r="Q61" s="96"/>
      <c r="R61" s="89"/>
      <c r="S61" s="96"/>
      <c r="T61" s="89"/>
      <c r="U61" s="96"/>
      <c r="V61" s="89"/>
      <c r="W61" s="96"/>
      <c r="X61" s="89"/>
      <c r="Y61" s="96"/>
      <c r="Z61" s="89"/>
      <c r="AA61" s="96"/>
      <c r="AB61" s="89"/>
      <c r="AC61" s="96"/>
      <c r="AD61" s="89"/>
      <c r="AE61" s="96"/>
      <c r="AF61" s="89"/>
      <c r="AG61" s="96"/>
      <c r="AH61" s="89"/>
      <c r="AI61" s="96"/>
      <c r="AJ61" s="89"/>
      <c r="AK61" s="96"/>
      <c r="AL61" s="89"/>
      <c r="AM61" s="77"/>
      <c r="AN61" s="77"/>
      <c r="AO61" s="77"/>
      <c r="AP61" s="77"/>
      <c r="AQ61" s="77"/>
      <c r="AR61" s="77"/>
      <c r="AS61" s="77"/>
      <c r="AT61" s="77"/>
    </row>
    <row r="62" spans="1:46" s="84" customFormat="1" ht="14.25">
      <c r="A62" s="77"/>
      <c r="B62" s="97"/>
      <c r="C62" s="83"/>
      <c r="F62" s="101"/>
      <c r="G62" s="101"/>
      <c r="H62" s="101"/>
      <c r="I62" s="96"/>
      <c r="J62" s="89"/>
      <c r="K62" s="96"/>
      <c r="L62" s="89"/>
      <c r="M62" s="89"/>
      <c r="N62" s="89"/>
      <c r="O62" s="96"/>
      <c r="P62" s="89"/>
      <c r="Q62" s="96"/>
      <c r="R62" s="89"/>
      <c r="S62" s="96"/>
      <c r="T62" s="89"/>
      <c r="U62" s="96"/>
      <c r="V62" s="89"/>
      <c r="W62" s="96"/>
      <c r="X62" s="89"/>
      <c r="Y62" s="96"/>
      <c r="Z62" s="89"/>
      <c r="AA62" s="96"/>
      <c r="AB62" s="89"/>
      <c r="AC62" s="96"/>
      <c r="AD62" s="89"/>
      <c r="AE62" s="96"/>
      <c r="AF62" s="89"/>
      <c r="AG62" s="96"/>
      <c r="AH62" s="89"/>
      <c r="AI62" s="96"/>
      <c r="AJ62" s="89"/>
      <c r="AK62" s="96"/>
      <c r="AL62" s="89"/>
      <c r="AM62" s="77"/>
      <c r="AN62" s="77"/>
      <c r="AO62" s="77"/>
      <c r="AP62" s="77"/>
      <c r="AQ62" s="77"/>
      <c r="AR62" s="77"/>
      <c r="AS62" s="77"/>
      <c r="AT62" s="77"/>
    </row>
    <row r="63" spans="1:46" s="84" customFormat="1" ht="14.25">
      <c r="A63" s="77"/>
      <c r="B63" s="97"/>
      <c r="C63" s="83"/>
      <c r="F63" s="101"/>
      <c r="G63" s="101"/>
      <c r="H63" s="101"/>
      <c r="I63" s="96"/>
      <c r="J63" s="89"/>
      <c r="K63" s="96"/>
      <c r="L63" s="89"/>
      <c r="M63" s="89"/>
      <c r="N63" s="89"/>
      <c r="O63" s="96"/>
      <c r="P63" s="89"/>
      <c r="Q63" s="96"/>
      <c r="R63" s="89"/>
      <c r="S63" s="96"/>
      <c r="T63" s="89"/>
      <c r="U63" s="96"/>
      <c r="V63" s="89"/>
      <c r="W63" s="96"/>
      <c r="X63" s="89"/>
      <c r="Y63" s="96"/>
      <c r="Z63" s="89"/>
      <c r="AA63" s="96"/>
      <c r="AB63" s="89"/>
      <c r="AC63" s="96"/>
      <c r="AD63" s="89"/>
      <c r="AE63" s="96"/>
      <c r="AF63" s="89"/>
      <c r="AG63" s="96"/>
      <c r="AH63" s="89"/>
      <c r="AI63" s="96"/>
      <c r="AJ63" s="89"/>
      <c r="AK63" s="96"/>
      <c r="AL63" s="89"/>
      <c r="AM63" s="77"/>
      <c r="AN63" s="77"/>
      <c r="AO63" s="77"/>
      <c r="AP63" s="77"/>
      <c r="AQ63" s="77"/>
      <c r="AR63" s="77"/>
      <c r="AS63" s="77"/>
      <c r="AT63" s="77"/>
    </row>
    <row r="64" spans="1:46" s="84" customFormat="1" ht="14.25">
      <c r="A64" s="77"/>
      <c r="B64" s="97"/>
      <c r="C64" s="83"/>
      <c r="F64" s="101"/>
      <c r="G64" s="101"/>
      <c r="H64" s="101"/>
      <c r="I64" s="96"/>
      <c r="J64" s="89"/>
      <c r="K64" s="96"/>
      <c r="L64" s="89"/>
      <c r="M64" s="89"/>
      <c r="N64" s="89"/>
      <c r="O64" s="96"/>
      <c r="P64" s="89"/>
      <c r="Q64" s="96"/>
      <c r="R64" s="89"/>
      <c r="S64" s="96"/>
      <c r="T64" s="89"/>
      <c r="U64" s="96"/>
      <c r="V64" s="89"/>
      <c r="W64" s="96"/>
      <c r="X64" s="89"/>
      <c r="Y64" s="96"/>
      <c r="Z64" s="89"/>
      <c r="AA64" s="96"/>
      <c r="AB64" s="89"/>
      <c r="AC64" s="96"/>
      <c r="AD64" s="89"/>
      <c r="AE64" s="96"/>
      <c r="AF64" s="89"/>
      <c r="AG64" s="96"/>
      <c r="AH64" s="89"/>
      <c r="AI64" s="96"/>
      <c r="AJ64" s="89"/>
      <c r="AK64" s="96"/>
      <c r="AL64" s="89"/>
      <c r="AM64" s="77"/>
      <c r="AN64" s="77"/>
      <c r="AO64" s="77"/>
      <c r="AP64" s="77"/>
      <c r="AQ64" s="77"/>
      <c r="AR64" s="77"/>
      <c r="AS64" s="77"/>
      <c r="AT64" s="77"/>
    </row>
    <row r="65" spans="1:46" s="84" customFormat="1" ht="14.25">
      <c r="A65" s="77"/>
      <c r="B65" s="97"/>
      <c r="C65" s="83"/>
      <c r="F65" s="101"/>
      <c r="G65" s="101"/>
      <c r="H65" s="101"/>
      <c r="I65" s="96"/>
      <c r="J65" s="89"/>
      <c r="K65" s="96"/>
      <c r="L65" s="89"/>
      <c r="M65" s="89"/>
      <c r="N65" s="89"/>
      <c r="O65" s="96"/>
      <c r="P65" s="89"/>
      <c r="Q65" s="96"/>
      <c r="R65" s="89"/>
      <c r="S65" s="96"/>
      <c r="T65" s="89"/>
      <c r="U65" s="96"/>
      <c r="V65" s="89"/>
      <c r="W65" s="96"/>
      <c r="X65" s="89"/>
      <c r="Y65" s="96"/>
      <c r="Z65" s="89"/>
      <c r="AA65" s="96"/>
      <c r="AB65" s="89"/>
      <c r="AC65" s="96"/>
      <c r="AD65" s="89"/>
      <c r="AE65" s="96"/>
      <c r="AF65" s="89"/>
      <c r="AG65" s="96"/>
      <c r="AH65" s="89"/>
      <c r="AI65" s="96"/>
      <c r="AJ65" s="89"/>
      <c r="AK65" s="96"/>
      <c r="AL65" s="89"/>
      <c r="AM65" s="77"/>
      <c r="AN65" s="77"/>
      <c r="AO65" s="77"/>
      <c r="AP65" s="77"/>
      <c r="AQ65" s="77"/>
      <c r="AR65" s="77"/>
      <c r="AS65" s="77"/>
      <c r="AT65" s="77"/>
    </row>
    <row r="66" spans="1:46" s="84" customFormat="1" ht="14.25">
      <c r="A66" s="77"/>
      <c r="B66" s="97"/>
      <c r="C66" s="83"/>
      <c r="F66" s="101"/>
      <c r="G66" s="101"/>
      <c r="H66" s="101"/>
      <c r="I66" s="96"/>
      <c r="J66" s="89"/>
      <c r="K66" s="96"/>
      <c r="L66" s="89"/>
      <c r="M66" s="89"/>
      <c r="N66" s="89"/>
      <c r="O66" s="96"/>
      <c r="P66" s="89"/>
      <c r="Q66" s="96"/>
      <c r="R66" s="89"/>
      <c r="S66" s="96"/>
      <c r="T66" s="89"/>
      <c r="U66" s="96"/>
      <c r="V66" s="89"/>
      <c r="W66" s="96"/>
      <c r="X66" s="89"/>
      <c r="Y66" s="96"/>
      <c r="Z66" s="89"/>
      <c r="AA66" s="96"/>
      <c r="AB66" s="89"/>
      <c r="AC66" s="96"/>
      <c r="AD66" s="89"/>
      <c r="AE66" s="96"/>
      <c r="AF66" s="89"/>
      <c r="AG66" s="96"/>
      <c r="AH66" s="89"/>
      <c r="AI66" s="96"/>
      <c r="AJ66" s="89"/>
      <c r="AK66" s="96"/>
      <c r="AL66" s="89"/>
      <c r="AM66" s="77"/>
      <c r="AN66" s="77"/>
      <c r="AO66" s="77"/>
      <c r="AP66" s="77"/>
      <c r="AQ66" s="77"/>
      <c r="AR66" s="77"/>
      <c r="AS66" s="77"/>
      <c r="AT66" s="77"/>
    </row>
    <row r="67" spans="1:46" s="84" customFormat="1" ht="14.25">
      <c r="A67" s="77"/>
      <c r="B67" s="97"/>
      <c r="C67" s="83"/>
      <c r="F67" s="101"/>
      <c r="G67" s="101"/>
      <c r="H67" s="101"/>
      <c r="I67" s="96"/>
      <c r="J67" s="89"/>
      <c r="K67" s="96"/>
      <c r="L67" s="89"/>
      <c r="M67" s="89"/>
      <c r="N67" s="89"/>
      <c r="O67" s="96"/>
      <c r="P67" s="89"/>
      <c r="Q67" s="96"/>
      <c r="R67" s="89"/>
      <c r="S67" s="96"/>
      <c r="T67" s="89"/>
      <c r="U67" s="96"/>
      <c r="V67" s="89"/>
      <c r="W67" s="96"/>
      <c r="X67" s="89"/>
      <c r="Y67" s="96"/>
      <c r="Z67" s="89"/>
      <c r="AA67" s="96"/>
      <c r="AB67" s="89"/>
      <c r="AC67" s="96"/>
      <c r="AD67" s="89"/>
      <c r="AE67" s="96"/>
      <c r="AF67" s="89"/>
      <c r="AG67" s="96"/>
      <c r="AH67" s="89"/>
      <c r="AI67" s="96"/>
      <c r="AJ67" s="89"/>
      <c r="AK67" s="96"/>
      <c r="AL67" s="89"/>
      <c r="AM67" s="77"/>
      <c r="AN67" s="77"/>
      <c r="AO67" s="77"/>
      <c r="AP67" s="77"/>
      <c r="AQ67" s="77"/>
      <c r="AR67" s="77"/>
      <c r="AS67" s="77"/>
      <c r="AT67" s="77"/>
    </row>
    <row r="68" spans="1:46" s="84" customFormat="1" ht="14.25">
      <c r="A68" s="77"/>
      <c r="B68" s="97"/>
      <c r="C68" s="83"/>
      <c r="F68" s="101"/>
      <c r="G68" s="101"/>
      <c r="H68" s="101"/>
      <c r="I68" s="96"/>
      <c r="J68" s="89"/>
      <c r="K68" s="96"/>
      <c r="L68" s="89"/>
      <c r="M68" s="89"/>
      <c r="N68" s="89"/>
      <c r="O68" s="96"/>
      <c r="P68" s="89"/>
      <c r="Q68" s="96"/>
      <c r="R68" s="89"/>
      <c r="S68" s="96"/>
      <c r="T68" s="89"/>
      <c r="U68" s="96"/>
      <c r="V68" s="89"/>
      <c r="W68" s="96"/>
      <c r="X68" s="89"/>
      <c r="Y68" s="96"/>
      <c r="Z68" s="89"/>
      <c r="AA68" s="96"/>
      <c r="AB68" s="89"/>
      <c r="AC68" s="96"/>
      <c r="AD68" s="89"/>
      <c r="AE68" s="96"/>
      <c r="AF68" s="89"/>
      <c r="AG68" s="96"/>
      <c r="AH68" s="89"/>
      <c r="AI68" s="96"/>
      <c r="AJ68" s="89"/>
      <c r="AK68" s="96"/>
      <c r="AL68" s="89"/>
      <c r="AM68" s="77"/>
      <c r="AN68" s="77"/>
      <c r="AO68" s="77"/>
      <c r="AP68" s="77"/>
      <c r="AQ68" s="77"/>
      <c r="AR68" s="77"/>
      <c r="AS68" s="77"/>
      <c r="AT68" s="77"/>
    </row>
    <row r="69" spans="1:46" s="84" customFormat="1" ht="14.25">
      <c r="A69" s="77"/>
      <c r="B69" s="97"/>
      <c r="C69" s="83"/>
      <c r="F69" s="101"/>
      <c r="G69" s="101"/>
      <c r="H69" s="101"/>
      <c r="I69" s="96"/>
      <c r="J69" s="89"/>
      <c r="K69" s="96"/>
      <c r="L69" s="89"/>
      <c r="M69" s="89"/>
      <c r="N69" s="89"/>
      <c r="O69" s="96"/>
      <c r="P69" s="89"/>
      <c r="Q69" s="96"/>
      <c r="R69" s="89"/>
      <c r="S69" s="96"/>
      <c r="T69" s="89"/>
      <c r="U69" s="96"/>
      <c r="V69" s="89"/>
      <c r="W69" s="96"/>
      <c r="X69" s="89"/>
      <c r="Y69" s="96"/>
      <c r="Z69" s="89"/>
      <c r="AA69" s="96"/>
      <c r="AB69" s="89"/>
      <c r="AC69" s="96"/>
      <c r="AD69" s="89"/>
      <c r="AE69" s="96"/>
      <c r="AF69" s="89"/>
      <c r="AG69" s="96"/>
      <c r="AH69" s="89"/>
      <c r="AI69" s="96"/>
      <c r="AJ69" s="89"/>
      <c r="AK69" s="96"/>
      <c r="AL69" s="89"/>
      <c r="AM69" s="77"/>
      <c r="AN69" s="77"/>
      <c r="AO69" s="77"/>
      <c r="AP69" s="77"/>
      <c r="AQ69" s="77"/>
      <c r="AR69" s="77"/>
      <c r="AS69" s="77"/>
      <c r="AT69" s="77"/>
    </row>
    <row r="70" spans="1:46" s="84" customFormat="1" ht="14.25">
      <c r="A70" s="77"/>
      <c r="B70" s="97"/>
      <c r="C70" s="83"/>
      <c r="F70" s="101"/>
      <c r="G70" s="101"/>
      <c r="H70" s="101"/>
      <c r="I70" s="96"/>
      <c r="J70" s="89"/>
      <c r="K70" s="96"/>
      <c r="L70" s="89"/>
      <c r="M70" s="89"/>
      <c r="N70" s="89"/>
      <c r="O70" s="96"/>
      <c r="P70" s="89"/>
      <c r="Q70" s="96"/>
      <c r="R70" s="89"/>
      <c r="S70" s="96"/>
      <c r="T70" s="89"/>
      <c r="U70" s="96"/>
      <c r="V70" s="89"/>
      <c r="W70" s="96"/>
      <c r="X70" s="89"/>
      <c r="Y70" s="96"/>
      <c r="Z70" s="89"/>
      <c r="AA70" s="96"/>
      <c r="AB70" s="89"/>
      <c r="AC70" s="96"/>
      <c r="AD70" s="89"/>
      <c r="AE70" s="96"/>
      <c r="AF70" s="89"/>
      <c r="AG70" s="96"/>
      <c r="AH70" s="89"/>
      <c r="AI70" s="96"/>
      <c r="AJ70" s="89"/>
      <c r="AK70" s="96"/>
      <c r="AL70" s="89"/>
      <c r="AM70" s="77"/>
      <c r="AN70" s="77"/>
      <c r="AO70" s="77"/>
      <c r="AP70" s="77"/>
      <c r="AQ70" s="77"/>
      <c r="AR70" s="77"/>
      <c r="AS70" s="77"/>
      <c r="AT70" s="77"/>
    </row>
    <row r="71" spans="1:46" s="84" customFormat="1" ht="14.25">
      <c r="A71" s="77"/>
      <c r="B71" s="97"/>
      <c r="C71" s="83"/>
      <c r="F71" s="101"/>
      <c r="G71" s="101"/>
      <c r="H71" s="101"/>
      <c r="I71" s="96"/>
      <c r="J71" s="89"/>
      <c r="K71" s="96"/>
      <c r="L71" s="89"/>
      <c r="M71" s="89"/>
      <c r="N71" s="89"/>
      <c r="O71" s="96"/>
      <c r="P71" s="89"/>
      <c r="Q71" s="96"/>
      <c r="R71" s="89"/>
      <c r="S71" s="96"/>
      <c r="T71" s="89"/>
      <c r="U71" s="96"/>
      <c r="V71" s="89"/>
      <c r="W71" s="96"/>
      <c r="X71" s="89"/>
      <c r="Y71" s="96"/>
      <c r="Z71" s="89"/>
      <c r="AA71" s="96"/>
      <c r="AB71" s="89"/>
      <c r="AC71" s="96"/>
      <c r="AD71" s="89"/>
      <c r="AE71" s="96"/>
      <c r="AF71" s="89"/>
      <c r="AG71" s="96"/>
      <c r="AH71" s="89"/>
      <c r="AI71" s="96"/>
      <c r="AJ71" s="89"/>
      <c r="AK71" s="96"/>
      <c r="AL71" s="89"/>
      <c r="AM71" s="77"/>
      <c r="AN71" s="77"/>
      <c r="AO71" s="77"/>
      <c r="AP71" s="77"/>
      <c r="AQ71" s="77"/>
      <c r="AR71" s="77"/>
      <c r="AS71" s="77"/>
      <c r="AT71" s="77"/>
    </row>
    <row r="72" spans="1:46" s="84" customFormat="1" ht="14.25">
      <c r="A72" s="77"/>
      <c r="B72" s="97"/>
      <c r="C72" s="83"/>
      <c r="F72" s="101"/>
      <c r="G72" s="101"/>
      <c r="H72" s="101"/>
      <c r="I72" s="96"/>
      <c r="J72" s="89"/>
      <c r="K72" s="96"/>
      <c r="L72" s="89"/>
      <c r="M72" s="89"/>
      <c r="N72" s="89"/>
      <c r="O72" s="96"/>
      <c r="P72" s="89"/>
      <c r="Q72" s="96"/>
      <c r="R72" s="89"/>
      <c r="S72" s="96"/>
      <c r="T72" s="89"/>
      <c r="U72" s="96"/>
      <c r="V72" s="89"/>
      <c r="W72" s="96"/>
      <c r="X72" s="89"/>
      <c r="Y72" s="96"/>
      <c r="Z72" s="89"/>
      <c r="AA72" s="96"/>
      <c r="AB72" s="89"/>
      <c r="AC72" s="96"/>
      <c r="AD72" s="89"/>
      <c r="AE72" s="96"/>
      <c r="AF72" s="89"/>
      <c r="AG72" s="96"/>
      <c r="AH72" s="89"/>
      <c r="AI72" s="96"/>
      <c r="AJ72" s="89"/>
      <c r="AK72" s="96"/>
      <c r="AL72" s="89"/>
      <c r="AM72" s="77"/>
      <c r="AN72" s="77"/>
      <c r="AO72" s="77"/>
      <c r="AP72" s="77"/>
      <c r="AQ72" s="77"/>
      <c r="AR72" s="77"/>
      <c r="AS72" s="77"/>
      <c r="AT72" s="77"/>
    </row>
    <row r="73" spans="1:46" s="84" customFormat="1" ht="14.25">
      <c r="A73" s="77"/>
      <c r="B73" s="97"/>
      <c r="C73" s="83"/>
      <c r="F73" s="101"/>
      <c r="G73" s="101"/>
      <c r="H73" s="101"/>
      <c r="I73" s="96"/>
      <c r="J73" s="89"/>
      <c r="K73" s="96"/>
      <c r="L73" s="89"/>
      <c r="M73" s="89"/>
      <c r="N73" s="89"/>
      <c r="O73" s="96"/>
      <c r="P73" s="89"/>
      <c r="Q73" s="96"/>
      <c r="R73" s="89"/>
      <c r="S73" s="96"/>
      <c r="T73" s="89"/>
      <c r="U73" s="96"/>
      <c r="V73" s="89"/>
      <c r="W73" s="96"/>
      <c r="X73" s="89"/>
      <c r="Y73" s="96"/>
      <c r="Z73" s="89"/>
      <c r="AA73" s="96"/>
      <c r="AB73" s="89"/>
      <c r="AC73" s="96"/>
      <c r="AD73" s="89"/>
      <c r="AE73" s="96"/>
      <c r="AF73" s="89"/>
      <c r="AG73" s="96"/>
      <c r="AH73" s="89"/>
      <c r="AI73" s="96"/>
      <c r="AJ73" s="89"/>
      <c r="AK73" s="96"/>
      <c r="AL73" s="89"/>
      <c r="AM73" s="77"/>
      <c r="AN73" s="77"/>
      <c r="AO73" s="77"/>
      <c r="AP73" s="77"/>
      <c r="AQ73" s="77"/>
      <c r="AR73" s="77"/>
      <c r="AS73" s="77"/>
      <c r="AT73" s="77"/>
    </row>
    <row r="74" spans="1:46" s="84" customFormat="1" ht="14.25">
      <c r="A74" s="77"/>
      <c r="B74" s="97"/>
      <c r="C74" s="83"/>
      <c r="F74" s="101"/>
      <c r="G74" s="101"/>
      <c r="H74" s="101"/>
      <c r="I74" s="96"/>
      <c r="J74" s="89"/>
      <c r="K74" s="96"/>
      <c r="L74" s="89"/>
      <c r="M74" s="89"/>
      <c r="N74" s="89"/>
      <c r="O74" s="96"/>
      <c r="P74" s="89"/>
      <c r="Q74" s="96"/>
      <c r="R74" s="89"/>
      <c r="S74" s="96"/>
      <c r="T74" s="89"/>
      <c r="U74" s="96"/>
      <c r="V74" s="89"/>
      <c r="W74" s="96"/>
      <c r="X74" s="89"/>
      <c r="Y74" s="96"/>
      <c r="Z74" s="89"/>
      <c r="AA74" s="96"/>
      <c r="AB74" s="89"/>
      <c r="AC74" s="96"/>
      <c r="AD74" s="89"/>
      <c r="AE74" s="96"/>
      <c r="AF74" s="89"/>
      <c r="AG74" s="96"/>
      <c r="AH74" s="89"/>
      <c r="AI74" s="96"/>
      <c r="AJ74" s="89"/>
      <c r="AK74" s="96"/>
      <c r="AL74" s="89"/>
      <c r="AM74" s="77"/>
      <c r="AN74" s="77"/>
      <c r="AO74" s="77"/>
      <c r="AP74" s="77"/>
      <c r="AQ74" s="77"/>
      <c r="AR74" s="77"/>
      <c r="AS74" s="77"/>
      <c r="AT74" s="77"/>
    </row>
    <row r="75" spans="1:46" s="84" customFormat="1" ht="14.25">
      <c r="A75" s="77"/>
      <c r="B75" s="97"/>
      <c r="C75" s="83"/>
      <c r="F75" s="101"/>
      <c r="G75" s="101"/>
      <c r="H75" s="101"/>
      <c r="I75" s="96"/>
      <c r="J75" s="89"/>
      <c r="K75" s="96"/>
      <c r="L75" s="89"/>
      <c r="M75" s="89"/>
      <c r="N75" s="89"/>
      <c r="O75" s="96"/>
      <c r="P75" s="89"/>
      <c r="Q75" s="96"/>
      <c r="R75" s="89"/>
      <c r="S75" s="96"/>
      <c r="T75" s="89"/>
      <c r="U75" s="96"/>
      <c r="V75" s="89"/>
      <c r="W75" s="96"/>
      <c r="X75" s="89"/>
      <c r="Y75" s="96"/>
      <c r="Z75" s="89"/>
      <c r="AA75" s="96"/>
      <c r="AB75" s="89"/>
      <c r="AC75" s="96"/>
      <c r="AD75" s="89"/>
      <c r="AE75" s="96"/>
      <c r="AF75" s="89"/>
      <c r="AG75" s="96"/>
      <c r="AH75" s="89"/>
      <c r="AI75" s="96"/>
      <c r="AJ75" s="89"/>
      <c r="AK75" s="96"/>
      <c r="AL75" s="89"/>
      <c r="AM75" s="77"/>
      <c r="AN75" s="77"/>
      <c r="AO75" s="77"/>
      <c r="AP75" s="77"/>
      <c r="AQ75" s="77"/>
      <c r="AR75" s="77"/>
      <c r="AS75" s="77"/>
      <c r="AT75" s="77"/>
    </row>
    <row r="76" spans="1:46" s="84" customFormat="1" ht="14.25">
      <c r="A76" s="77"/>
      <c r="B76" s="97"/>
      <c r="C76" s="83"/>
      <c r="F76" s="101"/>
      <c r="G76" s="101"/>
      <c r="H76" s="101"/>
      <c r="I76" s="96"/>
      <c r="J76" s="89"/>
      <c r="K76" s="96"/>
      <c r="L76" s="89"/>
      <c r="M76" s="89"/>
      <c r="N76" s="89"/>
      <c r="O76" s="96"/>
      <c r="P76" s="89"/>
      <c r="Q76" s="96"/>
      <c r="R76" s="89"/>
      <c r="S76" s="96"/>
      <c r="T76" s="89"/>
      <c r="U76" s="96"/>
      <c r="V76" s="89"/>
      <c r="W76" s="96"/>
      <c r="X76" s="89"/>
      <c r="Y76" s="96"/>
      <c r="Z76" s="89"/>
      <c r="AA76" s="96"/>
      <c r="AB76" s="89"/>
      <c r="AC76" s="96"/>
      <c r="AD76" s="89"/>
      <c r="AE76" s="96"/>
      <c r="AF76" s="89"/>
      <c r="AG76" s="96"/>
      <c r="AH76" s="89"/>
      <c r="AI76" s="96"/>
      <c r="AJ76" s="89"/>
      <c r="AK76" s="96"/>
      <c r="AL76" s="89"/>
      <c r="AM76" s="77"/>
      <c r="AN76" s="77"/>
      <c r="AO76" s="77"/>
      <c r="AP76" s="77"/>
      <c r="AQ76" s="77"/>
      <c r="AR76" s="77"/>
      <c r="AS76" s="77"/>
      <c r="AT76" s="77"/>
    </row>
    <row r="77" spans="1:46" s="84" customFormat="1" ht="14.25">
      <c r="A77" s="77"/>
      <c r="B77" s="97"/>
      <c r="C77" s="83"/>
      <c r="F77" s="101"/>
      <c r="G77" s="101"/>
      <c r="H77" s="101"/>
      <c r="I77" s="96"/>
      <c r="J77" s="89"/>
      <c r="K77" s="96"/>
      <c r="L77" s="89"/>
      <c r="M77" s="89"/>
      <c r="N77" s="89"/>
      <c r="O77" s="96"/>
      <c r="P77" s="89"/>
      <c r="Q77" s="96"/>
      <c r="R77" s="89"/>
      <c r="S77" s="96"/>
      <c r="T77" s="89"/>
      <c r="U77" s="96"/>
      <c r="V77" s="89"/>
      <c r="W77" s="96"/>
      <c r="X77" s="89"/>
      <c r="Y77" s="96"/>
      <c r="Z77" s="89"/>
      <c r="AA77" s="96"/>
      <c r="AB77" s="89"/>
      <c r="AC77" s="96"/>
      <c r="AD77" s="89"/>
      <c r="AE77" s="96"/>
      <c r="AF77" s="89"/>
      <c r="AG77" s="96"/>
      <c r="AH77" s="89"/>
      <c r="AI77" s="96"/>
      <c r="AJ77" s="89"/>
      <c r="AK77" s="96"/>
      <c r="AL77" s="89"/>
      <c r="AM77" s="77"/>
      <c r="AN77" s="77"/>
      <c r="AO77" s="77"/>
      <c r="AP77" s="77"/>
      <c r="AQ77" s="77"/>
      <c r="AR77" s="77"/>
      <c r="AS77" s="77"/>
      <c r="AT77" s="77"/>
    </row>
    <row r="78" spans="1:46" s="84" customFormat="1" ht="14.25">
      <c r="A78" s="77"/>
      <c r="B78" s="97"/>
      <c r="C78" s="83"/>
      <c r="F78" s="101"/>
      <c r="G78" s="101"/>
      <c r="H78" s="101"/>
      <c r="I78" s="96"/>
      <c r="J78" s="89"/>
      <c r="K78" s="96"/>
      <c r="L78" s="89"/>
      <c r="M78" s="89"/>
      <c r="N78" s="89"/>
      <c r="O78" s="96"/>
      <c r="P78" s="89"/>
      <c r="Q78" s="96"/>
      <c r="R78" s="89"/>
      <c r="S78" s="96"/>
      <c r="T78" s="89"/>
      <c r="U78" s="96"/>
      <c r="V78" s="89"/>
      <c r="W78" s="96"/>
      <c r="X78" s="89"/>
      <c r="Y78" s="96"/>
      <c r="Z78" s="89"/>
      <c r="AA78" s="96"/>
      <c r="AB78" s="89"/>
      <c r="AC78" s="96"/>
      <c r="AD78" s="89"/>
      <c r="AE78" s="96"/>
      <c r="AF78" s="89"/>
      <c r="AG78" s="96"/>
      <c r="AH78" s="89"/>
      <c r="AI78" s="96"/>
      <c r="AJ78" s="89"/>
      <c r="AK78" s="96"/>
      <c r="AL78" s="89"/>
      <c r="AM78" s="77"/>
      <c r="AN78" s="77"/>
      <c r="AO78" s="77"/>
      <c r="AP78" s="77"/>
      <c r="AQ78" s="77"/>
      <c r="AR78" s="77"/>
      <c r="AS78" s="77"/>
      <c r="AT78" s="77"/>
    </row>
    <row r="79" spans="1:46" s="84" customFormat="1" ht="14.25">
      <c r="A79" s="77"/>
      <c r="B79" s="97"/>
      <c r="C79" s="83"/>
      <c r="F79" s="101"/>
      <c r="G79" s="101"/>
      <c r="H79" s="101"/>
      <c r="I79" s="96"/>
      <c r="J79" s="89"/>
      <c r="K79" s="96"/>
      <c r="L79" s="89"/>
      <c r="M79" s="89"/>
      <c r="N79" s="89"/>
      <c r="O79" s="96"/>
      <c r="P79" s="89"/>
      <c r="Q79" s="96"/>
      <c r="R79" s="89"/>
      <c r="S79" s="96"/>
      <c r="T79" s="89"/>
      <c r="U79" s="96"/>
      <c r="V79" s="89"/>
      <c r="W79" s="96"/>
      <c r="X79" s="89"/>
      <c r="Y79" s="96"/>
      <c r="Z79" s="89"/>
      <c r="AA79" s="96"/>
      <c r="AB79" s="89"/>
      <c r="AC79" s="96"/>
      <c r="AD79" s="89"/>
      <c r="AE79" s="96"/>
      <c r="AF79" s="89"/>
      <c r="AG79" s="96"/>
      <c r="AH79" s="89"/>
      <c r="AI79" s="96"/>
      <c r="AJ79" s="89"/>
      <c r="AK79" s="96"/>
      <c r="AL79" s="89"/>
      <c r="AM79" s="77"/>
      <c r="AN79" s="77"/>
      <c r="AO79" s="77"/>
      <c r="AP79" s="77"/>
      <c r="AQ79" s="77"/>
      <c r="AR79" s="77"/>
      <c r="AS79" s="77"/>
      <c r="AT79" s="77"/>
    </row>
    <row r="80" spans="1:46" s="84" customFormat="1" ht="14.25">
      <c r="A80" s="77"/>
      <c r="B80" s="97"/>
      <c r="C80" s="83"/>
      <c r="F80" s="101"/>
      <c r="G80" s="101"/>
      <c r="H80" s="101"/>
      <c r="I80" s="96"/>
      <c r="J80" s="89"/>
      <c r="K80" s="96"/>
      <c r="L80" s="89"/>
      <c r="M80" s="89"/>
      <c r="N80" s="89"/>
      <c r="O80" s="96"/>
      <c r="P80" s="89"/>
      <c r="Q80" s="96"/>
      <c r="R80" s="89"/>
      <c r="S80" s="96"/>
      <c r="T80" s="89"/>
      <c r="U80" s="96"/>
      <c r="V80" s="89"/>
      <c r="W80" s="96"/>
      <c r="X80" s="89"/>
      <c r="Y80" s="96"/>
      <c r="Z80" s="89"/>
      <c r="AA80" s="96"/>
      <c r="AB80" s="89"/>
      <c r="AC80" s="96"/>
      <c r="AD80" s="89"/>
      <c r="AE80" s="96"/>
      <c r="AF80" s="89"/>
      <c r="AG80" s="96"/>
      <c r="AH80" s="89"/>
      <c r="AI80" s="96"/>
      <c r="AJ80" s="89"/>
      <c r="AK80" s="96"/>
      <c r="AL80" s="89"/>
      <c r="AM80" s="77"/>
      <c r="AN80" s="77"/>
      <c r="AO80" s="77"/>
      <c r="AP80" s="77"/>
      <c r="AQ80" s="77"/>
      <c r="AR80" s="77"/>
      <c r="AS80" s="77"/>
      <c r="AT80" s="77"/>
    </row>
    <row r="81" spans="1:46" s="84" customFormat="1" ht="14.25">
      <c r="A81" s="77"/>
      <c r="B81" s="97"/>
      <c r="C81" s="83"/>
      <c r="F81" s="101"/>
      <c r="G81" s="101"/>
      <c r="H81" s="101"/>
      <c r="I81" s="96"/>
      <c r="J81" s="89"/>
      <c r="K81" s="96"/>
      <c r="L81" s="89"/>
      <c r="M81" s="89"/>
      <c r="N81" s="89"/>
      <c r="O81" s="96"/>
      <c r="P81" s="89"/>
      <c r="Q81" s="96"/>
      <c r="R81" s="89"/>
      <c r="S81" s="96"/>
      <c r="T81" s="89"/>
      <c r="U81" s="96"/>
      <c r="V81" s="89"/>
      <c r="W81" s="96"/>
      <c r="X81" s="89"/>
      <c r="Y81" s="96"/>
      <c r="Z81" s="89"/>
      <c r="AA81" s="96"/>
      <c r="AB81" s="89"/>
      <c r="AC81" s="96"/>
      <c r="AD81" s="89"/>
      <c r="AE81" s="96"/>
      <c r="AF81" s="89"/>
      <c r="AG81" s="96"/>
      <c r="AH81" s="89"/>
      <c r="AI81" s="96"/>
      <c r="AJ81" s="89"/>
      <c r="AK81" s="96"/>
      <c r="AL81" s="89"/>
      <c r="AM81" s="77"/>
      <c r="AN81" s="77"/>
      <c r="AO81" s="77"/>
      <c r="AP81" s="77"/>
      <c r="AQ81" s="77"/>
      <c r="AR81" s="77"/>
      <c r="AS81" s="77"/>
      <c r="AT81" s="77"/>
    </row>
    <row r="82" spans="1:46" s="84" customFormat="1" ht="14.25">
      <c r="A82" s="77"/>
      <c r="B82" s="97"/>
      <c r="C82" s="83"/>
      <c r="F82" s="101"/>
      <c r="G82" s="101"/>
      <c r="H82" s="101"/>
      <c r="I82" s="96"/>
      <c r="J82" s="89"/>
      <c r="K82" s="96"/>
      <c r="L82" s="89"/>
      <c r="M82" s="89"/>
      <c r="N82" s="89"/>
      <c r="O82" s="96"/>
      <c r="P82" s="89"/>
      <c r="Q82" s="96"/>
      <c r="R82" s="89"/>
      <c r="S82" s="96"/>
      <c r="T82" s="89"/>
      <c r="U82" s="96"/>
      <c r="V82" s="89"/>
      <c r="W82" s="96"/>
      <c r="X82" s="89"/>
      <c r="Y82" s="96"/>
      <c r="Z82" s="89"/>
      <c r="AA82" s="96"/>
      <c r="AB82" s="89"/>
      <c r="AC82" s="96"/>
      <c r="AD82" s="89"/>
      <c r="AE82" s="96"/>
      <c r="AF82" s="89"/>
      <c r="AG82" s="96"/>
      <c r="AH82" s="89"/>
      <c r="AI82" s="96"/>
      <c r="AJ82" s="89"/>
      <c r="AK82" s="96"/>
      <c r="AL82" s="89"/>
      <c r="AM82" s="77"/>
      <c r="AN82" s="77"/>
      <c r="AO82" s="77"/>
      <c r="AP82" s="77"/>
      <c r="AQ82" s="77"/>
      <c r="AR82" s="77"/>
      <c r="AS82" s="77"/>
      <c r="AT82" s="77"/>
    </row>
    <row r="83" spans="1:46" s="84" customFormat="1" ht="14.25">
      <c r="A83" s="77"/>
      <c r="B83" s="97"/>
      <c r="C83" s="83"/>
      <c r="F83" s="101"/>
      <c r="G83" s="101"/>
      <c r="H83" s="101"/>
      <c r="I83" s="96"/>
      <c r="J83" s="89"/>
      <c r="K83" s="96"/>
      <c r="L83" s="89"/>
      <c r="M83" s="89"/>
      <c r="N83" s="89"/>
      <c r="O83" s="96"/>
      <c r="P83" s="89"/>
      <c r="Q83" s="96"/>
      <c r="R83" s="89"/>
      <c r="S83" s="96"/>
      <c r="T83" s="89"/>
      <c r="U83" s="96"/>
      <c r="V83" s="89"/>
      <c r="W83" s="96"/>
      <c r="X83" s="89"/>
      <c r="Y83" s="96"/>
      <c r="Z83" s="89"/>
      <c r="AA83" s="96"/>
      <c r="AB83" s="89"/>
      <c r="AC83" s="96"/>
      <c r="AD83" s="89"/>
      <c r="AE83" s="96"/>
      <c r="AF83" s="89"/>
      <c r="AG83" s="96"/>
      <c r="AH83" s="89"/>
      <c r="AI83" s="96"/>
      <c r="AJ83" s="89"/>
      <c r="AK83" s="96"/>
      <c r="AL83" s="89"/>
      <c r="AM83" s="77"/>
      <c r="AN83" s="77"/>
      <c r="AO83" s="77"/>
      <c r="AP83" s="77"/>
      <c r="AQ83" s="77"/>
      <c r="AR83" s="77"/>
      <c r="AS83" s="77"/>
      <c r="AT83" s="77"/>
    </row>
    <row r="84" spans="1:46" s="84" customFormat="1" ht="14.25">
      <c r="A84" s="77"/>
      <c r="B84" s="97"/>
      <c r="C84" s="83"/>
      <c r="F84" s="101"/>
      <c r="G84" s="101"/>
      <c r="H84" s="101"/>
      <c r="I84" s="96"/>
      <c r="J84" s="89"/>
      <c r="K84" s="96"/>
      <c r="L84" s="89"/>
      <c r="M84" s="89"/>
      <c r="N84" s="89"/>
      <c r="O84" s="96"/>
      <c r="P84" s="89"/>
      <c r="Q84" s="96"/>
      <c r="R84" s="89"/>
      <c r="S84" s="96"/>
      <c r="T84" s="89"/>
      <c r="U84" s="96"/>
      <c r="V84" s="89"/>
      <c r="W84" s="96"/>
      <c r="X84" s="89"/>
      <c r="Y84" s="96"/>
      <c r="Z84" s="89"/>
      <c r="AA84" s="96"/>
      <c r="AB84" s="89"/>
      <c r="AC84" s="96"/>
      <c r="AD84" s="89"/>
      <c r="AE84" s="96"/>
      <c r="AF84" s="89"/>
      <c r="AG84" s="96"/>
      <c r="AH84" s="89"/>
      <c r="AI84" s="96"/>
      <c r="AJ84" s="89"/>
      <c r="AK84" s="96"/>
      <c r="AL84" s="89"/>
      <c r="AM84" s="77"/>
      <c r="AN84" s="77"/>
      <c r="AO84" s="77"/>
      <c r="AP84" s="77"/>
      <c r="AQ84" s="77"/>
      <c r="AR84" s="77"/>
      <c r="AS84" s="77"/>
      <c r="AT84" s="77"/>
    </row>
    <row r="85" spans="1:46" s="84" customFormat="1" ht="14.25">
      <c r="A85" s="77"/>
      <c r="B85" s="97"/>
      <c r="C85" s="83"/>
      <c r="F85" s="101"/>
      <c r="G85" s="101"/>
      <c r="H85" s="101"/>
      <c r="I85" s="96"/>
      <c r="J85" s="89"/>
      <c r="K85" s="96"/>
      <c r="L85" s="89"/>
      <c r="M85" s="89"/>
      <c r="N85" s="89"/>
      <c r="O85" s="96"/>
      <c r="P85" s="89"/>
      <c r="Q85" s="96"/>
      <c r="R85" s="89"/>
      <c r="S85" s="96"/>
      <c r="T85" s="89"/>
      <c r="U85" s="96"/>
      <c r="V85" s="89"/>
      <c r="W85" s="96"/>
      <c r="X85" s="89"/>
      <c r="Y85" s="96"/>
      <c r="Z85" s="89"/>
      <c r="AA85" s="96"/>
      <c r="AB85" s="89"/>
      <c r="AC85" s="96"/>
      <c r="AD85" s="89"/>
      <c r="AE85" s="96"/>
      <c r="AF85" s="89"/>
      <c r="AG85" s="96"/>
      <c r="AH85" s="89"/>
      <c r="AI85" s="96"/>
      <c r="AJ85" s="89"/>
      <c r="AK85" s="96"/>
      <c r="AL85" s="89"/>
      <c r="AM85" s="77"/>
      <c r="AN85" s="77"/>
      <c r="AO85" s="77"/>
      <c r="AP85" s="77"/>
      <c r="AQ85" s="77"/>
      <c r="AR85" s="77"/>
      <c r="AS85" s="77"/>
      <c r="AT85" s="77"/>
    </row>
    <row r="86" spans="1:46" s="84" customFormat="1" ht="14.25">
      <c r="A86" s="77"/>
      <c r="B86" s="97"/>
      <c r="C86" s="83"/>
      <c r="F86" s="101"/>
      <c r="G86" s="101"/>
      <c r="H86" s="101"/>
      <c r="I86" s="96"/>
      <c r="J86" s="89"/>
      <c r="K86" s="96"/>
      <c r="L86" s="89"/>
      <c r="M86" s="89"/>
      <c r="N86" s="89"/>
      <c r="O86" s="96"/>
      <c r="P86" s="89"/>
      <c r="Q86" s="96"/>
      <c r="R86" s="89"/>
      <c r="S86" s="96"/>
      <c r="T86" s="89"/>
      <c r="U86" s="96"/>
      <c r="V86" s="89"/>
      <c r="W86" s="96"/>
      <c r="X86" s="89"/>
      <c r="Y86" s="96"/>
      <c r="Z86" s="89"/>
      <c r="AA86" s="96"/>
      <c r="AB86" s="89"/>
      <c r="AC86" s="96"/>
      <c r="AD86" s="89"/>
      <c r="AE86" s="96"/>
      <c r="AF86" s="89"/>
      <c r="AG86" s="96"/>
      <c r="AH86" s="89"/>
      <c r="AI86" s="96"/>
      <c r="AJ86" s="89"/>
      <c r="AK86" s="96"/>
      <c r="AL86" s="89"/>
      <c r="AM86" s="77"/>
      <c r="AN86" s="77"/>
      <c r="AO86" s="77"/>
      <c r="AP86" s="77"/>
      <c r="AQ86" s="77"/>
      <c r="AR86" s="77"/>
      <c r="AS86" s="77"/>
      <c r="AT86" s="77"/>
    </row>
    <row r="87" spans="1:46" s="84" customFormat="1" ht="14.25">
      <c r="A87" s="77"/>
      <c r="B87" s="97"/>
      <c r="C87" s="83"/>
      <c r="F87" s="101"/>
      <c r="G87" s="101"/>
      <c r="H87" s="101"/>
      <c r="I87" s="96"/>
      <c r="J87" s="89"/>
      <c r="K87" s="96"/>
      <c r="L87" s="89"/>
      <c r="M87" s="89"/>
      <c r="N87" s="89"/>
      <c r="O87" s="96"/>
      <c r="P87" s="89"/>
      <c r="Q87" s="96"/>
      <c r="R87" s="89"/>
      <c r="S87" s="96"/>
      <c r="T87" s="89"/>
      <c r="U87" s="96"/>
      <c r="V87" s="89"/>
      <c r="W87" s="96"/>
      <c r="X87" s="89"/>
      <c r="Y87" s="96"/>
      <c r="Z87" s="89"/>
      <c r="AA87" s="96"/>
      <c r="AB87" s="89"/>
      <c r="AC87" s="96"/>
      <c r="AD87" s="89"/>
      <c r="AE87" s="96"/>
      <c r="AF87" s="89"/>
      <c r="AG87" s="96"/>
      <c r="AH87" s="89"/>
      <c r="AI87" s="96"/>
      <c r="AJ87" s="89"/>
      <c r="AK87" s="96"/>
      <c r="AL87" s="89"/>
      <c r="AM87" s="77"/>
      <c r="AN87" s="77"/>
      <c r="AO87" s="77"/>
      <c r="AP87" s="77"/>
      <c r="AQ87" s="77"/>
      <c r="AR87" s="77"/>
      <c r="AS87" s="77"/>
      <c r="AT87" s="77"/>
    </row>
    <row r="88" spans="1:46" s="84" customFormat="1" ht="14.25">
      <c r="A88" s="77"/>
      <c r="B88" s="97"/>
      <c r="C88" s="83"/>
      <c r="F88" s="101"/>
      <c r="G88" s="101"/>
      <c r="H88" s="101"/>
      <c r="I88" s="96"/>
      <c r="J88" s="89"/>
      <c r="K88" s="96"/>
      <c r="L88" s="89"/>
      <c r="M88" s="89"/>
      <c r="N88" s="89"/>
      <c r="O88" s="96"/>
      <c r="P88" s="89"/>
      <c r="Q88" s="96"/>
      <c r="R88" s="89"/>
      <c r="S88" s="96"/>
      <c r="T88" s="89"/>
      <c r="U88" s="96"/>
      <c r="V88" s="89"/>
      <c r="W88" s="96"/>
      <c r="X88" s="89"/>
      <c r="Y88" s="96"/>
      <c r="Z88" s="89"/>
      <c r="AA88" s="96"/>
      <c r="AB88" s="89"/>
      <c r="AC88" s="96"/>
      <c r="AD88" s="89"/>
      <c r="AE88" s="96"/>
      <c r="AF88" s="89"/>
      <c r="AG88" s="96"/>
      <c r="AH88" s="89"/>
      <c r="AI88" s="96"/>
      <c r="AJ88" s="89"/>
      <c r="AK88" s="96"/>
      <c r="AL88" s="89"/>
      <c r="AM88" s="77"/>
      <c r="AN88" s="77"/>
      <c r="AO88" s="77"/>
      <c r="AP88" s="77"/>
      <c r="AQ88" s="77"/>
      <c r="AR88" s="77"/>
      <c r="AS88" s="77"/>
      <c r="AT88" s="77"/>
    </row>
    <row r="89" spans="1:46" s="84" customFormat="1" ht="14.25">
      <c r="A89" s="77"/>
      <c r="B89" s="97"/>
      <c r="C89" s="83"/>
      <c r="F89" s="101"/>
      <c r="G89" s="101"/>
      <c r="H89" s="101"/>
      <c r="I89" s="96"/>
      <c r="J89" s="89"/>
      <c r="K89" s="96"/>
      <c r="L89" s="89"/>
      <c r="M89" s="89"/>
      <c r="N89" s="89"/>
      <c r="O89" s="96"/>
      <c r="P89" s="89"/>
      <c r="Q89" s="96"/>
      <c r="R89" s="89"/>
      <c r="S89" s="96"/>
      <c r="T89" s="89"/>
      <c r="U89" s="96"/>
      <c r="V89" s="89"/>
      <c r="W89" s="96"/>
      <c r="X89" s="89"/>
      <c r="Y89" s="96"/>
      <c r="Z89" s="89"/>
      <c r="AA89" s="96"/>
      <c r="AB89" s="89"/>
      <c r="AC89" s="96"/>
      <c r="AD89" s="89"/>
      <c r="AE89" s="96"/>
      <c r="AF89" s="89"/>
      <c r="AG89" s="96"/>
      <c r="AH89" s="89"/>
      <c r="AI89" s="96"/>
      <c r="AJ89" s="89"/>
      <c r="AK89" s="96"/>
      <c r="AL89" s="89"/>
      <c r="AM89" s="77"/>
      <c r="AN89" s="77"/>
      <c r="AO89" s="77"/>
      <c r="AP89" s="77"/>
      <c r="AQ89" s="77"/>
      <c r="AR89" s="77"/>
      <c r="AS89" s="77"/>
      <c r="AT89" s="77"/>
    </row>
    <row r="90" spans="1:46" s="84" customFormat="1" ht="14.25">
      <c r="A90" s="77"/>
      <c r="B90" s="97"/>
      <c r="C90" s="83"/>
      <c r="F90" s="101"/>
      <c r="G90" s="101"/>
      <c r="H90" s="101"/>
      <c r="I90" s="96"/>
      <c r="J90" s="89"/>
      <c r="K90" s="96"/>
      <c r="L90" s="89"/>
      <c r="M90" s="89"/>
      <c r="N90" s="89"/>
      <c r="O90" s="96"/>
      <c r="P90" s="89"/>
      <c r="Q90" s="96"/>
      <c r="R90" s="89"/>
      <c r="S90" s="96"/>
      <c r="T90" s="89"/>
      <c r="U90" s="96"/>
      <c r="V90" s="89"/>
      <c r="W90" s="96"/>
      <c r="X90" s="89"/>
      <c r="Y90" s="96"/>
      <c r="Z90" s="89"/>
      <c r="AA90" s="96"/>
      <c r="AB90" s="89"/>
      <c r="AC90" s="96"/>
      <c r="AD90" s="89"/>
      <c r="AE90" s="96"/>
      <c r="AF90" s="89"/>
      <c r="AG90" s="96"/>
      <c r="AH90" s="89"/>
      <c r="AI90" s="96"/>
      <c r="AJ90" s="89"/>
      <c r="AK90" s="96"/>
      <c r="AL90" s="89"/>
      <c r="AM90" s="77"/>
      <c r="AN90" s="77"/>
      <c r="AO90" s="77"/>
      <c r="AP90" s="77"/>
      <c r="AQ90" s="77"/>
      <c r="AR90" s="77"/>
      <c r="AS90" s="77"/>
      <c r="AT90" s="77"/>
    </row>
    <row r="91" spans="1:46" s="84" customFormat="1" ht="14.25">
      <c r="A91" s="77"/>
      <c r="B91" s="97"/>
      <c r="C91" s="83"/>
      <c r="F91" s="101"/>
      <c r="G91" s="101"/>
      <c r="H91" s="101"/>
      <c r="I91" s="96"/>
      <c r="J91" s="89"/>
      <c r="K91" s="96"/>
      <c r="L91" s="89"/>
      <c r="M91" s="89"/>
      <c r="N91" s="89"/>
      <c r="O91" s="96"/>
      <c r="P91" s="89"/>
      <c r="Q91" s="96"/>
      <c r="R91" s="89"/>
      <c r="S91" s="96"/>
      <c r="T91" s="89"/>
      <c r="U91" s="96"/>
      <c r="V91" s="89"/>
      <c r="W91" s="96"/>
      <c r="X91" s="89"/>
      <c r="Y91" s="96"/>
      <c r="Z91" s="89"/>
      <c r="AA91" s="96"/>
      <c r="AB91" s="89"/>
      <c r="AC91" s="96"/>
      <c r="AD91" s="89"/>
      <c r="AE91" s="96"/>
      <c r="AF91" s="89"/>
      <c r="AG91" s="96"/>
      <c r="AH91" s="89"/>
      <c r="AI91" s="96"/>
      <c r="AJ91" s="89"/>
      <c r="AK91" s="96"/>
      <c r="AL91" s="89"/>
      <c r="AM91" s="77"/>
      <c r="AN91" s="77"/>
      <c r="AO91" s="77"/>
      <c r="AP91" s="77"/>
      <c r="AQ91" s="77"/>
      <c r="AR91" s="77"/>
      <c r="AS91" s="77"/>
      <c r="AT91" s="77"/>
    </row>
    <row r="92" spans="1:46" s="84" customFormat="1" ht="14.25">
      <c r="A92" s="77"/>
      <c r="B92" s="97"/>
      <c r="C92" s="83"/>
      <c r="F92" s="101"/>
      <c r="G92" s="101"/>
      <c r="H92" s="101"/>
      <c r="I92" s="96"/>
      <c r="J92" s="89"/>
      <c r="K92" s="96"/>
      <c r="L92" s="89"/>
      <c r="M92" s="89"/>
      <c r="N92" s="89"/>
      <c r="O92" s="96"/>
      <c r="P92" s="89"/>
      <c r="Q92" s="96"/>
      <c r="R92" s="89"/>
      <c r="S92" s="96"/>
      <c r="T92" s="89"/>
      <c r="U92" s="96"/>
      <c r="V92" s="89"/>
      <c r="W92" s="96"/>
      <c r="X92" s="89"/>
      <c r="Y92" s="96"/>
      <c r="Z92" s="89"/>
      <c r="AA92" s="96"/>
      <c r="AB92" s="89"/>
      <c r="AC92" s="96"/>
      <c r="AD92" s="89"/>
      <c r="AE92" s="96"/>
      <c r="AF92" s="89"/>
      <c r="AG92" s="96"/>
      <c r="AH92" s="89"/>
      <c r="AI92" s="96"/>
      <c r="AJ92" s="89"/>
      <c r="AK92" s="96"/>
      <c r="AL92" s="89"/>
      <c r="AM92" s="77"/>
      <c r="AN92" s="77"/>
      <c r="AO92" s="77"/>
      <c r="AP92" s="77"/>
      <c r="AQ92" s="77"/>
      <c r="AR92" s="77"/>
      <c r="AS92" s="77"/>
      <c r="AT92" s="77"/>
    </row>
    <row r="93" spans="1:46" s="84" customFormat="1" ht="14.25">
      <c r="A93" s="77"/>
      <c r="B93" s="97"/>
      <c r="C93" s="83"/>
      <c r="F93" s="101"/>
      <c r="G93" s="101"/>
      <c r="H93" s="101"/>
      <c r="I93" s="96"/>
      <c r="J93" s="89"/>
      <c r="K93" s="96"/>
      <c r="L93" s="89"/>
      <c r="M93" s="89"/>
      <c r="N93" s="89"/>
      <c r="O93" s="96"/>
      <c r="P93" s="89"/>
      <c r="Q93" s="96"/>
      <c r="R93" s="89"/>
      <c r="S93" s="96"/>
      <c r="T93" s="89"/>
      <c r="U93" s="96"/>
      <c r="V93" s="89"/>
      <c r="W93" s="96"/>
      <c r="X93" s="89"/>
      <c r="Y93" s="96"/>
      <c r="Z93" s="89"/>
      <c r="AA93" s="96"/>
      <c r="AB93" s="89"/>
      <c r="AC93" s="96"/>
      <c r="AD93" s="89"/>
      <c r="AE93" s="96"/>
      <c r="AF93" s="89"/>
      <c r="AG93" s="96"/>
      <c r="AH93" s="89"/>
      <c r="AI93" s="96"/>
      <c r="AJ93" s="89"/>
      <c r="AK93" s="96"/>
      <c r="AL93" s="89"/>
      <c r="AM93" s="77"/>
      <c r="AN93" s="77"/>
      <c r="AO93" s="77"/>
      <c r="AP93" s="77"/>
      <c r="AQ93" s="77"/>
      <c r="AR93" s="77"/>
      <c r="AS93" s="77"/>
      <c r="AT93" s="77"/>
    </row>
    <row r="94" spans="1:46" s="84" customFormat="1" ht="14.25">
      <c r="A94" s="77"/>
      <c r="B94" s="97"/>
      <c r="C94" s="83"/>
      <c r="F94" s="101"/>
      <c r="G94" s="101"/>
      <c r="H94" s="101"/>
      <c r="I94" s="96"/>
      <c r="J94" s="89"/>
      <c r="K94" s="96"/>
      <c r="L94" s="89"/>
      <c r="M94" s="89"/>
      <c r="N94" s="89"/>
      <c r="O94" s="96"/>
      <c r="P94" s="89"/>
      <c r="Q94" s="96"/>
      <c r="R94" s="89"/>
      <c r="S94" s="96"/>
      <c r="T94" s="89"/>
      <c r="U94" s="96"/>
      <c r="V94" s="89"/>
      <c r="W94" s="96"/>
      <c r="X94" s="89"/>
      <c r="Y94" s="96"/>
      <c r="Z94" s="89"/>
      <c r="AA94" s="96"/>
      <c r="AB94" s="89"/>
      <c r="AC94" s="96"/>
      <c r="AD94" s="89"/>
      <c r="AE94" s="96"/>
      <c r="AF94" s="89"/>
      <c r="AG94" s="96"/>
      <c r="AH94" s="89"/>
      <c r="AI94" s="96"/>
      <c r="AJ94" s="89"/>
      <c r="AK94" s="96"/>
      <c r="AL94" s="89"/>
      <c r="AM94" s="77"/>
      <c r="AN94" s="77"/>
      <c r="AO94" s="77"/>
      <c r="AP94" s="77"/>
      <c r="AQ94" s="77"/>
      <c r="AR94" s="77"/>
      <c r="AS94" s="77"/>
      <c r="AT94" s="77"/>
    </row>
    <row r="95" spans="1:46" s="84" customFormat="1" ht="14.25">
      <c r="A95" s="77"/>
      <c r="B95" s="97"/>
      <c r="C95" s="83"/>
      <c r="F95" s="101"/>
      <c r="G95" s="101"/>
      <c r="H95" s="101"/>
      <c r="I95" s="96"/>
      <c r="J95" s="89"/>
      <c r="K95" s="96"/>
      <c r="L95" s="89"/>
      <c r="M95" s="89"/>
      <c r="N95" s="89"/>
      <c r="O95" s="96"/>
      <c r="P95" s="89"/>
      <c r="Q95" s="96"/>
      <c r="R95" s="89"/>
      <c r="S95" s="96"/>
      <c r="T95" s="89"/>
      <c r="U95" s="96"/>
      <c r="V95" s="89"/>
      <c r="W95" s="96"/>
      <c r="X95" s="89"/>
      <c r="Y95" s="96"/>
      <c r="Z95" s="89"/>
      <c r="AA95" s="96"/>
      <c r="AB95" s="89"/>
      <c r="AC95" s="96"/>
      <c r="AD95" s="89"/>
      <c r="AE95" s="96"/>
      <c r="AF95" s="89"/>
      <c r="AG95" s="96"/>
      <c r="AH95" s="89"/>
      <c r="AI95" s="96"/>
      <c r="AJ95" s="89"/>
      <c r="AK95" s="96"/>
      <c r="AL95" s="89"/>
      <c r="AM95" s="77"/>
      <c r="AN95" s="77"/>
      <c r="AO95" s="77"/>
      <c r="AP95" s="77"/>
      <c r="AQ95" s="77"/>
      <c r="AR95" s="77"/>
      <c r="AS95" s="77"/>
      <c r="AT95" s="77"/>
    </row>
    <row r="96" spans="1:46" s="84" customFormat="1" ht="14.25">
      <c r="A96" s="77"/>
      <c r="B96" s="97"/>
      <c r="C96" s="83"/>
      <c r="F96" s="101"/>
      <c r="G96" s="101"/>
      <c r="H96" s="101"/>
      <c r="I96" s="96"/>
      <c r="J96" s="89"/>
      <c r="K96" s="96"/>
      <c r="L96" s="89"/>
      <c r="M96" s="89"/>
      <c r="N96" s="89"/>
      <c r="O96" s="96"/>
      <c r="P96" s="89"/>
      <c r="Q96" s="96"/>
      <c r="R96" s="89"/>
      <c r="S96" s="96"/>
      <c r="T96" s="89"/>
      <c r="U96" s="96"/>
      <c r="V96" s="89"/>
      <c r="W96" s="96"/>
      <c r="X96" s="89"/>
      <c r="Y96" s="96"/>
      <c r="Z96" s="89"/>
      <c r="AA96" s="96"/>
      <c r="AB96" s="89"/>
      <c r="AC96" s="96"/>
      <c r="AD96" s="89"/>
      <c r="AE96" s="96"/>
      <c r="AF96" s="89"/>
      <c r="AG96" s="96"/>
      <c r="AH96" s="89"/>
      <c r="AI96" s="96"/>
      <c r="AJ96" s="89"/>
      <c r="AK96" s="96"/>
      <c r="AL96" s="89"/>
      <c r="AM96" s="77"/>
      <c r="AN96" s="77"/>
      <c r="AO96" s="77"/>
      <c r="AP96" s="77"/>
      <c r="AQ96" s="77"/>
      <c r="AR96" s="77"/>
      <c r="AS96" s="77"/>
      <c r="AT96" s="77"/>
    </row>
    <row r="97" spans="1:46" s="84" customFormat="1" ht="14.25">
      <c r="A97" s="77"/>
      <c r="B97" s="97"/>
      <c r="C97" s="83"/>
      <c r="F97" s="101"/>
      <c r="G97" s="101"/>
      <c r="H97" s="101"/>
      <c r="I97" s="96"/>
      <c r="J97" s="89"/>
      <c r="K97" s="96"/>
      <c r="L97" s="89"/>
      <c r="M97" s="89"/>
      <c r="N97" s="89"/>
      <c r="O97" s="96"/>
      <c r="P97" s="89"/>
      <c r="Q97" s="96"/>
      <c r="R97" s="89"/>
      <c r="S97" s="96"/>
      <c r="T97" s="89"/>
      <c r="U97" s="96"/>
      <c r="V97" s="89"/>
      <c r="W97" s="96"/>
      <c r="X97" s="89"/>
      <c r="Y97" s="96"/>
      <c r="Z97" s="89"/>
      <c r="AA97" s="96"/>
      <c r="AB97" s="89"/>
      <c r="AC97" s="96"/>
      <c r="AD97" s="89"/>
      <c r="AE97" s="96"/>
      <c r="AF97" s="89"/>
      <c r="AG97" s="96"/>
      <c r="AH97" s="89"/>
      <c r="AI97" s="96"/>
      <c r="AJ97" s="89"/>
      <c r="AK97" s="96"/>
      <c r="AL97" s="89"/>
      <c r="AM97" s="77"/>
      <c r="AN97" s="77"/>
      <c r="AO97" s="77"/>
      <c r="AP97" s="77"/>
      <c r="AQ97" s="77"/>
      <c r="AR97" s="77"/>
      <c r="AS97" s="77"/>
      <c r="AT97" s="77"/>
    </row>
    <row r="98" spans="1:46" s="84" customFormat="1" ht="14.25">
      <c r="A98" s="77"/>
      <c r="B98" s="97"/>
      <c r="C98" s="83"/>
      <c r="F98" s="101"/>
      <c r="G98" s="101"/>
      <c r="H98" s="101"/>
      <c r="I98" s="96"/>
      <c r="J98" s="89"/>
      <c r="K98" s="96"/>
      <c r="L98" s="89"/>
      <c r="M98" s="89"/>
      <c r="N98" s="89"/>
      <c r="O98" s="96"/>
      <c r="P98" s="89"/>
      <c r="Q98" s="96"/>
      <c r="R98" s="89"/>
      <c r="S98" s="96"/>
      <c r="T98" s="89"/>
      <c r="U98" s="96"/>
      <c r="V98" s="89"/>
      <c r="W98" s="96"/>
      <c r="X98" s="89"/>
      <c r="Y98" s="96"/>
      <c r="Z98" s="89"/>
      <c r="AA98" s="96"/>
      <c r="AB98" s="89"/>
      <c r="AC98" s="96"/>
      <c r="AD98" s="89"/>
      <c r="AE98" s="96"/>
      <c r="AF98" s="89"/>
      <c r="AG98" s="96"/>
      <c r="AH98" s="89"/>
      <c r="AI98" s="96"/>
      <c r="AJ98" s="89"/>
      <c r="AK98" s="96"/>
      <c r="AL98" s="89"/>
      <c r="AM98" s="77"/>
      <c r="AN98" s="77"/>
      <c r="AO98" s="77"/>
      <c r="AP98" s="77"/>
      <c r="AQ98" s="77"/>
      <c r="AR98" s="77"/>
      <c r="AS98" s="77"/>
      <c r="AT98" s="77"/>
    </row>
    <row r="99" spans="1:46" s="84" customFormat="1" ht="14.25">
      <c r="A99" s="77"/>
      <c r="B99" s="97"/>
      <c r="C99" s="83"/>
      <c r="F99" s="101"/>
      <c r="G99" s="101"/>
      <c r="H99" s="101"/>
      <c r="I99" s="96"/>
      <c r="J99" s="89"/>
      <c r="K99" s="96"/>
      <c r="L99" s="89"/>
      <c r="M99" s="89"/>
      <c r="N99" s="89"/>
      <c r="O99" s="96"/>
      <c r="P99" s="89"/>
      <c r="Q99" s="96"/>
      <c r="R99" s="89"/>
      <c r="S99" s="96"/>
      <c r="T99" s="89"/>
      <c r="U99" s="96"/>
      <c r="V99" s="89"/>
      <c r="W99" s="96"/>
      <c r="X99" s="89"/>
      <c r="Y99" s="96"/>
      <c r="Z99" s="89"/>
      <c r="AA99" s="96"/>
      <c r="AB99" s="89"/>
      <c r="AC99" s="96"/>
      <c r="AD99" s="89"/>
      <c r="AE99" s="96"/>
      <c r="AF99" s="89"/>
      <c r="AG99" s="96"/>
      <c r="AH99" s="89"/>
      <c r="AI99" s="96"/>
      <c r="AJ99" s="89"/>
      <c r="AK99" s="96"/>
      <c r="AL99" s="89"/>
      <c r="AM99" s="77"/>
      <c r="AN99" s="77"/>
      <c r="AO99" s="77"/>
      <c r="AP99" s="77"/>
      <c r="AQ99" s="77"/>
      <c r="AR99" s="77"/>
      <c r="AS99" s="77"/>
      <c r="AT99" s="77"/>
    </row>
    <row r="100" spans="1:46" s="84" customFormat="1" ht="14.25">
      <c r="A100" s="77"/>
      <c r="B100" s="97"/>
      <c r="C100" s="83"/>
      <c r="F100" s="101"/>
      <c r="G100" s="101"/>
      <c r="H100" s="101"/>
      <c r="I100" s="96"/>
      <c r="J100" s="89"/>
      <c r="K100" s="96"/>
      <c r="L100" s="89"/>
      <c r="M100" s="89"/>
      <c r="N100" s="89"/>
      <c r="O100" s="96"/>
      <c r="P100" s="89"/>
      <c r="Q100" s="96"/>
      <c r="R100" s="89"/>
      <c r="S100" s="96"/>
      <c r="T100" s="89"/>
      <c r="U100" s="96"/>
      <c r="V100" s="89"/>
      <c r="W100" s="96"/>
      <c r="X100" s="89"/>
      <c r="Y100" s="96"/>
      <c r="Z100" s="89"/>
      <c r="AA100" s="96"/>
      <c r="AB100" s="89"/>
      <c r="AC100" s="96"/>
      <c r="AD100" s="89"/>
      <c r="AE100" s="96"/>
      <c r="AF100" s="89"/>
      <c r="AG100" s="96"/>
      <c r="AH100" s="89"/>
      <c r="AI100" s="96"/>
      <c r="AJ100" s="89"/>
      <c r="AK100" s="96"/>
      <c r="AL100" s="89"/>
      <c r="AM100" s="77"/>
      <c r="AN100" s="77"/>
      <c r="AO100" s="77"/>
      <c r="AP100" s="77"/>
      <c r="AQ100" s="77"/>
      <c r="AR100" s="77"/>
      <c r="AS100" s="77"/>
      <c r="AT100" s="77"/>
    </row>
    <row r="101" spans="1:46" s="84" customFormat="1" ht="14.25">
      <c r="A101" s="77"/>
      <c r="B101" s="97"/>
      <c r="C101" s="83"/>
      <c r="F101" s="101"/>
      <c r="G101" s="101"/>
      <c r="H101" s="101"/>
      <c r="I101" s="96"/>
      <c r="J101" s="89"/>
      <c r="K101" s="96"/>
      <c r="L101" s="89"/>
      <c r="M101" s="89"/>
      <c r="N101" s="89"/>
      <c r="O101" s="96"/>
      <c r="P101" s="89"/>
      <c r="Q101" s="96"/>
      <c r="R101" s="89"/>
      <c r="S101" s="96"/>
      <c r="T101" s="89"/>
      <c r="U101" s="96"/>
      <c r="V101" s="89"/>
      <c r="W101" s="96"/>
      <c r="X101" s="89"/>
      <c r="Y101" s="96"/>
      <c r="Z101" s="89"/>
      <c r="AA101" s="96"/>
      <c r="AB101" s="89"/>
      <c r="AC101" s="96"/>
      <c r="AD101" s="89"/>
      <c r="AE101" s="96"/>
      <c r="AF101" s="89"/>
      <c r="AG101" s="96"/>
      <c r="AH101" s="89"/>
      <c r="AI101" s="96"/>
      <c r="AJ101" s="89"/>
      <c r="AK101" s="96"/>
      <c r="AL101" s="89"/>
      <c r="AM101" s="77"/>
      <c r="AN101" s="77"/>
      <c r="AO101" s="77"/>
      <c r="AP101" s="77"/>
      <c r="AQ101" s="77"/>
      <c r="AR101" s="77"/>
      <c r="AS101" s="77"/>
      <c r="AT101" s="77"/>
    </row>
    <row r="102" spans="1:46" s="84" customFormat="1" ht="14.25">
      <c r="A102" s="77"/>
      <c r="B102" s="97"/>
      <c r="C102" s="83"/>
      <c r="F102" s="101"/>
      <c r="G102" s="101"/>
      <c r="H102" s="101"/>
      <c r="I102" s="96"/>
      <c r="J102" s="89"/>
      <c r="K102" s="96"/>
      <c r="L102" s="89"/>
      <c r="M102" s="89"/>
      <c r="N102" s="89"/>
      <c r="O102" s="96"/>
      <c r="P102" s="89"/>
      <c r="Q102" s="96"/>
      <c r="R102" s="89"/>
      <c r="S102" s="96"/>
      <c r="T102" s="89"/>
      <c r="U102" s="96"/>
      <c r="V102" s="89"/>
      <c r="W102" s="96"/>
      <c r="X102" s="89"/>
      <c r="Y102" s="96"/>
      <c r="Z102" s="89"/>
      <c r="AA102" s="96"/>
      <c r="AB102" s="89"/>
      <c r="AC102" s="96"/>
      <c r="AD102" s="89"/>
      <c r="AE102" s="96"/>
      <c r="AF102" s="89"/>
      <c r="AG102" s="96"/>
      <c r="AH102" s="89"/>
      <c r="AI102" s="96"/>
      <c r="AJ102" s="89"/>
      <c r="AK102" s="96"/>
      <c r="AL102" s="89"/>
      <c r="AM102" s="77"/>
      <c r="AN102" s="77"/>
      <c r="AO102" s="77"/>
      <c r="AP102" s="77"/>
      <c r="AQ102" s="77"/>
      <c r="AR102" s="77"/>
      <c r="AS102" s="77"/>
      <c r="AT102" s="77"/>
    </row>
    <row r="103" spans="1:46" s="84" customFormat="1" ht="14.25">
      <c r="A103" s="77"/>
      <c r="B103" s="97"/>
      <c r="C103" s="83"/>
      <c r="F103" s="101"/>
      <c r="G103" s="101"/>
      <c r="H103" s="101"/>
      <c r="I103" s="96"/>
      <c r="J103" s="89"/>
      <c r="K103" s="96"/>
      <c r="L103" s="89"/>
      <c r="M103" s="89"/>
      <c r="N103" s="89"/>
      <c r="O103" s="96"/>
      <c r="P103" s="89"/>
      <c r="Q103" s="96"/>
      <c r="R103" s="89"/>
      <c r="S103" s="96"/>
      <c r="T103" s="89"/>
      <c r="U103" s="96"/>
      <c r="V103" s="89"/>
      <c r="W103" s="96"/>
      <c r="X103" s="89"/>
      <c r="Y103" s="96"/>
      <c r="Z103" s="89"/>
      <c r="AA103" s="96"/>
      <c r="AB103" s="89"/>
      <c r="AC103" s="96"/>
      <c r="AD103" s="89"/>
      <c r="AE103" s="96"/>
      <c r="AF103" s="89"/>
      <c r="AG103" s="96"/>
      <c r="AH103" s="89"/>
      <c r="AI103" s="96"/>
      <c r="AJ103" s="89"/>
      <c r="AK103" s="96"/>
      <c r="AL103" s="89"/>
      <c r="AM103" s="77"/>
      <c r="AN103" s="77"/>
      <c r="AO103" s="77"/>
      <c r="AP103" s="77"/>
      <c r="AQ103" s="77"/>
      <c r="AR103" s="77"/>
      <c r="AS103" s="77"/>
      <c r="AT103" s="77"/>
    </row>
    <row r="104" spans="1:46" s="84" customFormat="1" ht="14.25">
      <c r="A104" s="77"/>
      <c r="B104" s="97"/>
      <c r="C104" s="83"/>
      <c r="F104" s="101"/>
      <c r="G104" s="101"/>
      <c r="H104" s="101"/>
      <c r="I104" s="96"/>
      <c r="J104" s="89"/>
      <c r="K104" s="96"/>
      <c r="L104" s="89"/>
      <c r="M104" s="89"/>
      <c r="N104" s="89"/>
      <c r="O104" s="96"/>
      <c r="P104" s="89"/>
      <c r="Q104" s="96"/>
      <c r="R104" s="89"/>
      <c r="S104" s="96"/>
      <c r="T104" s="89"/>
      <c r="U104" s="96"/>
      <c r="V104" s="89"/>
      <c r="W104" s="96"/>
      <c r="X104" s="89"/>
      <c r="Y104" s="96"/>
      <c r="Z104" s="89"/>
      <c r="AA104" s="96"/>
      <c r="AB104" s="89"/>
      <c r="AC104" s="96"/>
      <c r="AD104" s="89"/>
      <c r="AE104" s="96"/>
      <c r="AF104" s="89"/>
      <c r="AG104" s="96"/>
      <c r="AH104" s="89"/>
      <c r="AI104" s="96"/>
      <c r="AJ104" s="89"/>
      <c r="AK104" s="96"/>
      <c r="AL104" s="89"/>
      <c r="AM104" s="77"/>
      <c r="AN104" s="77"/>
      <c r="AO104" s="77"/>
      <c r="AP104" s="77"/>
      <c r="AQ104" s="77"/>
      <c r="AR104" s="77"/>
      <c r="AS104" s="77"/>
      <c r="AT104" s="77"/>
    </row>
    <row r="105" spans="1:46" s="84" customFormat="1" ht="14.25">
      <c r="A105" s="77"/>
      <c r="B105" s="97"/>
      <c r="C105" s="83"/>
      <c r="F105" s="101"/>
      <c r="G105" s="101"/>
      <c r="H105" s="101"/>
      <c r="I105" s="96"/>
      <c r="J105" s="89"/>
      <c r="K105" s="96"/>
      <c r="L105" s="89"/>
      <c r="M105" s="89"/>
      <c r="N105" s="89"/>
      <c r="O105" s="96"/>
      <c r="P105" s="89"/>
      <c r="Q105" s="96"/>
      <c r="R105" s="89"/>
      <c r="S105" s="96"/>
      <c r="T105" s="89"/>
      <c r="U105" s="96"/>
      <c r="V105" s="89"/>
      <c r="W105" s="96"/>
      <c r="X105" s="89"/>
      <c r="Y105" s="96"/>
      <c r="Z105" s="89"/>
      <c r="AA105" s="96"/>
      <c r="AB105" s="89"/>
      <c r="AC105" s="96"/>
      <c r="AD105" s="89"/>
      <c r="AE105" s="96"/>
      <c r="AF105" s="89"/>
      <c r="AG105" s="96"/>
      <c r="AH105" s="89"/>
      <c r="AI105" s="96"/>
      <c r="AJ105" s="89"/>
      <c r="AK105" s="96"/>
      <c r="AL105" s="89"/>
      <c r="AM105" s="77"/>
      <c r="AN105" s="77"/>
      <c r="AO105" s="77"/>
      <c r="AP105" s="77"/>
      <c r="AQ105" s="77"/>
      <c r="AR105" s="77"/>
      <c r="AS105" s="77"/>
      <c r="AT105" s="77"/>
    </row>
    <row r="106" spans="1:46" s="84" customFormat="1" ht="14.25">
      <c r="A106" s="77"/>
      <c r="B106" s="97"/>
      <c r="C106" s="83"/>
      <c r="F106" s="101"/>
      <c r="G106" s="101"/>
      <c r="H106" s="101"/>
      <c r="I106" s="96"/>
      <c r="J106" s="89"/>
      <c r="K106" s="96"/>
      <c r="L106" s="89"/>
      <c r="M106" s="89"/>
      <c r="N106" s="89"/>
      <c r="O106" s="96"/>
      <c r="P106" s="89"/>
      <c r="Q106" s="96"/>
      <c r="R106" s="89"/>
      <c r="S106" s="96"/>
      <c r="T106" s="89"/>
      <c r="U106" s="96"/>
      <c r="V106" s="89"/>
      <c r="W106" s="96"/>
      <c r="X106" s="89"/>
      <c r="Y106" s="96"/>
      <c r="Z106" s="89"/>
      <c r="AA106" s="96"/>
      <c r="AB106" s="89"/>
      <c r="AC106" s="96"/>
      <c r="AD106" s="89"/>
      <c r="AE106" s="96"/>
      <c r="AF106" s="89"/>
      <c r="AG106" s="96"/>
      <c r="AH106" s="89"/>
      <c r="AI106" s="96"/>
      <c r="AJ106" s="89"/>
      <c r="AK106" s="96"/>
      <c r="AL106" s="89"/>
      <c r="AM106" s="77"/>
      <c r="AN106" s="77"/>
      <c r="AO106" s="77"/>
      <c r="AP106" s="77"/>
      <c r="AQ106" s="77"/>
      <c r="AR106" s="77"/>
      <c r="AS106" s="77"/>
      <c r="AT106" s="77"/>
    </row>
  </sheetData>
  <mergeCells count="32">
    <mergeCell ref="G5:G6"/>
    <mergeCell ref="H5:H6"/>
    <mergeCell ref="I5:J5"/>
    <mergeCell ref="K5:L5"/>
    <mergeCell ref="AK5:AL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I4:AJ4"/>
    <mergeCell ref="AK4:AL4"/>
    <mergeCell ref="B2:AL2"/>
    <mergeCell ref="C3:C6"/>
    <mergeCell ref="D3:E6"/>
    <mergeCell ref="F3:H4"/>
    <mergeCell ref="I3:AL3"/>
    <mergeCell ref="I4:N4"/>
    <mergeCell ref="O4:T4"/>
    <mergeCell ref="U4:V4"/>
    <mergeCell ref="M5:N5"/>
    <mergeCell ref="W4:X4"/>
    <mergeCell ref="Y4:AD4"/>
    <mergeCell ref="AE4:AF4"/>
    <mergeCell ref="AG4:AH4"/>
    <mergeCell ref="F5:F6"/>
  </mergeCells>
  <phoneticPr fontId="1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B0F0"/>
  </sheetPr>
  <dimension ref="A2:AL106"/>
  <sheetViews>
    <sheetView zoomScale="70" zoomScaleNormal="7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BE44" sqref="BE44"/>
    </sheetView>
  </sheetViews>
  <sheetFormatPr defaultColWidth="8.85546875" defaultRowHeight="16.5"/>
  <cols>
    <col min="1" max="1" width="0" style="77" hidden="1" customWidth="1"/>
    <col min="2" max="2" width="13.140625" style="77" hidden="1" customWidth="1"/>
    <col min="3" max="3" width="0" style="102" hidden="1" customWidth="1"/>
    <col min="4" max="4" width="17" style="102" customWidth="1"/>
    <col min="5" max="5" width="8.5703125" style="84" customWidth="1"/>
    <col min="6" max="8" width="17.42578125" style="103" customWidth="1"/>
    <col min="9" max="9" width="10.5703125" style="87" customWidth="1"/>
    <col min="10" max="10" width="10.5703125" style="89" customWidth="1"/>
    <col min="11" max="11" width="10.5703125" style="87" customWidth="1"/>
    <col min="12" max="12" width="10.5703125" style="89" customWidth="1"/>
    <col min="13" max="13" width="10.5703125" style="87" customWidth="1"/>
    <col min="14" max="14" width="10.5703125" style="89" customWidth="1"/>
    <col min="15" max="15" width="10.5703125" style="87" customWidth="1"/>
    <col min="16" max="16" width="10.5703125" style="89" customWidth="1"/>
    <col min="17" max="17" width="10.5703125" style="87" customWidth="1"/>
    <col min="18" max="18" width="10.5703125" style="89" customWidth="1"/>
    <col min="19" max="19" width="10.5703125" style="87" customWidth="1"/>
    <col min="20" max="20" width="10.5703125" style="89" customWidth="1"/>
    <col min="21" max="21" width="10.5703125" style="87" customWidth="1"/>
    <col min="22" max="22" width="10.5703125" style="89" customWidth="1"/>
    <col min="23" max="23" width="10.5703125" style="87" customWidth="1"/>
    <col min="24" max="24" width="10.5703125" style="89" customWidth="1"/>
    <col min="25" max="25" width="10.5703125" style="87" customWidth="1"/>
    <col min="26" max="26" width="10.5703125" style="89" customWidth="1"/>
    <col min="27" max="27" width="10.5703125" style="87" customWidth="1"/>
    <col min="28" max="28" width="10.5703125" style="89" customWidth="1"/>
    <col min="29" max="29" width="10.5703125" style="87" customWidth="1"/>
    <col min="30" max="30" width="10.5703125" style="89" customWidth="1"/>
    <col min="31" max="31" width="10.5703125" style="87" customWidth="1"/>
    <col min="32" max="32" width="10.5703125" style="89" customWidth="1"/>
    <col min="33" max="33" width="10.42578125" style="87" customWidth="1"/>
    <col min="34" max="34" width="10.42578125" style="89" customWidth="1"/>
    <col min="35" max="35" width="10.42578125" style="87" customWidth="1"/>
    <col min="36" max="36" width="10.42578125" style="89" customWidth="1"/>
    <col min="37" max="37" width="10.42578125" style="87" customWidth="1"/>
    <col min="38" max="38" width="10.42578125" style="89" customWidth="1"/>
    <col min="39" max="16384" width="8.85546875" style="77"/>
  </cols>
  <sheetData>
    <row r="2" spans="1:38" ht="38.1" customHeight="1">
      <c r="A2" s="75"/>
      <c r="B2" s="619" t="s">
        <v>301</v>
      </c>
      <c r="C2" s="619"/>
      <c r="D2" s="619"/>
      <c r="E2" s="619"/>
      <c r="F2" s="619"/>
      <c r="G2" s="619"/>
      <c r="H2" s="619"/>
      <c r="I2" s="619"/>
      <c r="J2" s="619"/>
      <c r="K2" s="619"/>
      <c r="L2" s="619"/>
      <c r="M2" s="619"/>
      <c r="N2" s="619"/>
      <c r="O2" s="619"/>
      <c r="P2" s="619"/>
      <c r="Q2" s="619"/>
      <c r="R2" s="619"/>
      <c r="S2" s="619"/>
      <c r="T2" s="619"/>
      <c r="U2" s="619"/>
      <c r="V2" s="619"/>
      <c r="W2" s="619"/>
      <c r="X2" s="619"/>
      <c r="Y2" s="619"/>
      <c r="Z2" s="619"/>
      <c r="AA2" s="619"/>
      <c r="AB2" s="619"/>
      <c r="AC2" s="619"/>
      <c r="AD2" s="619"/>
      <c r="AE2" s="619"/>
      <c r="AF2" s="619"/>
      <c r="AG2" s="619"/>
      <c r="AH2" s="619"/>
      <c r="AI2" s="619"/>
      <c r="AJ2" s="619"/>
      <c r="AK2" s="619"/>
      <c r="AL2" s="619"/>
    </row>
    <row r="3" spans="1:38" ht="25.35" customHeight="1">
      <c r="B3" s="97"/>
      <c r="C3" s="620" t="s">
        <v>139</v>
      </c>
      <c r="D3" s="621" t="s">
        <v>105</v>
      </c>
      <c r="E3" s="621"/>
      <c r="F3" s="629" t="s">
        <v>148</v>
      </c>
      <c r="G3" s="630"/>
      <c r="H3" s="630"/>
      <c r="I3" s="627" t="s">
        <v>299</v>
      </c>
      <c r="J3" s="627"/>
      <c r="K3" s="627"/>
      <c r="L3" s="627"/>
      <c r="M3" s="627"/>
      <c r="N3" s="627"/>
      <c r="O3" s="627"/>
      <c r="P3" s="627"/>
      <c r="Q3" s="627"/>
      <c r="R3" s="627"/>
      <c r="S3" s="627"/>
      <c r="T3" s="627"/>
      <c r="U3" s="627"/>
      <c r="V3" s="627"/>
      <c r="W3" s="627"/>
      <c r="X3" s="627"/>
      <c r="Y3" s="627"/>
      <c r="Z3" s="627"/>
      <c r="AA3" s="627"/>
      <c r="AB3" s="627"/>
      <c r="AC3" s="627"/>
      <c r="AD3" s="627"/>
      <c r="AE3" s="627"/>
      <c r="AF3" s="627"/>
      <c r="AG3" s="627"/>
      <c r="AH3" s="627"/>
      <c r="AI3" s="627"/>
      <c r="AJ3" s="627"/>
      <c r="AK3" s="627"/>
      <c r="AL3" s="627"/>
    </row>
    <row r="4" spans="1:38" ht="25.35" customHeight="1">
      <c r="B4" s="97"/>
      <c r="C4" s="620"/>
      <c r="D4" s="621"/>
      <c r="E4" s="621"/>
      <c r="F4" s="630"/>
      <c r="G4" s="630"/>
      <c r="H4" s="630"/>
      <c r="I4" s="628" t="s">
        <v>140</v>
      </c>
      <c r="J4" s="628"/>
      <c r="K4" s="628"/>
      <c r="L4" s="628"/>
      <c r="M4" s="628"/>
      <c r="N4" s="628"/>
      <c r="O4" s="628" t="s">
        <v>141</v>
      </c>
      <c r="P4" s="628"/>
      <c r="Q4" s="628"/>
      <c r="R4" s="628"/>
      <c r="S4" s="628"/>
      <c r="T4" s="628"/>
      <c r="U4" s="628" t="s">
        <v>142</v>
      </c>
      <c r="V4" s="628"/>
      <c r="W4" s="628" t="s">
        <v>143</v>
      </c>
      <c r="X4" s="628"/>
      <c r="Y4" s="628" t="s">
        <v>134</v>
      </c>
      <c r="Z4" s="628"/>
      <c r="AA4" s="628"/>
      <c r="AB4" s="628"/>
      <c r="AC4" s="628"/>
      <c r="AD4" s="628"/>
      <c r="AE4" s="628" t="s">
        <v>132</v>
      </c>
      <c r="AF4" s="628"/>
      <c r="AG4" s="628" t="s">
        <v>144</v>
      </c>
      <c r="AH4" s="628"/>
      <c r="AI4" s="628" t="s">
        <v>145</v>
      </c>
      <c r="AJ4" s="628"/>
      <c r="AK4" s="628" t="s">
        <v>138</v>
      </c>
      <c r="AL4" s="628"/>
    </row>
    <row r="5" spans="1:38" ht="25.35" customHeight="1">
      <c r="B5" s="97"/>
      <c r="C5" s="620"/>
      <c r="D5" s="621"/>
      <c r="E5" s="621"/>
      <c r="F5" s="626" t="s">
        <v>115</v>
      </c>
      <c r="G5" s="626" t="s">
        <v>117</v>
      </c>
      <c r="H5" s="626" t="s">
        <v>118</v>
      </c>
      <c r="I5" s="628" t="s">
        <v>129</v>
      </c>
      <c r="J5" s="628"/>
      <c r="K5" s="628" t="s">
        <v>130</v>
      </c>
      <c r="L5" s="628"/>
      <c r="M5" s="631" t="s">
        <v>146</v>
      </c>
      <c r="N5" s="628"/>
      <c r="O5" s="628" t="s">
        <v>129</v>
      </c>
      <c r="P5" s="628"/>
      <c r="Q5" s="628" t="s">
        <v>130</v>
      </c>
      <c r="R5" s="628"/>
      <c r="S5" s="631" t="s">
        <v>146</v>
      </c>
      <c r="T5" s="628"/>
      <c r="U5" s="628" t="s">
        <v>129</v>
      </c>
      <c r="V5" s="628"/>
      <c r="W5" s="628" t="s">
        <v>129</v>
      </c>
      <c r="X5" s="628"/>
      <c r="Y5" s="628" t="s">
        <v>129</v>
      </c>
      <c r="Z5" s="628"/>
      <c r="AA5" s="628" t="s">
        <v>130</v>
      </c>
      <c r="AB5" s="628"/>
      <c r="AC5" s="631" t="s">
        <v>146</v>
      </c>
      <c r="AD5" s="628"/>
      <c r="AE5" s="628" t="s">
        <v>129</v>
      </c>
      <c r="AF5" s="628"/>
      <c r="AG5" s="628" t="s">
        <v>129</v>
      </c>
      <c r="AH5" s="628"/>
      <c r="AI5" s="628" t="s">
        <v>129</v>
      </c>
      <c r="AJ5" s="628"/>
      <c r="AK5" s="628" t="s">
        <v>129</v>
      </c>
      <c r="AL5" s="628"/>
    </row>
    <row r="6" spans="1:38" s="80" customFormat="1" ht="23.45" customHeight="1">
      <c r="B6" s="97"/>
      <c r="C6" s="620"/>
      <c r="D6" s="621"/>
      <c r="E6" s="621"/>
      <c r="F6" s="626"/>
      <c r="G6" s="626"/>
      <c r="H6" s="626"/>
      <c r="I6" s="104" t="s">
        <v>149</v>
      </c>
      <c r="J6" s="99" t="s">
        <v>113</v>
      </c>
      <c r="K6" s="104" t="s">
        <v>149</v>
      </c>
      <c r="L6" s="99" t="s">
        <v>113</v>
      </c>
      <c r="M6" s="104" t="s">
        <v>149</v>
      </c>
      <c r="N6" s="99" t="s">
        <v>113</v>
      </c>
      <c r="O6" s="104" t="s">
        <v>149</v>
      </c>
      <c r="P6" s="99" t="s">
        <v>113</v>
      </c>
      <c r="Q6" s="104" t="s">
        <v>149</v>
      </c>
      <c r="R6" s="99" t="s">
        <v>113</v>
      </c>
      <c r="S6" s="104" t="s">
        <v>149</v>
      </c>
      <c r="T6" s="99" t="s">
        <v>113</v>
      </c>
      <c r="U6" s="104" t="s">
        <v>149</v>
      </c>
      <c r="V6" s="99" t="s">
        <v>113</v>
      </c>
      <c r="W6" s="104" t="s">
        <v>149</v>
      </c>
      <c r="X6" s="99" t="s">
        <v>113</v>
      </c>
      <c r="Y6" s="104" t="s">
        <v>149</v>
      </c>
      <c r="Z6" s="99" t="s">
        <v>113</v>
      </c>
      <c r="AA6" s="104" t="s">
        <v>149</v>
      </c>
      <c r="AB6" s="99" t="s">
        <v>113</v>
      </c>
      <c r="AC6" s="104" t="s">
        <v>149</v>
      </c>
      <c r="AD6" s="99" t="s">
        <v>113</v>
      </c>
      <c r="AE6" s="104" t="s">
        <v>149</v>
      </c>
      <c r="AF6" s="99" t="s">
        <v>113</v>
      </c>
      <c r="AG6" s="104" t="s">
        <v>149</v>
      </c>
      <c r="AH6" s="99" t="s">
        <v>113</v>
      </c>
      <c r="AI6" s="104" t="s">
        <v>149</v>
      </c>
      <c r="AJ6" s="99" t="s">
        <v>113</v>
      </c>
      <c r="AK6" s="104" t="s">
        <v>149</v>
      </c>
      <c r="AL6" s="99" t="s">
        <v>113</v>
      </c>
    </row>
    <row r="7" spans="1:38" ht="14.25">
      <c r="B7" s="97"/>
      <c r="C7" s="83"/>
      <c r="D7" s="291">
        <v>46294</v>
      </c>
      <c r="E7" s="291" t="s">
        <v>437</v>
      </c>
      <c r="F7" s="87">
        <f t="shared" ref="F7" si="0">SUM(M7,S7,U7,W7,AC7,AE7,AG7,AI7,AK7)</f>
        <v>293370</v>
      </c>
      <c r="G7" s="293"/>
      <c r="H7" s="87"/>
      <c r="I7" s="229">
        <v>47162</v>
      </c>
      <c r="J7" s="100">
        <f t="shared" ref="J7:J13" si="1">I7/F7</f>
        <v>0.16075945052323004</v>
      </c>
      <c r="K7" s="229">
        <v>61496</v>
      </c>
      <c r="L7" s="100">
        <f t="shared" ref="L7:L13" si="2">K7/F7</f>
        <v>0.20961925213893717</v>
      </c>
      <c r="M7" s="105">
        <f t="shared" ref="M7:M13" si="3">SUM(I7+K7)</f>
        <v>108658</v>
      </c>
      <c r="N7" s="100">
        <f t="shared" ref="N7:N13" si="4">M7/F7</f>
        <v>0.37037870266216721</v>
      </c>
      <c r="O7" s="229">
        <v>12867</v>
      </c>
      <c r="P7" s="100">
        <f t="shared" ref="P7:P13" si="5">O7/F7</f>
        <v>4.3859290315983228E-2</v>
      </c>
      <c r="Q7" s="229"/>
      <c r="R7" s="100">
        <f t="shared" ref="R7:R13" si="6">Q7/F7</f>
        <v>0</v>
      </c>
      <c r="S7" s="105">
        <f t="shared" ref="S7:S13" si="7">SUM(O7+Q7)</f>
        <v>12867</v>
      </c>
      <c r="T7" s="100">
        <f t="shared" ref="T7:T13" si="8">S7/F7</f>
        <v>4.3859290315983228E-2</v>
      </c>
      <c r="U7" s="229">
        <v>32631</v>
      </c>
      <c r="V7" s="100">
        <f t="shared" ref="V7:V13" si="9">U7/F7</f>
        <v>0.11122814193680336</v>
      </c>
      <c r="W7" s="229"/>
      <c r="X7" s="100">
        <f t="shared" ref="X7:X13" si="10">W7/F7</f>
        <v>0</v>
      </c>
      <c r="Y7" s="229">
        <v>29537</v>
      </c>
      <c r="Z7" s="100">
        <f t="shared" ref="Z7:Z13" si="11">Y7/F7</f>
        <v>0.10068173296519753</v>
      </c>
      <c r="AA7" s="229">
        <v>24395</v>
      </c>
      <c r="AB7" s="100">
        <f t="shared" ref="AB7:AB13" si="12">AA7/F7</f>
        <v>8.3154378429968978E-2</v>
      </c>
      <c r="AC7" s="105">
        <f t="shared" ref="AC7:AC13" si="13">SUM(Y7+AA7)</f>
        <v>53932</v>
      </c>
      <c r="AD7" s="100">
        <f t="shared" ref="AD7:AD13" si="14">AC7/F7</f>
        <v>0.18383611139516651</v>
      </c>
      <c r="AE7" s="229">
        <v>26086</v>
      </c>
      <c r="AF7" s="100">
        <f t="shared" ref="AF7:AF13" si="15">AE7/F7</f>
        <v>8.8918430650714114E-2</v>
      </c>
      <c r="AG7" s="229">
        <v>13915</v>
      </c>
      <c r="AH7" s="100">
        <f t="shared" ref="AH7:AH13" si="16">AG7/F7</f>
        <v>4.7431571053618296E-2</v>
      </c>
      <c r="AI7" s="229">
        <v>21956</v>
      </c>
      <c r="AJ7" s="100">
        <f t="shared" ref="AJ7:AJ13" si="17">AI7/F7</f>
        <v>7.484064491938508E-2</v>
      </c>
      <c r="AK7" s="229">
        <v>23325</v>
      </c>
      <c r="AL7" s="100">
        <f t="shared" ref="AL7:AL13" si="18">AK7/F7</f>
        <v>7.950710706616218E-2</v>
      </c>
    </row>
    <row r="8" spans="1:38" ht="14.25">
      <c r="B8" s="97"/>
      <c r="C8" s="83"/>
      <c r="D8" s="291">
        <f t="shared" ref="D8" si="19">D7+1</f>
        <v>46295</v>
      </c>
      <c r="E8" s="291" t="s">
        <v>438</v>
      </c>
      <c r="F8" s="87">
        <f>SUM(M8,S8,U8,W8,AC8,AE8,AG8,AI8,AK8)</f>
        <v>282568</v>
      </c>
      <c r="G8" s="293">
        <f>SUM(F7:F13)</f>
        <v>1901792</v>
      </c>
      <c r="H8" s="306"/>
      <c r="I8" s="229">
        <v>43668</v>
      </c>
      <c r="J8" s="100">
        <f t="shared" si="1"/>
        <v>0.15453979219161407</v>
      </c>
      <c r="K8" s="229">
        <v>60507</v>
      </c>
      <c r="L8" s="100">
        <f t="shared" si="2"/>
        <v>0.21413252739163671</v>
      </c>
      <c r="M8" s="105">
        <f t="shared" si="3"/>
        <v>104175</v>
      </c>
      <c r="N8" s="100">
        <f t="shared" si="4"/>
        <v>0.36867231958325075</v>
      </c>
      <c r="O8" s="229">
        <v>10809</v>
      </c>
      <c r="P8" s="100">
        <f t="shared" si="5"/>
        <v>3.8252739163670335E-2</v>
      </c>
      <c r="Q8" s="229"/>
      <c r="R8" s="100">
        <f t="shared" si="6"/>
        <v>0</v>
      </c>
      <c r="S8" s="105">
        <f t="shared" si="7"/>
        <v>10809</v>
      </c>
      <c r="T8" s="100">
        <f t="shared" si="8"/>
        <v>3.8252739163670335E-2</v>
      </c>
      <c r="U8" s="229">
        <v>29804</v>
      </c>
      <c r="V8" s="100">
        <f t="shared" si="9"/>
        <v>0.10547549616375528</v>
      </c>
      <c r="W8" s="229"/>
      <c r="X8" s="100">
        <f t="shared" si="10"/>
        <v>0</v>
      </c>
      <c r="Y8" s="229">
        <v>30287</v>
      </c>
      <c r="Z8" s="100">
        <f t="shared" si="11"/>
        <v>0.10718481922935365</v>
      </c>
      <c r="AA8" s="229">
        <v>23848</v>
      </c>
      <c r="AB8" s="100">
        <f t="shared" si="12"/>
        <v>8.4397383992525693E-2</v>
      </c>
      <c r="AC8" s="105">
        <f t="shared" si="13"/>
        <v>54135</v>
      </c>
      <c r="AD8" s="100">
        <f t="shared" si="14"/>
        <v>0.19158220322187933</v>
      </c>
      <c r="AE8" s="229">
        <v>25775</v>
      </c>
      <c r="AF8" s="100">
        <f t="shared" si="15"/>
        <v>9.1216981399167632E-2</v>
      </c>
      <c r="AG8" s="229">
        <v>13016</v>
      </c>
      <c r="AH8" s="100">
        <f t="shared" si="16"/>
        <v>4.606324849239829E-2</v>
      </c>
      <c r="AI8" s="229">
        <v>21916</v>
      </c>
      <c r="AJ8" s="100">
        <f t="shared" si="17"/>
        <v>7.7560091730132216E-2</v>
      </c>
      <c r="AK8" s="229">
        <v>22938</v>
      </c>
      <c r="AL8" s="100">
        <f t="shared" si="18"/>
        <v>8.1176920245746159E-2</v>
      </c>
    </row>
    <row r="9" spans="1:38" ht="14.25">
      <c r="B9" s="97"/>
      <c r="C9" s="83"/>
      <c r="D9" s="291">
        <f>D8+1</f>
        <v>46296</v>
      </c>
      <c r="E9" s="291" t="s">
        <v>439</v>
      </c>
      <c r="F9" s="87">
        <f t="shared" ref="F9:F44" si="20">SUM(M9,S9,U9,W9,AC9,AE9,AG9,AI9,AK9)</f>
        <v>259744</v>
      </c>
      <c r="G9" s="293"/>
      <c r="I9" s="229">
        <v>42846</v>
      </c>
      <c r="J9" s="100">
        <f t="shared" si="1"/>
        <v>0.16495472465196501</v>
      </c>
      <c r="K9" s="229">
        <v>53294</v>
      </c>
      <c r="L9" s="100">
        <f t="shared" si="2"/>
        <v>0.2051789454231859</v>
      </c>
      <c r="M9" s="105">
        <f t="shared" si="3"/>
        <v>96140</v>
      </c>
      <c r="N9" s="100">
        <f t="shared" si="4"/>
        <v>0.37013367007515091</v>
      </c>
      <c r="O9" s="229">
        <v>10417</v>
      </c>
      <c r="P9" s="100">
        <f t="shared" si="5"/>
        <v>4.0104872489836144E-2</v>
      </c>
      <c r="Q9" s="229"/>
      <c r="R9" s="100">
        <f t="shared" si="6"/>
        <v>0</v>
      </c>
      <c r="S9" s="105">
        <f t="shared" si="7"/>
        <v>10417</v>
      </c>
      <c r="T9" s="100">
        <f t="shared" si="8"/>
        <v>4.0104872489836144E-2</v>
      </c>
      <c r="U9" s="229">
        <v>27355</v>
      </c>
      <c r="V9" s="100">
        <f t="shared" si="9"/>
        <v>0.10531523346063816</v>
      </c>
      <c r="W9" s="229"/>
      <c r="X9" s="100">
        <f t="shared" si="10"/>
        <v>0</v>
      </c>
      <c r="Y9" s="229">
        <v>28374</v>
      </c>
      <c r="Z9" s="100">
        <f t="shared" si="11"/>
        <v>0.10923832696809166</v>
      </c>
      <c r="AA9" s="229">
        <v>18515</v>
      </c>
      <c r="AB9" s="100">
        <f t="shared" si="12"/>
        <v>7.1281723543180978E-2</v>
      </c>
      <c r="AC9" s="105">
        <f t="shared" si="13"/>
        <v>46889</v>
      </c>
      <c r="AD9" s="100">
        <f t="shared" si="14"/>
        <v>0.18052005051127265</v>
      </c>
      <c r="AE9" s="229">
        <v>21970</v>
      </c>
      <c r="AF9" s="100">
        <f t="shared" si="15"/>
        <v>8.4583282000739196E-2</v>
      </c>
      <c r="AG9" s="229">
        <v>12283</v>
      </c>
      <c r="AH9" s="100">
        <f t="shared" si="16"/>
        <v>4.7288869040285821E-2</v>
      </c>
      <c r="AI9" s="229">
        <v>22467</v>
      </c>
      <c r="AJ9" s="100">
        <f t="shared" si="17"/>
        <v>8.6496704447455955E-2</v>
      </c>
      <c r="AK9" s="229">
        <v>22223</v>
      </c>
      <c r="AL9" s="100">
        <f t="shared" si="18"/>
        <v>8.5557317974621169E-2</v>
      </c>
    </row>
    <row r="10" spans="1:38" ht="14.25">
      <c r="B10" s="97"/>
      <c r="C10" s="83"/>
      <c r="D10" s="291">
        <f t="shared" ref="D10:D36" si="21">D9+1</f>
        <v>46297</v>
      </c>
      <c r="E10" s="291" t="s">
        <v>440</v>
      </c>
      <c r="F10" s="87">
        <f t="shared" si="20"/>
        <v>226048</v>
      </c>
      <c r="G10" s="293"/>
      <c r="H10" s="330"/>
      <c r="I10" s="229">
        <v>36381</v>
      </c>
      <c r="J10" s="100">
        <f t="shared" si="1"/>
        <v>0.16094369337485845</v>
      </c>
      <c r="K10" s="229">
        <v>49254</v>
      </c>
      <c r="L10" s="100">
        <f t="shared" si="2"/>
        <v>0.217891775198188</v>
      </c>
      <c r="M10" s="105">
        <f t="shared" si="3"/>
        <v>85635</v>
      </c>
      <c r="N10" s="100">
        <f t="shared" si="4"/>
        <v>0.37883546857304645</v>
      </c>
      <c r="O10" s="229">
        <v>9803</v>
      </c>
      <c r="P10" s="100">
        <f t="shared" si="5"/>
        <v>4.3366895526613818E-2</v>
      </c>
      <c r="Q10" s="229"/>
      <c r="R10" s="100">
        <f t="shared" si="6"/>
        <v>0</v>
      </c>
      <c r="S10" s="105">
        <f t="shared" si="7"/>
        <v>9803</v>
      </c>
      <c r="T10" s="100">
        <f t="shared" si="8"/>
        <v>4.3366895526613818E-2</v>
      </c>
      <c r="U10" s="229">
        <v>21197</v>
      </c>
      <c r="V10" s="100">
        <f t="shared" si="9"/>
        <v>9.3772119195922987E-2</v>
      </c>
      <c r="W10" s="229"/>
      <c r="X10" s="100">
        <f t="shared" si="10"/>
        <v>0</v>
      </c>
      <c r="Y10" s="229">
        <v>24172</v>
      </c>
      <c r="Z10" s="100">
        <f t="shared" si="11"/>
        <v>0.10693304077010192</v>
      </c>
      <c r="AA10" s="229">
        <v>18444</v>
      </c>
      <c r="AB10" s="100">
        <f t="shared" si="12"/>
        <v>8.1593289920724801E-2</v>
      </c>
      <c r="AC10" s="105">
        <f t="shared" si="13"/>
        <v>42616</v>
      </c>
      <c r="AD10" s="100">
        <f t="shared" si="14"/>
        <v>0.18852633069082672</v>
      </c>
      <c r="AE10" s="229">
        <v>17606</v>
      </c>
      <c r="AF10" s="100">
        <f t="shared" si="15"/>
        <v>7.7886112684031714E-2</v>
      </c>
      <c r="AG10" s="229">
        <v>10033</v>
      </c>
      <c r="AH10" s="100">
        <f t="shared" si="16"/>
        <v>4.4384378539071345E-2</v>
      </c>
      <c r="AI10" s="229">
        <v>21230</v>
      </c>
      <c r="AJ10" s="100">
        <f t="shared" si="17"/>
        <v>9.3918105889014725E-2</v>
      </c>
      <c r="AK10" s="229">
        <v>17928</v>
      </c>
      <c r="AL10" s="100">
        <f t="shared" si="18"/>
        <v>7.9310588901472259E-2</v>
      </c>
    </row>
    <row r="11" spans="1:38" ht="14.25">
      <c r="B11" s="97"/>
      <c r="C11" s="83"/>
      <c r="D11" s="291">
        <f t="shared" si="21"/>
        <v>46298</v>
      </c>
      <c r="E11" s="291" t="s">
        <v>441</v>
      </c>
      <c r="F11" s="87">
        <f t="shared" si="20"/>
        <v>238422</v>
      </c>
      <c r="G11" s="293"/>
      <c r="H11" s="330"/>
      <c r="I11" s="229">
        <v>34444</v>
      </c>
      <c r="J11" s="100">
        <f t="shared" si="1"/>
        <v>0.14446653412856197</v>
      </c>
      <c r="K11" s="229">
        <v>57622</v>
      </c>
      <c r="L11" s="100">
        <f t="shared" si="2"/>
        <v>0.24168071738346295</v>
      </c>
      <c r="M11" s="105">
        <f t="shared" si="3"/>
        <v>92066</v>
      </c>
      <c r="N11" s="100">
        <f t="shared" si="4"/>
        <v>0.38614725151202489</v>
      </c>
      <c r="O11" s="229">
        <v>9236</v>
      </c>
      <c r="P11" s="100">
        <f t="shared" si="5"/>
        <v>3.8738035919504074E-2</v>
      </c>
      <c r="Q11" s="229"/>
      <c r="R11" s="100">
        <f t="shared" si="6"/>
        <v>0</v>
      </c>
      <c r="S11" s="105">
        <f t="shared" si="7"/>
        <v>9236</v>
      </c>
      <c r="T11" s="100">
        <f t="shared" si="8"/>
        <v>3.8738035919504074E-2</v>
      </c>
      <c r="U11" s="229">
        <v>23736</v>
      </c>
      <c r="V11" s="100">
        <f t="shared" si="9"/>
        <v>9.9554571306339185E-2</v>
      </c>
      <c r="W11" s="229"/>
      <c r="X11" s="100">
        <f t="shared" si="10"/>
        <v>0</v>
      </c>
      <c r="Y11" s="229">
        <v>24386</v>
      </c>
      <c r="Z11" s="100">
        <f t="shared" si="11"/>
        <v>0.10228082978919731</v>
      </c>
      <c r="AA11" s="229">
        <v>21119</v>
      </c>
      <c r="AB11" s="100">
        <f t="shared" si="12"/>
        <v>8.8578235229970395E-2</v>
      </c>
      <c r="AC11" s="105">
        <f t="shared" si="13"/>
        <v>45505</v>
      </c>
      <c r="AD11" s="100">
        <f t="shared" si="14"/>
        <v>0.19085906501916769</v>
      </c>
      <c r="AE11" s="229">
        <v>18999</v>
      </c>
      <c r="AF11" s="100">
        <f t="shared" si="15"/>
        <v>7.9686438332033122E-2</v>
      </c>
      <c r="AG11" s="229">
        <v>9347</v>
      </c>
      <c r="AH11" s="100">
        <f t="shared" si="16"/>
        <v>3.9203596983499844E-2</v>
      </c>
      <c r="AI11" s="229">
        <v>22043</v>
      </c>
      <c r="AJ11" s="100">
        <f t="shared" si="17"/>
        <v>9.2453716519448711E-2</v>
      </c>
      <c r="AK11" s="229">
        <v>17490</v>
      </c>
      <c r="AL11" s="100">
        <f t="shared" si="18"/>
        <v>7.3357324407982483E-2</v>
      </c>
    </row>
    <row r="12" spans="1:38" ht="14.25">
      <c r="B12" s="97"/>
      <c r="C12" s="83"/>
      <c r="D12" s="291">
        <f t="shared" si="21"/>
        <v>46299</v>
      </c>
      <c r="E12" s="291" t="s">
        <v>442</v>
      </c>
      <c r="F12" s="87">
        <f t="shared" si="20"/>
        <v>304350</v>
      </c>
      <c r="G12" s="293"/>
      <c r="H12" s="330">
        <f>SUM(F8:F38)</f>
        <v>3459888</v>
      </c>
      <c r="I12" s="229">
        <v>47296</v>
      </c>
      <c r="J12" s="100">
        <f t="shared" si="1"/>
        <v>0.15540003285690818</v>
      </c>
      <c r="K12" s="229">
        <v>65725</v>
      </c>
      <c r="L12" s="100">
        <f t="shared" si="2"/>
        <v>0.21595202891407919</v>
      </c>
      <c r="M12" s="105">
        <f t="shared" si="3"/>
        <v>113021</v>
      </c>
      <c r="N12" s="100">
        <f t="shared" si="4"/>
        <v>0.37135206177098734</v>
      </c>
      <c r="O12" s="229">
        <v>12333</v>
      </c>
      <c r="P12" s="100">
        <f t="shared" si="5"/>
        <v>4.0522424839822574E-2</v>
      </c>
      <c r="Q12" s="229"/>
      <c r="R12" s="100">
        <f t="shared" si="6"/>
        <v>0</v>
      </c>
      <c r="S12" s="105">
        <f t="shared" si="7"/>
        <v>12333</v>
      </c>
      <c r="T12" s="100">
        <f t="shared" si="8"/>
        <v>4.0522424839822574E-2</v>
      </c>
      <c r="U12" s="229">
        <v>32589</v>
      </c>
      <c r="V12" s="100">
        <f t="shared" si="9"/>
        <v>0.10707737801872844</v>
      </c>
      <c r="W12" s="229"/>
      <c r="X12" s="100">
        <f t="shared" si="10"/>
        <v>0</v>
      </c>
      <c r="Y12" s="229">
        <v>29494</v>
      </c>
      <c r="Z12" s="100">
        <f t="shared" si="11"/>
        <v>9.690816494167899E-2</v>
      </c>
      <c r="AA12" s="229">
        <v>25464</v>
      </c>
      <c r="AB12" s="100">
        <f t="shared" si="12"/>
        <v>8.3666830951207485E-2</v>
      </c>
      <c r="AC12" s="105">
        <f t="shared" si="13"/>
        <v>54958</v>
      </c>
      <c r="AD12" s="100">
        <f t="shared" si="14"/>
        <v>0.18057499589288648</v>
      </c>
      <c r="AE12" s="229">
        <v>28858</v>
      </c>
      <c r="AF12" s="100">
        <f t="shared" si="15"/>
        <v>9.4818465582388697E-2</v>
      </c>
      <c r="AG12" s="229">
        <v>12785</v>
      </c>
      <c r="AH12" s="100">
        <f t="shared" si="16"/>
        <v>4.2007557088877934E-2</v>
      </c>
      <c r="AI12" s="229">
        <v>25935</v>
      </c>
      <c r="AJ12" s="100">
        <f t="shared" si="17"/>
        <v>8.521439132577624E-2</v>
      </c>
      <c r="AK12" s="229">
        <v>23871</v>
      </c>
      <c r="AL12" s="100">
        <f t="shared" si="18"/>
        <v>7.8432725480532275E-2</v>
      </c>
    </row>
    <row r="13" spans="1:38" ht="14.25">
      <c r="B13" s="97"/>
      <c r="C13" s="83"/>
      <c r="D13" s="291">
        <f t="shared" si="21"/>
        <v>46300</v>
      </c>
      <c r="E13" s="291" t="s">
        <v>436</v>
      </c>
      <c r="F13" s="87">
        <f t="shared" si="20"/>
        <v>297290</v>
      </c>
      <c r="G13" s="293"/>
      <c r="H13" s="330"/>
      <c r="I13" s="229">
        <v>46392</v>
      </c>
      <c r="J13" s="100">
        <f t="shared" si="1"/>
        <v>0.15604964849137207</v>
      </c>
      <c r="K13" s="229">
        <v>64136</v>
      </c>
      <c r="L13" s="100">
        <f t="shared" si="2"/>
        <v>0.21573547714352989</v>
      </c>
      <c r="M13" s="105">
        <f t="shared" si="3"/>
        <v>110528</v>
      </c>
      <c r="N13" s="100">
        <f t="shared" si="4"/>
        <v>0.37178512563490196</v>
      </c>
      <c r="O13" s="229">
        <v>11074</v>
      </c>
      <c r="P13" s="100">
        <f t="shared" si="5"/>
        <v>3.7249823404756299E-2</v>
      </c>
      <c r="Q13" s="229"/>
      <c r="R13" s="100">
        <f t="shared" si="6"/>
        <v>0</v>
      </c>
      <c r="S13" s="105">
        <f t="shared" si="7"/>
        <v>11074</v>
      </c>
      <c r="T13" s="100">
        <f t="shared" si="8"/>
        <v>3.7249823404756299E-2</v>
      </c>
      <c r="U13" s="229">
        <v>34160</v>
      </c>
      <c r="V13" s="100">
        <f t="shared" si="9"/>
        <v>0.11490463856840122</v>
      </c>
      <c r="W13" s="229"/>
      <c r="X13" s="100">
        <f t="shared" si="10"/>
        <v>0</v>
      </c>
      <c r="Y13" s="229">
        <v>27474</v>
      </c>
      <c r="Z13" s="100">
        <f t="shared" si="11"/>
        <v>9.241481381815736E-2</v>
      </c>
      <c r="AA13" s="229">
        <v>24192</v>
      </c>
      <c r="AB13" s="100">
        <f t="shared" si="12"/>
        <v>8.1375088297621856E-2</v>
      </c>
      <c r="AC13" s="105">
        <f t="shared" si="13"/>
        <v>51666</v>
      </c>
      <c r="AD13" s="100">
        <f t="shared" si="14"/>
        <v>0.17378990211577922</v>
      </c>
      <c r="AE13" s="229">
        <v>26466</v>
      </c>
      <c r="AF13" s="100">
        <f t="shared" si="15"/>
        <v>8.9024185139089773E-2</v>
      </c>
      <c r="AG13" s="229">
        <v>13955</v>
      </c>
      <c r="AH13" s="100">
        <f t="shared" si="16"/>
        <v>4.6940697635305596E-2</v>
      </c>
      <c r="AI13" s="229">
        <v>23848</v>
      </c>
      <c r="AJ13" s="100">
        <f t="shared" si="17"/>
        <v>8.0217968986511484E-2</v>
      </c>
      <c r="AK13" s="229">
        <v>25593</v>
      </c>
      <c r="AL13" s="100">
        <f t="shared" si="18"/>
        <v>8.6087658515254462E-2</v>
      </c>
    </row>
    <row r="14" spans="1:38" ht="14.25">
      <c r="B14" s="97"/>
      <c r="C14" s="83"/>
      <c r="D14" s="344">
        <f t="shared" si="21"/>
        <v>46301</v>
      </c>
      <c r="E14" s="344" t="s">
        <v>437</v>
      </c>
      <c r="F14" s="87">
        <f t="shared" si="20"/>
        <v>281903</v>
      </c>
      <c r="G14" s="293">
        <f>SUM(F14:F20)</f>
        <v>1851466</v>
      </c>
      <c r="H14" s="330"/>
      <c r="I14" s="229">
        <v>45984</v>
      </c>
      <c r="J14" s="100">
        <f>I14/F14</f>
        <v>0.16311993841853403</v>
      </c>
      <c r="K14" s="229">
        <v>62161</v>
      </c>
      <c r="L14" s="100">
        <f>K14/F14</f>
        <v>0.22050492545308137</v>
      </c>
      <c r="M14" s="105">
        <f>SUM(I14+K14)</f>
        <v>108145</v>
      </c>
      <c r="N14" s="100">
        <f>M14/F14</f>
        <v>0.38362486387161543</v>
      </c>
      <c r="O14" s="229">
        <v>11390</v>
      </c>
      <c r="P14" s="100">
        <f>O14/F14</f>
        <v>4.0403968741020847E-2</v>
      </c>
      <c r="Q14" s="229"/>
      <c r="R14" s="100">
        <f t="shared" ref="R14" si="22">Q14/F14</f>
        <v>0</v>
      </c>
      <c r="S14" s="105">
        <f t="shared" ref="S14" si="23">SUM(O14+Q14)</f>
        <v>11390</v>
      </c>
      <c r="T14" s="100">
        <f>S14/F14</f>
        <v>4.0403968741020847E-2</v>
      </c>
      <c r="U14" s="229">
        <v>31016</v>
      </c>
      <c r="V14" s="100">
        <f>U14/F14</f>
        <v>0.11002366062085185</v>
      </c>
      <c r="W14" s="229"/>
      <c r="X14" s="100">
        <f>W14/F14</f>
        <v>0</v>
      </c>
      <c r="Y14" s="229">
        <v>27415</v>
      </c>
      <c r="Z14" s="100">
        <f>Y14/F14</f>
        <v>9.7249763216425505E-2</v>
      </c>
      <c r="AA14" s="229">
        <v>23265</v>
      </c>
      <c r="AB14" s="100">
        <f t="shared" ref="AB14" si="24">AA14/F14</f>
        <v>8.2528387424043018E-2</v>
      </c>
      <c r="AC14" s="105">
        <f>SUM(Y14+AA14)</f>
        <v>50680</v>
      </c>
      <c r="AD14" s="100">
        <f>AC14/F14</f>
        <v>0.17977815064046854</v>
      </c>
      <c r="AE14" s="229">
        <v>24590</v>
      </c>
      <c r="AF14" s="100">
        <f>AE14/F14</f>
        <v>8.7228585719201279E-2</v>
      </c>
      <c r="AG14" s="229">
        <v>11681</v>
      </c>
      <c r="AH14" s="100">
        <f>AG14/F14</f>
        <v>4.1436238706221644E-2</v>
      </c>
      <c r="AI14" s="229">
        <v>21429</v>
      </c>
      <c r="AJ14" s="100">
        <f>AI14/F14</f>
        <v>7.6015508880714289E-2</v>
      </c>
      <c r="AK14" s="229">
        <v>22972</v>
      </c>
      <c r="AL14" s="100">
        <f>AK14/F14</f>
        <v>8.1489022819906137E-2</v>
      </c>
    </row>
    <row r="15" spans="1:38" ht="14.25">
      <c r="B15" s="97"/>
      <c r="C15" s="83"/>
      <c r="D15" s="344">
        <f t="shared" si="21"/>
        <v>46302</v>
      </c>
      <c r="E15" s="344" t="s">
        <v>438</v>
      </c>
      <c r="F15" s="87">
        <f t="shared" si="20"/>
        <v>265437</v>
      </c>
      <c r="G15" s="293"/>
      <c r="H15" s="330"/>
      <c r="I15" s="229">
        <v>44578</v>
      </c>
      <c r="J15" s="100">
        <f t="shared" ref="J15:J48" si="25">I15/F15</f>
        <v>0.16794192218869261</v>
      </c>
      <c r="K15" s="229">
        <v>57102</v>
      </c>
      <c r="L15" s="100">
        <f t="shared" ref="L15:L48" si="26">K15/F15</f>
        <v>0.21512449281750473</v>
      </c>
      <c r="M15" s="105">
        <f t="shared" ref="M15:M48" si="27">SUM(I15+K15)</f>
        <v>101680</v>
      </c>
      <c r="N15" s="100">
        <f t="shared" ref="N15:N48" si="28">M15/F15</f>
        <v>0.38306641500619731</v>
      </c>
      <c r="O15" s="229">
        <v>10952</v>
      </c>
      <c r="P15" s="100">
        <f t="shared" ref="P15:P48" si="29">O15/F15</f>
        <v>4.1260261380289862E-2</v>
      </c>
      <c r="Q15" s="229"/>
      <c r="R15" s="100">
        <f t="shared" ref="R15:R48" si="30">Q15/F15</f>
        <v>0</v>
      </c>
      <c r="S15" s="105">
        <f t="shared" ref="S15:S48" si="31">SUM(O15+Q15)</f>
        <v>10952</v>
      </c>
      <c r="T15" s="100">
        <f t="shared" ref="T15:T48" si="32">S15/F15</f>
        <v>4.1260261380289862E-2</v>
      </c>
      <c r="U15" s="229">
        <v>29145</v>
      </c>
      <c r="V15" s="100">
        <f t="shared" ref="V15:V48" si="33">U15/F15</f>
        <v>0.10980006555227795</v>
      </c>
      <c r="W15" s="229"/>
      <c r="X15" s="100">
        <f t="shared" ref="X15:X48" si="34">W15/F15</f>
        <v>0</v>
      </c>
      <c r="Y15" s="229">
        <v>26426</v>
      </c>
      <c r="Z15" s="100">
        <f t="shared" ref="Z15:Z48" si="35">Y15/F15</f>
        <v>9.9556580280819928E-2</v>
      </c>
      <c r="AA15" s="229">
        <v>20217</v>
      </c>
      <c r="AB15" s="100">
        <f t="shared" ref="AB15:AB48" si="36">AA15/F15</f>
        <v>7.6164965698075252E-2</v>
      </c>
      <c r="AC15" s="105">
        <f t="shared" ref="AC15:AC48" si="37">SUM(Y15+AA15)</f>
        <v>46643</v>
      </c>
      <c r="AD15" s="100">
        <f t="shared" ref="AD15:AD48" si="38">AC15/F15</f>
        <v>0.17572154597889519</v>
      </c>
      <c r="AE15" s="229">
        <v>23763</v>
      </c>
      <c r="AF15" s="100">
        <f t="shared" ref="AF15:AF48" si="39">AE15/F15</f>
        <v>8.9524067857909784E-2</v>
      </c>
      <c r="AG15" s="229">
        <v>10765</v>
      </c>
      <c r="AH15" s="100">
        <f t="shared" ref="AH15:AH48" si="40">AG15/F15</f>
        <v>4.0555762761031809E-2</v>
      </c>
      <c r="AI15" s="229">
        <v>20573</v>
      </c>
      <c r="AJ15" s="100">
        <f t="shared" ref="AJ15:AJ48" si="41">AI15/F15</f>
        <v>7.7506150235272395E-2</v>
      </c>
      <c r="AK15" s="229">
        <v>21916</v>
      </c>
      <c r="AL15" s="100">
        <f t="shared" ref="AL15:AL48" si="42">AK15/F15</f>
        <v>8.2565731228125688E-2</v>
      </c>
    </row>
    <row r="16" spans="1:38" ht="14.25">
      <c r="B16" s="97"/>
      <c r="C16" s="83"/>
      <c r="D16" s="344">
        <f t="shared" si="21"/>
        <v>46303</v>
      </c>
      <c r="E16" s="344" t="s">
        <v>439</v>
      </c>
      <c r="F16" s="87">
        <f t="shared" si="20"/>
        <v>241766</v>
      </c>
      <c r="G16" s="293"/>
      <c r="H16" s="330"/>
      <c r="I16" s="229">
        <v>35586</v>
      </c>
      <c r="J16" s="100">
        <f t="shared" si="25"/>
        <v>0.14719191284134245</v>
      </c>
      <c r="K16" s="229">
        <v>51231</v>
      </c>
      <c r="L16" s="100">
        <f t="shared" si="26"/>
        <v>0.21190324528676488</v>
      </c>
      <c r="M16" s="105">
        <f t="shared" si="27"/>
        <v>86817</v>
      </c>
      <c r="N16" s="100">
        <f t="shared" si="28"/>
        <v>0.35909515812810733</v>
      </c>
      <c r="O16" s="229">
        <v>9257</v>
      </c>
      <c r="P16" s="100">
        <f t="shared" si="29"/>
        <v>3.8289089450129467E-2</v>
      </c>
      <c r="Q16" s="229"/>
      <c r="R16" s="100">
        <f t="shared" si="30"/>
        <v>0</v>
      </c>
      <c r="S16" s="105">
        <f t="shared" si="31"/>
        <v>9257</v>
      </c>
      <c r="T16" s="100">
        <f t="shared" si="32"/>
        <v>3.8289089450129467E-2</v>
      </c>
      <c r="U16" s="229">
        <v>27226</v>
      </c>
      <c r="V16" s="100">
        <f t="shared" si="33"/>
        <v>0.11261302250936857</v>
      </c>
      <c r="W16" s="229"/>
      <c r="X16" s="100">
        <f t="shared" si="34"/>
        <v>0</v>
      </c>
      <c r="Y16" s="229">
        <v>24753</v>
      </c>
      <c r="Z16" s="100">
        <f t="shared" si="35"/>
        <v>0.10238412349130978</v>
      </c>
      <c r="AA16" s="229">
        <v>16605</v>
      </c>
      <c r="AB16" s="100">
        <f t="shared" si="36"/>
        <v>6.8682114110338102E-2</v>
      </c>
      <c r="AC16" s="105">
        <f t="shared" si="37"/>
        <v>41358</v>
      </c>
      <c r="AD16" s="100">
        <f t="shared" si="38"/>
        <v>0.17106623760164788</v>
      </c>
      <c r="AE16" s="229">
        <v>20612</v>
      </c>
      <c r="AF16" s="100">
        <f t="shared" si="39"/>
        <v>8.5255991330460038E-2</v>
      </c>
      <c r="AG16" s="229">
        <v>10064</v>
      </c>
      <c r="AH16" s="100">
        <f t="shared" si="40"/>
        <v>4.1627027787199192E-2</v>
      </c>
      <c r="AI16" s="229">
        <v>27436</v>
      </c>
      <c r="AJ16" s="100">
        <f t="shared" si="41"/>
        <v>0.11348163099856887</v>
      </c>
      <c r="AK16" s="229">
        <v>18996</v>
      </c>
      <c r="AL16" s="100">
        <f t="shared" si="42"/>
        <v>7.8571842194518668E-2</v>
      </c>
    </row>
    <row r="17" spans="2:38" ht="14.25">
      <c r="B17" s="97"/>
      <c r="C17" s="83"/>
      <c r="D17" s="344">
        <f t="shared" si="21"/>
        <v>46304</v>
      </c>
      <c r="E17" s="344" t="s">
        <v>440</v>
      </c>
      <c r="F17" s="87">
        <f t="shared" si="20"/>
        <v>222770</v>
      </c>
      <c r="G17" s="293"/>
      <c r="H17" s="330"/>
      <c r="I17" s="229">
        <v>33181</v>
      </c>
      <c r="J17" s="100">
        <f t="shared" si="25"/>
        <v>0.14894734479508012</v>
      </c>
      <c r="K17" s="229">
        <v>48588</v>
      </c>
      <c r="L17" s="100">
        <f t="shared" si="26"/>
        <v>0.21810836288548727</v>
      </c>
      <c r="M17" s="105">
        <f t="shared" si="27"/>
        <v>81769</v>
      </c>
      <c r="N17" s="100">
        <f t="shared" si="28"/>
        <v>0.36705570768056739</v>
      </c>
      <c r="O17" s="229">
        <v>9035</v>
      </c>
      <c r="P17" s="100">
        <f t="shared" si="29"/>
        <v>4.0557525699151595E-2</v>
      </c>
      <c r="Q17" s="229"/>
      <c r="R17" s="100">
        <f t="shared" si="30"/>
        <v>0</v>
      </c>
      <c r="S17" s="105">
        <f t="shared" si="31"/>
        <v>9035</v>
      </c>
      <c r="T17" s="100">
        <f t="shared" si="32"/>
        <v>4.0557525699151595E-2</v>
      </c>
      <c r="U17" s="229">
        <v>23261</v>
      </c>
      <c r="V17" s="100">
        <f t="shared" si="33"/>
        <v>0.10441711181936526</v>
      </c>
      <c r="W17" s="229"/>
      <c r="X17" s="100">
        <f t="shared" si="34"/>
        <v>0</v>
      </c>
      <c r="Y17" s="229">
        <v>22053</v>
      </c>
      <c r="Z17" s="100">
        <f t="shared" si="35"/>
        <v>9.8994478610225797E-2</v>
      </c>
      <c r="AA17" s="229">
        <v>16771</v>
      </c>
      <c r="AB17" s="100">
        <f t="shared" si="36"/>
        <v>7.5283925124567941E-2</v>
      </c>
      <c r="AC17" s="105">
        <f t="shared" si="37"/>
        <v>38824</v>
      </c>
      <c r="AD17" s="100">
        <f t="shared" si="38"/>
        <v>0.17427840373479372</v>
      </c>
      <c r="AE17" s="229">
        <v>16750</v>
      </c>
      <c r="AF17" s="100">
        <f t="shared" si="39"/>
        <v>7.5189657494276613E-2</v>
      </c>
      <c r="AG17" s="229">
        <v>8956</v>
      </c>
      <c r="AH17" s="100">
        <f t="shared" si="40"/>
        <v>4.0202899851865155E-2</v>
      </c>
      <c r="AI17" s="229">
        <v>26520</v>
      </c>
      <c r="AJ17" s="100">
        <f t="shared" si="41"/>
        <v>0.11904655025362482</v>
      </c>
      <c r="AK17" s="229">
        <v>17655</v>
      </c>
      <c r="AL17" s="100">
        <f t="shared" si="42"/>
        <v>7.9252143466355437E-2</v>
      </c>
    </row>
    <row r="18" spans="2:38" ht="14.25">
      <c r="B18" s="97"/>
      <c r="C18" s="83"/>
      <c r="D18" s="344">
        <f t="shared" si="21"/>
        <v>46305</v>
      </c>
      <c r="E18" s="344" t="s">
        <v>441</v>
      </c>
      <c r="F18" s="87">
        <f t="shared" si="20"/>
        <v>228538</v>
      </c>
      <c r="G18" s="293"/>
      <c r="H18" s="330"/>
      <c r="I18" s="229">
        <v>30277</v>
      </c>
      <c r="J18" s="100">
        <f t="shared" si="25"/>
        <v>0.13248125038286848</v>
      </c>
      <c r="K18" s="229">
        <v>54698</v>
      </c>
      <c r="L18" s="100">
        <f t="shared" si="26"/>
        <v>0.23933875329266904</v>
      </c>
      <c r="M18" s="105">
        <f t="shared" si="27"/>
        <v>84975</v>
      </c>
      <c r="N18" s="100">
        <f t="shared" si="28"/>
        <v>0.37182000367553752</v>
      </c>
      <c r="O18" s="229">
        <v>7584</v>
      </c>
      <c r="P18" s="100">
        <f t="shared" si="29"/>
        <v>3.3184853284792898E-2</v>
      </c>
      <c r="Q18" s="229"/>
      <c r="R18" s="100">
        <f t="shared" si="30"/>
        <v>0</v>
      </c>
      <c r="S18" s="105">
        <f t="shared" si="31"/>
        <v>7584</v>
      </c>
      <c r="T18" s="100">
        <f t="shared" si="32"/>
        <v>3.3184853284792898E-2</v>
      </c>
      <c r="U18" s="229">
        <v>24381</v>
      </c>
      <c r="V18" s="100">
        <f t="shared" si="33"/>
        <v>0.10668247731230693</v>
      </c>
      <c r="W18" s="229"/>
      <c r="X18" s="100">
        <f t="shared" si="34"/>
        <v>0</v>
      </c>
      <c r="Y18" s="229">
        <v>20629</v>
      </c>
      <c r="Z18" s="100">
        <f t="shared" si="35"/>
        <v>9.0265076267404112E-2</v>
      </c>
      <c r="AA18" s="229">
        <v>20805</v>
      </c>
      <c r="AB18" s="100">
        <f t="shared" si="36"/>
        <v>9.1035188896376101E-2</v>
      </c>
      <c r="AC18" s="105">
        <f t="shared" si="37"/>
        <v>41434</v>
      </c>
      <c r="AD18" s="100">
        <f t="shared" si="38"/>
        <v>0.1813002651637802</v>
      </c>
      <c r="AE18" s="229">
        <v>17566</v>
      </c>
      <c r="AF18" s="100">
        <f t="shared" si="39"/>
        <v>7.6862491139329123E-2</v>
      </c>
      <c r="AG18" s="229">
        <v>9496</v>
      </c>
      <c r="AH18" s="100">
        <f t="shared" si="40"/>
        <v>4.1551076844988578E-2</v>
      </c>
      <c r="AI18" s="229">
        <v>26890</v>
      </c>
      <c r="AJ18" s="100">
        <f t="shared" si="41"/>
        <v>0.11766095791509508</v>
      </c>
      <c r="AK18" s="229">
        <v>16212</v>
      </c>
      <c r="AL18" s="100">
        <f t="shared" si="42"/>
        <v>7.0937874664169634E-2</v>
      </c>
    </row>
    <row r="19" spans="2:38" ht="14.25">
      <c r="B19" s="97"/>
      <c r="C19" s="83"/>
      <c r="D19" s="344">
        <f t="shared" si="21"/>
        <v>46306</v>
      </c>
      <c r="E19" s="344" t="s">
        <v>442</v>
      </c>
      <c r="F19" s="87">
        <f t="shared" si="20"/>
        <v>312714</v>
      </c>
      <c r="G19" s="293"/>
      <c r="H19" s="330"/>
      <c r="I19" s="229">
        <v>45453</v>
      </c>
      <c r="J19" s="100">
        <f t="shared" si="25"/>
        <v>0.14535006427598379</v>
      </c>
      <c r="K19" s="229">
        <v>64936</v>
      </c>
      <c r="L19" s="100">
        <f t="shared" si="26"/>
        <v>0.20765299922612995</v>
      </c>
      <c r="M19" s="105">
        <f t="shared" si="27"/>
        <v>110389</v>
      </c>
      <c r="N19" s="100">
        <f t="shared" si="28"/>
        <v>0.35300306350211375</v>
      </c>
      <c r="O19" s="229">
        <v>11486</v>
      </c>
      <c r="P19" s="100">
        <f t="shared" si="29"/>
        <v>3.6730047263633867E-2</v>
      </c>
      <c r="Q19" s="229"/>
      <c r="R19" s="100">
        <f t="shared" si="30"/>
        <v>0</v>
      </c>
      <c r="S19" s="105">
        <f t="shared" si="31"/>
        <v>11486</v>
      </c>
      <c r="T19" s="100">
        <f t="shared" si="32"/>
        <v>3.6730047263633867E-2</v>
      </c>
      <c r="U19" s="229">
        <v>37081</v>
      </c>
      <c r="V19" s="100">
        <f t="shared" si="33"/>
        <v>0.11857799778711538</v>
      </c>
      <c r="W19" s="229"/>
      <c r="X19" s="100">
        <f t="shared" si="34"/>
        <v>0</v>
      </c>
      <c r="Y19" s="229">
        <v>30280</v>
      </c>
      <c r="Z19" s="100">
        <f t="shared" si="35"/>
        <v>9.6829691027584305E-2</v>
      </c>
      <c r="AA19" s="229">
        <v>24369</v>
      </c>
      <c r="AB19" s="100">
        <f t="shared" si="36"/>
        <v>7.7927435292311831E-2</v>
      </c>
      <c r="AC19" s="105">
        <f t="shared" si="37"/>
        <v>54649</v>
      </c>
      <c r="AD19" s="100">
        <f t="shared" si="38"/>
        <v>0.17475712631989612</v>
      </c>
      <c r="AE19" s="229">
        <v>27795</v>
      </c>
      <c r="AF19" s="100">
        <f t="shared" si="39"/>
        <v>8.8883132830637576E-2</v>
      </c>
      <c r="AG19" s="229">
        <v>12956</v>
      </c>
      <c r="AH19" s="100">
        <f t="shared" si="40"/>
        <v>4.1430828168869956E-2</v>
      </c>
      <c r="AI19" s="229">
        <v>33685</v>
      </c>
      <c r="AJ19" s="100">
        <f t="shared" si="41"/>
        <v>0.10771823455297812</v>
      </c>
      <c r="AK19" s="229">
        <v>24673</v>
      </c>
      <c r="AL19" s="100">
        <f t="shared" si="42"/>
        <v>7.8899569574755204E-2</v>
      </c>
    </row>
    <row r="20" spans="2:38" ht="14.25">
      <c r="B20" s="97"/>
      <c r="C20" s="83"/>
      <c r="D20" s="344">
        <f t="shared" si="21"/>
        <v>46307</v>
      </c>
      <c r="E20" s="344" t="s">
        <v>436</v>
      </c>
      <c r="F20" s="87">
        <f t="shared" si="20"/>
        <v>298338</v>
      </c>
      <c r="G20" s="293"/>
      <c r="H20" s="330"/>
      <c r="I20" s="229">
        <v>43949</v>
      </c>
      <c r="J20" s="100">
        <f t="shared" si="25"/>
        <v>0.14731277946490223</v>
      </c>
      <c r="K20" s="229">
        <v>63348</v>
      </c>
      <c r="L20" s="100">
        <f t="shared" si="26"/>
        <v>0.21233634334211532</v>
      </c>
      <c r="M20" s="105">
        <f t="shared" si="27"/>
        <v>107297</v>
      </c>
      <c r="N20" s="100">
        <f t="shared" si="28"/>
        <v>0.35964912280701755</v>
      </c>
      <c r="O20" s="229">
        <v>8170</v>
      </c>
      <c r="P20" s="100">
        <f t="shared" si="29"/>
        <v>2.7385046490892882E-2</v>
      </c>
      <c r="Q20" s="229"/>
      <c r="R20" s="100">
        <f t="shared" si="30"/>
        <v>0</v>
      </c>
      <c r="S20" s="105">
        <f t="shared" si="31"/>
        <v>8170</v>
      </c>
      <c r="T20" s="100">
        <f t="shared" si="32"/>
        <v>2.7385046490892882E-2</v>
      </c>
      <c r="U20" s="229">
        <v>34494</v>
      </c>
      <c r="V20" s="100">
        <f t="shared" si="33"/>
        <v>0.1156205377792973</v>
      </c>
      <c r="W20" s="229"/>
      <c r="X20" s="100">
        <f t="shared" si="34"/>
        <v>0</v>
      </c>
      <c r="Y20" s="229">
        <v>28401</v>
      </c>
      <c r="Z20" s="100">
        <f t="shared" si="35"/>
        <v>9.5197393560324195E-2</v>
      </c>
      <c r="AA20" s="229">
        <v>26102</v>
      </c>
      <c r="AB20" s="100">
        <f t="shared" si="36"/>
        <v>8.7491368850096202E-2</v>
      </c>
      <c r="AC20" s="105">
        <f t="shared" si="37"/>
        <v>54503</v>
      </c>
      <c r="AD20" s="100">
        <f t="shared" si="38"/>
        <v>0.1826887624104204</v>
      </c>
      <c r="AE20" s="229">
        <v>26131</v>
      </c>
      <c r="AF20" s="100">
        <f t="shared" si="39"/>
        <v>8.7588574033478805E-2</v>
      </c>
      <c r="AG20" s="229">
        <v>13405</v>
      </c>
      <c r="AH20" s="100">
        <f t="shared" si="40"/>
        <v>4.493225804289095E-2</v>
      </c>
      <c r="AI20" s="229">
        <v>28790</v>
      </c>
      <c r="AJ20" s="100">
        <f t="shared" si="41"/>
        <v>9.6501283778801225E-2</v>
      </c>
      <c r="AK20" s="229">
        <v>25548</v>
      </c>
      <c r="AL20" s="100">
        <f t="shared" si="42"/>
        <v>8.5634414657200897E-2</v>
      </c>
    </row>
    <row r="21" spans="2:38" ht="14.25">
      <c r="B21" s="97"/>
      <c r="C21" s="83"/>
      <c r="D21" s="291">
        <f t="shared" si="21"/>
        <v>46308</v>
      </c>
      <c r="E21" s="291" t="s">
        <v>437</v>
      </c>
      <c r="F21" s="87">
        <f t="shared" si="20"/>
        <v>0</v>
      </c>
      <c r="G21" s="293">
        <f>SUM(F21:F27)</f>
        <v>0</v>
      </c>
      <c r="H21" s="330"/>
      <c r="I21" s="229"/>
      <c r="J21" s="100" t="e">
        <f t="shared" si="25"/>
        <v>#DIV/0!</v>
      </c>
      <c r="K21" s="229"/>
      <c r="L21" s="100" t="e">
        <f t="shared" si="26"/>
        <v>#DIV/0!</v>
      </c>
      <c r="M21" s="105">
        <f t="shared" si="27"/>
        <v>0</v>
      </c>
      <c r="N21" s="100" t="e">
        <f t="shared" si="28"/>
        <v>#DIV/0!</v>
      </c>
      <c r="O21" s="229"/>
      <c r="P21" s="100" t="e">
        <f t="shared" si="29"/>
        <v>#DIV/0!</v>
      </c>
      <c r="Q21" s="229"/>
      <c r="R21" s="100" t="e">
        <f t="shared" si="30"/>
        <v>#DIV/0!</v>
      </c>
      <c r="S21" s="105">
        <f t="shared" si="31"/>
        <v>0</v>
      </c>
      <c r="T21" s="100" t="e">
        <f t="shared" si="32"/>
        <v>#DIV/0!</v>
      </c>
      <c r="U21" s="229"/>
      <c r="V21" s="100" t="e">
        <f t="shared" si="33"/>
        <v>#DIV/0!</v>
      </c>
      <c r="W21" s="229"/>
      <c r="X21" s="100" t="e">
        <f t="shared" si="34"/>
        <v>#DIV/0!</v>
      </c>
      <c r="Y21" s="229"/>
      <c r="Z21" s="100" t="e">
        <f t="shared" si="35"/>
        <v>#DIV/0!</v>
      </c>
      <c r="AA21" s="229"/>
      <c r="AB21" s="100" t="e">
        <f t="shared" si="36"/>
        <v>#DIV/0!</v>
      </c>
      <c r="AC21" s="105">
        <f t="shared" si="37"/>
        <v>0</v>
      </c>
      <c r="AD21" s="100" t="e">
        <f t="shared" si="38"/>
        <v>#DIV/0!</v>
      </c>
      <c r="AE21" s="229"/>
      <c r="AF21" s="100" t="e">
        <f t="shared" si="39"/>
        <v>#DIV/0!</v>
      </c>
      <c r="AG21" s="229"/>
      <c r="AH21" s="100" t="e">
        <f t="shared" si="40"/>
        <v>#DIV/0!</v>
      </c>
      <c r="AI21" s="229"/>
      <c r="AJ21" s="100" t="e">
        <f t="shared" si="41"/>
        <v>#DIV/0!</v>
      </c>
      <c r="AK21" s="229"/>
      <c r="AL21" s="100" t="e">
        <f t="shared" si="42"/>
        <v>#DIV/0!</v>
      </c>
    </row>
    <row r="22" spans="2:38" ht="14.25">
      <c r="B22" s="97"/>
      <c r="C22" s="83"/>
      <c r="D22" s="291">
        <f t="shared" si="21"/>
        <v>46309</v>
      </c>
      <c r="E22" s="291" t="s">
        <v>438</v>
      </c>
      <c r="F22" s="87">
        <f t="shared" si="20"/>
        <v>0</v>
      </c>
      <c r="G22" s="293"/>
      <c r="H22" s="330"/>
      <c r="I22" s="229"/>
      <c r="J22" s="100" t="e">
        <f t="shared" si="25"/>
        <v>#DIV/0!</v>
      </c>
      <c r="K22" s="229"/>
      <c r="L22" s="100" t="e">
        <f t="shared" si="26"/>
        <v>#DIV/0!</v>
      </c>
      <c r="M22" s="105">
        <f t="shared" si="27"/>
        <v>0</v>
      </c>
      <c r="N22" s="100" t="e">
        <f t="shared" si="28"/>
        <v>#DIV/0!</v>
      </c>
      <c r="O22" s="229"/>
      <c r="P22" s="100" t="e">
        <f t="shared" si="29"/>
        <v>#DIV/0!</v>
      </c>
      <c r="Q22" s="229"/>
      <c r="R22" s="100" t="e">
        <f t="shared" si="30"/>
        <v>#DIV/0!</v>
      </c>
      <c r="S22" s="105">
        <f t="shared" si="31"/>
        <v>0</v>
      </c>
      <c r="T22" s="100" t="e">
        <f t="shared" si="32"/>
        <v>#DIV/0!</v>
      </c>
      <c r="U22" s="229"/>
      <c r="V22" s="100" t="e">
        <f t="shared" si="33"/>
        <v>#DIV/0!</v>
      </c>
      <c r="W22" s="229"/>
      <c r="X22" s="100" t="e">
        <f t="shared" si="34"/>
        <v>#DIV/0!</v>
      </c>
      <c r="Y22" s="229"/>
      <c r="Z22" s="100" t="e">
        <f t="shared" si="35"/>
        <v>#DIV/0!</v>
      </c>
      <c r="AA22" s="229"/>
      <c r="AB22" s="100" t="e">
        <f t="shared" si="36"/>
        <v>#DIV/0!</v>
      </c>
      <c r="AC22" s="105">
        <f t="shared" si="37"/>
        <v>0</v>
      </c>
      <c r="AD22" s="100" t="e">
        <f t="shared" si="38"/>
        <v>#DIV/0!</v>
      </c>
      <c r="AE22" s="229"/>
      <c r="AF22" s="100" t="e">
        <f t="shared" si="39"/>
        <v>#DIV/0!</v>
      </c>
      <c r="AG22" s="229"/>
      <c r="AH22" s="100" t="e">
        <f t="shared" si="40"/>
        <v>#DIV/0!</v>
      </c>
      <c r="AI22" s="229"/>
      <c r="AJ22" s="100" t="e">
        <f t="shared" si="41"/>
        <v>#DIV/0!</v>
      </c>
      <c r="AK22" s="229"/>
      <c r="AL22" s="100" t="e">
        <f t="shared" si="42"/>
        <v>#DIV/0!</v>
      </c>
    </row>
    <row r="23" spans="2:38" ht="14.25">
      <c r="B23" s="97"/>
      <c r="C23" s="83"/>
      <c r="D23" s="291">
        <f t="shared" si="21"/>
        <v>46310</v>
      </c>
      <c r="E23" s="291" t="s">
        <v>439</v>
      </c>
      <c r="F23" s="87">
        <f t="shared" si="20"/>
        <v>0</v>
      </c>
      <c r="G23" s="293"/>
      <c r="H23" s="330"/>
      <c r="I23" s="229"/>
      <c r="J23" s="100" t="e">
        <f t="shared" si="25"/>
        <v>#DIV/0!</v>
      </c>
      <c r="K23" s="229"/>
      <c r="L23" s="100" t="e">
        <f t="shared" si="26"/>
        <v>#DIV/0!</v>
      </c>
      <c r="M23" s="105">
        <f t="shared" si="27"/>
        <v>0</v>
      </c>
      <c r="N23" s="100" t="e">
        <f t="shared" si="28"/>
        <v>#DIV/0!</v>
      </c>
      <c r="O23" s="229"/>
      <c r="P23" s="100" t="e">
        <f t="shared" si="29"/>
        <v>#DIV/0!</v>
      </c>
      <c r="Q23" s="229"/>
      <c r="R23" s="100" t="e">
        <f t="shared" si="30"/>
        <v>#DIV/0!</v>
      </c>
      <c r="S23" s="105">
        <f t="shared" si="31"/>
        <v>0</v>
      </c>
      <c r="T23" s="100" t="e">
        <f t="shared" si="32"/>
        <v>#DIV/0!</v>
      </c>
      <c r="U23" s="229"/>
      <c r="V23" s="100" t="e">
        <f t="shared" si="33"/>
        <v>#DIV/0!</v>
      </c>
      <c r="W23" s="229"/>
      <c r="X23" s="100" t="e">
        <f t="shared" si="34"/>
        <v>#DIV/0!</v>
      </c>
      <c r="Y23" s="229"/>
      <c r="Z23" s="100" t="e">
        <f t="shared" si="35"/>
        <v>#DIV/0!</v>
      </c>
      <c r="AA23" s="229"/>
      <c r="AB23" s="100" t="e">
        <f t="shared" si="36"/>
        <v>#DIV/0!</v>
      </c>
      <c r="AC23" s="105">
        <f t="shared" si="37"/>
        <v>0</v>
      </c>
      <c r="AD23" s="100" t="e">
        <f t="shared" si="38"/>
        <v>#DIV/0!</v>
      </c>
      <c r="AE23" s="229"/>
      <c r="AF23" s="100" t="e">
        <f t="shared" si="39"/>
        <v>#DIV/0!</v>
      </c>
      <c r="AG23" s="229"/>
      <c r="AH23" s="100" t="e">
        <f t="shared" si="40"/>
        <v>#DIV/0!</v>
      </c>
      <c r="AI23" s="229"/>
      <c r="AJ23" s="100" t="e">
        <f t="shared" si="41"/>
        <v>#DIV/0!</v>
      </c>
      <c r="AK23" s="229"/>
      <c r="AL23" s="100" t="e">
        <f t="shared" si="42"/>
        <v>#DIV/0!</v>
      </c>
    </row>
    <row r="24" spans="2:38" ht="14.25">
      <c r="B24" s="97"/>
      <c r="C24" s="83"/>
      <c r="D24" s="291">
        <f t="shared" si="21"/>
        <v>46311</v>
      </c>
      <c r="E24" s="291" t="s">
        <v>440</v>
      </c>
      <c r="F24" s="87">
        <f t="shared" si="20"/>
        <v>0</v>
      </c>
      <c r="G24" s="293"/>
      <c r="H24" s="330"/>
      <c r="I24" s="229"/>
      <c r="J24" s="100" t="e">
        <f t="shared" si="25"/>
        <v>#DIV/0!</v>
      </c>
      <c r="K24" s="229"/>
      <c r="L24" s="100" t="e">
        <f t="shared" si="26"/>
        <v>#DIV/0!</v>
      </c>
      <c r="M24" s="105">
        <f t="shared" si="27"/>
        <v>0</v>
      </c>
      <c r="N24" s="100" t="e">
        <f t="shared" si="28"/>
        <v>#DIV/0!</v>
      </c>
      <c r="O24" s="229"/>
      <c r="P24" s="100" t="e">
        <f t="shared" si="29"/>
        <v>#DIV/0!</v>
      </c>
      <c r="Q24" s="229"/>
      <c r="R24" s="100" t="e">
        <f t="shared" si="30"/>
        <v>#DIV/0!</v>
      </c>
      <c r="S24" s="105">
        <f t="shared" si="31"/>
        <v>0</v>
      </c>
      <c r="T24" s="100" t="e">
        <f t="shared" si="32"/>
        <v>#DIV/0!</v>
      </c>
      <c r="U24" s="229"/>
      <c r="V24" s="100" t="e">
        <f t="shared" si="33"/>
        <v>#DIV/0!</v>
      </c>
      <c r="W24" s="229"/>
      <c r="X24" s="100" t="e">
        <f t="shared" si="34"/>
        <v>#DIV/0!</v>
      </c>
      <c r="Y24" s="229"/>
      <c r="Z24" s="100" t="e">
        <f t="shared" si="35"/>
        <v>#DIV/0!</v>
      </c>
      <c r="AA24" s="229"/>
      <c r="AB24" s="100" t="e">
        <f t="shared" si="36"/>
        <v>#DIV/0!</v>
      </c>
      <c r="AC24" s="105">
        <f t="shared" si="37"/>
        <v>0</v>
      </c>
      <c r="AD24" s="100" t="e">
        <f t="shared" si="38"/>
        <v>#DIV/0!</v>
      </c>
      <c r="AE24" s="229"/>
      <c r="AF24" s="100" t="e">
        <f t="shared" si="39"/>
        <v>#DIV/0!</v>
      </c>
      <c r="AG24" s="229"/>
      <c r="AH24" s="100" t="e">
        <f t="shared" si="40"/>
        <v>#DIV/0!</v>
      </c>
      <c r="AI24" s="229"/>
      <c r="AJ24" s="100" t="e">
        <f t="shared" si="41"/>
        <v>#DIV/0!</v>
      </c>
      <c r="AK24" s="229"/>
      <c r="AL24" s="100" t="e">
        <f t="shared" si="42"/>
        <v>#DIV/0!</v>
      </c>
    </row>
    <row r="25" spans="2:38" ht="14.25">
      <c r="B25" s="97"/>
      <c r="C25" s="83"/>
      <c r="D25" s="291">
        <f t="shared" si="21"/>
        <v>46312</v>
      </c>
      <c r="E25" s="291" t="s">
        <v>441</v>
      </c>
      <c r="F25" s="87">
        <f t="shared" si="20"/>
        <v>0</v>
      </c>
      <c r="G25" s="293"/>
      <c r="H25" s="330"/>
      <c r="I25" s="229"/>
      <c r="J25" s="100" t="e">
        <f t="shared" si="25"/>
        <v>#DIV/0!</v>
      </c>
      <c r="K25" s="229"/>
      <c r="L25" s="100" t="e">
        <f t="shared" si="26"/>
        <v>#DIV/0!</v>
      </c>
      <c r="M25" s="105">
        <f t="shared" si="27"/>
        <v>0</v>
      </c>
      <c r="N25" s="100" t="e">
        <f t="shared" si="28"/>
        <v>#DIV/0!</v>
      </c>
      <c r="O25" s="229"/>
      <c r="P25" s="100" t="e">
        <f t="shared" si="29"/>
        <v>#DIV/0!</v>
      </c>
      <c r="Q25" s="229"/>
      <c r="R25" s="100" t="e">
        <f t="shared" si="30"/>
        <v>#DIV/0!</v>
      </c>
      <c r="S25" s="105">
        <f t="shared" si="31"/>
        <v>0</v>
      </c>
      <c r="T25" s="100" t="e">
        <f t="shared" si="32"/>
        <v>#DIV/0!</v>
      </c>
      <c r="U25" s="229"/>
      <c r="V25" s="100" t="e">
        <f t="shared" si="33"/>
        <v>#DIV/0!</v>
      </c>
      <c r="W25" s="229"/>
      <c r="X25" s="100" t="e">
        <f t="shared" si="34"/>
        <v>#DIV/0!</v>
      </c>
      <c r="Y25" s="229"/>
      <c r="Z25" s="100" t="e">
        <f t="shared" si="35"/>
        <v>#DIV/0!</v>
      </c>
      <c r="AA25" s="229"/>
      <c r="AB25" s="100" t="e">
        <f t="shared" si="36"/>
        <v>#DIV/0!</v>
      </c>
      <c r="AC25" s="105">
        <f t="shared" si="37"/>
        <v>0</v>
      </c>
      <c r="AD25" s="100" t="e">
        <f t="shared" si="38"/>
        <v>#DIV/0!</v>
      </c>
      <c r="AE25" s="229"/>
      <c r="AF25" s="100" t="e">
        <f t="shared" si="39"/>
        <v>#DIV/0!</v>
      </c>
      <c r="AG25" s="229"/>
      <c r="AH25" s="100" t="e">
        <f t="shared" si="40"/>
        <v>#DIV/0!</v>
      </c>
      <c r="AI25" s="229"/>
      <c r="AJ25" s="100" t="e">
        <f t="shared" si="41"/>
        <v>#DIV/0!</v>
      </c>
      <c r="AK25" s="229"/>
      <c r="AL25" s="100" t="e">
        <f t="shared" si="42"/>
        <v>#DIV/0!</v>
      </c>
    </row>
    <row r="26" spans="2:38" ht="14.25">
      <c r="B26" s="97"/>
      <c r="C26" s="83"/>
      <c r="D26" s="291">
        <f t="shared" si="21"/>
        <v>46313</v>
      </c>
      <c r="E26" s="291" t="s">
        <v>442</v>
      </c>
      <c r="F26" s="87">
        <f t="shared" si="20"/>
        <v>0</v>
      </c>
      <c r="G26" s="293"/>
      <c r="H26" s="330"/>
      <c r="I26" s="229"/>
      <c r="J26" s="100" t="e">
        <f t="shared" si="25"/>
        <v>#DIV/0!</v>
      </c>
      <c r="K26" s="229"/>
      <c r="L26" s="100" t="e">
        <f t="shared" si="26"/>
        <v>#DIV/0!</v>
      </c>
      <c r="M26" s="105">
        <f t="shared" si="27"/>
        <v>0</v>
      </c>
      <c r="N26" s="100" t="e">
        <f t="shared" si="28"/>
        <v>#DIV/0!</v>
      </c>
      <c r="O26" s="229"/>
      <c r="P26" s="100" t="e">
        <f t="shared" si="29"/>
        <v>#DIV/0!</v>
      </c>
      <c r="Q26" s="229"/>
      <c r="R26" s="100" t="e">
        <f t="shared" si="30"/>
        <v>#DIV/0!</v>
      </c>
      <c r="S26" s="105">
        <f t="shared" si="31"/>
        <v>0</v>
      </c>
      <c r="T26" s="100" t="e">
        <f t="shared" si="32"/>
        <v>#DIV/0!</v>
      </c>
      <c r="U26" s="229"/>
      <c r="V26" s="100" t="e">
        <f t="shared" si="33"/>
        <v>#DIV/0!</v>
      </c>
      <c r="W26" s="229"/>
      <c r="X26" s="100" t="e">
        <f t="shared" si="34"/>
        <v>#DIV/0!</v>
      </c>
      <c r="Y26" s="229"/>
      <c r="Z26" s="100" t="e">
        <f t="shared" si="35"/>
        <v>#DIV/0!</v>
      </c>
      <c r="AA26" s="229"/>
      <c r="AB26" s="100" t="e">
        <f t="shared" si="36"/>
        <v>#DIV/0!</v>
      </c>
      <c r="AC26" s="105">
        <f t="shared" si="37"/>
        <v>0</v>
      </c>
      <c r="AD26" s="100" t="e">
        <f t="shared" si="38"/>
        <v>#DIV/0!</v>
      </c>
      <c r="AE26" s="229"/>
      <c r="AF26" s="100" t="e">
        <f t="shared" si="39"/>
        <v>#DIV/0!</v>
      </c>
      <c r="AG26" s="229"/>
      <c r="AH26" s="100" t="e">
        <f t="shared" si="40"/>
        <v>#DIV/0!</v>
      </c>
      <c r="AI26" s="229"/>
      <c r="AJ26" s="100" t="e">
        <f t="shared" si="41"/>
        <v>#DIV/0!</v>
      </c>
      <c r="AK26" s="229"/>
      <c r="AL26" s="100" t="e">
        <f t="shared" si="42"/>
        <v>#DIV/0!</v>
      </c>
    </row>
    <row r="27" spans="2:38" ht="14.25">
      <c r="B27" s="97"/>
      <c r="C27" s="83"/>
      <c r="D27" s="291">
        <f t="shared" si="21"/>
        <v>46314</v>
      </c>
      <c r="E27" s="291" t="s">
        <v>436</v>
      </c>
      <c r="F27" s="87">
        <f t="shared" si="20"/>
        <v>0</v>
      </c>
      <c r="G27" s="293"/>
      <c r="H27" s="330"/>
      <c r="I27" s="229"/>
      <c r="J27" s="100" t="e">
        <f t="shared" si="25"/>
        <v>#DIV/0!</v>
      </c>
      <c r="K27" s="229"/>
      <c r="L27" s="100" t="e">
        <f t="shared" si="26"/>
        <v>#DIV/0!</v>
      </c>
      <c r="M27" s="105">
        <f t="shared" si="27"/>
        <v>0</v>
      </c>
      <c r="N27" s="100" t="e">
        <f t="shared" si="28"/>
        <v>#DIV/0!</v>
      </c>
      <c r="O27" s="229"/>
      <c r="P27" s="100" t="e">
        <f t="shared" si="29"/>
        <v>#DIV/0!</v>
      </c>
      <c r="Q27" s="229"/>
      <c r="R27" s="100" t="e">
        <f t="shared" si="30"/>
        <v>#DIV/0!</v>
      </c>
      <c r="S27" s="105">
        <f t="shared" si="31"/>
        <v>0</v>
      </c>
      <c r="T27" s="100" t="e">
        <f t="shared" si="32"/>
        <v>#DIV/0!</v>
      </c>
      <c r="U27" s="229"/>
      <c r="V27" s="100" t="e">
        <f t="shared" si="33"/>
        <v>#DIV/0!</v>
      </c>
      <c r="W27" s="229"/>
      <c r="X27" s="100" t="e">
        <f t="shared" si="34"/>
        <v>#DIV/0!</v>
      </c>
      <c r="Y27" s="229"/>
      <c r="Z27" s="100" t="e">
        <f t="shared" si="35"/>
        <v>#DIV/0!</v>
      </c>
      <c r="AA27" s="229"/>
      <c r="AB27" s="100" t="e">
        <f t="shared" si="36"/>
        <v>#DIV/0!</v>
      </c>
      <c r="AC27" s="105">
        <f t="shared" si="37"/>
        <v>0</v>
      </c>
      <c r="AD27" s="100" t="e">
        <f t="shared" si="38"/>
        <v>#DIV/0!</v>
      </c>
      <c r="AE27" s="229"/>
      <c r="AF27" s="100" t="e">
        <f t="shared" si="39"/>
        <v>#DIV/0!</v>
      </c>
      <c r="AG27" s="229"/>
      <c r="AH27" s="100" t="e">
        <f t="shared" si="40"/>
        <v>#DIV/0!</v>
      </c>
      <c r="AI27" s="229"/>
      <c r="AJ27" s="100" t="e">
        <f t="shared" si="41"/>
        <v>#DIV/0!</v>
      </c>
      <c r="AK27" s="229"/>
      <c r="AL27" s="100" t="e">
        <f t="shared" si="42"/>
        <v>#DIV/0!</v>
      </c>
    </row>
    <row r="28" spans="2:38" ht="14.25">
      <c r="B28" s="97"/>
      <c r="C28" s="83"/>
      <c r="D28" s="344">
        <f t="shared" si="21"/>
        <v>46315</v>
      </c>
      <c r="E28" s="344" t="s">
        <v>437</v>
      </c>
      <c r="F28" s="87">
        <f t="shared" si="20"/>
        <v>0</v>
      </c>
      <c r="G28" s="293">
        <f>SUM(F28:F34)</f>
        <v>0</v>
      </c>
      <c r="H28" s="330"/>
      <c r="I28" s="229"/>
      <c r="J28" s="100" t="e">
        <f t="shared" si="25"/>
        <v>#DIV/0!</v>
      </c>
      <c r="K28" s="229"/>
      <c r="L28" s="100" t="e">
        <f t="shared" si="26"/>
        <v>#DIV/0!</v>
      </c>
      <c r="M28" s="105">
        <f t="shared" si="27"/>
        <v>0</v>
      </c>
      <c r="N28" s="100" t="e">
        <f t="shared" si="28"/>
        <v>#DIV/0!</v>
      </c>
      <c r="O28" s="229"/>
      <c r="P28" s="100" t="e">
        <f t="shared" si="29"/>
        <v>#DIV/0!</v>
      </c>
      <c r="Q28" s="229"/>
      <c r="R28" s="100" t="e">
        <f t="shared" si="30"/>
        <v>#DIV/0!</v>
      </c>
      <c r="S28" s="105">
        <f t="shared" si="31"/>
        <v>0</v>
      </c>
      <c r="T28" s="100" t="e">
        <f t="shared" si="32"/>
        <v>#DIV/0!</v>
      </c>
      <c r="U28" s="229"/>
      <c r="V28" s="100" t="e">
        <f t="shared" si="33"/>
        <v>#DIV/0!</v>
      </c>
      <c r="W28" s="229"/>
      <c r="X28" s="100" t="e">
        <f t="shared" si="34"/>
        <v>#DIV/0!</v>
      </c>
      <c r="Y28" s="229"/>
      <c r="Z28" s="100" t="e">
        <f t="shared" si="35"/>
        <v>#DIV/0!</v>
      </c>
      <c r="AA28" s="229"/>
      <c r="AB28" s="100" t="e">
        <f t="shared" si="36"/>
        <v>#DIV/0!</v>
      </c>
      <c r="AC28" s="105">
        <f t="shared" si="37"/>
        <v>0</v>
      </c>
      <c r="AD28" s="100" t="e">
        <f t="shared" si="38"/>
        <v>#DIV/0!</v>
      </c>
      <c r="AE28" s="229"/>
      <c r="AF28" s="100" t="e">
        <f t="shared" si="39"/>
        <v>#DIV/0!</v>
      </c>
      <c r="AG28" s="229"/>
      <c r="AH28" s="100" t="e">
        <f t="shared" si="40"/>
        <v>#DIV/0!</v>
      </c>
      <c r="AI28" s="229"/>
      <c r="AJ28" s="100" t="e">
        <f t="shared" si="41"/>
        <v>#DIV/0!</v>
      </c>
      <c r="AK28" s="229"/>
      <c r="AL28" s="100" t="e">
        <f t="shared" si="42"/>
        <v>#DIV/0!</v>
      </c>
    </row>
    <row r="29" spans="2:38" ht="14.25">
      <c r="B29" s="97"/>
      <c r="C29" s="83"/>
      <c r="D29" s="344">
        <f t="shared" si="21"/>
        <v>46316</v>
      </c>
      <c r="E29" s="344" t="s">
        <v>438</v>
      </c>
      <c r="F29" s="87">
        <f t="shared" si="20"/>
        <v>0</v>
      </c>
      <c r="G29" s="293"/>
      <c r="H29" s="330"/>
      <c r="I29" s="229"/>
      <c r="J29" s="100" t="e">
        <f t="shared" si="25"/>
        <v>#DIV/0!</v>
      </c>
      <c r="K29" s="229"/>
      <c r="L29" s="100" t="e">
        <f t="shared" si="26"/>
        <v>#DIV/0!</v>
      </c>
      <c r="M29" s="105">
        <f t="shared" si="27"/>
        <v>0</v>
      </c>
      <c r="N29" s="100" t="e">
        <f t="shared" si="28"/>
        <v>#DIV/0!</v>
      </c>
      <c r="O29" s="229"/>
      <c r="P29" s="100" t="e">
        <f t="shared" si="29"/>
        <v>#DIV/0!</v>
      </c>
      <c r="Q29" s="229"/>
      <c r="R29" s="100" t="e">
        <f t="shared" si="30"/>
        <v>#DIV/0!</v>
      </c>
      <c r="S29" s="105">
        <f t="shared" si="31"/>
        <v>0</v>
      </c>
      <c r="T29" s="100" t="e">
        <f t="shared" si="32"/>
        <v>#DIV/0!</v>
      </c>
      <c r="U29" s="229"/>
      <c r="V29" s="100" t="e">
        <f t="shared" si="33"/>
        <v>#DIV/0!</v>
      </c>
      <c r="W29" s="229"/>
      <c r="X29" s="100" t="e">
        <f t="shared" si="34"/>
        <v>#DIV/0!</v>
      </c>
      <c r="Y29" s="229"/>
      <c r="Z29" s="100" t="e">
        <f t="shared" si="35"/>
        <v>#DIV/0!</v>
      </c>
      <c r="AA29" s="229"/>
      <c r="AB29" s="100" t="e">
        <f t="shared" si="36"/>
        <v>#DIV/0!</v>
      </c>
      <c r="AC29" s="105">
        <f t="shared" si="37"/>
        <v>0</v>
      </c>
      <c r="AD29" s="100" t="e">
        <f t="shared" si="38"/>
        <v>#DIV/0!</v>
      </c>
      <c r="AE29" s="229"/>
      <c r="AF29" s="100" t="e">
        <f t="shared" si="39"/>
        <v>#DIV/0!</v>
      </c>
      <c r="AG29" s="229"/>
      <c r="AH29" s="100" t="e">
        <f t="shared" si="40"/>
        <v>#DIV/0!</v>
      </c>
      <c r="AI29" s="229"/>
      <c r="AJ29" s="100" t="e">
        <f t="shared" si="41"/>
        <v>#DIV/0!</v>
      </c>
      <c r="AK29" s="229"/>
      <c r="AL29" s="100" t="e">
        <f t="shared" si="42"/>
        <v>#DIV/0!</v>
      </c>
    </row>
    <row r="30" spans="2:38" ht="14.25">
      <c r="B30" s="97"/>
      <c r="C30" s="83"/>
      <c r="D30" s="344">
        <f t="shared" si="21"/>
        <v>46317</v>
      </c>
      <c r="E30" s="344" t="s">
        <v>439</v>
      </c>
      <c r="F30" s="87">
        <f t="shared" si="20"/>
        <v>0</v>
      </c>
      <c r="G30" s="293"/>
      <c r="H30" s="330"/>
      <c r="I30" s="229"/>
      <c r="J30" s="100" t="e">
        <f t="shared" si="25"/>
        <v>#DIV/0!</v>
      </c>
      <c r="K30" s="229"/>
      <c r="L30" s="100" t="e">
        <f t="shared" si="26"/>
        <v>#DIV/0!</v>
      </c>
      <c r="M30" s="105">
        <f t="shared" si="27"/>
        <v>0</v>
      </c>
      <c r="N30" s="100" t="e">
        <f t="shared" si="28"/>
        <v>#DIV/0!</v>
      </c>
      <c r="O30" s="229"/>
      <c r="P30" s="100" t="e">
        <f t="shared" si="29"/>
        <v>#DIV/0!</v>
      </c>
      <c r="Q30" s="229"/>
      <c r="R30" s="100" t="e">
        <f t="shared" si="30"/>
        <v>#DIV/0!</v>
      </c>
      <c r="S30" s="105">
        <f t="shared" si="31"/>
        <v>0</v>
      </c>
      <c r="T30" s="100" t="e">
        <f t="shared" si="32"/>
        <v>#DIV/0!</v>
      </c>
      <c r="U30" s="229"/>
      <c r="V30" s="100" t="e">
        <f t="shared" si="33"/>
        <v>#DIV/0!</v>
      </c>
      <c r="W30" s="229"/>
      <c r="X30" s="100" t="e">
        <f t="shared" si="34"/>
        <v>#DIV/0!</v>
      </c>
      <c r="Y30" s="229"/>
      <c r="Z30" s="100" t="e">
        <f t="shared" si="35"/>
        <v>#DIV/0!</v>
      </c>
      <c r="AA30" s="229"/>
      <c r="AB30" s="100" t="e">
        <f t="shared" si="36"/>
        <v>#DIV/0!</v>
      </c>
      <c r="AC30" s="105">
        <f t="shared" si="37"/>
        <v>0</v>
      </c>
      <c r="AD30" s="100" t="e">
        <f t="shared" si="38"/>
        <v>#DIV/0!</v>
      </c>
      <c r="AE30" s="229"/>
      <c r="AF30" s="100" t="e">
        <f t="shared" si="39"/>
        <v>#DIV/0!</v>
      </c>
      <c r="AG30" s="229"/>
      <c r="AH30" s="100" t="e">
        <f t="shared" si="40"/>
        <v>#DIV/0!</v>
      </c>
      <c r="AI30" s="229"/>
      <c r="AJ30" s="100" t="e">
        <f t="shared" si="41"/>
        <v>#DIV/0!</v>
      </c>
      <c r="AK30" s="229"/>
      <c r="AL30" s="100" t="e">
        <f t="shared" si="42"/>
        <v>#DIV/0!</v>
      </c>
    </row>
    <row r="31" spans="2:38" ht="14.25">
      <c r="B31" s="97"/>
      <c r="C31" s="83"/>
      <c r="D31" s="344">
        <f t="shared" si="21"/>
        <v>46318</v>
      </c>
      <c r="E31" s="344" t="s">
        <v>440</v>
      </c>
      <c r="F31" s="87">
        <f t="shared" si="20"/>
        <v>0</v>
      </c>
      <c r="G31" s="293"/>
      <c r="H31" s="330"/>
      <c r="I31" s="229"/>
      <c r="J31" s="100" t="e">
        <f t="shared" si="25"/>
        <v>#DIV/0!</v>
      </c>
      <c r="K31" s="229"/>
      <c r="L31" s="100" t="e">
        <f t="shared" si="26"/>
        <v>#DIV/0!</v>
      </c>
      <c r="M31" s="105">
        <f t="shared" si="27"/>
        <v>0</v>
      </c>
      <c r="N31" s="100" t="e">
        <f t="shared" si="28"/>
        <v>#DIV/0!</v>
      </c>
      <c r="O31" s="229"/>
      <c r="P31" s="100" t="e">
        <f t="shared" si="29"/>
        <v>#DIV/0!</v>
      </c>
      <c r="Q31" s="229"/>
      <c r="R31" s="100" t="e">
        <f t="shared" si="30"/>
        <v>#DIV/0!</v>
      </c>
      <c r="S31" s="105">
        <f t="shared" si="31"/>
        <v>0</v>
      </c>
      <c r="T31" s="100" t="e">
        <f t="shared" si="32"/>
        <v>#DIV/0!</v>
      </c>
      <c r="U31" s="229"/>
      <c r="V31" s="100" t="e">
        <f t="shared" si="33"/>
        <v>#DIV/0!</v>
      </c>
      <c r="W31" s="229"/>
      <c r="X31" s="100" t="e">
        <f t="shared" si="34"/>
        <v>#DIV/0!</v>
      </c>
      <c r="Y31" s="229"/>
      <c r="Z31" s="100" t="e">
        <f t="shared" si="35"/>
        <v>#DIV/0!</v>
      </c>
      <c r="AA31" s="229"/>
      <c r="AB31" s="100" t="e">
        <f t="shared" si="36"/>
        <v>#DIV/0!</v>
      </c>
      <c r="AC31" s="105">
        <f t="shared" si="37"/>
        <v>0</v>
      </c>
      <c r="AD31" s="100" t="e">
        <f t="shared" si="38"/>
        <v>#DIV/0!</v>
      </c>
      <c r="AE31" s="229"/>
      <c r="AF31" s="100" t="e">
        <f t="shared" si="39"/>
        <v>#DIV/0!</v>
      </c>
      <c r="AG31" s="229"/>
      <c r="AH31" s="100" t="e">
        <f t="shared" si="40"/>
        <v>#DIV/0!</v>
      </c>
      <c r="AI31" s="229"/>
      <c r="AJ31" s="100" t="e">
        <f t="shared" si="41"/>
        <v>#DIV/0!</v>
      </c>
      <c r="AK31" s="229"/>
      <c r="AL31" s="100" t="e">
        <f t="shared" si="42"/>
        <v>#DIV/0!</v>
      </c>
    </row>
    <row r="32" spans="2:38" s="420" customFormat="1" ht="14.25">
      <c r="B32" s="396"/>
      <c r="C32" s="400"/>
      <c r="D32" s="344">
        <f t="shared" si="21"/>
        <v>46319</v>
      </c>
      <c r="E32" s="344" t="s">
        <v>441</v>
      </c>
      <c r="F32" s="325">
        <f t="shared" si="20"/>
        <v>0</v>
      </c>
      <c r="G32" s="326"/>
      <c r="H32" s="426"/>
      <c r="I32" s="229"/>
      <c r="J32" s="100" t="e">
        <f t="shared" si="25"/>
        <v>#DIV/0!</v>
      </c>
      <c r="K32" s="229"/>
      <c r="L32" s="100" t="e">
        <f t="shared" si="26"/>
        <v>#DIV/0!</v>
      </c>
      <c r="M32" s="105">
        <f t="shared" si="27"/>
        <v>0</v>
      </c>
      <c r="N32" s="100" t="e">
        <f t="shared" si="28"/>
        <v>#DIV/0!</v>
      </c>
      <c r="O32" s="229"/>
      <c r="P32" s="100" t="e">
        <f t="shared" si="29"/>
        <v>#DIV/0!</v>
      </c>
      <c r="Q32" s="229"/>
      <c r="R32" s="100" t="e">
        <f t="shared" si="30"/>
        <v>#DIV/0!</v>
      </c>
      <c r="S32" s="105">
        <f t="shared" si="31"/>
        <v>0</v>
      </c>
      <c r="T32" s="100" t="e">
        <f t="shared" si="32"/>
        <v>#DIV/0!</v>
      </c>
      <c r="U32" s="229"/>
      <c r="V32" s="100" t="e">
        <f t="shared" si="33"/>
        <v>#DIV/0!</v>
      </c>
      <c r="W32" s="229"/>
      <c r="X32" s="100" t="e">
        <f t="shared" si="34"/>
        <v>#DIV/0!</v>
      </c>
      <c r="Y32" s="229"/>
      <c r="Z32" s="100" t="e">
        <f t="shared" si="35"/>
        <v>#DIV/0!</v>
      </c>
      <c r="AA32" s="229"/>
      <c r="AB32" s="100" t="e">
        <f t="shared" si="36"/>
        <v>#DIV/0!</v>
      </c>
      <c r="AC32" s="105">
        <f t="shared" si="37"/>
        <v>0</v>
      </c>
      <c r="AD32" s="100" t="e">
        <f t="shared" si="38"/>
        <v>#DIV/0!</v>
      </c>
      <c r="AE32" s="229"/>
      <c r="AF32" s="100" t="e">
        <f t="shared" si="39"/>
        <v>#DIV/0!</v>
      </c>
      <c r="AG32" s="229"/>
      <c r="AH32" s="100" t="e">
        <f t="shared" si="40"/>
        <v>#DIV/0!</v>
      </c>
      <c r="AI32" s="229"/>
      <c r="AJ32" s="100" t="e">
        <f t="shared" si="41"/>
        <v>#DIV/0!</v>
      </c>
      <c r="AK32" s="229"/>
      <c r="AL32" s="100" t="e">
        <f t="shared" si="42"/>
        <v>#DIV/0!</v>
      </c>
    </row>
    <row r="33" spans="2:38" s="420" customFormat="1" ht="14.25">
      <c r="B33" s="396"/>
      <c r="C33" s="400"/>
      <c r="D33" s="344">
        <f t="shared" si="21"/>
        <v>46320</v>
      </c>
      <c r="E33" s="344" t="s">
        <v>442</v>
      </c>
      <c r="F33" s="325">
        <f t="shared" si="20"/>
        <v>0</v>
      </c>
      <c r="G33" s="326"/>
      <c r="H33" s="426"/>
      <c r="I33" s="229"/>
      <c r="J33" s="100" t="e">
        <f t="shared" si="25"/>
        <v>#DIV/0!</v>
      </c>
      <c r="K33" s="229"/>
      <c r="L33" s="100" t="e">
        <f t="shared" si="26"/>
        <v>#DIV/0!</v>
      </c>
      <c r="M33" s="105">
        <f t="shared" si="27"/>
        <v>0</v>
      </c>
      <c r="N33" s="100" t="e">
        <f t="shared" si="28"/>
        <v>#DIV/0!</v>
      </c>
      <c r="O33" s="229"/>
      <c r="P33" s="100" t="e">
        <f t="shared" si="29"/>
        <v>#DIV/0!</v>
      </c>
      <c r="Q33" s="229"/>
      <c r="R33" s="100" t="e">
        <f t="shared" si="30"/>
        <v>#DIV/0!</v>
      </c>
      <c r="S33" s="105">
        <f t="shared" si="31"/>
        <v>0</v>
      </c>
      <c r="T33" s="100" t="e">
        <f t="shared" si="32"/>
        <v>#DIV/0!</v>
      </c>
      <c r="U33" s="229"/>
      <c r="V33" s="100" t="e">
        <f t="shared" si="33"/>
        <v>#DIV/0!</v>
      </c>
      <c r="W33" s="229"/>
      <c r="X33" s="100" t="e">
        <f t="shared" si="34"/>
        <v>#DIV/0!</v>
      </c>
      <c r="Y33" s="229"/>
      <c r="Z33" s="100" t="e">
        <f t="shared" si="35"/>
        <v>#DIV/0!</v>
      </c>
      <c r="AA33" s="229"/>
      <c r="AB33" s="100" t="e">
        <f t="shared" si="36"/>
        <v>#DIV/0!</v>
      </c>
      <c r="AC33" s="105">
        <f t="shared" si="37"/>
        <v>0</v>
      </c>
      <c r="AD33" s="100" t="e">
        <f t="shared" si="38"/>
        <v>#DIV/0!</v>
      </c>
      <c r="AE33" s="229"/>
      <c r="AF33" s="100" t="e">
        <f t="shared" si="39"/>
        <v>#DIV/0!</v>
      </c>
      <c r="AG33" s="229"/>
      <c r="AH33" s="100" t="e">
        <f t="shared" si="40"/>
        <v>#DIV/0!</v>
      </c>
      <c r="AI33" s="229"/>
      <c r="AJ33" s="100" t="e">
        <f t="shared" si="41"/>
        <v>#DIV/0!</v>
      </c>
      <c r="AK33" s="229"/>
      <c r="AL33" s="100" t="e">
        <f t="shared" si="42"/>
        <v>#DIV/0!</v>
      </c>
    </row>
    <row r="34" spans="2:38" s="420" customFormat="1" ht="14.25">
      <c r="B34" s="396"/>
      <c r="C34" s="400"/>
      <c r="D34" s="344">
        <f t="shared" si="21"/>
        <v>46321</v>
      </c>
      <c r="E34" s="344" t="s">
        <v>436</v>
      </c>
      <c r="F34" s="325">
        <f t="shared" si="20"/>
        <v>0</v>
      </c>
      <c r="G34" s="326"/>
      <c r="H34" s="426"/>
      <c r="I34" s="229"/>
      <c r="J34" s="100" t="e">
        <f t="shared" si="25"/>
        <v>#DIV/0!</v>
      </c>
      <c r="K34" s="229"/>
      <c r="L34" s="100" t="e">
        <f t="shared" si="26"/>
        <v>#DIV/0!</v>
      </c>
      <c r="M34" s="105">
        <f t="shared" si="27"/>
        <v>0</v>
      </c>
      <c r="N34" s="100" t="e">
        <f t="shared" si="28"/>
        <v>#DIV/0!</v>
      </c>
      <c r="O34" s="229"/>
      <c r="P34" s="100" t="e">
        <f t="shared" si="29"/>
        <v>#DIV/0!</v>
      </c>
      <c r="Q34" s="229"/>
      <c r="R34" s="100" t="e">
        <f t="shared" si="30"/>
        <v>#DIV/0!</v>
      </c>
      <c r="S34" s="105">
        <f t="shared" si="31"/>
        <v>0</v>
      </c>
      <c r="T34" s="100" t="e">
        <f t="shared" si="32"/>
        <v>#DIV/0!</v>
      </c>
      <c r="U34" s="229"/>
      <c r="V34" s="100" t="e">
        <f t="shared" si="33"/>
        <v>#DIV/0!</v>
      </c>
      <c r="W34" s="229"/>
      <c r="X34" s="100" t="e">
        <f t="shared" si="34"/>
        <v>#DIV/0!</v>
      </c>
      <c r="Y34" s="229"/>
      <c r="Z34" s="100" t="e">
        <f t="shared" si="35"/>
        <v>#DIV/0!</v>
      </c>
      <c r="AA34" s="229"/>
      <c r="AB34" s="100" t="e">
        <f t="shared" si="36"/>
        <v>#DIV/0!</v>
      </c>
      <c r="AC34" s="105">
        <f t="shared" si="37"/>
        <v>0</v>
      </c>
      <c r="AD34" s="100" t="e">
        <f t="shared" si="38"/>
        <v>#DIV/0!</v>
      </c>
      <c r="AE34" s="229"/>
      <c r="AF34" s="100" t="e">
        <f t="shared" si="39"/>
        <v>#DIV/0!</v>
      </c>
      <c r="AG34" s="229"/>
      <c r="AH34" s="100" t="e">
        <f t="shared" si="40"/>
        <v>#DIV/0!</v>
      </c>
      <c r="AI34" s="229"/>
      <c r="AJ34" s="100" t="e">
        <f t="shared" si="41"/>
        <v>#DIV/0!</v>
      </c>
      <c r="AK34" s="229"/>
      <c r="AL34" s="100" t="e">
        <f t="shared" si="42"/>
        <v>#DIV/0!</v>
      </c>
    </row>
    <row r="35" spans="2:38" s="420" customFormat="1" ht="14.25">
      <c r="B35" s="396"/>
      <c r="C35" s="400"/>
      <c r="D35" s="291">
        <f t="shared" si="21"/>
        <v>46322</v>
      </c>
      <c r="E35" s="291" t="s">
        <v>437</v>
      </c>
      <c r="F35" s="325">
        <f t="shared" si="20"/>
        <v>0</v>
      </c>
      <c r="G35" s="326">
        <f>SUM(F35:F41)</f>
        <v>0</v>
      </c>
      <c r="H35" s="426"/>
      <c r="I35" s="229"/>
      <c r="J35" s="100" t="e">
        <f t="shared" si="25"/>
        <v>#DIV/0!</v>
      </c>
      <c r="K35" s="229"/>
      <c r="L35" s="100" t="e">
        <f t="shared" si="26"/>
        <v>#DIV/0!</v>
      </c>
      <c r="M35" s="105">
        <f t="shared" ref="M35:M36" si="43">SUM(I35+K35)</f>
        <v>0</v>
      </c>
      <c r="N35" s="100" t="e">
        <f t="shared" si="28"/>
        <v>#DIV/0!</v>
      </c>
      <c r="O35" s="229"/>
      <c r="P35" s="100" t="e">
        <f t="shared" si="29"/>
        <v>#DIV/0!</v>
      </c>
      <c r="Q35" s="229"/>
      <c r="R35" s="100" t="e">
        <f t="shared" si="30"/>
        <v>#DIV/0!</v>
      </c>
      <c r="S35" s="105">
        <f t="shared" si="31"/>
        <v>0</v>
      </c>
      <c r="T35" s="100" t="e">
        <f t="shared" si="32"/>
        <v>#DIV/0!</v>
      </c>
      <c r="U35" s="229"/>
      <c r="V35" s="100" t="e">
        <f t="shared" si="33"/>
        <v>#DIV/0!</v>
      </c>
      <c r="W35" s="229"/>
      <c r="X35" s="100" t="e">
        <f t="shared" si="34"/>
        <v>#DIV/0!</v>
      </c>
      <c r="Y35" s="229"/>
      <c r="Z35" s="100" t="e">
        <f t="shared" si="35"/>
        <v>#DIV/0!</v>
      </c>
      <c r="AA35" s="229"/>
      <c r="AB35" s="100" t="e">
        <f t="shared" si="36"/>
        <v>#DIV/0!</v>
      </c>
      <c r="AC35" s="105">
        <f t="shared" si="37"/>
        <v>0</v>
      </c>
      <c r="AD35" s="100" t="e">
        <f t="shared" si="38"/>
        <v>#DIV/0!</v>
      </c>
      <c r="AE35" s="229"/>
      <c r="AF35" s="100" t="e">
        <f t="shared" si="39"/>
        <v>#DIV/0!</v>
      </c>
      <c r="AG35" s="229"/>
      <c r="AH35" s="100" t="e">
        <f t="shared" si="40"/>
        <v>#DIV/0!</v>
      </c>
      <c r="AI35" s="229"/>
      <c r="AJ35" s="100" t="e">
        <f t="shared" si="41"/>
        <v>#DIV/0!</v>
      </c>
      <c r="AK35" s="229"/>
      <c r="AL35" s="100" t="e">
        <f t="shared" si="42"/>
        <v>#DIV/0!</v>
      </c>
    </row>
    <row r="36" spans="2:38" s="420" customFormat="1" ht="14.25">
      <c r="B36" s="396"/>
      <c r="C36" s="400"/>
      <c r="D36" s="291">
        <f t="shared" si="21"/>
        <v>46323</v>
      </c>
      <c r="E36" s="291" t="s">
        <v>438</v>
      </c>
      <c r="F36" s="325">
        <f t="shared" si="20"/>
        <v>0</v>
      </c>
      <c r="G36" s="326"/>
      <c r="H36" s="426"/>
      <c r="I36" s="229"/>
      <c r="J36" s="100" t="e">
        <f t="shared" si="25"/>
        <v>#DIV/0!</v>
      </c>
      <c r="K36" s="229"/>
      <c r="L36" s="100" t="e">
        <f t="shared" si="26"/>
        <v>#DIV/0!</v>
      </c>
      <c r="M36" s="105">
        <f t="shared" si="43"/>
        <v>0</v>
      </c>
      <c r="N36" s="100" t="e">
        <f t="shared" si="28"/>
        <v>#DIV/0!</v>
      </c>
      <c r="O36" s="229"/>
      <c r="P36" s="100" t="e">
        <f t="shared" si="29"/>
        <v>#DIV/0!</v>
      </c>
      <c r="Q36" s="229"/>
      <c r="R36" s="100" t="e">
        <f t="shared" si="30"/>
        <v>#DIV/0!</v>
      </c>
      <c r="S36" s="105">
        <f t="shared" si="31"/>
        <v>0</v>
      </c>
      <c r="T36" s="100" t="e">
        <f t="shared" si="32"/>
        <v>#DIV/0!</v>
      </c>
      <c r="U36" s="229"/>
      <c r="V36" s="100" t="e">
        <f t="shared" si="33"/>
        <v>#DIV/0!</v>
      </c>
      <c r="W36" s="229"/>
      <c r="X36" s="100" t="e">
        <f t="shared" si="34"/>
        <v>#DIV/0!</v>
      </c>
      <c r="Y36" s="229"/>
      <c r="Z36" s="100" t="e">
        <f t="shared" si="35"/>
        <v>#DIV/0!</v>
      </c>
      <c r="AA36" s="229"/>
      <c r="AB36" s="100" t="e">
        <f t="shared" si="36"/>
        <v>#DIV/0!</v>
      </c>
      <c r="AC36" s="105">
        <f t="shared" si="37"/>
        <v>0</v>
      </c>
      <c r="AD36" s="100" t="e">
        <f t="shared" si="38"/>
        <v>#DIV/0!</v>
      </c>
      <c r="AE36" s="229"/>
      <c r="AF36" s="100" t="e">
        <f t="shared" si="39"/>
        <v>#DIV/0!</v>
      </c>
      <c r="AG36" s="229"/>
      <c r="AH36" s="100" t="e">
        <f t="shared" si="40"/>
        <v>#DIV/0!</v>
      </c>
      <c r="AI36" s="229"/>
      <c r="AJ36" s="100" t="e">
        <f t="shared" si="41"/>
        <v>#DIV/0!</v>
      </c>
      <c r="AK36" s="229"/>
      <c r="AL36" s="100" t="e">
        <f t="shared" si="42"/>
        <v>#DIV/0!</v>
      </c>
    </row>
    <row r="37" spans="2:38" s="420" customFormat="1" ht="14.25">
      <c r="B37" s="396"/>
      <c r="C37" s="400"/>
      <c r="D37" s="291">
        <f>D36+1</f>
        <v>46324</v>
      </c>
      <c r="E37" s="291" t="s">
        <v>439</v>
      </c>
      <c r="F37" s="325">
        <f t="shared" si="20"/>
        <v>0</v>
      </c>
      <c r="G37" s="326"/>
      <c r="H37" s="426"/>
      <c r="I37" s="229"/>
      <c r="J37" s="100" t="e">
        <f t="shared" si="25"/>
        <v>#DIV/0!</v>
      </c>
      <c r="K37" s="229"/>
      <c r="L37" s="100" t="e">
        <f t="shared" si="26"/>
        <v>#DIV/0!</v>
      </c>
      <c r="M37" s="105">
        <f t="shared" ref="M37:M38" si="44">SUM(I37+K37)</f>
        <v>0</v>
      </c>
      <c r="N37" s="100" t="e">
        <f t="shared" si="28"/>
        <v>#DIV/0!</v>
      </c>
      <c r="O37" s="229"/>
      <c r="P37" s="100" t="e">
        <f t="shared" si="29"/>
        <v>#DIV/0!</v>
      </c>
      <c r="Q37" s="229"/>
      <c r="R37" s="100" t="e">
        <f t="shared" si="30"/>
        <v>#DIV/0!</v>
      </c>
      <c r="S37" s="105">
        <f t="shared" si="31"/>
        <v>0</v>
      </c>
      <c r="T37" s="100" t="e">
        <f t="shared" si="32"/>
        <v>#DIV/0!</v>
      </c>
      <c r="U37" s="229"/>
      <c r="V37" s="100" t="e">
        <f t="shared" si="33"/>
        <v>#DIV/0!</v>
      </c>
      <c r="W37" s="229"/>
      <c r="X37" s="100" t="e">
        <f t="shared" si="34"/>
        <v>#DIV/0!</v>
      </c>
      <c r="Y37" s="229"/>
      <c r="Z37" s="100" t="e">
        <f t="shared" si="35"/>
        <v>#DIV/0!</v>
      </c>
      <c r="AA37" s="229"/>
      <c r="AB37" s="100" t="e">
        <f t="shared" si="36"/>
        <v>#DIV/0!</v>
      </c>
      <c r="AC37" s="105">
        <f t="shared" si="37"/>
        <v>0</v>
      </c>
      <c r="AD37" s="100" t="e">
        <f t="shared" si="38"/>
        <v>#DIV/0!</v>
      </c>
      <c r="AE37" s="229"/>
      <c r="AF37" s="100" t="e">
        <f t="shared" si="39"/>
        <v>#DIV/0!</v>
      </c>
      <c r="AG37" s="229"/>
      <c r="AH37" s="100" t="e">
        <f t="shared" si="40"/>
        <v>#DIV/0!</v>
      </c>
      <c r="AI37" s="229"/>
      <c r="AJ37" s="100" t="e">
        <f t="shared" si="41"/>
        <v>#DIV/0!</v>
      </c>
      <c r="AK37" s="229"/>
      <c r="AL37" s="100" t="e">
        <f t="shared" si="42"/>
        <v>#DIV/0!</v>
      </c>
    </row>
    <row r="38" spans="2:38" s="420" customFormat="1" ht="14.25">
      <c r="B38" s="396"/>
      <c r="C38" s="400"/>
      <c r="D38" s="291">
        <f t="shared" ref="D38:D41" si="45">D37+1</f>
        <v>46325</v>
      </c>
      <c r="E38" s="291" t="s">
        <v>440</v>
      </c>
      <c r="F38" s="325">
        <f t="shared" si="20"/>
        <v>0</v>
      </c>
      <c r="G38" s="326"/>
      <c r="H38" s="426"/>
      <c r="I38" s="229"/>
      <c r="J38" s="100" t="e">
        <f t="shared" si="25"/>
        <v>#DIV/0!</v>
      </c>
      <c r="K38" s="229"/>
      <c r="L38" s="100" t="e">
        <f t="shared" si="26"/>
        <v>#DIV/0!</v>
      </c>
      <c r="M38" s="105">
        <f t="shared" si="44"/>
        <v>0</v>
      </c>
      <c r="N38" s="100" t="e">
        <f t="shared" si="28"/>
        <v>#DIV/0!</v>
      </c>
      <c r="O38" s="229"/>
      <c r="P38" s="100" t="e">
        <f t="shared" si="29"/>
        <v>#DIV/0!</v>
      </c>
      <c r="Q38" s="229"/>
      <c r="R38" s="100" t="e">
        <f t="shared" si="30"/>
        <v>#DIV/0!</v>
      </c>
      <c r="S38" s="105">
        <f t="shared" si="31"/>
        <v>0</v>
      </c>
      <c r="T38" s="100" t="e">
        <f t="shared" si="32"/>
        <v>#DIV/0!</v>
      </c>
      <c r="U38" s="229"/>
      <c r="V38" s="100" t="e">
        <f t="shared" si="33"/>
        <v>#DIV/0!</v>
      </c>
      <c r="W38" s="229"/>
      <c r="X38" s="100" t="e">
        <f t="shared" si="34"/>
        <v>#DIV/0!</v>
      </c>
      <c r="Y38" s="229"/>
      <c r="Z38" s="100" t="e">
        <f t="shared" si="35"/>
        <v>#DIV/0!</v>
      </c>
      <c r="AA38" s="229"/>
      <c r="AB38" s="100" t="e">
        <f t="shared" si="36"/>
        <v>#DIV/0!</v>
      </c>
      <c r="AC38" s="105">
        <f t="shared" si="37"/>
        <v>0</v>
      </c>
      <c r="AD38" s="100" t="e">
        <f t="shared" si="38"/>
        <v>#DIV/0!</v>
      </c>
      <c r="AE38" s="229"/>
      <c r="AF38" s="100" t="e">
        <f t="shared" si="39"/>
        <v>#DIV/0!</v>
      </c>
      <c r="AG38" s="229"/>
      <c r="AH38" s="100" t="e">
        <f t="shared" si="40"/>
        <v>#DIV/0!</v>
      </c>
      <c r="AI38" s="229"/>
      <c r="AJ38" s="100" t="e">
        <f t="shared" si="41"/>
        <v>#DIV/0!</v>
      </c>
      <c r="AK38" s="229"/>
      <c r="AL38" s="100" t="e">
        <f t="shared" si="42"/>
        <v>#DIV/0!</v>
      </c>
    </row>
    <row r="39" spans="2:38" s="328" customFormat="1" ht="14.25">
      <c r="B39" s="323"/>
      <c r="C39" s="324"/>
      <c r="D39" s="291">
        <f t="shared" si="45"/>
        <v>46326</v>
      </c>
      <c r="E39" s="291" t="s">
        <v>441</v>
      </c>
      <c r="F39" s="325">
        <f t="shared" si="20"/>
        <v>0</v>
      </c>
      <c r="G39" s="326"/>
      <c r="H39" s="330"/>
      <c r="I39" s="229"/>
      <c r="J39" s="100" t="e">
        <f t="shared" si="25"/>
        <v>#DIV/0!</v>
      </c>
      <c r="K39" s="229"/>
      <c r="L39" s="100" t="e">
        <f t="shared" si="26"/>
        <v>#DIV/0!</v>
      </c>
      <c r="M39" s="105">
        <f t="shared" si="27"/>
        <v>0</v>
      </c>
      <c r="N39" s="100" t="e">
        <f t="shared" si="28"/>
        <v>#DIV/0!</v>
      </c>
      <c r="O39" s="229"/>
      <c r="P39" s="100" t="e">
        <f t="shared" si="29"/>
        <v>#DIV/0!</v>
      </c>
      <c r="Q39" s="229"/>
      <c r="R39" s="100" t="e">
        <f t="shared" si="30"/>
        <v>#DIV/0!</v>
      </c>
      <c r="S39" s="105">
        <f t="shared" si="31"/>
        <v>0</v>
      </c>
      <c r="T39" s="100" t="e">
        <f t="shared" si="32"/>
        <v>#DIV/0!</v>
      </c>
      <c r="U39" s="229"/>
      <c r="V39" s="100" t="e">
        <f t="shared" si="33"/>
        <v>#DIV/0!</v>
      </c>
      <c r="W39" s="229"/>
      <c r="X39" s="100" t="e">
        <f t="shared" si="34"/>
        <v>#DIV/0!</v>
      </c>
      <c r="Y39" s="229"/>
      <c r="Z39" s="100" t="e">
        <f t="shared" si="35"/>
        <v>#DIV/0!</v>
      </c>
      <c r="AA39" s="229"/>
      <c r="AB39" s="100" t="e">
        <f t="shared" si="36"/>
        <v>#DIV/0!</v>
      </c>
      <c r="AC39" s="105">
        <f t="shared" si="37"/>
        <v>0</v>
      </c>
      <c r="AD39" s="100" t="e">
        <f t="shared" si="38"/>
        <v>#DIV/0!</v>
      </c>
      <c r="AE39" s="229"/>
      <c r="AF39" s="100" t="e">
        <f t="shared" si="39"/>
        <v>#DIV/0!</v>
      </c>
      <c r="AG39" s="229"/>
      <c r="AH39" s="100" t="e">
        <f t="shared" si="40"/>
        <v>#DIV/0!</v>
      </c>
      <c r="AI39" s="229"/>
      <c r="AJ39" s="100" t="e">
        <f t="shared" si="41"/>
        <v>#DIV/0!</v>
      </c>
      <c r="AK39" s="229"/>
      <c r="AL39" s="100" t="e">
        <f t="shared" si="42"/>
        <v>#DIV/0!</v>
      </c>
    </row>
    <row r="40" spans="2:38" ht="14.25">
      <c r="B40" s="97"/>
      <c r="C40" s="83"/>
      <c r="D40" s="291">
        <f t="shared" si="45"/>
        <v>46327</v>
      </c>
      <c r="E40" s="291" t="s">
        <v>442</v>
      </c>
      <c r="F40" s="87">
        <f t="shared" si="20"/>
        <v>0</v>
      </c>
      <c r="G40" s="293"/>
      <c r="H40" s="87"/>
      <c r="I40" s="229"/>
      <c r="J40" s="100" t="e">
        <f t="shared" si="25"/>
        <v>#DIV/0!</v>
      </c>
      <c r="K40" s="229"/>
      <c r="L40" s="100" t="e">
        <f t="shared" si="26"/>
        <v>#DIV/0!</v>
      </c>
      <c r="M40" s="105">
        <f t="shared" si="27"/>
        <v>0</v>
      </c>
      <c r="N40" s="100" t="e">
        <f t="shared" si="28"/>
        <v>#DIV/0!</v>
      </c>
      <c r="O40" s="229"/>
      <c r="P40" s="100" t="e">
        <f t="shared" si="29"/>
        <v>#DIV/0!</v>
      </c>
      <c r="Q40" s="229"/>
      <c r="R40" s="100" t="e">
        <f t="shared" si="30"/>
        <v>#DIV/0!</v>
      </c>
      <c r="S40" s="105">
        <f t="shared" si="31"/>
        <v>0</v>
      </c>
      <c r="T40" s="100" t="e">
        <f t="shared" si="32"/>
        <v>#DIV/0!</v>
      </c>
      <c r="U40" s="229"/>
      <c r="V40" s="100" t="e">
        <f t="shared" si="33"/>
        <v>#DIV/0!</v>
      </c>
      <c r="W40" s="229"/>
      <c r="X40" s="100" t="e">
        <f t="shared" si="34"/>
        <v>#DIV/0!</v>
      </c>
      <c r="Y40" s="229"/>
      <c r="Z40" s="100" t="e">
        <f t="shared" si="35"/>
        <v>#DIV/0!</v>
      </c>
      <c r="AA40" s="229"/>
      <c r="AB40" s="100" t="e">
        <f t="shared" si="36"/>
        <v>#DIV/0!</v>
      </c>
      <c r="AC40" s="105">
        <f t="shared" si="37"/>
        <v>0</v>
      </c>
      <c r="AD40" s="100" t="e">
        <f t="shared" si="38"/>
        <v>#DIV/0!</v>
      </c>
      <c r="AE40" s="229"/>
      <c r="AF40" s="100" t="e">
        <f t="shared" si="39"/>
        <v>#DIV/0!</v>
      </c>
      <c r="AG40" s="229"/>
      <c r="AH40" s="100" t="e">
        <f t="shared" si="40"/>
        <v>#DIV/0!</v>
      </c>
      <c r="AI40" s="229"/>
      <c r="AJ40" s="100" t="e">
        <f t="shared" si="41"/>
        <v>#DIV/0!</v>
      </c>
      <c r="AK40" s="229"/>
      <c r="AL40" s="100" t="e">
        <f t="shared" si="42"/>
        <v>#DIV/0!</v>
      </c>
    </row>
    <row r="41" spans="2:38" ht="14.25">
      <c r="B41" s="97"/>
      <c r="C41" s="83"/>
      <c r="D41" s="291">
        <f t="shared" si="45"/>
        <v>46328</v>
      </c>
      <c r="E41" s="291" t="s">
        <v>436</v>
      </c>
      <c r="F41" s="87">
        <f t="shared" si="20"/>
        <v>0</v>
      </c>
      <c r="G41" s="293"/>
      <c r="H41" s="87"/>
      <c r="I41" s="229"/>
      <c r="J41" s="100" t="e">
        <f t="shared" si="25"/>
        <v>#DIV/0!</v>
      </c>
      <c r="K41" s="229"/>
      <c r="L41" s="100" t="e">
        <f t="shared" si="26"/>
        <v>#DIV/0!</v>
      </c>
      <c r="M41" s="105">
        <f t="shared" si="27"/>
        <v>0</v>
      </c>
      <c r="N41" s="100" t="e">
        <f t="shared" si="28"/>
        <v>#DIV/0!</v>
      </c>
      <c r="O41" s="229"/>
      <c r="P41" s="100" t="e">
        <f t="shared" si="29"/>
        <v>#DIV/0!</v>
      </c>
      <c r="Q41" s="229"/>
      <c r="R41" s="100" t="e">
        <f t="shared" si="30"/>
        <v>#DIV/0!</v>
      </c>
      <c r="S41" s="105">
        <f t="shared" si="31"/>
        <v>0</v>
      </c>
      <c r="T41" s="100" t="e">
        <f t="shared" si="32"/>
        <v>#DIV/0!</v>
      </c>
      <c r="U41" s="229"/>
      <c r="V41" s="100" t="e">
        <f t="shared" si="33"/>
        <v>#DIV/0!</v>
      </c>
      <c r="W41" s="229"/>
      <c r="X41" s="100" t="e">
        <f t="shared" si="34"/>
        <v>#DIV/0!</v>
      </c>
      <c r="Y41" s="229"/>
      <c r="Z41" s="100" t="e">
        <f t="shared" si="35"/>
        <v>#DIV/0!</v>
      </c>
      <c r="AA41" s="229"/>
      <c r="AB41" s="100" t="e">
        <f t="shared" si="36"/>
        <v>#DIV/0!</v>
      </c>
      <c r="AC41" s="105">
        <f t="shared" si="37"/>
        <v>0</v>
      </c>
      <c r="AD41" s="100" t="e">
        <f t="shared" si="38"/>
        <v>#DIV/0!</v>
      </c>
      <c r="AE41" s="229"/>
      <c r="AF41" s="100" t="e">
        <f t="shared" si="39"/>
        <v>#DIV/0!</v>
      </c>
      <c r="AG41" s="229"/>
      <c r="AH41" s="100" t="e">
        <f t="shared" si="40"/>
        <v>#DIV/0!</v>
      </c>
      <c r="AI41" s="229"/>
      <c r="AJ41" s="100" t="e">
        <f t="shared" si="41"/>
        <v>#DIV/0!</v>
      </c>
      <c r="AK41" s="229"/>
      <c r="AL41" s="100" t="e">
        <f t="shared" si="42"/>
        <v>#DIV/0!</v>
      </c>
    </row>
    <row r="42" spans="2:38" ht="14.25">
      <c r="B42" s="97"/>
      <c r="C42" s="83"/>
      <c r="D42" s="344"/>
      <c r="E42" s="344"/>
      <c r="F42" s="87">
        <f t="shared" si="20"/>
        <v>0</v>
      </c>
      <c r="G42" s="293"/>
      <c r="H42" s="87"/>
      <c r="I42" s="229"/>
      <c r="J42" s="100" t="e">
        <f t="shared" si="25"/>
        <v>#DIV/0!</v>
      </c>
      <c r="K42" s="229"/>
      <c r="L42" s="100" t="e">
        <f t="shared" si="26"/>
        <v>#DIV/0!</v>
      </c>
      <c r="M42" s="105">
        <f t="shared" si="27"/>
        <v>0</v>
      </c>
      <c r="N42" s="100" t="e">
        <f t="shared" si="28"/>
        <v>#DIV/0!</v>
      </c>
      <c r="O42" s="229"/>
      <c r="P42" s="100" t="e">
        <f t="shared" si="29"/>
        <v>#DIV/0!</v>
      </c>
      <c r="Q42" s="229"/>
      <c r="R42" s="100" t="e">
        <f t="shared" si="30"/>
        <v>#DIV/0!</v>
      </c>
      <c r="S42" s="105">
        <f t="shared" si="31"/>
        <v>0</v>
      </c>
      <c r="T42" s="100" t="e">
        <f t="shared" si="32"/>
        <v>#DIV/0!</v>
      </c>
      <c r="U42" s="229"/>
      <c r="V42" s="100" t="e">
        <f t="shared" si="33"/>
        <v>#DIV/0!</v>
      </c>
      <c r="W42" s="229"/>
      <c r="X42" s="100" t="e">
        <f t="shared" si="34"/>
        <v>#DIV/0!</v>
      </c>
      <c r="Y42" s="229"/>
      <c r="Z42" s="100" t="e">
        <f t="shared" si="35"/>
        <v>#DIV/0!</v>
      </c>
      <c r="AA42" s="229"/>
      <c r="AB42" s="100" t="e">
        <f t="shared" si="36"/>
        <v>#DIV/0!</v>
      </c>
      <c r="AC42" s="105">
        <f t="shared" si="37"/>
        <v>0</v>
      </c>
      <c r="AD42" s="100" t="e">
        <f t="shared" si="38"/>
        <v>#DIV/0!</v>
      </c>
      <c r="AE42" s="229"/>
      <c r="AF42" s="100" t="e">
        <f t="shared" si="39"/>
        <v>#DIV/0!</v>
      </c>
      <c r="AG42" s="229"/>
      <c r="AH42" s="100" t="e">
        <f t="shared" si="40"/>
        <v>#DIV/0!</v>
      </c>
      <c r="AI42" s="229"/>
      <c r="AJ42" s="100" t="e">
        <f t="shared" si="41"/>
        <v>#DIV/0!</v>
      </c>
      <c r="AK42" s="229"/>
      <c r="AL42" s="100" t="e">
        <f t="shared" si="42"/>
        <v>#DIV/0!</v>
      </c>
    </row>
    <row r="43" spans="2:38" ht="14.25">
      <c r="B43" s="97"/>
      <c r="C43" s="83"/>
      <c r="D43" s="344"/>
      <c r="E43" s="344"/>
      <c r="F43" s="87">
        <f t="shared" ref="F43" si="46">SUM(M43,S43,U43,W43,AC43,AE43,AG43,AI43,AK43)</f>
        <v>0</v>
      </c>
      <c r="G43" s="293"/>
      <c r="H43" s="87"/>
      <c r="I43" s="229"/>
      <c r="J43" s="100" t="e">
        <f t="shared" si="25"/>
        <v>#DIV/0!</v>
      </c>
      <c r="K43" s="229"/>
      <c r="L43" s="100" t="e">
        <f t="shared" si="26"/>
        <v>#DIV/0!</v>
      </c>
      <c r="M43" s="105">
        <f t="shared" si="27"/>
        <v>0</v>
      </c>
      <c r="N43" s="100" t="e">
        <f t="shared" si="28"/>
        <v>#DIV/0!</v>
      </c>
      <c r="O43" s="229"/>
      <c r="P43" s="100" t="e">
        <f t="shared" si="29"/>
        <v>#DIV/0!</v>
      </c>
      <c r="Q43" s="229"/>
      <c r="R43" s="100" t="e">
        <f t="shared" si="30"/>
        <v>#DIV/0!</v>
      </c>
      <c r="S43" s="105">
        <f t="shared" si="31"/>
        <v>0</v>
      </c>
      <c r="T43" s="100" t="e">
        <f t="shared" si="32"/>
        <v>#DIV/0!</v>
      </c>
      <c r="U43" s="229"/>
      <c r="V43" s="100" t="e">
        <f t="shared" si="33"/>
        <v>#DIV/0!</v>
      </c>
      <c r="W43" s="229"/>
      <c r="X43" s="100" t="e">
        <f t="shared" si="34"/>
        <v>#DIV/0!</v>
      </c>
      <c r="Y43" s="229"/>
      <c r="Z43" s="100" t="e">
        <f t="shared" si="35"/>
        <v>#DIV/0!</v>
      </c>
      <c r="AA43" s="229"/>
      <c r="AB43" s="100" t="e">
        <f t="shared" si="36"/>
        <v>#DIV/0!</v>
      </c>
      <c r="AC43" s="105">
        <f t="shared" si="37"/>
        <v>0</v>
      </c>
      <c r="AD43" s="100" t="e">
        <f t="shared" si="38"/>
        <v>#DIV/0!</v>
      </c>
      <c r="AE43" s="229"/>
      <c r="AF43" s="100" t="e">
        <f t="shared" si="39"/>
        <v>#DIV/0!</v>
      </c>
      <c r="AG43" s="229"/>
      <c r="AH43" s="100" t="e">
        <f t="shared" si="40"/>
        <v>#DIV/0!</v>
      </c>
      <c r="AI43" s="229"/>
      <c r="AJ43" s="100" t="e">
        <f t="shared" si="41"/>
        <v>#DIV/0!</v>
      </c>
      <c r="AK43" s="229"/>
      <c r="AL43" s="100" t="e">
        <f t="shared" si="42"/>
        <v>#DIV/0!</v>
      </c>
    </row>
    <row r="44" spans="2:38" ht="14.25">
      <c r="B44" s="97"/>
      <c r="C44" s="83"/>
      <c r="D44" s="344"/>
      <c r="E44" s="344"/>
      <c r="F44" s="87">
        <f t="shared" si="20"/>
        <v>0</v>
      </c>
      <c r="G44" s="293"/>
      <c r="H44" s="87"/>
      <c r="I44" s="229"/>
      <c r="J44" s="100" t="e">
        <f t="shared" si="25"/>
        <v>#DIV/0!</v>
      </c>
      <c r="K44" s="229"/>
      <c r="L44" s="100" t="e">
        <f t="shared" si="26"/>
        <v>#DIV/0!</v>
      </c>
      <c r="M44" s="105">
        <f t="shared" si="27"/>
        <v>0</v>
      </c>
      <c r="N44" s="100" t="e">
        <f t="shared" si="28"/>
        <v>#DIV/0!</v>
      </c>
      <c r="O44" s="229"/>
      <c r="P44" s="100" t="e">
        <f t="shared" si="29"/>
        <v>#DIV/0!</v>
      </c>
      <c r="Q44" s="229"/>
      <c r="R44" s="100" t="e">
        <f t="shared" si="30"/>
        <v>#DIV/0!</v>
      </c>
      <c r="S44" s="105">
        <f t="shared" si="31"/>
        <v>0</v>
      </c>
      <c r="T44" s="100" t="e">
        <f t="shared" si="32"/>
        <v>#DIV/0!</v>
      </c>
      <c r="U44" s="229"/>
      <c r="V44" s="100" t="e">
        <f t="shared" si="33"/>
        <v>#DIV/0!</v>
      </c>
      <c r="W44" s="229"/>
      <c r="X44" s="100" t="e">
        <f t="shared" si="34"/>
        <v>#DIV/0!</v>
      </c>
      <c r="Y44" s="229"/>
      <c r="Z44" s="100" t="e">
        <f t="shared" si="35"/>
        <v>#DIV/0!</v>
      </c>
      <c r="AA44" s="229"/>
      <c r="AB44" s="100" t="e">
        <f t="shared" si="36"/>
        <v>#DIV/0!</v>
      </c>
      <c r="AC44" s="105">
        <f t="shared" si="37"/>
        <v>0</v>
      </c>
      <c r="AD44" s="100" t="e">
        <f t="shared" si="38"/>
        <v>#DIV/0!</v>
      </c>
      <c r="AE44" s="229"/>
      <c r="AF44" s="100" t="e">
        <f t="shared" si="39"/>
        <v>#DIV/0!</v>
      </c>
      <c r="AG44" s="229"/>
      <c r="AH44" s="100" t="e">
        <f t="shared" si="40"/>
        <v>#DIV/0!</v>
      </c>
      <c r="AI44" s="229"/>
      <c r="AJ44" s="100" t="e">
        <f t="shared" si="41"/>
        <v>#DIV/0!</v>
      </c>
      <c r="AK44" s="229"/>
      <c r="AL44" s="100" t="e">
        <f t="shared" si="42"/>
        <v>#DIV/0!</v>
      </c>
    </row>
    <row r="45" spans="2:38" ht="14.25">
      <c r="B45" s="97"/>
      <c r="C45" s="83"/>
      <c r="D45" s="344"/>
      <c r="E45" s="344"/>
      <c r="F45" s="87">
        <f t="shared" ref="F45:F48" si="47">SUM(M45,S45,U45,W45,AC45,AE45,AG45,AI45,AK45)</f>
        <v>0</v>
      </c>
      <c r="G45" s="293"/>
      <c r="H45" s="87"/>
      <c r="I45" s="229"/>
      <c r="J45" s="100" t="e">
        <f t="shared" si="25"/>
        <v>#DIV/0!</v>
      </c>
      <c r="K45" s="229"/>
      <c r="L45" s="100" t="e">
        <f t="shared" si="26"/>
        <v>#DIV/0!</v>
      </c>
      <c r="M45" s="105">
        <f t="shared" si="27"/>
        <v>0</v>
      </c>
      <c r="N45" s="100" t="e">
        <f t="shared" si="28"/>
        <v>#DIV/0!</v>
      </c>
      <c r="O45" s="229"/>
      <c r="P45" s="100" t="e">
        <f t="shared" si="29"/>
        <v>#DIV/0!</v>
      </c>
      <c r="Q45" s="229"/>
      <c r="R45" s="100" t="e">
        <f t="shared" si="30"/>
        <v>#DIV/0!</v>
      </c>
      <c r="S45" s="105">
        <f t="shared" si="31"/>
        <v>0</v>
      </c>
      <c r="T45" s="100" t="e">
        <f t="shared" si="32"/>
        <v>#DIV/0!</v>
      </c>
      <c r="U45" s="229"/>
      <c r="V45" s="100" t="e">
        <f t="shared" si="33"/>
        <v>#DIV/0!</v>
      </c>
      <c r="W45" s="229"/>
      <c r="X45" s="100" t="e">
        <f t="shared" si="34"/>
        <v>#DIV/0!</v>
      </c>
      <c r="Y45" s="229"/>
      <c r="Z45" s="100" t="e">
        <f t="shared" si="35"/>
        <v>#DIV/0!</v>
      </c>
      <c r="AA45" s="229"/>
      <c r="AB45" s="100" t="e">
        <f t="shared" si="36"/>
        <v>#DIV/0!</v>
      </c>
      <c r="AC45" s="105">
        <f t="shared" si="37"/>
        <v>0</v>
      </c>
      <c r="AD45" s="100" t="e">
        <f t="shared" si="38"/>
        <v>#DIV/0!</v>
      </c>
      <c r="AE45" s="229"/>
      <c r="AF45" s="100" t="e">
        <f t="shared" si="39"/>
        <v>#DIV/0!</v>
      </c>
      <c r="AG45" s="229"/>
      <c r="AH45" s="100" t="e">
        <f t="shared" si="40"/>
        <v>#DIV/0!</v>
      </c>
      <c r="AI45" s="229"/>
      <c r="AJ45" s="100" t="e">
        <f t="shared" si="41"/>
        <v>#DIV/0!</v>
      </c>
      <c r="AK45" s="229"/>
      <c r="AL45" s="100" t="e">
        <f t="shared" si="42"/>
        <v>#DIV/0!</v>
      </c>
    </row>
    <row r="46" spans="2:38" ht="14.25">
      <c r="B46" s="97"/>
      <c r="C46" s="83"/>
      <c r="D46" s="344"/>
      <c r="E46" s="344"/>
      <c r="F46" s="87">
        <f t="shared" si="47"/>
        <v>0</v>
      </c>
      <c r="G46" s="293"/>
      <c r="H46" s="87"/>
      <c r="I46" s="229"/>
      <c r="J46" s="100" t="e">
        <f t="shared" si="25"/>
        <v>#DIV/0!</v>
      </c>
      <c r="K46" s="229"/>
      <c r="L46" s="100" t="e">
        <f t="shared" si="26"/>
        <v>#DIV/0!</v>
      </c>
      <c r="M46" s="105">
        <f t="shared" si="27"/>
        <v>0</v>
      </c>
      <c r="N46" s="100" t="e">
        <f t="shared" si="28"/>
        <v>#DIV/0!</v>
      </c>
      <c r="O46" s="229"/>
      <c r="P46" s="100" t="e">
        <f t="shared" si="29"/>
        <v>#DIV/0!</v>
      </c>
      <c r="Q46" s="229"/>
      <c r="R46" s="100" t="e">
        <f t="shared" si="30"/>
        <v>#DIV/0!</v>
      </c>
      <c r="S46" s="105">
        <f t="shared" si="31"/>
        <v>0</v>
      </c>
      <c r="T46" s="100" t="e">
        <f t="shared" si="32"/>
        <v>#DIV/0!</v>
      </c>
      <c r="U46" s="229"/>
      <c r="V46" s="100" t="e">
        <f t="shared" si="33"/>
        <v>#DIV/0!</v>
      </c>
      <c r="W46" s="229"/>
      <c r="X46" s="100" t="e">
        <f t="shared" si="34"/>
        <v>#DIV/0!</v>
      </c>
      <c r="Y46" s="229"/>
      <c r="Z46" s="100" t="e">
        <f t="shared" si="35"/>
        <v>#DIV/0!</v>
      </c>
      <c r="AA46" s="229"/>
      <c r="AB46" s="100" t="e">
        <f t="shared" si="36"/>
        <v>#DIV/0!</v>
      </c>
      <c r="AC46" s="105">
        <f t="shared" si="37"/>
        <v>0</v>
      </c>
      <c r="AD46" s="100" t="e">
        <f t="shared" si="38"/>
        <v>#DIV/0!</v>
      </c>
      <c r="AE46" s="229"/>
      <c r="AF46" s="100" t="e">
        <f t="shared" si="39"/>
        <v>#DIV/0!</v>
      </c>
      <c r="AG46" s="229"/>
      <c r="AH46" s="100" t="e">
        <f t="shared" si="40"/>
        <v>#DIV/0!</v>
      </c>
      <c r="AI46" s="229"/>
      <c r="AJ46" s="100" t="e">
        <f t="shared" si="41"/>
        <v>#DIV/0!</v>
      </c>
      <c r="AK46" s="229"/>
      <c r="AL46" s="100" t="e">
        <f t="shared" si="42"/>
        <v>#DIV/0!</v>
      </c>
    </row>
    <row r="47" spans="2:38" ht="14.25">
      <c r="B47" s="97"/>
      <c r="C47" s="83"/>
      <c r="D47" s="344"/>
      <c r="E47" s="344"/>
      <c r="F47" s="87">
        <f t="shared" si="47"/>
        <v>0</v>
      </c>
      <c r="G47" s="293"/>
      <c r="H47" s="87"/>
      <c r="I47" s="229"/>
      <c r="J47" s="100" t="e">
        <f t="shared" si="25"/>
        <v>#DIV/0!</v>
      </c>
      <c r="K47" s="229"/>
      <c r="L47" s="100" t="e">
        <f t="shared" si="26"/>
        <v>#DIV/0!</v>
      </c>
      <c r="M47" s="105">
        <f t="shared" si="27"/>
        <v>0</v>
      </c>
      <c r="N47" s="100" t="e">
        <f t="shared" si="28"/>
        <v>#DIV/0!</v>
      </c>
      <c r="O47" s="229"/>
      <c r="P47" s="100" t="e">
        <f t="shared" si="29"/>
        <v>#DIV/0!</v>
      </c>
      <c r="Q47" s="229"/>
      <c r="R47" s="100" t="e">
        <f t="shared" si="30"/>
        <v>#DIV/0!</v>
      </c>
      <c r="S47" s="105">
        <f t="shared" si="31"/>
        <v>0</v>
      </c>
      <c r="T47" s="100" t="e">
        <f t="shared" si="32"/>
        <v>#DIV/0!</v>
      </c>
      <c r="U47" s="229"/>
      <c r="V47" s="100" t="e">
        <f t="shared" si="33"/>
        <v>#DIV/0!</v>
      </c>
      <c r="W47" s="229"/>
      <c r="X47" s="100" t="e">
        <f t="shared" si="34"/>
        <v>#DIV/0!</v>
      </c>
      <c r="Y47" s="229"/>
      <c r="Z47" s="100" t="e">
        <f t="shared" si="35"/>
        <v>#DIV/0!</v>
      </c>
      <c r="AA47" s="229"/>
      <c r="AB47" s="100" t="e">
        <f t="shared" si="36"/>
        <v>#DIV/0!</v>
      </c>
      <c r="AC47" s="105">
        <f t="shared" si="37"/>
        <v>0</v>
      </c>
      <c r="AD47" s="100" t="e">
        <f t="shared" si="38"/>
        <v>#DIV/0!</v>
      </c>
      <c r="AE47" s="229"/>
      <c r="AF47" s="100" t="e">
        <f t="shared" si="39"/>
        <v>#DIV/0!</v>
      </c>
      <c r="AG47" s="229"/>
      <c r="AH47" s="100" t="e">
        <f t="shared" si="40"/>
        <v>#DIV/0!</v>
      </c>
      <c r="AI47" s="229"/>
      <c r="AJ47" s="100" t="e">
        <f t="shared" si="41"/>
        <v>#DIV/0!</v>
      </c>
      <c r="AK47" s="229"/>
      <c r="AL47" s="100" t="e">
        <f t="shared" si="42"/>
        <v>#DIV/0!</v>
      </c>
    </row>
    <row r="48" spans="2:38" ht="14.25">
      <c r="B48" s="97"/>
      <c r="C48" s="83"/>
      <c r="D48" s="344"/>
      <c r="E48" s="344"/>
      <c r="F48" s="87">
        <f t="shared" si="47"/>
        <v>0</v>
      </c>
      <c r="G48" s="293"/>
      <c r="H48" s="87"/>
      <c r="I48" s="229"/>
      <c r="J48" s="100" t="e">
        <f t="shared" si="25"/>
        <v>#DIV/0!</v>
      </c>
      <c r="K48" s="229"/>
      <c r="L48" s="100" t="e">
        <f t="shared" si="26"/>
        <v>#DIV/0!</v>
      </c>
      <c r="M48" s="105">
        <f t="shared" si="27"/>
        <v>0</v>
      </c>
      <c r="N48" s="100" t="e">
        <f t="shared" si="28"/>
        <v>#DIV/0!</v>
      </c>
      <c r="O48" s="229"/>
      <c r="P48" s="100" t="e">
        <f t="shared" si="29"/>
        <v>#DIV/0!</v>
      </c>
      <c r="Q48" s="229"/>
      <c r="R48" s="100" t="e">
        <f t="shared" si="30"/>
        <v>#DIV/0!</v>
      </c>
      <c r="S48" s="105">
        <f t="shared" si="31"/>
        <v>0</v>
      </c>
      <c r="T48" s="100" t="e">
        <f t="shared" si="32"/>
        <v>#DIV/0!</v>
      </c>
      <c r="U48" s="229"/>
      <c r="V48" s="100" t="e">
        <f t="shared" si="33"/>
        <v>#DIV/0!</v>
      </c>
      <c r="W48" s="229"/>
      <c r="X48" s="100" t="e">
        <f t="shared" si="34"/>
        <v>#DIV/0!</v>
      </c>
      <c r="Y48" s="229"/>
      <c r="Z48" s="100" t="e">
        <f t="shared" si="35"/>
        <v>#DIV/0!</v>
      </c>
      <c r="AA48" s="229"/>
      <c r="AB48" s="100" t="e">
        <f t="shared" si="36"/>
        <v>#DIV/0!</v>
      </c>
      <c r="AC48" s="105">
        <f t="shared" si="37"/>
        <v>0</v>
      </c>
      <c r="AD48" s="100" t="e">
        <f t="shared" si="38"/>
        <v>#DIV/0!</v>
      </c>
      <c r="AE48" s="229"/>
      <c r="AF48" s="100" t="e">
        <f t="shared" si="39"/>
        <v>#DIV/0!</v>
      </c>
      <c r="AG48" s="229"/>
      <c r="AH48" s="100" t="e">
        <f t="shared" si="40"/>
        <v>#DIV/0!</v>
      </c>
      <c r="AI48" s="229"/>
      <c r="AJ48" s="100" t="e">
        <f t="shared" si="41"/>
        <v>#DIV/0!</v>
      </c>
      <c r="AK48" s="229"/>
      <c r="AL48" s="100" t="e">
        <f t="shared" si="42"/>
        <v>#DIV/0!</v>
      </c>
    </row>
    <row r="49" spans="2:38" ht="14.25">
      <c r="B49" s="97"/>
      <c r="C49" s="83"/>
      <c r="D49" s="344"/>
      <c r="E49" s="344"/>
      <c r="F49" s="87"/>
      <c r="G49" s="293"/>
      <c r="H49" s="87"/>
      <c r="I49" s="229"/>
      <c r="J49" s="100" t="e">
        <f>I49/F49</f>
        <v>#DIV/0!</v>
      </c>
      <c r="K49" s="229"/>
      <c r="L49" s="100" t="e">
        <f>K49/F49</f>
        <v>#DIV/0!</v>
      </c>
      <c r="M49" s="105">
        <f>SUM(I49+K49)</f>
        <v>0</v>
      </c>
      <c r="N49" s="100" t="e">
        <f>M49/F49</f>
        <v>#DIV/0!</v>
      </c>
      <c r="O49" s="229"/>
      <c r="P49" s="100" t="e">
        <f>O49/F49</f>
        <v>#DIV/0!</v>
      </c>
      <c r="Q49" s="229"/>
      <c r="R49" s="100" t="e">
        <f t="shared" ref="R49" si="48">Q49/F49</f>
        <v>#DIV/0!</v>
      </c>
      <c r="S49" s="105">
        <f t="shared" ref="S49" si="49">SUM(O49+Q49)</f>
        <v>0</v>
      </c>
      <c r="T49" s="100" t="e">
        <f>S49/F49</f>
        <v>#DIV/0!</v>
      </c>
      <c r="U49" s="229"/>
      <c r="V49" s="100" t="e">
        <f>U49/F49</f>
        <v>#DIV/0!</v>
      </c>
      <c r="W49" s="229"/>
      <c r="X49" s="100" t="e">
        <f>W49/F49</f>
        <v>#DIV/0!</v>
      </c>
      <c r="Y49" s="229"/>
      <c r="Z49" s="100" t="e">
        <f>Y49/F49</f>
        <v>#DIV/0!</v>
      </c>
      <c r="AA49" s="229"/>
      <c r="AB49" s="100" t="e">
        <f t="shared" ref="AB49" si="50">AA49/F49</f>
        <v>#DIV/0!</v>
      </c>
      <c r="AC49" s="105">
        <f>SUM(Y49+AA49)</f>
        <v>0</v>
      </c>
      <c r="AD49" s="100" t="e">
        <f>AC49/F49</f>
        <v>#DIV/0!</v>
      </c>
      <c r="AE49" s="229"/>
      <c r="AF49" s="100" t="e">
        <f>AE49/F49</f>
        <v>#DIV/0!</v>
      </c>
      <c r="AG49" s="229"/>
      <c r="AH49" s="100" t="e">
        <f>AG49/F49</f>
        <v>#DIV/0!</v>
      </c>
      <c r="AI49" s="229"/>
      <c r="AJ49" s="100" t="e">
        <f>AI49/F49</f>
        <v>#DIV/0!</v>
      </c>
      <c r="AK49" s="229"/>
      <c r="AL49" s="100" t="e">
        <f>AK49/F49</f>
        <v>#DIV/0!</v>
      </c>
    </row>
    <row r="50" spans="2:38" ht="14.25">
      <c r="B50" s="97"/>
      <c r="C50" s="83"/>
      <c r="D50" s="344"/>
      <c r="E50" s="344"/>
      <c r="F50" s="87"/>
      <c r="G50" s="87"/>
      <c r="H50" s="87"/>
      <c r="I50" s="256">
        <f>SUM(I7:I44)</f>
        <v>577197</v>
      </c>
      <c r="J50" s="255">
        <f>I50/$H$12</f>
        <v>0.16682534232321972</v>
      </c>
      <c r="K50" s="256">
        <f>SUM(K7:K44)</f>
        <v>814098</v>
      </c>
      <c r="L50" s="255">
        <f>K50/$H$12</f>
        <v>0.23529605582608454</v>
      </c>
      <c r="M50" s="256">
        <f>SUM(M7:M44)</f>
        <v>1391295</v>
      </c>
      <c r="N50" s="255">
        <f>M50/$H$12</f>
        <v>0.40212139814930425</v>
      </c>
      <c r="O50" s="256">
        <f>SUM(O7:O44)</f>
        <v>144413</v>
      </c>
      <c r="P50" s="255">
        <f>O50/$H$12</f>
        <v>4.1739212367567967E-2</v>
      </c>
      <c r="Q50" s="256">
        <f>SUM(Q7:Q44)</f>
        <v>0</v>
      </c>
      <c r="R50" s="255">
        <f>Q50/$H$12</f>
        <v>0</v>
      </c>
      <c r="S50" s="256">
        <f>SUM(S7:S44)</f>
        <v>144413</v>
      </c>
      <c r="T50" s="255">
        <f>S50/$H$12</f>
        <v>4.1739212367567967E-2</v>
      </c>
      <c r="U50" s="256">
        <f>SUM(U7:U44)</f>
        <v>408076</v>
      </c>
      <c r="V50" s="255">
        <f>U50/$H$12</f>
        <v>0.11794485833067429</v>
      </c>
      <c r="W50" s="256">
        <f>SUM(W7:W44)</f>
        <v>0</v>
      </c>
      <c r="X50" s="255">
        <f>W50/$H$12</f>
        <v>0</v>
      </c>
      <c r="Y50" s="256">
        <f>SUM(Y7:Y44)</f>
        <v>373681</v>
      </c>
      <c r="Z50" s="255">
        <f>Y50/$H$12</f>
        <v>0.10800378509362153</v>
      </c>
      <c r="AA50" s="256">
        <f>SUM(AA7:AA44)</f>
        <v>304111</v>
      </c>
      <c r="AB50" s="255">
        <f>AA50/$H$12</f>
        <v>8.7896197795998027E-2</v>
      </c>
      <c r="AC50" s="256">
        <f>SUM(AC7:AC44)</f>
        <v>677792</v>
      </c>
      <c r="AD50" s="255">
        <f>AC50/$H$12</f>
        <v>0.19589998288961954</v>
      </c>
      <c r="AE50" s="256">
        <f>SUM(AE7:AE44)</f>
        <v>322967</v>
      </c>
      <c r="AF50" s="255">
        <f>AE50/$H$12</f>
        <v>9.3346085191196942E-2</v>
      </c>
      <c r="AG50" s="256">
        <f>SUM(AG7:AG44)</f>
        <v>162657</v>
      </c>
      <c r="AH50" s="255">
        <f>AG50/$H$12</f>
        <v>4.7012215424314316E-2</v>
      </c>
      <c r="AI50" s="256">
        <f>SUM(AI7:AI44)</f>
        <v>344718</v>
      </c>
      <c r="AJ50" s="255">
        <f>AI50/$H$12</f>
        <v>9.9632704873683767E-2</v>
      </c>
      <c r="AK50" s="256">
        <f>SUM(AK7:AK44)</f>
        <v>301340</v>
      </c>
      <c r="AL50" s="255">
        <f>AK50/$H$12</f>
        <v>8.7095304819115538E-2</v>
      </c>
    </row>
    <row r="51" spans="2:38" ht="14.25">
      <c r="B51" s="97"/>
      <c r="C51" s="83"/>
      <c r="D51" s="344"/>
      <c r="E51" s="344"/>
      <c r="F51" s="87"/>
      <c r="G51" s="87"/>
      <c r="H51" s="87"/>
      <c r="M51" s="257">
        <f>M50</f>
        <v>1391295</v>
      </c>
      <c r="S51" s="257">
        <f>S50</f>
        <v>144413</v>
      </c>
      <c r="U51" s="257">
        <f>U50</f>
        <v>408076</v>
      </c>
      <c r="W51" s="257">
        <f>W50</f>
        <v>0</v>
      </c>
      <c r="Y51" s="257"/>
      <c r="AA51" s="257"/>
      <c r="AC51" s="257">
        <f>AC50</f>
        <v>677792</v>
      </c>
      <c r="AE51" s="257">
        <f>AE50</f>
        <v>322967</v>
      </c>
      <c r="AG51" s="257">
        <f>AG50</f>
        <v>162657</v>
      </c>
      <c r="AI51" s="257">
        <f>AI50</f>
        <v>344718</v>
      </c>
      <c r="AK51" s="257">
        <f>AK50</f>
        <v>301340</v>
      </c>
    </row>
    <row r="52" spans="2:38" ht="14.25">
      <c r="B52" s="97"/>
      <c r="C52" s="83"/>
      <c r="D52" s="344"/>
      <c r="E52" s="344"/>
      <c r="F52" s="87"/>
      <c r="G52" s="87"/>
      <c r="H52" s="87"/>
    </row>
    <row r="53" spans="2:38" ht="14.25">
      <c r="B53" s="97"/>
      <c r="C53" s="83"/>
      <c r="D53" s="84"/>
      <c r="F53" s="87"/>
      <c r="G53" s="87"/>
      <c r="H53" s="87"/>
    </row>
    <row r="54" spans="2:38" ht="14.25">
      <c r="B54" s="97"/>
      <c r="C54" s="83"/>
      <c r="D54" s="84"/>
    </row>
    <row r="55" spans="2:38" ht="14.25">
      <c r="B55" s="97"/>
      <c r="C55" s="83"/>
      <c r="D55" s="84"/>
    </row>
    <row r="56" spans="2:38" ht="14.25">
      <c r="B56" s="97"/>
      <c r="C56" s="83"/>
      <c r="D56" s="84"/>
    </row>
    <row r="57" spans="2:38" ht="14.25">
      <c r="B57" s="97"/>
      <c r="C57" s="83"/>
      <c r="D57" s="84"/>
    </row>
    <row r="58" spans="2:38" ht="14.25">
      <c r="B58" s="97"/>
      <c r="C58" s="83"/>
      <c r="D58" s="84"/>
    </row>
    <row r="59" spans="2:38" ht="14.25">
      <c r="B59" s="97"/>
      <c r="C59" s="83"/>
      <c r="D59" s="84"/>
    </row>
    <row r="60" spans="2:38" ht="14.25">
      <c r="B60" s="97"/>
      <c r="C60" s="83"/>
      <c r="D60" s="84"/>
    </row>
    <row r="61" spans="2:38" ht="14.25">
      <c r="B61" s="97"/>
      <c r="C61" s="83"/>
      <c r="D61" s="84"/>
    </row>
    <row r="62" spans="2:38" ht="14.25">
      <c r="B62" s="97"/>
      <c r="C62" s="83"/>
      <c r="D62" s="84"/>
    </row>
    <row r="63" spans="2:38" ht="14.25">
      <c r="B63" s="97"/>
      <c r="C63" s="83"/>
      <c r="D63" s="84"/>
    </row>
    <row r="64" spans="2:38" ht="14.25">
      <c r="B64" s="97"/>
      <c r="C64" s="83"/>
      <c r="D64" s="84"/>
    </row>
    <row r="65" spans="2:4" ht="14.25">
      <c r="B65" s="97"/>
      <c r="C65" s="83"/>
      <c r="D65" s="84"/>
    </row>
    <row r="66" spans="2:4" ht="14.25">
      <c r="B66" s="97"/>
      <c r="C66" s="83"/>
      <c r="D66" s="84"/>
    </row>
    <row r="67" spans="2:4" ht="14.25">
      <c r="B67" s="97"/>
      <c r="C67" s="83"/>
      <c r="D67" s="84"/>
    </row>
    <row r="68" spans="2:4" ht="14.25">
      <c r="B68" s="97"/>
      <c r="C68" s="83"/>
      <c r="D68" s="84"/>
    </row>
    <row r="69" spans="2:4" ht="14.25">
      <c r="B69" s="97"/>
      <c r="C69" s="83"/>
      <c r="D69" s="84"/>
    </row>
    <row r="70" spans="2:4" ht="14.25">
      <c r="B70" s="97"/>
      <c r="C70" s="83"/>
      <c r="D70" s="84"/>
    </row>
    <row r="71" spans="2:4" ht="14.25">
      <c r="B71" s="97"/>
      <c r="C71" s="83"/>
      <c r="D71" s="84"/>
    </row>
    <row r="72" spans="2:4" ht="14.25">
      <c r="B72" s="97"/>
      <c r="C72" s="83"/>
      <c r="D72" s="84"/>
    </row>
    <row r="73" spans="2:4" ht="14.25">
      <c r="B73" s="97"/>
      <c r="C73" s="83"/>
      <c r="D73" s="84"/>
    </row>
    <row r="74" spans="2:4" ht="14.25">
      <c r="B74" s="97"/>
      <c r="C74" s="83"/>
      <c r="D74" s="84"/>
    </row>
    <row r="75" spans="2:4" ht="14.25">
      <c r="B75" s="97"/>
      <c r="C75" s="83"/>
      <c r="D75" s="84"/>
    </row>
    <row r="76" spans="2:4" ht="14.25">
      <c r="B76" s="97"/>
      <c r="C76" s="83"/>
      <c r="D76" s="84"/>
    </row>
    <row r="77" spans="2:4" ht="14.25">
      <c r="B77" s="97"/>
      <c r="C77" s="83"/>
      <c r="D77" s="84"/>
    </row>
    <row r="78" spans="2:4" ht="14.25">
      <c r="B78" s="97"/>
      <c r="C78" s="83"/>
      <c r="D78" s="84"/>
    </row>
    <row r="79" spans="2:4" ht="14.25">
      <c r="B79" s="97"/>
      <c r="C79" s="83"/>
      <c r="D79" s="84"/>
    </row>
    <row r="80" spans="2:4" ht="14.25">
      <c r="B80" s="97"/>
      <c r="C80" s="83"/>
      <c r="D80" s="84"/>
    </row>
    <row r="81" spans="2:4" ht="14.25">
      <c r="B81" s="97"/>
      <c r="C81" s="83"/>
      <c r="D81" s="84"/>
    </row>
    <row r="82" spans="2:4" ht="14.25">
      <c r="B82" s="97"/>
      <c r="C82" s="83"/>
      <c r="D82" s="84"/>
    </row>
    <row r="83" spans="2:4" ht="14.25">
      <c r="B83" s="97"/>
      <c r="C83" s="83"/>
      <c r="D83" s="84"/>
    </row>
    <row r="84" spans="2:4" ht="14.25">
      <c r="B84" s="97"/>
      <c r="C84" s="83"/>
      <c r="D84" s="84"/>
    </row>
    <row r="85" spans="2:4" ht="14.25">
      <c r="B85" s="97"/>
      <c r="C85" s="83"/>
      <c r="D85" s="84"/>
    </row>
    <row r="86" spans="2:4" ht="14.25">
      <c r="B86" s="97"/>
      <c r="C86" s="83"/>
      <c r="D86" s="84"/>
    </row>
    <row r="87" spans="2:4" ht="14.25">
      <c r="B87" s="97"/>
      <c r="C87" s="83"/>
      <c r="D87" s="84"/>
    </row>
    <row r="88" spans="2:4" ht="14.25">
      <c r="B88" s="97"/>
      <c r="C88" s="83"/>
      <c r="D88" s="84"/>
    </row>
    <row r="89" spans="2:4" ht="14.25">
      <c r="B89" s="97"/>
      <c r="C89" s="83"/>
      <c r="D89" s="84"/>
    </row>
    <row r="90" spans="2:4" ht="14.25">
      <c r="B90" s="97"/>
      <c r="C90" s="83"/>
      <c r="D90" s="84"/>
    </row>
    <row r="91" spans="2:4" ht="14.25">
      <c r="B91" s="97"/>
      <c r="C91" s="83"/>
      <c r="D91" s="84"/>
    </row>
    <row r="92" spans="2:4" ht="14.25">
      <c r="B92" s="97"/>
      <c r="C92" s="83"/>
      <c r="D92" s="84"/>
    </row>
    <row r="93" spans="2:4" ht="14.25">
      <c r="B93" s="97"/>
      <c r="C93" s="83"/>
      <c r="D93" s="84"/>
    </row>
    <row r="94" spans="2:4" ht="14.25">
      <c r="B94" s="97"/>
      <c r="C94" s="83"/>
      <c r="D94" s="84"/>
    </row>
    <row r="95" spans="2:4" ht="14.25">
      <c r="B95" s="97"/>
      <c r="C95" s="83"/>
      <c r="D95" s="84"/>
    </row>
    <row r="96" spans="2:4" ht="14.25">
      <c r="B96" s="97"/>
      <c r="C96" s="83"/>
      <c r="D96" s="84"/>
    </row>
    <row r="97" spans="2:4" ht="14.25">
      <c r="B97" s="97"/>
      <c r="C97" s="83"/>
      <c r="D97" s="84"/>
    </row>
    <row r="98" spans="2:4" ht="14.25">
      <c r="B98" s="97"/>
      <c r="C98" s="83"/>
      <c r="D98" s="84"/>
    </row>
    <row r="99" spans="2:4" ht="14.25">
      <c r="B99" s="97"/>
      <c r="C99" s="83"/>
      <c r="D99" s="84"/>
    </row>
    <row r="100" spans="2:4" ht="14.25">
      <c r="B100" s="97"/>
      <c r="C100" s="83"/>
      <c r="D100" s="84"/>
    </row>
    <row r="101" spans="2:4" ht="14.25">
      <c r="B101" s="97"/>
      <c r="C101" s="83"/>
      <c r="D101" s="84"/>
    </row>
    <row r="102" spans="2:4" ht="14.25">
      <c r="B102" s="97"/>
      <c r="C102" s="83"/>
      <c r="D102" s="84"/>
    </row>
    <row r="103" spans="2:4" ht="14.25">
      <c r="B103" s="97"/>
      <c r="C103" s="83"/>
      <c r="D103" s="84"/>
    </row>
    <row r="104" spans="2:4" ht="14.25">
      <c r="B104" s="97"/>
      <c r="C104" s="83"/>
      <c r="D104" s="84"/>
    </row>
    <row r="105" spans="2:4" ht="14.25">
      <c r="B105" s="97"/>
      <c r="C105" s="83"/>
      <c r="D105" s="84"/>
    </row>
    <row r="106" spans="2:4" ht="14.25">
      <c r="B106" s="97"/>
      <c r="C106" s="83"/>
      <c r="D106" s="84"/>
    </row>
  </sheetData>
  <mergeCells count="32">
    <mergeCell ref="B2:AL2"/>
    <mergeCell ref="AK5:AL5"/>
    <mergeCell ref="U4:V4"/>
    <mergeCell ref="U5:V5"/>
    <mergeCell ref="W5:X5"/>
    <mergeCell ref="W4:X4"/>
    <mergeCell ref="Y5:Z5"/>
    <mergeCell ref="AC5:AD5"/>
    <mergeCell ref="AE4:AF4"/>
    <mergeCell ref="AE5:AF5"/>
    <mergeCell ref="AG5:AH5"/>
    <mergeCell ref="AG4:AH4"/>
    <mergeCell ref="Y4:AD4"/>
    <mergeCell ref="I4:N4"/>
    <mergeCell ref="AK4:AL4"/>
    <mergeCell ref="Q5:R5"/>
    <mergeCell ref="C3:C6"/>
    <mergeCell ref="G5:G6"/>
    <mergeCell ref="H5:H6"/>
    <mergeCell ref="I3:AL3"/>
    <mergeCell ref="D3:E6"/>
    <mergeCell ref="O4:T4"/>
    <mergeCell ref="O5:P5"/>
    <mergeCell ref="I5:J5"/>
    <mergeCell ref="AI4:AJ4"/>
    <mergeCell ref="AI5:AJ5"/>
    <mergeCell ref="F3:H4"/>
    <mergeCell ref="AA5:AB5"/>
    <mergeCell ref="K5:L5"/>
    <mergeCell ref="S5:T5"/>
    <mergeCell ref="F5:F6"/>
    <mergeCell ref="M5:N5"/>
  </mergeCells>
  <phoneticPr fontId="13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FFCC"/>
  </sheetPr>
  <dimension ref="A1:BA262"/>
  <sheetViews>
    <sheetView topLeftCell="A25" zoomScale="55" zoomScaleNormal="55" workbookViewId="0">
      <pane xSplit="15" topLeftCell="P1" activePane="topRight" state="frozen"/>
      <selection activeCell="H27" sqref="H27:H41"/>
      <selection pane="topRight" activeCell="T42" sqref="S42:T71"/>
    </sheetView>
  </sheetViews>
  <sheetFormatPr defaultColWidth="8.85546875" defaultRowHeight="12.75"/>
  <cols>
    <col min="1" max="1" width="5.5703125" style="107" customWidth="1"/>
    <col min="2" max="2" width="12.42578125" style="107" customWidth="1"/>
    <col min="3" max="3" width="8.85546875" style="106"/>
    <col min="4" max="4" width="26.42578125" style="106" customWidth="1"/>
    <col min="5" max="7" width="8.42578125" style="106" customWidth="1"/>
    <col min="8" max="8" width="11.140625" style="106" bestFit="1" customWidth="1"/>
    <col min="9" max="12" width="11.140625" style="106" customWidth="1"/>
    <col min="13" max="13" width="13.5703125" style="106" customWidth="1"/>
    <col min="14" max="14" width="9.85546875" style="106" customWidth="1"/>
    <col min="15" max="15" width="7.140625" style="106" customWidth="1"/>
    <col min="16" max="18" width="12.85546875" style="106" customWidth="1"/>
    <col min="19" max="19" width="5.42578125" style="106" customWidth="1"/>
    <col min="20" max="20" width="12.85546875" style="106" customWidth="1"/>
    <col min="21" max="23" width="12.85546875" style="107" customWidth="1"/>
    <col min="24" max="24" width="5.42578125" style="106" customWidth="1"/>
    <col min="25" max="28" width="12.85546875" style="107" customWidth="1"/>
    <col min="29" max="29" width="5.42578125" style="106" customWidth="1"/>
    <col min="30" max="30" width="12.85546875" style="107" customWidth="1"/>
    <col min="31" max="33" width="12.5703125" style="107" customWidth="1"/>
    <col min="34" max="34" width="5.42578125" style="106" customWidth="1"/>
    <col min="35" max="35" width="13" style="107" customWidth="1"/>
    <col min="36" max="38" width="12.5703125" style="107" customWidth="1"/>
    <col min="39" max="39" width="5.42578125" style="106" customWidth="1"/>
    <col min="40" max="40" width="13" style="107" customWidth="1"/>
    <col min="41" max="43" width="13.140625" style="107" customWidth="1"/>
    <col min="44" max="44" width="5.42578125" style="107" customWidth="1"/>
    <col min="45" max="48" width="13.140625" style="107" customWidth="1"/>
    <col min="49" max="49" width="5.42578125" style="107" customWidth="1"/>
    <col min="50" max="50" width="13.140625" style="107" customWidth="1"/>
    <col min="51" max="51" width="8.85546875" style="107"/>
    <col min="52" max="52" width="5.42578125" style="107" customWidth="1"/>
    <col min="53" max="53" width="13.140625" style="107" customWidth="1"/>
    <col min="54" max="16384" width="8.85546875" style="107"/>
  </cols>
  <sheetData>
    <row r="1" spans="1:53" ht="24">
      <c r="A1" s="75"/>
      <c r="B1" s="215" t="s">
        <v>314</v>
      </c>
      <c r="C1" s="214">
        <f>AVERAGE(L7,L42,L77,L112,L147,L182)</f>
        <v>857.30664219748178</v>
      </c>
    </row>
    <row r="2" spans="1:53" ht="15.75">
      <c r="A2" s="81"/>
      <c r="B2" s="665" t="s">
        <v>162</v>
      </c>
      <c r="C2" s="666"/>
      <c r="D2" s="666"/>
      <c r="E2" s="666"/>
      <c r="F2" s="666"/>
      <c r="G2" s="666"/>
      <c r="H2" s="667"/>
      <c r="I2" s="202"/>
      <c r="J2" s="202"/>
      <c r="K2" s="202"/>
      <c r="L2" s="202"/>
      <c r="M2" s="201"/>
      <c r="N2" s="639" t="s">
        <v>156</v>
      </c>
      <c r="O2" s="639" t="s">
        <v>105</v>
      </c>
      <c r="P2" s="664">
        <v>46294</v>
      </c>
      <c r="Q2" s="643"/>
      <c r="R2" s="643"/>
      <c r="S2" s="643"/>
      <c r="T2" s="643"/>
      <c r="U2" s="661">
        <f>P2+1</f>
        <v>46295</v>
      </c>
      <c r="V2" s="662"/>
      <c r="W2" s="662"/>
      <c r="X2" s="662"/>
      <c r="Y2" s="663"/>
      <c r="Z2" s="661">
        <f>U2+1</f>
        <v>46296</v>
      </c>
      <c r="AA2" s="662"/>
      <c r="AB2" s="662"/>
      <c r="AC2" s="662"/>
      <c r="AD2" s="663"/>
      <c r="AE2" s="661">
        <f>Z2+1</f>
        <v>46297</v>
      </c>
      <c r="AF2" s="662"/>
      <c r="AG2" s="662"/>
      <c r="AH2" s="662"/>
      <c r="AI2" s="663"/>
      <c r="AJ2" s="661">
        <f>AE2+1</f>
        <v>46298</v>
      </c>
      <c r="AK2" s="662"/>
      <c r="AL2" s="662"/>
      <c r="AM2" s="662"/>
      <c r="AN2" s="663"/>
      <c r="AO2" s="661">
        <f>AJ2+1</f>
        <v>46299</v>
      </c>
      <c r="AP2" s="662"/>
      <c r="AQ2" s="662"/>
      <c r="AR2" s="662"/>
      <c r="AS2" s="663"/>
      <c r="AT2" s="661">
        <f>AO2+1</f>
        <v>46300</v>
      </c>
      <c r="AU2" s="662"/>
      <c r="AV2" s="662"/>
      <c r="AW2" s="662"/>
      <c r="AX2" s="663"/>
    </row>
    <row r="3" spans="1:53" ht="15.75">
      <c r="A3" s="81"/>
      <c r="B3" s="668"/>
      <c r="C3" s="668"/>
      <c r="D3" s="668"/>
      <c r="E3" s="668"/>
      <c r="F3" s="668"/>
      <c r="G3" s="668"/>
      <c r="H3" s="668"/>
      <c r="I3" s="199"/>
      <c r="J3" s="199"/>
      <c r="K3" s="199"/>
      <c r="L3" s="199"/>
      <c r="M3" s="200"/>
      <c r="N3" s="641"/>
      <c r="O3" s="641"/>
      <c r="P3" s="664" t="s">
        <v>158</v>
      </c>
      <c r="Q3" s="643"/>
      <c r="R3" s="643"/>
      <c r="S3" s="643"/>
      <c r="T3" s="643"/>
      <c r="U3" s="664" t="s">
        <v>114</v>
      </c>
      <c r="V3" s="643"/>
      <c r="W3" s="643"/>
      <c r="X3" s="643"/>
      <c r="Y3" s="643"/>
      <c r="Z3" s="664" t="s">
        <v>159</v>
      </c>
      <c r="AA3" s="643"/>
      <c r="AB3" s="643"/>
      <c r="AC3" s="643"/>
      <c r="AD3" s="643"/>
      <c r="AE3" s="664" t="s">
        <v>157</v>
      </c>
      <c r="AF3" s="643"/>
      <c r="AG3" s="643"/>
      <c r="AH3" s="643"/>
      <c r="AI3" s="643"/>
      <c r="AJ3" s="664" t="s">
        <v>160</v>
      </c>
      <c r="AK3" s="643"/>
      <c r="AL3" s="643"/>
      <c r="AM3" s="643"/>
      <c r="AN3" s="643"/>
      <c r="AO3" s="664" t="s">
        <v>115</v>
      </c>
      <c r="AP3" s="643"/>
      <c r="AQ3" s="643"/>
      <c r="AR3" s="643"/>
      <c r="AS3" s="643"/>
      <c r="AT3" s="664" t="s">
        <v>161</v>
      </c>
      <c r="AU3" s="643"/>
      <c r="AV3" s="643"/>
      <c r="AW3" s="643"/>
      <c r="AX3" s="643"/>
    </row>
    <row r="4" spans="1:53" ht="14.25">
      <c r="A4" s="81"/>
      <c r="B4" s="637" t="s">
        <v>380</v>
      </c>
      <c r="C4" s="637" t="s">
        <v>381</v>
      </c>
      <c r="D4" s="637"/>
      <c r="E4" s="637" t="s">
        <v>382</v>
      </c>
      <c r="F4" s="637"/>
      <c r="G4" s="637"/>
      <c r="H4" s="669" t="s">
        <v>357</v>
      </c>
      <c r="I4" s="684" t="s">
        <v>362</v>
      </c>
      <c r="J4" s="684"/>
      <c r="K4" s="684"/>
      <c r="L4" s="685" t="s">
        <v>357</v>
      </c>
      <c r="M4" s="673" t="s">
        <v>385</v>
      </c>
      <c r="N4" s="637"/>
      <c r="O4" s="637" t="s">
        <v>386</v>
      </c>
      <c r="P4" s="655" t="s">
        <v>387</v>
      </c>
      <c r="Q4" s="656"/>
      <c r="R4" s="656"/>
      <c r="S4" s="657"/>
      <c r="T4" s="637" t="s">
        <v>357</v>
      </c>
      <c r="U4" s="655" t="s">
        <v>387</v>
      </c>
      <c r="V4" s="656"/>
      <c r="W4" s="656"/>
      <c r="X4" s="657"/>
      <c r="Y4" s="637" t="s">
        <v>357</v>
      </c>
      <c r="Z4" s="655" t="s">
        <v>387</v>
      </c>
      <c r="AA4" s="656"/>
      <c r="AB4" s="656"/>
      <c r="AC4" s="657"/>
      <c r="AD4" s="637" t="s">
        <v>357</v>
      </c>
      <c r="AE4" s="655" t="s">
        <v>387</v>
      </c>
      <c r="AF4" s="656"/>
      <c r="AG4" s="656"/>
      <c r="AH4" s="657"/>
      <c r="AI4" s="637" t="s">
        <v>357</v>
      </c>
      <c r="AJ4" s="655" t="s">
        <v>387</v>
      </c>
      <c r="AK4" s="656"/>
      <c r="AL4" s="656"/>
      <c r="AM4" s="657"/>
      <c r="AN4" s="637" t="s">
        <v>357</v>
      </c>
      <c r="AO4" s="655" t="s">
        <v>387</v>
      </c>
      <c r="AP4" s="656"/>
      <c r="AQ4" s="656"/>
      <c r="AR4" s="657"/>
      <c r="AS4" s="637" t="s">
        <v>357</v>
      </c>
      <c r="AT4" s="655" t="s">
        <v>387</v>
      </c>
      <c r="AU4" s="656"/>
      <c r="AV4" s="656"/>
      <c r="AW4" s="657"/>
      <c r="AX4" s="637" t="s">
        <v>357</v>
      </c>
      <c r="BA4" s="637" t="s">
        <v>357</v>
      </c>
    </row>
    <row r="5" spans="1:53" ht="14.25">
      <c r="A5" s="81"/>
      <c r="B5" s="637"/>
      <c r="C5" s="637"/>
      <c r="D5" s="637"/>
      <c r="E5" s="637" t="s">
        <v>388</v>
      </c>
      <c r="F5" s="637"/>
      <c r="G5" s="637"/>
      <c r="H5" s="670"/>
      <c r="I5" s="684" t="s">
        <v>388</v>
      </c>
      <c r="J5" s="684"/>
      <c r="K5" s="684"/>
      <c r="L5" s="686"/>
      <c r="M5" s="674"/>
      <c r="N5" s="637"/>
      <c r="O5" s="637"/>
      <c r="P5" s="655" t="s">
        <v>365</v>
      </c>
      <c r="Q5" s="656"/>
      <c r="R5" s="656"/>
      <c r="S5" s="657"/>
      <c r="T5" s="637"/>
      <c r="U5" s="655" t="s">
        <v>365</v>
      </c>
      <c r="V5" s="656"/>
      <c r="W5" s="656"/>
      <c r="X5" s="657"/>
      <c r="Y5" s="637"/>
      <c r="Z5" s="655" t="s">
        <v>365</v>
      </c>
      <c r="AA5" s="656"/>
      <c r="AB5" s="656"/>
      <c r="AC5" s="657"/>
      <c r="AD5" s="637"/>
      <c r="AE5" s="655" t="s">
        <v>365</v>
      </c>
      <c r="AF5" s="656"/>
      <c r="AG5" s="656"/>
      <c r="AH5" s="657"/>
      <c r="AI5" s="637"/>
      <c r="AJ5" s="655" t="s">
        <v>365</v>
      </c>
      <c r="AK5" s="656"/>
      <c r="AL5" s="656"/>
      <c r="AM5" s="657"/>
      <c r="AN5" s="637"/>
      <c r="AO5" s="655" t="s">
        <v>365</v>
      </c>
      <c r="AP5" s="656"/>
      <c r="AQ5" s="656"/>
      <c r="AR5" s="657"/>
      <c r="AS5" s="637"/>
      <c r="AT5" s="655" t="s">
        <v>365</v>
      </c>
      <c r="AU5" s="656"/>
      <c r="AV5" s="656"/>
      <c r="AW5" s="657"/>
      <c r="AX5" s="637"/>
      <c r="BA5" s="637"/>
    </row>
    <row r="6" spans="1:53" ht="14.25">
      <c r="A6" s="79"/>
      <c r="B6" s="637"/>
      <c r="C6" s="637"/>
      <c r="D6" s="637"/>
      <c r="E6" s="551" t="s">
        <v>390</v>
      </c>
      <c r="F6" s="551" t="s">
        <v>391</v>
      </c>
      <c r="G6" s="551" t="s">
        <v>392</v>
      </c>
      <c r="H6" s="671"/>
      <c r="I6" s="556" t="s">
        <v>390</v>
      </c>
      <c r="J6" s="556" t="s">
        <v>391</v>
      </c>
      <c r="K6" s="556" t="s">
        <v>392</v>
      </c>
      <c r="L6" s="687"/>
      <c r="M6" s="675"/>
      <c r="N6" s="637"/>
      <c r="O6" s="637"/>
      <c r="P6" s="551" t="s">
        <v>390</v>
      </c>
      <c r="Q6" s="551" t="s">
        <v>391</v>
      </c>
      <c r="R6" s="551" t="s">
        <v>392</v>
      </c>
      <c r="S6" s="551" t="s">
        <v>385</v>
      </c>
      <c r="T6" s="637"/>
      <c r="U6" s="551" t="s">
        <v>390</v>
      </c>
      <c r="V6" s="551" t="s">
        <v>391</v>
      </c>
      <c r="W6" s="551" t="s">
        <v>392</v>
      </c>
      <c r="X6" s="551" t="s">
        <v>385</v>
      </c>
      <c r="Y6" s="637"/>
      <c r="Z6" s="551" t="s">
        <v>390</v>
      </c>
      <c r="AA6" s="551" t="s">
        <v>391</v>
      </c>
      <c r="AB6" s="551" t="s">
        <v>392</v>
      </c>
      <c r="AC6" s="551" t="s">
        <v>385</v>
      </c>
      <c r="AD6" s="637"/>
      <c r="AE6" s="551" t="s">
        <v>390</v>
      </c>
      <c r="AF6" s="551" t="s">
        <v>391</v>
      </c>
      <c r="AG6" s="551" t="s">
        <v>392</v>
      </c>
      <c r="AH6" s="551" t="s">
        <v>385</v>
      </c>
      <c r="AI6" s="637"/>
      <c r="AJ6" s="551" t="s">
        <v>390</v>
      </c>
      <c r="AK6" s="551" t="s">
        <v>391</v>
      </c>
      <c r="AL6" s="551" t="s">
        <v>392</v>
      </c>
      <c r="AM6" s="551" t="s">
        <v>385</v>
      </c>
      <c r="AN6" s="637"/>
      <c r="AO6" s="551" t="s">
        <v>390</v>
      </c>
      <c r="AP6" s="551" t="s">
        <v>391</v>
      </c>
      <c r="AQ6" s="551" t="s">
        <v>392</v>
      </c>
      <c r="AR6" s="551" t="s">
        <v>385</v>
      </c>
      <c r="AS6" s="637"/>
      <c r="AT6" s="551" t="s">
        <v>390</v>
      </c>
      <c r="AU6" s="551" t="s">
        <v>391</v>
      </c>
      <c r="AV6" s="551" t="s">
        <v>392</v>
      </c>
      <c r="AW6" s="551" t="s">
        <v>385</v>
      </c>
      <c r="AX6" s="637"/>
      <c r="AZ6" s="362" t="s">
        <v>358</v>
      </c>
      <c r="BA6" s="637"/>
    </row>
    <row r="7" spans="1:53" ht="14.25">
      <c r="A7" s="81"/>
      <c r="B7" s="643" t="s">
        <v>150</v>
      </c>
      <c r="C7" s="553">
        <v>1</v>
      </c>
      <c r="D7" s="196" t="s">
        <v>332</v>
      </c>
      <c r="E7" s="196">
        <v>3</v>
      </c>
      <c r="F7" s="196">
        <v>3200</v>
      </c>
      <c r="G7" s="554">
        <v>1066.6666666666667</v>
      </c>
      <c r="H7" s="632">
        <f>AVERAGE(G7:G36)</f>
        <v>841.14583333333314</v>
      </c>
      <c r="I7" s="554">
        <f>IFERROR(AVERAGE(P7,U7,Z7,AE7,AJ7,AO7,AT7),"-")</f>
        <v>3</v>
      </c>
      <c r="J7" s="554">
        <f>IFERROR(AVERAGE(Q7,V7,AA7,AF7,AK7,AP7,AU7),"-")</f>
        <v>3240.5499297816291</v>
      </c>
      <c r="K7" s="194">
        <f>IFERROR(AVERAGE(R7,W7,AB7,AG7,AL7,AQ7,AV7),"-")</f>
        <v>1080.1833099272098</v>
      </c>
      <c r="L7" s="652">
        <f>IFERROR(AVERAGE(K7:K36),"-")</f>
        <v>866.64459457553869</v>
      </c>
      <c r="M7" s="554" t="e">
        <f>RANK(K7, K$147:$K$176)</f>
        <v>#N/A</v>
      </c>
      <c r="N7" s="637"/>
      <c r="O7" s="637"/>
      <c r="P7" s="553">
        <v>3</v>
      </c>
      <c r="Q7" s="559">
        <v>3323.8461538461502</v>
      </c>
      <c r="R7" s="559">
        <v>1107.9487179487166</v>
      </c>
      <c r="S7" s="553" t="e">
        <f t="shared" ref="S7:S36" si="0">RANK(R7, R$147:R$176)</f>
        <v>#N/A</v>
      </c>
      <c r="T7" s="632">
        <f t="shared" ref="T7" si="1">AVERAGE(R7:R36)</f>
        <v>867.01749761915505</v>
      </c>
      <c r="U7" s="553">
        <v>3</v>
      </c>
      <c r="V7" s="559">
        <v>3271.1688311688308</v>
      </c>
      <c r="W7" s="559">
        <v>1090.3896103896102</v>
      </c>
      <c r="X7" s="553" t="e">
        <f t="shared" ref="X7:X36" si="2">RANK(W7, W$147:W$176)</f>
        <v>#N/A</v>
      </c>
      <c r="Y7" s="632">
        <f t="shared" ref="Y7" si="3">AVERAGE(W7:W36)</f>
        <v>868.8983642285358</v>
      </c>
      <c r="Z7" s="553">
        <v>3</v>
      </c>
      <c r="AA7" s="559">
        <v>3254.2105263157891</v>
      </c>
      <c r="AB7" s="559">
        <v>1084.7368421052631</v>
      </c>
      <c r="AC7" s="553" t="e">
        <f t="shared" ref="AC7:AC36" si="4">RANK(AB7, AB$147:AB$176)</f>
        <v>#N/A</v>
      </c>
      <c r="AD7" s="632">
        <f t="shared" ref="AD7" si="5">AVERAGE(AB7:AB36)</f>
        <v>874.49822411815524</v>
      </c>
      <c r="AE7" s="553">
        <v>3</v>
      </c>
      <c r="AF7" s="559">
        <v>3218.4374999999991</v>
      </c>
      <c r="AG7" s="559">
        <v>1072.8124999999998</v>
      </c>
      <c r="AH7" s="553" t="e">
        <f t="shared" ref="AH7:AH36" si="6">RANK(AG7, AG$147:AG$176)</f>
        <v>#N/A</v>
      </c>
      <c r="AI7" s="632">
        <f t="shared" ref="AI7" si="7">AVERAGE(AG7:AG36)</f>
        <v>875.11843709455468</v>
      </c>
      <c r="AJ7" s="553">
        <v>3</v>
      </c>
      <c r="AK7" s="559">
        <v>3252.5806451612889</v>
      </c>
      <c r="AL7" s="559">
        <v>1084.1935483870964</v>
      </c>
      <c r="AM7" s="553" t="e">
        <f t="shared" ref="AM7:AM36" si="8">RANK(AL7, AL$147:AL$176)</f>
        <v>#N/A</v>
      </c>
      <c r="AN7" s="632">
        <f t="shared" ref="AN7" si="9">AVERAGE(AL7:AL36)</f>
        <v>888.24853501782218</v>
      </c>
      <c r="AO7" s="553">
        <v>3</v>
      </c>
      <c r="AP7" s="559">
        <v>3180.7142857142862</v>
      </c>
      <c r="AQ7" s="559">
        <v>1060.2380952380954</v>
      </c>
      <c r="AR7" s="553" t="e">
        <f t="shared" ref="AR7:AR36" si="10">RANK(AQ7, AQ$147:AQ$176)</f>
        <v>#N/A</v>
      </c>
      <c r="AS7" s="632">
        <f t="shared" ref="AS7" si="11">AVERAGE(AQ7:AQ36)</f>
        <v>850.51816121954801</v>
      </c>
      <c r="AT7" s="553">
        <v>3</v>
      </c>
      <c r="AU7" s="559">
        <v>3182.8915662650606</v>
      </c>
      <c r="AV7" s="559">
        <v>1060.963855421687</v>
      </c>
      <c r="AW7" s="553" t="e">
        <f t="shared" ref="AW7:AW36" si="12">RANK(AV7, AV$147:AV$176)</f>
        <v>#N/A</v>
      </c>
      <c r="AX7" s="632">
        <f t="shared" ref="AX7" si="13">AVERAGE(AV7:AV36)</f>
        <v>842.212942731</v>
      </c>
      <c r="AZ7" s="361" t="e">
        <f>RANK(AY7, AY$7:AY$36)</f>
        <v>#N/A</v>
      </c>
      <c r="BA7" s="638" t="e">
        <f>AVERAGE(AY7:AY36)</f>
        <v>#DIV/0!</v>
      </c>
    </row>
    <row r="8" spans="1:53" ht="15" customHeight="1">
      <c r="A8" s="81"/>
      <c r="B8" s="643"/>
      <c r="C8" s="553">
        <v>2</v>
      </c>
      <c r="D8" s="556" t="s">
        <v>333</v>
      </c>
      <c r="E8" s="196">
        <v>3</v>
      </c>
      <c r="F8" s="196">
        <v>3200</v>
      </c>
      <c r="G8" s="554">
        <v>1066.6666666666667</v>
      </c>
      <c r="H8" s="633"/>
      <c r="I8" s="554">
        <f t="shared" ref="I8:I36" si="14">IFERROR(AVERAGE(P8,U8,Z8,AE8,AJ8,AO8,AT8),"-")</f>
        <v>3</v>
      </c>
      <c r="J8" s="554">
        <f t="shared" ref="J8:J36" si="15">IFERROR(AVERAGE(Q8,V8,AA8,AF8,AK8,AP8,AU8),"-")</f>
        <v>3243.9302131919999</v>
      </c>
      <c r="K8" s="194">
        <f t="shared" ref="K8:K36" si="16">IFERROR(AVERAGE(R8,W8,AB8,AG8,AL8,AQ8,AV8),"-")</f>
        <v>1081.3100710639999</v>
      </c>
      <c r="L8" s="653"/>
      <c r="M8" s="554" t="e">
        <f>RANK(K8, K$147:$K$176)</f>
        <v>#N/A</v>
      </c>
      <c r="N8" s="637"/>
      <c r="O8" s="637"/>
      <c r="P8" s="553">
        <v>3</v>
      </c>
      <c r="Q8" s="559">
        <v>3237.1428571428623</v>
      </c>
      <c r="R8" s="559">
        <v>1079.0476190476209</v>
      </c>
      <c r="S8" s="553" t="e">
        <f t="shared" si="0"/>
        <v>#N/A</v>
      </c>
      <c r="T8" s="633"/>
      <c r="U8" s="553">
        <v>3</v>
      </c>
      <c r="V8" s="559">
        <v>3342.0000000000055</v>
      </c>
      <c r="W8" s="559">
        <v>1114.0000000000018</v>
      </c>
      <c r="X8" s="553" t="e">
        <f t="shared" si="2"/>
        <v>#N/A</v>
      </c>
      <c r="Y8" s="633"/>
      <c r="Z8" s="553">
        <v>3</v>
      </c>
      <c r="AA8" s="559">
        <v>3231.000000000005</v>
      </c>
      <c r="AB8" s="559">
        <v>1077.0000000000016</v>
      </c>
      <c r="AC8" s="553" t="e">
        <f t="shared" si="4"/>
        <v>#N/A</v>
      </c>
      <c r="AD8" s="633"/>
      <c r="AE8" s="553">
        <v>3</v>
      </c>
      <c r="AF8" s="559">
        <v>3314.117647058828</v>
      </c>
      <c r="AG8" s="559">
        <v>1104.7058823529426</v>
      </c>
      <c r="AH8" s="553" t="e">
        <f t="shared" si="6"/>
        <v>#N/A</v>
      </c>
      <c r="AI8" s="633"/>
      <c r="AJ8" s="553">
        <v>3</v>
      </c>
      <c r="AK8" s="559">
        <v>3352.5000000000036</v>
      </c>
      <c r="AL8" s="559">
        <v>1117.5000000000011</v>
      </c>
      <c r="AM8" s="553" t="e">
        <f t="shared" si="8"/>
        <v>#N/A</v>
      </c>
      <c r="AN8" s="633"/>
      <c r="AO8" s="553">
        <v>3</v>
      </c>
      <c r="AP8" s="559">
        <v>3143.478260869565</v>
      </c>
      <c r="AQ8" s="559">
        <v>1047.8260869565217</v>
      </c>
      <c r="AR8" s="553" t="e">
        <f t="shared" si="10"/>
        <v>#N/A</v>
      </c>
      <c r="AS8" s="633"/>
      <c r="AT8" s="553">
        <v>3</v>
      </c>
      <c r="AU8" s="559">
        <v>3087.272727272727</v>
      </c>
      <c r="AV8" s="559">
        <v>1029.090909090909</v>
      </c>
      <c r="AW8" s="553" t="e">
        <f t="shared" si="12"/>
        <v>#N/A</v>
      </c>
      <c r="AX8" s="633"/>
      <c r="AZ8" s="361" t="e">
        <f t="shared" ref="AZ8:AZ36" si="17">RANK(AY8, AY$7:AY$36)</f>
        <v>#N/A</v>
      </c>
      <c r="BA8" s="638"/>
    </row>
    <row r="9" spans="1:53" ht="14.25">
      <c r="A9" s="81"/>
      <c r="B9" s="643"/>
      <c r="C9" s="553">
        <v>3</v>
      </c>
      <c r="D9" s="196" t="s">
        <v>669</v>
      </c>
      <c r="E9" s="196">
        <v>4</v>
      </c>
      <c r="F9" s="196">
        <v>3200</v>
      </c>
      <c r="G9" s="554">
        <v>800</v>
      </c>
      <c r="H9" s="633"/>
      <c r="I9" s="554">
        <f t="shared" si="14"/>
        <v>4</v>
      </c>
      <c r="J9" s="554">
        <f t="shared" si="15"/>
        <v>3277.7241633495491</v>
      </c>
      <c r="K9" s="194">
        <f t="shared" si="16"/>
        <v>819.43104083738729</v>
      </c>
      <c r="L9" s="653"/>
      <c r="M9" s="554" t="e">
        <f>RANK(K9, K$147:$K$176)</f>
        <v>#N/A</v>
      </c>
      <c r="N9" s="637"/>
      <c r="O9" s="637"/>
      <c r="P9" s="553">
        <v>4</v>
      </c>
      <c r="Q9" s="559">
        <v>3268.4210526315842</v>
      </c>
      <c r="R9" s="559">
        <v>817.10526315789605</v>
      </c>
      <c r="S9" s="553" t="e">
        <f t="shared" si="0"/>
        <v>#N/A</v>
      </c>
      <c r="T9" s="633"/>
      <c r="U9" s="553">
        <v>4</v>
      </c>
      <c r="V9" s="559">
        <v>3266.6666666666642</v>
      </c>
      <c r="W9" s="559">
        <v>816.66666666666606</v>
      </c>
      <c r="X9" s="553" t="e">
        <f t="shared" si="2"/>
        <v>#N/A</v>
      </c>
      <c r="Y9" s="633"/>
      <c r="Z9" s="553">
        <v>4</v>
      </c>
      <c r="AA9" s="559">
        <v>3338.823529411769</v>
      </c>
      <c r="AB9" s="559">
        <v>834.70588235294224</v>
      </c>
      <c r="AC9" s="553" t="e">
        <f t="shared" si="4"/>
        <v>#N/A</v>
      </c>
      <c r="AD9" s="633"/>
      <c r="AE9" s="553">
        <v>4</v>
      </c>
      <c r="AF9" s="559">
        <v>3625.0000000000009</v>
      </c>
      <c r="AG9" s="559">
        <v>906.25000000000023</v>
      </c>
      <c r="AH9" s="553" t="e">
        <f t="shared" si="6"/>
        <v>#N/A</v>
      </c>
      <c r="AI9" s="633"/>
      <c r="AJ9" s="553">
        <v>4</v>
      </c>
      <c r="AK9" s="559">
        <v>3415.0000000000009</v>
      </c>
      <c r="AL9" s="559">
        <v>853.75000000000023</v>
      </c>
      <c r="AM9" s="553" t="e">
        <f t="shared" si="8"/>
        <v>#N/A</v>
      </c>
      <c r="AN9" s="633"/>
      <c r="AO9" s="553">
        <v>4</v>
      </c>
      <c r="AP9" s="559">
        <v>3123.1578947368334</v>
      </c>
      <c r="AQ9" s="559">
        <v>780.78947368420836</v>
      </c>
      <c r="AR9" s="553" t="e">
        <f t="shared" si="10"/>
        <v>#N/A</v>
      </c>
      <c r="AS9" s="633"/>
      <c r="AT9" s="553">
        <v>4</v>
      </c>
      <c r="AU9" s="559">
        <v>2906.9999999999927</v>
      </c>
      <c r="AV9" s="559">
        <v>726.74999999999818</v>
      </c>
      <c r="AW9" s="553" t="e">
        <f t="shared" si="12"/>
        <v>#N/A</v>
      </c>
      <c r="AX9" s="633"/>
      <c r="AZ9" s="361" t="e">
        <f t="shared" si="17"/>
        <v>#N/A</v>
      </c>
      <c r="BA9" s="638"/>
    </row>
    <row r="10" spans="1:53" ht="14.25">
      <c r="A10" s="81"/>
      <c r="B10" s="643"/>
      <c r="C10" s="553">
        <v>4</v>
      </c>
      <c r="D10" s="196" t="s">
        <v>670</v>
      </c>
      <c r="E10" s="196">
        <v>3</v>
      </c>
      <c r="F10" s="196">
        <v>3200</v>
      </c>
      <c r="G10" s="554">
        <v>1066.6666666666667</v>
      </c>
      <c r="H10" s="633"/>
      <c r="I10" s="554">
        <f t="shared" si="14"/>
        <v>3</v>
      </c>
      <c r="J10" s="554">
        <f t="shared" si="15"/>
        <v>3215.9892024257019</v>
      </c>
      <c r="K10" s="194">
        <f t="shared" si="16"/>
        <v>1071.9964008085674</v>
      </c>
      <c r="L10" s="653"/>
      <c r="M10" s="554" t="e">
        <f>RANK(K10, K$147:$K$176)</f>
        <v>#N/A</v>
      </c>
      <c r="N10" s="637"/>
      <c r="O10" s="637"/>
      <c r="P10" s="553">
        <v>3</v>
      </c>
      <c r="Q10" s="559">
        <v>3297.5409836065583</v>
      </c>
      <c r="R10" s="559">
        <v>1099.1803278688528</v>
      </c>
      <c r="S10" s="553" t="e">
        <f t="shared" si="0"/>
        <v>#N/A</v>
      </c>
      <c r="T10" s="633"/>
      <c r="U10" s="553">
        <v>3</v>
      </c>
      <c r="V10" s="559">
        <v>3226.5000000000009</v>
      </c>
      <c r="W10" s="559">
        <v>1075.5000000000002</v>
      </c>
      <c r="X10" s="553" t="e">
        <f t="shared" si="2"/>
        <v>#N/A</v>
      </c>
      <c r="Y10" s="633"/>
      <c r="Z10" s="553">
        <v>3</v>
      </c>
      <c r="AA10" s="559">
        <v>3238.5000000000009</v>
      </c>
      <c r="AB10" s="559">
        <v>1079.5000000000002</v>
      </c>
      <c r="AC10" s="553" t="e">
        <f t="shared" si="4"/>
        <v>#N/A</v>
      </c>
      <c r="AD10" s="633"/>
      <c r="AE10" s="553">
        <v>3</v>
      </c>
      <c r="AF10" s="559">
        <v>3175.8000000000006</v>
      </c>
      <c r="AG10" s="559">
        <v>1058.6000000000001</v>
      </c>
      <c r="AH10" s="553" t="e">
        <f t="shared" si="6"/>
        <v>#N/A</v>
      </c>
      <c r="AI10" s="633"/>
      <c r="AJ10" s="553">
        <v>3</v>
      </c>
      <c r="AK10" s="559">
        <v>3203.8775510204091</v>
      </c>
      <c r="AL10" s="559">
        <v>1067.9591836734696</v>
      </c>
      <c r="AM10" s="553" t="e">
        <f t="shared" si="8"/>
        <v>#N/A</v>
      </c>
      <c r="AN10" s="633"/>
      <c r="AO10" s="553">
        <v>3</v>
      </c>
      <c r="AP10" s="559">
        <v>3180</v>
      </c>
      <c r="AQ10" s="559">
        <v>1060</v>
      </c>
      <c r="AR10" s="553" t="e">
        <f t="shared" si="10"/>
        <v>#N/A</v>
      </c>
      <c r="AS10" s="633"/>
      <c r="AT10" s="553">
        <v>3</v>
      </c>
      <c r="AU10" s="559">
        <v>3189.7058823529428</v>
      </c>
      <c r="AV10" s="559">
        <v>1063.2352941176475</v>
      </c>
      <c r="AW10" s="553" t="e">
        <f t="shared" si="12"/>
        <v>#N/A</v>
      </c>
      <c r="AX10" s="633"/>
      <c r="AZ10" s="361" t="e">
        <f t="shared" si="17"/>
        <v>#N/A</v>
      </c>
      <c r="BA10" s="638"/>
    </row>
    <row r="11" spans="1:53" ht="14.25">
      <c r="A11" s="81"/>
      <c r="B11" s="643"/>
      <c r="C11" s="553">
        <v>5</v>
      </c>
      <c r="D11" s="196" t="s">
        <v>671</v>
      </c>
      <c r="E11" s="196">
        <v>4</v>
      </c>
      <c r="F11" s="196">
        <v>3200</v>
      </c>
      <c r="G11" s="554">
        <v>800</v>
      </c>
      <c r="H11" s="633"/>
      <c r="I11" s="554">
        <f t="shared" si="14"/>
        <v>4</v>
      </c>
      <c r="J11" s="554">
        <f t="shared" si="15"/>
        <v>3282.0296703296708</v>
      </c>
      <c r="K11" s="194">
        <f t="shared" si="16"/>
        <v>820.5074175824177</v>
      </c>
      <c r="L11" s="653"/>
      <c r="M11" s="554" t="e">
        <f>RANK(K11, K$147:$K$176)</f>
        <v>#N/A</v>
      </c>
      <c r="N11" s="637"/>
      <c r="O11" s="637"/>
      <c r="P11" s="553">
        <v>4</v>
      </c>
      <c r="Q11" s="559">
        <v>3350.0000000000009</v>
      </c>
      <c r="R11" s="559">
        <v>837.50000000000023</v>
      </c>
      <c r="S11" s="553" t="e">
        <f t="shared" si="0"/>
        <v>#N/A</v>
      </c>
      <c r="T11" s="633"/>
      <c r="U11" s="553">
        <v>4</v>
      </c>
      <c r="V11" s="559">
        <v>3402.499999999995</v>
      </c>
      <c r="W11" s="559">
        <v>850.62499999999875</v>
      </c>
      <c r="X11" s="553" t="e">
        <f t="shared" si="2"/>
        <v>#N/A</v>
      </c>
      <c r="Y11" s="633"/>
      <c r="Z11" s="553">
        <v>4</v>
      </c>
      <c r="AA11" s="559">
        <v>3223.2000000000062</v>
      </c>
      <c r="AB11" s="559">
        <v>805.80000000000155</v>
      </c>
      <c r="AC11" s="553" t="e">
        <f t="shared" si="4"/>
        <v>#N/A</v>
      </c>
      <c r="AD11" s="633"/>
      <c r="AE11" s="553">
        <v>4</v>
      </c>
      <c r="AF11" s="559">
        <v>3183.000000000005</v>
      </c>
      <c r="AG11" s="559">
        <v>795.75000000000125</v>
      </c>
      <c r="AH11" s="553" t="e">
        <f t="shared" si="6"/>
        <v>#N/A</v>
      </c>
      <c r="AI11" s="633"/>
      <c r="AJ11" s="553">
        <v>4</v>
      </c>
      <c r="AK11" s="559">
        <v>3560.0000000000036</v>
      </c>
      <c r="AL11" s="559">
        <v>890.00000000000091</v>
      </c>
      <c r="AM11" s="553" t="e">
        <f t="shared" si="8"/>
        <v>#N/A</v>
      </c>
      <c r="AN11" s="633"/>
      <c r="AO11" s="553">
        <v>4</v>
      </c>
      <c r="AP11" s="559">
        <v>3092.3076923076892</v>
      </c>
      <c r="AQ11" s="559">
        <v>773.0769230769223</v>
      </c>
      <c r="AR11" s="553" t="e">
        <f t="shared" si="10"/>
        <v>#N/A</v>
      </c>
      <c r="AS11" s="633"/>
      <c r="AT11" s="553">
        <v>4</v>
      </c>
      <c r="AU11" s="559">
        <v>3163.1999999999962</v>
      </c>
      <c r="AV11" s="559">
        <v>790.79999999999905</v>
      </c>
      <c r="AW11" s="553" t="e">
        <f t="shared" si="12"/>
        <v>#N/A</v>
      </c>
      <c r="AX11" s="633"/>
      <c r="AZ11" s="361" t="e">
        <f t="shared" si="17"/>
        <v>#N/A</v>
      </c>
      <c r="BA11" s="638"/>
    </row>
    <row r="12" spans="1:53" ht="14.25">
      <c r="A12" s="81"/>
      <c r="B12" s="643"/>
      <c r="C12" s="553">
        <v>6</v>
      </c>
      <c r="D12" s="196" t="s">
        <v>672</v>
      </c>
      <c r="E12" s="196">
        <v>4</v>
      </c>
      <c r="F12" s="196">
        <v>3200</v>
      </c>
      <c r="G12" s="554">
        <v>800</v>
      </c>
      <c r="H12" s="633"/>
      <c r="I12" s="554">
        <f t="shared" si="14"/>
        <v>4</v>
      </c>
      <c r="J12" s="554">
        <f t="shared" si="15"/>
        <v>3265.8775510204136</v>
      </c>
      <c r="K12" s="194">
        <f t="shared" si="16"/>
        <v>816.46938775510341</v>
      </c>
      <c r="L12" s="653"/>
      <c r="M12" s="554" t="e">
        <f>RANK(K12, K$147:$K$176)</f>
        <v>#N/A</v>
      </c>
      <c r="N12" s="637"/>
      <c r="O12" s="637"/>
      <c r="P12" s="553">
        <v>4</v>
      </c>
      <c r="Q12" s="559">
        <v>3265.7142857142785</v>
      </c>
      <c r="R12" s="559">
        <v>816.42857142856963</v>
      </c>
      <c r="S12" s="553" t="e">
        <f t="shared" si="0"/>
        <v>#N/A</v>
      </c>
      <c r="T12" s="633"/>
      <c r="U12" s="553">
        <v>4</v>
      </c>
      <c r="V12" s="559">
        <v>3218.5714285714307</v>
      </c>
      <c r="W12" s="559">
        <v>804.64285714285768</v>
      </c>
      <c r="X12" s="553" t="e">
        <f t="shared" si="2"/>
        <v>#N/A</v>
      </c>
      <c r="Y12" s="633"/>
      <c r="Z12" s="553">
        <v>4</v>
      </c>
      <c r="AA12" s="559">
        <v>3410.0000000000123</v>
      </c>
      <c r="AB12" s="559">
        <v>852.50000000000307</v>
      </c>
      <c r="AC12" s="553" t="e">
        <f t="shared" si="4"/>
        <v>#N/A</v>
      </c>
      <c r="AD12" s="633"/>
      <c r="AE12" s="553">
        <v>4</v>
      </c>
      <c r="AF12" s="559">
        <v>3480.0000000000123</v>
      </c>
      <c r="AG12" s="559">
        <v>870.00000000000307</v>
      </c>
      <c r="AH12" s="553" t="e">
        <f t="shared" si="6"/>
        <v>#N/A</v>
      </c>
      <c r="AI12" s="633"/>
      <c r="AJ12" s="553">
        <v>4</v>
      </c>
      <c r="AK12" s="559">
        <v>3460.0000000000123</v>
      </c>
      <c r="AL12" s="559">
        <v>865.00000000000307</v>
      </c>
      <c r="AM12" s="553" t="e">
        <f t="shared" si="8"/>
        <v>#N/A</v>
      </c>
      <c r="AN12" s="633"/>
      <c r="AO12" s="553">
        <v>4</v>
      </c>
      <c r="AP12" s="559">
        <v>3162.8571428571454</v>
      </c>
      <c r="AQ12" s="559">
        <v>790.71428571428635</v>
      </c>
      <c r="AR12" s="553" t="e">
        <f t="shared" si="10"/>
        <v>#N/A</v>
      </c>
      <c r="AS12" s="633"/>
      <c r="AT12" s="553">
        <v>4</v>
      </c>
      <c r="AU12" s="559">
        <v>2864.0000000000027</v>
      </c>
      <c r="AV12" s="559">
        <v>716.00000000000068</v>
      </c>
      <c r="AW12" s="553" t="e">
        <f t="shared" si="12"/>
        <v>#N/A</v>
      </c>
      <c r="AX12" s="633"/>
      <c r="AZ12" s="361" t="e">
        <f t="shared" si="17"/>
        <v>#N/A</v>
      </c>
      <c r="BA12" s="638"/>
    </row>
    <row r="13" spans="1:53" ht="14.25">
      <c r="A13" s="81"/>
      <c r="B13" s="643"/>
      <c r="C13" s="553">
        <v>7</v>
      </c>
      <c r="D13" s="196" t="s">
        <v>673</v>
      </c>
      <c r="E13" s="196">
        <v>3</v>
      </c>
      <c r="F13" s="196">
        <v>3200</v>
      </c>
      <c r="G13" s="554">
        <v>1066.6666666666667</v>
      </c>
      <c r="H13" s="633"/>
      <c r="I13" s="554">
        <f t="shared" si="14"/>
        <v>3</v>
      </c>
      <c r="J13" s="554">
        <f t="shared" si="15"/>
        <v>3247.3800442371889</v>
      </c>
      <c r="K13" s="194">
        <f t="shared" si="16"/>
        <v>1082.4600147457297</v>
      </c>
      <c r="L13" s="653"/>
      <c r="M13" s="554" t="e">
        <f>RANK(K13, K$147:$K$176)</f>
        <v>#N/A</v>
      </c>
      <c r="N13" s="637"/>
      <c r="O13" s="637"/>
      <c r="P13" s="553">
        <v>3</v>
      </c>
      <c r="Q13" s="559">
        <v>3270.8571428571395</v>
      </c>
      <c r="R13" s="559">
        <v>1090.2857142857131</v>
      </c>
      <c r="S13" s="553" t="e">
        <f t="shared" si="0"/>
        <v>#N/A</v>
      </c>
      <c r="T13" s="633"/>
      <c r="U13" s="553">
        <v>3</v>
      </c>
      <c r="V13" s="559">
        <v>3289.7142857142821</v>
      </c>
      <c r="W13" s="559">
        <v>1096.5714285714273</v>
      </c>
      <c r="X13" s="553" t="e">
        <f t="shared" si="2"/>
        <v>#N/A</v>
      </c>
      <c r="Y13" s="633"/>
      <c r="Z13" s="553">
        <v>3</v>
      </c>
      <c r="AA13" s="559">
        <v>3321.8181818181774</v>
      </c>
      <c r="AB13" s="559">
        <v>1107.2727272727259</v>
      </c>
      <c r="AC13" s="553" t="e">
        <f t="shared" si="4"/>
        <v>#N/A</v>
      </c>
      <c r="AD13" s="633"/>
      <c r="AE13" s="553">
        <v>3</v>
      </c>
      <c r="AF13" s="559">
        <v>3384.4444444444566</v>
      </c>
      <c r="AG13" s="559">
        <v>1128.1481481481521</v>
      </c>
      <c r="AH13" s="553" t="e">
        <f t="shared" si="6"/>
        <v>#N/A</v>
      </c>
      <c r="AI13" s="633"/>
      <c r="AJ13" s="553">
        <v>3</v>
      </c>
      <c r="AK13" s="559">
        <v>3124.2857142857165</v>
      </c>
      <c r="AL13" s="559">
        <v>1041.4285714285722</v>
      </c>
      <c r="AM13" s="553" t="e">
        <f t="shared" si="8"/>
        <v>#N/A</v>
      </c>
      <c r="AN13" s="633"/>
      <c r="AO13" s="553">
        <v>3</v>
      </c>
      <c r="AP13" s="559">
        <v>3197.837837837842</v>
      </c>
      <c r="AQ13" s="559">
        <v>1065.9459459459474</v>
      </c>
      <c r="AR13" s="553" t="e">
        <f t="shared" si="10"/>
        <v>#N/A</v>
      </c>
      <c r="AS13" s="633"/>
      <c r="AT13" s="553">
        <v>3</v>
      </c>
      <c r="AU13" s="559">
        <v>3142.702702702707</v>
      </c>
      <c r="AV13" s="559">
        <v>1047.5675675675691</v>
      </c>
      <c r="AW13" s="553" t="e">
        <f t="shared" si="12"/>
        <v>#N/A</v>
      </c>
      <c r="AX13" s="633"/>
      <c r="AZ13" s="361" t="e">
        <f t="shared" si="17"/>
        <v>#N/A</v>
      </c>
      <c r="BA13" s="638"/>
    </row>
    <row r="14" spans="1:53" ht="14.25">
      <c r="A14" s="81"/>
      <c r="B14" s="643"/>
      <c r="C14" s="553">
        <v>8</v>
      </c>
      <c r="D14" s="196" t="s">
        <v>335</v>
      </c>
      <c r="E14" s="196">
        <v>3</v>
      </c>
      <c r="F14" s="196">
        <v>2800</v>
      </c>
      <c r="G14" s="554">
        <v>933.33333333333337</v>
      </c>
      <c r="H14" s="633"/>
      <c r="I14" s="554">
        <f t="shared" si="14"/>
        <v>3</v>
      </c>
      <c r="J14" s="554">
        <f t="shared" si="15"/>
        <v>3216.4360119633834</v>
      </c>
      <c r="K14" s="194">
        <f t="shared" si="16"/>
        <v>1072.145337321128</v>
      </c>
      <c r="L14" s="653"/>
      <c r="M14" s="554" t="e">
        <f>RANK(K14, K$147:$K$176)</f>
        <v>#N/A</v>
      </c>
      <c r="N14" s="637"/>
      <c r="O14" s="637"/>
      <c r="P14" s="553">
        <v>3</v>
      </c>
      <c r="Q14" s="559">
        <v>3198.260869565212</v>
      </c>
      <c r="R14" s="559">
        <v>1066.0869565217374</v>
      </c>
      <c r="S14" s="553" t="e">
        <f t="shared" si="0"/>
        <v>#N/A</v>
      </c>
      <c r="T14" s="633"/>
      <c r="U14" s="553">
        <v>3</v>
      </c>
      <c r="V14" s="559">
        <v>3333.4883720930229</v>
      </c>
      <c r="W14" s="559">
        <v>1111.1627906976744</v>
      </c>
      <c r="X14" s="553" t="e">
        <f t="shared" si="2"/>
        <v>#N/A</v>
      </c>
      <c r="Y14" s="633"/>
      <c r="Z14" s="553">
        <v>3</v>
      </c>
      <c r="AA14" s="559">
        <v>3137.3333333333385</v>
      </c>
      <c r="AB14" s="559">
        <v>1045.7777777777794</v>
      </c>
      <c r="AC14" s="553" t="e">
        <f t="shared" si="4"/>
        <v>#N/A</v>
      </c>
      <c r="AD14" s="633"/>
      <c r="AE14" s="553">
        <v>3</v>
      </c>
      <c r="AF14" s="559">
        <v>3286.285714285711</v>
      </c>
      <c r="AG14" s="559">
        <v>1095.4285714285704</v>
      </c>
      <c r="AH14" s="553" t="e">
        <f t="shared" si="6"/>
        <v>#N/A</v>
      </c>
      <c r="AI14" s="633"/>
      <c r="AJ14" s="553">
        <v>3</v>
      </c>
      <c r="AK14" s="559">
        <v>3212.7272727272762</v>
      </c>
      <c r="AL14" s="559">
        <v>1070.9090909090921</v>
      </c>
      <c r="AM14" s="553" t="e">
        <f t="shared" si="8"/>
        <v>#N/A</v>
      </c>
      <c r="AN14" s="633"/>
      <c r="AO14" s="553">
        <v>3</v>
      </c>
      <c r="AP14" s="559">
        <v>3180</v>
      </c>
      <c r="AQ14" s="559">
        <v>1060</v>
      </c>
      <c r="AR14" s="553" t="e">
        <f t="shared" si="10"/>
        <v>#N/A</v>
      </c>
      <c r="AS14" s="633"/>
      <c r="AT14" s="553">
        <v>3</v>
      </c>
      <c r="AU14" s="559">
        <v>3166.956521739125</v>
      </c>
      <c r="AV14" s="559">
        <v>1055.6521739130417</v>
      </c>
      <c r="AW14" s="553" t="e">
        <f t="shared" si="12"/>
        <v>#N/A</v>
      </c>
      <c r="AX14" s="633"/>
      <c r="AZ14" s="361" t="e">
        <f t="shared" si="17"/>
        <v>#N/A</v>
      </c>
      <c r="BA14" s="638"/>
    </row>
    <row r="15" spans="1:53" ht="14.25">
      <c r="A15" s="81"/>
      <c r="B15" s="643"/>
      <c r="C15" s="553">
        <v>9</v>
      </c>
      <c r="D15" s="196" t="s">
        <v>336</v>
      </c>
      <c r="E15" s="196">
        <v>4</v>
      </c>
      <c r="F15" s="196">
        <v>2800</v>
      </c>
      <c r="G15" s="554">
        <v>700</v>
      </c>
      <c r="H15" s="633"/>
      <c r="I15" s="554">
        <f t="shared" si="14"/>
        <v>4</v>
      </c>
      <c r="J15" s="554">
        <f t="shared" si="15"/>
        <v>2833.7087284784457</v>
      </c>
      <c r="K15" s="194">
        <f t="shared" si="16"/>
        <v>708.42718211961142</v>
      </c>
      <c r="L15" s="653"/>
      <c r="M15" s="554" t="e">
        <f>RANK(K15, K$147:$K$176)</f>
        <v>#N/A</v>
      </c>
      <c r="N15" s="637"/>
      <c r="O15" s="637"/>
      <c r="P15" s="553">
        <v>4</v>
      </c>
      <c r="Q15" s="559">
        <v>2858.5714285714298</v>
      </c>
      <c r="R15" s="559">
        <v>714.64285714285745</v>
      </c>
      <c r="S15" s="553" t="e">
        <f t="shared" si="0"/>
        <v>#N/A</v>
      </c>
      <c r="T15" s="633"/>
      <c r="U15" s="553">
        <v>4</v>
      </c>
      <c r="V15" s="559">
        <v>2847.1578947368412</v>
      </c>
      <c r="W15" s="559">
        <v>711.78947368421029</v>
      </c>
      <c r="X15" s="553" t="e">
        <f t="shared" si="2"/>
        <v>#N/A</v>
      </c>
      <c r="Y15" s="633"/>
      <c r="Z15" s="553">
        <v>4</v>
      </c>
      <c r="AA15" s="559">
        <v>2852.5531914893609</v>
      </c>
      <c r="AB15" s="559">
        <v>713.13829787234022</v>
      </c>
      <c r="AC15" s="553" t="e">
        <f t="shared" si="4"/>
        <v>#N/A</v>
      </c>
      <c r="AD15" s="633"/>
      <c r="AE15" s="553">
        <v>4</v>
      </c>
      <c r="AF15" s="559">
        <v>2833.0769230769247</v>
      </c>
      <c r="AG15" s="559">
        <v>708.26923076923117</v>
      </c>
      <c r="AH15" s="553" t="e">
        <f t="shared" si="6"/>
        <v>#N/A</v>
      </c>
      <c r="AI15" s="633"/>
      <c r="AJ15" s="553">
        <v>4</v>
      </c>
      <c r="AK15" s="559">
        <v>2892.8000000000011</v>
      </c>
      <c r="AL15" s="559">
        <v>723.20000000000027</v>
      </c>
      <c r="AM15" s="553" t="e">
        <f t="shared" si="8"/>
        <v>#N/A</v>
      </c>
      <c r="AN15" s="633"/>
      <c r="AO15" s="553">
        <v>4</v>
      </c>
      <c r="AP15" s="559">
        <v>2774.5794392523367</v>
      </c>
      <c r="AQ15" s="559">
        <v>693.64485981308417</v>
      </c>
      <c r="AR15" s="553" t="e">
        <f t="shared" si="10"/>
        <v>#N/A</v>
      </c>
      <c r="AS15" s="633"/>
      <c r="AT15" s="553">
        <v>4</v>
      </c>
      <c r="AU15" s="559">
        <v>2777.2222222222231</v>
      </c>
      <c r="AV15" s="559">
        <v>694.30555555555577</v>
      </c>
      <c r="AW15" s="553" t="e">
        <f t="shared" si="12"/>
        <v>#N/A</v>
      </c>
      <c r="AX15" s="633"/>
      <c r="AZ15" s="361" t="e">
        <f t="shared" si="17"/>
        <v>#N/A</v>
      </c>
      <c r="BA15" s="638"/>
    </row>
    <row r="16" spans="1:53" ht="14.25">
      <c r="A16" s="81"/>
      <c r="B16" s="643"/>
      <c r="C16" s="553">
        <v>10</v>
      </c>
      <c r="D16" s="196" t="s">
        <v>674</v>
      </c>
      <c r="E16" s="196">
        <v>4</v>
      </c>
      <c r="F16" s="196">
        <v>2800</v>
      </c>
      <c r="G16" s="554">
        <v>700</v>
      </c>
      <c r="H16" s="633"/>
      <c r="I16" s="554">
        <f t="shared" si="14"/>
        <v>4</v>
      </c>
      <c r="J16" s="554">
        <f t="shared" si="15"/>
        <v>2815.7398114598773</v>
      </c>
      <c r="K16" s="194">
        <f t="shared" si="16"/>
        <v>703.93495286496932</v>
      </c>
      <c r="L16" s="653"/>
      <c r="M16" s="554" t="e">
        <f>RANK(K16, K$147:$K$176)</f>
        <v>#N/A</v>
      </c>
      <c r="N16" s="637"/>
      <c r="O16" s="637"/>
      <c r="P16" s="553">
        <v>4</v>
      </c>
      <c r="Q16" s="559">
        <v>2879.0624999999995</v>
      </c>
      <c r="R16" s="559">
        <v>719.76562499999989</v>
      </c>
      <c r="S16" s="553" t="e">
        <f t="shared" si="0"/>
        <v>#N/A</v>
      </c>
      <c r="T16" s="633"/>
      <c r="U16" s="553">
        <v>4</v>
      </c>
      <c r="V16" s="559">
        <v>2799.3749999999995</v>
      </c>
      <c r="W16" s="559">
        <v>699.84374999999989</v>
      </c>
      <c r="X16" s="553" t="e">
        <f t="shared" si="2"/>
        <v>#N/A</v>
      </c>
      <c r="Y16" s="633"/>
      <c r="Z16" s="553">
        <v>4</v>
      </c>
      <c r="AA16" s="559">
        <v>2923.5483870967732</v>
      </c>
      <c r="AB16" s="559">
        <v>730.88709677419331</v>
      </c>
      <c r="AC16" s="553" t="e">
        <f t="shared" si="4"/>
        <v>#N/A</v>
      </c>
      <c r="AD16" s="633"/>
      <c r="AE16" s="553">
        <v>4</v>
      </c>
      <c r="AF16" s="559">
        <v>2752.363636363636</v>
      </c>
      <c r="AG16" s="559">
        <v>688.09090909090901</v>
      </c>
      <c r="AH16" s="553" t="e">
        <f t="shared" si="6"/>
        <v>#N/A</v>
      </c>
      <c r="AI16" s="633"/>
      <c r="AJ16" s="553">
        <v>4</v>
      </c>
      <c r="AK16" s="559">
        <v>2802.5454545454563</v>
      </c>
      <c r="AL16" s="559">
        <v>700.63636363636408</v>
      </c>
      <c r="AM16" s="553" t="e">
        <f t="shared" si="8"/>
        <v>#N/A</v>
      </c>
      <c r="AN16" s="633"/>
      <c r="AO16" s="553">
        <v>4</v>
      </c>
      <c r="AP16" s="559">
        <v>2770.1408450704234</v>
      </c>
      <c r="AQ16" s="559">
        <v>692.53521126760586</v>
      </c>
      <c r="AR16" s="553" t="e">
        <f t="shared" si="10"/>
        <v>#N/A</v>
      </c>
      <c r="AS16" s="633"/>
      <c r="AT16" s="553">
        <v>4</v>
      </c>
      <c r="AU16" s="559">
        <v>2783.142857142856</v>
      </c>
      <c r="AV16" s="559">
        <v>695.78571428571399</v>
      </c>
      <c r="AW16" s="553" t="e">
        <f t="shared" si="12"/>
        <v>#N/A</v>
      </c>
      <c r="AX16" s="633"/>
      <c r="AZ16" s="361" t="e">
        <f t="shared" si="17"/>
        <v>#N/A</v>
      </c>
      <c r="BA16" s="638"/>
    </row>
    <row r="17" spans="2:53">
      <c r="B17" s="643"/>
      <c r="C17" s="553">
        <v>11</v>
      </c>
      <c r="D17" s="196" t="s">
        <v>675</v>
      </c>
      <c r="E17" s="196">
        <v>3</v>
      </c>
      <c r="F17" s="196">
        <v>2800</v>
      </c>
      <c r="G17" s="554">
        <v>933.33333333333337</v>
      </c>
      <c r="H17" s="633"/>
      <c r="I17" s="554">
        <f t="shared" si="14"/>
        <v>3</v>
      </c>
      <c r="J17" s="554">
        <f t="shared" si="15"/>
        <v>2846.2831003437327</v>
      </c>
      <c r="K17" s="194">
        <f t="shared" si="16"/>
        <v>948.76103344791102</v>
      </c>
      <c r="L17" s="653"/>
      <c r="M17" s="554" t="e">
        <f>RANK(K17, K$147:$K$176)</f>
        <v>#N/A</v>
      </c>
      <c r="N17" s="637"/>
      <c r="O17" s="637"/>
      <c r="P17" s="553">
        <v>3</v>
      </c>
      <c r="Q17" s="559">
        <v>2844</v>
      </c>
      <c r="R17" s="559">
        <v>948</v>
      </c>
      <c r="S17" s="553" t="e">
        <f t="shared" si="0"/>
        <v>#N/A</v>
      </c>
      <c r="T17" s="633"/>
      <c r="U17" s="553">
        <v>3</v>
      </c>
      <c r="V17" s="559">
        <v>2757.3333333333335</v>
      </c>
      <c r="W17" s="559">
        <v>919.1111111111112</v>
      </c>
      <c r="X17" s="553" t="e">
        <f t="shared" si="2"/>
        <v>#N/A</v>
      </c>
      <c r="Y17" s="633"/>
      <c r="Z17" s="553">
        <v>3</v>
      </c>
      <c r="AA17" s="559">
        <v>2875.8139534883767</v>
      </c>
      <c r="AB17" s="559">
        <v>958.60465116279227</v>
      </c>
      <c r="AC17" s="553" t="e">
        <f t="shared" si="4"/>
        <v>#N/A</v>
      </c>
      <c r="AD17" s="633"/>
      <c r="AE17" s="553">
        <v>3</v>
      </c>
      <c r="AF17" s="559">
        <v>2922.8571428571463</v>
      </c>
      <c r="AG17" s="559">
        <v>974.28571428571547</v>
      </c>
      <c r="AH17" s="553" t="e">
        <f t="shared" si="6"/>
        <v>#N/A</v>
      </c>
      <c r="AI17" s="633"/>
      <c r="AJ17" s="553">
        <v>3</v>
      </c>
      <c r="AK17" s="559">
        <v>2952.7272727272762</v>
      </c>
      <c r="AL17" s="559">
        <v>984.24242424242539</v>
      </c>
      <c r="AM17" s="553" t="e">
        <f t="shared" si="8"/>
        <v>#N/A</v>
      </c>
      <c r="AN17" s="633"/>
      <c r="AO17" s="553">
        <v>3</v>
      </c>
      <c r="AP17" s="559">
        <v>2776.2499999999986</v>
      </c>
      <c r="AQ17" s="559">
        <v>925.41666666666617</v>
      </c>
      <c r="AR17" s="553" t="e">
        <f t="shared" si="10"/>
        <v>#N/A</v>
      </c>
      <c r="AS17" s="633"/>
      <c r="AT17" s="553">
        <v>3</v>
      </c>
      <c r="AU17" s="559">
        <v>2794.9999999999986</v>
      </c>
      <c r="AV17" s="559">
        <v>931.66666666666617</v>
      </c>
      <c r="AW17" s="553" t="e">
        <f t="shared" si="12"/>
        <v>#N/A</v>
      </c>
      <c r="AX17" s="633"/>
      <c r="AZ17" s="361" t="e">
        <f t="shared" si="17"/>
        <v>#N/A</v>
      </c>
      <c r="BA17" s="638"/>
    </row>
    <row r="18" spans="2:53">
      <c r="B18" s="643"/>
      <c r="C18" s="553">
        <v>12</v>
      </c>
      <c r="D18" s="556" t="s">
        <v>655</v>
      </c>
      <c r="E18" s="196">
        <v>4</v>
      </c>
      <c r="F18" s="196">
        <v>2800</v>
      </c>
      <c r="G18" s="554">
        <v>700</v>
      </c>
      <c r="H18" s="633"/>
      <c r="I18" s="554">
        <f t="shared" si="14"/>
        <v>4</v>
      </c>
      <c r="J18" s="554">
        <f t="shared" si="15"/>
        <v>2785.4234693877625</v>
      </c>
      <c r="K18" s="194">
        <f t="shared" si="16"/>
        <v>696.35586734694061</v>
      </c>
      <c r="L18" s="653"/>
      <c r="M18" s="554" t="e">
        <f>RANK(K18, K$147:$K$176)</f>
        <v>#N/A</v>
      </c>
      <c r="N18" s="637"/>
      <c r="O18" s="637"/>
      <c r="P18" s="553">
        <v>4</v>
      </c>
      <c r="Q18" s="559">
        <v>2874.00000000001</v>
      </c>
      <c r="R18" s="559">
        <v>718.5000000000025</v>
      </c>
      <c r="S18" s="553" t="e">
        <f t="shared" si="0"/>
        <v>#N/A</v>
      </c>
      <c r="T18" s="633"/>
      <c r="U18" s="553">
        <v>4</v>
      </c>
      <c r="V18" s="559">
        <v>2841.00000000001</v>
      </c>
      <c r="W18" s="559">
        <v>710.2500000000025</v>
      </c>
      <c r="X18" s="553" t="e">
        <f t="shared" si="2"/>
        <v>#N/A</v>
      </c>
      <c r="Y18" s="633"/>
      <c r="Z18" s="553">
        <v>4</v>
      </c>
      <c r="AA18" s="559">
        <v>2468.9999999999991</v>
      </c>
      <c r="AB18" s="559">
        <v>617.24999999999977</v>
      </c>
      <c r="AC18" s="553" t="e">
        <f t="shared" si="4"/>
        <v>#N/A</v>
      </c>
      <c r="AD18" s="633"/>
      <c r="AE18" s="553">
        <v>4</v>
      </c>
      <c r="AF18" s="559">
        <v>2831.25000000001</v>
      </c>
      <c r="AG18" s="559">
        <v>707.8125000000025</v>
      </c>
      <c r="AH18" s="553" t="e">
        <f t="shared" si="6"/>
        <v>#N/A</v>
      </c>
      <c r="AI18" s="633"/>
      <c r="AJ18" s="553">
        <v>4</v>
      </c>
      <c r="AK18" s="559">
        <v>2905.7142857142962</v>
      </c>
      <c r="AL18" s="559">
        <v>726.42857142857406</v>
      </c>
      <c r="AM18" s="553" t="e">
        <f t="shared" si="8"/>
        <v>#N/A</v>
      </c>
      <c r="AN18" s="633"/>
      <c r="AO18" s="553">
        <v>4</v>
      </c>
      <c r="AP18" s="559">
        <v>2793.00000000001</v>
      </c>
      <c r="AQ18" s="559">
        <v>698.2500000000025</v>
      </c>
      <c r="AR18" s="553" t="e">
        <f t="shared" si="10"/>
        <v>#N/A</v>
      </c>
      <c r="AS18" s="633"/>
      <c r="AT18" s="553">
        <v>4</v>
      </c>
      <c r="AU18" s="559">
        <v>2783.9999999999991</v>
      </c>
      <c r="AV18" s="559">
        <v>695.99999999999977</v>
      </c>
      <c r="AW18" s="553" t="e">
        <f t="shared" si="12"/>
        <v>#N/A</v>
      </c>
      <c r="AX18" s="633"/>
      <c r="AZ18" s="361" t="e">
        <f t="shared" si="17"/>
        <v>#N/A</v>
      </c>
      <c r="BA18" s="638"/>
    </row>
    <row r="19" spans="2:53">
      <c r="B19" s="643"/>
      <c r="C19" s="553">
        <v>13</v>
      </c>
      <c r="D19" s="196" t="s">
        <v>571</v>
      </c>
      <c r="E19" s="196">
        <v>3</v>
      </c>
      <c r="F19" s="196">
        <v>3200</v>
      </c>
      <c r="G19" s="554">
        <v>1066.6666666666667</v>
      </c>
      <c r="H19" s="633"/>
      <c r="I19" s="554">
        <f t="shared" si="14"/>
        <v>3</v>
      </c>
      <c r="J19" s="554">
        <f t="shared" si="15"/>
        <v>3242.7806384092087</v>
      </c>
      <c r="K19" s="194">
        <f t="shared" si="16"/>
        <v>1080.9268794697364</v>
      </c>
      <c r="L19" s="653"/>
      <c r="M19" s="554" t="e">
        <f>RANK(K19, K$147:$K$176)</f>
        <v>#N/A</v>
      </c>
      <c r="N19" s="637"/>
      <c r="O19" s="637"/>
      <c r="P19" s="553">
        <v>3</v>
      </c>
      <c r="Q19" s="559">
        <v>3434.3999999999905</v>
      </c>
      <c r="R19" s="559">
        <v>1144.7999999999968</v>
      </c>
      <c r="S19" s="553" t="e">
        <f t="shared" si="0"/>
        <v>#N/A</v>
      </c>
      <c r="T19" s="633"/>
      <c r="U19" s="553">
        <v>3</v>
      </c>
      <c r="V19" s="559">
        <v>3200.7692307692323</v>
      </c>
      <c r="W19" s="559">
        <v>1066.9230769230774</v>
      </c>
      <c r="X19" s="553" t="e">
        <f t="shared" si="2"/>
        <v>#N/A</v>
      </c>
      <c r="Y19" s="633"/>
      <c r="Z19" s="553">
        <v>3</v>
      </c>
      <c r="AA19" s="559">
        <v>3235.1999999999907</v>
      </c>
      <c r="AB19" s="559">
        <v>1078.3999999999969</v>
      </c>
      <c r="AC19" s="553" t="e">
        <f t="shared" si="4"/>
        <v>#N/A</v>
      </c>
      <c r="AD19" s="633"/>
      <c r="AE19" s="553">
        <v>3</v>
      </c>
      <c r="AF19" s="559">
        <v>3126.0000000000114</v>
      </c>
      <c r="AG19" s="559">
        <v>1042.0000000000039</v>
      </c>
      <c r="AH19" s="553" t="e">
        <f t="shared" si="6"/>
        <v>#N/A</v>
      </c>
      <c r="AI19" s="633"/>
      <c r="AJ19" s="553">
        <v>3</v>
      </c>
      <c r="AK19" s="559">
        <v>3346.6666666666642</v>
      </c>
      <c r="AL19" s="559">
        <v>1115.5555555555547</v>
      </c>
      <c r="AM19" s="553" t="e">
        <f t="shared" si="8"/>
        <v>#N/A</v>
      </c>
      <c r="AN19" s="633"/>
      <c r="AO19" s="553">
        <v>3</v>
      </c>
      <c r="AP19" s="559">
        <v>3156.4285714285738</v>
      </c>
      <c r="AQ19" s="559">
        <v>1052.142857142858</v>
      </c>
      <c r="AR19" s="553" t="e">
        <f t="shared" si="10"/>
        <v>#N/A</v>
      </c>
      <c r="AS19" s="633"/>
      <c r="AT19" s="553">
        <v>3</v>
      </c>
      <c r="AU19" s="559">
        <v>3200.0000000000018</v>
      </c>
      <c r="AV19" s="559">
        <v>1066.6666666666672</v>
      </c>
      <c r="AW19" s="553" t="e">
        <f t="shared" si="12"/>
        <v>#N/A</v>
      </c>
      <c r="AX19" s="633"/>
      <c r="AZ19" s="361" t="e">
        <f t="shared" si="17"/>
        <v>#N/A</v>
      </c>
      <c r="BA19" s="638"/>
    </row>
    <row r="20" spans="2:53">
      <c r="B20" s="643"/>
      <c r="C20" s="553">
        <v>14</v>
      </c>
      <c r="D20" s="196" t="s">
        <v>576</v>
      </c>
      <c r="E20" s="196">
        <v>3</v>
      </c>
      <c r="F20" s="196">
        <v>3200</v>
      </c>
      <c r="G20" s="554">
        <v>1066.6666666666667</v>
      </c>
      <c r="H20" s="633"/>
      <c r="I20" s="554">
        <f t="shared" si="14"/>
        <v>3</v>
      </c>
      <c r="J20" s="554">
        <f t="shared" si="15"/>
        <v>3229.49267399267</v>
      </c>
      <c r="K20" s="194">
        <f t="shared" si="16"/>
        <v>1076.4975579975569</v>
      </c>
      <c r="L20" s="653"/>
      <c r="M20" s="554" t="e">
        <f>RANK(K20, K$147:$K$176)</f>
        <v>#N/A</v>
      </c>
      <c r="N20" s="637"/>
      <c r="O20" s="637"/>
      <c r="P20" s="553">
        <v>3</v>
      </c>
      <c r="Q20" s="559">
        <v>3149.9999999999932</v>
      </c>
      <c r="R20" s="559">
        <v>1049.9999999999977</v>
      </c>
      <c r="S20" s="553" t="e">
        <f t="shared" si="0"/>
        <v>#N/A</v>
      </c>
      <c r="T20" s="633"/>
      <c r="U20" s="553">
        <v>3</v>
      </c>
      <c r="V20" s="559">
        <v>3332.3076923077042</v>
      </c>
      <c r="W20" s="559">
        <v>1110.7692307692348</v>
      </c>
      <c r="X20" s="553" t="e">
        <f t="shared" si="2"/>
        <v>#N/A</v>
      </c>
      <c r="Y20" s="633"/>
      <c r="Z20" s="553">
        <v>3</v>
      </c>
      <c r="AA20" s="559">
        <v>3272.3076923076837</v>
      </c>
      <c r="AB20" s="559">
        <v>1090.769230769228</v>
      </c>
      <c r="AC20" s="553" t="e">
        <f t="shared" si="4"/>
        <v>#N/A</v>
      </c>
      <c r="AD20" s="633"/>
      <c r="AE20" s="553">
        <v>3</v>
      </c>
      <c r="AF20" s="559">
        <v>3113.3333333333444</v>
      </c>
      <c r="AG20" s="559">
        <v>1037.7777777777815</v>
      </c>
      <c r="AH20" s="553" t="e">
        <f t="shared" si="6"/>
        <v>#N/A</v>
      </c>
      <c r="AI20" s="633"/>
      <c r="AJ20" s="553">
        <v>3</v>
      </c>
      <c r="AK20" s="559">
        <v>3562.4999999999768</v>
      </c>
      <c r="AL20" s="559">
        <v>1187.4999999999923</v>
      </c>
      <c r="AM20" s="553" t="e">
        <f t="shared" si="8"/>
        <v>#N/A</v>
      </c>
      <c r="AN20" s="633"/>
      <c r="AO20" s="553">
        <v>3</v>
      </c>
      <c r="AP20" s="559">
        <v>3107.9999999999941</v>
      </c>
      <c r="AQ20" s="559">
        <v>1035.999999999998</v>
      </c>
      <c r="AR20" s="553" t="e">
        <f t="shared" si="10"/>
        <v>#N/A</v>
      </c>
      <c r="AS20" s="633"/>
      <c r="AT20" s="553">
        <v>3</v>
      </c>
      <c r="AU20" s="559">
        <v>3067.9999999999945</v>
      </c>
      <c r="AV20" s="559">
        <v>1022.6666666666648</v>
      </c>
      <c r="AW20" s="553" t="e">
        <f t="shared" si="12"/>
        <v>#N/A</v>
      </c>
      <c r="AX20" s="633"/>
      <c r="AZ20" s="361" t="e">
        <f t="shared" si="17"/>
        <v>#N/A</v>
      </c>
      <c r="BA20" s="638"/>
    </row>
    <row r="21" spans="2:53">
      <c r="B21" s="643"/>
      <c r="C21" s="553">
        <v>15</v>
      </c>
      <c r="D21" s="556" t="s">
        <v>676</v>
      </c>
      <c r="E21" s="196">
        <v>3</v>
      </c>
      <c r="F21" s="196">
        <v>3200</v>
      </c>
      <c r="G21" s="554">
        <v>1066.6666666666667</v>
      </c>
      <c r="H21" s="633"/>
      <c r="I21" s="554">
        <f t="shared" si="14"/>
        <v>3</v>
      </c>
      <c r="J21" s="554">
        <f t="shared" si="15"/>
        <v>2823.3186813186799</v>
      </c>
      <c r="K21" s="194">
        <f t="shared" si="16"/>
        <v>941.1062271062267</v>
      </c>
      <c r="L21" s="653"/>
      <c r="M21" s="554" t="e">
        <f>RANK(K21, K$147:$K$176)</f>
        <v>#N/A</v>
      </c>
      <c r="N21" s="637"/>
      <c r="O21" s="637"/>
      <c r="P21" s="553">
        <v>3</v>
      </c>
      <c r="Q21" s="559">
        <v>2707.4999999999964</v>
      </c>
      <c r="R21" s="559">
        <v>902.49999999999875</v>
      </c>
      <c r="S21" s="553" t="e">
        <f t="shared" si="0"/>
        <v>#N/A</v>
      </c>
      <c r="T21" s="633"/>
      <c r="U21" s="553">
        <v>3</v>
      </c>
      <c r="V21" s="559">
        <v>2784.0000000000095</v>
      </c>
      <c r="W21" s="559">
        <v>928.00000000000318</v>
      </c>
      <c r="X21" s="553" t="e">
        <f t="shared" si="2"/>
        <v>#N/A</v>
      </c>
      <c r="Y21" s="633"/>
      <c r="Z21" s="553">
        <v>3</v>
      </c>
      <c r="AA21" s="559">
        <v>3009.23076923078</v>
      </c>
      <c r="AB21" s="559">
        <v>1003.0769230769266</v>
      </c>
      <c r="AC21" s="553" t="e">
        <f t="shared" si="4"/>
        <v>#N/A</v>
      </c>
      <c r="AD21" s="633"/>
      <c r="AE21" s="553">
        <v>3</v>
      </c>
      <c r="AF21" s="559">
        <v>2904.00000000001</v>
      </c>
      <c r="AG21" s="559">
        <v>968.0000000000033</v>
      </c>
      <c r="AH21" s="553" t="e">
        <f t="shared" si="6"/>
        <v>#N/A</v>
      </c>
      <c r="AI21" s="633"/>
      <c r="AJ21" s="553">
        <v>3</v>
      </c>
      <c r="AK21" s="559">
        <v>2945.9999999999868</v>
      </c>
      <c r="AL21" s="559">
        <v>981.99999999999557</v>
      </c>
      <c r="AM21" s="553" t="e">
        <f t="shared" si="8"/>
        <v>#N/A</v>
      </c>
      <c r="AN21" s="633"/>
      <c r="AO21" s="553">
        <v>3</v>
      </c>
      <c r="AP21" s="559">
        <v>2779.999999999995</v>
      </c>
      <c r="AQ21" s="559">
        <v>926.66666666666504</v>
      </c>
      <c r="AR21" s="553" t="e">
        <f t="shared" si="10"/>
        <v>#N/A</v>
      </c>
      <c r="AS21" s="633"/>
      <c r="AT21" s="553">
        <v>3</v>
      </c>
      <c r="AU21" s="559">
        <v>2632.4999999999827</v>
      </c>
      <c r="AV21" s="559">
        <v>877.4999999999942</v>
      </c>
      <c r="AW21" s="553" t="e">
        <f t="shared" si="12"/>
        <v>#N/A</v>
      </c>
      <c r="AX21" s="633"/>
      <c r="AZ21" s="361" t="e">
        <f t="shared" si="17"/>
        <v>#N/A</v>
      </c>
      <c r="BA21" s="638"/>
    </row>
    <row r="22" spans="2:53">
      <c r="B22" s="643"/>
      <c r="C22" s="553">
        <v>16</v>
      </c>
      <c r="D22" s="196" t="s">
        <v>677</v>
      </c>
      <c r="E22" s="196">
        <v>4</v>
      </c>
      <c r="F22" s="196">
        <v>3200</v>
      </c>
      <c r="G22" s="554">
        <v>800</v>
      </c>
      <c r="H22" s="633"/>
      <c r="I22" s="554">
        <f t="shared" si="14"/>
        <v>4</v>
      </c>
      <c r="J22" s="554">
        <f t="shared" si="15"/>
        <v>3264.2833594976396</v>
      </c>
      <c r="K22" s="194">
        <f t="shared" si="16"/>
        <v>816.0708398744099</v>
      </c>
      <c r="L22" s="653"/>
      <c r="M22" s="554" t="e">
        <f>RANK(K22, K$147:$K$176)</f>
        <v>#N/A</v>
      </c>
      <c r="N22" s="637"/>
      <c r="O22" s="637"/>
      <c r="P22" s="553">
        <v>4</v>
      </c>
      <c r="Q22" s="559">
        <v>3016.0000000000027</v>
      </c>
      <c r="R22" s="559">
        <v>754.00000000000068</v>
      </c>
      <c r="S22" s="553" t="e">
        <f t="shared" si="0"/>
        <v>#N/A</v>
      </c>
      <c r="T22" s="633"/>
      <c r="U22" s="553">
        <v>4</v>
      </c>
      <c r="V22" s="559">
        <v>3290.7692307692223</v>
      </c>
      <c r="W22" s="559">
        <v>822.69230769230558</v>
      </c>
      <c r="X22" s="553" t="e">
        <f t="shared" si="2"/>
        <v>#N/A</v>
      </c>
      <c r="Y22" s="633"/>
      <c r="Z22" s="553">
        <v>4</v>
      </c>
      <c r="AA22" s="559">
        <v>3270.0000000000009</v>
      </c>
      <c r="AB22" s="559">
        <v>817.50000000000023</v>
      </c>
      <c r="AC22" s="553" t="e">
        <f t="shared" si="4"/>
        <v>#N/A</v>
      </c>
      <c r="AD22" s="633"/>
      <c r="AE22" s="553">
        <v>4</v>
      </c>
      <c r="AF22" s="559">
        <v>3459.9999999999814</v>
      </c>
      <c r="AG22" s="559">
        <v>864.99999999999534</v>
      </c>
      <c r="AH22" s="553" t="e">
        <f t="shared" si="6"/>
        <v>#N/A</v>
      </c>
      <c r="AI22" s="633"/>
      <c r="AJ22" s="553">
        <v>4</v>
      </c>
      <c r="AK22" s="559">
        <v>3607.4999999999768</v>
      </c>
      <c r="AL22" s="559">
        <v>901.8749999999942</v>
      </c>
      <c r="AM22" s="553" t="e">
        <f t="shared" si="8"/>
        <v>#N/A</v>
      </c>
      <c r="AN22" s="633"/>
      <c r="AO22" s="553">
        <v>4</v>
      </c>
      <c r="AP22" s="559">
        <v>3081.4285714285647</v>
      </c>
      <c r="AQ22" s="559">
        <v>770.35714285714118</v>
      </c>
      <c r="AR22" s="553" t="e">
        <f t="shared" si="10"/>
        <v>#N/A</v>
      </c>
      <c r="AS22" s="633"/>
      <c r="AT22" s="553">
        <v>4</v>
      </c>
      <c r="AU22" s="559">
        <v>3124.2857142857251</v>
      </c>
      <c r="AV22" s="559">
        <v>781.07142857143128</v>
      </c>
      <c r="AW22" s="553" t="e">
        <f t="shared" si="12"/>
        <v>#N/A</v>
      </c>
      <c r="AX22" s="633"/>
      <c r="AZ22" s="361" t="e">
        <f t="shared" si="17"/>
        <v>#N/A</v>
      </c>
      <c r="BA22" s="638"/>
    </row>
    <row r="23" spans="2:53">
      <c r="B23" s="643"/>
      <c r="C23" s="553">
        <v>17</v>
      </c>
      <c r="D23" s="196" t="s">
        <v>664</v>
      </c>
      <c r="E23" s="196">
        <v>4</v>
      </c>
      <c r="F23" s="196">
        <v>2800</v>
      </c>
      <c r="G23" s="554">
        <v>700</v>
      </c>
      <c r="H23" s="633"/>
      <c r="I23" s="554">
        <f t="shared" si="14"/>
        <v>4</v>
      </c>
      <c r="J23" s="554">
        <f t="shared" si="15"/>
        <v>2996.0344494473429</v>
      </c>
      <c r="K23" s="194">
        <f t="shared" si="16"/>
        <v>749.00861236183573</v>
      </c>
      <c r="L23" s="653"/>
      <c r="M23" s="554" t="e">
        <f>RANK(K23, K$147:$K$176)</f>
        <v>#N/A</v>
      </c>
      <c r="N23" s="637"/>
      <c r="O23" s="637"/>
      <c r="P23" s="553">
        <v>4</v>
      </c>
      <c r="Q23" s="559">
        <v>3020.4878048780538</v>
      </c>
      <c r="R23" s="559">
        <v>755.12195121951345</v>
      </c>
      <c r="S23" s="553" t="e">
        <f t="shared" si="0"/>
        <v>#N/A</v>
      </c>
      <c r="T23" s="633"/>
      <c r="U23" s="553">
        <v>4</v>
      </c>
      <c r="V23" s="559">
        <v>2935.5000000000045</v>
      </c>
      <c r="W23" s="559">
        <v>733.87500000000114</v>
      </c>
      <c r="X23" s="553" t="e">
        <f t="shared" si="2"/>
        <v>#N/A</v>
      </c>
      <c r="Y23" s="633"/>
      <c r="Z23" s="553">
        <v>4</v>
      </c>
      <c r="AA23" s="559">
        <v>3037.2972972972952</v>
      </c>
      <c r="AB23" s="559">
        <v>759.32432432432381</v>
      </c>
      <c r="AC23" s="553" t="e">
        <f t="shared" si="4"/>
        <v>#N/A</v>
      </c>
      <c r="AD23" s="633"/>
      <c r="AE23" s="553">
        <v>4</v>
      </c>
      <c r="AF23" s="559">
        <v>3160.0000000000027</v>
      </c>
      <c r="AG23" s="559">
        <v>790.00000000000068</v>
      </c>
      <c r="AH23" s="553" t="e">
        <f t="shared" si="6"/>
        <v>#N/A</v>
      </c>
      <c r="AI23" s="633"/>
      <c r="AJ23" s="553">
        <v>4</v>
      </c>
      <c r="AK23" s="559">
        <v>3100.7142857142881</v>
      </c>
      <c r="AL23" s="559">
        <v>775.17857142857201</v>
      </c>
      <c r="AM23" s="553" t="e">
        <f t="shared" si="8"/>
        <v>#N/A</v>
      </c>
      <c r="AN23" s="633"/>
      <c r="AO23" s="553">
        <v>4</v>
      </c>
      <c r="AP23" s="559">
        <v>2975.3846153846139</v>
      </c>
      <c r="AQ23" s="559">
        <v>743.84615384615347</v>
      </c>
      <c r="AR23" s="553" t="e">
        <f t="shared" si="10"/>
        <v>#N/A</v>
      </c>
      <c r="AS23" s="633"/>
      <c r="AT23" s="553">
        <v>4</v>
      </c>
      <c r="AU23" s="559">
        <v>2742.8571428571422</v>
      </c>
      <c r="AV23" s="559">
        <v>685.71428571428555</v>
      </c>
      <c r="AW23" s="553" t="e">
        <f t="shared" si="12"/>
        <v>#N/A</v>
      </c>
      <c r="AX23" s="633"/>
      <c r="AZ23" s="361" t="e">
        <f t="shared" si="17"/>
        <v>#N/A</v>
      </c>
      <c r="BA23" s="638"/>
    </row>
    <row r="24" spans="2:53">
      <c r="B24" s="643"/>
      <c r="C24" s="553">
        <v>18</v>
      </c>
      <c r="D24" s="556" t="s">
        <v>718</v>
      </c>
      <c r="E24" s="196">
        <v>4</v>
      </c>
      <c r="F24" s="196">
        <v>2800</v>
      </c>
      <c r="G24" s="554">
        <v>700</v>
      </c>
      <c r="H24" s="633"/>
      <c r="I24" s="554">
        <f t="shared" si="14"/>
        <v>4</v>
      </c>
      <c r="J24" s="554">
        <f t="shared" si="15"/>
        <v>3009.3177821659815</v>
      </c>
      <c r="K24" s="194">
        <f t="shared" si="16"/>
        <v>752.32944554149537</v>
      </c>
      <c r="L24" s="653"/>
      <c r="M24" s="554" t="e">
        <f>RANK(K24, K$147:$K$176)</f>
        <v>#N/A</v>
      </c>
      <c r="N24" s="637"/>
      <c r="O24" s="637"/>
      <c r="P24" s="553">
        <v>4</v>
      </c>
      <c r="Q24" s="559">
        <v>3052.5</v>
      </c>
      <c r="R24" s="559">
        <v>763.125</v>
      </c>
      <c r="S24" s="553" t="e">
        <f t="shared" si="0"/>
        <v>#N/A</v>
      </c>
      <c r="T24" s="633"/>
      <c r="U24" s="553">
        <v>4</v>
      </c>
      <c r="V24" s="559">
        <v>3014.5714285714321</v>
      </c>
      <c r="W24" s="559">
        <v>753.64285714285802</v>
      </c>
      <c r="X24" s="553" t="e">
        <f t="shared" si="2"/>
        <v>#N/A</v>
      </c>
      <c r="Y24" s="633"/>
      <c r="Z24" s="553">
        <v>4</v>
      </c>
      <c r="AA24" s="559">
        <v>3075.0000000000036</v>
      </c>
      <c r="AB24" s="559">
        <v>768.75000000000091</v>
      </c>
      <c r="AC24" s="553" t="e">
        <f t="shared" si="4"/>
        <v>#N/A</v>
      </c>
      <c r="AD24" s="633"/>
      <c r="AE24" s="553">
        <v>4</v>
      </c>
      <c r="AF24" s="559">
        <v>3057.2413793103456</v>
      </c>
      <c r="AG24" s="559">
        <v>764.31034482758639</v>
      </c>
      <c r="AH24" s="553" t="e">
        <f t="shared" si="6"/>
        <v>#N/A</v>
      </c>
      <c r="AI24" s="633"/>
      <c r="AJ24" s="553">
        <v>4</v>
      </c>
      <c r="AK24" s="559">
        <v>3051.5384615384614</v>
      </c>
      <c r="AL24" s="559">
        <v>762.88461538461536</v>
      </c>
      <c r="AM24" s="553" t="e">
        <f t="shared" si="8"/>
        <v>#N/A</v>
      </c>
      <c r="AN24" s="633"/>
      <c r="AO24" s="553">
        <v>4</v>
      </c>
      <c r="AP24" s="559">
        <v>2827.6363636363658</v>
      </c>
      <c r="AQ24" s="559">
        <v>706.90909090909145</v>
      </c>
      <c r="AR24" s="553" t="e">
        <f t="shared" si="10"/>
        <v>#N/A</v>
      </c>
      <c r="AS24" s="633"/>
      <c r="AT24" s="553">
        <v>4</v>
      </c>
      <c r="AU24" s="559">
        <v>2986.7368421052633</v>
      </c>
      <c r="AV24" s="559">
        <v>746.68421052631584</v>
      </c>
      <c r="AW24" s="553" t="e">
        <f t="shared" si="12"/>
        <v>#N/A</v>
      </c>
      <c r="AX24" s="633"/>
      <c r="AZ24" s="361" t="e">
        <f t="shared" si="17"/>
        <v>#N/A</v>
      </c>
      <c r="BA24" s="638"/>
    </row>
    <row r="25" spans="2:53">
      <c r="B25" s="643"/>
      <c r="C25" s="553">
        <v>19</v>
      </c>
      <c r="D25" s="556" t="s">
        <v>678</v>
      </c>
      <c r="E25" s="196">
        <v>4</v>
      </c>
      <c r="F25" s="196">
        <v>2800</v>
      </c>
      <c r="G25" s="554">
        <v>700</v>
      </c>
      <c r="H25" s="633"/>
      <c r="I25" s="554">
        <f t="shared" si="14"/>
        <v>3</v>
      </c>
      <c r="J25" s="554">
        <f t="shared" si="15"/>
        <v>2984.7294417767089</v>
      </c>
      <c r="K25" s="194">
        <f t="shared" si="16"/>
        <v>994.90981392556955</v>
      </c>
      <c r="L25" s="653"/>
      <c r="M25" s="554" t="e">
        <f>RANK(K25, K$147:$K$176)</f>
        <v>#N/A</v>
      </c>
      <c r="N25" s="637"/>
      <c r="O25" s="637"/>
      <c r="P25" s="553">
        <v>3</v>
      </c>
      <c r="Q25" s="559">
        <v>2921.1428571428542</v>
      </c>
      <c r="R25" s="559">
        <v>973.71428571428476</v>
      </c>
      <c r="S25" s="553" t="e">
        <f t="shared" si="0"/>
        <v>#N/A</v>
      </c>
      <c r="T25" s="633"/>
      <c r="U25" s="553">
        <v>3</v>
      </c>
      <c r="V25" s="559">
        <v>2950.5882352941139</v>
      </c>
      <c r="W25" s="559">
        <v>983.52941176470461</v>
      </c>
      <c r="X25" s="553" t="e">
        <f t="shared" si="2"/>
        <v>#N/A</v>
      </c>
      <c r="Y25" s="633"/>
      <c r="Z25" s="553">
        <v>3</v>
      </c>
      <c r="AA25" s="559">
        <v>2938.1249999999964</v>
      </c>
      <c r="AB25" s="559">
        <v>979.37499999999875</v>
      </c>
      <c r="AC25" s="553" t="e">
        <f t="shared" si="4"/>
        <v>#N/A</v>
      </c>
      <c r="AD25" s="633"/>
      <c r="AE25" s="553">
        <v>3</v>
      </c>
      <c r="AF25" s="559">
        <v>2924.9999999999936</v>
      </c>
      <c r="AG25" s="559">
        <v>974.99999999999784</v>
      </c>
      <c r="AH25" s="553" t="e">
        <f t="shared" si="6"/>
        <v>#N/A</v>
      </c>
      <c r="AI25" s="633"/>
      <c r="AJ25" s="553">
        <v>3</v>
      </c>
      <c r="AK25" s="559">
        <v>2960.6250000000105</v>
      </c>
      <c r="AL25" s="559">
        <v>986.87500000000352</v>
      </c>
      <c r="AM25" s="553" t="e">
        <f t="shared" si="8"/>
        <v>#N/A</v>
      </c>
      <c r="AN25" s="633"/>
      <c r="AO25" s="553">
        <v>3</v>
      </c>
      <c r="AP25" s="559">
        <v>3011.9999999999968</v>
      </c>
      <c r="AQ25" s="559">
        <v>1003.999999999999</v>
      </c>
      <c r="AR25" s="553" t="e">
        <f t="shared" si="10"/>
        <v>#N/A</v>
      </c>
      <c r="AS25" s="633"/>
      <c r="AT25" s="553">
        <v>3</v>
      </c>
      <c r="AU25" s="559">
        <v>3185.6249999999959</v>
      </c>
      <c r="AV25" s="559">
        <v>1061.8749999999986</v>
      </c>
      <c r="AW25" s="553" t="e">
        <f t="shared" si="12"/>
        <v>#N/A</v>
      </c>
      <c r="AX25" s="633"/>
      <c r="AZ25" s="361" t="e">
        <f t="shared" si="17"/>
        <v>#N/A</v>
      </c>
      <c r="BA25" s="638"/>
    </row>
    <row r="26" spans="2:53">
      <c r="B26" s="643"/>
      <c r="C26" s="553">
        <v>20</v>
      </c>
      <c r="D26" s="556" t="s">
        <v>679</v>
      </c>
      <c r="E26" s="196">
        <v>3</v>
      </c>
      <c r="F26" s="196">
        <v>2800</v>
      </c>
      <c r="G26" s="554">
        <v>933.33333333333337</v>
      </c>
      <c r="H26" s="633"/>
      <c r="I26" s="554">
        <f t="shared" si="14"/>
        <v>3</v>
      </c>
      <c r="J26" s="554">
        <f t="shared" si="15"/>
        <v>2975.6334277570181</v>
      </c>
      <c r="K26" s="194">
        <f t="shared" si="16"/>
        <v>991.87780925233926</v>
      </c>
      <c r="L26" s="653"/>
      <c r="M26" s="554" t="e">
        <f>RANK(K26, K$147:$K$176)</f>
        <v>#N/A</v>
      </c>
      <c r="N26" s="637"/>
      <c r="O26" s="637"/>
      <c r="P26" s="553">
        <v>3</v>
      </c>
      <c r="Q26" s="559">
        <v>2929.870129870134</v>
      </c>
      <c r="R26" s="559">
        <v>976.62337662337802</v>
      </c>
      <c r="S26" s="553" t="e">
        <f t="shared" si="0"/>
        <v>#N/A</v>
      </c>
      <c r="T26" s="633"/>
      <c r="U26" s="553">
        <v>3</v>
      </c>
      <c r="V26" s="559">
        <v>2949.8823529411816</v>
      </c>
      <c r="W26" s="559">
        <v>983.29411764706049</v>
      </c>
      <c r="X26" s="553" t="e">
        <f t="shared" si="2"/>
        <v>#N/A</v>
      </c>
      <c r="Y26" s="633"/>
      <c r="Z26" s="553">
        <v>3</v>
      </c>
      <c r="AA26" s="559">
        <v>2967.9069767441856</v>
      </c>
      <c r="AB26" s="559">
        <v>989.30232558139517</v>
      </c>
      <c r="AC26" s="553" t="e">
        <f t="shared" si="4"/>
        <v>#N/A</v>
      </c>
      <c r="AD26" s="633"/>
      <c r="AE26" s="553">
        <v>3</v>
      </c>
      <c r="AF26" s="559">
        <v>2895.6000000000099</v>
      </c>
      <c r="AG26" s="559">
        <v>965.20000000000334</v>
      </c>
      <c r="AH26" s="553" t="e">
        <f t="shared" si="6"/>
        <v>#N/A</v>
      </c>
      <c r="AI26" s="633"/>
      <c r="AJ26" s="553">
        <v>3</v>
      </c>
      <c r="AK26" s="559">
        <v>2973.506493506492</v>
      </c>
      <c r="AL26" s="559">
        <v>991.16883116883071</v>
      </c>
      <c r="AM26" s="553" t="e">
        <f t="shared" si="8"/>
        <v>#N/A</v>
      </c>
      <c r="AN26" s="633"/>
      <c r="AO26" s="553">
        <v>3</v>
      </c>
      <c r="AP26" s="559">
        <v>3082.2680412371192</v>
      </c>
      <c r="AQ26" s="559">
        <v>1027.422680412373</v>
      </c>
      <c r="AR26" s="553" t="e">
        <f t="shared" si="10"/>
        <v>#N/A</v>
      </c>
      <c r="AS26" s="633"/>
      <c r="AT26" s="553">
        <v>3</v>
      </c>
      <c r="AU26" s="559">
        <v>3030.4000000000046</v>
      </c>
      <c r="AV26" s="559">
        <v>1010.1333333333349</v>
      </c>
      <c r="AW26" s="553" t="e">
        <f t="shared" si="12"/>
        <v>#N/A</v>
      </c>
      <c r="AX26" s="633"/>
      <c r="AZ26" s="361" t="e">
        <f t="shared" si="17"/>
        <v>#N/A</v>
      </c>
      <c r="BA26" s="638"/>
    </row>
    <row r="27" spans="2:53">
      <c r="B27" s="643"/>
      <c r="C27" s="553">
        <v>21</v>
      </c>
      <c r="D27" s="556" t="s">
        <v>667</v>
      </c>
      <c r="E27" s="196">
        <v>4</v>
      </c>
      <c r="F27" s="196">
        <v>3200</v>
      </c>
      <c r="G27" s="554">
        <v>800</v>
      </c>
      <c r="H27" s="633"/>
      <c r="I27" s="554">
        <f t="shared" si="14"/>
        <v>4</v>
      </c>
      <c r="J27" s="554">
        <f t="shared" si="15"/>
        <v>3160.9369993451946</v>
      </c>
      <c r="K27" s="194">
        <f t="shared" si="16"/>
        <v>790.23424983629866</v>
      </c>
      <c r="L27" s="653"/>
      <c r="M27" s="554" t="e">
        <f>RANK(K27, K$147:$K$176)</f>
        <v>#N/A</v>
      </c>
      <c r="N27" s="637"/>
      <c r="O27" s="637"/>
      <c r="P27" s="553">
        <v>4</v>
      </c>
      <c r="Q27" s="559">
        <v>3125.6250000000036</v>
      </c>
      <c r="R27" s="559">
        <v>781.40625000000091</v>
      </c>
      <c r="S27" s="553" t="e">
        <f t="shared" si="0"/>
        <v>#N/A</v>
      </c>
      <c r="T27" s="633"/>
      <c r="U27" s="553">
        <v>4</v>
      </c>
      <c r="V27" s="559">
        <v>3116.0000000000027</v>
      </c>
      <c r="W27" s="559">
        <v>779.00000000000068</v>
      </c>
      <c r="X27" s="553" t="e">
        <f t="shared" si="2"/>
        <v>#N/A</v>
      </c>
      <c r="Y27" s="633"/>
      <c r="Z27" s="553">
        <v>4</v>
      </c>
      <c r="AA27" s="559">
        <v>3173.5714285714398</v>
      </c>
      <c r="AB27" s="559">
        <v>793.39285714285995</v>
      </c>
      <c r="AC27" s="553" t="e">
        <f t="shared" si="4"/>
        <v>#N/A</v>
      </c>
      <c r="AD27" s="633"/>
      <c r="AE27" s="553">
        <v>4</v>
      </c>
      <c r="AF27" s="559">
        <v>3092.727272727273</v>
      </c>
      <c r="AG27" s="559">
        <v>773.18181818181824</v>
      </c>
      <c r="AH27" s="553" t="e">
        <f t="shared" si="6"/>
        <v>#N/A</v>
      </c>
      <c r="AI27" s="633"/>
      <c r="AJ27" s="553">
        <v>4</v>
      </c>
      <c r="AK27" s="559">
        <v>3328.2352941176428</v>
      </c>
      <c r="AL27" s="559">
        <v>832.05882352941069</v>
      </c>
      <c r="AM27" s="553" t="e">
        <f t="shared" si="8"/>
        <v>#N/A</v>
      </c>
      <c r="AN27" s="633"/>
      <c r="AO27" s="553">
        <v>4</v>
      </c>
      <c r="AP27" s="559">
        <v>3191.9999999999909</v>
      </c>
      <c r="AQ27" s="559">
        <v>797.99999999999773</v>
      </c>
      <c r="AR27" s="553" t="e">
        <f t="shared" si="10"/>
        <v>#N/A</v>
      </c>
      <c r="AS27" s="633"/>
      <c r="AT27" s="553">
        <v>4</v>
      </c>
      <c r="AU27" s="559">
        <v>3098.400000000011</v>
      </c>
      <c r="AV27" s="559">
        <v>774.60000000000275</v>
      </c>
      <c r="AW27" s="553" t="e">
        <f t="shared" si="12"/>
        <v>#N/A</v>
      </c>
      <c r="AX27" s="633"/>
      <c r="AZ27" s="361" t="e">
        <f t="shared" si="17"/>
        <v>#N/A</v>
      </c>
      <c r="BA27" s="638"/>
    </row>
    <row r="28" spans="2:53">
      <c r="B28" s="643"/>
      <c r="C28" s="553">
        <v>22</v>
      </c>
      <c r="D28" s="556" t="s">
        <v>681</v>
      </c>
      <c r="E28" s="196">
        <v>4</v>
      </c>
      <c r="F28" s="196">
        <v>3200</v>
      </c>
      <c r="G28" s="554">
        <v>800</v>
      </c>
      <c r="H28" s="633"/>
      <c r="I28" s="554">
        <f t="shared" si="14"/>
        <v>4</v>
      </c>
      <c r="J28" s="554">
        <f t="shared" si="15"/>
        <v>3171.8528188603354</v>
      </c>
      <c r="K28" s="194">
        <f t="shared" si="16"/>
        <v>792.96320471508386</v>
      </c>
      <c r="L28" s="653"/>
      <c r="M28" s="554" t="e">
        <f>RANK(K28, K$147:$K$176)</f>
        <v>#N/A</v>
      </c>
      <c r="N28" s="637"/>
      <c r="O28" s="637"/>
      <c r="P28" s="553">
        <v>4</v>
      </c>
      <c r="Q28" s="559">
        <v>3142.1052631579059</v>
      </c>
      <c r="R28" s="559">
        <v>785.52631578947648</v>
      </c>
      <c r="S28" s="553" t="e">
        <f t="shared" si="0"/>
        <v>#N/A</v>
      </c>
      <c r="T28" s="633"/>
      <c r="U28" s="553">
        <v>4</v>
      </c>
      <c r="V28" s="559">
        <v>3146.6666666666642</v>
      </c>
      <c r="W28" s="559">
        <v>786.66666666666606</v>
      </c>
      <c r="X28" s="553" t="e">
        <f t="shared" si="2"/>
        <v>#N/A</v>
      </c>
      <c r="Y28" s="633"/>
      <c r="Z28" s="553">
        <v>4</v>
      </c>
      <c r="AA28" s="559">
        <v>3568.0000000000123</v>
      </c>
      <c r="AB28" s="559">
        <v>892.00000000000307</v>
      </c>
      <c r="AC28" s="553" t="e">
        <f t="shared" si="4"/>
        <v>#N/A</v>
      </c>
      <c r="AD28" s="633"/>
      <c r="AE28" s="553">
        <v>4</v>
      </c>
      <c r="AF28" s="559">
        <v>3170.7692307692228</v>
      </c>
      <c r="AG28" s="559">
        <v>792.69230769230569</v>
      </c>
      <c r="AH28" s="553" t="e">
        <f t="shared" si="6"/>
        <v>#N/A</v>
      </c>
      <c r="AI28" s="633"/>
      <c r="AJ28" s="553">
        <v>4</v>
      </c>
      <c r="AK28" s="559">
        <v>3053.9999999999864</v>
      </c>
      <c r="AL28" s="559">
        <v>763.49999999999659</v>
      </c>
      <c r="AM28" s="553" t="e">
        <f t="shared" si="8"/>
        <v>#N/A</v>
      </c>
      <c r="AN28" s="633"/>
      <c r="AO28" s="553">
        <v>4</v>
      </c>
      <c r="AP28" s="559">
        <v>3039.9999999999945</v>
      </c>
      <c r="AQ28" s="559">
        <v>759.99999999999864</v>
      </c>
      <c r="AR28" s="553" t="e">
        <f t="shared" si="10"/>
        <v>#N/A</v>
      </c>
      <c r="AS28" s="633"/>
      <c r="AT28" s="553">
        <v>4</v>
      </c>
      <c r="AU28" s="559">
        <v>3081.4285714285647</v>
      </c>
      <c r="AV28" s="559">
        <v>770.35714285714118</v>
      </c>
      <c r="AW28" s="553" t="e">
        <f t="shared" si="12"/>
        <v>#N/A</v>
      </c>
      <c r="AX28" s="633"/>
      <c r="AZ28" s="361" t="e">
        <f t="shared" si="17"/>
        <v>#N/A</v>
      </c>
      <c r="BA28" s="638"/>
    </row>
    <row r="29" spans="2:53">
      <c r="B29" s="643"/>
      <c r="C29" s="553">
        <v>23</v>
      </c>
      <c r="D29" s="196" t="s">
        <v>680</v>
      </c>
      <c r="E29" s="196">
        <v>3</v>
      </c>
      <c r="F29" s="196">
        <v>2200</v>
      </c>
      <c r="G29" s="554">
        <v>733.33333333333337</v>
      </c>
      <c r="H29" s="633"/>
      <c r="I29" s="554">
        <f t="shared" si="14"/>
        <v>3</v>
      </c>
      <c r="J29" s="554">
        <f t="shared" si="15"/>
        <v>2169.5272108843533</v>
      </c>
      <c r="K29" s="194">
        <f t="shared" si="16"/>
        <v>723.17573696145098</v>
      </c>
      <c r="L29" s="653"/>
      <c r="M29" s="554" t="e">
        <f>RANK(K29, K$147:$K$176)</f>
        <v>#N/A</v>
      </c>
      <c r="N29" s="637"/>
      <c r="O29" s="637"/>
      <c r="P29" s="553">
        <v>3</v>
      </c>
      <c r="Q29" s="559">
        <v>2145.333333333333</v>
      </c>
      <c r="R29" s="559">
        <v>715.11111111111097</v>
      </c>
      <c r="S29" s="553" t="e">
        <f t="shared" si="0"/>
        <v>#N/A</v>
      </c>
      <c r="T29" s="633"/>
      <c r="U29" s="553">
        <v>3</v>
      </c>
      <c r="V29" s="559">
        <v>2124</v>
      </c>
      <c r="W29" s="559">
        <v>708</v>
      </c>
      <c r="X29" s="553" t="e">
        <f t="shared" si="2"/>
        <v>#N/A</v>
      </c>
      <c r="Y29" s="633"/>
      <c r="Z29" s="553">
        <v>3</v>
      </c>
      <c r="AA29" s="559">
        <v>2144.9999999999991</v>
      </c>
      <c r="AB29" s="559">
        <v>714.99999999999966</v>
      </c>
      <c r="AC29" s="553" t="e">
        <f t="shared" si="4"/>
        <v>#N/A</v>
      </c>
      <c r="AD29" s="633"/>
      <c r="AE29" s="553">
        <v>3</v>
      </c>
      <c r="AF29" s="559">
        <v>2190.8571428571508</v>
      </c>
      <c r="AG29" s="559">
        <v>730.28571428571695</v>
      </c>
      <c r="AH29" s="553" t="e">
        <f t="shared" si="6"/>
        <v>#N/A</v>
      </c>
      <c r="AI29" s="633"/>
      <c r="AJ29" s="553">
        <v>3</v>
      </c>
      <c r="AK29" s="559">
        <v>2185.4999999999905</v>
      </c>
      <c r="AL29" s="559">
        <v>728.49999999999682</v>
      </c>
      <c r="AM29" s="553" t="e">
        <f t="shared" si="8"/>
        <v>#N/A</v>
      </c>
      <c r="AN29" s="633"/>
      <c r="AO29" s="553">
        <v>3</v>
      </c>
      <c r="AP29" s="559">
        <v>2238.6666666666665</v>
      </c>
      <c r="AQ29" s="559">
        <v>746.22222222222217</v>
      </c>
      <c r="AR29" s="553" t="e">
        <f t="shared" si="10"/>
        <v>#N/A</v>
      </c>
      <c r="AS29" s="633"/>
      <c r="AT29" s="553">
        <v>3</v>
      </c>
      <c r="AU29" s="559">
        <v>2157.3333333333335</v>
      </c>
      <c r="AV29" s="559">
        <v>719.1111111111112</v>
      </c>
      <c r="AW29" s="553" t="e">
        <f t="shared" si="12"/>
        <v>#N/A</v>
      </c>
      <c r="AX29" s="633"/>
      <c r="AZ29" s="361" t="e">
        <f t="shared" si="17"/>
        <v>#N/A</v>
      </c>
      <c r="BA29" s="638"/>
    </row>
    <row r="30" spans="2:53">
      <c r="B30" s="643"/>
      <c r="C30" s="553">
        <v>24</v>
      </c>
      <c r="D30" s="556" t="s">
        <v>565</v>
      </c>
      <c r="E30" s="196">
        <v>8</v>
      </c>
      <c r="F30" s="196">
        <v>1500</v>
      </c>
      <c r="G30" s="554">
        <v>187.5</v>
      </c>
      <c r="H30" s="633"/>
      <c r="I30" s="554">
        <f t="shared" si="14"/>
        <v>8.2857142857142865</v>
      </c>
      <c r="J30" s="554">
        <f t="shared" si="15"/>
        <v>1554.4232126439406</v>
      </c>
      <c r="K30" s="194">
        <f t="shared" si="16"/>
        <v>188.38787694995071</v>
      </c>
      <c r="L30" s="653"/>
      <c r="M30" s="554" t="e">
        <f>RANK(K30, K$147:$K$176)</f>
        <v>#N/A</v>
      </c>
      <c r="N30" s="637"/>
      <c r="O30" s="637"/>
      <c r="P30" s="553">
        <v>8</v>
      </c>
      <c r="Q30" s="559">
        <v>1535.9999999999984</v>
      </c>
      <c r="R30" s="559">
        <v>191.9999999999998</v>
      </c>
      <c r="S30" s="553" t="e">
        <f t="shared" si="0"/>
        <v>#N/A</v>
      </c>
      <c r="T30" s="633"/>
      <c r="U30" s="553">
        <v>8</v>
      </c>
      <c r="V30" s="559">
        <v>1572.9230769230785</v>
      </c>
      <c r="W30" s="559">
        <v>196.61538461538481</v>
      </c>
      <c r="X30" s="553" t="e">
        <f t="shared" si="2"/>
        <v>#N/A</v>
      </c>
      <c r="Y30" s="633"/>
      <c r="Z30" s="553">
        <v>8</v>
      </c>
      <c r="AA30" s="559">
        <v>1551.147540983608</v>
      </c>
      <c r="AB30" s="559">
        <v>193.893442622951</v>
      </c>
      <c r="AC30" s="553" t="e">
        <f t="shared" si="4"/>
        <v>#N/A</v>
      </c>
      <c r="AD30" s="633"/>
      <c r="AE30" s="553">
        <v>8</v>
      </c>
      <c r="AF30" s="559">
        <v>1513.9285714285725</v>
      </c>
      <c r="AG30" s="559">
        <v>189.24107142857156</v>
      </c>
      <c r="AH30" s="553" t="e">
        <f t="shared" si="6"/>
        <v>#N/A</v>
      </c>
      <c r="AI30" s="633"/>
      <c r="AJ30" s="553">
        <v>10</v>
      </c>
      <c r="AK30" s="559">
        <v>1656.2068965517208</v>
      </c>
      <c r="AL30" s="559">
        <v>165.62068965517207</v>
      </c>
      <c r="AM30" s="553" t="e">
        <f t="shared" si="8"/>
        <v>#N/A</v>
      </c>
      <c r="AN30" s="633"/>
      <c r="AO30" s="553">
        <v>8</v>
      </c>
      <c r="AP30" s="559">
        <v>1539.4520547945194</v>
      </c>
      <c r="AQ30" s="559">
        <v>192.43150684931493</v>
      </c>
      <c r="AR30" s="553" t="e">
        <f t="shared" si="10"/>
        <v>#N/A</v>
      </c>
      <c r="AS30" s="633"/>
      <c r="AT30" s="553">
        <v>8</v>
      </c>
      <c r="AU30" s="559">
        <v>1511.3043478260854</v>
      </c>
      <c r="AV30" s="559">
        <v>188.91304347826068</v>
      </c>
      <c r="AW30" s="553" t="e">
        <f t="shared" si="12"/>
        <v>#N/A</v>
      </c>
      <c r="AX30" s="633"/>
      <c r="AZ30" s="361" t="e">
        <f t="shared" si="17"/>
        <v>#N/A</v>
      </c>
      <c r="BA30" s="638"/>
    </row>
    <row r="31" spans="2:53">
      <c r="B31" s="643"/>
      <c r="C31" s="553">
        <v>25</v>
      </c>
      <c r="D31" s="196"/>
      <c r="E31" s="196"/>
      <c r="F31" s="196"/>
      <c r="G31" s="554"/>
      <c r="H31" s="633"/>
      <c r="I31" s="554" t="str">
        <f t="shared" si="14"/>
        <v>-</v>
      </c>
      <c r="J31" s="554" t="str">
        <f t="shared" si="15"/>
        <v>-</v>
      </c>
      <c r="K31" s="194" t="str">
        <f t="shared" si="16"/>
        <v>-</v>
      </c>
      <c r="L31" s="653"/>
      <c r="M31" s="554" t="e">
        <f>RANK(K31, K$147:$K$176)</f>
        <v>#VALUE!</v>
      </c>
      <c r="N31" s="637"/>
      <c r="O31" s="637"/>
      <c r="P31" s="553"/>
      <c r="Q31" s="559"/>
      <c r="R31" s="559"/>
      <c r="S31" s="553" t="e">
        <f t="shared" si="0"/>
        <v>#N/A</v>
      </c>
      <c r="T31" s="633"/>
      <c r="U31" s="553"/>
      <c r="V31" s="559"/>
      <c r="W31" s="559"/>
      <c r="X31" s="553" t="e">
        <f t="shared" si="2"/>
        <v>#N/A</v>
      </c>
      <c r="Y31" s="633"/>
      <c r="Z31" s="553"/>
      <c r="AA31" s="559"/>
      <c r="AB31" s="559"/>
      <c r="AC31" s="553" t="e">
        <f t="shared" si="4"/>
        <v>#N/A</v>
      </c>
      <c r="AD31" s="633"/>
      <c r="AE31" s="553"/>
      <c r="AF31" s="559"/>
      <c r="AG31" s="559"/>
      <c r="AH31" s="553" t="e">
        <f t="shared" si="6"/>
        <v>#N/A</v>
      </c>
      <c r="AI31" s="633"/>
      <c r="AJ31" s="553"/>
      <c r="AK31" s="559"/>
      <c r="AL31" s="559"/>
      <c r="AM31" s="553" t="e">
        <f t="shared" si="8"/>
        <v>#N/A</v>
      </c>
      <c r="AN31" s="633"/>
      <c r="AO31" s="553"/>
      <c r="AP31" s="559"/>
      <c r="AQ31" s="559"/>
      <c r="AR31" s="553" t="e">
        <f t="shared" si="10"/>
        <v>#N/A</v>
      </c>
      <c r="AS31" s="633"/>
      <c r="AT31" s="553"/>
      <c r="AU31" s="559"/>
      <c r="AV31" s="559"/>
      <c r="AW31" s="553" t="e">
        <f t="shared" si="12"/>
        <v>#N/A</v>
      </c>
      <c r="AX31" s="633"/>
      <c r="AZ31" s="361" t="e">
        <f t="shared" si="17"/>
        <v>#N/A</v>
      </c>
      <c r="BA31" s="638"/>
    </row>
    <row r="32" spans="2:53">
      <c r="B32" s="643"/>
      <c r="C32" s="553">
        <v>26</v>
      </c>
      <c r="D32" s="196"/>
      <c r="E32" s="196"/>
      <c r="F32" s="196"/>
      <c r="G32" s="554"/>
      <c r="H32" s="633"/>
      <c r="I32" s="554" t="str">
        <f t="shared" si="14"/>
        <v>-</v>
      </c>
      <c r="J32" s="554" t="str">
        <f t="shared" si="15"/>
        <v>-</v>
      </c>
      <c r="K32" s="194" t="str">
        <f t="shared" si="16"/>
        <v>-</v>
      </c>
      <c r="L32" s="653"/>
      <c r="M32" s="554" t="e">
        <f>RANK(K32, K$147:$K$176)</f>
        <v>#VALUE!</v>
      </c>
      <c r="N32" s="637"/>
      <c r="O32" s="637"/>
      <c r="P32" s="553"/>
      <c r="Q32" s="559"/>
      <c r="R32" s="559"/>
      <c r="S32" s="553" t="e">
        <f t="shared" si="0"/>
        <v>#N/A</v>
      </c>
      <c r="T32" s="633"/>
      <c r="U32" s="553"/>
      <c r="V32" s="559"/>
      <c r="W32" s="559"/>
      <c r="X32" s="553" t="e">
        <f t="shared" si="2"/>
        <v>#N/A</v>
      </c>
      <c r="Y32" s="633"/>
      <c r="Z32" s="553"/>
      <c r="AA32" s="559"/>
      <c r="AB32" s="559"/>
      <c r="AC32" s="553" t="e">
        <f t="shared" si="4"/>
        <v>#N/A</v>
      </c>
      <c r="AD32" s="633"/>
      <c r="AE32" s="553"/>
      <c r="AF32" s="559"/>
      <c r="AG32" s="559"/>
      <c r="AH32" s="553" t="e">
        <f t="shared" si="6"/>
        <v>#N/A</v>
      </c>
      <c r="AI32" s="633"/>
      <c r="AJ32" s="553"/>
      <c r="AK32" s="559"/>
      <c r="AL32" s="559"/>
      <c r="AM32" s="553" t="e">
        <f t="shared" si="8"/>
        <v>#N/A</v>
      </c>
      <c r="AN32" s="633"/>
      <c r="AO32" s="553"/>
      <c r="AP32" s="559"/>
      <c r="AQ32" s="559"/>
      <c r="AR32" s="553" t="e">
        <f t="shared" si="10"/>
        <v>#N/A</v>
      </c>
      <c r="AS32" s="633"/>
      <c r="AT32" s="553"/>
      <c r="AU32" s="559"/>
      <c r="AV32" s="559"/>
      <c r="AW32" s="553" t="e">
        <f t="shared" si="12"/>
        <v>#N/A</v>
      </c>
      <c r="AX32" s="633"/>
      <c r="AZ32" s="361" t="e">
        <f t="shared" si="17"/>
        <v>#N/A</v>
      </c>
      <c r="BA32" s="638"/>
    </row>
    <row r="33" spans="2:53">
      <c r="B33" s="643"/>
      <c r="C33" s="553">
        <v>27</v>
      </c>
      <c r="D33" s="196"/>
      <c r="E33" s="196"/>
      <c r="F33" s="196"/>
      <c r="G33" s="554"/>
      <c r="H33" s="633"/>
      <c r="I33" s="554" t="str">
        <f t="shared" si="14"/>
        <v>-</v>
      </c>
      <c r="J33" s="554" t="str">
        <f t="shared" si="15"/>
        <v>-</v>
      </c>
      <c r="K33" s="194" t="str">
        <f t="shared" si="16"/>
        <v>-</v>
      </c>
      <c r="L33" s="653"/>
      <c r="M33" s="554" t="e">
        <f>RANK(K33, K$147:$K$176)</f>
        <v>#VALUE!</v>
      </c>
      <c r="N33" s="637"/>
      <c r="O33" s="637"/>
      <c r="P33" s="553"/>
      <c r="Q33" s="559"/>
      <c r="R33" s="559"/>
      <c r="S33" s="553" t="e">
        <f t="shared" si="0"/>
        <v>#N/A</v>
      </c>
      <c r="T33" s="633"/>
      <c r="U33" s="553"/>
      <c r="V33" s="559"/>
      <c r="W33" s="559"/>
      <c r="X33" s="553" t="e">
        <f t="shared" si="2"/>
        <v>#N/A</v>
      </c>
      <c r="Y33" s="633"/>
      <c r="Z33" s="553"/>
      <c r="AA33" s="559"/>
      <c r="AB33" s="559"/>
      <c r="AC33" s="553" t="e">
        <f t="shared" si="4"/>
        <v>#N/A</v>
      </c>
      <c r="AD33" s="633"/>
      <c r="AE33" s="553"/>
      <c r="AF33" s="559"/>
      <c r="AG33" s="559"/>
      <c r="AH33" s="553" t="e">
        <f t="shared" si="6"/>
        <v>#N/A</v>
      </c>
      <c r="AI33" s="633"/>
      <c r="AJ33" s="553"/>
      <c r="AK33" s="559"/>
      <c r="AL33" s="559"/>
      <c r="AM33" s="553" t="e">
        <f t="shared" si="8"/>
        <v>#N/A</v>
      </c>
      <c r="AN33" s="633"/>
      <c r="AO33" s="553"/>
      <c r="AP33" s="559"/>
      <c r="AQ33" s="559"/>
      <c r="AR33" s="553" t="e">
        <f t="shared" si="10"/>
        <v>#N/A</v>
      </c>
      <c r="AS33" s="633"/>
      <c r="AT33" s="553"/>
      <c r="AU33" s="559"/>
      <c r="AV33" s="559"/>
      <c r="AW33" s="553" t="e">
        <f t="shared" si="12"/>
        <v>#N/A</v>
      </c>
      <c r="AX33" s="633"/>
      <c r="AZ33" s="361" t="e">
        <f t="shared" si="17"/>
        <v>#N/A</v>
      </c>
      <c r="BA33" s="638"/>
    </row>
    <row r="34" spans="2:53">
      <c r="B34" s="643"/>
      <c r="C34" s="553">
        <v>28</v>
      </c>
      <c r="D34" s="196"/>
      <c r="E34" s="196"/>
      <c r="F34" s="196"/>
      <c r="G34" s="196"/>
      <c r="H34" s="633"/>
      <c r="I34" s="554" t="str">
        <f t="shared" si="14"/>
        <v>-</v>
      </c>
      <c r="J34" s="554" t="str">
        <f t="shared" si="15"/>
        <v>-</v>
      </c>
      <c r="K34" s="194" t="str">
        <f t="shared" si="16"/>
        <v>-</v>
      </c>
      <c r="L34" s="653"/>
      <c r="M34" s="554" t="e">
        <f>RANK(K34, K$147:$K$176)</f>
        <v>#VALUE!</v>
      </c>
      <c r="N34" s="637"/>
      <c r="O34" s="637"/>
      <c r="P34" s="553"/>
      <c r="Q34" s="559"/>
      <c r="R34" s="559"/>
      <c r="S34" s="553" t="e">
        <f t="shared" si="0"/>
        <v>#N/A</v>
      </c>
      <c r="T34" s="633"/>
      <c r="U34" s="553"/>
      <c r="V34" s="559"/>
      <c r="W34" s="559"/>
      <c r="X34" s="553" t="e">
        <f t="shared" si="2"/>
        <v>#N/A</v>
      </c>
      <c r="Y34" s="633"/>
      <c r="Z34" s="553"/>
      <c r="AA34" s="559"/>
      <c r="AB34" s="559"/>
      <c r="AC34" s="553" t="e">
        <f t="shared" si="4"/>
        <v>#N/A</v>
      </c>
      <c r="AD34" s="633"/>
      <c r="AE34" s="553"/>
      <c r="AF34" s="559"/>
      <c r="AG34" s="559"/>
      <c r="AH34" s="553" t="e">
        <f t="shared" si="6"/>
        <v>#N/A</v>
      </c>
      <c r="AI34" s="633"/>
      <c r="AJ34" s="553"/>
      <c r="AK34" s="559"/>
      <c r="AL34" s="559"/>
      <c r="AM34" s="553" t="e">
        <f t="shared" si="8"/>
        <v>#N/A</v>
      </c>
      <c r="AN34" s="633"/>
      <c r="AO34" s="553"/>
      <c r="AP34" s="559"/>
      <c r="AQ34" s="559"/>
      <c r="AR34" s="553" t="e">
        <f t="shared" si="10"/>
        <v>#N/A</v>
      </c>
      <c r="AS34" s="633"/>
      <c r="AT34" s="553"/>
      <c r="AU34" s="559"/>
      <c r="AV34" s="559"/>
      <c r="AW34" s="553" t="e">
        <f t="shared" si="12"/>
        <v>#N/A</v>
      </c>
      <c r="AX34" s="633"/>
      <c r="AZ34" s="361" t="e">
        <f t="shared" si="17"/>
        <v>#N/A</v>
      </c>
      <c r="BA34" s="638"/>
    </row>
    <row r="35" spans="2:53">
      <c r="B35" s="643"/>
      <c r="C35" s="553">
        <v>29</v>
      </c>
      <c r="D35" s="196"/>
      <c r="E35" s="196"/>
      <c r="F35" s="196"/>
      <c r="G35" s="196"/>
      <c r="H35" s="633"/>
      <c r="I35" s="554" t="str">
        <f t="shared" si="14"/>
        <v>-</v>
      </c>
      <c r="J35" s="554" t="str">
        <f t="shared" si="15"/>
        <v>-</v>
      </c>
      <c r="K35" s="194" t="str">
        <f t="shared" si="16"/>
        <v>-</v>
      </c>
      <c r="L35" s="653"/>
      <c r="M35" s="554" t="e">
        <f>RANK(K35, K$147:$K$176)</f>
        <v>#VALUE!</v>
      </c>
      <c r="N35" s="637"/>
      <c r="O35" s="637"/>
      <c r="P35" s="553"/>
      <c r="Q35" s="559"/>
      <c r="R35" s="559"/>
      <c r="S35" s="553" t="e">
        <f t="shared" si="0"/>
        <v>#N/A</v>
      </c>
      <c r="T35" s="633"/>
      <c r="U35" s="553"/>
      <c r="V35" s="559"/>
      <c r="W35" s="559"/>
      <c r="X35" s="553" t="e">
        <f t="shared" si="2"/>
        <v>#N/A</v>
      </c>
      <c r="Y35" s="633"/>
      <c r="Z35" s="553"/>
      <c r="AA35" s="559"/>
      <c r="AB35" s="559"/>
      <c r="AC35" s="553" t="e">
        <f t="shared" si="4"/>
        <v>#N/A</v>
      </c>
      <c r="AD35" s="633"/>
      <c r="AE35" s="553"/>
      <c r="AF35" s="559"/>
      <c r="AG35" s="559"/>
      <c r="AH35" s="553" t="e">
        <f t="shared" si="6"/>
        <v>#N/A</v>
      </c>
      <c r="AI35" s="633"/>
      <c r="AJ35" s="553"/>
      <c r="AK35" s="559"/>
      <c r="AL35" s="559"/>
      <c r="AM35" s="553" t="e">
        <f t="shared" si="8"/>
        <v>#N/A</v>
      </c>
      <c r="AN35" s="633"/>
      <c r="AO35" s="553"/>
      <c r="AP35" s="559"/>
      <c r="AQ35" s="559"/>
      <c r="AR35" s="553" t="e">
        <f t="shared" si="10"/>
        <v>#N/A</v>
      </c>
      <c r="AS35" s="633"/>
      <c r="AT35" s="553"/>
      <c r="AU35" s="559"/>
      <c r="AV35" s="559"/>
      <c r="AW35" s="553" t="e">
        <f t="shared" si="12"/>
        <v>#N/A</v>
      </c>
      <c r="AX35" s="633"/>
      <c r="AZ35" s="361" t="e">
        <f t="shared" si="17"/>
        <v>#N/A</v>
      </c>
      <c r="BA35" s="638"/>
    </row>
    <row r="36" spans="2:53">
      <c r="B36" s="643"/>
      <c r="C36" s="553">
        <v>30</v>
      </c>
      <c r="D36" s="196"/>
      <c r="E36" s="196"/>
      <c r="F36" s="196"/>
      <c r="G36" s="196"/>
      <c r="H36" s="634"/>
      <c r="I36" s="554" t="str">
        <f t="shared" si="14"/>
        <v>-</v>
      </c>
      <c r="J36" s="554" t="str">
        <f t="shared" si="15"/>
        <v>-</v>
      </c>
      <c r="K36" s="194" t="str">
        <f t="shared" si="16"/>
        <v>-</v>
      </c>
      <c r="L36" s="654"/>
      <c r="M36" s="554" t="e">
        <f>RANK(K36, K$147:$K$176)</f>
        <v>#VALUE!</v>
      </c>
      <c r="N36" s="637"/>
      <c r="O36" s="637"/>
      <c r="P36" s="553"/>
      <c r="Q36" s="559"/>
      <c r="R36" s="559"/>
      <c r="S36" s="553" t="e">
        <f t="shared" si="0"/>
        <v>#N/A</v>
      </c>
      <c r="T36" s="634"/>
      <c r="U36" s="553"/>
      <c r="V36" s="559"/>
      <c r="W36" s="559"/>
      <c r="X36" s="553" t="e">
        <f t="shared" si="2"/>
        <v>#N/A</v>
      </c>
      <c r="Y36" s="634"/>
      <c r="Z36" s="553"/>
      <c r="AA36" s="559"/>
      <c r="AB36" s="559"/>
      <c r="AC36" s="553" t="e">
        <f t="shared" si="4"/>
        <v>#N/A</v>
      </c>
      <c r="AD36" s="634"/>
      <c r="AE36" s="553"/>
      <c r="AF36" s="559"/>
      <c r="AG36" s="559"/>
      <c r="AH36" s="553" t="e">
        <f t="shared" si="6"/>
        <v>#N/A</v>
      </c>
      <c r="AI36" s="634"/>
      <c r="AJ36" s="553"/>
      <c r="AK36" s="559"/>
      <c r="AL36" s="559"/>
      <c r="AM36" s="553" t="e">
        <f t="shared" si="8"/>
        <v>#N/A</v>
      </c>
      <c r="AN36" s="634"/>
      <c r="AO36" s="553"/>
      <c r="AP36" s="559"/>
      <c r="AQ36" s="559"/>
      <c r="AR36" s="553" t="e">
        <f t="shared" si="10"/>
        <v>#N/A</v>
      </c>
      <c r="AS36" s="634"/>
      <c r="AT36" s="553"/>
      <c r="AU36" s="559"/>
      <c r="AV36" s="559"/>
      <c r="AW36" s="553" t="e">
        <f t="shared" si="12"/>
        <v>#N/A</v>
      </c>
      <c r="AX36" s="634"/>
      <c r="AZ36" s="361" t="e">
        <f t="shared" si="17"/>
        <v>#N/A</v>
      </c>
      <c r="BA36" s="638"/>
    </row>
    <row r="37" spans="2:53" ht="15.75">
      <c r="B37" s="676" t="s">
        <v>162</v>
      </c>
      <c r="C37" s="677"/>
      <c r="D37" s="677"/>
      <c r="E37" s="677"/>
      <c r="F37" s="677"/>
      <c r="G37" s="677"/>
      <c r="H37" s="677"/>
      <c r="I37" s="197"/>
      <c r="J37" s="197"/>
      <c r="K37" s="197"/>
      <c r="L37" s="197"/>
      <c r="M37" s="198"/>
      <c r="N37" s="639" t="s">
        <v>156</v>
      </c>
      <c r="O37" s="639" t="s">
        <v>155</v>
      </c>
      <c r="P37" s="664">
        <f>P2+7</f>
        <v>46301</v>
      </c>
      <c r="Q37" s="643"/>
      <c r="R37" s="643"/>
      <c r="S37" s="643"/>
      <c r="T37" s="643"/>
      <c r="U37" s="664">
        <f>P37+1</f>
        <v>46302</v>
      </c>
      <c r="V37" s="643"/>
      <c r="W37" s="643"/>
      <c r="X37" s="643"/>
      <c r="Y37" s="643"/>
      <c r="Z37" s="664">
        <f>U37+1</f>
        <v>46303</v>
      </c>
      <c r="AA37" s="643"/>
      <c r="AB37" s="643"/>
      <c r="AC37" s="643"/>
      <c r="AD37" s="643"/>
      <c r="AE37" s="664">
        <f>Z37+1</f>
        <v>46304</v>
      </c>
      <c r="AF37" s="643"/>
      <c r="AG37" s="643"/>
      <c r="AH37" s="643"/>
      <c r="AI37" s="643"/>
      <c r="AJ37" s="664">
        <f>AE37+1</f>
        <v>46305</v>
      </c>
      <c r="AK37" s="643"/>
      <c r="AL37" s="643"/>
      <c r="AM37" s="643"/>
      <c r="AN37" s="643"/>
      <c r="AO37" s="664">
        <f>AJ37+1</f>
        <v>46306</v>
      </c>
      <c r="AP37" s="643"/>
      <c r="AQ37" s="643"/>
      <c r="AR37" s="643"/>
      <c r="AS37" s="643"/>
      <c r="AT37" s="664">
        <f>AO37+1</f>
        <v>46307</v>
      </c>
      <c r="AU37" s="643"/>
      <c r="AV37" s="643"/>
      <c r="AW37" s="643"/>
      <c r="AX37" s="643"/>
    </row>
    <row r="38" spans="2:53" ht="15.75">
      <c r="B38" s="668"/>
      <c r="C38" s="668"/>
      <c r="D38" s="668"/>
      <c r="E38" s="668"/>
      <c r="F38" s="668"/>
      <c r="G38" s="668"/>
      <c r="H38" s="668"/>
      <c r="I38" s="199"/>
      <c r="J38" s="199"/>
      <c r="K38" s="199"/>
      <c r="L38" s="199"/>
      <c r="M38" s="200"/>
      <c r="N38" s="641"/>
      <c r="O38" s="641"/>
      <c r="P38" s="664" t="s">
        <v>317</v>
      </c>
      <c r="Q38" s="643"/>
      <c r="R38" s="643"/>
      <c r="S38" s="643"/>
      <c r="T38" s="643"/>
      <c r="U38" s="664" t="s">
        <v>318</v>
      </c>
      <c r="V38" s="643"/>
      <c r="W38" s="643"/>
      <c r="X38" s="643"/>
      <c r="Y38" s="643"/>
      <c r="Z38" s="664" t="s">
        <v>319</v>
      </c>
      <c r="AA38" s="643"/>
      <c r="AB38" s="643"/>
      <c r="AC38" s="643"/>
      <c r="AD38" s="643"/>
      <c r="AE38" s="664" t="s">
        <v>320</v>
      </c>
      <c r="AF38" s="643"/>
      <c r="AG38" s="643"/>
      <c r="AH38" s="643"/>
      <c r="AI38" s="643"/>
      <c r="AJ38" s="664" t="s">
        <v>321</v>
      </c>
      <c r="AK38" s="643"/>
      <c r="AL38" s="643"/>
      <c r="AM38" s="643"/>
      <c r="AN38" s="643"/>
      <c r="AO38" s="664" t="s">
        <v>322</v>
      </c>
      <c r="AP38" s="643"/>
      <c r="AQ38" s="643"/>
      <c r="AR38" s="643"/>
      <c r="AS38" s="643"/>
      <c r="AT38" s="664" t="s">
        <v>323</v>
      </c>
      <c r="AU38" s="643"/>
      <c r="AV38" s="643"/>
      <c r="AW38" s="643"/>
      <c r="AX38" s="643"/>
    </row>
    <row r="39" spans="2:53">
      <c r="B39" s="639" t="s">
        <v>420</v>
      </c>
      <c r="C39" s="669" t="s">
        <v>421</v>
      </c>
      <c r="D39" s="681"/>
      <c r="E39" s="655" t="s">
        <v>422</v>
      </c>
      <c r="F39" s="656"/>
      <c r="G39" s="657"/>
      <c r="H39" s="639" t="s">
        <v>357</v>
      </c>
      <c r="I39" s="688" t="s">
        <v>362</v>
      </c>
      <c r="J39" s="689"/>
      <c r="K39" s="690"/>
      <c r="L39" s="673" t="s">
        <v>357</v>
      </c>
      <c r="M39" s="673" t="s">
        <v>358</v>
      </c>
      <c r="N39" s="639"/>
      <c r="O39" s="639" t="s">
        <v>423</v>
      </c>
      <c r="P39" s="655" t="s">
        <v>424</v>
      </c>
      <c r="Q39" s="656"/>
      <c r="R39" s="656"/>
      <c r="S39" s="657"/>
      <c r="T39" s="639" t="s">
        <v>357</v>
      </c>
      <c r="U39" s="655" t="s">
        <v>359</v>
      </c>
      <c r="V39" s="656"/>
      <c r="W39" s="656"/>
      <c r="X39" s="657"/>
      <c r="Y39" s="639" t="s">
        <v>357</v>
      </c>
      <c r="Z39" s="655" t="s">
        <v>359</v>
      </c>
      <c r="AA39" s="656"/>
      <c r="AB39" s="656"/>
      <c r="AC39" s="657"/>
      <c r="AD39" s="639" t="s">
        <v>425</v>
      </c>
      <c r="AE39" s="655" t="s">
        <v>359</v>
      </c>
      <c r="AF39" s="656"/>
      <c r="AG39" s="656"/>
      <c r="AH39" s="657"/>
      <c r="AI39" s="639" t="s">
        <v>357</v>
      </c>
      <c r="AJ39" s="655" t="s">
        <v>359</v>
      </c>
      <c r="AK39" s="656"/>
      <c r="AL39" s="656"/>
      <c r="AM39" s="657"/>
      <c r="AN39" s="639" t="s">
        <v>425</v>
      </c>
      <c r="AO39" s="655" t="s">
        <v>424</v>
      </c>
      <c r="AP39" s="656"/>
      <c r="AQ39" s="656"/>
      <c r="AR39" s="657"/>
      <c r="AS39" s="639" t="s">
        <v>425</v>
      </c>
      <c r="AT39" s="655" t="s">
        <v>424</v>
      </c>
      <c r="AU39" s="656"/>
      <c r="AV39" s="656"/>
      <c r="AW39" s="657"/>
      <c r="AX39" s="639" t="s">
        <v>425</v>
      </c>
      <c r="BA39" s="639" t="s">
        <v>357</v>
      </c>
    </row>
    <row r="40" spans="2:53">
      <c r="B40" s="640"/>
      <c r="C40" s="670"/>
      <c r="D40" s="682"/>
      <c r="E40" s="655" t="s">
        <v>364</v>
      </c>
      <c r="F40" s="656"/>
      <c r="G40" s="657"/>
      <c r="H40" s="640"/>
      <c r="I40" s="688" t="s">
        <v>364</v>
      </c>
      <c r="J40" s="689"/>
      <c r="K40" s="690"/>
      <c r="L40" s="674"/>
      <c r="M40" s="674"/>
      <c r="N40" s="640"/>
      <c r="O40" s="640"/>
      <c r="P40" s="655" t="s">
        <v>365</v>
      </c>
      <c r="Q40" s="656"/>
      <c r="R40" s="656"/>
      <c r="S40" s="657"/>
      <c r="T40" s="640"/>
      <c r="U40" s="655" t="s">
        <v>426</v>
      </c>
      <c r="V40" s="656"/>
      <c r="W40" s="656"/>
      <c r="X40" s="657"/>
      <c r="Y40" s="640"/>
      <c r="Z40" s="655" t="s">
        <v>426</v>
      </c>
      <c r="AA40" s="656"/>
      <c r="AB40" s="656"/>
      <c r="AC40" s="657"/>
      <c r="AD40" s="640"/>
      <c r="AE40" s="655" t="s">
        <v>365</v>
      </c>
      <c r="AF40" s="656"/>
      <c r="AG40" s="656"/>
      <c r="AH40" s="657"/>
      <c r="AI40" s="640"/>
      <c r="AJ40" s="655" t="s">
        <v>365</v>
      </c>
      <c r="AK40" s="656"/>
      <c r="AL40" s="656"/>
      <c r="AM40" s="657"/>
      <c r="AN40" s="640"/>
      <c r="AO40" s="655" t="s">
        <v>365</v>
      </c>
      <c r="AP40" s="656"/>
      <c r="AQ40" s="656"/>
      <c r="AR40" s="657"/>
      <c r="AS40" s="640"/>
      <c r="AT40" s="655" t="s">
        <v>365</v>
      </c>
      <c r="AU40" s="656"/>
      <c r="AV40" s="656"/>
      <c r="AW40" s="657"/>
      <c r="AX40" s="640"/>
      <c r="BA40" s="640"/>
    </row>
    <row r="41" spans="2:53">
      <c r="B41" s="641"/>
      <c r="C41" s="671"/>
      <c r="D41" s="683"/>
      <c r="E41" s="283" t="s">
        <v>366</v>
      </c>
      <c r="F41" s="283" t="s">
        <v>367</v>
      </c>
      <c r="G41" s="283" t="s">
        <v>427</v>
      </c>
      <c r="H41" s="641"/>
      <c r="I41" s="282" t="s">
        <v>366</v>
      </c>
      <c r="J41" s="282" t="s">
        <v>367</v>
      </c>
      <c r="K41" s="282" t="s">
        <v>368</v>
      </c>
      <c r="L41" s="675"/>
      <c r="M41" s="675"/>
      <c r="N41" s="640"/>
      <c r="O41" s="640"/>
      <c r="P41" s="283" t="s">
        <v>366</v>
      </c>
      <c r="Q41" s="283" t="s">
        <v>428</v>
      </c>
      <c r="R41" s="283" t="s">
        <v>368</v>
      </c>
      <c r="S41" s="283" t="s">
        <v>358</v>
      </c>
      <c r="T41" s="641"/>
      <c r="U41" s="283" t="s">
        <v>366</v>
      </c>
      <c r="V41" s="283" t="s">
        <v>367</v>
      </c>
      <c r="W41" s="283" t="s">
        <v>368</v>
      </c>
      <c r="X41" s="283" t="s">
        <v>429</v>
      </c>
      <c r="Y41" s="641"/>
      <c r="Z41" s="283" t="s">
        <v>430</v>
      </c>
      <c r="AA41" s="283" t="s">
        <v>367</v>
      </c>
      <c r="AB41" s="283" t="s">
        <v>368</v>
      </c>
      <c r="AC41" s="283" t="s">
        <v>429</v>
      </c>
      <c r="AD41" s="641"/>
      <c r="AE41" s="283" t="s">
        <v>366</v>
      </c>
      <c r="AF41" s="283" t="s">
        <v>367</v>
      </c>
      <c r="AG41" s="283" t="s">
        <v>368</v>
      </c>
      <c r="AH41" s="283" t="s">
        <v>429</v>
      </c>
      <c r="AI41" s="641"/>
      <c r="AJ41" s="283" t="s">
        <v>430</v>
      </c>
      <c r="AK41" s="283" t="s">
        <v>367</v>
      </c>
      <c r="AL41" s="283" t="s">
        <v>368</v>
      </c>
      <c r="AM41" s="283" t="s">
        <v>358</v>
      </c>
      <c r="AN41" s="641"/>
      <c r="AO41" s="283" t="s">
        <v>430</v>
      </c>
      <c r="AP41" s="283" t="s">
        <v>367</v>
      </c>
      <c r="AQ41" s="283" t="s">
        <v>368</v>
      </c>
      <c r="AR41" s="283" t="s">
        <v>429</v>
      </c>
      <c r="AS41" s="641"/>
      <c r="AT41" s="283" t="s">
        <v>430</v>
      </c>
      <c r="AU41" s="283" t="s">
        <v>367</v>
      </c>
      <c r="AV41" s="283" t="s">
        <v>368</v>
      </c>
      <c r="AW41" s="283" t="s">
        <v>429</v>
      </c>
      <c r="AX41" s="641"/>
      <c r="AZ41" s="362" t="s">
        <v>358</v>
      </c>
      <c r="BA41" s="641"/>
    </row>
    <row r="42" spans="2:53">
      <c r="B42" s="678" t="s">
        <v>150</v>
      </c>
      <c r="C42" s="284">
        <v>1</v>
      </c>
      <c r="D42" s="196" t="s">
        <v>332</v>
      </c>
      <c r="E42" s="196">
        <v>3</v>
      </c>
      <c r="F42" s="196">
        <v>3200</v>
      </c>
      <c r="G42" s="554">
        <v>1066.6666666666667</v>
      </c>
      <c r="H42" s="632">
        <f>AVERAGE(G42:G71)</f>
        <v>841.14583333333314</v>
      </c>
      <c r="I42" s="352">
        <f>IFERROR(AVERAGE(P42,U42,Z42,AE42,AJ42,AO42,AT42),"-")</f>
        <v>3</v>
      </c>
      <c r="J42" s="352">
        <f>IFERROR(AVERAGE(Q42,V42,AA42,AF42,AK42,AP42,AU42),"-")</f>
        <v>3221.9059061785388</v>
      </c>
      <c r="K42" s="194">
        <f>IFERROR(AVERAGE(R42,W42,AB42,AG42,AL42,AQ42,AV42),"-")</f>
        <v>1073.9686353928462</v>
      </c>
      <c r="L42" s="652">
        <f>IFERROR(AVERAGE(K42:K71),"-")</f>
        <v>847.96868981942487</v>
      </c>
      <c r="M42" s="193">
        <f>RANK(K42, K$42:$K$71)</f>
        <v>2</v>
      </c>
      <c r="N42" s="640"/>
      <c r="O42" s="640"/>
      <c r="P42" s="560">
        <v>3</v>
      </c>
      <c r="Q42" s="562">
        <v>3184.2857142857151</v>
      </c>
      <c r="R42" s="562">
        <v>1061.4285714285718</v>
      </c>
      <c r="S42" s="560">
        <f t="shared" ref="S42:S71" si="18">RANK(R42, R$42:R$71)</f>
        <v>3</v>
      </c>
      <c r="T42" s="632">
        <f t="shared" ref="T42" si="19">AVERAGE(R42:R71)</f>
        <v>841.10581094079259</v>
      </c>
      <c r="U42" s="560">
        <v>3</v>
      </c>
      <c r="V42" s="562">
        <v>3207</v>
      </c>
      <c r="W42" s="562">
        <v>1069</v>
      </c>
      <c r="X42" s="560">
        <f t="shared" ref="X42:X71" si="20">RANK(W42, W$42:W$71)</f>
        <v>7</v>
      </c>
      <c r="Y42" s="632">
        <f t="shared" ref="Y42" si="21">AVERAGE(W42:W71)</f>
        <v>885.60646188839576</v>
      </c>
      <c r="Z42" s="560">
        <v>3</v>
      </c>
      <c r="AA42" s="562">
        <v>3257.2727272727252</v>
      </c>
      <c r="AB42" s="562">
        <v>1085.7575757575751</v>
      </c>
      <c r="AC42" s="560">
        <f t="shared" ref="AC42:AC71" si="22">RANK(AB42, AB$42:AB$71)</f>
        <v>5</v>
      </c>
      <c r="AD42" s="632">
        <f t="shared" ref="AD42" si="23">AVERAGE(AB42:AB71)</f>
        <v>863.06135403703831</v>
      </c>
      <c r="AE42" s="560">
        <v>3</v>
      </c>
      <c r="AF42" s="562">
        <v>3157.2727272727252</v>
      </c>
      <c r="AG42" s="562">
        <v>1052.4242424242418</v>
      </c>
      <c r="AH42" s="560">
        <f t="shared" ref="AH42:AH71" si="24">RANK(AG42, AG$42:AG$71)</f>
        <v>4</v>
      </c>
      <c r="AI42" s="632">
        <f t="shared" ref="AI42" si="25">AVERAGE(AG42:AG71)</f>
        <v>842.6140652760505</v>
      </c>
      <c r="AJ42" s="560">
        <v>3</v>
      </c>
      <c r="AK42" s="562">
        <v>3182.8125000000014</v>
      </c>
      <c r="AL42" s="562">
        <v>1060.9375000000005</v>
      </c>
      <c r="AM42" s="560">
        <f t="shared" ref="AM42:AM71" si="26">RANK(AL42, AL$42:AL$71)</f>
        <v>2</v>
      </c>
      <c r="AN42" s="632">
        <f t="shared" ref="AN42" si="27">AVERAGE(AL42:AL71)</f>
        <v>808.08419800357831</v>
      </c>
      <c r="AO42" s="560">
        <v>3</v>
      </c>
      <c r="AP42" s="562">
        <v>3180.6976744186059</v>
      </c>
      <c r="AQ42" s="562">
        <v>1060.2325581395353</v>
      </c>
      <c r="AR42" s="560">
        <f t="shared" ref="AR42:AR71" si="28">RANK(AQ42, AQ$42:AQ$71)</f>
        <v>2</v>
      </c>
      <c r="AS42" s="632">
        <f t="shared" ref="AS42" si="29">AVERAGE(AQ42:AQ71)</f>
        <v>843.97135958194247</v>
      </c>
      <c r="AT42" s="560">
        <v>3</v>
      </c>
      <c r="AU42" s="562">
        <v>3384</v>
      </c>
      <c r="AV42" s="562">
        <v>1128</v>
      </c>
      <c r="AW42" s="560">
        <f t="shared" ref="AW42:AW71" si="30">RANK(AV42, AV$42:AV$71)</f>
        <v>1</v>
      </c>
      <c r="AX42" s="632">
        <f t="shared" ref="AX42" si="31">AVERAGE(AV42:AV71)</f>
        <v>849.27458523520943</v>
      </c>
      <c r="AZ42" s="361" t="e">
        <f t="shared" ref="AZ42:AZ71" si="32">RANK(AY42, AY$42:AY$71)</f>
        <v>#N/A</v>
      </c>
      <c r="BA42" s="632" t="e">
        <f t="shared" ref="BA42" si="33">AVERAGE(AY42:AY71)</f>
        <v>#DIV/0!</v>
      </c>
    </row>
    <row r="43" spans="2:53">
      <c r="B43" s="679"/>
      <c r="C43" s="284">
        <v>2</v>
      </c>
      <c r="D43" s="556" t="s">
        <v>333</v>
      </c>
      <c r="E43" s="196">
        <v>3</v>
      </c>
      <c r="F43" s="196">
        <v>3200</v>
      </c>
      <c r="G43" s="554">
        <v>1066.6666666666667</v>
      </c>
      <c r="H43" s="633"/>
      <c r="I43" s="352">
        <f t="shared" ref="I43:I71" si="34">IFERROR(AVERAGE(P43,U43,Z43,AE43,AJ43,AO43,AT43),"-")</f>
        <v>3</v>
      </c>
      <c r="J43" s="352">
        <f t="shared" ref="J43:J71" si="35">IFERROR(AVERAGE(Q43,V43,AA43,AF43,AK43,AP43,AU43),"-")</f>
        <v>3156.9839572192527</v>
      </c>
      <c r="K43" s="194">
        <f t="shared" ref="K43:K71" si="36">IFERROR(AVERAGE(R43,W43,AB43,AG43,AL43,AQ43,AV43),"-")</f>
        <v>1052.3279857397508</v>
      </c>
      <c r="L43" s="653"/>
      <c r="M43" s="193">
        <f>RANK(K43, K$42:$K$71)</f>
        <v>6</v>
      </c>
      <c r="N43" s="640"/>
      <c r="O43" s="640"/>
      <c r="P43" s="560">
        <v>3</v>
      </c>
      <c r="Q43" s="562">
        <v>3068.181818181818</v>
      </c>
      <c r="R43" s="562">
        <v>1022.7272727272726</v>
      </c>
      <c r="S43" s="560">
        <f t="shared" si="18"/>
        <v>7</v>
      </c>
      <c r="T43" s="633"/>
      <c r="U43" s="560">
        <v>3</v>
      </c>
      <c r="V43" s="562">
        <v>3276.000000000005</v>
      </c>
      <c r="W43" s="562">
        <v>1092.0000000000016</v>
      </c>
      <c r="X43" s="560">
        <f t="shared" si="20"/>
        <v>5</v>
      </c>
      <c r="Y43" s="633"/>
      <c r="Z43" s="560">
        <v>3</v>
      </c>
      <c r="AA43" s="562">
        <v>3356.4705882352982</v>
      </c>
      <c r="AB43" s="562">
        <v>1118.823529411766</v>
      </c>
      <c r="AC43" s="560">
        <f t="shared" si="22"/>
        <v>2</v>
      </c>
      <c r="AD43" s="633"/>
      <c r="AE43" s="560">
        <v>3</v>
      </c>
      <c r="AF43" s="562">
        <v>3070.0000000000041</v>
      </c>
      <c r="AG43" s="562">
        <v>1023.3333333333347</v>
      </c>
      <c r="AH43" s="560">
        <f t="shared" si="24"/>
        <v>9</v>
      </c>
      <c r="AI43" s="633"/>
      <c r="AJ43" s="560">
        <v>3</v>
      </c>
      <c r="AK43" s="562">
        <v>3088.2352941176432</v>
      </c>
      <c r="AL43" s="562">
        <v>1029.4117647058811</v>
      </c>
      <c r="AM43" s="560">
        <f t="shared" si="26"/>
        <v>7</v>
      </c>
      <c r="AN43" s="633"/>
      <c r="AO43" s="560">
        <v>3</v>
      </c>
      <c r="AP43" s="562">
        <v>3125.4545454545455</v>
      </c>
      <c r="AQ43" s="562">
        <v>1041.8181818181818</v>
      </c>
      <c r="AR43" s="560">
        <f t="shared" si="28"/>
        <v>6</v>
      </c>
      <c r="AS43" s="633"/>
      <c r="AT43" s="560">
        <v>3</v>
      </c>
      <c r="AU43" s="562">
        <v>3114.5454545454545</v>
      </c>
      <c r="AV43" s="562">
        <v>1038.1818181818182</v>
      </c>
      <c r="AW43" s="560">
        <f t="shared" si="30"/>
        <v>8</v>
      </c>
      <c r="AX43" s="633"/>
      <c r="AZ43" s="361" t="e">
        <f t="shared" si="32"/>
        <v>#N/A</v>
      </c>
      <c r="BA43" s="633"/>
    </row>
    <row r="44" spans="2:53">
      <c r="B44" s="679"/>
      <c r="C44" s="284">
        <v>3</v>
      </c>
      <c r="D44" s="196" t="s">
        <v>669</v>
      </c>
      <c r="E44" s="196">
        <v>4</v>
      </c>
      <c r="F44" s="196">
        <v>3200</v>
      </c>
      <c r="G44" s="554">
        <v>800</v>
      </c>
      <c r="H44" s="633"/>
      <c r="I44" s="352">
        <f t="shared" si="34"/>
        <v>4</v>
      </c>
      <c r="J44" s="352">
        <f t="shared" si="35"/>
        <v>3120.4721532337612</v>
      </c>
      <c r="K44" s="194">
        <f t="shared" si="36"/>
        <v>780.1180383084403</v>
      </c>
      <c r="L44" s="653"/>
      <c r="M44" s="193">
        <f>RANK(K44, K$42:$K$71)</f>
        <v>16</v>
      </c>
      <c r="N44" s="640"/>
      <c r="O44" s="640"/>
      <c r="P44" s="560">
        <v>4</v>
      </c>
      <c r="Q44" s="562">
        <v>3034.7368421052606</v>
      </c>
      <c r="R44" s="562">
        <v>758.68421052631516</v>
      </c>
      <c r="S44" s="560">
        <f t="shared" si="18"/>
        <v>16</v>
      </c>
      <c r="T44" s="633"/>
      <c r="U44" s="560">
        <v>4</v>
      </c>
      <c r="V44" s="562">
        <v>3324.7058823529292</v>
      </c>
      <c r="W44" s="562">
        <v>831.17647058823229</v>
      </c>
      <c r="X44" s="560">
        <f t="shared" si="20"/>
        <v>13</v>
      </c>
      <c r="Y44" s="633"/>
      <c r="Z44" s="560">
        <v>4</v>
      </c>
      <c r="AA44" s="562">
        <v>3450.0000000000009</v>
      </c>
      <c r="AB44" s="562">
        <v>862.50000000000023</v>
      </c>
      <c r="AC44" s="560">
        <f t="shared" si="22"/>
        <v>11</v>
      </c>
      <c r="AD44" s="633"/>
      <c r="AE44" s="560">
        <v>4</v>
      </c>
      <c r="AF44" s="562">
        <v>2999.9999999999923</v>
      </c>
      <c r="AG44" s="562">
        <v>749.99999999999807</v>
      </c>
      <c r="AH44" s="560">
        <f t="shared" si="24"/>
        <v>16</v>
      </c>
      <c r="AI44" s="633"/>
      <c r="AJ44" s="560">
        <v>4</v>
      </c>
      <c r="AK44" s="562">
        <v>3009.23076923078</v>
      </c>
      <c r="AL44" s="562">
        <v>752.30769230769499</v>
      </c>
      <c r="AM44" s="560">
        <f t="shared" si="26"/>
        <v>16</v>
      </c>
      <c r="AN44" s="633"/>
      <c r="AO44" s="560">
        <v>4</v>
      </c>
      <c r="AP44" s="562">
        <v>2951.9999999999991</v>
      </c>
      <c r="AQ44" s="562">
        <v>737.99999999999977</v>
      </c>
      <c r="AR44" s="560">
        <f t="shared" si="28"/>
        <v>18</v>
      </c>
      <c r="AS44" s="633"/>
      <c r="AT44" s="560">
        <v>4</v>
      </c>
      <c r="AU44" s="562">
        <v>3072.6315789473661</v>
      </c>
      <c r="AV44" s="562">
        <v>768.15789473684151</v>
      </c>
      <c r="AW44" s="560">
        <f t="shared" si="30"/>
        <v>15</v>
      </c>
      <c r="AX44" s="633"/>
      <c r="AZ44" s="361" t="e">
        <f t="shared" si="32"/>
        <v>#N/A</v>
      </c>
      <c r="BA44" s="633"/>
    </row>
    <row r="45" spans="2:53">
      <c r="B45" s="679"/>
      <c r="C45" s="284">
        <v>4</v>
      </c>
      <c r="D45" s="196" t="s">
        <v>670</v>
      </c>
      <c r="E45" s="196">
        <v>3</v>
      </c>
      <c r="F45" s="196">
        <v>3200</v>
      </c>
      <c r="G45" s="554">
        <v>1066.6666666666667</v>
      </c>
      <c r="H45" s="633"/>
      <c r="I45" s="352">
        <f t="shared" si="34"/>
        <v>3</v>
      </c>
      <c r="J45" s="352">
        <f t="shared" si="35"/>
        <v>3195.5583553468391</v>
      </c>
      <c r="K45" s="194">
        <f t="shared" si="36"/>
        <v>1065.1861184489464</v>
      </c>
      <c r="L45" s="653"/>
      <c r="M45" s="193">
        <f>RANK(K45, K$42:$K$71)</f>
        <v>4</v>
      </c>
      <c r="N45" s="640"/>
      <c r="O45" s="640"/>
      <c r="P45" s="560">
        <v>3</v>
      </c>
      <c r="Q45" s="562">
        <v>3199.2537313432854</v>
      </c>
      <c r="R45" s="562">
        <v>1066.4179104477619</v>
      </c>
      <c r="S45" s="560">
        <f t="shared" si="18"/>
        <v>1</v>
      </c>
      <c r="T45" s="633"/>
      <c r="U45" s="560">
        <v>3</v>
      </c>
      <c r="V45" s="562">
        <v>3209.5384615384633</v>
      </c>
      <c r="W45" s="562">
        <v>1069.8461538461545</v>
      </c>
      <c r="X45" s="560">
        <f t="shared" si="20"/>
        <v>6</v>
      </c>
      <c r="Y45" s="633"/>
      <c r="Z45" s="560">
        <v>3</v>
      </c>
      <c r="AA45" s="562">
        <v>3260.2040816326539</v>
      </c>
      <c r="AB45" s="562">
        <v>1086.7346938775513</v>
      </c>
      <c r="AC45" s="560">
        <f t="shared" si="22"/>
        <v>4</v>
      </c>
      <c r="AD45" s="633"/>
      <c r="AE45" s="560">
        <v>3</v>
      </c>
      <c r="AF45" s="562">
        <v>3198.7499999999955</v>
      </c>
      <c r="AG45" s="562">
        <v>1066.2499999999984</v>
      </c>
      <c r="AH45" s="560">
        <f t="shared" si="24"/>
        <v>2</v>
      </c>
      <c r="AI45" s="633"/>
      <c r="AJ45" s="560">
        <v>3</v>
      </c>
      <c r="AK45" s="562">
        <v>3169.5348837209294</v>
      </c>
      <c r="AL45" s="562">
        <v>1056.5116279069764</v>
      </c>
      <c r="AM45" s="560">
        <f t="shared" si="26"/>
        <v>4</v>
      </c>
      <c r="AN45" s="633"/>
      <c r="AO45" s="560">
        <v>3</v>
      </c>
      <c r="AP45" s="562">
        <v>3157.7142857142844</v>
      </c>
      <c r="AQ45" s="562">
        <v>1052.5714285714282</v>
      </c>
      <c r="AR45" s="560">
        <f t="shared" si="28"/>
        <v>4</v>
      </c>
      <c r="AS45" s="633"/>
      <c r="AT45" s="560">
        <v>3</v>
      </c>
      <c r="AU45" s="562">
        <v>3173.9130434782628</v>
      </c>
      <c r="AV45" s="562">
        <v>1057.9710144927542</v>
      </c>
      <c r="AW45" s="560">
        <f t="shared" si="30"/>
        <v>6</v>
      </c>
      <c r="AX45" s="633"/>
      <c r="AZ45" s="361" t="e">
        <f t="shared" si="32"/>
        <v>#N/A</v>
      </c>
      <c r="BA45" s="633"/>
    </row>
    <row r="46" spans="2:53">
      <c r="B46" s="679"/>
      <c r="C46" s="284">
        <v>5</v>
      </c>
      <c r="D46" s="196" t="s">
        <v>671</v>
      </c>
      <c r="E46" s="196">
        <v>4</v>
      </c>
      <c r="F46" s="196">
        <v>3200</v>
      </c>
      <c r="G46" s="554">
        <v>800</v>
      </c>
      <c r="H46" s="633"/>
      <c r="I46" s="352">
        <f t="shared" si="34"/>
        <v>4</v>
      </c>
      <c r="J46" s="352">
        <f t="shared" si="35"/>
        <v>3134.3694749694737</v>
      </c>
      <c r="K46" s="194">
        <f t="shared" si="36"/>
        <v>783.59236874236842</v>
      </c>
      <c r="L46" s="653"/>
      <c r="M46" s="193">
        <f>RANK(K46, K$42:$K$71)</f>
        <v>13</v>
      </c>
      <c r="N46" s="640"/>
      <c r="O46" s="640"/>
      <c r="P46" s="560">
        <v>4</v>
      </c>
      <c r="Q46" s="562">
        <v>3095.5555555555529</v>
      </c>
      <c r="R46" s="562">
        <v>773.88888888888823</v>
      </c>
      <c r="S46" s="560">
        <f t="shared" si="18"/>
        <v>13</v>
      </c>
      <c r="T46" s="633"/>
      <c r="U46" s="560">
        <v>4</v>
      </c>
      <c r="V46" s="562">
        <v>3129.2307692307659</v>
      </c>
      <c r="W46" s="562">
        <v>782.30769230769147</v>
      </c>
      <c r="X46" s="560">
        <f t="shared" si="20"/>
        <v>16</v>
      </c>
      <c r="Y46" s="633"/>
      <c r="Z46" s="560">
        <v>4</v>
      </c>
      <c r="AA46" s="562">
        <v>3128.9999999999991</v>
      </c>
      <c r="AB46" s="562">
        <v>782.24999999999977</v>
      </c>
      <c r="AC46" s="560">
        <f t="shared" si="22"/>
        <v>17</v>
      </c>
      <c r="AD46" s="633"/>
      <c r="AE46" s="560">
        <v>4</v>
      </c>
      <c r="AF46" s="562">
        <v>2898.0000000000045</v>
      </c>
      <c r="AG46" s="562">
        <v>724.50000000000114</v>
      </c>
      <c r="AH46" s="560">
        <f t="shared" si="24"/>
        <v>20</v>
      </c>
      <c r="AI46" s="633"/>
      <c r="AJ46" s="560">
        <v>4</v>
      </c>
      <c r="AK46" s="562">
        <v>3384.0000000000032</v>
      </c>
      <c r="AL46" s="562">
        <v>846.0000000000008</v>
      </c>
      <c r="AM46" s="560">
        <f t="shared" si="26"/>
        <v>11</v>
      </c>
      <c r="AN46" s="633"/>
      <c r="AO46" s="560">
        <v>4</v>
      </c>
      <c r="AP46" s="562">
        <v>3119.9999999999964</v>
      </c>
      <c r="AQ46" s="562">
        <v>779.99999999999909</v>
      </c>
      <c r="AR46" s="560">
        <f t="shared" si="28"/>
        <v>15</v>
      </c>
      <c r="AS46" s="633"/>
      <c r="AT46" s="560">
        <v>4</v>
      </c>
      <c r="AU46" s="562">
        <v>3184.7999999999961</v>
      </c>
      <c r="AV46" s="562">
        <v>796.19999999999902</v>
      </c>
      <c r="AW46" s="560">
        <f t="shared" si="30"/>
        <v>11</v>
      </c>
      <c r="AX46" s="633"/>
      <c r="AZ46" s="361" t="e">
        <f t="shared" si="32"/>
        <v>#N/A</v>
      </c>
      <c r="BA46" s="633"/>
    </row>
    <row r="47" spans="2:53">
      <c r="B47" s="679"/>
      <c r="C47" s="284">
        <v>6</v>
      </c>
      <c r="D47" s="196" t="s">
        <v>672</v>
      </c>
      <c r="E47" s="196">
        <v>4</v>
      </c>
      <c r="F47" s="196">
        <v>3200</v>
      </c>
      <c r="G47" s="554">
        <v>800</v>
      </c>
      <c r="H47" s="633"/>
      <c r="I47" s="352">
        <f t="shared" si="34"/>
        <v>4</v>
      </c>
      <c r="J47" s="352">
        <f t="shared" si="35"/>
        <v>3147.1794871794896</v>
      </c>
      <c r="K47" s="194">
        <f t="shared" si="36"/>
        <v>786.79487179487239</v>
      </c>
      <c r="L47" s="653"/>
      <c r="M47" s="193">
        <f>RANK(K47, K$42:$K$71)</f>
        <v>12</v>
      </c>
      <c r="N47" s="640"/>
      <c r="O47" s="640"/>
      <c r="P47" s="560">
        <v>4</v>
      </c>
      <c r="Q47" s="562">
        <v>3198.4615384615399</v>
      </c>
      <c r="R47" s="562">
        <v>799.61538461538498</v>
      </c>
      <c r="S47" s="560">
        <f t="shared" si="18"/>
        <v>12</v>
      </c>
      <c r="T47" s="633"/>
      <c r="U47" s="560">
        <v>4</v>
      </c>
      <c r="V47" s="562">
        <v>3258.4615384615399</v>
      </c>
      <c r="W47" s="562">
        <v>814.61538461538498</v>
      </c>
      <c r="X47" s="560">
        <f t="shared" si="20"/>
        <v>15</v>
      </c>
      <c r="Y47" s="633"/>
      <c r="Z47" s="560">
        <v>4</v>
      </c>
      <c r="AA47" s="562">
        <v>3353.3333333333449</v>
      </c>
      <c r="AB47" s="562">
        <v>838.33333333333621</v>
      </c>
      <c r="AC47" s="560">
        <f t="shared" si="22"/>
        <v>12</v>
      </c>
      <c r="AD47" s="633"/>
      <c r="AE47" s="560">
        <v>4</v>
      </c>
      <c r="AF47" s="562">
        <v>3039.9999999999977</v>
      </c>
      <c r="AG47" s="562">
        <v>759.99999999999943</v>
      </c>
      <c r="AH47" s="560">
        <f t="shared" si="24"/>
        <v>14</v>
      </c>
      <c r="AI47" s="633"/>
      <c r="AJ47" s="560">
        <v>4</v>
      </c>
      <c r="AK47" s="562">
        <v>2939.9999999999977</v>
      </c>
      <c r="AL47" s="562">
        <v>734.99999999999943</v>
      </c>
      <c r="AM47" s="560">
        <f t="shared" si="26"/>
        <v>18</v>
      </c>
      <c r="AN47" s="633"/>
      <c r="AO47" s="560">
        <v>4</v>
      </c>
      <c r="AP47" s="562">
        <v>3175.7142857142881</v>
      </c>
      <c r="AQ47" s="562">
        <v>793.92857142857201</v>
      </c>
      <c r="AR47" s="560">
        <f t="shared" si="28"/>
        <v>14</v>
      </c>
      <c r="AS47" s="633"/>
      <c r="AT47" s="560">
        <v>4</v>
      </c>
      <c r="AU47" s="562">
        <v>3064.2857142857165</v>
      </c>
      <c r="AV47" s="562">
        <v>766.07142857142912</v>
      </c>
      <c r="AW47" s="560">
        <f t="shared" si="30"/>
        <v>16</v>
      </c>
      <c r="AX47" s="633"/>
      <c r="AZ47" s="361" t="e">
        <f t="shared" si="32"/>
        <v>#N/A</v>
      </c>
      <c r="BA47" s="633"/>
    </row>
    <row r="48" spans="2:53">
      <c r="B48" s="679"/>
      <c r="C48" s="284">
        <v>7</v>
      </c>
      <c r="D48" s="196" t="s">
        <v>673</v>
      </c>
      <c r="E48" s="196">
        <v>3</v>
      </c>
      <c r="F48" s="196">
        <v>3200</v>
      </c>
      <c r="G48" s="554">
        <v>1066.6666666666667</v>
      </c>
      <c r="H48" s="633"/>
      <c r="I48" s="352">
        <f t="shared" si="34"/>
        <v>3</v>
      </c>
      <c r="J48" s="352">
        <f t="shared" si="35"/>
        <v>3199.8998150476</v>
      </c>
      <c r="K48" s="194">
        <f t="shared" si="36"/>
        <v>1066.6332716825332</v>
      </c>
      <c r="L48" s="653"/>
      <c r="M48" s="193">
        <f>RANK(K48, K$42:$K$71)</f>
        <v>3</v>
      </c>
      <c r="N48" s="640"/>
      <c r="O48" s="640"/>
      <c r="P48" s="560">
        <v>3</v>
      </c>
      <c r="Q48" s="562">
        <v>3133.3333333333376</v>
      </c>
      <c r="R48" s="562">
        <v>1044.4444444444459</v>
      </c>
      <c r="S48" s="560">
        <f t="shared" si="18"/>
        <v>5</v>
      </c>
      <c r="T48" s="633"/>
      <c r="U48" s="560">
        <v>3</v>
      </c>
      <c r="V48" s="562">
        <v>3394.54545454545</v>
      </c>
      <c r="W48" s="562">
        <v>1131.5151515151499</v>
      </c>
      <c r="X48" s="560">
        <f t="shared" si="20"/>
        <v>2</v>
      </c>
      <c r="Y48" s="633"/>
      <c r="Z48" s="560">
        <v>3</v>
      </c>
      <c r="AA48" s="562">
        <v>3262.7586206896572</v>
      </c>
      <c r="AB48" s="562">
        <v>1087.5862068965523</v>
      </c>
      <c r="AC48" s="560">
        <f t="shared" si="22"/>
        <v>3</v>
      </c>
      <c r="AD48" s="633"/>
      <c r="AE48" s="560">
        <v>3</v>
      </c>
      <c r="AF48" s="562">
        <v>3199.2857142857165</v>
      </c>
      <c r="AG48" s="562">
        <v>1066.4285714285722</v>
      </c>
      <c r="AH48" s="560">
        <f t="shared" si="24"/>
        <v>1</v>
      </c>
      <c r="AI48" s="633"/>
      <c r="AJ48" s="560">
        <v>3</v>
      </c>
      <c r="AK48" s="562">
        <v>3115.8620689655199</v>
      </c>
      <c r="AL48" s="562">
        <v>1038.6206896551732</v>
      </c>
      <c r="AM48" s="560">
        <f t="shared" si="26"/>
        <v>6</v>
      </c>
      <c r="AN48" s="633"/>
      <c r="AO48" s="560">
        <v>3</v>
      </c>
      <c r="AP48" s="562">
        <v>3157.2972972972984</v>
      </c>
      <c r="AQ48" s="562">
        <v>1052.4324324324327</v>
      </c>
      <c r="AR48" s="560">
        <f t="shared" si="28"/>
        <v>5</v>
      </c>
      <c r="AS48" s="633"/>
      <c r="AT48" s="560">
        <v>3</v>
      </c>
      <c r="AU48" s="562">
        <v>3136.2162162162203</v>
      </c>
      <c r="AV48" s="562">
        <v>1045.4054054054068</v>
      </c>
      <c r="AW48" s="560">
        <f t="shared" si="30"/>
        <v>7</v>
      </c>
      <c r="AX48" s="633"/>
      <c r="AZ48" s="361" t="e">
        <f t="shared" si="32"/>
        <v>#N/A</v>
      </c>
      <c r="BA48" s="633"/>
    </row>
    <row r="49" spans="2:53">
      <c r="B49" s="679"/>
      <c r="C49" s="284">
        <v>8</v>
      </c>
      <c r="D49" s="196" t="s">
        <v>335</v>
      </c>
      <c r="E49" s="196">
        <v>3</v>
      </c>
      <c r="F49" s="196">
        <v>2800</v>
      </c>
      <c r="G49" s="554">
        <v>933.33333333333337</v>
      </c>
      <c r="H49" s="633"/>
      <c r="I49" s="352">
        <f t="shared" si="34"/>
        <v>3</v>
      </c>
      <c r="J49" s="352">
        <f t="shared" si="35"/>
        <v>3194.5288373048779</v>
      </c>
      <c r="K49" s="194">
        <f t="shared" si="36"/>
        <v>1064.8429457682926</v>
      </c>
      <c r="L49" s="653"/>
      <c r="M49" s="193">
        <f>RANK(K49, K$42:$K$71)</f>
        <v>5</v>
      </c>
      <c r="N49" s="640"/>
      <c r="O49" s="640"/>
      <c r="P49" s="560">
        <v>3</v>
      </c>
      <c r="Q49" s="562">
        <v>3138.7500000000009</v>
      </c>
      <c r="R49" s="562">
        <v>1046.2500000000002</v>
      </c>
      <c r="S49" s="560">
        <f t="shared" si="18"/>
        <v>4</v>
      </c>
      <c r="T49" s="633"/>
      <c r="U49" s="560">
        <v>3</v>
      </c>
      <c r="V49" s="562">
        <v>3341.8604651162786</v>
      </c>
      <c r="W49" s="562">
        <v>1113.9534883720928</v>
      </c>
      <c r="X49" s="560">
        <f t="shared" si="20"/>
        <v>3</v>
      </c>
      <c r="Y49" s="633"/>
      <c r="Z49" s="560">
        <v>3</v>
      </c>
      <c r="AA49" s="562">
        <v>3152.4324324324298</v>
      </c>
      <c r="AB49" s="562">
        <v>1050.8108108108099</v>
      </c>
      <c r="AC49" s="560">
        <f t="shared" si="22"/>
        <v>6</v>
      </c>
      <c r="AD49" s="633"/>
      <c r="AE49" s="560">
        <v>3</v>
      </c>
      <c r="AF49" s="562">
        <v>3147.4285714285684</v>
      </c>
      <c r="AG49" s="562">
        <v>1049.1428571428562</v>
      </c>
      <c r="AH49" s="560">
        <f t="shared" si="24"/>
        <v>6</v>
      </c>
      <c r="AI49" s="633"/>
      <c r="AJ49" s="560">
        <v>3</v>
      </c>
      <c r="AK49" s="562">
        <v>3197.6470588235334</v>
      </c>
      <c r="AL49" s="562">
        <v>1065.8823529411777</v>
      </c>
      <c r="AM49" s="560">
        <f t="shared" si="26"/>
        <v>1</v>
      </c>
      <c r="AN49" s="633"/>
      <c r="AO49" s="560">
        <v>3</v>
      </c>
      <c r="AP49" s="562">
        <v>3186.2500000000009</v>
      </c>
      <c r="AQ49" s="562">
        <v>1062.0833333333337</v>
      </c>
      <c r="AR49" s="560">
        <f t="shared" si="28"/>
        <v>1</v>
      </c>
      <c r="AS49" s="633"/>
      <c r="AT49" s="560">
        <v>3</v>
      </c>
      <c r="AU49" s="562">
        <v>3197.3333333333335</v>
      </c>
      <c r="AV49" s="562">
        <v>1065.7777777777778</v>
      </c>
      <c r="AW49" s="560">
        <f t="shared" si="30"/>
        <v>5</v>
      </c>
      <c r="AX49" s="633"/>
      <c r="AZ49" s="361" t="e">
        <f t="shared" si="32"/>
        <v>#N/A</v>
      </c>
      <c r="BA49" s="633"/>
    </row>
    <row r="50" spans="2:53">
      <c r="B50" s="679"/>
      <c r="C50" s="284">
        <v>9</v>
      </c>
      <c r="D50" s="196" t="s">
        <v>336</v>
      </c>
      <c r="E50" s="196">
        <v>4</v>
      </c>
      <c r="F50" s="196">
        <v>2800</v>
      </c>
      <c r="G50" s="554">
        <v>700</v>
      </c>
      <c r="H50" s="633"/>
      <c r="I50" s="352">
        <f t="shared" si="34"/>
        <v>4</v>
      </c>
      <c r="J50" s="352">
        <f t="shared" si="35"/>
        <v>2790.2940900319068</v>
      </c>
      <c r="K50" s="194">
        <f t="shared" si="36"/>
        <v>697.57352250797669</v>
      </c>
      <c r="L50" s="653"/>
      <c r="M50" s="193">
        <f>RANK(K50, K$42:$K$71)</f>
        <v>21</v>
      </c>
      <c r="N50" s="640"/>
      <c r="O50" s="640"/>
      <c r="P50" s="560">
        <v>4</v>
      </c>
      <c r="Q50" s="562">
        <v>2787.1698113207549</v>
      </c>
      <c r="R50" s="562">
        <v>696.79245283018872</v>
      </c>
      <c r="S50" s="560">
        <f t="shared" si="18"/>
        <v>20</v>
      </c>
      <c r="T50" s="633"/>
      <c r="U50" s="560">
        <v>4</v>
      </c>
      <c r="V50" s="562">
        <v>2848.5148514851485</v>
      </c>
      <c r="W50" s="562">
        <v>712.12871287128712</v>
      </c>
      <c r="X50" s="560">
        <f t="shared" si="20"/>
        <v>23</v>
      </c>
      <c r="Y50" s="633"/>
      <c r="Z50" s="560">
        <v>4</v>
      </c>
      <c r="AA50" s="562">
        <v>2778.5185185185146</v>
      </c>
      <c r="AB50" s="562">
        <v>694.62962962962865</v>
      </c>
      <c r="AC50" s="560">
        <f t="shared" si="22"/>
        <v>22</v>
      </c>
      <c r="AD50" s="633"/>
      <c r="AE50" s="560">
        <v>4</v>
      </c>
      <c r="AF50" s="562">
        <v>2800.5194805194792</v>
      </c>
      <c r="AG50" s="562">
        <v>700.1298701298698</v>
      </c>
      <c r="AH50" s="560">
        <f t="shared" si="24"/>
        <v>21</v>
      </c>
      <c r="AI50" s="633"/>
      <c r="AJ50" s="560">
        <v>4</v>
      </c>
      <c r="AK50" s="562">
        <v>2782.608695652174</v>
      </c>
      <c r="AL50" s="562">
        <v>695.6521739130435</v>
      </c>
      <c r="AM50" s="560">
        <f t="shared" si="26"/>
        <v>20</v>
      </c>
      <c r="AN50" s="633"/>
      <c r="AO50" s="560">
        <v>4</v>
      </c>
      <c r="AP50" s="562">
        <v>2785.0909090909099</v>
      </c>
      <c r="AQ50" s="562">
        <v>696.27272727272748</v>
      </c>
      <c r="AR50" s="560">
        <f t="shared" si="28"/>
        <v>21</v>
      </c>
      <c r="AS50" s="633"/>
      <c r="AT50" s="560">
        <v>4</v>
      </c>
      <c r="AU50" s="562">
        <v>2749.6363636363644</v>
      </c>
      <c r="AV50" s="562">
        <v>687.40909090909111</v>
      </c>
      <c r="AW50" s="560">
        <f t="shared" si="30"/>
        <v>21</v>
      </c>
      <c r="AX50" s="633"/>
      <c r="AZ50" s="361" t="e">
        <f t="shared" si="32"/>
        <v>#N/A</v>
      </c>
      <c r="BA50" s="633"/>
    </row>
    <row r="51" spans="2:53">
      <c r="B51" s="679"/>
      <c r="C51" s="284">
        <v>10</v>
      </c>
      <c r="D51" s="196" t="s">
        <v>674</v>
      </c>
      <c r="E51" s="196">
        <v>4</v>
      </c>
      <c r="F51" s="196">
        <v>2800</v>
      </c>
      <c r="G51" s="554">
        <v>700</v>
      </c>
      <c r="H51" s="633"/>
      <c r="I51" s="352">
        <f t="shared" si="34"/>
        <v>4</v>
      </c>
      <c r="J51" s="352">
        <f t="shared" si="35"/>
        <v>2775.335712876456</v>
      </c>
      <c r="K51" s="194">
        <f t="shared" si="36"/>
        <v>693.833928219114</v>
      </c>
      <c r="L51" s="653"/>
      <c r="M51" s="193">
        <f>RANK(K51, K$42:$K$71)</f>
        <v>22</v>
      </c>
      <c r="N51" s="640"/>
      <c r="O51" s="640"/>
      <c r="P51" s="560">
        <v>4</v>
      </c>
      <c r="Q51" s="562">
        <v>2785.2173913043493</v>
      </c>
      <c r="R51" s="562">
        <v>696.30434782608734</v>
      </c>
      <c r="S51" s="560">
        <f t="shared" si="18"/>
        <v>21</v>
      </c>
      <c r="T51" s="633"/>
      <c r="U51" s="560">
        <v>4</v>
      </c>
      <c r="V51" s="562">
        <v>2850</v>
      </c>
      <c r="W51" s="562">
        <v>712.5</v>
      </c>
      <c r="X51" s="560">
        <f t="shared" si="20"/>
        <v>22</v>
      </c>
      <c r="Y51" s="633"/>
      <c r="Z51" s="560">
        <v>4</v>
      </c>
      <c r="AA51" s="562">
        <v>2823.2727272727252</v>
      </c>
      <c r="AB51" s="562">
        <v>705.8181818181813</v>
      </c>
      <c r="AC51" s="560">
        <f t="shared" si="22"/>
        <v>21</v>
      </c>
      <c r="AD51" s="633"/>
      <c r="AE51" s="560">
        <v>4</v>
      </c>
      <c r="AF51" s="562">
        <v>2693.5714285714303</v>
      </c>
      <c r="AG51" s="562">
        <v>673.39285714285757</v>
      </c>
      <c r="AH51" s="560">
        <f t="shared" si="24"/>
        <v>23</v>
      </c>
      <c r="AI51" s="633"/>
      <c r="AJ51" s="560">
        <v>4</v>
      </c>
      <c r="AK51" s="562">
        <v>2760.0000000000009</v>
      </c>
      <c r="AL51" s="562">
        <v>690.00000000000023</v>
      </c>
      <c r="AM51" s="560">
        <f t="shared" si="26"/>
        <v>21</v>
      </c>
      <c r="AN51" s="633"/>
      <c r="AO51" s="560">
        <v>4</v>
      </c>
      <c r="AP51" s="562">
        <v>2717.260273972603</v>
      </c>
      <c r="AQ51" s="562">
        <v>679.31506849315076</v>
      </c>
      <c r="AR51" s="560">
        <f t="shared" si="28"/>
        <v>22</v>
      </c>
      <c r="AS51" s="633"/>
      <c r="AT51" s="560">
        <v>4</v>
      </c>
      <c r="AU51" s="562">
        <v>2798.0281690140851</v>
      </c>
      <c r="AV51" s="562">
        <v>699.50704225352126</v>
      </c>
      <c r="AW51" s="560">
        <f t="shared" si="30"/>
        <v>20</v>
      </c>
      <c r="AX51" s="633"/>
      <c r="AZ51" s="361" t="e">
        <f t="shared" si="32"/>
        <v>#N/A</v>
      </c>
      <c r="BA51" s="633"/>
    </row>
    <row r="52" spans="2:53">
      <c r="B52" s="679"/>
      <c r="C52" s="284">
        <v>11</v>
      </c>
      <c r="D52" s="196" t="s">
        <v>675</v>
      </c>
      <c r="E52" s="196">
        <v>3</v>
      </c>
      <c r="F52" s="196">
        <v>2800</v>
      </c>
      <c r="G52" s="554">
        <v>933.33333333333337</v>
      </c>
      <c r="H52" s="633"/>
      <c r="I52" s="352">
        <f t="shared" si="34"/>
        <v>3</v>
      </c>
      <c r="J52" s="352">
        <f t="shared" si="35"/>
        <v>2713.0175784599555</v>
      </c>
      <c r="K52" s="194">
        <f t="shared" si="36"/>
        <v>904.3391928199851</v>
      </c>
      <c r="L52" s="653"/>
      <c r="M52" s="193">
        <f>RANK(K52, K$42:$K$71)</f>
        <v>10</v>
      </c>
      <c r="N52" s="640"/>
      <c r="O52" s="640"/>
      <c r="P52" s="560">
        <v>3</v>
      </c>
      <c r="Q52" s="562">
        <v>2797.5000000000009</v>
      </c>
      <c r="R52" s="562">
        <v>932.50000000000034</v>
      </c>
      <c r="S52" s="560">
        <f t="shared" si="18"/>
        <v>10</v>
      </c>
      <c r="T52" s="633"/>
      <c r="U52" s="560">
        <v>3</v>
      </c>
      <c r="V52" s="562">
        <v>2816</v>
      </c>
      <c r="W52" s="562">
        <v>938.66666666666663</v>
      </c>
      <c r="X52" s="560">
        <f t="shared" si="20"/>
        <v>10</v>
      </c>
      <c r="Y52" s="633"/>
      <c r="Z52" s="560">
        <v>3</v>
      </c>
      <c r="AA52" s="562">
        <v>2471.4285714285706</v>
      </c>
      <c r="AB52" s="562">
        <v>823.80952380952351</v>
      </c>
      <c r="AC52" s="560">
        <f t="shared" si="22"/>
        <v>14</v>
      </c>
      <c r="AD52" s="633"/>
      <c r="AE52" s="560">
        <v>3</v>
      </c>
      <c r="AF52" s="562">
        <v>2740.0000000000036</v>
      </c>
      <c r="AG52" s="562">
        <v>913.33333333333451</v>
      </c>
      <c r="AH52" s="560">
        <f t="shared" si="24"/>
        <v>10</v>
      </c>
      <c r="AI52" s="633"/>
      <c r="AJ52" s="560">
        <v>3</v>
      </c>
      <c r="AK52" s="562">
        <v>2728.2352941176437</v>
      </c>
      <c r="AL52" s="562">
        <v>909.41176470588118</v>
      </c>
      <c r="AM52" s="560">
        <f t="shared" si="26"/>
        <v>10</v>
      </c>
      <c r="AN52" s="633"/>
      <c r="AO52" s="560">
        <v>3</v>
      </c>
      <c r="AP52" s="562">
        <v>2760.0000000000009</v>
      </c>
      <c r="AQ52" s="562">
        <v>920.00000000000034</v>
      </c>
      <c r="AR52" s="560">
        <f t="shared" si="28"/>
        <v>10</v>
      </c>
      <c r="AS52" s="633"/>
      <c r="AT52" s="560">
        <v>3</v>
      </c>
      <c r="AU52" s="562">
        <v>2677.9591836734703</v>
      </c>
      <c r="AV52" s="562">
        <v>892.6530612244901</v>
      </c>
      <c r="AW52" s="560">
        <f t="shared" si="30"/>
        <v>10</v>
      </c>
      <c r="AX52" s="633"/>
      <c r="AZ52" s="361" t="e">
        <f t="shared" si="32"/>
        <v>#N/A</v>
      </c>
      <c r="BA52" s="633"/>
    </row>
    <row r="53" spans="2:53">
      <c r="B53" s="679"/>
      <c r="C53" s="284">
        <v>12</v>
      </c>
      <c r="D53" s="556" t="s">
        <v>655</v>
      </c>
      <c r="E53" s="196">
        <v>4</v>
      </c>
      <c r="F53" s="196">
        <v>2800</v>
      </c>
      <c r="G53" s="554">
        <v>700</v>
      </c>
      <c r="H53" s="633"/>
      <c r="I53" s="352">
        <f t="shared" si="34"/>
        <v>4</v>
      </c>
      <c r="J53" s="352">
        <f t="shared" si="35"/>
        <v>2741.7755102040796</v>
      </c>
      <c r="K53" s="194">
        <f t="shared" si="36"/>
        <v>685.44387755101991</v>
      </c>
      <c r="L53" s="653"/>
      <c r="M53" s="193">
        <f>RANK(K53, K$42:$K$71)</f>
        <v>23</v>
      </c>
      <c r="N53" s="640"/>
      <c r="O53" s="640"/>
      <c r="P53" s="560">
        <v>4</v>
      </c>
      <c r="Q53" s="562">
        <v>2690.9999999999991</v>
      </c>
      <c r="R53" s="562">
        <v>672.74999999999977</v>
      </c>
      <c r="S53" s="560">
        <f t="shared" si="18"/>
        <v>23</v>
      </c>
      <c r="T53" s="633"/>
      <c r="U53" s="560">
        <v>4</v>
      </c>
      <c r="V53" s="562">
        <v>3000.0000000000105</v>
      </c>
      <c r="W53" s="562">
        <v>750.00000000000261</v>
      </c>
      <c r="X53" s="560">
        <f t="shared" si="20"/>
        <v>21</v>
      </c>
      <c r="Y53" s="633"/>
      <c r="Z53" s="560">
        <v>4</v>
      </c>
      <c r="AA53" s="562">
        <v>2764.0000000000027</v>
      </c>
      <c r="AB53" s="562">
        <v>691.00000000000068</v>
      </c>
      <c r="AC53" s="560">
        <f t="shared" si="22"/>
        <v>23</v>
      </c>
      <c r="AD53" s="633"/>
      <c r="AE53" s="560">
        <v>4</v>
      </c>
      <c r="AF53" s="562">
        <v>2725.714285714264</v>
      </c>
      <c r="AG53" s="562">
        <v>681.42857142856599</v>
      </c>
      <c r="AH53" s="560">
        <f t="shared" si="24"/>
        <v>22</v>
      </c>
      <c r="AI53" s="633"/>
      <c r="AJ53" s="560">
        <v>4</v>
      </c>
      <c r="AK53" s="562">
        <v>2695.7142857142953</v>
      </c>
      <c r="AL53" s="562">
        <v>673.92857142857383</v>
      </c>
      <c r="AM53" s="560">
        <f t="shared" si="26"/>
        <v>22</v>
      </c>
      <c r="AN53" s="633"/>
      <c r="AO53" s="560">
        <v>4</v>
      </c>
      <c r="AP53" s="562">
        <v>2711.9999999999991</v>
      </c>
      <c r="AQ53" s="562">
        <v>677.99999999999977</v>
      </c>
      <c r="AR53" s="560">
        <f t="shared" si="28"/>
        <v>23</v>
      </c>
      <c r="AS53" s="633"/>
      <c r="AT53" s="560">
        <v>4</v>
      </c>
      <c r="AU53" s="562">
        <v>2603.9999999999882</v>
      </c>
      <c r="AV53" s="562">
        <v>650.99999999999704</v>
      </c>
      <c r="AW53" s="560">
        <f t="shared" si="30"/>
        <v>22</v>
      </c>
      <c r="AX53" s="633"/>
      <c r="AZ53" s="361" t="e">
        <f t="shared" si="32"/>
        <v>#N/A</v>
      </c>
      <c r="BA53" s="633"/>
    </row>
    <row r="54" spans="2:53">
      <c r="B54" s="679"/>
      <c r="C54" s="284">
        <v>13</v>
      </c>
      <c r="D54" s="196" t="s">
        <v>571</v>
      </c>
      <c r="E54" s="196">
        <v>3</v>
      </c>
      <c r="F54" s="196">
        <v>3200</v>
      </c>
      <c r="G54" s="554">
        <v>1066.6666666666667</v>
      </c>
      <c r="H54" s="633"/>
      <c r="I54" s="352">
        <f t="shared" si="34"/>
        <v>3</v>
      </c>
      <c r="J54" s="352">
        <f t="shared" si="35"/>
        <v>3222.7265214317886</v>
      </c>
      <c r="K54" s="194">
        <f t="shared" si="36"/>
        <v>1074.2421738105963</v>
      </c>
      <c r="L54" s="653"/>
      <c r="M54" s="193">
        <f>RANK(K54, K$42:$K$71)</f>
        <v>1</v>
      </c>
      <c r="N54" s="640"/>
      <c r="O54" s="640"/>
      <c r="P54" s="560">
        <v>3</v>
      </c>
      <c r="Q54" s="562">
        <v>3196.1538461538476</v>
      </c>
      <c r="R54" s="562">
        <v>1065.3846153846159</v>
      </c>
      <c r="S54" s="560">
        <f t="shared" si="18"/>
        <v>2</v>
      </c>
      <c r="T54" s="633"/>
      <c r="U54" s="560">
        <v>3</v>
      </c>
      <c r="V54" s="562">
        <v>3160.7999999999911</v>
      </c>
      <c r="W54" s="562">
        <v>1053.599999999997</v>
      </c>
      <c r="X54" s="560">
        <f t="shared" si="20"/>
        <v>8</v>
      </c>
      <c r="Y54" s="633"/>
      <c r="Z54" s="560">
        <v>3</v>
      </c>
      <c r="AA54" s="562">
        <v>3543.3333333333458</v>
      </c>
      <c r="AB54" s="562">
        <v>1181.1111111111152</v>
      </c>
      <c r="AC54" s="560">
        <f t="shared" si="22"/>
        <v>1</v>
      </c>
      <c r="AD54" s="633"/>
      <c r="AE54" s="560">
        <v>3</v>
      </c>
      <c r="AF54" s="562">
        <v>3153.0000000000114</v>
      </c>
      <c r="AG54" s="562">
        <v>1051.0000000000039</v>
      </c>
      <c r="AH54" s="560">
        <f t="shared" si="24"/>
        <v>5</v>
      </c>
      <c r="AI54" s="633"/>
      <c r="AJ54" s="560">
        <v>3</v>
      </c>
      <c r="AK54" s="562">
        <v>3129.4736842105372</v>
      </c>
      <c r="AL54" s="562">
        <v>1043.1578947368457</v>
      </c>
      <c r="AM54" s="560">
        <f t="shared" si="26"/>
        <v>5</v>
      </c>
      <c r="AN54" s="633"/>
      <c r="AO54" s="560">
        <v>3</v>
      </c>
      <c r="AP54" s="562">
        <v>3175.555555555557</v>
      </c>
      <c r="AQ54" s="562">
        <v>1058.5185185185189</v>
      </c>
      <c r="AR54" s="560">
        <f t="shared" si="28"/>
        <v>3</v>
      </c>
      <c r="AS54" s="633"/>
      <c r="AT54" s="560">
        <v>3</v>
      </c>
      <c r="AU54" s="562">
        <v>3200.7692307692323</v>
      </c>
      <c r="AV54" s="562">
        <v>1066.9230769230774</v>
      </c>
      <c r="AW54" s="560">
        <f t="shared" si="30"/>
        <v>4</v>
      </c>
      <c r="AX54" s="633"/>
      <c r="AZ54" s="361" t="e">
        <f t="shared" si="32"/>
        <v>#N/A</v>
      </c>
      <c r="BA54" s="633"/>
    </row>
    <row r="55" spans="2:53">
      <c r="B55" s="679"/>
      <c r="C55" s="284">
        <v>14</v>
      </c>
      <c r="D55" s="196" t="s">
        <v>576</v>
      </c>
      <c r="E55" s="196">
        <v>3</v>
      </c>
      <c r="F55" s="196">
        <v>3200</v>
      </c>
      <c r="G55" s="554">
        <v>1066.6666666666667</v>
      </c>
      <c r="H55" s="633"/>
      <c r="I55" s="352">
        <f t="shared" si="34"/>
        <v>3</v>
      </c>
      <c r="J55" s="352">
        <f t="shared" si="35"/>
        <v>2743.9017560512548</v>
      </c>
      <c r="K55" s="194">
        <f t="shared" si="36"/>
        <v>914.63391868375163</v>
      </c>
      <c r="L55" s="653"/>
      <c r="M55" s="193">
        <f>RANK(K55, K$42:$K$71)</f>
        <v>9</v>
      </c>
      <c r="N55" s="640"/>
      <c r="O55" s="640"/>
      <c r="P55" s="560">
        <v>3</v>
      </c>
      <c r="Q55" s="562">
        <v>3115.714285714279</v>
      </c>
      <c r="R55" s="562">
        <v>1038.5714285714264</v>
      </c>
      <c r="S55" s="560">
        <f t="shared" si="18"/>
        <v>6</v>
      </c>
      <c r="T55" s="633"/>
      <c r="U55" s="560">
        <v>3</v>
      </c>
      <c r="V55" s="562">
        <v>3565.0000000000127</v>
      </c>
      <c r="W55" s="562">
        <v>1188.3333333333376</v>
      </c>
      <c r="X55" s="560">
        <f t="shared" si="20"/>
        <v>1</v>
      </c>
      <c r="Y55" s="633"/>
      <c r="Z55" s="560">
        <v>3</v>
      </c>
      <c r="AA55" s="562">
        <v>3035.9999999999864</v>
      </c>
      <c r="AB55" s="562">
        <v>1011.9999999999955</v>
      </c>
      <c r="AC55" s="560">
        <f t="shared" si="22"/>
        <v>7</v>
      </c>
      <c r="AD55" s="633"/>
      <c r="AE55" s="560">
        <v>3</v>
      </c>
      <c r="AF55" s="562">
        <v>3099.9999999999836</v>
      </c>
      <c r="AG55" s="562">
        <v>1033.3333333333278</v>
      </c>
      <c r="AH55" s="560">
        <f t="shared" si="24"/>
        <v>8</v>
      </c>
      <c r="AI55" s="633"/>
      <c r="AJ55" s="560">
        <v>3</v>
      </c>
      <c r="AK55" s="562">
        <v>214.88372093023253</v>
      </c>
      <c r="AL55" s="562">
        <v>71.627906976744171</v>
      </c>
      <c r="AM55" s="560">
        <f t="shared" si="26"/>
        <v>24</v>
      </c>
      <c r="AN55" s="633"/>
      <c r="AO55" s="560">
        <v>3</v>
      </c>
      <c r="AP55" s="562">
        <v>3102.8571428571363</v>
      </c>
      <c r="AQ55" s="562">
        <v>1034.2857142857122</v>
      </c>
      <c r="AR55" s="560">
        <f t="shared" si="28"/>
        <v>7</v>
      </c>
      <c r="AS55" s="633"/>
      <c r="AT55" s="560">
        <v>3</v>
      </c>
      <c r="AU55" s="562">
        <v>3072.8571428571536</v>
      </c>
      <c r="AV55" s="562">
        <v>1024.2857142857179</v>
      </c>
      <c r="AW55" s="560">
        <f t="shared" si="30"/>
        <v>9</v>
      </c>
      <c r="AX55" s="633"/>
      <c r="AZ55" s="361" t="e">
        <f t="shared" si="32"/>
        <v>#N/A</v>
      </c>
      <c r="BA55" s="633"/>
    </row>
    <row r="56" spans="2:53">
      <c r="B56" s="679"/>
      <c r="C56" s="284">
        <v>15</v>
      </c>
      <c r="D56" s="556" t="s">
        <v>676</v>
      </c>
      <c r="E56" s="196">
        <v>3</v>
      </c>
      <c r="F56" s="196">
        <v>3200</v>
      </c>
      <c r="G56" s="554">
        <v>1066.6666666666667</v>
      </c>
      <c r="H56" s="633"/>
      <c r="I56" s="352">
        <f t="shared" si="34"/>
        <v>3</v>
      </c>
      <c r="J56" s="352">
        <f t="shared" si="35"/>
        <v>2696.3593073593079</v>
      </c>
      <c r="K56" s="194">
        <f t="shared" si="36"/>
        <v>898.78643578643596</v>
      </c>
      <c r="L56" s="653"/>
      <c r="M56" s="193">
        <f>RANK(K56, K$42:$K$71)</f>
        <v>11</v>
      </c>
      <c r="N56" s="640"/>
      <c r="O56" s="640"/>
      <c r="P56" s="560">
        <v>3</v>
      </c>
      <c r="Q56" s="562">
        <v>2777.1428571428669</v>
      </c>
      <c r="R56" s="562">
        <v>925.71428571428896</v>
      </c>
      <c r="S56" s="560">
        <f t="shared" si="18"/>
        <v>11</v>
      </c>
      <c r="T56" s="633"/>
      <c r="U56" s="560">
        <v>3</v>
      </c>
      <c r="V56" s="562">
        <v>2764.2857142857083</v>
      </c>
      <c r="W56" s="562">
        <v>921.4285714285694</v>
      </c>
      <c r="X56" s="560">
        <f t="shared" si="20"/>
        <v>11</v>
      </c>
      <c r="Y56" s="633"/>
      <c r="Z56" s="560">
        <v>3</v>
      </c>
      <c r="AA56" s="562">
        <v>2672.727272727273</v>
      </c>
      <c r="AB56" s="562">
        <v>890.90909090909099</v>
      </c>
      <c r="AC56" s="560">
        <f t="shared" si="22"/>
        <v>10</v>
      </c>
      <c r="AD56" s="633"/>
      <c r="AE56" s="560">
        <v>3</v>
      </c>
      <c r="AF56" s="562">
        <v>2589.9999999999918</v>
      </c>
      <c r="AG56" s="562">
        <v>863.33333333333064</v>
      </c>
      <c r="AH56" s="560">
        <f t="shared" si="24"/>
        <v>11</v>
      </c>
      <c r="AI56" s="633"/>
      <c r="AJ56" s="560">
        <v>3</v>
      </c>
      <c r="AK56" s="562">
        <v>2730.00000000001</v>
      </c>
      <c r="AL56" s="562">
        <v>910.0000000000033</v>
      </c>
      <c r="AM56" s="560">
        <f t="shared" si="26"/>
        <v>9</v>
      </c>
      <c r="AN56" s="633"/>
      <c r="AO56" s="560">
        <v>3</v>
      </c>
      <c r="AP56" s="562">
        <v>2643.9999999999955</v>
      </c>
      <c r="AQ56" s="562">
        <v>881.33333333333178</v>
      </c>
      <c r="AR56" s="560">
        <f t="shared" si="28"/>
        <v>11</v>
      </c>
      <c r="AS56" s="633"/>
      <c r="AT56" s="560" t="s">
        <v>557</v>
      </c>
      <c r="AU56" s="562" t="s">
        <v>557</v>
      </c>
      <c r="AV56" s="562" t="s">
        <v>557</v>
      </c>
      <c r="AW56" s="560" t="e">
        <f t="shared" si="30"/>
        <v>#VALUE!</v>
      </c>
      <c r="AX56" s="633"/>
      <c r="AZ56" s="361" t="e">
        <f t="shared" si="32"/>
        <v>#N/A</v>
      </c>
      <c r="BA56" s="633"/>
    </row>
    <row r="57" spans="2:53">
      <c r="B57" s="679"/>
      <c r="C57" s="284">
        <v>16</v>
      </c>
      <c r="D57" s="196" t="s">
        <v>677</v>
      </c>
      <c r="E57" s="196">
        <v>4</v>
      </c>
      <c r="F57" s="196">
        <v>3200</v>
      </c>
      <c r="G57" s="554">
        <v>800</v>
      </c>
      <c r="H57" s="633"/>
      <c r="I57" s="352">
        <f t="shared" si="34"/>
        <v>4</v>
      </c>
      <c r="J57" s="352">
        <f t="shared" si="35"/>
        <v>3128.0387231815766</v>
      </c>
      <c r="K57" s="194">
        <f t="shared" si="36"/>
        <v>782.00968079539416</v>
      </c>
      <c r="L57" s="653"/>
      <c r="M57" s="193">
        <f>RANK(K57, K$42:$K$71)</f>
        <v>14</v>
      </c>
      <c r="N57" s="640"/>
      <c r="O57" s="640"/>
      <c r="P57" s="560">
        <v>4</v>
      </c>
      <c r="Q57" s="562">
        <v>3017.1428571428505</v>
      </c>
      <c r="R57" s="562">
        <v>754.28571428571263</v>
      </c>
      <c r="S57" s="560">
        <f t="shared" si="18"/>
        <v>17</v>
      </c>
      <c r="T57" s="633"/>
      <c r="U57" s="560">
        <v>4</v>
      </c>
      <c r="V57" s="562">
        <v>3469.9999999999891</v>
      </c>
      <c r="W57" s="562">
        <v>867.49999999999727</v>
      </c>
      <c r="X57" s="560">
        <f t="shared" si="20"/>
        <v>12</v>
      </c>
      <c r="Y57" s="633"/>
      <c r="Z57" s="560">
        <v>4</v>
      </c>
      <c r="AA57" s="562">
        <v>3266.6666666666492</v>
      </c>
      <c r="AB57" s="562">
        <v>816.66666666666231</v>
      </c>
      <c r="AC57" s="560">
        <f t="shared" si="22"/>
        <v>15</v>
      </c>
      <c r="AD57" s="633"/>
      <c r="AE57" s="560">
        <v>4</v>
      </c>
      <c r="AF57" s="562">
        <v>3080.0000000000109</v>
      </c>
      <c r="AG57" s="562">
        <v>770.00000000000273</v>
      </c>
      <c r="AH57" s="560">
        <f t="shared" si="24"/>
        <v>13</v>
      </c>
      <c r="AI57" s="633"/>
      <c r="AJ57" s="560">
        <v>4</v>
      </c>
      <c r="AK57" s="562">
        <v>3060.0000000000109</v>
      </c>
      <c r="AL57" s="562">
        <v>765.00000000000273</v>
      </c>
      <c r="AM57" s="560">
        <f t="shared" si="26"/>
        <v>15</v>
      </c>
      <c r="AN57" s="633"/>
      <c r="AO57" s="560">
        <v>4</v>
      </c>
      <c r="AP57" s="562">
        <v>3198.4615384615304</v>
      </c>
      <c r="AQ57" s="562">
        <v>799.6153846153826</v>
      </c>
      <c r="AR57" s="560">
        <f t="shared" si="28"/>
        <v>12</v>
      </c>
      <c r="AS57" s="633"/>
      <c r="AT57" s="560">
        <v>4</v>
      </c>
      <c r="AU57" s="562">
        <v>2803.999999999995</v>
      </c>
      <c r="AV57" s="562">
        <v>700.99999999999875</v>
      </c>
      <c r="AW57" s="560">
        <f t="shared" si="30"/>
        <v>19</v>
      </c>
      <c r="AX57" s="633"/>
      <c r="AZ57" s="361" t="e">
        <f t="shared" si="32"/>
        <v>#N/A</v>
      </c>
      <c r="BA57" s="633"/>
    </row>
    <row r="58" spans="2:53">
      <c r="B58" s="679"/>
      <c r="C58" s="284">
        <v>17</v>
      </c>
      <c r="D58" s="196" t="s">
        <v>664</v>
      </c>
      <c r="E58" s="196">
        <v>4</v>
      </c>
      <c r="F58" s="196">
        <v>2800</v>
      </c>
      <c r="G58" s="554">
        <v>700</v>
      </c>
      <c r="H58" s="633"/>
      <c r="I58" s="352">
        <f t="shared" si="34"/>
        <v>4</v>
      </c>
      <c r="J58" s="352">
        <f t="shared" si="35"/>
        <v>2908.5883006900799</v>
      </c>
      <c r="K58" s="194">
        <f t="shared" si="36"/>
        <v>727.14707517251998</v>
      </c>
      <c r="L58" s="653"/>
      <c r="M58" s="193">
        <f>RANK(K58, K$42:$K$71)</f>
        <v>20</v>
      </c>
      <c r="N58" s="640"/>
      <c r="O58" s="640"/>
      <c r="P58" s="560">
        <v>4</v>
      </c>
      <c r="Q58" s="562">
        <v>2751.2195121951263</v>
      </c>
      <c r="R58" s="562">
        <v>687.80487804878157</v>
      </c>
      <c r="S58" s="560">
        <f t="shared" si="18"/>
        <v>22</v>
      </c>
      <c r="T58" s="633"/>
      <c r="U58" s="560">
        <v>4</v>
      </c>
      <c r="V58" s="562">
        <v>3066.6666666666642</v>
      </c>
      <c r="W58" s="562">
        <v>766.66666666666606</v>
      </c>
      <c r="X58" s="560">
        <f t="shared" si="20"/>
        <v>18</v>
      </c>
      <c r="Y58" s="633"/>
      <c r="Z58" s="560">
        <v>4</v>
      </c>
      <c r="AA58" s="562">
        <v>2945.999999999995</v>
      </c>
      <c r="AB58" s="562">
        <v>736.49999999999875</v>
      </c>
      <c r="AC58" s="560">
        <f t="shared" si="22"/>
        <v>19</v>
      </c>
      <c r="AD58" s="633"/>
      <c r="AE58" s="560">
        <v>4</v>
      </c>
      <c r="AF58" s="562">
        <v>2952.8571428571449</v>
      </c>
      <c r="AG58" s="562">
        <v>738.21428571428623</v>
      </c>
      <c r="AH58" s="560">
        <f t="shared" si="24"/>
        <v>19</v>
      </c>
      <c r="AI58" s="633"/>
      <c r="AJ58" s="560">
        <v>4</v>
      </c>
      <c r="AK58" s="562">
        <v>2899.2857142857165</v>
      </c>
      <c r="AL58" s="562">
        <v>724.82142857142912</v>
      </c>
      <c r="AM58" s="560">
        <f t="shared" si="26"/>
        <v>19</v>
      </c>
      <c r="AN58" s="633"/>
      <c r="AO58" s="560">
        <v>4</v>
      </c>
      <c r="AP58" s="562">
        <v>2884.6153846153888</v>
      </c>
      <c r="AQ58" s="562">
        <v>721.15384615384721</v>
      </c>
      <c r="AR58" s="560">
        <f t="shared" si="28"/>
        <v>20</v>
      </c>
      <c r="AS58" s="633"/>
      <c r="AT58" s="560">
        <v>4</v>
      </c>
      <c r="AU58" s="562">
        <v>2859.473684210524</v>
      </c>
      <c r="AV58" s="562">
        <v>714.86842105263099</v>
      </c>
      <c r="AW58" s="560">
        <f t="shared" si="30"/>
        <v>18</v>
      </c>
      <c r="AX58" s="633"/>
      <c r="AZ58" s="361" t="e">
        <f t="shared" si="32"/>
        <v>#N/A</v>
      </c>
      <c r="BA58" s="633"/>
    </row>
    <row r="59" spans="2:53">
      <c r="B59" s="679"/>
      <c r="C59" s="284">
        <v>18</v>
      </c>
      <c r="D59" s="556" t="s">
        <v>718</v>
      </c>
      <c r="E59" s="196">
        <v>4</v>
      </c>
      <c r="F59" s="196">
        <v>2800</v>
      </c>
      <c r="G59" s="554">
        <v>700</v>
      </c>
      <c r="H59" s="633"/>
      <c r="I59" s="352">
        <f t="shared" si="34"/>
        <v>4</v>
      </c>
      <c r="J59" s="352">
        <f t="shared" si="35"/>
        <v>3008.0132234737525</v>
      </c>
      <c r="K59" s="194">
        <f t="shared" si="36"/>
        <v>752.00330586843813</v>
      </c>
      <c r="L59" s="653"/>
      <c r="M59" s="193">
        <f>RANK(K59, K$42:$K$71)</f>
        <v>19</v>
      </c>
      <c r="N59" s="640"/>
      <c r="O59" s="640"/>
      <c r="P59" s="560">
        <v>4</v>
      </c>
      <c r="Q59" s="562">
        <v>2978.3505154639156</v>
      </c>
      <c r="R59" s="562">
        <v>744.5876288659789</v>
      </c>
      <c r="S59" s="560">
        <f t="shared" si="18"/>
        <v>18</v>
      </c>
      <c r="T59" s="633"/>
      <c r="U59" s="560">
        <v>4</v>
      </c>
      <c r="V59" s="562">
        <v>3038.478260869565</v>
      </c>
      <c r="W59" s="562">
        <v>759.61956521739125</v>
      </c>
      <c r="X59" s="560">
        <f t="shared" si="20"/>
        <v>19</v>
      </c>
      <c r="Y59" s="633"/>
      <c r="Z59" s="560">
        <v>4</v>
      </c>
      <c r="AA59" s="562">
        <v>3028.4999999999986</v>
      </c>
      <c r="AB59" s="562">
        <v>757.12499999999966</v>
      </c>
      <c r="AC59" s="560">
        <f t="shared" si="22"/>
        <v>18</v>
      </c>
      <c r="AD59" s="633"/>
      <c r="AE59" s="560">
        <v>4</v>
      </c>
      <c r="AF59" s="562">
        <v>2976.3934426229534</v>
      </c>
      <c r="AG59" s="562">
        <v>744.09836065573836</v>
      </c>
      <c r="AH59" s="560">
        <f t="shared" si="24"/>
        <v>17</v>
      </c>
      <c r="AI59" s="633"/>
      <c r="AJ59" s="560">
        <v>4</v>
      </c>
      <c r="AK59" s="562">
        <v>3070.5000000000014</v>
      </c>
      <c r="AL59" s="562">
        <v>767.62500000000034</v>
      </c>
      <c r="AM59" s="560">
        <f t="shared" si="26"/>
        <v>14</v>
      </c>
      <c r="AN59" s="633"/>
      <c r="AO59" s="560">
        <v>4</v>
      </c>
      <c r="AP59" s="562">
        <v>2992.6027397260282</v>
      </c>
      <c r="AQ59" s="562">
        <v>748.15068493150704</v>
      </c>
      <c r="AR59" s="560">
        <f t="shared" si="28"/>
        <v>17</v>
      </c>
      <c r="AS59" s="633"/>
      <c r="AT59" s="560">
        <v>4</v>
      </c>
      <c r="AU59" s="562">
        <v>2971.2676056338032</v>
      </c>
      <c r="AV59" s="562">
        <v>742.8169014084508</v>
      </c>
      <c r="AW59" s="560">
        <f t="shared" si="30"/>
        <v>17</v>
      </c>
      <c r="AX59" s="633"/>
      <c r="AZ59" s="361" t="e">
        <f t="shared" si="32"/>
        <v>#N/A</v>
      </c>
      <c r="BA59" s="633"/>
    </row>
    <row r="60" spans="2:53">
      <c r="B60" s="679"/>
      <c r="C60" s="284">
        <v>19</v>
      </c>
      <c r="D60" s="556" t="s">
        <v>678</v>
      </c>
      <c r="E60" s="196">
        <v>4</v>
      </c>
      <c r="F60" s="196">
        <v>2800</v>
      </c>
      <c r="G60" s="554">
        <v>700</v>
      </c>
      <c r="H60" s="633"/>
      <c r="I60" s="352">
        <f t="shared" si="34"/>
        <v>3</v>
      </c>
      <c r="J60" s="352">
        <f t="shared" si="35"/>
        <v>3112.5938975590266</v>
      </c>
      <c r="K60" s="194">
        <f t="shared" si="36"/>
        <v>1037.5312991863423</v>
      </c>
      <c r="L60" s="653"/>
      <c r="M60" s="193">
        <f>RANK(K60, K$42:$K$71)</f>
        <v>7</v>
      </c>
      <c r="N60" s="640"/>
      <c r="O60" s="640"/>
      <c r="P60" s="560">
        <v>3</v>
      </c>
      <c r="Q60" s="562">
        <v>2920.588235294128</v>
      </c>
      <c r="R60" s="562">
        <v>973.52941176470938</v>
      </c>
      <c r="S60" s="560">
        <f t="shared" si="18"/>
        <v>9</v>
      </c>
      <c r="T60" s="633"/>
      <c r="U60" s="560">
        <v>3</v>
      </c>
      <c r="V60" s="562">
        <v>3333.3333333333253</v>
      </c>
      <c r="W60" s="562">
        <v>1111.1111111111084</v>
      </c>
      <c r="X60" s="560">
        <f t="shared" si="20"/>
        <v>4</v>
      </c>
      <c r="Y60" s="633"/>
      <c r="Z60" s="560">
        <v>3</v>
      </c>
      <c r="AA60" s="562">
        <v>2991.4285714285479</v>
      </c>
      <c r="AB60" s="562">
        <v>997.14285714284927</v>
      </c>
      <c r="AC60" s="560">
        <f t="shared" si="22"/>
        <v>8</v>
      </c>
      <c r="AD60" s="633"/>
      <c r="AE60" s="560">
        <v>3</v>
      </c>
      <c r="AF60" s="562">
        <v>3175.2000000000112</v>
      </c>
      <c r="AG60" s="562">
        <v>1058.4000000000037</v>
      </c>
      <c r="AH60" s="560">
        <f t="shared" si="24"/>
        <v>3</v>
      </c>
      <c r="AI60" s="633"/>
      <c r="AJ60" s="560">
        <v>3</v>
      </c>
      <c r="AK60" s="562">
        <v>3175.7142857142971</v>
      </c>
      <c r="AL60" s="562">
        <v>1058.5714285714323</v>
      </c>
      <c r="AM60" s="560">
        <f t="shared" si="26"/>
        <v>3</v>
      </c>
      <c r="AN60" s="633"/>
      <c r="AO60" s="560">
        <v>3</v>
      </c>
      <c r="AP60" s="562">
        <v>2933.1428571428678</v>
      </c>
      <c r="AQ60" s="562">
        <v>977.7142857142893</v>
      </c>
      <c r="AR60" s="560">
        <f t="shared" si="28"/>
        <v>9</v>
      </c>
      <c r="AS60" s="633"/>
      <c r="AT60" s="560">
        <v>3</v>
      </c>
      <c r="AU60" s="562">
        <v>3258.7500000000114</v>
      </c>
      <c r="AV60" s="562">
        <v>1086.2500000000039</v>
      </c>
      <c r="AW60" s="560">
        <f t="shared" si="30"/>
        <v>2</v>
      </c>
      <c r="AX60" s="633"/>
      <c r="AZ60" s="361" t="e">
        <f t="shared" si="32"/>
        <v>#N/A</v>
      </c>
      <c r="BA60" s="633"/>
    </row>
    <row r="61" spans="2:53">
      <c r="B61" s="679"/>
      <c r="C61" s="284">
        <v>20</v>
      </c>
      <c r="D61" s="556" t="s">
        <v>679</v>
      </c>
      <c r="E61" s="196">
        <v>3</v>
      </c>
      <c r="F61" s="196">
        <v>2800</v>
      </c>
      <c r="G61" s="554">
        <v>933.33333333333337</v>
      </c>
      <c r="H61" s="633"/>
      <c r="I61" s="352">
        <f t="shared" si="34"/>
        <v>3</v>
      </c>
      <c r="J61" s="352">
        <f t="shared" si="35"/>
        <v>3043.4111790476973</v>
      </c>
      <c r="K61" s="194">
        <f t="shared" si="36"/>
        <v>1014.4703930158993</v>
      </c>
      <c r="L61" s="653"/>
      <c r="M61" s="193">
        <f>RANK(K61, K$42:$K$71)</f>
        <v>8</v>
      </c>
      <c r="N61" s="640"/>
      <c r="O61" s="640"/>
      <c r="P61" s="560">
        <v>3</v>
      </c>
      <c r="Q61" s="562">
        <v>2924.7999999999975</v>
      </c>
      <c r="R61" s="562">
        <v>974.93333333333248</v>
      </c>
      <c r="S61" s="560">
        <f t="shared" si="18"/>
        <v>8</v>
      </c>
      <c r="T61" s="633"/>
      <c r="U61" s="560">
        <v>3</v>
      </c>
      <c r="V61" s="562">
        <v>3085.2173913043448</v>
      </c>
      <c r="W61" s="562">
        <v>1028.4057971014483</v>
      </c>
      <c r="X61" s="560">
        <f t="shared" si="20"/>
        <v>9</v>
      </c>
      <c r="Y61" s="633"/>
      <c r="Z61" s="560">
        <v>3</v>
      </c>
      <c r="AA61" s="562">
        <v>2870.0000000000027</v>
      </c>
      <c r="AB61" s="562">
        <v>956.66666666666754</v>
      </c>
      <c r="AC61" s="560">
        <f t="shared" si="22"/>
        <v>9</v>
      </c>
      <c r="AD61" s="633"/>
      <c r="AE61" s="560">
        <v>3</v>
      </c>
      <c r="AF61" s="562">
        <v>3128.7272727272748</v>
      </c>
      <c r="AG61" s="562">
        <v>1042.9090909090917</v>
      </c>
      <c r="AH61" s="560">
        <f t="shared" si="24"/>
        <v>7</v>
      </c>
      <c r="AI61" s="633"/>
      <c r="AJ61" s="560">
        <v>3</v>
      </c>
      <c r="AK61" s="562">
        <v>3029.1428571428542</v>
      </c>
      <c r="AL61" s="562">
        <v>1009.7142857142848</v>
      </c>
      <c r="AM61" s="560">
        <f t="shared" si="26"/>
        <v>8</v>
      </c>
      <c r="AN61" s="633"/>
      <c r="AO61" s="560">
        <v>3</v>
      </c>
      <c r="AP61" s="562">
        <v>3036.1445783132522</v>
      </c>
      <c r="AQ61" s="562">
        <v>1012.048192771084</v>
      </c>
      <c r="AR61" s="560">
        <f t="shared" si="28"/>
        <v>8</v>
      </c>
      <c r="AS61" s="633"/>
      <c r="AT61" s="560">
        <v>3</v>
      </c>
      <c r="AU61" s="562">
        <v>3229.8461538461574</v>
      </c>
      <c r="AV61" s="562">
        <v>1076.6153846153859</v>
      </c>
      <c r="AW61" s="560">
        <f t="shared" si="30"/>
        <v>3</v>
      </c>
      <c r="AX61" s="633"/>
      <c r="AZ61" s="361" t="e">
        <f t="shared" si="32"/>
        <v>#N/A</v>
      </c>
      <c r="BA61" s="633"/>
    </row>
    <row r="62" spans="2:53">
      <c r="B62" s="679"/>
      <c r="C62" s="284">
        <v>21</v>
      </c>
      <c r="D62" s="556" t="s">
        <v>667</v>
      </c>
      <c r="E62" s="196">
        <v>4</v>
      </c>
      <c r="F62" s="196">
        <v>3200</v>
      </c>
      <c r="G62" s="554">
        <v>800</v>
      </c>
      <c r="H62" s="633"/>
      <c r="I62" s="352">
        <f t="shared" si="34"/>
        <v>4</v>
      </c>
      <c r="J62" s="352">
        <f t="shared" si="35"/>
        <v>3122.373840445267</v>
      </c>
      <c r="K62" s="194">
        <f t="shared" si="36"/>
        <v>780.59346011131674</v>
      </c>
      <c r="L62" s="653"/>
      <c r="M62" s="193">
        <f>RANK(K62, K$42:$K$71)</f>
        <v>15</v>
      </c>
      <c r="N62" s="640"/>
      <c r="O62" s="640"/>
      <c r="P62" s="560">
        <v>4</v>
      </c>
      <c r="Q62" s="562">
        <v>3072.5000000000009</v>
      </c>
      <c r="R62" s="562">
        <v>768.12500000000023</v>
      </c>
      <c r="S62" s="560">
        <f t="shared" si="18"/>
        <v>14</v>
      </c>
      <c r="T62" s="633"/>
      <c r="U62" s="560">
        <v>4</v>
      </c>
      <c r="V62" s="562">
        <v>3114.5454545454427</v>
      </c>
      <c r="W62" s="562">
        <v>778.63636363636067</v>
      </c>
      <c r="X62" s="560">
        <f t="shared" si="20"/>
        <v>17</v>
      </c>
      <c r="Y62" s="633"/>
      <c r="Z62" s="560">
        <v>4</v>
      </c>
      <c r="AA62" s="562">
        <v>3207.9999999999941</v>
      </c>
      <c r="AB62" s="562">
        <v>801.99999999999852</v>
      </c>
      <c r="AC62" s="560">
        <f t="shared" si="22"/>
        <v>16</v>
      </c>
      <c r="AD62" s="633"/>
      <c r="AE62" s="560">
        <v>4</v>
      </c>
      <c r="AF62" s="562">
        <v>3149.9999999999932</v>
      </c>
      <c r="AG62" s="562">
        <v>787.49999999999829</v>
      </c>
      <c r="AH62" s="560">
        <f t="shared" si="24"/>
        <v>12</v>
      </c>
      <c r="AI62" s="633"/>
      <c r="AJ62" s="560">
        <v>4</v>
      </c>
      <c r="AK62" s="562">
        <v>2978.5714285714389</v>
      </c>
      <c r="AL62" s="562">
        <v>744.64285714285973</v>
      </c>
      <c r="AM62" s="560">
        <f t="shared" si="26"/>
        <v>17</v>
      </c>
      <c r="AN62" s="633"/>
      <c r="AO62" s="560">
        <v>4</v>
      </c>
      <c r="AP62" s="562">
        <v>3179.9999999999986</v>
      </c>
      <c r="AQ62" s="562">
        <v>794.99999999999966</v>
      </c>
      <c r="AR62" s="560">
        <f t="shared" si="28"/>
        <v>13</v>
      </c>
      <c r="AS62" s="633"/>
      <c r="AT62" s="560">
        <v>4</v>
      </c>
      <c r="AU62" s="562">
        <v>3152.9999999999991</v>
      </c>
      <c r="AV62" s="562">
        <v>788.24999999999977</v>
      </c>
      <c r="AW62" s="560">
        <f t="shared" si="30"/>
        <v>13</v>
      </c>
      <c r="AX62" s="633"/>
      <c r="AZ62" s="361" t="e">
        <f t="shared" si="32"/>
        <v>#N/A</v>
      </c>
      <c r="BA62" s="633"/>
    </row>
    <row r="63" spans="2:53">
      <c r="B63" s="679"/>
      <c r="C63" s="284">
        <v>22</v>
      </c>
      <c r="D63" s="556" t="s">
        <v>681</v>
      </c>
      <c r="E63" s="196">
        <v>4</v>
      </c>
      <c r="F63" s="196">
        <v>3200</v>
      </c>
      <c r="G63" s="554">
        <v>800</v>
      </c>
      <c r="H63" s="633"/>
      <c r="I63" s="352">
        <f t="shared" si="34"/>
        <v>4</v>
      </c>
      <c r="J63" s="352">
        <f t="shared" si="35"/>
        <v>3095.4031682603081</v>
      </c>
      <c r="K63" s="194">
        <f t="shared" si="36"/>
        <v>773.85079206507703</v>
      </c>
      <c r="L63" s="653"/>
      <c r="M63" s="193">
        <f>RANK(K63, K$42:$K$71)</f>
        <v>17</v>
      </c>
      <c r="N63" s="640"/>
      <c r="O63" s="640"/>
      <c r="P63" s="560">
        <v>4</v>
      </c>
      <c r="Q63" s="562">
        <v>3059.9999999999918</v>
      </c>
      <c r="R63" s="562">
        <v>764.99999999999795</v>
      </c>
      <c r="S63" s="560">
        <f t="shared" si="18"/>
        <v>15</v>
      </c>
      <c r="T63" s="633"/>
      <c r="U63" s="560">
        <v>4</v>
      </c>
      <c r="V63" s="562">
        <v>3027.6923076923181</v>
      </c>
      <c r="W63" s="562">
        <v>756.92307692307952</v>
      </c>
      <c r="X63" s="560">
        <f t="shared" si="20"/>
        <v>20</v>
      </c>
      <c r="Y63" s="633"/>
      <c r="Z63" s="560">
        <v>4</v>
      </c>
      <c r="AA63" s="562">
        <v>3315.0000000000118</v>
      </c>
      <c r="AB63" s="562">
        <v>828.75000000000296</v>
      </c>
      <c r="AC63" s="560">
        <f t="shared" si="22"/>
        <v>13</v>
      </c>
      <c r="AD63" s="633"/>
      <c r="AE63" s="560">
        <v>4</v>
      </c>
      <c r="AF63" s="562">
        <v>2955.0000000000105</v>
      </c>
      <c r="AG63" s="562">
        <v>738.75000000000261</v>
      </c>
      <c r="AH63" s="560">
        <f t="shared" si="24"/>
        <v>18</v>
      </c>
      <c r="AI63" s="633"/>
      <c r="AJ63" s="560">
        <v>4</v>
      </c>
      <c r="AK63" s="562">
        <v>3102.8571428571186</v>
      </c>
      <c r="AL63" s="562">
        <v>775.71428571427964</v>
      </c>
      <c r="AM63" s="560">
        <f t="shared" si="26"/>
        <v>13</v>
      </c>
      <c r="AN63" s="633"/>
      <c r="AO63" s="560">
        <v>4</v>
      </c>
      <c r="AP63" s="562">
        <v>3027.2727272727161</v>
      </c>
      <c r="AQ63" s="562">
        <v>756.81818181817903</v>
      </c>
      <c r="AR63" s="560">
        <f t="shared" si="28"/>
        <v>16</v>
      </c>
      <c r="AS63" s="633"/>
      <c r="AT63" s="560">
        <v>4</v>
      </c>
      <c r="AU63" s="562">
        <v>3179.9999999999859</v>
      </c>
      <c r="AV63" s="562">
        <v>794.99999999999648</v>
      </c>
      <c r="AW63" s="560">
        <f t="shared" si="30"/>
        <v>12</v>
      </c>
      <c r="AX63" s="633"/>
      <c r="AZ63" s="361" t="e">
        <f t="shared" si="32"/>
        <v>#N/A</v>
      </c>
      <c r="BA63" s="633"/>
    </row>
    <row r="64" spans="2:53">
      <c r="B64" s="679"/>
      <c r="C64" s="284">
        <v>23</v>
      </c>
      <c r="D64" s="196" t="s">
        <v>680</v>
      </c>
      <c r="E64" s="196">
        <v>3</v>
      </c>
      <c r="F64" s="196">
        <v>2200</v>
      </c>
      <c r="G64" s="554">
        <v>733.33333333333337</v>
      </c>
      <c r="H64" s="633"/>
      <c r="I64" s="352">
        <f t="shared" si="34"/>
        <v>3</v>
      </c>
      <c r="J64" s="352">
        <f t="shared" si="35"/>
        <v>2278.1980793834205</v>
      </c>
      <c r="K64" s="194">
        <f t="shared" si="36"/>
        <v>759.39935979447353</v>
      </c>
      <c r="L64" s="653"/>
      <c r="M64" s="193">
        <f>RANK(K64, K$42:$K$71)</f>
        <v>18</v>
      </c>
      <c r="N64" s="640"/>
      <c r="O64" s="640"/>
      <c r="P64" s="560">
        <v>3</v>
      </c>
      <c r="Q64" s="562">
        <v>2172.558139534875</v>
      </c>
      <c r="R64" s="562">
        <v>724.18604651162502</v>
      </c>
      <c r="S64" s="560">
        <f t="shared" si="18"/>
        <v>19</v>
      </c>
      <c r="T64" s="633"/>
      <c r="U64" s="560">
        <v>3</v>
      </c>
      <c r="V64" s="562">
        <v>2458.2857142857233</v>
      </c>
      <c r="W64" s="562">
        <v>819.4285714285744</v>
      </c>
      <c r="X64" s="560">
        <f t="shared" si="20"/>
        <v>14</v>
      </c>
      <c r="Y64" s="633"/>
      <c r="Z64" s="560">
        <v>3</v>
      </c>
      <c r="AA64" s="562">
        <v>2194.2857142857019</v>
      </c>
      <c r="AB64" s="562">
        <v>731.42857142856735</v>
      </c>
      <c r="AC64" s="560">
        <f t="shared" si="22"/>
        <v>20</v>
      </c>
      <c r="AD64" s="633"/>
      <c r="AE64" s="560">
        <v>3</v>
      </c>
      <c r="AF64" s="562">
        <v>2259.3750000000082</v>
      </c>
      <c r="AG64" s="562">
        <v>753.12500000000273</v>
      </c>
      <c r="AH64" s="560">
        <f t="shared" si="24"/>
        <v>15</v>
      </c>
      <c r="AI64" s="633"/>
      <c r="AJ64" s="560">
        <v>3</v>
      </c>
      <c r="AK64" s="562">
        <v>2333.1428571428442</v>
      </c>
      <c r="AL64" s="562">
        <v>777.71428571428135</v>
      </c>
      <c r="AM64" s="560">
        <f t="shared" si="26"/>
        <v>12</v>
      </c>
      <c r="AN64" s="633"/>
      <c r="AO64" s="560">
        <v>3</v>
      </c>
      <c r="AP64" s="562">
        <v>2171.7391304347902</v>
      </c>
      <c r="AQ64" s="562">
        <v>723.91304347826338</v>
      </c>
      <c r="AR64" s="560">
        <f t="shared" si="28"/>
        <v>19</v>
      </c>
      <c r="AS64" s="633"/>
      <c r="AT64" s="560">
        <v>3</v>
      </c>
      <c r="AU64" s="562">
        <v>2357.9999999999991</v>
      </c>
      <c r="AV64" s="562">
        <v>785.99999999999966</v>
      </c>
      <c r="AW64" s="560">
        <f t="shared" si="30"/>
        <v>14</v>
      </c>
      <c r="AX64" s="633"/>
      <c r="AZ64" s="361" t="e">
        <f t="shared" si="32"/>
        <v>#N/A</v>
      </c>
      <c r="BA64" s="633"/>
    </row>
    <row r="65" spans="2:53">
      <c r="B65" s="679"/>
      <c r="C65" s="284">
        <v>24</v>
      </c>
      <c r="D65" s="556" t="s">
        <v>565</v>
      </c>
      <c r="E65" s="196">
        <v>8</v>
      </c>
      <c r="F65" s="196">
        <v>1500</v>
      </c>
      <c r="G65" s="554">
        <v>187.5</v>
      </c>
      <c r="H65" s="633"/>
      <c r="I65" s="352">
        <f t="shared" si="34"/>
        <v>8.2857142857142865</v>
      </c>
      <c r="J65" s="352">
        <f t="shared" si="35"/>
        <v>1499.6847862188795</v>
      </c>
      <c r="K65" s="194">
        <f t="shared" si="36"/>
        <v>181.9259043998089</v>
      </c>
      <c r="L65" s="653"/>
      <c r="M65" s="193">
        <f>RANK(K65, K$42:$K$71)</f>
        <v>24</v>
      </c>
      <c r="N65" s="640"/>
      <c r="O65" s="640"/>
      <c r="P65" s="560">
        <v>8</v>
      </c>
      <c r="Q65" s="562">
        <v>1540.9090909090926</v>
      </c>
      <c r="R65" s="562">
        <v>192.61363636363657</v>
      </c>
      <c r="S65" s="560">
        <f t="shared" si="18"/>
        <v>24</v>
      </c>
      <c r="T65" s="633"/>
      <c r="U65" s="560">
        <v>8</v>
      </c>
      <c r="V65" s="562">
        <v>1481.538461538463</v>
      </c>
      <c r="W65" s="562">
        <v>185.19230769230788</v>
      </c>
      <c r="X65" s="560">
        <f t="shared" si="20"/>
        <v>24</v>
      </c>
      <c r="Y65" s="633"/>
      <c r="Z65" s="560">
        <v>8</v>
      </c>
      <c r="AA65" s="562">
        <v>1400.9523809523787</v>
      </c>
      <c r="AB65" s="562">
        <v>175.11904761904734</v>
      </c>
      <c r="AC65" s="560">
        <f t="shared" si="22"/>
        <v>24</v>
      </c>
      <c r="AD65" s="633"/>
      <c r="AE65" s="560">
        <v>8</v>
      </c>
      <c r="AF65" s="562">
        <v>1453.6842105263129</v>
      </c>
      <c r="AG65" s="562">
        <v>181.71052631578911</v>
      </c>
      <c r="AH65" s="560">
        <f t="shared" si="24"/>
        <v>24</v>
      </c>
      <c r="AI65" s="633"/>
      <c r="AJ65" s="560">
        <v>8</v>
      </c>
      <c r="AK65" s="562">
        <v>1534.1379310344839</v>
      </c>
      <c r="AL65" s="562">
        <v>191.76724137931049</v>
      </c>
      <c r="AM65" s="560">
        <f t="shared" si="26"/>
        <v>23</v>
      </c>
      <c r="AN65" s="633"/>
      <c r="AO65" s="560">
        <v>8</v>
      </c>
      <c r="AP65" s="562">
        <v>1536.8571428571413</v>
      </c>
      <c r="AQ65" s="562">
        <v>192.10714285714266</v>
      </c>
      <c r="AR65" s="560">
        <f t="shared" si="28"/>
        <v>24</v>
      </c>
      <c r="AS65" s="633"/>
      <c r="AT65" s="560">
        <v>10</v>
      </c>
      <c r="AU65" s="562">
        <v>1549.714285714284</v>
      </c>
      <c r="AV65" s="562">
        <v>154.97142857142839</v>
      </c>
      <c r="AW65" s="560">
        <f t="shared" si="30"/>
        <v>23</v>
      </c>
      <c r="AX65" s="633"/>
      <c r="AZ65" s="361" t="e">
        <f t="shared" si="32"/>
        <v>#N/A</v>
      </c>
      <c r="BA65" s="633"/>
    </row>
    <row r="66" spans="2:53">
      <c r="B66" s="679"/>
      <c r="C66" s="284">
        <v>25</v>
      </c>
      <c r="D66" s="196"/>
      <c r="E66" s="196"/>
      <c r="F66" s="196"/>
      <c r="G66" s="554"/>
      <c r="H66" s="633"/>
      <c r="I66" s="352" t="str">
        <f t="shared" si="34"/>
        <v>-</v>
      </c>
      <c r="J66" s="352" t="str">
        <f t="shared" si="35"/>
        <v>-</v>
      </c>
      <c r="K66" s="194" t="str">
        <f t="shared" si="36"/>
        <v>-</v>
      </c>
      <c r="L66" s="653"/>
      <c r="M66" s="193" t="e">
        <f>RANK(K66, K$42:$K$71)</f>
        <v>#VALUE!</v>
      </c>
      <c r="N66" s="640"/>
      <c r="O66" s="640"/>
      <c r="P66" s="560"/>
      <c r="Q66" s="562"/>
      <c r="R66" s="562"/>
      <c r="S66" s="560" t="e">
        <f t="shared" si="18"/>
        <v>#N/A</v>
      </c>
      <c r="T66" s="633"/>
      <c r="U66" s="560"/>
      <c r="V66" s="562"/>
      <c r="W66" s="562"/>
      <c r="X66" s="560" t="e">
        <f t="shared" si="20"/>
        <v>#N/A</v>
      </c>
      <c r="Y66" s="633"/>
      <c r="Z66" s="560"/>
      <c r="AA66" s="562"/>
      <c r="AB66" s="562"/>
      <c r="AC66" s="560" t="e">
        <f t="shared" si="22"/>
        <v>#N/A</v>
      </c>
      <c r="AD66" s="633"/>
      <c r="AE66" s="560"/>
      <c r="AF66" s="562"/>
      <c r="AG66" s="562"/>
      <c r="AH66" s="560" t="e">
        <f t="shared" si="24"/>
        <v>#N/A</v>
      </c>
      <c r="AI66" s="633"/>
      <c r="AJ66" s="560"/>
      <c r="AK66" s="562"/>
      <c r="AL66" s="562"/>
      <c r="AM66" s="560" t="e">
        <f t="shared" si="26"/>
        <v>#N/A</v>
      </c>
      <c r="AN66" s="633"/>
      <c r="AO66" s="560"/>
      <c r="AP66" s="562"/>
      <c r="AQ66" s="562"/>
      <c r="AR66" s="560" t="e">
        <f t="shared" si="28"/>
        <v>#N/A</v>
      </c>
      <c r="AS66" s="633"/>
      <c r="AT66" s="560"/>
      <c r="AU66" s="562"/>
      <c r="AV66" s="562"/>
      <c r="AW66" s="560" t="e">
        <f t="shared" si="30"/>
        <v>#N/A</v>
      </c>
      <c r="AX66" s="633"/>
      <c r="AZ66" s="361" t="e">
        <f t="shared" si="32"/>
        <v>#N/A</v>
      </c>
      <c r="BA66" s="633"/>
    </row>
    <row r="67" spans="2:53">
      <c r="B67" s="679"/>
      <c r="C67" s="284">
        <v>26</v>
      </c>
      <c r="D67" s="196"/>
      <c r="E67" s="196"/>
      <c r="F67" s="196"/>
      <c r="G67" s="554"/>
      <c r="H67" s="633"/>
      <c r="I67" s="352" t="str">
        <f t="shared" si="34"/>
        <v>-</v>
      </c>
      <c r="J67" s="352" t="str">
        <f t="shared" si="35"/>
        <v>-</v>
      </c>
      <c r="K67" s="194" t="str">
        <f t="shared" si="36"/>
        <v>-</v>
      </c>
      <c r="L67" s="653"/>
      <c r="M67" s="193" t="e">
        <f>RANK(K67, K$42:$K$71)</f>
        <v>#VALUE!</v>
      </c>
      <c r="N67" s="640"/>
      <c r="O67" s="640"/>
      <c r="P67" s="560"/>
      <c r="Q67" s="562"/>
      <c r="R67" s="562"/>
      <c r="S67" s="560" t="e">
        <f t="shared" si="18"/>
        <v>#N/A</v>
      </c>
      <c r="T67" s="633"/>
      <c r="U67" s="560"/>
      <c r="V67" s="562"/>
      <c r="W67" s="562"/>
      <c r="X67" s="560" t="e">
        <f t="shared" si="20"/>
        <v>#N/A</v>
      </c>
      <c r="Y67" s="633"/>
      <c r="Z67" s="560"/>
      <c r="AA67" s="562"/>
      <c r="AB67" s="562"/>
      <c r="AC67" s="560" t="e">
        <f t="shared" si="22"/>
        <v>#N/A</v>
      </c>
      <c r="AD67" s="633"/>
      <c r="AE67" s="560"/>
      <c r="AF67" s="562"/>
      <c r="AG67" s="562"/>
      <c r="AH67" s="560" t="e">
        <f t="shared" si="24"/>
        <v>#N/A</v>
      </c>
      <c r="AI67" s="633"/>
      <c r="AJ67" s="560"/>
      <c r="AK67" s="562"/>
      <c r="AL67" s="562"/>
      <c r="AM67" s="560" t="e">
        <f t="shared" si="26"/>
        <v>#N/A</v>
      </c>
      <c r="AN67" s="633"/>
      <c r="AO67" s="560"/>
      <c r="AP67" s="562"/>
      <c r="AQ67" s="562"/>
      <c r="AR67" s="560" t="e">
        <f t="shared" si="28"/>
        <v>#N/A</v>
      </c>
      <c r="AS67" s="633"/>
      <c r="AT67" s="560"/>
      <c r="AU67" s="562"/>
      <c r="AV67" s="562"/>
      <c r="AW67" s="560" t="e">
        <f t="shared" si="30"/>
        <v>#N/A</v>
      </c>
      <c r="AX67" s="633"/>
      <c r="AZ67" s="361" t="e">
        <f t="shared" si="32"/>
        <v>#N/A</v>
      </c>
      <c r="BA67" s="633"/>
    </row>
    <row r="68" spans="2:53">
      <c r="B68" s="679"/>
      <c r="C68" s="284">
        <v>27</v>
      </c>
      <c r="D68" s="196"/>
      <c r="E68" s="196"/>
      <c r="F68" s="196"/>
      <c r="G68" s="554"/>
      <c r="H68" s="633"/>
      <c r="I68" s="352" t="str">
        <f t="shared" si="34"/>
        <v>-</v>
      </c>
      <c r="J68" s="352" t="str">
        <f t="shared" si="35"/>
        <v>-</v>
      </c>
      <c r="K68" s="194" t="str">
        <f t="shared" si="36"/>
        <v>-</v>
      </c>
      <c r="L68" s="653"/>
      <c r="M68" s="193" t="e">
        <f>RANK(K68, K$42:$K$71)</f>
        <v>#VALUE!</v>
      </c>
      <c r="N68" s="640"/>
      <c r="O68" s="640"/>
      <c r="P68" s="560"/>
      <c r="Q68" s="562"/>
      <c r="R68" s="562"/>
      <c r="S68" s="560" t="e">
        <f t="shared" si="18"/>
        <v>#N/A</v>
      </c>
      <c r="T68" s="633"/>
      <c r="U68" s="560"/>
      <c r="V68" s="562"/>
      <c r="W68" s="562"/>
      <c r="X68" s="560" t="e">
        <f t="shared" si="20"/>
        <v>#N/A</v>
      </c>
      <c r="Y68" s="633"/>
      <c r="Z68" s="560"/>
      <c r="AA68" s="562"/>
      <c r="AB68" s="562"/>
      <c r="AC68" s="560" t="e">
        <f t="shared" si="22"/>
        <v>#N/A</v>
      </c>
      <c r="AD68" s="633"/>
      <c r="AE68" s="560"/>
      <c r="AF68" s="562"/>
      <c r="AG68" s="562"/>
      <c r="AH68" s="560" t="e">
        <f t="shared" si="24"/>
        <v>#N/A</v>
      </c>
      <c r="AI68" s="633"/>
      <c r="AJ68" s="560"/>
      <c r="AK68" s="562"/>
      <c r="AL68" s="562"/>
      <c r="AM68" s="560" t="e">
        <f t="shared" si="26"/>
        <v>#N/A</v>
      </c>
      <c r="AN68" s="633"/>
      <c r="AO68" s="560"/>
      <c r="AP68" s="562"/>
      <c r="AQ68" s="562"/>
      <c r="AR68" s="560" t="e">
        <f t="shared" si="28"/>
        <v>#N/A</v>
      </c>
      <c r="AS68" s="633"/>
      <c r="AT68" s="560"/>
      <c r="AU68" s="562"/>
      <c r="AV68" s="562"/>
      <c r="AW68" s="560" t="e">
        <f t="shared" si="30"/>
        <v>#N/A</v>
      </c>
      <c r="AX68" s="633"/>
      <c r="AZ68" s="361" t="e">
        <f t="shared" si="32"/>
        <v>#N/A</v>
      </c>
      <c r="BA68" s="633"/>
    </row>
    <row r="69" spans="2:53">
      <c r="B69" s="679"/>
      <c r="C69" s="284">
        <v>28</v>
      </c>
      <c r="D69" s="196"/>
      <c r="E69" s="196"/>
      <c r="F69" s="196"/>
      <c r="G69" s="196"/>
      <c r="H69" s="633"/>
      <c r="I69" s="352" t="str">
        <f t="shared" si="34"/>
        <v>-</v>
      </c>
      <c r="J69" s="352" t="str">
        <f t="shared" si="35"/>
        <v>-</v>
      </c>
      <c r="K69" s="194" t="str">
        <f t="shared" si="36"/>
        <v>-</v>
      </c>
      <c r="L69" s="653"/>
      <c r="M69" s="193" t="e">
        <f>RANK(K69, K$42:$K$71)</f>
        <v>#VALUE!</v>
      </c>
      <c r="N69" s="640"/>
      <c r="O69" s="640"/>
      <c r="P69" s="560"/>
      <c r="Q69" s="562"/>
      <c r="R69" s="562"/>
      <c r="S69" s="560" t="e">
        <f t="shared" si="18"/>
        <v>#N/A</v>
      </c>
      <c r="T69" s="633"/>
      <c r="U69" s="560"/>
      <c r="V69" s="562"/>
      <c r="W69" s="562"/>
      <c r="X69" s="560" t="e">
        <f t="shared" si="20"/>
        <v>#N/A</v>
      </c>
      <c r="Y69" s="633"/>
      <c r="Z69" s="560"/>
      <c r="AA69" s="562"/>
      <c r="AB69" s="562"/>
      <c r="AC69" s="560" t="e">
        <f t="shared" si="22"/>
        <v>#N/A</v>
      </c>
      <c r="AD69" s="633"/>
      <c r="AE69" s="560"/>
      <c r="AF69" s="562"/>
      <c r="AG69" s="562"/>
      <c r="AH69" s="560" t="e">
        <f t="shared" si="24"/>
        <v>#N/A</v>
      </c>
      <c r="AI69" s="633"/>
      <c r="AJ69" s="560"/>
      <c r="AK69" s="562"/>
      <c r="AL69" s="562"/>
      <c r="AM69" s="560" t="e">
        <f t="shared" si="26"/>
        <v>#N/A</v>
      </c>
      <c r="AN69" s="633"/>
      <c r="AO69" s="560"/>
      <c r="AP69" s="562"/>
      <c r="AQ69" s="562"/>
      <c r="AR69" s="560" t="e">
        <f t="shared" si="28"/>
        <v>#N/A</v>
      </c>
      <c r="AS69" s="633"/>
      <c r="AT69" s="560"/>
      <c r="AU69" s="562"/>
      <c r="AV69" s="562"/>
      <c r="AW69" s="560" t="e">
        <f t="shared" si="30"/>
        <v>#N/A</v>
      </c>
      <c r="AX69" s="633"/>
      <c r="AZ69" s="361" t="e">
        <f t="shared" si="32"/>
        <v>#N/A</v>
      </c>
      <c r="BA69" s="633"/>
    </row>
    <row r="70" spans="2:53">
      <c r="B70" s="679"/>
      <c r="C70" s="284">
        <v>29</v>
      </c>
      <c r="D70" s="196"/>
      <c r="E70" s="196"/>
      <c r="F70" s="196"/>
      <c r="G70" s="196"/>
      <c r="H70" s="633"/>
      <c r="I70" s="352" t="str">
        <f t="shared" si="34"/>
        <v>-</v>
      </c>
      <c r="J70" s="352" t="str">
        <f t="shared" si="35"/>
        <v>-</v>
      </c>
      <c r="K70" s="194" t="str">
        <f t="shared" si="36"/>
        <v>-</v>
      </c>
      <c r="L70" s="653"/>
      <c r="M70" s="193" t="e">
        <f>RANK(K70, K$42:$K$71)</f>
        <v>#VALUE!</v>
      </c>
      <c r="N70" s="640"/>
      <c r="O70" s="640"/>
      <c r="P70" s="560"/>
      <c r="Q70" s="562"/>
      <c r="R70" s="562"/>
      <c r="S70" s="560" t="e">
        <f t="shared" si="18"/>
        <v>#N/A</v>
      </c>
      <c r="T70" s="633"/>
      <c r="U70" s="560"/>
      <c r="V70" s="562"/>
      <c r="W70" s="562"/>
      <c r="X70" s="560" t="e">
        <f t="shared" si="20"/>
        <v>#N/A</v>
      </c>
      <c r="Y70" s="633"/>
      <c r="Z70" s="560"/>
      <c r="AA70" s="562"/>
      <c r="AB70" s="562"/>
      <c r="AC70" s="560" t="e">
        <f t="shared" si="22"/>
        <v>#N/A</v>
      </c>
      <c r="AD70" s="633"/>
      <c r="AE70" s="560"/>
      <c r="AF70" s="562"/>
      <c r="AG70" s="562"/>
      <c r="AH70" s="560" t="e">
        <f t="shared" si="24"/>
        <v>#N/A</v>
      </c>
      <c r="AI70" s="633"/>
      <c r="AJ70" s="560"/>
      <c r="AK70" s="562"/>
      <c r="AL70" s="562"/>
      <c r="AM70" s="560" t="e">
        <f t="shared" si="26"/>
        <v>#N/A</v>
      </c>
      <c r="AN70" s="633"/>
      <c r="AO70" s="560"/>
      <c r="AP70" s="562"/>
      <c r="AQ70" s="562"/>
      <c r="AR70" s="560" t="e">
        <f t="shared" si="28"/>
        <v>#N/A</v>
      </c>
      <c r="AS70" s="633"/>
      <c r="AT70" s="560"/>
      <c r="AU70" s="562"/>
      <c r="AV70" s="562"/>
      <c r="AW70" s="560" t="e">
        <f t="shared" si="30"/>
        <v>#N/A</v>
      </c>
      <c r="AX70" s="633"/>
      <c r="AZ70" s="361" t="e">
        <f t="shared" si="32"/>
        <v>#N/A</v>
      </c>
      <c r="BA70" s="633"/>
    </row>
    <row r="71" spans="2:53">
      <c r="B71" s="680"/>
      <c r="C71" s="284">
        <v>30</v>
      </c>
      <c r="D71" s="196"/>
      <c r="E71" s="196"/>
      <c r="F71" s="196"/>
      <c r="G71" s="196"/>
      <c r="H71" s="634"/>
      <c r="I71" s="352" t="str">
        <f t="shared" si="34"/>
        <v>-</v>
      </c>
      <c r="J71" s="352" t="str">
        <f t="shared" si="35"/>
        <v>-</v>
      </c>
      <c r="K71" s="194" t="str">
        <f t="shared" si="36"/>
        <v>-</v>
      </c>
      <c r="L71" s="654"/>
      <c r="M71" s="193" t="e">
        <f>RANK(K71, K$42:$K$71)</f>
        <v>#VALUE!</v>
      </c>
      <c r="N71" s="641"/>
      <c r="O71" s="641"/>
      <c r="P71" s="560"/>
      <c r="Q71" s="562"/>
      <c r="R71" s="562"/>
      <c r="S71" s="560" t="e">
        <f t="shared" si="18"/>
        <v>#N/A</v>
      </c>
      <c r="T71" s="634"/>
      <c r="U71" s="560"/>
      <c r="V71" s="562"/>
      <c r="W71" s="562"/>
      <c r="X71" s="560" t="e">
        <f t="shared" si="20"/>
        <v>#N/A</v>
      </c>
      <c r="Y71" s="634"/>
      <c r="Z71" s="560"/>
      <c r="AA71" s="562"/>
      <c r="AB71" s="562"/>
      <c r="AC71" s="560" t="e">
        <f t="shared" si="22"/>
        <v>#N/A</v>
      </c>
      <c r="AD71" s="634"/>
      <c r="AE71" s="560"/>
      <c r="AF71" s="562"/>
      <c r="AG71" s="562"/>
      <c r="AH71" s="560" t="e">
        <f t="shared" si="24"/>
        <v>#N/A</v>
      </c>
      <c r="AI71" s="634"/>
      <c r="AJ71" s="560"/>
      <c r="AK71" s="562"/>
      <c r="AL71" s="562"/>
      <c r="AM71" s="560" t="e">
        <f t="shared" si="26"/>
        <v>#N/A</v>
      </c>
      <c r="AN71" s="634"/>
      <c r="AO71" s="560"/>
      <c r="AP71" s="562"/>
      <c r="AQ71" s="562"/>
      <c r="AR71" s="560" t="e">
        <f t="shared" si="28"/>
        <v>#N/A</v>
      </c>
      <c r="AS71" s="634"/>
      <c r="AT71" s="560"/>
      <c r="AU71" s="562"/>
      <c r="AV71" s="562"/>
      <c r="AW71" s="560" t="e">
        <f t="shared" si="30"/>
        <v>#N/A</v>
      </c>
      <c r="AX71" s="634"/>
      <c r="AZ71" s="361" t="e">
        <f t="shared" si="32"/>
        <v>#N/A</v>
      </c>
      <c r="BA71" s="634"/>
    </row>
    <row r="72" spans="2:53" ht="15.75">
      <c r="B72" s="676" t="s">
        <v>162</v>
      </c>
      <c r="C72" s="677"/>
      <c r="D72" s="677"/>
      <c r="E72" s="677"/>
      <c r="F72" s="677"/>
      <c r="G72" s="677"/>
      <c r="H72" s="677"/>
      <c r="I72" s="202"/>
      <c r="J72" s="197"/>
      <c r="K72" s="202"/>
      <c r="L72" s="202"/>
      <c r="M72" s="198"/>
      <c r="N72" s="639" t="s">
        <v>156</v>
      </c>
      <c r="O72" s="639" t="s">
        <v>155</v>
      </c>
      <c r="P72" s="664">
        <f>P37+7</f>
        <v>46308</v>
      </c>
      <c r="Q72" s="643"/>
      <c r="R72" s="643"/>
      <c r="S72" s="643"/>
      <c r="T72" s="643"/>
      <c r="U72" s="661">
        <f>P72+1</f>
        <v>46309</v>
      </c>
      <c r="V72" s="662"/>
      <c r="W72" s="662"/>
      <c r="X72" s="662"/>
      <c r="Y72" s="663"/>
      <c r="Z72" s="661">
        <f>U72+1</f>
        <v>46310</v>
      </c>
      <c r="AA72" s="662"/>
      <c r="AB72" s="662"/>
      <c r="AC72" s="662"/>
      <c r="AD72" s="663"/>
      <c r="AE72" s="661">
        <f>Z72+1</f>
        <v>46311</v>
      </c>
      <c r="AF72" s="662"/>
      <c r="AG72" s="662"/>
      <c r="AH72" s="662"/>
      <c r="AI72" s="663"/>
      <c r="AJ72" s="661">
        <f>AE72+1</f>
        <v>46312</v>
      </c>
      <c r="AK72" s="662"/>
      <c r="AL72" s="662"/>
      <c r="AM72" s="662"/>
      <c r="AN72" s="663"/>
      <c r="AO72" s="661">
        <f>AJ72+1</f>
        <v>46313</v>
      </c>
      <c r="AP72" s="662"/>
      <c r="AQ72" s="662"/>
      <c r="AR72" s="662"/>
      <c r="AS72" s="663"/>
      <c r="AT72" s="661">
        <f>AO72+1</f>
        <v>46314</v>
      </c>
      <c r="AU72" s="662"/>
      <c r="AV72" s="662"/>
      <c r="AW72" s="662"/>
      <c r="AX72" s="663"/>
    </row>
    <row r="73" spans="2:53" ht="15.75">
      <c r="B73" s="668"/>
      <c r="C73" s="668"/>
      <c r="D73" s="668"/>
      <c r="E73" s="668"/>
      <c r="F73" s="668"/>
      <c r="G73" s="668"/>
      <c r="H73" s="668"/>
      <c r="I73" s="199"/>
      <c r="J73" s="199"/>
      <c r="K73" s="199"/>
      <c r="L73" s="199"/>
      <c r="M73" s="200"/>
      <c r="N73" s="641"/>
      <c r="O73" s="641"/>
      <c r="P73" s="664" t="s">
        <v>317</v>
      </c>
      <c r="Q73" s="643"/>
      <c r="R73" s="643"/>
      <c r="S73" s="643"/>
      <c r="T73" s="643"/>
      <c r="U73" s="664" t="s">
        <v>318</v>
      </c>
      <c r="V73" s="643"/>
      <c r="W73" s="643"/>
      <c r="X73" s="643"/>
      <c r="Y73" s="643"/>
      <c r="Z73" s="664" t="s">
        <v>319</v>
      </c>
      <c r="AA73" s="643"/>
      <c r="AB73" s="643"/>
      <c r="AC73" s="643"/>
      <c r="AD73" s="643"/>
      <c r="AE73" s="664" t="s">
        <v>320</v>
      </c>
      <c r="AF73" s="643"/>
      <c r="AG73" s="643"/>
      <c r="AH73" s="643"/>
      <c r="AI73" s="643"/>
      <c r="AJ73" s="664" t="s">
        <v>321</v>
      </c>
      <c r="AK73" s="643"/>
      <c r="AL73" s="643"/>
      <c r="AM73" s="643"/>
      <c r="AN73" s="643"/>
      <c r="AO73" s="664" t="s">
        <v>322</v>
      </c>
      <c r="AP73" s="643"/>
      <c r="AQ73" s="643"/>
      <c r="AR73" s="643"/>
      <c r="AS73" s="643"/>
      <c r="AT73" s="664" t="s">
        <v>323</v>
      </c>
      <c r="AU73" s="643"/>
      <c r="AV73" s="643"/>
      <c r="AW73" s="643"/>
      <c r="AX73" s="643"/>
    </row>
    <row r="74" spans="2:53">
      <c r="B74" s="639" t="s">
        <v>444</v>
      </c>
      <c r="C74" s="669" t="s">
        <v>445</v>
      </c>
      <c r="D74" s="681"/>
      <c r="E74" s="655" t="s">
        <v>446</v>
      </c>
      <c r="F74" s="656"/>
      <c r="G74" s="657"/>
      <c r="H74" s="639" t="s">
        <v>447</v>
      </c>
      <c r="I74" s="688" t="s">
        <v>448</v>
      </c>
      <c r="J74" s="689"/>
      <c r="K74" s="690"/>
      <c r="L74" s="673" t="s">
        <v>447</v>
      </c>
      <c r="M74" s="673" t="s">
        <v>449</v>
      </c>
      <c r="N74" s="639"/>
      <c r="O74" s="639" t="s">
        <v>450</v>
      </c>
      <c r="P74" s="655" t="s">
        <v>451</v>
      </c>
      <c r="Q74" s="656"/>
      <c r="R74" s="656"/>
      <c r="S74" s="657"/>
      <c r="T74" s="639" t="s">
        <v>447</v>
      </c>
      <c r="U74" s="655" t="s">
        <v>451</v>
      </c>
      <c r="V74" s="656"/>
      <c r="W74" s="656"/>
      <c r="X74" s="657"/>
      <c r="Y74" s="639" t="s">
        <v>447</v>
      </c>
      <c r="Z74" s="655" t="s">
        <v>451</v>
      </c>
      <c r="AA74" s="656"/>
      <c r="AB74" s="656"/>
      <c r="AC74" s="657"/>
      <c r="AD74" s="639" t="s">
        <v>447</v>
      </c>
      <c r="AE74" s="655" t="s">
        <v>451</v>
      </c>
      <c r="AF74" s="656"/>
      <c r="AG74" s="656"/>
      <c r="AH74" s="657"/>
      <c r="AI74" s="639" t="s">
        <v>447</v>
      </c>
      <c r="AJ74" s="655" t="s">
        <v>451</v>
      </c>
      <c r="AK74" s="656"/>
      <c r="AL74" s="656"/>
      <c r="AM74" s="657"/>
      <c r="AN74" s="639" t="s">
        <v>447</v>
      </c>
      <c r="AO74" s="655" t="s">
        <v>451</v>
      </c>
      <c r="AP74" s="656"/>
      <c r="AQ74" s="656"/>
      <c r="AR74" s="657"/>
      <c r="AS74" s="639" t="s">
        <v>447</v>
      </c>
      <c r="AT74" s="655" t="s">
        <v>451</v>
      </c>
      <c r="AU74" s="656"/>
      <c r="AV74" s="656"/>
      <c r="AW74" s="657"/>
      <c r="AX74" s="639" t="s">
        <v>447</v>
      </c>
      <c r="BA74" s="639" t="s">
        <v>357</v>
      </c>
    </row>
    <row r="75" spans="2:53">
      <c r="B75" s="640"/>
      <c r="C75" s="670"/>
      <c r="D75" s="682"/>
      <c r="E75" s="655" t="s">
        <v>452</v>
      </c>
      <c r="F75" s="656"/>
      <c r="G75" s="657"/>
      <c r="H75" s="640"/>
      <c r="I75" s="688" t="s">
        <v>452</v>
      </c>
      <c r="J75" s="689"/>
      <c r="K75" s="690"/>
      <c r="L75" s="674"/>
      <c r="M75" s="674"/>
      <c r="N75" s="640"/>
      <c r="O75" s="640"/>
      <c r="P75" s="655" t="s">
        <v>453</v>
      </c>
      <c r="Q75" s="656"/>
      <c r="R75" s="656"/>
      <c r="S75" s="657"/>
      <c r="T75" s="640"/>
      <c r="U75" s="655" t="s">
        <v>453</v>
      </c>
      <c r="V75" s="656"/>
      <c r="W75" s="656"/>
      <c r="X75" s="657"/>
      <c r="Y75" s="640"/>
      <c r="Z75" s="655" t="s">
        <v>453</v>
      </c>
      <c r="AA75" s="656"/>
      <c r="AB75" s="656"/>
      <c r="AC75" s="657"/>
      <c r="AD75" s="640"/>
      <c r="AE75" s="655" t="s">
        <v>453</v>
      </c>
      <c r="AF75" s="656"/>
      <c r="AG75" s="656"/>
      <c r="AH75" s="657"/>
      <c r="AI75" s="640"/>
      <c r="AJ75" s="655" t="s">
        <v>453</v>
      </c>
      <c r="AK75" s="656"/>
      <c r="AL75" s="656"/>
      <c r="AM75" s="657"/>
      <c r="AN75" s="640"/>
      <c r="AO75" s="655" t="s">
        <v>453</v>
      </c>
      <c r="AP75" s="656"/>
      <c r="AQ75" s="656"/>
      <c r="AR75" s="657"/>
      <c r="AS75" s="640"/>
      <c r="AT75" s="655" t="s">
        <v>453</v>
      </c>
      <c r="AU75" s="656"/>
      <c r="AV75" s="656"/>
      <c r="AW75" s="657"/>
      <c r="AX75" s="640"/>
      <c r="BA75" s="640"/>
    </row>
    <row r="76" spans="2:53">
      <c r="B76" s="641"/>
      <c r="C76" s="671"/>
      <c r="D76" s="683"/>
      <c r="E76" s="286" t="s">
        <v>454</v>
      </c>
      <c r="F76" s="286" t="s">
        <v>455</v>
      </c>
      <c r="G76" s="286" t="s">
        <v>456</v>
      </c>
      <c r="H76" s="641"/>
      <c r="I76" s="285" t="s">
        <v>454</v>
      </c>
      <c r="J76" s="285" t="s">
        <v>455</v>
      </c>
      <c r="K76" s="285" t="s">
        <v>456</v>
      </c>
      <c r="L76" s="675"/>
      <c r="M76" s="675"/>
      <c r="N76" s="640"/>
      <c r="O76" s="640"/>
      <c r="P76" s="286" t="s">
        <v>454</v>
      </c>
      <c r="Q76" s="286" t="s">
        <v>455</v>
      </c>
      <c r="R76" s="286" t="s">
        <v>456</v>
      </c>
      <c r="S76" s="286" t="s">
        <v>449</v>
      </c>
      <c r="T76" s="641"/>
      <c r="U76" s="286" t="s">
        <v>454</v>
      </c>
      <c r="V76" s="286" t="s">
        <v>455</v>
      </c>
      <c r="W76" s="286" t="s">
        <v>456</v>
      </c>
      <c r="X76" s="286" t="s">
        <v>449</v>
      </c>
      <c r="Y76" s="641"/>
      <c r="Z76" s="286" t="s">
        <v>454</v>
      </c>
      <c r="AA76" s="286" t="s">
        <v>455</v>
      </c>
      <c r="AB76" s="286" t="s">
        <v>456</v>
      </c>
      <c r="AC76" s="286" t="s">
        <v>449</v>
      </c>
      <c r="AD76" s="641"/>
      <c r="AE76" s="286" t="s">
        <v>454</v>
      </c>
      <c r="AF76" s="286" t="s">
        <v>455</v>
      </c>
      <c r="AG76" s="286" t="s">
        <v>456</v>
      </c>
      <c r="AH76" s="286" t="s">
        <v>449</v>
      </c>
      <c r="AI76" s="641"/>
      <c r="AJ76" s="286" t="s">
        <v>454</v>
      </c>
      <c r="AK76" s="286" t="s">
        <v>455</v>
      </c>
      <c r="AL76" s="286" t="s">
        <v>456</v>
      </c>
      <c r="AM76" s="286" t="s">
        <v>449</v>
      </c>
      <c r="AN76" s="641"/>
      <c r="AO76" s="286" t="s">
        <v>454</v>
      </c>
      <c r="AP76" s="286" t="s">
        <v>455</v>
      </c>
      <c r="AQ76" s="286" t="s">
        <v>456</v>
      </c>
      <c r="AR76" s="286" t="s">
        <v>449</v>
      </c>
      <c r="AS76" s="641"/>
      <c r="AT76" s="286" t="s">
        <v>454</v>
      </c>
      <c r="AU76" s="286" t="s">
        <v>455</v>
      </c>
      <c r="AV76" s="286" t="s">
        <v>456</v>
      </c>
      <c r="AW76" s="286" t="s">
        <v>449</v>
      </c>
      <c r="AX76" s="641"/>
      <c r="AZ76" s="362" t="s">
        <v>358</v>
      </c>
      <c r="BA76" s="641"/>
    </row>
    <row r="77" spans="2:53">
      <c r="B77" s="678" t="s">
        <v>150</v>
      </c>
      <c r="C77" s="287">
        <v>1</v>
      </c>
      <c r="D77" s="196"/>
      <c r="E77" s="196"/>
      <c r="F77" s="196"/>
      <c r="G77" s="554"/>
      <c r="H77" s="632" t="e">
        <f>AVERAGE(G77:G106)</f>
        <v>#DIV/0!</v>
      </c>
      <c r="I77" s="352" t="str">
        <f>IFERROR(AVERAGE(P77,U77,Z77,AE77,AJ77,AO77,AT77),"-")</f>
        <v>-</v>
      </c>
      <c r="J77" s="352" t="str">
        <f>IFERROR(AVERAGE(Q77,V77,AA77,AF77,AK77,AP77,AU77),"-")</f>
        <v>-</v>
      </c>
      <c r="K77" s="194" t="str">
        <f>IFERROR(AVERAGE(R77,W77,AB77,AG77,AL77,AQ77,AV77),"-")</f>
        <v>-</v>
      </c>
      <c r="L77" s="691" t="str">
        <f>IFERROR(AVERAGE(K77:K106),"-")</f>
        <v>-</v>
      </c>
      <c r="M77" s="193" t="e">
        <f>RANK(K77, K$77:$K$106)</f>
        <v>#VALUE!</v>
      </c>
      <c r="N77" s="640"/>
      <c r="O77" s="640"/>
      <c r="P77" s="538"/>
      <c r="Q77" s="540"/>
      <c r="R77" s="540"/>
      <c r="S77" s="538"/>
      <c r="T77" s="632"/>
      <c r="U77" s="538"/>
      <c r="V77" s="540"/>
      <c r="W77" s="540"/>
      <c r="X77" s="538"/>
      <c r="Y77" s="632"/>
      <c r="Z77" s="538"/>
      <c r="AA77" s="540"/>
      <c r="AB77" s="540"/>
      <c r="AC77" s="538"/>
      <c r="AD77" s="632"/>
      <c r="AE77" s="538"/>
      <c r="AF77" s="540"/>
      <c r="AG77" s="540"/>
      <c r="AH77" s="538"/>
      <c r="AI77" s="632"/>
      <c r="AJ77" s="538"/>
      <c r="AK77" s="540"/>
      <c r="AL77" s="540"/>
      <c r="AM77" s="538"/>
      <c r="AN77" s="632"/>
      <c r="AO77" s="538"/>
      <c r="AP77" s="540"/>
      <c r="AQ77" s="540"/>
      <c r="AR77" s="538"/>
      <c r="AS77" s="632"/>
      <c r="AT77" s="538"/>
      <c r="AU77" s="540"/>
      <c r="AV77" s="540"/>
      <c r="AW77" s="538"/>
      <c r="AX77" s="632"/>
      <c r="AZ77" s="361" t="e">
        <f t="shared" ref="AZ77:AZ106" si="37">RANK(AY77, AY$77:AY$106)</f>
        <v>#N/A</v>
      </c>
      <c r="BA77" s="632" t="e">
        <f t="shared" ref="BA77" si="38">AVERAGE(AY77:AY106)</f>
        <v>#DIV/0!</v>
      </c>
    </row>
    <row r="78" spans="2:53">
      <c r="B78" s="679"/>
      <c r="C78" s="287">
        <v>2</v>
      </c>
      <c r="D78" s="556"/>
      <c r="E78" s="196"/>
      <c r="F78" s="196"/>
      <c r="G78" s="554"/>
      <c r="H78" s="633"/>
      <c r="I78" s="352" t="str">
        <f t="shared" ref="I78:I106" si="39">IFERROR(AVERAGE(P78,U78,Z78,AE78,AJ78,AO78,AT78),"-")</f>
        <v>-</v>
      </c>
      <c r="J78" s="352" t="str">
        <f t="shared" ref="J78:J106" si="40">IFERROR(AVERAGE(Q78,V78,AA78,AF78,AK78,AP78,AU78),"-")</f>
        <v>-</v>
      </c>
      <c r="K78" s="194" t="str">
        <f t="shared" ref="K78:K106" si="41">IFERROR(AVERAGE(R78,W78,AB78,AG78,AL78,AQ78,AV78),"-")</f>
        <v>-</v>
      </c>
      <c r="L78" s="692"/>
      <c r="M78" s="193" t="e">
        <f>RANK(K78, K$77:$K$106)</f>
        <v>#VALUE!</v>
      </c>
      <c r="N78" s="640"/>
      <c r="O78" s="640"/>
      <c r="P78" s="538"/>
      <c r="Q78" s="540"/>
      <c r="R78" s="540"/>
      <c r="S78" s="538"/>
      <c r="T78" s="633"/>
      <c r="U78" s="538"/>
      <c r="V78" s="540"/>
      <c r="W78" s="540"/>
      <c r="X78" s="538"/>
      <c r="Y78" s="633"/>
      <c r="Z78" s="538"/>
      <c r="AA78" s="540"/>
      <c r="AB78" s="540"/>
      <c r="AC78" s="538"/>
      <c r="AD78" s="633"/>
      <c r="AE78" s="538"/>
      <c r="AF78" s="540"/>
      <c r="AG78" s="540"/>
      <c r="AH78" s="538"/>
      <c r="AI78" s="633"/>
      <c r="AJ78" s="538"/>
      <c r="AK78" s="540"/>
      <c r="AL78" s="540"/>
      <c r="AM78" s="538"/>
      <c r="AN78" s="633"/>
      <c r="AO78" s="538"/>
      <c r="AP78" s="540"/>
      <c r="AQ78" s="540"/>
      <c r="AR78" s="538"/>
      <c r="AS78" s="633"/>
      <c r="AT78" s="538"/>
      <c r="AU78" s="540"/>
      <c r="AV78" s="540"/>
      <c r="AW78" s="538"/>
      <c r="AX78" s="633"/>
      <c r="AZ78" s="361" t="e">
        <f t="shared" si="37"/>
        <v>#N/A</v>
      </c>
      <c r="BA78" s="633"/>
    </row>
    <row r="79" spans="2:53">
      <c r="B79" s="679"/>
      <c r="C79" s="287">
        <v>3</v>
      </c>
      <c r="D79" s="196"/>
      <c r="E79" s="196"/>
      <c r="F79" s="196"/>
      <c r="G79" s="554"/>
      <c r="H79" s="633"/>
      <c r="I79" s="352" t="str">
        <f t="shared" si="39"/>
        <v>-</v>
      </c>
      <c r="J79" s="352" t="str">
        <f t="shared" si="40"/>
        <v>-</v>
      </c>
      <c r="K79" s="194" t="str">
        <f t="shared" si="41"/>
        <v>-</v>
      </c>
      <c r="L79" s="692"/>
      <c r="M79" s="193" t="e">
        <f>RANK(K79, K$77:$K$106)</f>
        <v>#VALUE!</v>
      </c>
      <c r="N79" s="640"/>
      <c r="O79" s="640"/>
      <c r="P79" s="538"/>
      <c r="Q79" s="540"/>
      <c r="R79" s="540"/>
      <c r="S79" s="538"/>
      <c r="T79" s="633"/>
      <c r="U79" s="538"/>
      <c r="V79" s="540"/>
      <c r="W79" s="540"/>
      <c r="X79" s="538"/>
      <c r="Y79" s="633"/>
      <c r="Z79" s="538"/>
      <c r="AA79" s="540"/>
      <c r="AB79" s="540"/>
      <c r="AC79" s="538"/>
      <c r="AD79" s="633"/>
      <c r="AE79" s="538"/>
      <c r="AF79" s="540"/>
      <c r="AG79" s="540"/>
      <c r="AH79" s="538"/>
      <c r="AI79" s="633"/>
      <c r="AJ79" s="538"/>
      <c r="AK79" s="540"/>
      <c r="AL79" s="540"/>
      <c r="AM79" s="538"/>
      <c r="AN79" s="633"/>
      <c r="AO79" s="538"/>
      <c r="AP79" s="540"/>
      <c r="AQ79" s="540"/>
      <c r="AR79" s="538"/>
      <c r="AS79" s="633"/>
      <c r="AT79" s="538"/>
      <c r="AU79" s="540"/>
      <c r="AV79" s="540"/>
      <c r="AW79" s="538"/>
      <c r="AX79" s="633"/>
      <c r="AZ79" s="361" t="e">
        <f t="shared" si="37"/>
        <v>#N/A</v>
      </c>
      <c r="BA79" s="633"/>
    </row>
    <row r="80" spans="2:53">
      <c r="B80" s="679"/>
      <c r="C80" s="287">
        <v>4</v>
      </c>
      <c r="D80" s="196"/>
      <c r="E80" s="196"/>
      <c r="F80" s="196"/>
      <c r="G80" s="554"/>
      <c r="H80" s="633"/>
      <c r="I80" s="352" t="str">
        <f t="shared" si="39"/>
        <v>-</v>
      </c>
      <c r="J80" s="352" t="str">
        <f t="shared" si="40"/>
        <v>-</v>
      </c>
      <c r="K80" s="194" t="str">
        <f t="shared" si="41"/>
        <v>-</v>
      </c>
      <c r="L80" s="692"/>
      <c r="M80" s="193" t="e">
        <f>RANK(K80, K$77:$K$106)</f>
        <v>#VALUE!</v>
      </c>
      <c r="N80" s="640"/>
      <c r="O80" s="640"/>
      <c r="P80" s="538"/>
      <c r="Q80" s="540"/>
      <c r="R80" s="540"/>
      <c r="S80" s="538"/>
      <c r="T80" s="633"/>
      <c r="U80" s="538"/>
      <c r="V80" s="540"/>
      <c r="W80" s="540"/>
      <c r="X80" s="538"/>
      <c r="Y80" s="633"/>
      <c r="Z80" s="538"/>
      <c r="AA80" s="540"/>
      <c r="AB80" s="540"/>
      <c r="AC80" s="538"/>
      <c r="AD80" s="633"/>
      <c r="AE80" s="538"/>
      <c r="AF80" s="540"/>
      <c r="AG80" s="540"/>
      <c r="AH80" s="538"/>
      <c r="AI80" s="633"/>
      <c r="AJ80" s="538"/>
      <c r="AK80" s="540"/>
      <c r="AL80" s="540"/>
      <c r="AM80" s="538"/>
      <c r="AN80" s="633"/>
      <c r="AO80" s="538"/>
      <c r="AP80" s="540"/>
      <c r="AQ80" s="540"/>
      <c r="AR80" s="538"/>
      <c r="AS80" s="633"/>
      <c r="AT80" s="538"/>
      <c r="AU80" s="540"/>
      <c r="AV80" s="540"/>
      <c r="AW80" s="538"/>
      <c r="AX80" s="633"/>
      <c r="AZ80" s="361" t="e">
        <f t="shared" si="37"/>
        <v>#N/A</v>
      </c>
      <c r="BA80" s="633"/>
    </row>
    <row r="81" spans="2:53">
      <c r="B81" s="679"/>
      <c r="C81" s="287">
        <v>5</v>
      </c>
      <c r="D81" s="196"/>
      <c r="E81" s="196"/>
      <c r="F81" s="196"/>
      <c r="G81" s="554"/>
      <c r="H81" s="633"/>
      <c r="I81" s="352" t="str">
        <f t="shared" si="39"/>
        <v>-</v>
      </c>
      <c r="J81" s="352" t="str">
        <f t="shared" si="40"/>
        <v>-</v>
      </c>
      <c r="K81" s="194" t="str">
        <f t="shared" si="41"/>
        <v>-</v>
      </c>
      <c r="L81" s="692"/>
      <c r="M81" s="193" t="e">
        <f>RANK(K81, K$77:$K$106)</f>
        <v>#VALUE!</v>
      </c>
      <c r="N81" s="640"/>
      <c r="O81" s="640"/>
      <c r="P81" s="538"/>
      <c r="Q81" s="540"/>
      <c r="R81" s="540"/>
      <c r="S81" s="538"/>
      <c r="T81" s="633"/>
      <c r="U81" s="538"/>
      <c r="V81" s="540"/>
      <c r="W81" s="540"/>
      <c r="X81" s="538"/>
      <c r="Y81" s="633"/>
      <c r="Z81" s="538"/>
      <c r="AA81" s="540"/>
      <c r="AB81" s="540"/>
      <c r="AC81" s="538"/>
      <c r="AD81" s="633"/>
      <c r="AE81" s="538"/>
      <c r="AF81" s="540"/>
      <c r="AG81" s="540"/>
      <c r="AH81" s="538"/>
      <c r="AI81" s="633"/>
      <c r="AJ81" s="538"/>
      <c r="AK81" s="540"/>
      <c r="AL81" s="540"/>
      <c r="AM81" s="538"/>
      <c r="AN81" s="633"/>
      <c r="AO81" s="538"/>
      <c r="AP81" s="540"/>
      <c r="AQ81" s="540"/>
      <c r="AR81" s="538"/>
      <c r="AS81" s="633"/>
      <c r="AT81" s="538"/>
      <c r="AU81" s="540"/>
      <c r="AV81" s="540"/>
      <c r="AW81" s="538"/>
      <c r="AX81" s="633"/>
      <c r="AZ81" s="361" t="e">
        <f t="shared" si="37"/>
        <v>#N/A</v>
      </c>
      <c r="BA81" s="633"/>
    </row>
    <row r="82" spans="2:53">
      <c r="B82" s="679"/>
      <c r="C82" s="287">
        <v>6</v>
      </c>
      <c r="D82" s="196"/>
      <c r="E82" s="196"/>
      <c r="F82" s="196"/>
      <c r="G82" s="554"/>
      <c r="H82" s="633"/>
      <c r="I82" s="352" t="str">
        <f t="shared" si="39"/>
        <v>-</v>
      </c>
      <c r="J82" s="352" t="str">
        <f t="shared" si="40"/>
        <v>-</v>
      </c>
      <c r="K82" s="194" t="str">
        <f t="shared" si="41"/>
        <v>-</v>
      </c>
      <c r="L82" s="692"/>
      <c r="M82" s="193" t="e">
        <f>RANK(K82, K$77:$K$106)</f>
        <v>#VALUE!</v>
      </c>
      <c r="N82" s="640"/>
      <c r="O82" s="640"/>
      <c r="P82" s="538"/>
      <c r="Q82" s="540"/>
      <c r="R82" s="540"/>
      <c r="S82" s="538"/>
      <c r="T82" s="633"/>
      <c r="U82" s="538"/>
      <c r="V82" s="540"/>
      <c r="W82" s="540"/>
      <c r="X82" s="538"/>
      <c r="Y82" s="633"/>
      <c r="Z82" s="538"/>
      <c r="AA82" s="540"/>
      <c r="AB82" s="540"/>
      <c r="AC82" s="538"/>
      <c r="AD82" s="633"/>
      <c r="AE82" s="538"/>
      <c r="AF82" s="540"/>
      <c r="AG82" s="540"/>
      <c r="AH82" s="538"/>
      <c r="AI82" s="633"/>
      <c r="AJ82" s="538"/>
      <c r="AK82" s="540"/>
      <c r="AL82" s="540"/>
      <c r="AM82" s="538"/>
      <c r="AN82" s="633"/>
      <c r="AO82" s="538"/>
      <c r="AP82" s="540"/>
      <c r="AQ82" s="540"/>
      <c r="AR82" s="538"/>
      <c r="AS82" s="633"/>
      <c r="AT82" s="538"/>
      <c r="AU82" s="540"/>
      <c r="AV82" s="540"/>
      <c r="AW82" s="538"/>
      <c r="AX82" s="633"/>
      <c r="AZ82" s="361" t="e">
        <f t="shared" si="37"/>
        <v>#N/A</v>
      </c>
      <c r="BA82" s="633"/>
    </row>
    <row r="83" spans="2:53">
      <c r="B83" s="679"/>
      <c r="C83" s="287">
        <v>7</v>
      </c>
      <c r="D83" s="196"/>
      <c r="E83" s="196"/>
      <c r="F83" s="196"/>
      <c r="G83" s="554"/>
      <c r="H83" s="633"/>
      <c r="I83" s="352" t="str">
        <f t="shared" si="39"/>
        <v>-</v>
      </c>
      <c r="J83" s="352" t="str">
        <f t="shared" si="40"/>
        <v>-</v>
      </c>
      <c r="K83" s="194" t="str">
        <f t="shared" si="41"/>
        <v>-</v>
      </c>
      <c r="L83" s="692"/>
      <c r="M83" s="193" t="e">
        <f>RANK(K83, K$77:$K$106)</f>
        <v>#VALUE!</v>
      </c>
      <c r="N83" s="640"/>
      <c r="O83" s="640"/>
      <c r="P83" s="538"/>
      <c r="Q83" s="540"/>
      <c r="R83" s="540"/>
      <c r="S83" s="538"/>
      <c r="T83" s="633"/>
      <c r="U83" s="538"/>
      <c r="V83" s="540"/>
      <c r="W83" s="540"/>
      <c r="X83" s="538"/>
      <c r="Y83" s="633"/>
      <c r="Z83" s="538"/>
      <c r="AA83" s="540"/>
      <c r="AB83" s="540"/>
      <c r="AC83" s="538"/>
      <c r="AD83" s="633"/>
      <c r="AE83" s="538"/>
      <c r="AF83" s="540"/>
      <c r="AG83" s="540"/>
      <c r="AH83" s="538"/>
      <c r="AI83" s="633"/>
      <c r="AJ83" s="538"/>
      <c r="AK83" s="540"/>
      <c r="AL83" s="540"/>
      <c r="AM83" s="538"/>
      <c r="AN83" s="633"/>
      <c r="AO83" s="538"/>
      <c r="AP83" s="540"/>
      <c r="AQ83" s="540"/>
      <c r="AR83" s="538"/>
      <c r="AS83" s="633"/>
      <c r="AT83" s="538"/>
      <c r="AU83" s="540"/>
      <c r="AV83" s="540"/>
      <c r="AW83" s="538"/>
      <c r="AX83" s="633"/>
      <c r="AZ83" s="361" t="e">
        <f t="shared" si="37"/>
        <v>#N/A</v>
      </c>
      <c r="BA83" s="633"/>
    </row>
    <row r="84" spans="2:53">
      <c r="B84" s="679"/>
      <c r="C84" s="287">
        <v>8</v>
      </c>
      <c r="D84" s="196"/>
      <c r="E84" s="196"/>
      <c r="F84" s="196"/>
      <c r="G84" s="554"/>
      <c r="H84" s="633"/>
      <c r="I84" s="352" t="str">
        <f t="shared" si="39"/>
        <v>-</v>
      </c>
      <c r="J84" s="352" t="str">
        <f t="shared" si="40"/>
        <v>-</v>
      </c>
      <c r="K84" s="194" t="str">
        <f t="shared" si="41"/>
        <v>-</v>
      </c>
      <c r="L84" s="692"/>
      <c r="M84" s="193" t="e">
        <f>RANK(K84, K$77:$K$106)</f>
        <v>#VALUE!</v>
      </c>
      <c r="N84" s="640"/>
      <c r="O84" s="640"/>
      <c r="P84" s="538"/>
      <c r="Q84" s="540"/>
      <c r="R84" s="540"/>
      <c r="S84" s="538"/>
      <c r="T84" s="633"/>
      <c r="U84" s="538"/>
      <c r="V84" s="540"/>
      <c r="W84" s="540"/>
      <c r="X84" s="538"/>
      <c r="Y84" s="633"/>
      <c r="Z84" s="538"/>
      <c r="AA84" s="540"/>
      <c r="AB84" s="540"/>
      <c r="AC84" s="538"/>
      <c r="AD84" s="633"/>
      <c r="AE84" s="538"/>
      <c r="AF84" s="540"/>
      <c r="AG84" s="540"/>
      <c r="AH84" s="538"/>
      <c r="AI84" s="633"/>
      <c r="AJ84" s="538"/>
      <c r="AK84" s="540"/>
      <c r="AL84" s="540"/>
      <c r="AM84" s="538"/>
      <c r="AN84" s="633"/>
      <c r="AO84" s="538"/>
      <c r="AP84" s="540"/>
      <c r="AQ84" s="540"/>
      <c r="AR84" s="538"/>
      <c r="AS84" s="633"/>
      <c r="AT84" s="538"/>
      <c r="AU84" s="540"/>
      <c r="AV84" s="540"/>
      <c r="AW84" s="538"/>
      <c r="AX84" s="633"/>
      <c r="AZ84" s="361" t="e">
        <f t="shared" si="37"/>
        <v>#N/A</v>
      </c>
      <c r="BA84" s="633"/>
    </row>
    <row r="85" spans="2:53">
      <c r="B85" s="679"/>
      <c r="C85" s="287">
        <v>9</v>
      </c>
      <c r="D85" s="196"/>
      <c r="E85" s="196"/>
      <c r="F85" s="196"/>
      <c r="G85" s="554"/>
      <c r="H85" s="633"/>
      <c r="I85" s="352" t="str">
        <f t="shared" si="39"/>
        <v>-</v>
      </c>
      <c r="J85" s="352" t="str">
        <f t="shared" si="40"/>
        <v>-</v>
      </c>
      <c r="K85" s="194" t="str">
        <f t="shared" si="41"/>
        <v>-</v>
      </c>
      <c r="L85" s="692"/>
      <c r="M85" s="193" t="e">
        <f>RANK(K85, K$77:$K$106)</f>
        <v>#VALUE!</v>
      </c>
      <c r="N85" s="640"/>
      <c r="O85" s="640"/>
      <c r="P85" s="538"/>
      <c r="Q85" s="540"/>
      <c r="R85" s="540"/>
      <c r="S85" s="538"/>
      <c r="T85" s="633"/>
      <c r="U85" s="538"/>
      <c r="V85" s="540"/>
      <c r="W85" s="540"/>
      <c r="X85" s="538"/>
      <c r="Y85" s="633"/>
      <c r="Z85" s="538"/>
      <c r="AA85" s="540"/>
      <c r="AB85" s="540"/>
      <c r="AC85" s="538"/>
      <c r="AD85" s="633"/>
      <c r="AE85" s="538"/>
      <c r="AF85" s="540"/>
      <c r="AG85" s="540"/>
      <c r="AH85" s="538"/>
      <c r="AI85" s="633"/>
      <c r="AJ85" s="538"/>
      <c r="AK85" s="540"/>
      <c r="AL85" s="540"/>
      <c r="AM85" s="538"/>
      <c r="AN85" s="633"/>
      <c r="AO85" s="538"/>
      <c r="AP85" s="540"/>
      <c r="AQ85" s="540"/>
      <c r="AR85" s="538"/>
      <c r="AS85" s="633"/>
      <c r="AT85" s="538"/>
      <c r="AU85" s="540"/>
      <c r="AV85" s="540"/>
      <c r="AW85" s="538"/>
      <c r="AX85" s="633"/>
      <c r="AZ85" s="361" t="e">
        <f t="shared" si="37"/>
        <v>#N/A</v>
      </c>
      <c r="BA85" s="633"/>
    </row>
    <row r="86" spans="2:53">
      <c r="B86" s="679"/>
      <c r="C86" s="287">
        <v>10</v>
      </c>
      <c r="D86" s="196"/>
      <c r="E86" s="196"/>
      <c r="F86" s="196"/>
      <c r="G86" s="554"/>
      <c r="H86" s="633"/>
      <c r="I86" s="352" t="str">
        <f t="shared" si="39"/>
        <v>-</v>
      </c>
      <c r="J86" s="352" t="str">
        <f t="shared" si="40"/>
        <v>-</v>
      </c>
      <c r="K86" s="194" t="str">
        <f t="shared" si="41"/>
        <v>-</v>
      </c>
      <c r="L86" s="692"/>
      <c r="M86" s="193" t="e">
        <f>RANK(K86, K$77:$K$106)</f>
        <v>#VALUE!</v>
      </c>
      <c r="N86" s="640"/>
      <c r="O86" s="640"/>
      <c r="P86" s="538"/>
      <c r="Q86" s="540"/>
      <c r="R86" s="540"/>
      <c r="S86" s="538"/>
      <c r="T86" s="633"/>
      <c r="U86" s="538"/>
      <c r="V86" s="540"/>
      <c r="W86" s="540"/>
      <c r="X86" s="538"/>
      <c r="Y86" s="633"/>
      <c r="Z86" s="538"/>
      <c r="AA86" s="540"/>
      <c r="AB86" s="540"/>
      <c r="AC86" s="538"/>
      <c r="AD86" s="633"/>
      <c r="AE86" s="538"/>
      <c r="AF86" s="540"/>
      <c r="AG86" s="540"/>
      <c r="AH86" s="538"/>
      <c r="AI86" s="633"/>
      <c r="AJ86" s="538"/>
      <c r="AK86" s="540"/>
      <c r="AL86" s="540"/>
      <c r="AM86" s="538"/>
      <c r="AN86" s="633"/>
      <c r="AO86" s="538"/>
      <c r="AP86" s="540"/>
      <c r="AQ86" s="540"/>
      <c r="AR86" s="538"/>
      <c r="AS86" s="633"/>
      <c r="AT86" s="538"/>
      <c r="AU86" s="540"/>
      <c r="AV86" s="540"/>
      <c r="AW86" s="538"/>
      <c r="AX86" s="633"/>
      <c r="AZ86" s="361" t="e">
        <f t="shared" si="37"/>
        <v>#N/A</v>
      </c>
      <c r="BA86" s="633"/>
    </row>
    <row r="87" spans="2:53">
      <c r="B87" s="679"/>
      <c r="C87" s="287">
        <v>11</v>
      </c>
      <c r="D87" s="196"/>
      <c r="E87" s="196"/>
      <c r="F87" s="196"/>
      <c r="G87" s="554"/>
      <c r="H87" s="633"/>
      <c r="I87" s="352" t="str">
        <f t="shared" si="39"/>
        <v>-</v>
      </c>
      <c r="J87" s="352" t="str">
        <f t="shared" si="40"/>
        <v>-</v>
      </c>
      <c r="K87" s="194" t="str">
        <f t="shared" si="41"/>
        <v>-</v>
      </c>
      <c r="L87" s="692"/>
      <c r="M87" s="193" t="e">
        <f>RANK(K87, K$77:$K$106)</f>
        <v>#VALUE!</v>
      </c>
      <c r="N87" s="640"/>
      <c r="O87" s="640"/>
      <c r="P87" s="538"/>
      <c r="Q87" s="540"/>
      <c r="R87" s="540"/>
      <c r="S87" s="538"/>
      <c r="T87" s="633"/>
      <c r="U87" s="538"/>
      <c r="V87" s="540"/>
      <c r="W87" s="540"/>
      <c r="X87" s="538"/>
      <c r="Y87" s="633"/>
      <c r="Z87" s="538"/>
      <c r="AA87" s="540"/>
      <c r="AB87" s="540"/>
      <c r="AC87" s="538"/>
      <c r="AD87" s="633"/>
      <c r="AE87" s="538"/>
      <c r="AF87" s="540"/>
      <c r="AG87" s="540"/>
      <c r="AH87" s="538"/>
      <c r="AI87" s="633"/>
      <c r="AJ87" s="538"/>
      <c r="AK87" s="540"/>
      <c r="AL87" s="540"/>
      <c r="AM87" s="538"/>
      <c r="AN87" s="633"/>
      <c r="AO87" s="538"/>
      <c r="AP87" s="540"/>
      <c r="AQ87" s="540"/>
      <c r="AR87" s="538"/>
      <c r="AS87" s="633"/>
      <c r="AT87" s="538"/>
      <c r="AU87" s="540"/>
      <c r="AV87" s="540"/>
      <c r="AW87" s="538"/>
      <c r="AX87" s="633"/>
      <c r="AZ87" s="361" t="e">
        <f t="shared" si="37"/>
        <v>#N/A</v>
      </c>
      <c r="BA87" s="633"/>
    </row>
    <row r="88" spans="2:53">
      <c r="B88" s="679"/>
      <c r="C88" s="287">
        <v>12</v>
      </c>
      <c r="D88" s="556"/>
      <c r="E88" s="196"/>
      <c r="F88" s="196"/>
      <c r="G88" s="554"/>
      <c r="H88" s="633"/>
      <c r="I88" s="352" t="str">
        <f t="shared" si="39"/>
        <v>-</v>
      </c>
      <c r="J88" s="352" t="str">
        <f t="shared" si="40"/>
        <v>-</v>
      </c>
      <c r="K88" s="194" t="str">
        <f t="shared" si="41"/>
        <v>-</v>
      </c>
      <c r="L88" s="692"/>
      <c r="M88" s="193" t="e">
        <f>RANK(K88, K$77:$K$106)</f>
        <v>#VALUE!</v>
      </c>
      <c r="N88" s="640"/>
      <c r="O88" s="640"/>
      <c r="P88" s="538"/>
      <c r="Q88" s="540"/>
      <c r="R88" s="540"/>
      <c r="S88" s="538"/>
      <c r="T88" s="633"/>
      <c r="U88" s="538"/>
      <c r="V88" s="540"/>
      <c r="W88" s="540"/>
      <c r="X88" s="538"/>
      <c r="Y88" s="633"/>
      <c r="Z88" s="538"/>
      <c r="AA88" s="540"/>
      <c r="AB88" s="540"/>
      <c r="AC88" s="538"/>
      <c r="AD88" s="633"/>
      <c r="AE88" s="538"/>
      <c r="AF88" s="540"/>
      <c r="AG88" s="540"/>
      <c r="AH88" s="538"/>
      <c r="AI88" s="633"/>
      <c r="AJ88" s="538"/>
      <c r="AK88" s="540"/>
      <c r="AL88" s="540"/>
      <c r="AM88" s="538"/>
      <c r="AN88" s="633"/>
      <c r="AO88" s="538"/>
      <c r="AP88" s="540"/>
      <c r="AQ88" s="540"/>
      <c r="AR88" s="538"/>
      <c r="AS88" s="633"/>
      <c r="AT88" s="538"/>
      <c r="AU88" s="540"/>
      <c r="AV88" s="540"/>
      <c r="AW88" s="538"/>
      <c r="AX88" s="633"/>
      <c r="AZ88" s="361" t="e">
        <f t="shared" si="37"/>
        <v>#N/A</v>
      </c>
      <c r="BA88" s="633"/>
    </row>
    <row r="89" spans="2:53">
      <c r="B89" s="679"/>
      <c r="C89" s="287">
        <v>13</v>
      </c>
      <c r="D89" s="196"/>
      <c r="E89" s="196"/>
      <c r="F89" s="196"/>
      <c r="G89" s="554"/>
      <c r="H89" s="633"/>
      <c r="I89" s="352" t="str">
        <f t="shared" si="39"/>
        <v>-</v>
      </c>
      <c r="J89" s="352" t="str">
        <f t="shared" si="40"/>
        <v>-</v>
      </c>
      <c r="K89" s="194" t="str">
        <f t="shared" si="41"/>
        <v>-</v>
      </c>
      <c r="L89" s="692"/>
      <c r="M89" s="193" t="e">
        <f>RANK(K89, K$77:$K$106)</f>
        <v>#VALUE!</v>
      </c>
      <c r="N89" s="640"/>
      <c r="O89" s="640"/>
      <c r="P89" s="538"/>
      <c r="Q89" s="540"/>
      <c r="R89" s="540"/>
      <c r="S89" s="538"/>
      <c r="T89" s="633"/>
      <c r="U89" s="538"/>
      <c r="V89" s="540"/>
      <c r="W89" s="540"/>
      <c r="X89" s="538"/>
      <c r="Y89" s="633"/>
      <c r="Z89" s="538"/>
      <c r="AA89" s="540"/>
      <c r="AB89" s="540"/>
      <c r="AC89" s="538"/>
      <c r="AD89" s="633"/>
      <c r="AE89" s="538"/>
      <c r="AF89" s="540"/>
      <c r="AG89" s="540"/>
      <c r="AH89" s="538"/>
      <c r="AI89" s="633"/>
      <c r="AJ89" s="538"/>
      <c r="AK89" s="540"/>
      <c r="AL89" s="540"/>
      <c r="AM89" s="538"/>
      <c r="AN89" s="633"/>
      <c r="AO89" s="538"/>
      <c r="AP89" s="540"/>
      <c r="AQ89" s="540"/>
      <c r="AR89" s="538"/>
      <c r="AS89" s="633"/>
      <c r="AT89" s="538"/>
      <c r="AU89" s="540"/>
      <c r="AV89" s="540"/>
      <c r="AW89" s="538"/>
      <c r="AX89" s="633"/>
      <c r="AZ89" s="361" t="e">
        <f t="shared" si="37"/>
        <v>#N/A</v>
      </c>
      <c r="BA89" s="633"/>
    </row>
    <row r="90" spans="2:53">
      <c r="B90" s="679"/>
      <c r="C90" s="287">
        <v>14</v>
      </c>
      <c r="D90" s="196"/>
      <c r="E90" s="196"/>
      <c r="F90" s="196"/>
      <c r="G90" s="554"/>
      <c r="H90" s="633"/>
      <c r="I90" s="352" t="str">
        <f t="shared" si="39"/>
        <v>-</v>
      </c>
      <c r="J90" s="352" t="str">
        <f t="shared" si="40"/>
        <v>-</v>
      </c>
      <c r="K90" s="194" t="str">
        <f t="shared" si="41"/>
        <v>-</v>
      </c>
      <c r="L90" s="692"/>
      <c r="M90" s="193" t="e">
        <f>RANK(K90, K$77:$K$106)</f>
        <v>#VALUE!</v>
      </c>
      <c r="N90" s="640"/>
      <c r="O90" s="640"/>
      <c r="P90" s="538"/>
      <c r="Q90" s="540"/>
      <c r="R90" s="540"/>
      <c r="S90" s="538"/>
      <c r="T90" s="633"/>
      <c r="U90" s="538"/>
      <c r="V90" s="540"/>
      <c r="W90" s="540"/>
      <c r="X90" s="538"/>
      <c r="Y90" s="633"/>
      <c r="Z90" s="538"/>
      <c r="AA90" s="540"/>
      <c r="AB90" s="540"/>
      <c r="AC90" s="538"/>
      <c r="AD90" s="633"/>
      <c r="AE90" s="538"/>
      <c r="AF90" s="540"/>
      <c r="AG90" s="540"/>
      <c r="AH90" s="538"/>
      <c r="AI90" s="633"/>
      <c r="AJ90" s="538"/>
      <c r="AK90" s="540"/>
      <c r="AL90" s="540"/>
      <c r="AM90" s="538"/>
      <c r="AN90" s="633"/>
      <c r="AO90" s="538"/>
      <c r="AP90" s="540"/>
      <c r="AQ90" s="540"/>
      <c r="AR90" s="538"/>
      <c r="AS90" s="633"/>
      <c r="AT90" s="538"/>
      <c r="AU90" s="540"/>
      <c r="AV90" s="540"/>
      <c r="AW90" s="538"/>
      <c r="AX90" s="633"/>
      <c r="AZ90" s="361" t="e">
        <f t="shared" si="37"/>
        <v>#N/A</v>
      </c>
      <c r="BA90" s="633"/>
    </row>
    <row r="91" spans="2:53">
      <c r="B91" s="679"/>
      <c r="C91" s="287">
        <v>15</v>
      </c>
      <c r="D91" s="556"/>
      <c r="E91" s="196"/>
      <c r="F91" s="196"/>
      <c r="G91" s="554"/>
      <c r="H91" s="633"/>
      <c r="I91" s="352" t="str">
        <f t="shared" si="39"/>
        <v>-</v>
      </c>
      <c r="J91" s="352" t="str">
        <f t="shared" si="40"/>
        <v>-</v>
      </c>
      <c r="K91" s="194" t="str">
        <f t="shared" si="41"/>
        <v>-</v>
      </c>
      <c r="L91" s="692"/>
      <c r="M91" s="193" t="e">
        <f>RANK(K91, K$77:$K$106)</f>
        <v>#VALUE!</v>
      </c>
      <c r="N91" s="640"/>
      <c r="O91" s="640"/>
      <c r="P91" s="538"/>
      <c r="Q91" s="540"/>
      <c r="R91" s="540"/>
      <c r="S91" s="538"/>
      <c r="T91" s="633"/>
      <c r="U91" s="538"/>
      <c r="V91" s="540"/>
      <c r="W91" s="540"/>
      <c r="X91" s="538"/>
      <c r="Y91" s="633"/>
      <c r="Z91" s="538"/>
      <c r="AA91" s="540"/>
      <c r="AB91" s="540"/>
      <c r="AC91" s="538"/>
      <c r="AD91" s="633"/>
      <c r="AE91" s="538"/>
      <c r="AF91" s="540"/>
      <c r="AG91" s="540"/>
      <c r="AH91" s="538"/>
      <c r="AI91" s="633"/>
      <c r="AJ91" s="538"/>
      <c r="AK91" s="540"/>
      <c r="AL91" s="540"/>
      <c r="AM91" s="538"/>
      <c r="AN91" s="633"/>
      <c r="AO91" s="538"/>
      <c r="AP91" s="540"/>
      <c r="AQ91" s="540"/>
      <c r="AR91" s="538"/>
      <c r="AS91" s="633"/>
      <c r="AT91" s="538"/>
      <c r="AU91" s="540"/>
      <c r="AV91" s="540"/>
      <c r="AW91" s="538"/>
      <c r="AX91" s="633"/>
      <c r="AZ91" s="361" t="e">
        <f t="shared" si="37"/>
        <v>#N/A</v>
      </c>
      <c r="BA91" s="633"/>
    </row>
    <row r="92" spans="2:53">
      <c r="B92" s="679"/>
      <c r="C92" s="287">
        <v>16</v>
      </c>
      <c r="D92" s="196"/>
      <c r="E92" s="196"/>
      <c r="F92" s="196"/>
      <c r="G92" s="554"/>
      <c r="H92" s="633"/>
      <c r="I92" s="352" t="str">
        <f t="shared" si="39"/>
        <v>-</v>
      </c>
      <c r="J92" s="352" t="str">
        <f t="shared" si="40"/>
        <v>-</v>
      </c>
      <c r="K92" s="194" t="str">
        <f t="shared" si="41"/>
        <v>-</v>
      </c>
      <c r="L92" s="692"/>
      <c r="M92" s="193" t="e">
        <f>RANK(K92, K$77:$K$106)</f>
        <v>#VALUE!</v>
      </c>
      <c r="N92" s="640"/>
      <c r="O92" s="640"/>
      <c r="P92" s="538"/>
      <c r="Q92" s="540"/>
      <c r="R92" s="540"/>
      <c r="S92" s="538"/>
      <c r="T92" s="633"/>
      <c r="U92" s="538"/>
      <c r="V92" s="540"/>
      <c r="W92" s="540"/>
      <c r="X92" s="538"/>
      <c r="Y92" s="633"/>
      <c r="Z92" s="538"/>
      <c r="AA92" s="540"/>
      <c r="AB92" s="540"/>
      <c r="AC92" s="538"/>
      <c r="AD92" s="633"/>
      <c r="AE92" s="538"/>
      <c r="AF92" s="540"/>
      <c r="AG92" s="540"/>
      <c r="AH92" s="538"/>
      <c r="AI92" s="633"/>
      <c r="AJ92" s="538"/>
      <c r="AK92" s="540"/>
      <c r="AL92" s="540"/>
      <c r="AM92" s="538"/>
      <c r="AN92" s="633"/>
      <c r="AO92" s="538"/>
      <c r="AP92" s="540"/>
      <c r="AQ92" s="540"/>
      <c r="AR92" s="538"/>
      <c r="AS92" s="633"/>
      <c r="AT92" s="538"/>
      <c r="AU92" s="540"/>
      <c r="AV92" s="540"/>
      <c r="AW92" s="538"/>
      <c r="AX92" s="633"/>
      <c r="AZ92" s="361" t="e">
        <f t="shared" si="37"/>
        <v>#N/A</v>
      </c>
      <c r="BA92" s="633"/>
    </row>
    <row r="93" spans="2:53">
      <c r="B93" s="679"/>
      <c r="C93" s="287">
        <v>17</v>
      </c>
      <c r="D93" s="196"/>
      <c r="E93" s="196"/>
      <c r="F93" s="196"/>
      <c r="G93" s="554"/>
      <c r="H93" s="633"/>
      <c r="I93" s="352" t="str">
        <f t="shared" si="39"/>
        <v>-</v>
      </c>
      <c r="J93" s="352" t="str">
        <f t="shared" si="40"/>
        <v>-</v>
      </c>
      <c r="K93" s="194" t="str">
        <f t="shared" si="41"/>
        <v>-</v>
      </c>
      <c r="L93" s="692"/>
      <c r="M93" s="193" t="e">
        <f>RANK(K93, K$77:$K$106)</f>
        <v>#VALUE!</v>
      </c>
      <c r="N93" s="640"/>
      <c r="O93" s="640"/>
      <c r="P93" s="538"/>
      <c r="Q93" s="540"/>
      <c r="R93" s="540"/>
      <c r="S93" s="538"/>
      <c r="T93" s="633"/>
      <c r="U93" s="538"/>
      <c r="V93" s="540"/>
      <c r="W93" s="540"/>
      <c r="X93" s="538"/>
      <c r="Y93" s="633"/>
      <c r="Z93" s="538"/>
      <c r="AA93" s="540"/>
      <c r="AB93" s="540"/>
      <c r="AC93" s="538"/>
      <c r="AD93" s="633"/>
      <c r="AE93" s="538"/>
      <c r="AF93" s="540"/>
      <c r="AG93" s="540"/>
      <c r="AH93" s="538"/>
      <c r="AI93" s="633"/>
      <c r="AJ93" s="538"/>
      <c r="AK93" s="540"/>
      <c r="AL93" s="540"/>
      <c r="AM93" s="538"/>
      <c r="AN93" s="633"/>
      <c r="AO93" s="538"/>
      <c r="AP93" s="540"/>
      <c r="AQ93" s="540"/>
      <c r="AR93" s="538"/>
      <c r="AS93" s="633"/>
      <c r="AT93" s="538"/>
      <c r="AU93" s="540"/>
      <c r="AV93" s="540"/>
      <c r="AW93" s="538"/>
      <c r="AX93" s="633"/>
      <c r="AZ93" s="361" t="e">
        <f t="shared" si="37"/>
        <v>#N/A</v>
      </c>
      <c r="BA93" s="633"/>
    </row>
    <row r="94" spans="2:53">
      <c r="B94" s="679"/>
      <c r="C94" s="287">
        <v>18</v>
      </c>
      <c r="D94" s="556"/>
      <c r="E94" s="196"/>
      <c r="F94" s="196"/>
      <c r="G94" s="554"/>
      <c r="H94" s="633"/>
      <c r="I94" s="352" t="str">
        <f t="shared" si="39"/>
        <v>-</v>
      </c>
      <c r="J94" s="352" t="str">
        <f t="shared" si="40"/>
        <v>-</v>
      </c>
      <c r="K94" s="194" t="str">
        <f t="shared" si="41"/>
        <v>-</v>
      </c>
      <c r="L94" s="692"/>
      <c r="M94" s="193" t="e">
        <f>RANK(K94, K$77:$K$106)</f>
        <v>#VALUE!</v>
      </c>
      <c r="N94" s="640"/>
      <c r="O94" s="640"/>
      <c r="P94" s="538"/>
      <c r="Q94" s="540"/>
      <c r="R94" s="540"/>
      <c r="S94" s="538"/>
      <c r="T94" s="633"/>
      <c r="U94" s="538"/>
      <c r="V94" s="540"/>
      <c r="W94" s="540"/>
      <c r="X94" s="538"/>
      <c r="Y94" s="633"/>
      <c r="Z94" s="538"/>
      <c r="AA94" s="540"/>
      <c r="AB94" s="540"/>
      <c r="AC94" s="538"/>
      <c r="AD94" s="633"/>
      <c r="AE94" s="538"/>
      <c r="AF94" s="540"/>
      <c r="AG94" s="540"/>
      <c r="AH94" s="538"/>
      <c r="AI94" s="633"/>
      <c r="AJ94" s="538"/>
      <c r="AK94" s="540"/>
      <c r="AL94" s="540"/>
      <c r="AM94" s="538"/>
      <c r="AN94" s="633"/>
      <c r="AO94" s="538"/>
      <c r="AP94" s="540"/>
      <c r="AQ94" s="540"/>
      <c r="AR94" s="538"/>
      <c r="AS94" s="633"/>
      <c r="AT94" s="538"/>
      <c r="AU94" s="540"/>
      <c r="AV94" s="540"/>
      <c r="AW94" s="538"/>
      <c r="AX94" s="633"/>
      <c r="AZ94" s="361" t="e">
        <f t="shared" si="37"/>
        <v>#N/A</v>
      </c>
      <c r="BA94" s="633"/>
    </row>
    <row r="95" spans="2:53">
      <c r="B95" s="679"/>
      <c r="C95" s="287">
        <v>19</v>
      </c>
      <c r="D95" s="556"/>
      <c r="E95" s="196"/>
      <c r="F95" s="196"/>
      <c r="G95" s="554"/>
      <c r="H95" s="633"/>
      <c r="I95" s="352" t="str">
        <f t="shared" si="39"/>
        <v>-</v>
      </c>
      <c r="J95" s="352" t="str">
        <f t="shared" si="40"/>
        <v>-</v>
      </c>
      <c r="K95" s="194" t="str">
        <f t="shared" si="41"/>
        <v>-</v>
      </c>
      <c r="L95" s="692"/>
      <c r="M95" s="193" t="e">
        <f>RANK(K95, K$77:$K$106)</f>
        <v>#VALUE!</v>
      </c>
      <c r="N95" s="640"/>
      <c r="O95" s="640"/>
      <c r="P95" s="538"/>
      <c r="Q95" s="540"/>
      <c r="R95" s="540"/>
      <c r="S95" s="538"/>
      <c r="T95" s="633"/>
      <c r="U95" s="538"/>
      <c r="V95" s="540"/>
      <c r="W95" s="540"/>
      <c r="X95" s="538"/>
      <c r="Y95" s="633"/>
      <c r="Z95" s="538"/>
      <c r="AA95" s="540"/>
      <c r="AB95" s="540"/>
      <c r="AC95" s="538"/>
      <c r="AD95" s="633"/>
      <c r="AE95" s="538"/>
      <c r="AF95" s="540"/>
      <c r="AG95" s="540"/>
      <c r="AH95" s="538"/>
      <c r="AI95" s="633"/>
      <c r="AJ95" s="538"/>
      <c r="AK95" s="540"/>
      <c r="AL95" s="540"/>
      <c r="AM95" s="538"/>
      <c r="AN95" s="633"/>
      <c r="AO95" s="538"/>
      <c r="AP95" s="540"/>
      <c r="AQ95" s="540"/>
      <c r="AR95" s="538"/>
      <c r="AS95" s="633"/>
      <c r="AT95" s="538"/>
      <c r="AU95" s="540"/>
      <c r="AV95" s="540"/>
      <c r="AW95" s="538"/>
      <c r="AX95" s="633"/>
      <c r="AZ95" s="361" t="e">
        <f t="shared" si="37"/>
        <v>#N/A</v>
      </c>
      <c r="BA95" s="633"/>
    </row>
    <row r="96" spans="2:53">
      <c r="B96" s="679"/>
      <c r="C96" s="287">
        <v>20</v>
      </c>
      <c r="D96" s="556"/>
      <c r="E96" s="196"/>
      <c r="F96" s="196"/>
      <c r="G96" s="554"/>
      <c r="H96" s="633"/>
      <c r="I96" s="352" t="str">
        <f t="shared" si="39"/>
        <v>-</v>
      </c>
      <c r="J96" s="352" t="str">
        <f t="shared" si="40"/>
        <v>-</v>
      </c>
      <c r="K96" s="194" t="str">
        <f t="shared" si="41"/>
        <v>-</v>
      </c>
      <c r="L96" s="692"/>
      <c r="M96" s="193" t="e">
        <f>RANK(K96, K$77:$K$106)</f>
        <v>#VALUE!</v>
      </c>
      <c r="N96" s="640"/>
      <c r="O96" s="640"/>
      <c r="P96" s="538"/>
      <c r="Q96" s="540"/>
      <c r="R96" s="540"/>
      <c r="S96" s="538"/>
      <c r="T96" s="633"/>
      <c r="U96" s="538"/>
      <c r="V96" s="540"/>
      <c r="W96" s="540"/>
      <c r="X96" s="538"/>
      <c r="Y96" s="633"/>
      <c r="Z96" s="538"/>
      <c r="AA96" s="540"/>
      <c r="AB96" s="540"/>
      <c r="AC96" s="538"/>
      <c r="AD96" s="633"/>
      <c r="AE96" s="538"/>
      <c r="AF96" s="540"/>
      <c r="AG96" s="540"/>
      <c r="AH96" s="538"/>
      <c r="AI96" s="633"/>
      <c r="AJ96" s="538"/>
      <c r="AK96" s="540"/>
      <c r="AL96" s="540"/>
      <c r="AM96" s="538"/>
      <c r="AN96" s="633"/>
      <c r="AO96" s="538"/>
      <c r="AP96" s="540"/>
      <c r="AQ96" s="540"/>
      <c r="AR96" s="538"/>
      <c r="AS96" s="633"/>
      <c r="AT96" s="538"/>
      <c r="AU96" s="540"/>
      <c r="AV96" s="540"/>
      <c r="AW96" s="538"/>
      <c r="AX96" s="633"/>
      <c r="AZ96" s="361" t="e">
        <f t="shared" si="37"/>
        <v>#N/A</v>
      </c>
      <c r="BA96" s="633"/>
    </row>
    <row r="97" spans="2:53">
      <c r="B97" s="679"/>
      <c r="C97" s="287">
        <v>21</v>
      </c>
      <c r="D97" s="556"/>
      <c r="E97" s="196"/>
      <c r="F97" s="196"/>
      <c r="G97" s="554"/>
      <c r="H97" s="633"/>
      <c r="I97" s="352" t="str">
        <f t="shared" si="39"/>
        <v>-</v>
      </c>
      <c r="J97" s="352" t="str">
        <f t="shared" si="40"/>
        <v>-</v>
      </c>
      <c r="K97" s="194" t="str">
        <f t="shared" si="41"/>
        <v>-</v>
      </c>
      <c r="L97" s="692"/>
      <c r="M97" s="193" t="e">
        <f>RANK(K97, K$77:$K$106)</f>
        <v>#VALUE!</v>
      </c>
      <c r="N97" s="640"/>
      <c r="O97" s="640"/>
      <c r="P97" s="538"/>
      <c r="Q97" s="540"/>
      <c r="R97" s="540"/>
      <c r="S97" s="538"/>
      <c r="T97" s="633"/>
      <c r="U97" s="538"/>
      <c r="V97" s="540"/>
      <c r="W97" s="540"/>
      <c r="X97" s="538"/>
      <c r="Y97" s="633"/>
      <c r="Z97" s="538"/>
      <c r="AA97" s="540"/>
      <c r="AB97" s="540"/>
      <c r="AC97" s="538"/>
      <c r="AD97" s="633"/>
      <c r="AE97" s="538"/>
      <c r="AF97" s="540"/>
      <c r="AG97" s="540"/>
      <c r="AH97" s="538"/>
      <c r="AI97" s="633"/>
      <c r="AJ97" s="538"/>
      <c r="AK97" s="540"/>
      <c r="AL97" s="540"/>
      <c r="AM97" s="538"/>
      <c r="AN97" s="633"/>
      <c r="AO97" s="538"/>
      <c r="AP97" s="540"/>
      <c r="AQ97" s="540"/>
      <c r="AR97" s="538"/>
      <c r="AS97" s="633"/>
      <c r="AT97" s="538"/>
      <c r="AU97" s="540"/>
      <c r="AV97" s="540"/>
      <c r="AW97" s="538"/>
      <c r="AX97" s="633"/>
      <c r="AZ97" s="361" t="e">
        <f t="shared" si="37"/>
        <v>#N/A</v>
      </c>
      <c r="BA97" s="633"/>
    </row>
    <row r="98" spans="2:53">
      <c r="B98" s="679"/>
      <c r="C98" s="287">
        <v>22</v>
      </c>
      <c r="D98" s="556"/>
      <c r="E98" s="196"/>
      <c r="F98" s="196"/>
      <c r="G98" s="554"/>
      <c r="H98" s="633"/>
      <c r="I98" s="352" t="str">
        <f t="shared" si="39"/>
        <v>-</v>
      </c>
      <c r="J98" s="352" t="str">
        <f t="shared" si="40"/>
        <v>-</v>
      </c>
      <c r="K98" s="194" t="str">
        <f t="shared" si="41"/>
        <v>-</v>
      </c>
      <c r="L98" s="692"/>
      <c r="M98" s="193" t="e">
        <f>RANK(K98, K$77:$K$106)</f>
        <v>#VALUE!</v>
      </c>
      <c r="N98" s="640"/>
      <c r="O98" s="640"/>
      <c r="P98" s="538"/>
      <c r="Q98" s="540"/>
      <c r="R98" s="540"/>
      <c r="S98" s="538"/>
      <c r="T98" s="633"/>
      <c r="U98" s="538"/>
      <c r="V98" s="540"/>
      <c r="W98" s="540"/>
      <c r="X98" s="538"/>
      <c r="Y98" s="633"/>
      <c r="Z98" s="538"/>
      <c r="AA98" s="540"/>
      <c r="AB98" s="540"/>
      <c r="AC98" s="538"/>
      <c r="AD98" s="633"/>
      <c r="AE98" s="538"/>
      <c r="AF98" s="540"/>
      <c r="AG98" s="540"/>
      <c r="AH98" s="538"/>
      <c r="AI98" s="633"/>
      <c r="AJ98" s="538"/>
      <c r="AK98" s="540"/>
      <c r="AL98" s="540"/>
      <c r="AM98" s="538"/>
      <c r="AN98" s="633"/>
      <c r="AO98" s="538"/>
      <c r="AP98" s="540"/>
      <c r="AQ98" s="540"/>
      <c r="AR98" s="538"/>
      <c r="AS98" s="633"/>
      <c r="AT98" s="538"/>
      <c r="AU98" s="540"/>
      <c r="AV98" s="540"/>
      <c r="AW98" s="538"/>
      <c r="AX98" s="633"/>
      <c r="AZ98" s="361" t="e">
        <f t="shared" si="37"/>
        <v>#N/A</v>
      </c>
      <c r="BA98" s="633"/>
    </row>
    <row r="99" spans="2:53">
      <c r="B99" s="679"/>
      <c r="C99" s="287">
        <v>23</v>
      </c>
      <c r="D99" s="196"/>
      <c r="E99" s="196"/>
      <c r="F99" s="196"/>
      <c r="G99" s="554"/>
      <c r="H99" s="633"/>
      <c r="I99" s="352" t="str">
        <f t="shared" si="39"/>
        <v>-</v>
      </c>
      <c r="J99" s="352" t="str">
        <f t="shared" si="40"/>
        <v>-</v>
      </c>
      <c r="K99" s="194" t="str">
        <f t="shared" si="41"/>
        <v>-</v>
      </c>
      <c r="L99" s="692"/>
      <c r="M99" s="193" t="e">
        <f>RANK(K99, K$77:$K$106)</f>
        <v>#VALUE!</v>
      </c>
      <c r="N99" s="640"/>
      <c r="O99" s="640"/>
      <c r="P99" s="538"/>
      <c r="Q99" s="540"/>
      <c r="R99" s="540"/>
      <c r="S99" s="538"/>
      <c r="T99" s="633"/>
      <c r="U99" s="538"/>
      <c r="V99" s="540"/>
      <c r="W99" s="540"/>
      <c r="X99" s="538"/>
      <c r="Y99" s="633"/>
      <c r="Z99" s="538"/>
      <c r="AA99" s="540"/>
      <c r="AB99" s="540"/>
      <c r="AC99" s="538"/>
      <c r="AD99" s="633"/>
      <c r="AE99" s="538"/>
      <c r="AF99" s="540"/>
      <c r="AG99" s="540"/>
      <c r="AH99" s="538"/>
      <c r="AI99" s="633"/>
      <c r="AJ99" s="538"/>
      <c r="AK99" s="540"/>
      <c r="AL99" s="540"/>
      <c r="AM99" s="538"/>
      <c r="AN99" s="633"/>
      <c r="AO99" s="538"/>
      <c r="AP99" s="540"/>
      <c r="AQ99" s="540"/>
      <c r="AR99" s="538"/>
      <c r="AS99" s="633"/>
      <c r="AT99" s="538"/>
      <c r="AU99" s="540"/>
      <c r="AV99" s="540"/>
      <c r="AW99" s="538"/>
      <c r="AX99" s="633"/>
      <c r="AZ99" s="361" t="e">
        <f t="shared" si="37"/>
        <v>#N/A</v>
      </c>
      <c r="BA99" s="633"/>
    </row>
    <row r="100" spans="2:53">
      <c r="B100" s="679"/>
      <c r="C100" s="287">
        <v>24</v>
      </c>
      <c r="D100" s="556"/>
      <c r="E100" s="196"/>
      <c r="F100" s="196"/>
      <c r="G100" s="554"/>
      <c r="H100" s="633"/>
      <c r="I100" s="352" t="str">
        <f t="shared" si="39"/>
        <v>-</v>
      </c>
      <c r="J100" s="352" t="str">
        <f t="shared" si="40"/>
        <v>-</v>
      </c>
      <c r="K100" s="194" t="str">
        <f t="shared" si="41"/>
        <v>-</v>
      </c>
      <c r="L100" s="692"/>
      <c r="M100" s="193" t="e">
        <f>RANK(K100, K$77:$K$106)</f>
        <v>#VALUE!</v>
      </c>
      <c r="N100" s="640"/>
      <c r="O100" s="640"/>
      <c r="P100" s="538"/>
      <c r="Q100" s="540"/>
      <c r="R100" s="540"/>
      <c r="S100" s="538"/>
      <c r="T100" s="633"/>
      <c r="U100" s="538"/>
      <c r="V100" s="540"/>
      <c r="W100" s="540"/>
      <c r="X100" s="538"/>
      <c r="Y100" s="633"/>
      <c r="Z100" s="538"/>
      <c r="AA100" s="540"/>
      <c r="AB100" s="540"/>
      <c r="AC100" s="538"/>
      <c r="AD100" s="633"/>
      <c r="AE100" s="538"/>
      <c r="AF100" s="540"/>
      <c r="AG100" s="540"/>
      <c r="AH100" s="538"/>
      <c r="AI100" s="633"/>
      <c r="AJ100" s="538"/>
      <c r="AK100" s="540"/>
      <c r="AL100" s="540"/>
      <c r="AM100" s="538"/>
      <c r="AN100" s="633"/>
      <c r="AO100" s="538"/>
      <c r="AP100" s="540"/>
      <c r="AQ100" s="540"/>
      <c r="AR100" s="538"/>
      <c r="AS100" s="633"/>
      <c r="AT100" s="538"/>
      <c r="AU100" s="540"/>
      <c r="AV100" s="540"/>
      <c r="AW100" s="538"/>
      <c r="AX100" s="633"/>
      <c r="AZ100" s="361" t="e">
        <f t="shared" si="37"/>
        <v>#N/A</v>
      </c>
      <c r="BA100" s="633"/>
    </row>
    <row r="101" spans="2:53">
      <c r="B101" s="679"/>
      <c r="C101" s="287">
        <v>25</v>
      </c>
      <c r="D101" s="196"/>
      <c r="E101" s="196"/>
      <c r="F101" s="196"/>
      <c r="G101" s="554"/>
      <c r="H101" s="633"/>
      <c r="I101" s="352" t="str">
        <f t="shared" si="39"/>
        <v>-</v>
      </c>
      <c r="J101" s="352" t="str">
        <f t="shared" si="40"/>
        <v>-</v>
      </c>
      <c r="K101" s="194" t="str">
        <f t="shared" si="41"/>
        <v>-</v>
      </c>
      <c r="L101" s="692"/>
      <c r="M101" s="193" t="e">
        <f>RANK(K101, K$77:$K$106)</f>
        <v>#VALUE!</v>
      </c>
      <c r="N101" s="640"/>
      <c r="O101" s="640"/>
      <c r="P101" s="538"/>
      <c r="Q101" s="540"/>
      <c r="R101" s="540"/>
      <c r="S101" s="538"/>
      <c r="T101" s="633"/>
      <c r="U101" s="538"/>
      <c r="V101" s="540"/>
      <c r="W101" s="540"/>
      <c r="X101" s="538"/>
      <c r="Y101" s="633"/>
      <c r="Z101" s="538"/>
      <c r="AA101" s="540"/>
      <c r="AB101" s="540"/>
      <c r="AC101" s="538"/>
      <c r="AD101" s="633"/>
      <c r="AE101" s="538"/>
      <c r="AF101" s="540"/>
      <c r="AG101" s="540"/>
      <c r="AH101" s="538"/>
      <c r="AI101" s="633"/>
      <c r="AJ101" s="538"/>
      <c r="AK101" s="540"/>
      <c r="AL101" s="540"/>
      <c r="AM101" s="538"/>
      <c r="AN101" s="633"/>
      <c r="AO101" s="538"/>
      <c r="AP101" s="540"/>
      <c r="AQ101" s="540"/>
      <c r="AR101" s="538"/>
      <c r="AS101" s="633"/>
      <c r="AT101" s="538"/>
      <c r="AU101" s="540"/>
      <c r="AV101" s="540"/>
      <c r="AW101" s="538"/>
      <c r="AX101" s="633"/>
      <c r="AZ101" s="361" t="e">
        <f t="shared" si="37"/>
        <v>#N/A</v>
      </c>
      <c r="BA101" s="633"/>
    </row>
    <row r="102" spans="2:53">
      <c r="B102" s="679"/>
      <c r="C102" s="287">
        <v>26</v>
      </c>
      <c r="D102" s="196"/>
      <c r="E102" s="196"/>
      <c r="F102" s="196"/>
      <c r="G102" s="554"/>
      <c r="H102" s="633"/>
      <c r="I102" s="352" t="str">
        <f t="shared" si="39"/>
        <v>-</v>
      </c>
      <c r="J102" s="352" t="str">
        <f t="shared" si="40"/>
        <v>-</v>
      </c>
      <c r="K102" s="194" t="str">
        <f t="shared" si="41"/>
        <v>-</v>
      </c>
      <c r="L102" s="692"/>
      <c r="M102" s="193" t="e">
        <f>RANK(K102, K$77:$K$106)</f>
        <v>#VALUE!</v>
      </c>
      <c r="N102" s="640"/>
      <c r="O102" s="640"/>
      <c r="P102" s="538"/>
      <c r="Q102" s="540"/>
      <c r="R102" s="540"/>
      <c r="S102" s="538"/>
      <c r="T102" s="633"/>
      <c r="U102" s="538"/>
      <c r="V102" s="540"/>
      <c r="W102" s="540"/>
      <c r="X102" s="538"/>
      <c r="Y102" s="633"/>
      <c r="Z102" s="538"/>
      <c r="AA102" s="540"/>
      <c r="AB102" s="540"/>
      <c r="AC102" s="538"/>
      <c r="AD102" s="633"/>
      <c r="AE102" s="538"/>
      <c r="AF102" s="540"/>
      <c r="AG102" s="540"/>
      <c r="AH102" s="538"/>
      <c r="AI102" s="633"/>
      <c r="AJ102" s="538"/>
      <c r="AK102" s="540"/>
      <c r="AL102" s="540"/>
      <c r="AM102" s="538"/>
      <c r="AN102" s="633"/>
      <c r="AO102" s="538"/>
      <c r="AP102" s="540"/>
      <c r="AQ102" s="540"/>
      <c r="AR102" s="538"/>
      <c r="AS102" s="633"/>
      <c r="AT102" s="538"/>
      <c r="AU102" s="540"/>
      <c r="AV102" s="540"/>
      <c r="AW102" s="538"/>
      <c r="AX102" s="633"/>
      <c r="AZ102" s="361" t="e">
        <f t="shared" si="37"/>
        <v>#N/A</v>
      </c>
      <c r="BA102" s="633"/>
    </row>
    <row r="103" spans="2:53">
      <c r="B103" s="679"/>
      <c r="C103" s="287">
        <v>27</v>
      </c>
      <c r="D103" s="196"/>
      <c r="E103" s="196"/>
      <c r="F103" s="196"/>
      <c r="G103" s="554"/>
      <c r="H103" s="633"/>
      <c r="I103" s="352" t="str">
        <f t="shared" si="39"/>
        <v>-</v>
      </c>
      <c r="J103" s="352" t="str">
        <f t="shared" si="40"/>
        <v>-</v>
      </c>
      <c r="K103" s="194" t="str">
        <f t="shared" si="41"/>
        <v>-</v>
      </c>
      <c r="L103" s="692"/>
      <c r="M103" s="193" t="e">
        <f>RANK(K103, K$77:$K$106)</f>
        <v>#VALUE!</v>
      </c>
      <c r="N103" s="640"/>
      <c r="O103" s="640"/>
      <c r="P103" s="538"/>
      <c r="Q103" s="540"/>
      <c r="R103" s="540"/>
      <c r="S103" s="538"/>
      <c r="T103" s="633"/>
      <c r="U103" s="538"/>
      <c r="V103" s="540"/>
      <c r="W103" s="540"/>
      <c r="X103" s="538"/>
      <c r="Y103" s="633"/>
      <c r="Z103" s="538"/>
      <c r="AA103" s="540"/>
      <c r="AB103" s="540"/>
      <c r="AC103" s="538"/>
      <c r="AD103" s="633"/>
      <c r="AE103" s="538"/>
      <c r="AF103" s="540"/>
      <c r="AG103" s="540"/>
      <c r="AH103" s="538"/>
      <c r="AI103" s="633"/>
      <c r="AJ103" s="538"/>
      <c r="AK103" s="540"/>
      <c r="AL103" s="540"/>
      <c r="AM103" s="538"/>
      <c r="AN103" s="633"/>
      <c r="AO103" s="538"/>
      <c r="AP103" s="540"/>
      <c r="AQ103" s="540"/>
      <c r="AR103" s="538"/>
      <c r="AS103" s="633"/>
      <c r="AT103" s="538"/>
      <c r="AU103" s="540"/>
      <c r="AV103" s="540"/>
      <c r="AW103" s="538"/>
      <c r="AX103" s="633"/>
      <c r="AZ103" s="361" t="e">
        <f t="shared" si="37"/>
        <v>#N/A</v>
      </c>
      <c r="BA103" s="633"/>
    </row>
    <row r="104" spans="2:53">
      <c r="B104" s="679"/>
      <c r="C104" s="287">
        <v>28</v>
      </c>
      <c r="D104" s="196"/>
      <c r="E104" s="196"/>
      <c r="F104" s="196"/>
      <c r="G104" s="196"/>
      <c r="H104" s="633"/>
      <c r="I104" s="352" t="str">
        <f t="shared" si="39"/>
        <v>-</v>
      </c>
      <c r="J104" s="352" t="str">
        <f t="shared" si="40"/>
        <v>-</v>
      </c>
      <c r="K104" s="194" t="str">
        <f t="shared" si="41"/>
        <v>-</v>
      </c>
      <c r="L104" s="692"/>
      <c r="M104" s="193" t="e">
        <f>RANK(K104, K$77:$K$106)</f>
        <v>#VALUE!</v>
      </c>
      <c r="N104" s="640"/>
      <c r="O104" s="640"/>
      <c r="P104" s="538"/>
      <c r="Q104" s="540"/>
      <c r="R104" s="540"/>
      <c r="S104" s="538"/>
      <c r="T104" s="633"/>
      <c r="U104" s="538"/>
      <c r="V104" s="540"/>
      <c r="W104" s="540"/>
      <c r="X104" s="538"/>
      <c r="Y104" s="633"/>
      <c r="Z104" s="538"/>
      <c r="AA104" s="540"/>
      <c r="AB104" s="540"/>
      <c r="AC104" s="538"/>
      <c r="AD104" s="633"/>
      <c r="AE104" s="538"/>
      <c r="AF104" s="540"/>
      <c r="AG104" s="540"/>
      <c r="AH104" s="538"/>
      <c r="AI104" s="633"/>
      <c r="AJ104" s="538"/>
      <c r="AK104" s="540"/>
      <c r="AL104" s="540"/>
      <c r="AM104" s="538"/>
      <c r="AN104" s="633"/>
      <c r="AO104" s="538"/>
      <c r="AP104" s="540"/>
      <c r="AQ104" s="540"/>
      <c r="AR104" s="538"/>
      <c r="AS104" s="633"/>
      <c r="AT104" s="538"/>
      <c r="AU104" s="540"/>
      <c r="AV104" s="540"/>
      <c r="AW104" s="538"/>
      <c r="AX104" s="633"/>
      <c r="AZ104" s="361" t="e">
        <f t="shared" si="37"/>
        <v>#N/A</v>
      </c>
      <c r="BA104" s="633"/>
    </row>
    <row r="105" spans="2:53">
      <c r="B105" s="679"/>
      <c r="C105" s="287">
        <v>29</v>
      </c>
      <c r="D105" s="196"/>
      <c r="E105" s="196"/>
      <c r="F105" s="196"/>
      <c r="G105" s="196"/>
      <c r="H105" s="633"/>
      <c r="I105" s="352" t="str">
        <f t="shared" si="39"/>
        <v>-</v>
      </c>
      <c r="J105" s="352" t="str">
        <f t="shared" si="40"/>
        <v>-</v>
      </c>
      <c r="K105" s="194" t="str">
        <f t="shared" si="41"/>
        <v>-</v>
      </c>
      <c r="L105" s="692"/>
      <c r="M105" s="193" t="e">
        <f>RANK(K105, K$77:$K$106)</f>
        <v>#VALUE!</v>
      </c>
      <c r="N105" s="640"/>
      <c r="O105" s="640"/>
      <c r="P105" s="538"/>
      <c r="Q105" s="540"/>
      <c r="R105" s="540"/>
      <c r="S105" s="538"/>
      <c r="T105" s="633"/>
      <c r="U105" s="538"/>
      <c r="V105" s="540"/>
      <c r="W105" s="540"/>
      <c r="X105" s="538"/>
      <c r="Y105" s="633"/>
      <c r="Z105" s="538"/>
      <c r="AA105" s="540"/>
      <c r="AB105" s="540"/>
      <c r="AC105" s="538"/>
      <c r="AD105" s="633"/>
      <c r="AE105" s="538"/>
      <c r="AF105" s="540"/>
      <c r="AG105" s="540"/>
      <c r="AH105" s="538"/>
      <c r="AI105" s="633"/>
      <c r="AJ105" s="538"/>
      <c r="AK105" s="540"/>
      <c r="AL105" s="540"/>
      <c r="AM105" s="538"/>
      <c r="AN105" s="633"/>
      <c r="AO105" s="538"/>
      <c r="AP105" s="540"/>
      <c r="AQ105" s="540"/>
      <c r="AR105" s="538"/>
      <c r="AS105" s="633"/>
      <c r="AT105" s="538"/>
      <c r="AU105" s="540"/>
      <c r="AV105" s="540"/>
      <c r="AW105" s="538"/>
      <c r="AX105" s="633"/>
      <c r="AZ105" s="361" t="e">
        <f t="shared" si="37"/>
        <v>#N/A</v>
      </c>
      <c r="BA105" s="633"/>
    </row>
    <row r="106" spans="2:53">
      <c r="B106" s="680"/>
      <c r="C106" s="287">
        <v>30</v>
      </c>
      <c r="D106" s="196"/>
      <c r="E106" s="196"/>
      <c r="F106" s="196"/>
      <c r="G106" s="196"/>
      <c r="H106" s="634"/>
      <c r="I106" s="352" t="str">
        <f t="shared" si="39"/>
        <v>-</v>
      </c>
      <c r="J106" s="352" t="str">
        <f t="shared" si="40"/>
        <v>-</v>
      </c>
      <c r="K106" s="194" t="str">
        <f t="shared" si="41"/>
        <v>-</v>
      </c>
      <c r="L106" s="693"/>
      <c r="M106" s="193" t="e">
        <f>RANK(K106, K$77:$K$106)</f>
        <v>#VALUE!</v>
      </c>
      <c r="N106" s="641"/>
      <c r="O106" s="641"/>
      <c r="P106" s="538"/>
      <c r="Q106" s="540"/>
      <c r="R106" s="540"/>
      <c r="S106" s="538"/>
      <c r="T106" s="634"/>
      <c r="U106" s="538"/>
      <c r="V106" s="540"/>
      <c r="W106" s="540"/>
      <c r="X106" s="538"/>
      <c r="Y106" s="634"/>
      <c r="Z106" s="538"/>
      <c r="AA106" s="540"/>
      <c r="AB106" s="540"/>
      <c r="AC106" s="538"/>
      <c r="AD106" s="634"/>
      <c r="AE106" s="538"/>
      <c r="AF106" s="540"/>
      <c r="AG106" s="540"/>
      <c r="AH106" s="538"/>
      <c r="AI106" s="634"/>
      <c r="AJ106" s="538"/>
      <c r="AK106" s="540"/>
      <c r="AL106" s="540"/>
      <c r="AM106" s="538"/>
      <c r="AN106" s="634"/>
      <c r="AO106" s="538"/>
      <c r="AP106" s="540"/>
      <c r="AQ106" s="540"/>
      <c r="AR106" s="538"/>
      <c r="AS106" s="634"/>
      <c r="AT106" s="538"/>
      <c r="AU106" s="540"/>
      <c r="AV106" s="540"/>
      <c r="AW106" s="538"/>
      <c r="AX106" s="634"/>
      <c r="AZ106" s="361" t="e">
        <f t="shared" si="37"/>
        <v>#N/A</v>
      </c>
      <c r="BA106" s="634"/>
    </row>
    <row r="107" spans="2:53" ht="15.75">
      <c r="B107" s="665" t="s">
        <v>162</v>
      </c>
      <c r="C107" s="666"/>
      <c r="D107" s="666"/>
      <c r="E107" s="666"/>
      <c r="F107" s="666"/>
      <c r="G107" s="666"/>
      <c r="H107" s="667"/>
      <c r="I107" s="202"/>
      <c r="J107" s="202"/>
      <c r="K107" s="202"/>
      <c r="L107" s="202"/>
      <c r="M107" s="201"/>
      <c r="N107" s="639" t="s">
        <v>156</v>
      </c>
      <c r="O107" s="639" t="s">
        <v>155</v>
      </c>
      <c r="P107" s="664">
        <f>P72+7</f>
        <v>46315</v>
      </c>
      <c r="Q107" s="643"/>
      <c r="R107" s="643"/>
      <c r="S107" s="643"/>
      <c r="T107" s="643"/>
      <c r="U107" s="661">
        <f>P107+1</f>
        <v>46316</v>
      </c>
      <c r="V107" s="662"/>
      <c r="W107" s="662"/>
      <c r="X107" s="662"/>
      <c r="Y107" s="663"/>
      <c r="Z107" s="661">
        <f>U107+1</f>
        <v>46317</v>
      </c>
      <c r="AA107" s="662"/>
      <c r="AB107" s="662"/>
      <c r="AC107" s="662"/>
      <c r="AD107" s="663"/>
      <c r="AE107" s="661">
        <f>Z107+1</f>
        <v>46318</v>
      </c>
      <c r="AF107" s="662"/>
      <c r="AG107" s="662"/>
      <c r="AH107" s="662"/>
      <c r="AI107" s="663"/>
      <c r="AJ107" s="661">
        <f>AE107+1</f>
        <v>46319</v>
      </c>
      <c r="AK107" s="662"/>
      <c r="AL107" s="662"/>
      <c r="AM107" s="662"/>
      <c r="AN107" s="663"/>
      <c r="AO107" s="661">
        <f>AJ107+1</f>
        <v>46320</v>
      </c>
      <c r="AP107" s="662"/>
      <c r="AQ107" s="662"/>
      <c r="AR107" s="662"/>
      <c r="AS107" s="663"/>
      <c r="AT107" s="661">
        <f>AO107+1</f>
        <v>46321</v>
      </c>
      <c r="AU107" s="662"/>
      <c r="AV107" s="662"/>
      <c r="AW107" s="662"/>
      <c r="AX107" s="663"/>
    </row>
    <row r="108" spans="2:53" ht="15.75">
      <c r="B108" s="668"/>
      <c r="C108" s="668"/>
      <c r="D108" s="668"/>
      <c r="E108" s="668"/>
      <c r="F108" s="668"/>
      <c r="G108" s="668"/>
      <c r="H108" s="668"/>
      <c r="I108" s="199"/>
      <c r="J108" s="199"/>
      <c r="K108" s="199"/>
      <c r="L108" s="199"/>
      <c r="M108" s="200"/>
      <c r="N108" s="641"/>
      <c r="O108" s="641"/>
      <c r="P108" s="664" t="s">
        <v>317</v>
      </c>
      <c r="Q108" s="643"/>
      <c r="R108" s="643"/>
      <c r="S108" s="643"/>
      <c r="T108" s="643"/>
      <c r="U108" s="664" t="s">
        <v>318</v>
      </c>
      <c r="V108" s="643"/>
      <c r="W108" s="643"/>
      <c r="X108" s="643"/>
      <c r="Y108" s="643"/>
      <c r="Z108" s="664" t="s">
        <v>319</v>
      </c>
      <c r="AA108" s="643"/>
      <c r="AB108" s="643"/>
      <c r="AC108" s="643"/>
      <c r="AD108" s="643"/>
      <c r="AE108" s="664" t="s">
        <v>320</v>
      </c>
      <c r="AF108" s="643"/>
      <c r="AG108" s="643"/>
      <c r="AH108" s="643"/>
      <c r="AI108" s="643"/>
      <c r="AJ108" s="664" t="s">
        <v>321</v>
      </c>
      <c r="AK108" s="643"/>
      <c r="AL108" s="643"/>
      <c r="AM108" s="643"/>
      <c r="AN108" s="643"/>
      <c r="AO108" s="664" t="s">
        <v>322</v>
      </c>
      <c r="AP108" s="643"/>
      <c r="AQ108" s="643"/>
      <c r="AR108" s="643"/>
      <c r="AS108" s="643"/>
      <c r="AT108" s="664" t="s">
        <v>323</v>
      </c>
      <c r="AU108" s="643"/>
      <c r="AV108" s="643"/>
      <c r="AW108" s="643"/>
      <c r="AX108" s="643"/>
    </row>
    <row r="109" spans="2:53">
      <c r="B109" s="637" t="s">
        <v>360</v>
      </c>
      <c r="C109" s="637" t="s">
        <v>370</v>
      </c>
      <c r="D109" s="637"/>
      <c r="E109" s="637" t="s">
        <v>361</v>
      </c>
      <c r="F109" s="637"/>
      <c r="G109" s="637"/>
      <c r="H109" s="669" t="s">
        <v>357</v>
      </c>
      <c r="I109" s="684" t="s">
        <v>362</v>
      </c>
      <c r="J109" s="684"/>
      <c r="K109" s="684"/>
      <c r="L109" s="685" t="s">
        <v>357</v>
      </c>
      <c r="M109" s="673" t="s">
        <v>358</v>
      </c>
      <c r="N109" s="637"/>
      <c r="O109" s="637" t="s">
        <v>363</v>
      </c>
      <c r="P109" s="655" t="s">
        <v>359</v>
      </c>
      <c r="Q109" s="656"/>
      <c r="R109" s="656"/>
      <c r="S109" s="657"/>
      <c r="T109" s="637" t="s">
        <v>357</v>
      </c>
      <c r="U109" s="655" t="s">
        <v>359</v>
      </c>
      <c r="V109" s="656"/>
      <c r="W109" s="656"/>
      <c r="X109" s="657"/>
      <c r="Y109" s="637" t="s">
        <v>357</v>
      </c>
      <c r="Z109" s="655" t="s">
        <v>359</v>
      </c>
      <c r="AA109" s="656"/>
      <c r="AB109" s="656"/>
      <c r="AC109" s="657"/>
      <c r="AD109" s="637" t="s">
        <v>357</v>
      </c>
      <c r="AE109" s="655" t="s">
        <v>359</v>
      </c>
      <c r="AF109" s="656"/>
      <c r="AG109" s="656"/>
      <c r="AH109" s="657"/>
      <c r="AI109" s="637" t="s">
        <v>357</v>
      </c>
      <c r="AJ109" s="655" t="s">
        <v>359</v>
      </c>
      <c r="AK109" s="656"/>
      <c r="AL109" s="656"/>
      <c r="AM109" s="657"/>
      <c r="AN109" s="637" t="s">
        <v>357</v>
      </c>
      <c r="AO109" s="655" t="s">
        <v>359</v>
      </c>
      <c r="AP109" s="656"/>
      <c r="AQ109" s="656"/>
      <c r="AR109" s="657"/>
      <c r="AS109" s="637" t="s">
        <v>357</v>
      </c>
      <c r="AT109" s="655" t="s">
        <v>359</v>
      </c>
      <c r="AU109" s="656"/>
      <c r="AV109" s="656"/>
      <c r="AW109" s="657"/>
      <c r="AX109" s="637" t="s">
        <v>357</v>
      </c>
      <c r="BA109" s="637" t="s">
        <v>357</v>
      </c>
    </row>
    <row r="110" spans="2:53">
      <c r="B110" s="637"/>
      <c r="C110" s="637"/>
      <c r="D110" s="637"/>
      <c r="E110" s="637" t="s">
        <v>364</v>
      </c>
      <c r="F110" s="637"/>
      <c r="G110" s="637"/>
      <c r="H110" s="670"/>
      <c r="I110" s="684" t="s">
        <v>364</v>
      </c>
      <c r="J110" s="684"/>
      <c r="K110" s="684"/>
      <c r="L110" s="686"/>
      <c r="M110" s="674"/>
      <c r="N110" s="637"/>
      <c r="O110" s="637"/>
      <c r="P110" s="655" t="s">
        <v>365</v>
      </c>
      <c r="Q110" s="656"/>
      <c r="R110" s="656"/>
      <c r="S110" s="657"/>
      <c r="T110" s="637"/>
      <c r="U110" s="655" t="s">
        <v>365</v>
      </c>
      <c r="V110" s="656"/>
      <c r="W110" s="656"/>
      <c r="X110" s="657"/>
      <c r="Y110" s="637"/>
      <c r="Z110" s="655" t="s">
        <v>365</v>
      </c>
      <c r="AA110" s="656"/>
      <c r="AB110" s="656"/>
      <c r="AC110" s="657"/>
      <c r="AD110" s="637"/>
      <c r="AE110" s="655" t="s">
        <v>365</v>
      </c>
      <c r="AF110" s="656"/>
      <c r="AG110" s="656"/>
      <c r="AH110" s="657"/>
      <c r="AI110" s="637"/>
      <c r="AJ110" s="655" t="s">
        <v>365</v>
      </c>
      <c r="AK110" s="656"/>
      <c r="AL110" s="656"/>
      <c r="AM110" s="657"/>
      <c r="AN110" s="637"/>
      <c r="AO110" s="655" t="s">
        <v>365</v>
      </c>
      <c r="AP110" s="656"/>
      <c r="AQ110" s="656"/>
      <c r="AR110" s="657"/>
      <c r="AS110" s="637"/>
      <c r="AT110" s="655" t="s">
        <v>365</v>
      </c>
      <c r="AU110" s="656"/>
      <c r="AV110" s="656"/>
      <c r="AW110" s="657"/>
      <c r="AX110" s="637"/>
      <c r="BA110" s="637"/>
    </row>
    <row r="111" spans="2:53">
      <c r="B111" s="637"/>
      <c r="C111" s="637"/>
      <c r="D111" s="637"/>
      <c r="E111" s="274" t="s">
        <v>366</v>
      </c>
      <c r="F111" s="274" t="s">
        <v>367</v>
      </c>
      <c r="G111" s="274" t="s">
        <v>368</v>
      </c>
      <c r="H111" s="671"/>
      <c r="I111" s="273" t="s">
        <v>366</v>
      </c>
      <c r="J111" s="273" t="s">
        <v>367</v>
      </c>
      <c r="K111" s="273" t="s">
        <v>368</v>
      </c>
      <c r="L111" s="687"/>
      <c r="M111" s="675"/>
      <c r="N111" s="637"/>
      <c r="O111" s="637"/>
      <c r="P111" s="274" t="s">
        <v>366</v>
      </c>
      <c r="Q111" s="274" t="s">
        <v>367</v>
      </c>
      <c r="R111" s="274" t="s">
        <v>368</v>
      </c>
      <c r="S111" s="274" t="s">
        <v>358</v>
      </c>
      <c r="T111" s="637"/>
      <c r="U111" s="274" t="s">
        <v>366</v>
      </c>
      <c r="V111" s="274" t="s">
        <v>367</v>
      </c>
      <c r="W111" s="274" t="s">
        <v>368</v>
      </c>
      <c r="X111" s="274" t="s">
        <v>358</v>
      </c>
      <c r="Y111" s="637"/>
      <c r="Z111" s="274" t="s">
        <v>366</v>
      </c>
      <c r="AA111" s="274" t="s">
        <v>367</v>
      </c>
      <c r="AB111" s="274" t="s">
        <v>368</v>
      </c>
      <c r="AC111" s="274" t="s">
        <v>358</v>
      </c>
      <c r="AD111" s="637"/>
      <c r="AE111" s="274" t="s">
        <v>366</v>
      </c>
      <c r="AF111" s="274" t="s">
        <v>367</v>
      </c>
      <c r="AG111" s="274" t="s">
        <v>368</v>
      </c>
      <c r="AH111" s="274" t="s">
        <v>358</v>
      </c>
      <c r="AI111" s="637"/>
      <c r="AJ111" s="274" t="s">
        <v>366</v>
      </c>
      <c r="AK111" s="274" t="s">
        <v>367</v>
      </c>
      <c r="AL111" s="274" t="s">
        <v>368</v>
      </c>
      <c r="AM111" s="274" t="s">
        <v>358</v>
      </c>
      <c r="AN111" s="637"/>
      <c r="AO111" s="274" t="s">
        <v>366</v>
      </c>
      <c r="AP111" s="274" t="s">
        <v>367</v>
      </c>
      <c r="AQ111" s="274" t="s">
        <v>368</v>
      </c>
      <c r="AR111" s="274" t="s">
        <v>358</v>
      </c>
      <c r="AS111" s="637"/>
      <c r="AT111" s="274" t="s">
        <v>366</v>
      </c>
      <c r="AU111" s="274" t="s">
        <v>367</v>
      </c>
      <c r="AV111" s="274" t="s">
        <v>368</v>
      </c>
      <c r="AW111" s="274" t="s">
        <v>358</v>
      </c>
      <c r="AX111" s="637"/>
      <c r="AZ111" s="362" t="s">
        <v>358</v>
      </c>
      <c r="BA111" s="637"/>
    </row>
    <row r="112" spans="2:53">
      <c r="B112" s="643" t="s">
        <v>150</v>
      </c>
      <c r="C112" s="275">
        <v>1</v>
      </c>
      <c r="D112" s="196"/>
      <c r="E112" s="196"/>
      <c r="F112" s="196"/>
      <c r="G112" s="554"/>
      <c r="H112" s="632" t="e">
        <f>AVERAGE(G112:G141)</f>
        <v>#DIV/0!</v>
      </c>
      <c r="I112" s="352" t="str">
        <f>IFERROR(AVERAGE(P112,U112,Z112,AE112,AJ112,AO112,AT112),"-")</f>
        <v>-</v>
      </c>
      <c r="J112" s="352" t="str">
        <f>IFERROR(AVERAGE(Q112,V112,AA112,AF112,AK112,AP112,AU112),"-")</f>
        <v>-</v>
      </c>
      <c r="K112" s="194" t="str">
        <f>IFERROR(AVERAGE(R112,W112,AB112,AG112,AL112,AQ112,AV112),"-")</f>
        <v>-</v>
      </c>
      <c r="L112" s="652" t="str">
        <f>IFERROR(AVERAGE(K112:K141),"-")</f>
        <v>-</v>
      </c>
      <c r="M112" s="193" t="e">
        <f>RANK(K112, K$112:$K$141)</f>
        <v>#VALUE!</v>
      </c>
      <c r="N112" s="637"/>
      <c r="O112" s="637"/>
      <c r="P112" s="542"/>
      <c r="Q112" s="544"/>
      <c r="R112" s="544"/>
      <c r="S112" s="542"/>
      <c r="T112" s="632"/>
      <c r="U112" s="542"/>
      <c r="V112" s="544"/>
      <c r="W112" s="544"/>
      <c r="X112" s="542"/>
      <c r="Y112" s="632"/>
      <c r="Z112" s="542"/>
      <c r="AA112" s="544"/>
      <c r="AB112" s="544"/>
      <c r="AC112" s="542"/>
      <c r="AD112" s="632"/>
      <c r="AE112" s="542"/>
      <c r="AF112" s="544"/>
      <c r="AG112" s="544"/>
      <c r="AH112" s="542"/>
      <c r="AI112" s="632"/>
      <c r="AJ112" s="542"/>
      <c r="AK112" s="544"/>
      <c r="AL112" s="544"/>
      <c r="AM112" s="542"/>
      <c r="AN112" s="632"/>
      <c r="AO112" s="542"/>
      <c r="AP112" s="544"/>
      <c r="AQ112" s="544"/>
      <c r="AR112" s="542"/>
      <c r="AS112" s="632"/>
      <c r="AT112" s="542"/>
      <c r="AU112" s="544"/>
      <c r="AV112" s="544"/>
      <c r="AW112" s="542"/>
      <c r="AX112" s="632"/>
      <c r="AZ112" s="361" t="e">
        <f t="shared" ref="AZ112:AZ141" si="42">RANK(AY112, AY$112:AY$141)</f>
        <v>#N/A</v>
      </c>
      <c r="BA112" s="632" t="e">
        <f t="shared" ref="BA112" si="43">AVERAGE(AY112:AY141)</f>
        <v>#DIV/0!</v>
      </c>
    </row>
    <row r="113" spans="2:53">
      <c r="B113" s="643"/>
      <c r="C113" s="275">
        <v>2</v>
      </c>
      <c r="D113" s="556"/>
      <c r="E113" s="196"/>
      <c r="F113" s="196"/>
      <c r="G113" s="554"/>
      <c r="H113" s="633"/>
      <c r="I113" s="352" t="str">
        <f t="shared" ref="I113:I141" si="44">IFERROR(AVERAGE(P113,U113,Z113,AE113,AJ113,AO113,AT113),"-")</f>
        <v>-</v>
      </c>
      <c r="J113" s="352" t="str">
        <f t="shared" ref="J113:J141" si="45">IFERROR(AVERAGE(Q113,V113,AA113,AF113,AK113,AP113,AU113),"-")</f>
        <v>-</v>
      </c>
      <c r="K113" s="194" t="str">
        <f t="shared" ref="K113:K141" si="46">IFERROR(AVERAGE(R113,W113,AB113,AG113,AL113,AQ113,AV113),"-")</f>
        <v>-</v>
      </c>
      <c r="L113" s="653"/>
      <c r="M113" s="193" t="e">
        <f>RANK(K113, K$112:$K$141)</f>
        <v>#VALUE!</v>
      </c>
      <c r="N113" s="637"/>
      <c r="O113" s="637"/>
      <c r="P113" s="542"/>
      <c r="Q113" s="544"/>
      <c r="R113" s="544"/>
      <c r="S113" s="542"/>
      <c r="T113" s="633"/>
      <c r="U113" s="542"/>
      <c r="V113" s="544"/>
      <c r="W113" s="544"/>
      <c r="X113" s="542"/>
      <c r="Y113" s="633"/>
      <c r="Z113" s="542"/>
      <c r="AA113" s="544"/>
      <c r="AB113" s="544"/>
      <c r="AC113" s="542"/>
      <c r="AD113" s="633"/>
      <c r="AE113" s="542"/>
      <c r="AF113" s="544"/>
      <c r="AG113" s="544"/>
      <c r="AH113" s="542"/>
      <c r="AI113" s="633"/>
      <c r="AJ113" s="542"/>
      <c r="AK113" s="544"/>
      <c r="AL113" s="544"/>
      <c r="AM113" s="542"/>
      <c r="AN113" s="633"/>
      <c r="AO113" s="542"/>
      <c r="AP113" s="544"/>
      <c r="AQ113" s="544"/>
      <c r="AR113" s="542"/>
      <c r="AS113" s="633"/>
      <c r="AT113" s="542"/>
      <c r="AU113" s="544"/>
      <c r="AV113" s="544"/>
      <c r="AW113" s="542"/>
      <c r="AX113" s="633"/>
      <c r="AZ113" s="361" t="e">
        <f t="shared" si="42"/>
        <v>#N/A</v>
      </c>
      <c r="BA113" s="633"/>
    </row>
    <row r="114" spans="2:53">
      <c r="B114" s="643"/>
      <c r="C114" s="275">
        <v>3</v>
      </c>
      <c r="D114" s="196"/>
      <c r="E114" s="196"/>
      <c r="F114" s="196"/>
      <c r="G114" s="554"/>
      <c r="H114" s="633"/>
      <c r="I114" s="352" t="str">
        <f t="shared" si="44"/>
        <v>-</v>
      </c>
      <c r="J114" s="352" t="str">
        <f t="shared" si="45"/>
        <v>-</v>
      </c>
      <c r="K114" s="194" t="str">
        <f t="shared" si="46"/>
        <v>-</v>
      </c>
      <c r="L114" s="653"/>
      <c r="M114" s="193" t="e">
        <f>RANK(K114, K$112:$K$141)</f>
        <v>#VALUE!</v>
      </c>
      <c r="N114" s="637"/>
      <c r="O114" s="637"/>
      <c r="P114" s="542"/>
      <c r="Q114" s="544"/>
      <c r="R114" s="544"/>
      <c r="S114" s="542"/>
      <c r="T114" s="633"/>
      <c r="U114" s="542"/>
      <c r="V114" s="544"/>
      <c r="W114" s="544"/>
      <c r="X114" s="542"/>
      <c r="Y114" s="633"/>
      <c r="Z114" s="542"/>
      <c r="AA114" s="544"/>
      <c r="AB114" s="544"/>
      <c r="AC114" s="542"/>
      <c r="AD114" s="633"/>
      <c r="AE114" s="542"/>
      <c r="AF114" s="544"/>
      <c r="AG114" s="544"/>
      <c r="AH114" s="542"/>
      <c r="AI114" s="633"/>
      <c r="AJ114" s="542"/>
      <c r="AK114" s="544"/>
      <c r="AL114" s="544"/>
      <c r="AM114" s="542"/>
      <c r="AN114" s="633"/>
      <c r="AO114" s="542"/>
      <c r="AP114" s="544"/>
      <c r="AQ114" s="544"/>
      <c r="AR114" s="542"/>
      <c r="AS114" s="633"/>
      <c r="AT114" s="542"/>
      <c r="AU114" s="544"/>
      <c r="AV114" s="544"/>
      <c r="AW114" s="542"/>
      <c r="AX114" s="633"/>
      <c r="AZ114" s="361" t="e">
        <f t="shared" si="42"/>
        <v>#N/A</v>
      </c>
      <c r="BA114" s="633"/>
    </row>
    <row r="115" spans="2:53">
      <c r="B115" s="643"/>
      <c r="C115" s="275">
        <v>4</v>
      </c>
      <c r="D115" s="196"/>
      <c r="E115" s="196"/>
      <c r="F115" s="196"/>
      <c r="G115" s="554"/>
      <c r="H115" s="633"/>
      <c r="I115" s="352" t="str">
        <f t="shared" si="44"/>
        <v>-</v>
      </c>
      <c r="J115" s="352" t="str">
        <f t="shared" si="45"/>
        <v>-</v>
      </c>
      <c r="K115" s="194" t="str">
        <f t="shared" si="46"/>
        <v>-</v>
      </c>
      <c r="L115" s="653"/>
      <c r="M115" s="193" t="e">
        <f>RANK(K115, K$112:$K$141)</f>
        <v>#VALUE!</v>
      </c>
      <c r="N115" s="637"/>
      <c r="O115" s="637"/>
      <c r="P115" s="542"/>
      <c r="Q115" s="544"/>
      <c r="R115" s="544"/>
      <c r="S115" s="542"/>
      <c r="T115" s="633"/>
      <c r="U115" s="542"/>
      <c r="V115" s="544"/>
      <c r="W115" s="544"/>
      <c r="X115" s="542"/>
      <c r="Y115" s="633"/>
      <c r="Z115" s="542"/>
      <c r="AA115" s="544"/>
      <c r="AB115" s="544"/>
      <c r="AC115" s="542"/>
      <c r="AD115" s="633"/>
      <c r="AE115" s="542"/>
      <c r="AF115" s="544"/>
      <c r="AG115" s="544"/>
      <c r="AH115" s="542"/>
      <c r="AI115" s="633"/>
      <c r="AJ115" s="542"/>
      <c r="AK115" s="544"/>
      <c r="AL115" s="544"/>
      <c r="AM115" s="542"/>
      <c r="AN115" s="633"/>
      <c r="AO115" s="542"/>
      <c r="AP115" s="544"/>
      <c r="AQ115" s="544"/>
      <c r="AR115" s="542"/>
      <c r="AS115" s="633"/>
      <c r="AT115" s="542"/>
      <c r="AU115" s="544"/>
      <c r="AV115" s="544"/>
      <c r="AW115" s="542"/>
      <c r="AX115" s="633"/>
      <c r="AZ115" s="361" t="e">
        <f t="shared" si="42"/>
        <v>#N/A</v>
      </c>
      <c r="BA115" s="633"/>
    </row>
    <row r="116" spans="2:53">
      <c r="B116" s="643"/>
      <c r="C116" s="275">
        <v>5</v>
      </c>
      <c r="D116" s="196"/>
      <c r="E116" s="196"/>
      <c r="F116" s="196"/>
      <c r="G116" s="554"/>
      <c r="H116" s="633"/>
      <c r="I116" s="352" t="str">
        <f t="shared" si="44"/>
        <v>-</v>
      </c>
      <c r="J116" s="352" t="str">
        <f t="shared" si="45"/>
        <v>-</v>
      </c>
      <c r="K116" s="194" t="str">
        <f t="shared" si="46"/>
        <v>-</v>
      </c>
      <c r="L116" s="653"/>
      <c r="M116" s="193" t="e">
        <f>RANK(K116, K$112:$K$141)</f>
        <v>#VALUE!</v>
      </c>
      <c r="N116" s="637"/>
      <c r="O116" s="637"/>
      <c r="P116" s="542"/>
      <c r="Q116" s="544"/>
      <c r="R116" s="544"/>
      <c r="S116" s="542"/>
      <c r="T116" s="633"/>
      <c r="U116" s="542"/>
      <c r="V116" s="544"/>
      <c r="W116" s="544"/>
      <c r="X116" s="542"/>
      <c r="Y116" s="633"/>
      <c r="Z116" s="542"/>
      <c r="AA116" s="544"/>
      <c r="AB116" s="544"/>
      <c r="AC116" s="542"/>
      <c r="AD116" s="633"/>
      <c r="AE116" s="542"/>
      <c r="AF116" s="544"/>
      <c r="AG116" s="544"/>
      <c r="AH116" s="542"/>
      <c r="AI116" s="633"/>
      <c r="AJ116" s="542"/>
      <c r="AK116" s="544"/>
      <c r="AL116" s="544"/>
      <c r="AM116" s="542"/>
      <c r="AN116" s="633"/>
      <c r="AO116" s="542"/>
      <c r="AP116" s="544"/>
      <c r="AQ116" s="544"/>
      <c r="AR116" s="542"/>
      <c r="AS116" s="633"/>
      <c r="AT116" s="542"/>
      <c r="AU116" s="544"/>
      <c r="AV116" s="544"/>
      <c r="AW116" s="542"/>
      <c r="AX116" s="633"/>
      <c r="AZ116" s="361" t="e">
        <f t="shared" si="42"/>
        <v>#N/A</v>
      </c>
      <c r="BA116" s="633"/>
    </row>
    <row r="117" spans="2:53">
      <c r="B117" s="643"/>
      <c r="C117" s="275">
        <v>6</v>
      </c>
      <c r="D117" s="196"/>
      <c r="E117" s="196"/>
      <c r="F117" s="196"/>
      <c r="G117" s="554"/>
      <c r="H117" s="633"/>
      <c r="I117" s="352" t="str">
        <f t="shared" si="44"/>
        <v>-</v>
      </c>
      <c r="J117" s="352" t="str">
        <f t="shared" si="45"/>
        <v>-</v>
      </c>
      <c r="K117" s="194" t="str">
        <f t="shared" si="46"/>
        <v>-</v>
      </c>
      <c r="L117" s="653"/>
      <c r="M117" s="193" t="e">
        <f>RANK(K117, K$112:$K$141)</f>
        <v>#VALUE!</v>
      </c>
      <c r="N117" s="637"/>
      <c r="O117" s="637"/>
      <c r="P117" s="542"/>
      <c r="Q117" s="544"/>
      <c r="R117" s="544"/>
      <c r="S117" s="542"/>
      <c r="T117" s="633"/>
      <c r="U117" s="542"/>
      <c r="V117" s="544"/>
      <c r="W117" s="544"/>
      <c r="X117" s="542"/>
      <c r="Y117" s="633"/>
      <c r="Z117" s="542"/>
      <c r="AA117" s="544"/>
      <c r="AB117" s="544"/>
      <c r="AC117" s="542"/>
      <c r="AD117" s="633"/>
      <c r="AE117" s="542"/>
      <c r="AF117" s="544"/>
      <c r="AG117" s="544"/>
      <c r="AH117" s="542"/>
      <c r="AI117" s="633"/>
      <c r="AJ117" s="542"/>
      <c r="AK117" s="544"/>
      <c r="AL117" s="544"/>
      <c r="AM117" s="542"/>
      <c r="AN117" s="633"/>
      <c r="AO117" s="542"/>
      <c r="AP117" s="544"/>
      <c r="AQ117" s="544"/>
      <c r="AR117" s="542"/>
      <c r="AS117" s="633"/>
      <c r="AT117" s="542"/>
      <c r="AU117" s="544"/>
      <c r="AV117" s="544"/>
      <c r="AW117" s="542"/>
      <c r="AX117" s="633"/>
      <c r="AZ117" s="361" t="e">
        <f t="shared" si="42"/>
        <v>#N/A</v>
      </c>
      <c r="BA117" s="633"/>
    </row>
    <row r="118" spans="2:53">
      <c r="B118" s="643"/>
      <c r="C118" s="275">
        <v>7</v>
      </c>
      <c r="D118" s="196"/>
      <c r="E118" s="196"/>
      <c r="F118" s="196"/>
      <c r="G118" s="554"/>
      <c r="H118" s="633"/>
      <c r="I118" s="352" t="str">
        <f t="shared" si="44"/>
        <v>-</v>
      </c>
      <c r="J118" s="352" t="str">
        <f t="shared" si="45"/>
        <v>-</v>
      </c>
      <c r="K118" s="194" t="str">
        <f t="shared" si="46"/>
        <v>-</v>
      </c>
      <c r="L118" s="653"/>
      <c r="M118" s="193" t="e">
        <f>RANK(K118, K$112:$K$141)</f>
        <v>#VALUE!</v>
      </c>
      <c r="N118" s="637"/>
      <c r="O118" s="637"/>
      <c r="P118" s="542"/>
      <c r="Q118" s="544"/>
      <c r="R118" s="544"/>
      <c r="S118" s="542"/>
      <c r="T118" s="633"/>
      <c r="U118" s="542"/>
      <c r="V118" s="544"/>
      <c r="W118" s="544"/>
      <c r="X118" s="542"/>
      <c r="Y118" s="633"/>
      <c r="Z118" s="542"/>
      <c r="AA118" s="544"/>
      <c r="AB118" s="544"/>
      <c r="AC118" s="542"/>
      <c r="AD118" s="633"/>
      <c r="AE118" s="542"/>
      <c r="AF118" s="544"/>
      <c r="AG118" s="544"/>
      <c r="AH118" s="542"/>
      <c r="AI118" s="633"/>
      <c r="AJ118" s="542"/>
      <c r="AK118" s="544"/>
      <c r="AL118" s="544"/>
      <c r="AM118" s="542"/>
      <c r="AN118" s="633"/>
      <c r="AO118" s="542"/>
      <c r="AP118" s="544"/>
      <c r="AQ118" s="544"/>
      <c r="AR118" s="542"/>
      <c r="AS118" s="633"/>
      <c r="AT118" s="542"/>
      <c r="AU118" s="544"/>
      <c r="AV118" s="544"/>
      <c r="AW118" s="542"/>
      <c r="AX118" s="633"/>
      <c r="AZ118" s="361" t="e">
        <f t="shared" si="42"/>
        <v>#N/A</v>
      </c>
      <c r="BA118" s="633"/>
    </row>
    <row r="119" spans="2:53">
      <c r="B119" s="643"/>
      <c r="C119" s="275">
        <v>8</v>
      </c>
      <c r="D119" s="196"/>
      <c r="E119" s="196"/>
      <c r="F119" s="196"/>
      <c r="G119" s="554"/>
      <c r="H119" s="633"/>
      <c r="I119" s="352" t="str">
        <f t="shared" si="44"/>
        <v>-</v>
      </c>
      <c r="J119" s="352" t="str">
        <f t="shared" si="45"/>
        <v>-</v>
      </c>
      <c r="K119" s="194" t="str">
        <f t="shared" si="46"/>
        <v>-</v>
      </c>
      <c r="L119" s="653"/>
      <c r="M119" s="193" t="e">
        <f>RANK(K119, K$112:$K$141)</f>
        <v>#VALUE!</v>
      </c>
      <c r="N119" s="637"/>
      <c r="O119" s="637"/>
      <c r="P119" s="542"/>
      <c r="Q119" s="544"/>
      <c r="R119" s="544"/>
      <c r="S119" s="542"/>
      <c r="T119" s="633"/>
      <c r="U119" s="542"/>
      <c r="V119" s="544"/>
      <c r="W119" s="544"/>
      <c r="X119" s="542"/>
      <c r="Y119" s="633"/>
      <c r="Z119" s="542"/>
      <c r="AA119" s="544"/>
      <c r="AB119" s="544"/>
      <c r="AC119" s="542"/>
      <c r="AD119" s="633"/>
      <c r="AE119" s="542"/>
      <c r="AF119" s="544"/>
      <c r="AG119" s="544"/>
      <c r="AH119" s="542"/>
      <c r="AI119" s="633"/>
      <c r="AJ119" s="542"/>
      <c r="AK119" s="544"/>
      <c r="AL119" s="544"/>
      <c r="AM119" s="542"/>
      <c r="AN119" s="633"/>
      <c r="AO119" s="542"/>
      <c r="AP119" s="544"/>
      <c r="AQ119" s="544"/>
      <c r="AR119" s="542"/>
      <c r="AS119" s="633"/>
      <c r="AT119" s="542"/>
      <c r="AU119" s="544"/>
      <c r="AV119" s="544"/>
      <c r="AW119" s="542"/>
      <c r="AX119" s="633"/>
      <c r="AZ119" s="361" t="e">
        <f t="shared" si="42"/>
        <v>#N/A</v>
      </c>
      <c r="BA119" s="633"/>
    </row>
    <row r="120" spans="2:53">
      <c r="B120" s="643"/>
      <c r="C120" s="275">
        <v>9</v>
      </c>
      <c r="D120" s="196"/>
      <c r="E120" s="196"/>
      <c r="F120" s="196"/>
      <c r="G120" s="554"/>
      <c r="H120" s="633"/>
      <c r="I120" s="352" t="str">
        <f t="shared" si="44"/>
        <v>-</v>
      </c>
      <c r="J120" s="352" t="str">
        <f t="shared" si="45"/>
        <v>-</v>
      </c>
      <c r="K120" s="194" t="str">
        <f t="shared" si="46"/>
        <v>-</v>
      </c>
      <c r="L120" s="653"/>
      <c r="M120" s="193" t="e">
        <f>RANK(K120, K$112:$K$141)</f>
        <v>#VALUE!</v>
      </c>
      <c r="N120" s="637"/>
      <c r="O120" s="637"/>
      <c r="P120" s="542"/>
      <c r="Q120" s="544"/>
      <c r="R120" s="544"/>
      <c r="S120" s="542"/>
      <c r="T120" s="633"/>
      <c r="U120" s="542"/>
      <c r="V120" s="544"/>
      <c r="W120" s="544"/>
      <c r="X120" s="542"/>
      <c r="Y120" s="633"/>
      <c r="Z120" s="542"/>
      <c r="AA120" s="544"/>
      <c r="AB120" s="544"/>
      <c r="AC120" s="542"/>
      <c r="AD120" s="633"/>
      <c r="AE120" s="542"/>
      <c r="AF120" s="544"/>
      <c r="AG120" s="544"/>
      <c r="AH120" s="542"/>
      <c r="AI120" s="633"/>
      <c r="AJ120" s="542"/>
      <c r="AK120" s="544"/>
      <c r="AL120" s="544"/>
      <c r="AM120" s="542"/>
      <c r="AN120" s="633"/>
      <c r="AO120" s="542"/>
      <c r="AP120" s="544"/>
      <c r="AQ120" s="544"/>
      <c r="AR120" s="542"/>
      <c r="AS120" s="633"/>
      <c r="AT120" s="542"/>
      <c r="AU120" s="544"/>
      <c r="AV120" s="544"/>
      <c r="AW120" s="542"/>
      <c r="AX120" s="633"/>
      <c r="AZ120" s="361" t="e">
        <f t="shared" si="42"/>
        <v>#N/A</v>
      </c>
      <c r="BA120" s="633"/>
    </row>
    <row r="121" spans="2:53">
      <c r="B121" s="643"/>
      <c r="C121" s="275">
        <v>10</v>
      </c>
      <c r="D121" s="196"/>
      <c r="E121" s="196"/>
      <c r="F121" s="196"/>
      <c r="G121" s="554"/>
      <c r="H121" s="633"/>
      <c r="I121" s="352" t="str">
        <f t="shared" si="44"/>
        <v>-</v>
      </c>
      <c r="J121" s="352" t="str">
        <f t="shared" si="45"/>
        <v>-</v>
      </c>
      <c r="K121" s="194" t="str">
        <f t="shared" si="46"/>
        <v>-</v>
      </c>
      <c r="L121" s="653"/>
      <c r="M121" s="193" t="e">
        <f>RANK(K121, K$112:$K$141)</f>
        <v>#VALUE!</v>
      </c>
      <c r="N121" s="637"/>
      <c r="O121" s="637"/>
      <c r="P121" s="542"/>
      <c r="Q121" s="544"/>
      <c r="R121" s="544"/>
      <c r="S121" s="542"/>
      <c r="T121" s="633"/>
      <c r="U121" s="542"/>
      <c r="V121" s="544"/>
      <c r="W121" s="544"/>
      <c r="X121" s="542"/>
      <c r="Y121" s="633"/>
      <c r="Z121" s="542"/>
      <c r="AA121" s="544"/>
      <c r="AB121" s="544"/>
      <c r="AC121" s="542"/>
      <c r="AD121" s="633"/>
      <c r="AE121" s="542"/>
      <c r="AF121" s="544"/>
      <c r="AG121" s="544"/>
      <c r="AH121" s="542"/>
      <c r="AI121" s="633"/>
      <c r="AJ121" s="542"/>
      <c r="AK121" s="544"/>
      <c r="AL121" s="544"/>
      <c r="AM121" s="542"/>
      <c r="AN121" s="633"/>
      <c r="AO121" s="542"/>
      <c r="AP121" s="544"/>
      <c r="AQ121" s="544"/>
      <c r="AR121" s="542"/>
      <c r="AS121" s="633"/>
      <c r="AT121" s="542"/>
      <c r="AU121" s="544"/>
      <c r="AV121" s="544"/>
      <c r="AW121" s="542"/>
      <c r="AX121" s="633"/>
      <c r="AZ121" s="361" t="e">
        <f t="shared" si="42"/>
        <v>#N/A</v>
      </c>
      <c r="BA121" s="633"/>
    </row>
    <row r="122" spans="2:53">
      <c r="B122" s="643"/>
      <c r="C122" s="275">
        <v>11</v>
      </c>
      <c r="D122" s="196"/>
      <c r="E122" s="196"/>
      <c r="F122" s="196"/>
      <c r="G122" s="554"/>
      <c r="H122" s="633"/>
      <c r="I122" s="352" t="str">
        <f t="shared" si="44"/>
        <v>-</v>
      </c>
      <c r="J122" s="352" t="str">
        <f t="shared" si="45"/>
        <v>-</v>
      </c>
      <c r="K122" s="194" t="str">
        <f t="shared" si="46"/>
        <v>-</v>
      </c>
      <c r="L122" s="653"/>
      <c r="M122" s="193" t="e">
        <f>RANK(K122, K$112:$K$141)</f>
        <v>#VALUE!</v>
      </c>
      <c r="N122" s="637"/>
      <c r="O122" s="637"/>
      <c r="P122" s="542"/>
      <c r="Q122" s="544"/>
      <c r="R122" s="544"/>
      <c r="S122" s="542"/>
      <c r="T122" s="633"/>
      <c r="U122" s="542"/>
      <c r="V122" s="544"/>
      <c r="W122" s="544"/>
      <c r="X122" s="542"/>
      <c r="Y122" s="633"/>
      <c r="Z122" s="542"/>
      <c r="AA122" s="544"/>
      <c r="AB122" s="544"/>
      <c r="AC122" s="542"/>
      <c r="AD122" s="633"/>
      <c r="AE122" s="542"/>
      <c r="AF122" s="544"/>
      <c r="AG122" s="544"/>
      <c r="AH122" s="542"/>
      <c r="AI122" s="633"/>
      <c r="AJ122" s="542"/>
      <c r="AK122" s="544"/>
      <c r="AL122" s="544"/>
      <c r="AM122" s="542"/>
      <c r="AN122" s="633"/>
      <c r="AO122" s="542"/>
      <c r="AP122" s="544"/>
      <c r="AQ122" s="544"/>
      <c r="AR122" s="542"/>
      <c r="AS122" s="633"/>
      <c r="AT122" s="542"/>
      <c r="AU122" s="544"/>
      <c r="AV122" s="544"/>
      <c r="AW122" s="542"/>
      <c r="AX122" s="633"/>
      <c r="AZ122" s="361" t="e">
        <f t="shared" si="42"/>
        <v>#N/A</v>
      </c>
      <c r="BA122" s="633"/>
    </row>
    <row r="123" spans="2:53">
      <c r="B123" s="643"/>
      <c r="C123" s="275">
        <v>12</v>
      </c>
      <c r="D123" s="556"/>
      <c r="E123" s="196"/>
      <c r="F123" s="196"/>
      <c r="G123" s="554"/>
      <c r="H123" s="633"/>
      <c r="I123" s="352" t="str">
        <f t="shared" si="44"/>
        <v>-</v>
      </c>
      <c r="J123" s="352" t="str">
        <f t="shared" si="45"/>
        <v>-</v>
      </c>
      <c r="K123" s="194" t="str">
        <f t="shared" si="46"/>
        <v>-</v>
      </c>
      <c r="L123" s="653"/>
      <c r="M123" s="193" t="e">
        <f>RANK(K123, K$112:$K$141)</f>
        <v>#VALUE!</v>
      </c>
      <c r="N123" s="637"/>
      <c r="O123" s="637"/>
      <c r="P123" s="542"/>
      <c r="Q123" s="544"/>
      <c r="R123" s="544"/>
      <c r="S123" s="542"/>
      <c r="T123" s="633"/>
      <c r="U123" s="542"/>
      <c r="V123" s="544"/>
      <c r="W123" s="544"/>
      <c r="X123" s="542"/>
      <c r="Y123" s="633"/>
      <c r="Z123" s="542"/>
      <c r="AA123" s="544"/>
      <c r="AB123" s="544"/>
      <c r="AC123" s="542"/>
      <c r="AD123" s="633"/>
      <c r="AE123" s="542"/>
      <c r="AF123" s="544"/>
      <c r="AG123" s="544"/>
      <c r="AH123" s="542"/>
      <c r="AI123" s="633"/>
      <c r="AJ123" s="542"/>
      <c r="AK123" s="544"/>
      <c r="AL123" s="544"/>
      <c r="AM123" s="542"/>
      <c r="AN123" s="633"/>
      <c r="AO123" s="542"/>
      <c r="AP123" s="544"/>
      <c r="AQ123" s="544"/>
      <c r="AR123" s="542"/>
      <c r="AS123" s="633"/>
      <c r="AT123" s="542"/>
      <c r="AU123" s="544"/>
      <c r="AV123" s="544"/>
      <c r="AW123" s="542"/>
      <c r="AX123" s="633"/>
      <c r="AZ123" s="361" t="e">
        <f t="shared" si="42"/>
        <v>#N/A</v>
      </c>
      <c r="BA123" s="633"/>
    </row>
    <row r="124" spans="2:53">
      <c r="B124" s="643"/>
      <c r="C124" s="275">
        <v>13</v>
      </c>
      <c r="D124" s="196"/>
      <c r="E124" s="196"/>
      <c r="F124" s="196"/>
      <c r="G124" s="554"/>
      <c r="H124" s="633"/>
      <c r="I124" s="352" t="str">
        <f t="shared" si="44"/>
        <v>-</v>
      </c>
      <c r="J124" s="352" t="str">
        <f t="shared" si="45"/>
        <v>-</v>
      </c>
      <c r="K124" s="194" t="str">
        <f t="shared" si="46"/>
        <v>-</v>
      </c>
      <c r="L124" s="653"/>
      <c r="M124" s="193" t="e">
        <f>RANK(K124, K$112:$K$141)</f>
        <v>#VALUE!</v>
      </c>
      <c r="N124" s="637"/>
      <c r="O124" s="637"/>
      <c r="P124" s="542"/>
      <c r="Q124" s="544"/>
      <c r="R124" s="544"/>
      <c r="S124" s="542"/>
      <c r="T124" s="633"/>
      <c r="U124" s="542"/>
      <c r="V124" s="544"/>
      <c r="W124" s="544"/>
      <c r="X124" s="542"/>
      <c r="Y124" s="633"/>
      <c r="Z124" s="542"/>
      <c r="AA124" s="544"/>
      <c r="AB124" s="544"/>
      <c r="AC124" s="542"/>
      <c r="AD124" s="633"/>
      <c r="AE124" s="542"/>
      <c r="AF124" s="544"/>
      <c r="AG124" s="544"/>
      <c r="AH124" s="542"/>
      <c r="AI124" s="633"/>
      <c r="AJ124" s="542"/>
      <c r="AK124" s="544"/>
      <c r="AL124" s="544"/>
      <c r="AM124" s="542"/>
      <c r="AN124" s="633"/>
      <c r="AO124" s="542"/>
      <c r="AP124" s="544"/>
      <c r="AQ124" s="544"/>
      <c r="AR124" s="542"/>
      <c r="AS124" s="633"/>
      <c r="AT124" s="542"/>
      <c r="AU124" s="544"/>
      <c r="AV124" s="544"/>
      <c r="AW124" s="542"/>
      <c r="AX124" s="633"/>
      <c r="AZ124" s="361" t="e">
        <f t="shared" si="42"/>
        <v>#N/A</v>
      </c>
      <c r="BA124" s="633"/>
    </row>
    <row r="125" spans="2:53">
      <c r="B125" s="643"/>
      <c r="C125" s="275">
        <v>14</v>
      </c>
      <c r="D125" s="196"/>
      <c r="E125" s="196"/>
      <c r="F125" s="196"/>
      <c r="G125" s="554"/>
      <c r="H125" s="633"/>
      <c r="I125" s="352" t="str">
        <f t="shared" si="44"/>
        <v>-</v>
      </c>
      <c r="J125" s="352" t="str">
        <f t="shared" si="45"/>
        <v>-</v>
      </c>
      <c r="K125" s="194" t="str">
        <f t="shared" si="46"/>
        <v>-</v>
      </c>
      <c r="L125" s="653"/>
      <c r="M125" s="193" t="e">
        <f>RANK(K125, K$112:$K$141)</f>
        <v>#VALUE!</v>
      </c>
      <c r="N125" s="637"/>
      <c r="O125" s="637"/>
      <c r="P125" s="542"/>
      <c r="Q125" s="544"/>
      <c r="R125" s="544"/>
      <c r="S125" s="542"/>
      <c r="T125" s="633"/>
      <c r="U125" s="542"/>
      <c r="V125" s="544"/>
      <c r="W125" s="544"/>
      <c r="X125" s="542"/>
      <c r="Y125" s="633"/>
      <c r="Z125" s="542"/>
      <c r="AA125" s="544"/>
      <c r="AB125" s="544"/>
      <c r="AC125" s="542"/>
      <c r="AD125" s="633"/>
      <c r="AE125" s="542"/>
      <c r="AF125" s="544"/>
      <c r="AG125" s="544"/>
      <c r="AH125" s="542"/>
      <c r="AI125" s="633"/>
      <c r="AJ125" s="542"/>
      <c r="AK125" s="544"/>
      <c r="AL125" s="544"/>
      <c r="AM125" s="542"/>
      <c r="AN125" s="633"/>
      <c r="AO125" s="542"/>
      <c r="AP125" s="544"/>
      <c r="AQ125" s="544"/>
      <c r="AR125" s="542"/>
      <c r="AS125" s="633"/>
      <c r="AT125" s="542"/>
      <c r="AU125" s="544"/>
      <c r="AV125" s="544"/>
      <c r="AW125" s="542"/>
      <c r="AX125" s="633"/>
      <c r="AZ125" s="361" t="e">
        <f t="shared" si="42"/>
        <v>#N/A</v>
      </c>
      <c r="BA125" s="633"/>
    </row>
    <row r="126" spans="2:53">
      <c r="B126" s="643"/>
      <c r="C126" s="275">
        <v>15</v>
      </c>
      <c r="D126" s="556"/>
      <c r="E126" s="196"/>
      <c r="F126" s="196"/>
      <c r="G126" s="554"/>
      <c r="H126" s="633"/>
      <c r="I126" s="352" t="str">
        <f t="shared" si="44"/>
        <v>-</v>
      </c>
      <c r="J126" s="352" t="str">
        <f t="shared" si="45"/>
        <v>-</v>
      </c>
      <c r="K126" s="194" t="str">
        <f t="shared" si="46"/>
        <v>-</v>
      </c>
      <c r="L126" s="653"/>
      <c r="M126" s="193" t="e">
        <f>RANK(K126, K$112:$K$141)</f>
        <v>#VALUE!</v>
      </c>
      <c r="N126" s="637"/>
      <c r="O126" s="637"/>
      <c r="P126" s="542"/>
      <c r="Q126" s="544"/>
      <c r="R126" s="544"/>
      <c r="S126" s="542"/>
      <c r="T126" s="633"/>
      <c r="U126" s="542"/>
      <c r="V126" s="544"/>
      <c r="W126" s="544"/>
      <c r="X126" s="542"/>
      <c r="Y126" s="633"/>
      <c r="Z126" s="542"/>
      <c r="AA126" s="544"/>
      <c r="AB126" s="544"/>
      <c r="AC126" s="542"/>
      <c r="AD126" s="633"/>
      <c r="AE126" s="542"/>
      <c r="AF126" s="544"/>
      <c r="AG126" s="544"/>
      <c r="AH126" s="542"/>
      <c r="AI126" s="633"/>
      <c r="AJ126" s="542"/>
      <c r="AK126" s="544"/>
      <c r="AL126" s="544"/>
      <c r="AM126" s="542"/>
      <c r="AN126" s="633"/>
      <c r="AO126" s="542"/>
      <c r="AP126" s="544"/>
      <c r="AQ126" s="544"/>
      <c r="AR126" s="542"/>
      <c r="AS126" s="633"/>
      <c r="AT126" s="542"/>
      <c r="AU126" s="544"/>
      <c r="AV126" s="544"/>
      <c r="AW126" s="542"/>
      <c r="AX126" s="633"/>
      <c r="AZ126" s="361" t="e">
        <f t="shared" si="42"/>
        <v>#N/A</v>
      </c>
      <c r="BA126" s="633"/>
    </row>
    <row r="127" spans="2:53">
      <c r="B127" s="643"/>
      <c r="C127" s="275">
        <v>16</v>
      </c>
      <c r="D127" s="196"/>
      <c r="E127" s="196"/>
      <c r="F127" s="196"/>
      <c r="G127" s="554"/>
      <c r="H127" s="633"/>
      <c r="I127" s="352" t="str">
        <f t="shared" si="44"/>
        <v>-</v>
      </c>
      <c r="J127" s="352" t="str">
        <f t="shared" si="45"/>
        <v>-</v>
      </c>
      <c r="K127" s="194" t="str">
        <f t="shared" si="46"/>
        <v>-</v>
      </c>
      <c r="L127" s="653"/>
      <c r="M127" s="193" t="e">
        <f>RANK(K127, K$112:$K$141)</f>
        <v>#VALUE!</v>
      </c>
      <c r="N127" s="637"/>
      <c r="O127" s="637"/>
      <c r="P127" s="542"/>
      <c r="Q127" s="544"/>
      <c r="R127" s="544"/>
      <c r="S127" s="542"/>
      <c r="T127" s="633"/>
      <c r="U127" s="542"/>
      <c r="V127" s="544"/>
      <c r="W127" s="544"/>
      <c r="X127" s="542"/>
      <c r="Y127" s="633"/>
      <c r="Z127" s="542"/>
      <c r="AA127" s="544"/>
      <c r="AB127" s="544"/>
      <c r="AC127" s="542"/>
      <c r="AD127" s="633"/>
      <c r="AE127" s="542"/>
      <c r="AF127" s="544"/>
      <c r="AG127" s="544"/>
      <c r="AH127" s="542"/>
      <c r="AI127" s="633"/>
      <c r="AJ127" s="542"/>
      <c r="AK127" s="544"/>
      <c r="AL127" s="544"/>
      <c r="AM127" s="542"/>
      <c r="AN127" s="633"/>
      <c r="AO127" s="542"/>
      <c r="AP127" s="544"/>
      <c r="AQ127" s="544"/>
      <c r="AR127" s="542"/>
      <c r="AS127" s="633"/>
      <c r="AT127" s="542"/>
      <c r="AU127" s="544"/>
      <c r="AV127" s="544"/>
      <c r="AW127" s="542"/>
      <c r="AX127" s="633"/>
      <c r="AZ127" s="361" t="e">
        <f t="shared" si="42"/>
        <v>#N/A</v>
      </c>
      <c r="BA127" s="633"/>
    </row>
    <row r="128" spans="2:53">
      <c r="B128" s="643"/>
      <c r="C128" s="275">
        <v>17</v>
      </c>
      <c r="D128" s="196"/>
      <c r="E128" s="196"/>
      <c r="F128" s="196"/>
      <c r="G128" s="554"/>
      <c r="H128" s="633"/>
      <c r="I128" s="352" t="str">
        <f t="shared" si="44"/>
        <v>-</v>
      </c>
      <c r="J128" s="352" t="str">
        <f t="shared" si="45"/>
        <v>-</v>
      </c>
      <c r="K128" s="194" t="str">
        <f t="shared" si="46"/>
        <v>-</v>
      </c>
      <c r="L128" s="653"/>
      <c r="M128" s="193" t="e">
        <f>RANK(K128, K$112:$K$141)</f>
        <v>#VALUE!</v>
      </c>
      <c r="N128" s="637"/>
      <c r="O128" s="637"/>
      <c r="P128" s="542"/>
      <c r="Q128" s="544"/>
      <c r="R128" s="544"/>
      <c r="S128" s="542"/>
      <c r="T128" s="633"/>
      <c r="U128" s="542"/>
      <c r="V128" s="544"/>
      <c r="W128" s="544"/>
      <c r="X128" s="542"/>
      <c r="Y128" s="633"/>
      <c r="Z128" s="542"/>
      <c r="AA128" s="544"/>
      <c r="AB128" s="544"/>
      <c r="AC128" s="542"/>
      <c r="AD128" s="633"/>
      <c r="AE128" s="542"/>
      <c r="AF128" s="544"/>
      <c r="AG128" s="544"/>
      <c r="AH128" s="542"/>
      <c r="AI128" s="633"/>
      <c r="AJ128" s="542"/>
      <c r="AK128" s="544"/>
      <c r="AL128" s="544"/>
      <c r="AM128" s="542"/>
      <c r="AN128" s="633"/>
      <c r="AO128" s="542"/>
      <c r="AP128" s="544"/>
      <c r="AQ128" s="544"/>
      <c r="AR128" s="542"/>
      <c r="AS128" s="633"/>
      <c r="AT128" s="542"/>
      <c r="AU128" s="544"/>
      <c r="AV128" s="544"/>
      <c r="AW128" s="542"/>
      <c r="AX128" s="633"/>
      <c r="AZ128" s="361" t="e">
        <f t="shared" si="42"/>
        <v>#N/A</v>
      </c>
      <c r="BA128" s="633"/>
    </row>
    <row r="129" spans="2:53">
      <c r="B129" s="643"/>
      <c r="C129" s="275">
        <v>18</v>
      </c>
      <c r="D129" s="556"/>
      <c r="E129" s="196"/>
      <c r="F129" s="196"/>
      <c r="G129" s="554"/>
      <c r="H129" s="633"/>
      <c r="I129" s="352" t="str">
        <f t="shared" si="44"/>
        <v>-</v>
      </c>
      <c r="J129" s="352" t="str">
        <f t="shared" si="45"/>
        <v>-</v>
      </c>
      <c r="K129" s="194" t="str">
        <f t="shared" si="46"/>
        <v>-</v>
      </c>
      <c r="L129" s="653"/>
      <c r="M129" s="193" t="e">
        <f>RANK(K129, K$112:$K$141)</f>
        <v>#VALUE!</v>
      </c>
      <c r="N129" s="637"/>
      <c r="O129" s="637"/>
      <c r="P129" s="542"/>
      <c r="Q129" s="544"/>
      <c r="R129" s="544"/>
      <c r="S129" s="542"/>
      <c r="T129" s="633"/>
      <c r="U129" s="542"/>
      <c r="V129" s="544"/>
      <c r="W129" s="544"/>
      <c r="X129" s="542"/>
      <c r="Y129" s="633"/>
      <c r="Z129" s="542"/>
      <c r="AA129" s="544"/>
      <c r="AB129" s="544"/>
      <c r="AC129" s="542"/>
      <c r="AD129" s="633"/>
      <c r="AE129" s="542"/>
      <c r="AF129" s="544"/>
      <c r="AG129" s="544"/>
      <c r="AH129" s="542"/>
      <c r="AI129" s="633"/>
      <c r="AJ129" s="542"/>
      <c r="AK129" s="544"/>
      <c r="AL129" s="544"/>
      <c r="AM129" s="542"/>
      <c r="AN129" s="633"/>
      <c r="AO129" s="542"/>
      <c r="AP129" s="544"/>
      <c r="AQ129" s="544"/>
      <c r="AR129" s="542"/>
      <c r="AS129" s="633"/>
      <c r="AT129" s="542"/>
      <c r="AU129" s="544"/>
      <c r="AV129" s="544"/>
      <c r="AW129" s="542"/>
      <c r="AX129" s="633"/>
      <c r="AZ129" s="361" t="e">
        <f t="shared" si="42"/>
        <v>#N/A</v>
      </c>
      <c r="BA129" s="633"/>
    </row>
    <row r="130" spans="2:53">
      <c r="B130" s="643"/>
      <c r="C130" s="275">
        <v>19</v>
      </c>
      <c r="D130" s="556"/>
      <c r="E130" s="196"/>
      <c r="F130" s="196"/>
      <c r="G130" s="554"/>
      <c r="H130" s="633"/>
      <c r="I130" s="352" t="str">
        <f t="shared" si="44"/>
        <v>-</v>
      </c>
      <c r="J130" s="352" t="str">
        <f t="shared" si="45"/>
        <v>-</v>
      </c>
      <c r="K130" s="194" t="str">
        <f t="shared" si="46"/>
        <v>-</v>
      </c>
      <c r="L130" s="653"/>
      <c r="M130" s="193" t="e">
        <f>RANK(K130, K$112:$K$141)</f>
        <v>#VALUE!</v>
      </c>
      <c r="N130" s="637"/>
      <c r="O130" s="637"/>
      <c r="P130" s="542"/>
      <c r="Q130" s="544"/>
      <c r="R130" s="544"/>
      <c r="S130" s="542"/>
      <c r="T130" s="633"/>
      <c r="U130" s="542"/>
      <c r="V130" s="544"/>
      <c r="W130" s="544"/>
      <c r="X130" s="542"/>
      <c r="Y130" s="633"/>
      <c r="Z130" s="542"/>
      <c r="AA130" s="544"/>
      <c r="AB130" s="544"/>
      <c r="AC130" s="542"/>
      <c r="AD130" s="633"/>
      <c r="AE130" s="542"/>
      <c r="AF130" s="544"/>
      <c r="AG130" s="544"/>
      <c r="AH130" s="542"/>
      <c r="AI130" s="633"/>
      <c r="AJ130" s="542"/>
      <c r="AK130" s="544"/>
      <c r="AL130" s="544"/>
      <c r="AM130" s="542"/>
      <c r="AN130" s="633"/>
      <c r="AO130" s="542"/>
      <c r="AP130" s="544"/>
      <c r="AQ130" s="544"/>
      <c r="AR130" s="542"/>
      <c r="AS130" s="633"/>
      <c r="AT130" s="542"/>
      <c r="AU130" s="544"/>
      <c r="AV130" s="544"/>
      <c r="AW130" s="542"/>
      <c r="AX130" s="633"/>
      <c r="AZ130" s="361" t="e">
        <f t="shared" si="42"/>
        <v>#N/A</v>
      </c>
      <c r="BA130" s="633"/>
    </row>
    <row r="131" spans="2:53">
      <c r="B131" s="643"/>
      <c r="C131" s="275">
        <v>20</v>
      </c>
      <c r="D131" s="556"/>
      <c r="E131" s="196"/>
      <c r="F131" s="196"/>
      <c r="G131" s="554"/>
      <c r="H131" s="633"/>
      <c r="I131" s="352" t="str">
        <f t="shared" si="44"/>
        <v>-</v>
      </c>
      <c r="J131" s="352" t="str">
        <f t="shared" si="45"/>
        <v>-</v>
      </c>
      <c r="K131" s="194" t="str">
        <f t="shared" si="46"/>
        <v>-</v>
      </c>
      <c r="L131" s="653"/>
      <c r="M131" s="193" t="e">
        <f>RANK(K131, K$112:$K$141)</f>
        <v>#VALUE!</v>
      </c>
      <c r="N131" s="637"/>
      <c r="O131" s="637"/>
      <c r="P131" s="542"/>
      <c r="Q131" s="544"/>
      <c r="R131" s="544"/>
      <c r="S131" s="542"/>
      <c r="T131" s="633"/>
      <c r="U131" s="542"/>
      <c r="V131" s="544"/>
      <c r="W131" s="544"/>
      <c r="X131" s="542"/>
      <c r="Y131" s="633"/>
      <c r="Z131" s="542"/>
      <c r="AA131" s="544"/>
      <c r="AB131" s="544"/>
      <c r="AC131" s="542"/>
      <c r="AD131" s="633"/>
      <c r="AE131" s="542"/>
      <c r="AF131" s="544"/>
      <c r="AG131" s="544"/>
      <c r="AH131" s="542"/>
      <c r="AI131" s="633"/>
      <c r="AJ131" s="542"/>
      <c r="AK131" s="544"/>
      <c r="AL131" s="544"/>
      <c r="AM131" s="542"/>
      <c r="AN131" s="633"/>
      <c r="AO131" s="542"/>
      <c r="AP131" s="544"/>
      <c r="AQ131" s="544"/>
      <c r="AR131" s="542"/>
      <c r="AS131" s="633"/>
      <c r="AT131" s="542"/>
      <c r="AU131" s="544"/>
      <c r="AV131" s="544"/>
      <c r="AW131" s="542"/>
      <c r="AX131" s="633"/>
      <c r="AZ131" s="361" t="e">
        <f t="shared" si="42"/>
        <v>#N/A</v>
      </c>
      <c r="BA131" s="633"/>
    </row>
    <row r="132" spans="2:53">
      <c r="B132" s="643"/>
      <c r="C132" s="275">
        <v>21</v>
      </c>
      <c r="D132" s="556"/>
      <c r="E132" s="196"/>
      <c r="F132" s="196"/>
      <c r="G132" s="554"/>
      <c r="H132" s="633"/>
      <c r="I132" s="352" t="str">
        <f t="shared" si="44"/>
        <v>-</v>
      </c>
      <c r="J132" s="352" t="str">
        <f t="shared" si="45"/>
        <v>-</v>
      </c>
      <c r="K132" s="194" t="str">
        <f t="shared" si="46"/>
        <v>-</v>
      </c>
      <c r="L132" s="653"/>
      <c r="M132" s="193" t="e">
        <f>RANK(K132, K$112:$K$141)</f>
        <v>#VALUE!</v>
      </c>
      <c r="N132" s="637"/>
      <c r="O132" s="637"/>
      <c r="P132" s="542"/>
      <c r="Q132" s="544"/>
      <c r="R132" s="544"/>
      <c r="S132" s="542"/>
      <c r="T132" s="633"/>
      <c r="U132" s="542"/>
      <c r="V132" s="544"/>
      <c r="W132" s="544"/>
      <c r="X132" s="542"/>
      <c r="Y132" s="633"/>
      <c r="Z132" s="542"/>
      <c r="AA132" s="544"/>
      <c r="AB132" s="544"/>
      <c r="AC132" s="542"/>
      <c r="AD132" s="633"/>
      <c r="AE132" s="542"/>
      <c r="AF132" s="544"/>
      <c r="AG132" s="544"/>
      <c r="AH132" s="542"/>
      <c r="AI132" s="633"/>
      <c r="AJ132" s="542"/>
      <c r="AK132" s="544"/>
      <c r="AL132" s="544"/>
      <c r="AM132" s="542"/>
      <c r="AN132" s="633"/>
      <c r="AO132" s="542"/>
      <c r="AP132" s="544"/>
      <c r="AQ132" s="544"/>
      <c r="AR132" s="542"/>
      <c r="AS132" s="633"/>
      <c r="AT132" s="542"/>
      <c r="AU132" s="544"/>
      <c r="AV132" s="544"/>
      <c r="AW132" s="542"/>
      <c r="AX132" s="633"/>
      <c r="AZ132" s="361" t="e">
        <f t="shared" si="42"/>
        <v>#N/A</v>
      </c>
      <c r="BA132" s="633"/>
    </row>
    <row r="133" spans="2:53">
      <c r="B133" s="643"/>
      <c r="C133" s="275">
        <v>22</v>
      </c>
      <c r="D133" s="556"/>
      <c r="E133" s="196"/>
      <c r="F133" s="196"/>
      <c r="G133" s="554"/>
      <c r="H133" s="633"/>
      <c r="I133" s="352" t="str">
        <f t="shared" si="44"/>
        <v>-</v>
      </c>
      <c r="J133" s="352" t="str">
        <f t="shared" si="45"/>
        <v>-</v>
      </c>
      <c r="K133" s="194" t="str">
        <f t="shared" si="46"/>
        <v>-</v>
      </c>
      <c r="L133" s="653"/>
      <c r="M133" s="193" t="e">
        <f>RANK(K133, K$112:$K$141)</f>
        <v>#VALUE!</v>
      </c>
      <c r="N133" s="637"/>
      <c r="O133" s="637"/>
      <c r="P133" s="542"/>
      <c r="Q133" s="544"/>
      <c r="R133" s="544"/>
      <c r="S133" s="542"/>
      <c r="T133" s="633"/>
      <c r="U133" s="542"/>
      <c r="V133" s="544"/>
      <c r="W133" s="544"/>
      <c r="X133" s="542"/>
      <c r="Y133" s="633"/>
      <c r="Z133" s="542"/>
      <c r="AA133" s="544"/>
      <c r="AB133" s="544"/>
      <c r="AC133" s="542"/>
      <c r="AD133" s="633"/>
      <c r="AE133" s="542"/>
      <c r="AF133" s="544"/>
      <c r="AG133" s="544"/>
      <c r="AH133" s="542"/>
      <c r="AI133" s="633"/>
      <c r="AJ133" s="542"/>
      <c r="AK133" s="544"/>
      <c r="AL133" s="544"/>
      <c r="AM133" s="542"/>
      <c r="AN133" s="633"/>
      <c r="AO133" s="542"/>
      <c r="AP133" s="544"/>
      <c r="AQ133" s="544"/>
      <c r="AR133" s="542"/>
      <c r="AS133" s="633"/>
      <c r="AT133" s="542"/>
      <c r="AU133" s="544"/>
      <c r="AV133" s="544"/>
      <c r="AW133" s="542"/>
      <c r="AX133" s="633"/>
      <c r="AZ133" s="361" t="e">
        <f t="shared" si="42"/>
        <v>#N/A</v>
      </c>
      <c r="BA133" s="633"/>
    </row>
    <row r="134" spans="2:53">
      <c r="B134" s="643"/>
      <c r="C134" s="275">
        <v>23</v>
      </c>
      <c r="D134" s="196"/>
      <c r="E134" s="196"/>
      <c r="F134" s="196"/>
      <c r="G134" s="554"/>
      <c r="H134" s="633"/>
      <c r="I134" s="352" t="str">
        <f t="shared" si="44"/>
        <v>-</v>
      </c>
      <c r="J134" s="352" t="str">
        <f t="shared" si="45"/>
        <v>-</v>
      </c>
      <c r="K134" s="194" t="str">
        <f t="shared" si="46"/>
        <v>-</v>
      </c>
      <c r="L134" s="653"/>
      <c r="M134" s="193" t="e">
        <f>RANK(K134, K$112:$K$141)</f>
        <v>#VALUE!</v>
      </c>
      <c r="N134" s="637"/>
      <c r="O134" s="637"/>
      <c r="P134" s="542"/>
      <c r="Q134" s="544"/>
      <c r="R134" s="544"/>
      <c r="S134" s="542"/>
      <c r="T134" s="633"/>
      <c r="U134" s="542"/>
      <c r="V134" s="544"/>
      <c r="W134" s="544"/>
      <c r="X134" s="542"/>
      <c r="Y134" s="633"/>
      <c r="Z134" s="542"/>
      <c r="AA134" s="544"/>
      <c r="AB134" s="544"/>
      <c r="AC134" s="542"/>
      <c r="AD134" s="633"/>
      <c r="AE134" s="542"/>
      <c r="AF134" s="544"/>
      <c r="AG134" s="544"/>
      <c r="AH134" s="542"/>
      <c r="AI134" s="633"/>
      <c r="AJ134" s="542"/>
      <c r="AK134" s="544"/>
      <c r="AL134" s="544"/>
      <c r="AM134" s="542"/>
      <c r="AN134" s="633"/>
      <c r="AO134" s="542"/>
      <c r="AP134" s="544"/>
      <c r="AQ134" s="544"/>
      <c r="AR134" s="542"/>
      <c r="AS134" s="633"/>
      <c r="AT134" s="542"/>
      <c r="AU134" s="544"/>
      <c r="AV134" s="544"/>
      <c r="AW134" s="542"/>
      <c r="AX134" s="633"/>
      <c r="AZ134" s="361" t="e">
        <f t="shared" si="42"/>
        <v>#N/A</v>
      </c>
      <c r="BA134" s="633"/>
    </row>
    <row r="135" spans="2:53">
      <c r="B135" s="643"/>
      <c r="C135" s="275">
        <v>24</v>
      </c>
      <c r="D135" s="556"/>
      <c r="E135" s="196"/>
      <c r="F135" s="196"/>
      <c r="G135" s="554"/>
      <c r="H135" s="633"/>
      <c r="I135" s="352" t="str">
        <f t="shared" si="44"/>
        <v>-</v>
      </c>
      <c r="J135" s="352" t="str">
        <f t="shared" si="45"/>
        <v>-</v>
      </c>
      <c r="K135" s="194" t="str">
        <f t="shared" si="46"/>
        <v>-</v>
      </c>
      <c r="L135" s="653"/>
      <c r="M135" s="193" t="e">
        <f>RANK(K135, K$112:$K$141)</f>
        <v>#VALUE!</v>
      </c>
      <c r="N135" s="637"/>
      <c r="O135" s="637"/>
      <c r="P135" s="542"/>
      <c r="Q135" s="544"/>
      <c r="R135" s="544"/>
      <c r="S135" s="542"/>
      <c r="T135" s="633"/>
      <c r="U135" s="542"/>
      <c r="V135" s="544"/>
      <c r="W135" s="544"/>
      <c r="X135" s="542"/>
      <c r="Y135" s="633"/>
      <c r="Z135" s="542"/>
      <c r="AA135" s="544"/>
      <c r="AB135" s="544"/>
      <c r="AC135" s="542"/>
      <c r="AD135" s="633"/>
      <c r="AE135" s="542"/>
      <c r="AF135" s="544"/>
      <c r="AG135" s="544"/>
      <c r="AH135" s="542"/>
      <c r="AI135" s="633"/>
      <c r="AJ135" s="542"/>
      <c r="AK135" s="544"/>
      <c r="AL135" s="544"/>
      <c r="AM135" s="542"/>
      <c r="AN135" s="633"/>
      <c r="AO135" s="542"/>
      <c r="AP135" s="544"/>
      <c r="AQ135" s="544"/>
      <c r="AR135" s="542"/>
      <c r="AS135" s="633"/>
      <c r="AT135" s="542"/>
      <c r="AU135" s="544"/>
      <c r="AV135" s="544"/>
      <c r="AW135" s="542"/>
      <c r="AX135" s="633"/>
      <c r="AZ135" s="361" t="e">
        <f t="shared" si="42"/>
        <v>#N/A</v>
      </c>
      <c r="BA135" s="633"/>
    </row>
    <row r="136" spans="2:53">
      <c r="B136" s="643"/>
      <c r="C136" s="275">
        <v>25</v>
      </c>
      <c r="D136" s="196"/>
      <c r="E136" s="196"/>
      <c r="F136" s="196"/>
      <c r="G136" s="554"/>
      <c r="H136" s="633"/>
      <c r="I136" s="352" t="str">
        <f t="shared" si="44"/>
        <v>-</v>
      </c>
      <c r="J136" s="352" t="str">
        <f t="shared" si="45"/>
        <v>-</v>
      </c>
      <c r="K136" s="194" t="str">
        <f t="shared" si="46"/>
        <v>-</v>
      </c>
      <c r="L136" s="653"/>
      <c r="M136" s="193" t="e">
        <f>RANK(K136, K$112:$K$141)</f>
        <v>#VALUE!</v>
      </c>
      <c r="N136" s="637"/>
      <c r="O136" s="637"/>
      <c r="P136" s="542"/>
      <c r="Q136" s="544"/>
      <c r="R136" s="544"/>
      <c r="S136" s="542"/>
      <c r="T136" s="633"/>
      <c r="U136" s="542"/>
      <c r="V136" s="544"/>
      <c r="W136" s="544"/>
      <c r="X136" s="542"/>
      <c r="Y136" s="633"/>
      <c r="Z136" s="542"/>
      <c r="AA136" s="544"/>
      <c r="AB136" s="544"/>
      <c r="AC136" s="542"/>
      <c r="AD136" s="633"/>
      <c r="AE136" s="542"/>
      <c r="AF136" s="544"/>
      <c r="AG136" s="544"/>
      <c r="AH136" s="542"/>
      <c r="AI136" s="633"/>
      <c r="AJ136" s="542"/>
      <c r="AK136" s="544"/>
      <c r="AL136" s="544"/>
      <c r="AM136" s="542"/>
      <c r="AN136" s="633"/>
      <c r="AO136" s="542"/>
      <c r="AP136" s="544"/>
      <c r="AQ136" s="544"/>
      <c r="AR136" s="542"/>
      <c r="AS136" s="633"/>
      <c r="AT136" s="542"/>
      <c r="AU136" s="544"/>
      <c r="AV136" s="544"/>
      <c r="AW136" s="542"/>
      <c r="AX136" s="633"/>
      <c r="AZ136" s="361" t="e">
        <f t="shared" si="42"/>
        <v>#N/A</v>
      </c>
      <c r="BA136" s="633"/>
    </row>
    <row r="137" spans="2:53">
      <c r="B137" s="643"/>
      <c r="C137" s="275">
        <v>26</v>
      </c>
      <c r="D137" s="196"/>
      <c r="E137" s="196"/>
      <c r="F137" s="196"/>
      <c r="G137" s="554"/>
      <c r="H137" s="633"/>
      <c r="I137" s="352" t="str">
        <f t="shared" si="44"/>
        <v>-</v>
      </c>
      <c r="J137" s="352" t="str">
        <f t="shared" si="45"/>
        <v>-</v>
      </c>
      <c r="K137" s="194" t="str">
        <f t="shared" si="46"/>
        <v>-</v>
      </c>
      <c r="L137" s="653"/>
      <c r="M137" s="193" t="e">
        <f>RANK(K137, K$112:$K$141)</f>
        <v>#VALUE!</v>
      </c>
      <c r="N137" s="637"/>
      <c r="O137" s="637"/>
      <c r="P137" s="542"/>
      <c r="Q137" s="544"/>
      <c r="R137" s="544"/>
      <c r="S137" s="542"/>
      <c r="T137" s="633"/>
      <c r="U137" s="542"/>
      <c r="V137" s="544"/>
      <c r="W137" s="544"/>
      <c r="X137" s="542"/>
      <c r="Y137" s="633"/>
      <c r="Z137" s="542"/>
      <c r="AA137" s="544"/>
      <c r="AB137" s="544"/>
      <c r="AC137" s="542"/>
      <c r="AD137" s="633"/>
      <c r="AE137" s="542"/>
      <c r="AF137" s="544"/>
      <c r="AG137" s="544"/>
      <c r="AH137" s="542"/>
      <c r="AI137" s="633"/>
      <c r="AJ137" s="542"/>
      <c r="AK137" s="544"/>
      <c r="AL137" s="544"/>
      <c r="AM137" s="542"/>
      <c r="AN137" s="633"/>
      <c r="AO137" s="542"/>
      <c r="AP137" s="544"/>
      <c r="AQ137" s="544"/>
      <c r="AR137" s="542"/>
      <c r="AS137" s="633"/>
      <c r="AT137" s="542"/>
      <c r="AU137" s="544"/>
      <c r="AV137" s="544"/>
      <c r="AW137" s="542"/>
      <c r="AX137" s="633"/>
      <c r="AZ137" s="361" t="e">
        <f t="shared" si="42"/>
        <v>#N/A</v>
      </c>
      <c r="BA137" s="633"/>
    </row>
    <row r="138" spans="2:53">
      <c r="B138" s="643"/>
      <c r="C138" s="275">
        <v>27</v>
      </c>
      <c r="D138" s="196"/>
      <c r="E138" s="196"/>
      <c r="F138" s="196"/>
      <c r="G138" s="554"/>
      <c r="H138" s="633"/>
      <c r="I138" s="352" t="str">
        <f t="shared" si="44"/>
        <v>-</v>
      </c>
      <c r="J138" s="352" t="str">
        <f t="shared" si="45"/>
        <v>-</v>
      </c>
      <c r="K138" s="194" t="str">
        <f t="shared" si="46"/>
        <v>-</v>
      </c>
      <c r="L138" s="653"/>
      <c r="M138" s="193" t="e">
        <f>RANK(K138, K$112:$K$141)</f>
        <v>#VALUE!</v>
      </c>
      <c r="N138" s="637"/>
      <c r="O138" s="637"/>
      <c r="P138" s="542"/>
      <c r="Q138" s="544"/>
      <c r="R138" s="544"/>
      <c r="S138" s="542"/>
      <c r="T138" s="633"/>
      <c r="U138" s="542"/>
      <c r="V138" s="544"/>
      <c r="W138" s="544"/>
      <c r="X138" s="542"/>
      <c r="Y138" s="633"/>
      <c r="Z138" s="542"/>
      <c r="AA138" s="544"/>
      <c r="AB138" s="544"/>
      <c r="AC138" s="542"/>
      <c r="AD138" s="633"/>
      <c r="AE138" s="542"/>
      <c r="AF138" s="544"/>
      <c r="AG138" s="544"/>
      <c r="AH138" s="542"/>
      <c r="AI138" s="633"/>
      <c r="AJ138" s="542"/>
      <c r="AK138" s="544"/>
      <c r="AL138" s="544"/>
      <c r="AM138" s="542"/>
      <c r="AN138" s="633"/>
      <c r="AO138" s="542"/>
      <c r="AP138" s="544"/>
      <c r="AQ138" s="544"/>
      <c r="AR138" s="542"/>
      <c r="AS138" s="633"/>
      <c r="AT138" s="542"/>
      <c r="AU138" s="544"/>
      <c r="AV138" s="544"/>
      <c r="AW138" s="542"/>
      <c r="AX138" s="633"/>
      <c r="AZ138" s="361" t="e">
        <f t="shared" si="42"/>
        <v>#N/A</v>
      </c>
      <c r="BA138" s="633"/>
    </row>
    <row r="139" spans="2:53">
      <c r="B139" s="643"/>
      <c r="C139" s="275">
        <v>28</v>
      </c>
      <c r="D139" s="196"/>
      <c r="E139" s="196"/>
      <c r="F139" s="196"/>
      <c r="G139" s="196"/>
      <c r="H139" s="633"/>
      <c r="I139" s="352" t="str">
        <f t="shared" si="44"/>
        <v>-</v>
      </c>
      <c r="J139" s="352" t="str">
        <f t="shared" si="45"/>
        <v>-</v>
      </c>
      <c r="K139" s="194" t="str">
        <f t="shared" si="46"/>
        <v>-</v>
      </c>
      <c r="L139" s="653"/>
      <c r="M139" s="193" t="e">
        <f>RANK(K139, K$112:$K$141)</f>
        <v>#VALUE!</v>
      </c>
      <c r="N139" s="637"/>
      <c r="O139" s="637"/>
      <c r="P139" s="542"/>
      <c r="Q139" s="544"/>
      <c r="R139" s="544"/>
      <c r="S139" s="542"/>
      <c r="T139" s="633"/>
      <c r="U139" s="542"/>
      <c r="V139" s="544"/>
      <c r="W139" s="544"/>
      <c r="X139" s="542"/>
      <c r="Y139" s="633"/>
      <c r="Z139" s="542"/>
      <c r="AA139" s="544"/>
      <c r="AB139" s="544"/>
      <c r="AC139" s="542"/>
      <c r="AD139" s="633"/>
      <c r="AE139" s="542"/>
      <c r="AF139" s="544"/>
      <c r="AG139" s="544"/>
      <c r="AH139" s="542"/>
      <c r="AI139" s="633"/>
      <c r="AJ139" s="542"/>
      <c r="AK139" s="544"/>
      <c r="AL139" s="544"/>
      <c r="AM139" s="542"/>
      <c r="AN139" s="633"/>
      <c r="AO139" s="542"/>
      <c r="AP139" s="544"/>
      <c r="AQ139" s="544"/>
      <c r="AR139" s="542"/>
      <c r="AS139" s="633"/>
      <c r="AT139" s="542"/>
      <c r="AU139" s="544"/>
      <c r="AV139" s="544"/>
      <c r="AW139" s="542"/>
      <c r="AX139" s="633"/>
      <c r="AZ139" s="361" t="e">
        <f t="shared" si="42"/>
        <v>#N/A</v>
      </c>
      <c r="BA139" s="633"/>
    </row>
    <row r="140" spans="2:53">
      <c r="B140" s="643"/>
      <c r="C140" s="275">
        <v>29</v>
      </c>
      <c r="D140" s="196"/>
      <c r="E140" s="196"/>
      <c r="F140" s="196"/>
      <c r="G140" s="196"/>
      <c r="H140" s="633"/>
      <c r="I140" s="352" t="str">
        <f t="shared" si="44"/>
        <v>-</v>
      </c>
      <c r="J140" s="352" t="str">
        <f t="shared" si="45"/>
        <v>-</v>
      </c>
      <c r="K140" s="194" t="str">
        <f t="shared" si="46"/>
        <v>-</v>
      </c>
      <c r="L140" s="653"/>
      <c r="M140" s="193" t="e">
        <f>RANK(K140, K$112:$K$141)</f>
        <v>#VALUE!</v>
      </c>
      <c r="N140" s="637"/>
      <c r="O140" s="637"/>
      <c r="P140" s="542"/>
      <c r="Q140" s="544"/>
      <c r="R140" s="544"/>
      <c r="S140" s="542"/>
      <c r="T140" s="633"/>
      <c r="U140" s="542"/>
      <c r="V140" s="544"/>
      <c r="W140" s="544"/>
      <c r="X140" s="542"/>
      <c r="Y140" s="633"/>
      <c r="Z140" s="542"/>
      <c r="AA140" s="544"/>
      <c r="AB140" s="544"/>
      <c r="AC140" s="542"/>
      <c r="AD140" s="633"/>
      <c r="AE140" s="542"/>
      <c r="AF140" s="544"/>
      <c r="AG140" s="544"/>
      <c r="AH140" s="542"/>
      <c r="AI140" s="633"/>
      <c r="AJ140" s="542"/>
      <c r="AK140" s="544"/>
      <c r="AL140" s="544"/>
      <c r="AM140" s="542"/>
      <c r="AN140" s="633"/>
      <c r="AO140" s="542"/>
      <c r="AP140" s="544"/>
      <c r="AQ140" s="544"/>
      <c r="AR140" s="542"/>
      <c r="AS140" s="633"/>
      <c r="AT140" s="542"/>
      <c r="AU140" s="544"/>
      <c r="AV140" s="544"/>
      <c r="AW140" s="542"/>
      <c r="AX140" s="633"/>
      <c r="AZ140" s="361" t="e">
        <f t="shared" si="42"/>
        <v>#N/A</v>
      </c>
      <c r="BA140" s="633"/>
    </row>
    <row r="141" spans="2:53">
      <c r="B141" s="643"/>
      <c r="C141" s="275">
        <v>30</v>
      </c>
      <c r="D141" s="196"/>
      <c r="E141" s="196"/>
      <c r="F141" s="196"/>
      <c r="G141" s="196"/>
      <c r="H141" s="634"/>
      <c r="I141" s="352" t="str">
        <f t="shared" si="44"/>
        <v>-</v>
      </c>
      <c r="J141" s="352" t="str">
        <f t="shared" si="45"/>
        <v>-</v>
      </c>
      <c r="K141" s="194" t="str">
        <f t="shared" si="46"/>
        <v>-</v>
      </c>
      <c r="L141" s="654"/>
      <c r="M141" s="193" t="e">
        <f>RANK(K141, K$112:$K$141)</f>
        <v>#VALUE!</v>
      </c>
      <c r="N141" s="637"/>
      <c r="O141" s="637"/>
      <c r="P141" s="542"/>
      <c r="Q141" s="544"/>
      <c r="R141" s="544"/>
      <c r="S141" s="542"/>
      <c r="T141" s="634"/>
      <c r="U141" s="542"/>
      <c r="V141" s="544"/>
      <c r="W141" s="544"/>
      <c r="X141" s="542"/>
      <c r="Y141" s="634"/>
      <c r="Z141" s="542"/>
      <c r="AA141" s="544"/>
      <c r="AB141" s="544"/>
      <c r="AC141" s="542"/>
      <c r="AD141" s="634"/>
      <c r="AE141" s="542"/>
      <c r="AF141" s="544"/>
      <c r="AG141" s="544"/>
      <c r="AH141" s="542"/>
      <c r="AI141" s="634"/>
      <c r="AJ141" s="542"/>
      <c r="AK141" s="544"/>
      <c r="AL141" s="544"/>
      <c r="AM141" s="542"/>
      <c r="AN141" s="634"/>
      <c r="AO141" s="542"/>
      <c r="AP141" s="544"/>
      <c r="AQ141" s="544"/>
      <c r="AR141" s="542"/>
      <c r="AS141" s="634"/>
      <c r="AT141" s="542"/>
      <c r="AU141" s="544"/>
      <c r="AV141" s="544"/>
      <c r="AW141" s="542"/>
      <c r="AX141" s="634"/>
      <c r="AZ141" s="361" t="e">
        <f t="shared" si="42"/>
        <v>#N/A</v>
      </c>
      <c r="BA141" s="634"/>
    </row>
    <row r="142" spans="2:53" ht="15.75">
      <c r="B142" s="665" t="s">
        <v>162</v>
      </c>
      <c r="C142" s="666"/>
      <c r="D142" s="666"/>
      <c r="E142" s="666"/>
      <c r="F142" s="666"/>
      <c r="G142" s="666"/>
      <c r="H142" s="667"/>
      <c r="I142" s="202"/>
      <c r="J142" s="202"/>
      <c r="K142" s="202"/>
      <c r="L142" s="202"/>
      <c r="M142" s="201"/>
      <c r="N142" s="639" t="s">
        <v>156</v>
      </c>
      <c r="O142" s="639" t="s">
        <v>155</v>
      </c>
      <c r="P142" s="664">
        <f>P107+7</f>
        <v>46322</v>
      </c>
      <c r="Q142" s="643"/>
      <c r="R142" s="643"/>
      <c r="S142" s="643"/>
      <c r="T142" s="643"/>
      <c r="U142" s="661">
        <f>P142+1</f>
        <v>46323</v>
      </c>
      <c r="V142" s="662"/>
      <c r="W142" s="662"/>
      <c r="X142" s="662"/>
      <c r="Y142" s="663"/>
      <c r="Z142" s="661">
        <f>U142+1</f>
        <v>46324</v>
      </c>
      <c r="AA142" s="662"/>
      <c r="AB142" s="662"/>
      <c r="AC142" s="662"/>
      <c r="AD142" s="663"/>
      <c r="AE142" s="661">
        <f>Z142+1</f>
        <v>46325</v>
      </c>
      <c r="AF142" s="662"/>
      <c r="AG142" s="662"/>
      <c r="AH142" s="662"/>
      <c r="AI142" s="663"/>
      <c r="AJ142" s="661">
        <f>AE142+1</f>
        <v>46326</v>
      </c>
      <c r="AK142" s="662"/>
      <c r="AL142" s="662"/>
      <c r="AM142" s="662"/>
      <c r="AN142" s="663"/>
      <c r="AO142" s="661">
        <f>AJ142+1</f>
        <v>46327</v>
      </c>
      <c r="AP142" s="662"/>
      <c r="AQ142" s="662"/>
      <c r="AR142" s="662"/>
      <c r="AS142" s="663"/>
      <c r="AT142" s="661">
        <f>AO142+1</f>
        <v>46328</v>
      </c>
      <c r="AU142" s="662"/>
      <c r="AV142" s="662"/>
      <c r="AW142" s="662"/>
      <c r="AX142" s="663"/>
    </row>
    <row r="143" spans="2:53" ht="15.75">
      <c r="B143" s="668"/>
      <c r="C143" s="668"/>
      <c r="D143" s="668"/>
      <c r="E143" s="668"/>
      <c r="F143" s="668"/>
      <c r="G143" s="668"/>
      <c r="H143" s="668"/>
      <c r="I143" s="199"/>
      <c r="J143" s="199"/>
      <c r="K143" s="199"/>
      <c r="L143" s="199"/>
      <c r="M143" s="200"/>
      <c r="N143" s="641"/>
      <c r="O143" s="641"/>
      <c r="P143" s="664" t="s">
        <v>317</v>
      </c>
      <c r="Q143" s="643"/>
      <c r="R143" s="643"/>
      <c r="S143" s="643"/>
      <c r="T143" s="643"/>
      <c r="U143" s="664" t="s">
        <v>318</v>
      </c>
      <c r="V143" s="643"/>
      <c r="W143" s="643"/>
      <c r="X143" s="643"/>
      <c r="Y143" s="643"/>
      <c r="Z143" s="664" t="s">
        <v>319</v>
      </c>
      <c r="AA143" s="643"/>
      <c r="AB143" s="643"/>
      <c r="AC143" s="643"/>
      <c r="AD143" s="643"/>
      <c r="AE143" s="664" t="s">
        <v>320</v>
      </c>
      <c r="AF143" s="643"/>
      <c r="AG143" s="643"/>
      <c r="AH143" s="643"/>
      <c r="AI143" s="643"/>
      <c r="AJ143" s="664" t="s">
        <v>321</v>
      </c>
      <c r="AK143" s="643"/>
      <c r="AL143" s="643"/>
      <c r="AM143" s="643"/>
      <c r="AN143" s="643"/>
      <c r="AO143" s="664" t="s">
        <v>322</v>
      </c>
      <c r="AP143" s="643"/>
      <c r="AQ143" s="643"/>
      <c r="AR143" s="643"/>
      <c r="AS143" s="643"/>
      <c r="AT143" s="664" t="s">
        <v>323</v>
      </c>
      <c r="AU143" s="643"/>
      <c r="AV143" s="643"/>
      <c r="AW143" s="643"/>
      <c r="AX143" s="643"/>
    </row>
    <row r="144" spans="2:53">
      <c r="B144" s="637" t="s">
        <v>380</v>
      </c>
      <c r="C144" s="637" t="s">
        <v>381</v>
      </c>
      <c r="D144" s="637"/>
      <c r="E144" s="637" t="s">
        <v>382</v>
      </c>
      <c r="F144" s="637"/>
      <c r="G144" s="637"/>
      <c r="H144" s="669" t="s">
        <v>383</v>
      </c>
      <c r="I144" s="684" t="s">
        <v>384</v>
      </c>
      <c r="J144" s="684"/>
      <c r="K144" s="684"/>
      <c r="L144" s="685" t="s">
        <v>383</v>
      </c>
      <c r="M144" s="673" t="s">
        <v>385</v>
      </c>
      <c r="N144" s="637"/>
      <c r="O144" s="637" t="s">
        <v>386</v>
      </c>
      <c r="P144" s="655" t="s">
        <v>387</v>
      </c>
      <c r="Q144" s="656"/>
      <c r="R144" s="656"/>
      <c r="S144" s="657"/>
      <c r="T144" s="637" t="s">
        <v>383</v>
      </c>
      <c r="U144" s="655" t="s">
        <v>387</v>
      </c>
      <c r="V144" s="656"/>
      <c r="W144" s="656"/>
      <c r="X144" s="657"/>
      <c r="Y144" s="637" t="s">
        <v>383</v>
      </c>
      <c r="Z144" s="655" t="s">
        <v>387</v>
      </c>
      <c r="AA144" s="656"/>
      <c r="AB144" s="656"/>
      <c r="AC144" s="657"/>
      <c r="AD144" s="637" t="s">
        <v>383</v>
      </c>
      <c r="AE144" s="655" t="s">
        <v>387</v>
      </c>
      <c r="AF144" s="656"/>
      <c r="AG144" s="656"/>
      <c r="AH144" s="657"/>
      <c r="AI144" s="637" t="s">
        <v>383</v>
      </c>
      <c r="AJ144" s="655" t="s">
        <v>387</v>
      </c>
      <c r="AK144" s="656"/>
      <c r="AL144" s="656"/>
      <c r="AM144" s="657"/>
      <c r="AN144" s="637" t="s">
        <v>383</v>
      </c>
      <c r="AO144" s="655" t="s">
        <v>387</v>
      </c>
      <c r="AP144" s="656"/>
      <c r="AQ144" s="656"/>
      <c r="AR144" s="657"/>
      <c r="AS144" s="637" t="s">
        <v>383</v>
      </c>
      <c r="AT144" s="655" t="s">
        <v>387</v>
      </c>
      <c r="AU144" s="656"/>
      <c r="AV144" s="656"/>
      <c r="AW144" s="657"/>
      <c r="AX144" s="637" t="s">
        <v>383</v>
      </c>
      <c r="BA144" s="637" t="s">
        <v>357</v>
      </c>
    </row>
    <row r="145" spans="2:53">
      <c r="B145" s="637"/>
      <c r="C145" s="637"/>
      <c r="D145" s="637"/>
      <c r="E145" s="637" t="s">
        <v>388</v>
      </c>
      <c r="F145" s="637"/>
      <c r="G145" s="637"/>
      <c r="H145" s="670"/>
      <c r="I145" s="684" t="s">
        <v>388</v>
      </c>
      <c r="J145" s="684"/>
      <c r="K145" s="684"/>
      <c r="L145" s="686"/>
      <c r="M145" s="674"/>
      <c r="N145" s="637"/>
      <c r="O145" s="637"/>
      <c r="P145" s="655" t="s">
        <v>389</v>
      </c>
      <c r="Q145" s="656"/>
      <c r="R145" s="656"/>
      <c r="S145" s="657"/>
      <c r="T145" s="637"/>
      <c r="U145" s="655" t="s">
        <v>389</v>
      </c>
      <c r="V145" s="656"/>
      <c r="W145" s="656"/>
      <c r="X145" s="657"/>
      <c r="Y145" s="637"/>
      <c r="Z145" s="655" t="s">
        <v>389</v>
      </c>
      <c r="AA145" s="656"/>
      <c r="AB145" s="656"/>
      <c r="AC145" s="657"/>
      <c r="AD145" s="637"/>
      <c r="AE145" s="655" t="s">
        <v>389</v>
      </c>
      <c r="AF145" s="656"/>
      <c r="AG145" s="656"/>
      <c r="AH145" s="657"/>
      <c r="AI145" s="637"/>
      <c r="AJ145" s="655" t="s">
        <v>389</v>
      </c>
      <c r="AK145" s="656"/>
      <c r="AL145" s="656"/>
      <c r="AM145" s="657"/>
      <c r="AN145" s="637"/>
      <c r="AO145" s="655" t="s">
        <v>389</v>
      </c>
      <c r="AP145" s="656"/>
      <c r="AQ145" s="656"/>
      <c r="AR145" s="657"/>
      <c r="AS145" s="637"/>
      <c r="AT145" s="655" t="s">
        <v>389</v>
      </c>
      <c r="AU145" s="656"/>
      <c r="AV145" s="656"/>
      <c r="AW145" s="657"/>
      <c r="AX145" s="637"/>
      <c r="BA145" s="637"/>
    </row>
    <row r="146" spans="2:53">
      <c r="B146" s="637"/>
      <c r="C146" s="637"/>
      <c r="D146" s="637"/>
      <c r="E146" s="268" t="s">
        <v>390</v>
      </c>
      <c r="F146" s="268" t="s">
        <v>391</v>
      </c>
      <c r="G146" s="268" t="s">
        <v>392</v>
      </c>
      <c r="H146" s="671"/>
      <c r="I146" s="269" t="s">
        <v>390</v>
      </c>
      <c r="J146" s="269" t="s">
        <v>391</v>
      </c>
      <c r="K146" s="269" t="s">
        <v>392</v>
      </c>
      <c r="L146" s="687"/>
      <c r="M146" s="675"/>
      <c r="N146" s="637"/>
      <c r="O146" s="637"/>
      <c r="P146" s="268" t="s">
        <v>390</v>
      </c>
      <c r="Q146" s="268" t="s">
        <v>391</v>
      </c>
      <c r="R146" s="268" t="s">
        <v>392</v>
      </c>
      <c r="S146" s="268" t="s">
        <v>385</v>
      </c>
      <c r="T146" s="637"/>
      <c r="U146" s="268" t="s">
        <v>390</v>
      </c>
      <c r="V146" s="268" t="s">
        <v>391</v>
      </c>
      <c r="W146" s="268" t="s">
        <v>392</v>
      </c>
      <c r="X146" s="268" t="s">
        <v>385</v>
      </c>
      <c r="Y146" s="637"/>
      <c r="Z146" s="268" t="s">
        <v>390</v>
      </c>
      <c r="AA146" s="268" t="s">
        <v>391</v>
      </c>
      <c r="AB146" s="268" t="s">
        <v>392</v>
      </c>
      <c r="AC146" s="268" t="s">
        <v>385</v>
      </c>
      <c r="AD146" s="637"/>
      <c r="AE146" s="268" t="s">
        <v>390</v>
      </c>
      <c r="AF146" s="268" t="s">
        <v>391</v>
      </c>
      <c r="AG146" s="268" t="s">
        <v>392</v>
      </c>
      <c r="AH146" s="268" t="s">
        <v>385</v>
      </c>
      <c r="AI146" s="637"/>
      <c r="AJ146" s="268" t="s">
        <v>390</v>
      </c>
      <c r="AK146" s="268" t="s">
        <v>391</v>
      </c>
      <c r="AL146" s="268" t="s">
        <v>392</v>
      </c>
      <c r="AM146" s="268" t="s">
        <v>385</v>
      </c>
      <c r="AN146" s="637"/>
      <c r="AO146" s="268" t="s">
        <v>390</v>
      </c>
      <c r="AP146" s="268" t="s">
        <v>391</v>
      </c>
      <c r="AQ146" s="268" t="s">
        <v>392</v>
      </c>
      <c r="AR146" s="268" t="s">
        <v>385</v>
      </c>
      <c r="AS146" s="637"/>
      <c r="AT146" s="268" t="s">
        <v>390</v>
      </c>
      <c r="AU146" s="268" t="s">
        <v>391</v>
      </c>
      <c r="AV146" s="268" t="s">
        <v>392</v>
      </c>
      <c r="AW146" s="268" t="s">
        <v>385</v>
      </c>
      <c r="AX146" s="637"/>
      <c r="AZ146" s="362" t="s">
        <v>358</v>
      </c>
      <c r="BA146" s="637"/>
    </row>
    <row r="147" spans="2:53">
      <c r="B147" s="643" t="s">
        <v>150</v>
      </c>
      <c r="C147" s="267">
        <v>1</v>
      </c>
      <c r="D147" s="196"/>
      <c r="E147" s="196"/>
      <c r="F147" s="196"/>
      <c r="G147" s="475"/>
      <c r="H147" s="632" t="e">
        <f>AVERAGE(G147:G176)</f>
        <v>#DIV/0!</v>
      </c>
      <c r="I147" s="352" t="str">
        <f>IFERROR(AVERAGE(P147,U147,Z147,AE147,AJ147,AO147,AT147),"-")</f>
        <v>-</v>
      </c>
      <c r="J147" s="352" t="str">
        <f>IFERROR(AVERAGE(Q147,V147,AA147,AF147,AK147,AP147,AU147),"-")</f>
        <v>-</v>
      </c>
      <c r="K147" s="194" t="str">
        <f>IFERROR(AVERAGE(R147,W147,AB147,AG147,AL147,AQ147,AV147),"-")</f>
        <v>-</v>
      </c>
      <c r="L147" s="652" t="str">
        <f>IFERROR(AVERAGE(K147:K176),"-")</f>
        <v>-</v>
      </c>
      <c r="M147" s="193" t="e">
        <f>RANK(K147, K$147:$K$176)</f>
        <v>#VALUE!</v>
      </c>
      <c r="N147" s="637"/>
      <c r="O147" s="637"/>
      <c r="P147" s="546"/>
      <c r="Q147" s="547"/>
      <c r="R147" s="547"/>
      <c r="S147" s="546"/>
      <c r="T147" s="632"/>
      <c r="U147" s="546"/>
      <c r="V147" s="547"/>
      <c r="W147" s="547"/>
      <c r="X147" s="546"/>
      <c r="Y147" s="632"/>
      <c r="Z147" s="546"/>
      <c r="AA147" s="547"/>
      <c r="AB147" s="547"/>
      <c r="AC147" s="546"/>
      <c r="AD147" s="632"/>
      <c r="AE147" s="546"/>
      <c r="AF147" s="547"/>
      <c r="AG147" s="547"/>
      <c r="AH147" s="546"/>
      <c r="AI147" s="632"/>
      <c r="AJ147" s="546"/>
      <c r="AK147" s="547"/>
      <c r="AL147" s="547"/>
      <c r="AM147" s="546"/>
      <c r="AN147" s="632"/>
      <c r="AO147" s="546"/>
      <c r="AP147" s="547"/>
      <c r="AQ147" s="547"/>
      <c r="AR147" s="546"/>
      <c r="AS147" s="632"/>
      <c r="AT147" s="546"/>
      <c r="AU147" s="547"/>
      <c r="AV147" s="547"/>
      <c r="AW147" s="546"/>
      <c r="AX147" s="632"/>
      <c r="AZ147" s="361" t="e">
        <f t="shared" ref="AZ147:AZ176" si="47">RANK(AY147, AY$147:AY$176)</f>
        <v>#N/A</v>
      </c>
      <c r="BA147" s="632" t="e">
        <f t="shared" ref="BA147" si="48">AVERAGE(AY147:AY176)</f>
        <v>#DIV/0!</v>
      </c>
    </row>
    <row r="148" spans="2:53">
      <c r="B148" s="643"/>
      <c r="C148" s="267">
        <v>2</v>
      </c>
      <c r="D148" s="476"/>
      <c r="E148" s="196"/>
      <c r="F148" s="196"/>
      <c r="G148" s="475"/>
      <c r="H148" s="633"/>
      <c r="I148" s="352" t="str">
        <f t="shared" ref="I148:I176" si="49">IFERROR(AVERAGE(P148,U148,Z148,AE148,AJ148,AO148,AT148),"-")</f>
        <v>-</v>
      </c>
      <c r="J148" s="352" t="str">
        <f t="shared" ref="J148:J176" si="50">IFERROR(AVERAGE(Q148,V148,AA148,AF148,AK148,AP148,AU148),"-")</f>
        <v>-</v>
      </c>
      <c r="K148" s="194" t="str">
        <f t="shared" ref="K148:K176" si="51">IFERROR(AVERAGE(R148,W148,AB148,AG148,AL148,AQ148,AV148),"-")</f>
        <v>-</v>
      </c>
      <c r="L148" s="653"/>
      <c r="M148" s="193" t="e">
        <f>RANK(K148, K$147:$K$176)</f>
        <v>#VALUE!</v>
      </c>
      <c r="N148" s="637"/>
      <c r="O148" s="637"/>
      <c r="P148" s="546"/>
      <c r="Q148" s="547"/>
      <c r="R148" s="547"/>
      <c r="S148" s="546"/>
      <c r="T148" s="633"/>
      <c r="U148" s="546"/>
      <c r="V148" s="547"/>
      <c r="W148" s="547"/>
      <c r="X148" s="546"/>
      <c r="Y148" s="633"/>
      <c r="Z148" s="546"/>
      <c r="AA148" s="547"/>
      <c r="AB148" s="547"/>
      <c r="AC148" s="546"/>
      <c r="AD148" s="633"/>
      <c r="AE148" s="546"/>
      <c r="AF148" s="547"/>
      <c r="AG148" s="547"/>
      <c r="AH148" s="546"/>
      <c r="AI148" s="633"/>
      <c r="AJ148" s="546"/>
      <c r="AK148" s="547"/>
      <c r="AL148" s="547"/>
      <c r="AM148" s="546"/>
      <c r="AN148" s="633"/>
      <c r="AO148" s="546"/>
      <c r="AP148" s="547"/>
      <c r="AQ148" s="547"/>
      <c r="AR148" s="546"/>
      <c r="AS148" s="633"/>
      <c r="AT148" s="546"/>
      <c r="AU148" s="547"/>
      <c r="AV148" s="547"/>
      <c r="AW148" s="546"/>
      <c r="AX148" s="633"/>
      <c r="AZ148" s="361" t="e">
        <f t="shared" si="47"/>
        <v>#N/A</v>
      </c>
      <c r="BA148" s="633"/>
    </row>
    <row r="149" spans="2:53">
      <c r="B149" s="643"/>
      <c r="C149" s="267">
        <v>3</v>
      </c>
      <c r="D149" s="196"/>
      <c r="E149" s="196"/>
      <c r="F149" s="196"/>
      <c r="G149" s="475"/>
      <c r="H149" s="633"/>
      <c r="I149" s="352" t="str">
        <f t="shared" si="49"/>
        <v>-</v>
      </c>
      <c r="J149" s="352" t="str">
        <f t="shared" si="50"/>
        <v>-</v>
      </c>
      <c r="K149" s="194" t="str">
        <f t="shared" si="51"/>
        <v>-</v>
      </c>
      <c r="L149" s="653"/>
      <c r="M149" s="193" t="e">
        <f>RANK(K149, K$147:$K$176)</f>
        <v>#VALUE!</v>
      </c>
      <c r="N149" s="637"/>
      <c r="O149" s="637"/>
      <c r="P149" s="546"/>
      <c r="Q149" s="547"/>
      <c r="R149" s="547"/>
      <c r="S149" s="546"/>
      <c r="T149" s="633"/>
      <c r="U149" s="546"/>
      <c r="V149" s="547"/>
      <c r="W149" s="547"/>
      <c r="X149" s="546"/>
      <c r="Y149" s="633"/>
      <c r="Z149" s="546"/>
      <c r="AA149" s="547"/>
      <c r="AB149" s="547"/>
      <c r="AC149" s="546"/>
      <c r="AD149" s="633"/>
      <c r="AE149" s="546"/>
      <c r="AF149" s="547"/>
      <c r="AG149" s="547"/>
      <c r="AH149" s="546"/>
      <c r="AI149" s="633"/>
      <c r="AJ149" s="546"/>
      <c r="AK149" s="547"/>
      <c r="AL149" s="547"/>
      <c r="AM149" s="546"/>
      <c r="AN149" s="633"/>
      <c r="AO149" s="546"/>
      <c r="AP149" s="547"/>
      <c r="AQ149" s="547"/>
      <c r="AR149" s="546"/>
      <c r="AS149" s="633"/>
      <c r="AT149" s="546"/>
      <c r="AU149" s="547"/>
      <c r="AV149" s="547"/>
      <c r="AW149" s="546"/>
      <c r="AX149" s="633"/>
      <c r="AZ149" s="361" t="e">
        <f t="shared" si="47"/>
        <v>#N/A</v>
      </c>
      <c r="BA149" s="633"/>
    </row>
    <row r="150" spans="2:53">
      <c r="B150" s="643"/>
      <c r="C150" s="267">
        <v>4</v>
      </c>
      <c r="D150" s="196"/>
      <c r="E150" s="196"/>
      <c r="F150" s="196"/>
      <c r="G150" s="475"/>
      <c r="H150" s="633"/>
      <c r="I150" s="352" t="str">
        <f t="shared" si="49"/>
        <v>-</v>
      </c>
      <c r="J150" s="352" t="str">
        <f t="shared" si="50"/>
        <v>-</v>
      </c>
      <c r="K150" s="194" t="str">
        <f t="shared" si="51"/>
        <v>-</v>
      </c>
      <c r="L150" s="653"/>
      <c r="M150" s="193" t="e">
        <f>RANK(K150, K$147:$K$176)</f>
        <v>#VALUE!</v>
      </c>
      <c r="N150" s="637"/>
      <c r="O150" s="637"/>
      <c r="P150" s="546"/>
      <c r="Q150" s="547"/>
      <c r="R150" s="547"/>
      <c r="S150" s="546"/>
      <c r="T150" s="633"/>
      <c r="U150" s="546"/>
      <c r="V150" s="547"/>
      <c r="W150" s="547"/>
      <c r="X150" s="546"/>
      <c r="Y150" s="633"/>
      <c r="Z150" s="546"/>
      <c r="AA150" s="547"/>
      <c r="AB150" s="547"/>
      <c r="AC150" s="546"/>
      <c r="AD150" s="633"/>
      <c r="AE150" s="546"/>
      <c r="AF150" s="547"/>
      <c r="AG150" s="547"/>
      <c r="AH150" s="546"/>
      <c r="AI150" s="633"/>
      <c r="AJ150" s="546"/>
      <c r="AK150" s="547"/>
      <c r="AL150" s="547"/>
      <c r="AM150" s="546"/>
      <c r="AN150" s="633"/>
      <c r="AO150" s="546"/>
      <c r="AP150" s="547"/>
      <c r="AQ150" s="547"/>
      <c r="AR150" s="546"/>
      <c r="AS150" s="633"/>
      <c r="AT150" s="546"/>
      <c r="AU150" s="547"/>
      <c r="AV150" s="547"/>
      <c r="AW150" s="546"/>
      <c r="AX150" s="633"/>
      <c r="AZ150" s="361" t="e">
        <f t="shared" si="47"/>
        <v>#N/A</v>
      </c>
      <c r="BA150" s="633"/>
    </row>
    <row r="151" spans="2:53">
      <c r="B151" s="643"/>
      <c r="C151" s="267">
        <v>5</v>
      </c>
      <c r="D151" s="196"/>
      <c r="E151" s="196"/>
      <c r="F151" s="196"/>
      <c r="G151" s="475"/>
      <c r="H151" s="633"/>
      <c r="I151" s="352" t="str">
        <f t="shared" si="49"/>
        <v>-</v>
      </c>
      <c r="J151" s="352" t="str">
        <f t="shared" si="50"/>
        <v>-</v>
      </c>
      <c r="K151" s="194" t="str">
        <f t="shared" si="51"/>
        <v>-</v>
      </c>
      <c r="L151" s="653"/>
      <c r="M151" s="193" t="e">
        <f>RANK(K151, K$147:$K$176)</f>
        <v>#VALUE!</v>
      </c>
      <c r="N151" s="637"/>
      <c r="O151" s="637"/>
      <c r="P151" s="546"/>
      <c r="Q151" s="547"/>
      <c r="R151" s="547"/>
      <c r="S151" s="546"/>
      <c r="T151" s="633"/>
      <c r="U151" s="546"/>
      <c r="V151" s="547"/>
      <c r="W151" s="547"/>
      <c r="X151" s="546"/>
      <c r="Y151" s="633"/>
      <c r="Z151" s="546"/>
      <c r="AA151" s="547"/>
      <c r="AB151" s="547"/>
      <c r="AC151" s="546"/>
      <c r="AD151" s="633"/>
      <c r="AE151" s="546"/>
      <c r="AF151" s="547"/>
      <c r="AG151" s="547"/>
      <c r="AH151" s="546"/>
      <c r="AI151" s="633"/>
      <c r="AJ151" s="546"/>
      <c r="AK151" s="547"/>
      <c r="AL151" s="547"/>
      <c r="AM151" s="546"/>
      <c r="AN151" s="633"/>
      <c r="AO151" s="546"/>
      <c r="AP151" s="547"/>
      <c r="AQ151" s="547"/>
      <c r="AR151" s="546"/>
      <c r="AS151" s="633"/>
      <c r="AT151" s="546"/>
      <c r="AU151" s="547"/>
      <c r="AV151" s="547"/>
      <c r="AW151" s="546"/>
      <c r="AX151" s="633"/>
      <c r="AZ151" s="361" t="e">
        <f t="shared" si="47"/>
        <v>#N/A</v>
      </c>
      <c r="BA151" s="633"/>
    </row>
    <row r="152" spans="2:53">
      <c r="B152" s="643"/>
      <c r="C152" s="267">
        <v>6</v>
      </c>
      <c r="D152" s="196"/>
      <c r="E152" s="196"/>
      <c r="F152" s="196"/>
      <c r="G152" s="475"/>
      <c r="H152" s="633"/>
      <c r="I152" s="352" t="str">
        <f t="shared" si="49"/>
        <v>-</v>
      </c>
      <c r="J152" s="352" t="str">
        <f t="shared" si="50"/>
        <v>-</v>
      </c>
      <c r="K152" s="194" t="str">
        <f t="shared" si="51"/>
        <v>-</v>
      </c>
      <c r="L152" s="653"/>
      <c r="M152" s="193" t="e">
        <f>RANK(K152, K$147:$K$176)</f>
        <v>#VALUE!</v>
      </c>
      <c r="N152" s="637"/>
      <c r="O152" s="637"/>
      <c r="P152" s="546"/>
      <c r="Q152" s="547"/>
      <c r="R152" s="547"/>
      <c r="S152" s="546"/>
      <c r="T152" s="633"/>
      <c r="U152" s="546"/>
      <c r="V152" s="547"/>
      <c r="W152" s="547"/>
      <c r="X152" s="546"/>
      <c r="Y152" s="633"/>
      <c r="Z152" s="546"/>
      <c r="AA152" s="547"/>
      <c r="AB152" s="547"/>
      <c r="AC152" s="546"/>
      <c r="AD152" s="633"/>
      <c r="AE152" s="546"/>
      <c r="AF152" s="547"/>
      <c r="AG152" s="547"/>
      <c r="AH152" s="546"/>
      <c r="AI152" s="633"/>
      <c r="AJ152" s="546"/>
      <c r="AK152" s="547"/>
      <c r="AL152" s="547"/>
      <c r="AM152" s="546"/>
      <c r="AN152" s="633"/>
      <c r="AO152" s="546"/>
      <c r="AP152" s="547"/>
      <c r="AQ152" s="547"/>
      <c r="AR152" s="546"/>
      <c r="AS152" s="633"/>
      <c r="AT152" s="546"/>
      <c r="AU152" s="547"/>
      <c r="AV152" s="547"/>
      <c r="AW152" s="546"/>
      <c r="AX152" s="633"/>
      <c r="AZ152" s="361" t="e">
        <f t="shared" si="47"/>
        <v>#N/A</v>
      </c>
      <c r="BA152" s="633"/>
    </row>
    <row r="153" spans="2:53">
      <c r="B153" s="643"/>
      <c r="C153" s="267">
        <v>7</v>
      </c>
      <c r="D153" s="196"/>
      <c r="E153" s="196"/>
      <c r="F153" s="196"/>
      <c r="G153" s="475"/>
      <c r="H153" s="633"/>
      <c r="I153" s="352" t="str">
        <f t="shared" si="49"/>
        <v>-</v>
      </c>
      <c r="J153" s="352" t="str">
        <f t="shared" si="50"/>
        <v>-</v>
      </c>
      <c r="K153" s="194" t="str">
        <f t="shared" si="51"/>
        <v>-</v>
      </c>
      <c r="L153" s="653"/>
      <c r="M153" s="193" t="e">
        <f>RANK(K153, K$147:$K$176)</f>
        <v>#VALUE!</v>
      </c>
      <c r="N153" s="637"/>
      <c r="O153" s="637"/>
      <c r="P153" s="546"/>
      <c r="Q153" s="547"/>
      <c r="R153" s="547"/>
      <c r="S153" s="546"/>
      <c r="T153" s="633"/>
      <c r="U153" s="546"/>
      <c r="V153" s="547"/>
      <c r="W153" s="547"/>
      <c r="X153" s="546"/>
      <c r="Y153" s="633"/>
      <c r="Z153" s="546"/>
      <c r="AA153" s="547"/>
      <c r="AB153" s="547"/>
      <c r="AC153" s="546"/>
      <c r="AD153" s="633"/>
      <c r="AE153" s="546"/>
      <c r="AF153" s="547"/>
      <c r="AG153" s="547"/>
      <c r="AH153" s="546"/>
      <c r="AI153" s="633"/>
      <c r="AJ153" s="546"/>
      <c r="AK153" s="547"/>
      <c r="AL153" s="547"/>
      <c r="AM153" s="546"/>
      <c r="AN153" s="633"/>
      <c r="AO153" s="546"/>
      <c r="AP153" s="547"/>
      <c r="AQ153" s="547"/>
      <c r="AR153" s="546"/>
      <c r="AS153" s="633"/>
      <c r="AT153" s="546"/>
      <c r="AU153" s="547"/>
      <c r="AV153" s="547"/>
      <c r="AW153" s="546"/>
      <c r="AX153" s="633"/>
      <c r="AZ153" s="361" t="e">
        <f t="shared" si="47"/>
        <v>#N/A</v>
      </c>
      <c r="BA153" s="633"/>
    </row>
    <row r="154" spans="2:53">
      <c r="B154" s="643"/>
      <c r="C154" s="267">
        <v>8</v>
      </c>
      <c r="D154" s="196"/>
      <c r="E154" s="196"/>
      <c r="F154" s="196"/>
      <c r="G154" s="475"/>
      <c r="H154" s="633"/>
      <c r="I154" s="352" t="str">
        <f t="shared" si="49"/>
        <v>-</v>
      </c>
      <c r="J154" s="352" t="str">
        <f t="shared" si="50"/>
        <v>-</v>
      </c>
      <c r="K154" s="194" t="str">
        <f t="shared" si="51"/>
        <v>-</v>
      </c>
      <c r="L154" s="653"/>
      <c r="M154" s="193" t="e">
        <f>RANK(K154, K$147:$K$176)</f>
        <v>#VALUE!</v>
      </c>
      <c r="N154" s="637"/>
      <c r="O154" s="637"/>
      <c r="P154" s="546"/>
      <c r="Q154" s="547"/>
      <c r="R154" s="547"/>
      <c r="S154" s="546"/>
      <c r="T154" s="633"/>
      <c r="U154" s="546"/>
      <c r="V154" s="547"/>
      <c r="W154" s="547"/>
      <c r="X154" s="546"/>
      <c r="Y154" s="633"/>
      <c r="Z154" s="546"/>
      <c r="AA154" s="547"/>
      <c r="AB154" s="547"/>
      <c r="AC154" s="546"/>
      <c r="AD154" s="633"/>
      <c r="AE154" s="546"/>
      <c r="AF154" s="547"/>
      <c r="AG154" s="547"/>
      <c r="AH154" s="546"/>
      <c r="AI154" s="633"/>
      <c r="AJ154" s="546"/>
      <c r="AK154" s="547"/>
      <c r="AL154" s="547"/>
      <c r="AM154" s="546"/>
      <c r="AN154" s="633"/>
      <c r="AO154" s="546"/>
      <c r="AP154" s="547"/>
      <c r="AQ154" s="547"/>
      <c r="AR154" s="546"/>
      <c r="AS154" s="633"/>
      <c r="AT154" s="546"/>
      <c r="AU154" s="547"/>
      <c r="AV154" s="547"/>
      <c r="AW154" s="546"/>
      <c r="AX154" s="633"/>
      <c r="AZ154" s="361" t="e">
        <f t="shared" si="47"/>
        <v>#N/A</v>
      </c>
      <c r="BA154" s="633"/>
    </row>
    <row r="155" spans="2:53">
      <c r="B155" s="643"/>
      <c r="C155" s="267">
        <v>9</v>
      </c>
      <c r="D155" s="196"/>
      <c r="E155" s="196"/>
      <c r="F155" s="196"/>
      <c r="G155" s="475"/>
      <c r="H155" s="633"/>
      <c r="I155" s="352" t="str">
        <f t="shared" si="49"/>
        <v>-</v>
      </c>
      <c r="J155" s="352" t="str">
        <f t="shared" si="50"/>
        <v>-</v>
      </c>
      <c r="K155" s="194" t="str">
        <f t="shared" si="51"/>
        <v>-</v>
      </c>
      <c r="L155" s="653"/>
      <c r="M155" s="193" t="e">
        <f>RANK(K155, K$147:$K$176)</f>
        <v>#VALUE!</v>
      </c>
      <c r="N155" s="637"/>
      <c r="O155" s="637"/>
      <c r="P155" s="546"/>
      <c r="Q155" s="547"/>
      <c r="R155" s="547"/>
      <c r="S155" s="546"/>
      <c r="T155" s="633"/>
      <c r="U155" s="546"/>
      <c r="V155" s="547"/>
      <c r="W155" s="547"/>
      <c r="X155" s="546"/>
      <c r="Y155" s="633"/>
      <c r="Z155" s="546"/>
      <c r="AA155" s="547"/>
      <c r="AB155" s="547"/>
      <c r="AC155" s="546"/>
      <c r="AD155" s="633"/>
      <c r="AE155" s="546"/>
      <c r="AF155" s="547"/>
      <c r="AG155" s="547"/>
      <c r="AH155" s="546"/>
      <c r="AI155" s="633"/>
      <c r="AJ155" s="546"/>
      <c r="AK155" s="547"/>
      <c r="AL155" s="547"/>
      <c r="AM155" s="546"/>
      <c r="AN155" s="633"/>
      <c r="AO155" s="546"/>
      <c r="AP155" s="547"/>
      <c r="AQ155" s="547"/>
      <c r="AR155" s="546"/>
      <c r="AS155" s="633"/>
      <c r="AT155" s="546"/>
      <c r="AU155" s="547"/>
      <c r="AV155" s="547"/>
      <c r="AW155" s="546"/>
      <c r="AX155" s="633"/>
      <c r="AZ155" s="361" t="e">
        <f t="shared" si="47"/>
        <v>#N/A</v>
      </c>
      <c r="BA155" s="633"/>
    </row>
    <row r="156" spans="2:53">
      <c r="B156" s="643"/>
      <c r="C156" s="267">
        <v>10</v>
      </c>
      <c r="D156" s="196"/>
      <c r="E156" s="196"/>
      <c r="F156" s="196"/>
      <c r="G156" s="475"/>
      <c r="H156" s="633"/>
      <c r="I156" s="352" t="str">
        <f t="shared" si="49"/>
        <v>-</v>
      </c>
      <c r="J156" s="352" t="str">
        <f t="shared" si="50"/>
        <v>-</v>
      </c>
      <c r="K156" s="194" t="str">
        <f t="shared" si="51"/>
        <v>-</v>
      </c>
      <c r="L156" s="653"/>
      <c r="M156" s="193" t="e">
        <f>RANK(K156, K$147:$K$176)</f>
        <v>#VALUE!</v>
      </c>
      <c r="N156" s="637"/>
      <c r="O156" s="637"/>
      <c r="P156" s="546"/>
      <c r="Q156" s="547"/>
      <c r="R156" s="547"/>
      <c r="S156" s="546"/>
      <c r="T156" s="633"/>
      <c r="U156" s="546"/>
      <c r="V156" s="547"/>
      <c r="W156" s="547"/>
      <c r="X156" s="546"/>
      <c r="Y156" s="633"/>
      <c r="Z156" s="546"/>
      <c r="AA156" s="547"/>
      <c r="AB156" s="547"/>
      <c r="AC156" s="546"/>
      <c r="AD156" s="633"/>
      <c r="AE156" s="546"/>
      <c r="AF156" s="547"/>
      <c r="AG156" s="547"/>
      <c r="AH156" s="546"/>
      <c r="AI156" s="633"/>
      <c r="AJ156" s="546"/>
      <c r="AK156" s="547"/>
      <c r="AL156" s="547"/>
      <c r="AM156" s="546"/>
      <c r="AN156" s="633"/>
      <c r="AO156" s="546"/>
      <c r="AP156" s="547"/>
      <c r="AQ156" s="547"/>
      <c r="AR156" s="546"/>
      <c r="AS156" s="633"/>
      <c r="AT156" s="546"/>
      <c r="AU156" s="547"/>
      <c r="AV156" s="547"/>
      <c r="AW156" s="546"/>
      <c r="AX156" s="633"/>
      <c r="AZ156" s="361" t="e">
        <f t="shared" si="47"/>
        <v>#N/A</v>
      </c>
      <c r="BA156" s="633"/>
    </row>
    <row r="157" spans="2:53">
      <c r="B157" s="643"/>
      <c r="C157" s="267">
        <v>11</v>
      </c>
      <c r="D157" s="196"/>
      <c r="E157" s="196"/>
      <c r="F157" s="196"/>
      <c r="G157" s="475"/>
      <c r="H157" s="633"/>
      <c r="I157" s="352" t="str">
        <f t="shared" si="49"/>
        <v>-</v>
      </c>
      <c r="J157" s="352" t="str">
        <f t="shared" si="50"/>
        <v>-</v>
      </c>
      <c r="K157" s="194" t="str">
        <f t="shared" si="51"/>
        <v>-</v>
      </c>
      <c r="L157" s="653"/>
      <c r="M157" s="193" t="e">
        <f>RANK(K157, K$147:$K$176)</f>
        <v>#VALUE!</v>
      </c>
      <c r="N157" s="637"/>
      <c r="O157" s="637"/>
      <c r="P157" s="546"/>
      <c r="Q157" s="547"/>
      <c r="R157" s="547"/>
      <c r="S157" s="546"/>
      <c r="T157" s="633"/>
      <c r="U157" s="546"/>
      <c r="V157" s="547"/>
      <c r="W157" s="547"/>
      <c r="X157" s="546"/>
      <c r="Y157" s="633"/>
      <c r="Z157" s="546"/>
      <c r="AA157" s="547"/>
      <c r="AB157" s="547"/>
      <c r="AC157" s="546"/>
      <c r="AD157" s="633"/>
      <c r="AE157" s="546"/>
      <c r="AF157" s="547"/>
      <c r="AG157" s="547"/>
      <c r="AH157" s="546"/>
      <c r="AI157" s="633"/>
      <c r="AJ157" s="546"/>
      <c r="AK157" s="547"/>
      <c r="AL157" s="547"/>
      <c r="AM157" s="546"/>
      <c r="AN157" s="633"/>
      <c r="AO157" s="546"/>
      <c r="AP157" s="547"/>
      <c r="AQ157" s="547"/>
      <c r="AR157" s="546"/>
      <c r="AS157" s="633"/>
      <c r="AT157" s="546"/>
      <c r="AU157" s="547"/>
      <c r="AV157" s="547"/>
      <c r="AW157" s="546"/>
      <c r="AX157" s="633"/>
      <c r="AZ157" s="361" t="e">
        <f t="shared" si="47"/>
        <v>#N/A</v>
      </c>
      <c r="BA157" s="633"/>
    </row>
    <row r="158" spans="2:53">
      <c r="B158" s="643"/>
      <c r="C158" s="267">
        <v>12</v>
      </c>
      <c r="D158" s="476"/>
      <c r="E158" s="196"/>
      <c r="F158" s="196"/>
      <c r="G158" s="475"/>
      <c r="H158" s="633"/>
      <c r="I158" s="352" t="str">
        <f t="shared" si="49"/>
        <v>-</v>
      </c>
      <c r="J158" s="352" t="str">
        <f t="shared" si="50"/>
        <v>-</v>
      </c>
      <c r="K158" s="194" t="str">
        <f t="shared" si="51"/>
        <v>-</v>
      </c>
      <c r="L158" s="653"/>
      <c r="M158" s="193" t="e">
        <f>RANK(K158, K$147:$K$176)</f>
        <v>#VALUE!</v>
      </c>
      <c r="N158" s="637"/>
      <c r="O158" s="637"/>
      <c r="P158" s="546"/>
      <c r="Q158" s="547"/>
      <c r="R158" s="547"/>
      <c r="S158" s="546"/>
      <c r="T158" s="633"/>
      <c r="U158" s="546"/>
      <c r="V158" s="547"/>
      <c r="W158" s="547"/>
      <c r="X158" s="546"/>
      <c r="Y158" s="633"/>
      <c r="Z158" s="546"/>
      <c r="AA158" s="547"/>
      <c r="AB158" s="547"/>
      <c r="AC158" s="546"/>
      <c r="AD158" s="633"/>
      <c r="AE158" s="546"/>
      <c r="AF158" s="547"/>
      <c r="AG158" s="547"/>
      <c r="AH158" s="546"/>
      <c r="AI158" s="633"/>
      <c r="AJ158" s="546"/>
      <c r="AK158" s="547"/>
      <c r="AL158" s="547"/>
      <c r="AM158" s="546"/>
      <c r="AN158" s="633"/>
      <c r="AO158" s="546"/>
      <c r="AP158" s="547"/>
      <c r="AQ158" s="547"/>
      <c r="AR158" s="546"/>
      <c r="AS158" s="633"/>
      <c r="AT158" s="546"/>
      <c r="AU158" s="547"/>
      <c r="AV158" s="547"/>
      <c r="AW158" s="546"/>
      <c r="AX158" s="633"/>
      <c r="AZ158" s="361" t="e">
        <f t="shared" si="47"/>
        <v>#N/A</v>
      </c>
      <c r="BA158" s="633"/>
    </row>
    <row r="159" spans="2:53">
      <c r="B159" s="643"/>
      <c r="C159" s="267">
        <v>13</v>
      </c>
      <c r="D159" s="196"/>
      <c r="E159" s="196"/>
      <c r="F159" s="196"/>
      <c r="G159" s="475"/>
      <c r="H159" s="633"/>
      <c r="I159" s="352" t="str">
        <f t="shared" si="49"/>
        <v>-</v>
      </c>
      <c r="J159" s="352" t="str">
        <f t="shared" si="50"/>
        <v>-</v>
      </c>
      <c r="K159" s="194" t="str">
        <f t="shared" si="51"/>
        <v>-</v>
      </c>
      <c r="L159" s="653"/>
      <c r="M159" s="193" t="e">
        <f>RANK(K159, K$147:$K$176)</f>
        <v>#VALUE!</v>
      </c>
      <c r="N159" s="637"/>
      <c r="O159" s="637"/>
      <c r="P159" s="546"/>
      <c r="Q159" s="547"/>
      <c r="R159" s="547"/>
      <c r="S159" s="546"/>
      <c r="T159" s="633"/>
      <c r="U159" s="546"/>
      <c r="V159" s="547"/>
      <c r="W159" s="547"/>
      <c r="X159" s="546"/>
      <c r="Y159" s="633"/>
      <c r="Z159" s="546"/>
      <c r="AA159" s="547"/>
      <c r="AB159" s="547"/>
      <c r="AC159" s="546"/>
      <c r="AD159" s="633"/>
      <c r="AE159" s="546"/>
      <c r="AF159" s="547"/>
      <c r="AG159" s="547"/>
      <c r="AH159" s="546"/>
      <c r="AI159" s="633"/>
      <c r="AJ159" s="546"/>
      <c r="AK159" s="547"/>
      <c r="AL159" s="547"/>
      <c r="AM159" s="546"/>
      <c r="AN159" s="633"/>
      <c r="AO159" s="546"/>
      <c r="AP159" s="547"/>
      <c r="AQ159" s="547"/>
      <c r="AR159" s="546"/>
      <c r="AS159" s="633"/>
      <c r="AT159" s="546"/>
      <c r="AU159" s="547"/>
      <c r="AV159" s="547"/>
      <c r="AW159" s="546"/>
      <c r="AX159" s="633"/>
      <c r="AZ159" s="361" t="e">
        <f t="shared" si="47"/>
        <v>#N/A</v>
      </c>
      <c r="BA159" s="633"/>
    </row>
    <row r="160" spans="2:53">
      <c r="B160" s="643"/>
      <c r="C160" s="267">
        <v>14</v>
      </c>
      <c r="D160" s="196"/>
      <c r="E160" s="196"/>
      <c r="F160" s="196"/>
      <c r="G160" s="475"/>
      <c r="H160" s="633"/>
      <c r="I160" s="352" t="str">
        <f t="shared" si="49"/>
        <v>-</v>
      </c>
      <c r="J160" s="352" t="str">
        <f t="shared" si="50"/>
        <v>-</v>
      </c>
      <c r="K160" s="194" t="str">
        <f t="shared" si="51"/>
        <v>-</v>
      </c>
      <c r="L160" s="653"/>
      <c r="M160" s="193" t="e">
        <f>RANK(K160, K$147:$K$176)</f>
        <v>#VALUE!</v>
      </c>
      <c r="N160" s="637"/>
      <c r="O160" s="637"/>
      <c r="P160" s="546"/>
      <c r="Q160" s="547"/>
      <c r="R160" s="547"/>
      <c r="S160" s="546"/>
      <c r="T160" s="633"/>
      <c r="U160" s="546"/>
      <c r="V160" s="547"/>
      <c r="W160" s="547"/>
      <c r="X160" s="546"/>
      <c r="Y160" s="633"/>
      <c r="Z160" s="546"/>
      <c r="AA160" s="547"/>
      <c r="AB160" s="547"/>
      <c r="AC160" s="546"/>
      <c r="AD160" s="633"/>
      <c r="AE160" s="546"/>
      <c r="AF160" s="547"/>
      <c r="AG160" s="547"/>
      <c r="AH160" s="546"/>
      <c r="AI160" s="633"/>
      <c r="AJ160" s="546"/>
      <c r="AK160" s="547"/>
      <c r="AL160" s="547"/>
      <c r="AM160" s="546"/>
      <c r="AN160" s="633"/>
      <c r="AO160" s="546"/>
      <c r="AP160" s="547"/>
      <c r="AQ160" s="547"/>
      <c r="AR160" s="546"/>
      <c r="AS160" s="633"/>
      <c r="AT160" s="546"/>
      <c r="AU160" s="547"/>
      <c r="AV160" s="547"/>
      <c r="AW160" s="546"/>
      <c r="AX160" s="633"/>
      <c r="AZ160" s="361" t="e">
        <f t="shared" si="47"/>
        <v>#N/A</v>
      </c>
      <c r="BA160" s="633"/>
    </row>
    <row r="161" spans="2:53">
      <c r="B161" s="643"/>
      <c r="C161" s="267">
        <v>15</v>
      </c>
      <c r="D161" s="476"/>
      <c r="E161" s="196"/>
      <c r="F161" s="196"/>
      <c r="G161" s="475"/>
      <c r="H161" s="633"/>
      <c r="I161" s="352" t="str">
        <f t="shared" si="49"/>
        <v>-</v>
      </c>
      <c r="J161" s="352" t="str">
        <f t="shared" si="50"/>
        <v>-</v>
      </c>
      <c r="K161" s="194" t="str">
        <f t="shared" si="51"/>
        <v>-</v>
      </c>
      <c r="L161" s="653"/>
      <c r="M161" s="193" t="e">
        <f>RANK(K161, K$147:$K$176)</f>
        <v>#VALUE!</v>
      </c>
      <c r="N161" s="637"/>
      <c r="O161" s="637"/>
      <c r="P161" s="546"/>
      <c r="Q161" s="547"/>
      <c r="R161" s="547"/>
      <c r="S161" s="546"/>
      <c r="T161" s="633"/>
      <c r="U161" s="546"/>
      <c r="V161" s="547"/>
      <c r="W161" s="547"/>
      <c r="X161" s="546"/>
      <c r="Y161" s="633"/>
      <c r="Z161" s="546"/>
      <c r="AA161" s="547"/>
      <c r="AB161" s="547"/>
      <c r="AC161" s="546"/>
      <c r="AD161" s="633"/>
      <c r="AE161" s="546"/>
      <c r="AF161" s="547"/>
      <c r="AG161" s="547"/>
      <c r="AH161" s="546"/>
      <c r="AI161" s="633"/>
      <c r="AJ161" s="546"/>
      <c r="AK161" s="547"/>
      <c r="AL161" s="547"/>
      <c r="AM161" s="546"/>
      <c r="AN161" s="633"/>
      <c r="AO161" s="546"/>
      <c r="AP161" s="547"/>
      <c r="AQ161" s="547"/>
      <c r="AR161" s="546"/>
      <c r="AS161" s="633"/>
      <c r="AT161" s="546"/>
      <c r="AU161" s="547"/>
      <c r="AV161" s="547"/>
      <c r="AW161" s="546"/>
      <c r="AX161" s="633"/>
      <c r="AZ161" s="361" t="e">
        <f t="shared" si="47"/>
        <v>#N/A</v>
      </c>
      <c r="BA161" s="633"/>
    </row>
    <row r="162" spans="2:53">
      <c r="B162" s="643"/>
      <c r="C162" s="267">
        <v>16</v>
      </c>
      <c r="D162" s="196"/>
      <c r="E162" s="196"/>
      <c r="F162" s="196"/>
      <c r="G162" s="475"/>
      <c r="H162" s="633"/>
      <c r="I162" s="352" t="str">
        <f t="shared" si="49"/>
        <v>-</v>
      </c>
      <c r="J162" s="352" t="str">
        <f t="shared" si="50"/>
        <v>-</v>
      </c>
      <c r="K162" s="194" t="str">
        <f t="shared" si="51"/>
        <v>-</v>
      </c>
      <c r="L162" s="653"/>
      <c r="M162" s="193" t="e">
        <f>RANK(K162, K$147:$K$176)</f>
        <v>#VALUE!</v>
      </c>
      <c r="N162" s="637"/>
      <c r="O162" s="637"/>
      <c r="P162" s="546"/>
      <c r="Q162" s="547"/>
      <c r="R162" s="547"/>
      <c r="S162" s="546"/>
      <c r="T162" s="633"/>
      <c r="U162" s="546"/>
      <c r="V162" s="547"/>
      <c r="W162" s="547"/>
      <c r="X162" s="546"/>
      <c r="Y162" s="633"/>
      <c r="Z162" s="546"/>
      <c r="AA162" s="547"/>
      <c r="AB162" s="547"/>
      <c r="AC162" s="546"/>
      <c r="AD162" s="633"/>
      <c r="AE162" s="546"/>
      <c r="AF162" s="547"/>
      <c r="AG162" s="547"/>
      <c r="AH162" s="546"/>
      <c r="AI162" s="633"/>
      <c r="AJ162" s="546"/>
      <c r="AK162" s="547"/>
      <c r="AL162" s="547"/>
      <c r="AM162" s="546"/>
      <c r="AN162" s="633"/>
      <c r="AO162" s="546"/>
      <c r="AP162" s="547"/>
      <c r="AQ162" s="547"/>
      <c r="AR162" s="546"/>
      <c r="AS162" s="633"/>
      <c r="AT162" s="546"/>
      <c r="AU162" s="547"/>
      <c r="AV162" s="547"/>
      <c r="AW162" s="546"/>
      <c r="AX162" s="633"/>
      <c r="AZ162" s="361" t="e">
        <f t="shared" si="47"/>
        <v>#N/A</v>
      </c>
      <c r="BA162" s="633"/>
    </row>
    <row r="163" spans="2:53">
      <c r="B163" s="643"/>
      <c r="C163" s="267">
        <v>17</v>
      </c>
      <c r="D163" s="196"/>
      <c r="E163" s="196"/>
      <c r="F163" s="196"/>
      <c r="G163" s="475"/>
      <c r="H163" s="633"/>
      <c r="I163" s="352" t="str">
        <f t="shared" si="49"/>
        <v>-</v>
      </c>
      <c r="J163" s="352" t="str">
        <f t="shared" si="50"/>
        <v>-</v>
      </c>
      <c r="K163" s="194" t="str">
        <f t="shared" si="51"/>
        <v>-</v>
      </c>
      <c r="L163" s="653"/>
      <c r="M163" s="193" t="e">
        <f>RANK(K163, K$147:$K$176)</f>
        <v>#VALUE!</v>
      </c>
      <c r="N163" s="637"/>
      <c r="O163" s="637"/>
      <c r="P163" s="546"/>
      <c r="Q163" s="547"/>
      <c r="R163" s="547"/>
      <c r="S163" s="546"/>
      <c r="T163" s="633"/>
      <c r="U163" s="546"/>
      <c r="V163" s="547"/>
      <c r="W163" s="547"/>
      <c r="X163" s="546"/>
      <c r="Y163" s="633"/>
      <c r="Z163" s="546"/>
      <c r="AA163" s="547"/>
      <c r="AB163" s="547"/>
      <c r="AC163" s="546"/>
      <c r="AD163" s="633"/>
      <c r="AE163" s="546"/>
      <c r="AF163" s="547"/>
      <c r="AG163" s="547"/>
      <c r="AH163" s="546"/>
      <c r="AI163" s="633"/>
      <c r="AJ163" s="546"/>
      <c r="AK163" s="547"/>
      <c r="AL163" s="547"/>
      <c r="AM163" s="546"/>
      <c r="AN163" s="633"/>
      <c r="AO163" s="546"/>
      <c r="AP163" s="547"/>
      <c r="AQ163" s="547"/>
      <c r="AR163" s="546"/>
      <c r="AS163" s="633"/>
      <c r="AT163" s="546"/>
      <c r="AU163" s="547"/>
      <c r="AV163" s="547"/>
      <c r="AW163" s="546"/>
      <c r="AX163" s="633"/>
      <c r="AZ163" s="361" t="e">
        <f t="shared" si="47"/>
        <v>#N/A</v>
      </c>
      <c r="BA163" s="633"/>
    </row>
    <row r="164" spans="2:53">
      <c r="B164" s="643"/>
      <c r="C164" s="267">
        <v>18</v>
      </c>
      <c r="D164" s="476"/>
      <c r="E164" s="196"/>
      <c r="F164" s="196"/>
      <c r="G164" s="475"/>
      <c r="H164" s="633"/>
      <c r="I164" s="352" t="str">
        <f t="shared" si="49"/>
        <v>-</v>
      </c>
      <c r="J164" s="352" t="str">
        <f t="shared" si="50"/>
        <v>-</v>
      </c>
      <c r="K164" s="194" t="str">
        <f t="shared" si="51"/>
        <v>-</v>
      </c>
      <c r="L164" s="653"/>
      <c r="M164" s="193" t="e">
        <f>RANK(K164, K$147:$K$176)</f>
        <v>#VALUE!</v>
      </c>
      <c r="N164" s="637"/>
      <c r="O164" s="637"/>
      <c r="P164" s="546"/>
      <c r="Q164" s="547"/>
      <c r="R164" s="547"/>
      <c r="S164" s="546"/>
      <c r="T164" s="633"/>
      <c r="U164" s="546"/>
      <c r="V164" s="547"/>
      <c r="W164" s="547"/>
      <c r="X164" s="546"/>
      <c r="Y164" s="633"/>
      <c r="Z164" s="546"/>
      <c r="AA164" s="547"/>
      <c r="AB164" s="547"/>
      <c r="AC164" s="546"/>
      <c r="AD164" s="633"/>
      <c r="AE164" s="546"/>
      <c r="AF164" s="547"/>
      <c r="AG164" s="547"/>
      <c r="AH164" s="546"/>
      <c r="AI164" s="633"/>
      <c r="AJ164" s="546"/>
      <c r="AK164" s="547"/>
      <c r="AL164" s="547"/>
      <c r="AM164" s="546"/>
      <c r="AN164" s="633"/>
      <c r="AO164" s="546"/>
      <c r="AP164" s="547"/>
      <c r="AQ164" s="547"/>
      <c r="AR164" s="546"/>
      <c r="AS164" s="633"/>
      <c r="AT164" s="546"/>
      <c r="AU164" s="547"/>
      <c r="AV164" s="547"/>
      <c r="AW164" s="546"/>
      <c r="AX164" s="633"/>
      <c r="AZ164" s="361" t="e">
        <f t="shared" si="47"/>
        <v>#N/A</v>
      </c>
      <c r="BA164" s="633"/>
    </row>
    <row r="165" spans="2:53">
      <c r="B165" s="643"/>
      <c r="C165" s="267">
        <v>19</v>
      </c>
      <c r="D165" s="476"/>
      <c r="E165" s="196"/>
      <c r="F165" s="196"/>
      <c r="G165" s="475"/>
      <c r="H165" s="633"/>
      <c r="I165" s="352" t="str">
        <f t="shared" si="49"/>
        <v>-</v>
      </c>
      <c r="J165" s="352" t="str">
        <f t="shared" si="50"/>
        <v>-</v>
      </c>
      <c r="K165" s="194" t="str">
        <f t="shared" si="51"/>
        <v>-</v>
      </c>
      <c r="L165" s="653"/>
      <c r="M165" s="193" t="e">
        <f>RANK(K165, K$147:$K$176)</f>
        <v>#VALUE!</v>
      </c>
      <c r="N165" s="637"/>
      <c r="O165" s="637"/>
      <c r="P165" s="546"/>
      <c r="Q165" s="547"/>
      <c r="R165" s="547"/>
      <c r="S165" s="546"/>
      <c r="T165" s="633"/>
      <c r="U165" s="546"/>
      <c r="V165" s="547"/>
      <c r="W165" s="547"/>
      <c r="X165" s="546"/>
      <c r="Y165" s="633"/>
      <c r="Z165" s="546"/>
      <c r="AA165" s="547"/>
      <c r="AB165" s="547"/>
      <c r="AC165" s="546"/>
      <c r="AD165" s="633"/>
      <c r="AE165" s="546"/>
      <c r="AF165" s="547"/>
      <c r="AG165" s="547"/>
      <c r="AH165" s="546"/>
      <c r="AI165" s="633"/>
      <c r="AJ165" s="546"/>
      <c r="AK165" s="547"/>
      <c r="AL165" s="547"/>
      <c r="AM165" s="546"/>
      <c r="AN165" s="633"/>
      <c r="AO165" s="546"/>
      <c r="AP165" s="547"/>
      <c r="AQ165" s="547"/>
      <c r="AR165" s="546"/>
      <c r="AS165" s="633"/>
      <c r="AT165" s="546"/>
      <c r="AU165" s="547"/>
      <c r="AV165" s="547"/>
      <c r="AW165" s="546"/>
      <c r="AX165" s="633"/>
      <c r="AZ165" s="361" t="e">
        <f t="shared" si="47"/>
        <v>#N/A</v>
      </c>
      <c r="BA165" s="633"/>
    </row>
    <row r="166" spans="2:53">
      <c r="B166" s="643"/>
      <c r="C166" s="267">
        <v>20</v>
      </c>
      <c r="D166" s="476"/>
      <c r="E166" s="196"/>
      <c r="F166" s="196"/>
      <c r="G166" s="475"/>
      <c r="H166" s="633"/>
      <c r="I166" s="352" t="str">
        <f t="shared" si="49"/>
        <v>-</v>
      </c>
      <c r="J166" s="352" t="str">
        <f t="shared" si="50"/>
        <v>-</v>
      </c>
      <c r="K166" s="194" t="str">
        <f t="shared" si="51"/>
        <v>-</v>
      </c>
      <c r="L166" s="653"/>
      <c r="M166" s="193" t="e">
        <f>RANK(K166, K$147:$K$176)</f>
        <v>#VALUE!</v>
      </c>
      <c r="N166" s="637"/>
      <c r="O166" s="637"/>
      <c r="P166" s="546"/>
      <c r="Q166" s="547"/>
      <c r="R166" s="547"/>
      <c r="S166" s="546"/>
      <c r="T166" s="633"/>
      <c r="U166" s="546"/>
      <c r="V166" s="547"/>
      <c r="W166" s="547"/>
      <c r="X166" s="546"/>
      <c r="Y166" s="633"/>
      <c r="Z166" s="546"/>
      <c r="AA166" s="547"/>
      <c r="AB166" s="547"/>
      <c r="AC166" s="546"/>
      <c r="AD166" s="633"/>
      <c r="AE166" s="546"/>
      <c r="AF166" s="547"/>
      <c r="AG166" s="547"/>
      <c r="AH166" s="546"/>
      <c r="AI166" s="633"/>
      <c r="AJ166" s="546"/>
      <c r="AK166" s="547"/>
      <c r="AL166" s="547"/>
      <c r="AM166" s="546"/>
      <c r="AN166" s="633"/>
      <c r="AO166" s="546"/>
      <c r="AP166" s="547"/>
      <c r="AQ166" s="547"/>
      <c r="AR166" s="546"/>
      <c r="AS166" s="633"/>
      <c r="AT166" s="546"/>
      <c r="AU166" s="547"/>
      <c r="AV166" s="547"/>
      <c r="AW166" s="546"/>
      <c r="AX166" s="633"/>
      <c r="AZ166" s="361" t="e">
        <f t="shared" si="47"/>
        <v>#N/A</v>
      </c>
      <c r="BA166" s="633"/>
    </row>
    <row r="167" spans="2:53">
      <c r="B167" s="643"/>
      <c r="C167" s="267">
        <v>21</v>
      </c>
      <c r="D167" s="476"/>
      <c r="E167" s="196"/>
      <c r="F167" s="196"/>
      <c r="G167" s="475"/>
      <c r="H167" s="633"/>
      <c r="I167" s="352" t="str">
        <f t="shared" si="49"/>
        <v>-</v>
      </c>
      <c r="J167" s="352" t="str">
        <f t="shared" si="50"/>
        <v>-</v>
      </c>
      <c r="K167" s="194" t="str">
        <f t="shared" si="51"/>
        <v>-</v>
      </c>
      <c r="L167" s="653"/>
      <c r="M167" s="193" t="e">
        <f>RANK(K167, K$147:$K$176)</f>
        <v>#VALUE!</v>
      </c>
      <c r="N167" s="637"/>
      <c r="O167" s="637"/>
      <c r="P167" s="546"/>
      <c r="Q167" s="547"/>
      <c r="R167" s="547"/>
      <c r="S167" s="546"/>
      <c r="T167" s="633"/>
      <c r="U167" s="546"/>
      <c r="V167" s="547"/>
      <c r="W167" s="547"/>
      <c r="X167" s="546"/>
      <c r="Y167" s="633"/>
      <c r="Z167" s="546"/>
      <c r="AA167" s="547"/>
      <c r="AB167" s="547"/>
      <c r="AC167" s="546"/>
      <c r="AD167" s="633"/>
      <c r="AE167" s="546"/>
      <c r="AF167" s="547"/>
      <c r="AG167" s="547"/>
      <c r="AH167" s="546"/>
      <c r="AI167" s="633"/>
      <c r="AJ167" s="546"/>
      <c r="AK167" s="547"/>
      <c r="AL167" s="547"/>
      <c r="AM167" s="546"/>
      <c r="AN167" s="633"/>
      <c r="AO167" s="546"/>
      <c r="AP167" s="547"/>
      <c r="AQ167" s="547"/>
      <c r="AR167" s="546"/>
      <c r="AS167" s="633"/>
      <c r="AT167" s="546"/>
      <c r="AU167" s="547"/>
      <c r="AV167" s="547"/>
      <c r="AW167" s="546"/>
      <c r="AX167" s="633"/>
      <c r="AZ167" s="361" t="e">
        <f t="shared" si="47"/>
        <v>#N/A</v>
      </c>
      <c r="BA167" s="633"/>
    </row>
    <row r="168" spans="2:53">
      <c r="B168" s="643"/>
      <c r="C168" s="267">
        <v>22</v>
      </c>
      <c r="D168" s="476"/>
      <c r="E168" s="196"/>
      <c r="F168" s="196"/>
      <c r="G168" s="475"/>
      <c r="H168" s="633"/>
      <c r="I168" s="352" t="str">
        <f t="shared" si="49"/>
        <v>-</v>
      </c>
      <c r="J168" s="352" t="str">
        <f t="shared" si="50"/>
        <v>-</v>
      </c>
      <c r="K168" s="194" t="str">
        <f t="shared" si="51"/>
        <v>-</v>
      </c>
      <c r="L168" s="653"/>
      <c r="M168" s="193" t="e">
        <f>RANK(K168, K$147:$K$176)</f>
        <v>#VALUE!</v>
      </c>
      <c r="N168" s="637"/>
      <c r="O168" s="637"/>
      <c r="P168" s="546"/>
      <c r="Q168" s="547"/>
      <c r="R168" s="547"/>
      <c r="S168" s="546"/>
      <c r="T168" s="633"/>
      <c r="U168" s="546"/>
      <c r="V168" s="547"/>
      <c r="W168" s="547"/>
      <c r="X168" s="546"/>
      <c r="Y168" s="633"/>
      <c r="Z168" s="546"/>
      <c r="AA168" s="547"/>
      <c r="AB168" s="547"/>
      <c r="AC168" s="546"/>
      <c r="AD168" s="633"/>
      <c r="AE168" s="546"/>
      <c r="AF168" s="547"/>
      <c r="AG168" s="547"/>
      <c r="AH168" s="546"/>
      <c r="AI168" s="633"/>
      <c r="AJ168" s="546"/>
      <c r="AK168" s="547"/>
      <c r="AL168" s="547"/>
      <c r="AM168" s="546"/>
      <c r="AN168" s="633"/>
      <c r="AO168" s="546"/>
      <c r="AP168" s="547"/>
      <c r="AQ168" s="547"/>
      <c r="AR168" s="546"/>
      <c r="AS168" s="633"/>
      <c r="AT168" s="546"/>
      <c r="AU168" s="547"/>
      <c r="AV168" s="547"/>
      <c r="AW168" s="546"/>
      <c r="AX168" s="633"/>
      <c r="AZ168" s="361" t="e">
        <f t="shared" si="47"/>
        <v>#N/A</v>
      </c>
      <c r="BA168" s="633"/>
    </row>
    <row r="169" spans="2:53">
      <c r="B169" s="643"/>
      <c r="C169" s="267">
        <v>23</v>
      </c>
      <c r="D169" s="196"/>
      <c r="E169" s="196"/>
      <c r="F169" s="196"/>
      <c r="G169" s="475"/>
      <c r="H169" s="633"/>
      <c r="I169" s="352" t="str">
        <f t="shared" si="49"/>
        <v>-</v>
      </c>
      <c r="J169" s="352" t="str">
        <f t="shared" si="50"/>
        <v>-</v>
      </c>
      <c r="K169" s="194" t="str">
        <f t="shared" si="51"/>
        <v>-</v>
      </c>
      <c r="L169" s="653"/>
      <c r="M169" s="193" t="e">
        <f>RANK(K169, K$147:$K$176)</f>
        <v>#VALUE!</v>
      </c>
      <c r="N169" s="637"/>
      <c r="O169" s="637"/>
      <c r="P169" s="546"/>
      <c r="Q169" s="547"/>
      <c r="R169" s="547"/>
      <c r="S169" s="546"/>
      <c r="T169" s="633"/>
      <c r="U169" s="546"/>
      <c r="V169" s="547"/>
      <c r="W169" s="547"/>
      <c r="X169" s="546"/>
      <c r="Y169" s="633"/>
      <c r="Z169" s="546"/>
      <c r="AA169" s="547"/>
      <c r="AB169" s="547"/>
      <c r="AC169" s="546"/>
      <c r="AD169" s="633"/>
      <c r="AE169" s="546"/>
      <c r="AF169" s="547"/>
      <c r="AG169" s="547"/>
      <c r="AH169" s="546"/>
      <c r="AI169" s="633"/>
      <c r="AJ169" s="546"/>
      <c r="AK169" s="547"/>
      <c r="AL169" s="547"/>
      <c r="AM169" s="546"/>
      <c r="AN169" s="633"/>
      <c r="AO169" s="546"/>
      <c r="AP169" s="547"/>
      <c r="AQ169" s="547"/>
      <c r="AR169" s="546"/>
      <c r="AS169" s="633"/>
      <c r="AT169" s="546"/>
      <c r="AU169" s="547"/>
      <c r="AV169" s="547"/>
      <c r="AW169" s="546"/>
      <c r="AX169" s="633"/>
      <c r="AZ169" s="361" t="e">
        <f t="shared" si="47"/>
        <v>#N/A</v>
      </c>
      <c r="BA169" s="633"/>
    </row>
    <row r="170" spans="2:53">
      <c r="B170" s="643"/>
      <c r="C170" s="267">
        <v>24</v>
      </c>
      <c r="D170" s="476"/>
      <c r="E170" s="196"/>
      <c r="F170" s="196"/>
      <c r="G170" s="475"/>
      <c r="H170" s="633"/>
      <c r="I170" s="352" t="str">
        <f t="shared" si="49"/>
        <v>-</v>
      </c>
      <c r="J170" s="352" t="str">
        <f t="shared" si="50"/>
        <v>-</v>
      </c>
      <c r="K170" s="194" t="str">
        <f t="shared" si="51"/>
        <v>-</v>
      </c>
      <c r="L170" s="653"/>
      <c r="M170" s="193" t="e">
        <f>RANK(K170, K$147:$K$176)</f>
        <v>#VALUE!</v>
      </c>
      <c r="N170" s="637"/>
      <c r="O170" s="637"/>
      <c r="P170" s="546"/>
      <c r="Q170" s="547"/>
      <c r="R170" s="547"/>
      <c r="S170" s="546"/>
      <c r="T170" s="633"/>
      <c r="U170" s="546"/>
      <c r="V170" s="547"/>
      <c r="W170" s="547"/>
      <c r="X170" s="546"/>
      <c r="Y170" s="633"/>
      <c r="Z170" s="546"/>
      <c r="AA170" s="547"/>
      <c r="AB170" s="547"/>
      <c r="AC170" s="546"/>
      <c r="AD170" s="633"/>
      <c r="AE170" s="546"/>
      <c r="AF170" s="547"/>
      <c r="AG170" s="547"/>
      <c r="AH170" s="546"/>
      <c r="AI170" s="633"/>
      <c r="AJ170" s="546"/>
      <c r="AK170" s="547"/>
      <c r="AL170" s="547"/>
      <c r="AM170" s="546"/>
      <c r="AN170" s="633"/>
      <c r="AO170" s="546"/>
      <c r="AP170" s="547"/>
      <c r="AQ170" s="547"/>
      <c r="AR170" s="546"/>
      <c r="AS170" s="633"/>
      <c r="AT170" s="546"/>
      <c r="AU170" s="547"/>
      <c r="AV170" s="547"/>
      <c r="AW170" s="546"/>
      <c r="AX170" s="633"/>
      <c r="AZ170" s="361" t="e">
        <f t="shared" si="47"/>
        <v>#N/A</v>
      </c>
      <c r="BA170" s="633"/>
    </row>
    <row r="171" spans="2:53">
      <c r="B171" s="643"/>
      <c r="C171" s="267">
        <v>25</v>
      </c>
      <c r="D171" s="196"/>
      <c r="E171" s="196"/>
      <c r="F171" s="196"/>
      <c r="G171" s="475"/>
      <c r="H171" s="633"/>
      <c r="I171" s="352" t="str">
        <f t="shared" si="49"/>
        <v>-</v>
      </c>
      <c r="J171" s="352" t="str">
        <f t="shared" si="50"/>
        <v>-</v>
      </c>
      <c r="K171" s="194" t="str">
        <f t="shared" si="51"/>
        <v>-</v>
      </c>
      <c r="L171" s="653"/>
      <c r="M171" s="193" t="e">
        <f>RANK(K171, K$147:$K$176)</f>
        <v>#VALUE!</v>
      </c>
      <c r="N171" s="637"/>
      <c r="O171" s="637"/>
      <c r="P171" s="546"/>
      <c r="Q171" s="547"/>
      <c r="R171" s="547"/>
      <c r="S171" s="546"/>
      <c r="T171" s="633"/>
      <c r="U171" s="546"/>
      <c r="V171" s="547"/>
      <c r="W171" s="547"/>
      <c r="X171" s="546"/>
      <c r="Y171" s="633"/>
      <c r="Z171" s="546"/>
      <c r="AA171" s="547"/>
      <c r="AB171" s="547"/>
      <c r="AC171" s="546"/>
      <c r="AD171" s="633"/>
      <c r="AE171" s="546"/>
      <c r="AF171" s="547"/>
      <c r="AG171" s="547"/>
      <c r="AH171" s="546"/>
      <c r="AI171" s="633"/>
      <c r="AJ171" s="546"/>
      <c r="AK171" s="547"/>
      <c r="AL171" s="547"/>
      <c r="AM171" s="546"/>
      <c r="AN171" s="633"/>
      <c r="AO171" s="546"/>
      <c r="AP171" s="547"/>
      <c r="AQ171" s="547"/>
      <c r="AR171" s="546"/>
      <c r="AS171" s="633"/>
      <c r="AT171" s="546"/>
      <c r="AU171" s="547"/>
      <c r="AV171" s="547"/>
      <c r="AW171" s="546"/>
      <c r="AX171" s="633"/>
      <c r="AZ171" s="361" t="e">
        <f t="shared" si="47"/>
        <v>#N/A</v>
      </c>
      <c r="BA171" s="633"/>
    </row>
    <row r="172" spans="2:53">
      <c r="B172" s="643"/>
      <c r="C172" s="267">
        <v>26</v>
      </c>
      <c r="D172" s="196"/>
      <c r="E172" s="196"/>
      <c r="F172" s="196"/>
      <c r="G172" s="475"/>
      <c r="H172" s="633"/>
      <c r="I172" s="352" t="str">
        <f t="shared" si="49"/>
        <v>-</v>
      </c>
      <c r="J172" s="352" t="str">
        <f t="shared" si="50"/>
        <v>-</v>
      </c>
      <c r="K172" s="194" t="str">
        <f t="shared" si="51"/>
        <v>-</v>
      </c>
      <c r="L172" s="653"/>
      <c r="M172" s="193" t="e">
        <f>RANK(K172, K$147:$K$176)</f>
        <v>#VALUE!</v>
      </c>
      <c r="N172" s="637"/>
      <c r="O172" s="637"/>
      <c r="P172" s="546"/>
      <c r="Q172" s="547"/>
      <c r="R172" s="547"/>
      <c r="S172" s="546"/>
      <c r="T172" s="633"/>
      <c r="U172" s="546"/>
      <c r="V172" s="547"/>
      <c r="W172" s="547"/>
      <c r="X172" s="546"/>
      <c r="Y172" s="633"/>
      <c r="Z172" s="546"/>
      <c r="AA172" s="547"/>
      <c r="AB172" s="547"/>
      <c r="AC172" s="546"/>
      <c r="AD172" s="633"/>
      <c r="AE172" s="546"/>
      <c r="AF172" s="547"/>
      <c r="AG172" s="547"/>
      <c r="AH172" s="546"/>
      <c r="AI172" s="633"/>
      <c r="AJ172" s="546"/>
      <c r="AK172" s="547"/>
      <c r="AL172" s="547"/>
      <c r="AM172" s="546"/>
      <c r="AN172" s="633"/>
      <c r="AO172" s="546"/>
      <c r="AP172" s="547"/>
      <c r="AQ172" s="547"/>
      <c r="AR172" s="546"/>
      <c r="AS172" s="633"/>
      <c r="AT172" s="546"/>
      <c r="AU172" s="547"/>
      <c r="AV172" s="547"/>
      <c r="AW172" s="546"/>
      <c r="AX172" s="633"/>
      <c r="AZ172" s="361" t="e">
        <f t="shared" si="47"/>
        <v>#N/A</v>
      </c>
      <c r="BA172" s="633"/>
    </row>
    <row r="173" spans="2:53">
      <c r="B173" s="643"/>
      <c r="C173" s="267">
        <v>27</v>
      </c>
      <c r="D173" s="196"/>
      <c r="E173" s="196"/>
      <c r="F173" s="196"/>
      <c r="G173" s="475"/>
      <c r="H173" s="633"/>
      <c r="I173" s="352" t="str">
        <f t="shared" si="49"/>
        <v>-</v>
      </c>
      <c r="J173" s="352" t="str">
        <f t="shared" si="50"/>
        <v>-</v>
      </c>
      <c r="K173" s="194" t="str">
        <f t="shared" si="51"/>
        <v>-</v>
      </c>
      <c r="L173" s="653"/>
      <c r="M173" s="193" t="e">
        <f>RANK(K173, K$147:$K$176)</f>
        <v>#VALUE!</v>
      </c>
      <c r="N173" s="637"/>
      <c r="O173" s="637"/>
      <c r="P173" s="546"/>
      <c r="Q173" s="547"/>
      <c r="R173" s="547"/>
      <c r="S173" s="546"/>
      <c r="T173" s="633"/>
      <c r="U173" s="546"/>
      <c r="V173" s="547"/>
      <c r="W173" s="547"/>
      <c r="X173" s="546"/>
      <c r="Y173" s="633"/>
      <c r="Z173" s="546"/>
      <c r="AA173" s="547"/>
      <c r="AB173" s="547"/>
      <c r="AC173" s="546"/>
      <c r="AD173" s="633"/>
      <c r="AE173" s="546"/>
      <c r="AF173" s="547"/>
      <c r="AG173" s="547"/>
      <c r="AH173" s="546"/>
      <c r="AI173" s="633"/>
      <c r="AJ173" s="546"/>
      <c r="AK173" s="547"/>
      <c r="AL173" s="547"/>
      <c r="AM173" s="546"/>
      <c r="AN173" s="633"/>
      <c r="AO173" s="546"/>
      <c r="AP173" s="547"/>
      <c r="AQ173" s="547"/>
      <c r="AR173" s="546"/>
      <c r="AS173" s="633"/>
      <c r="AT173" s="546"/>
      <c r="AU173" s="547"/>
      <c r="AV173" s="547"/>
      <c r="AW173" s="546"/>
      <c r="AX173" s="633"/>
      <c r="AZ173" s="361" t="e">
        <f t="shared" si="47"/>
        <v>#N/A</v>
      </c>
      <c r="BA173" s="633"/>
    </row>
    <row r="174" spans="2:53">
      <c r="B174" s="643"/>
      <c r="C174" s="267">
        <v>28</v>
      </c>
      <c r="D174" s="196"/>
      <c r="E174" s="196"/>
      <c r="F174" s="196"/>
      <c r="G174" s="196"/>
      <c r="H174" s="633"/>
      <c r="I174" s="352" t="str">
        <f t="shared" si="49"/>
        <v>-</v>
      </c>
      <c r="J174" s="352" t="str">
        <f t="shared" si="50"/>
        <v>-</v>
      </c>
      <c r="K174" s="194" t="str">
        <f t="shared" si="51"/>
        <v>-</v>
      </c>
      <c r="L174" s="653"/>
      <c r="M174" s="193" t="e">
        <f>RANK(K174, K$147:$K$176)</f>
        <v>#VALUE!</v>
      </c>
      <c r="N174" s="637"/>
      <c r="O174" s="637"/>
      <c r="P174" s="546"/>
      <c r="Q174" s="547"/>
      <c r="R174" s="547"/>
      <c r="S174" s="546"/>
      <c r="T174" s="633"/>
      <c r="U174" s="546"/>
      <c r="V174" s="547"/>
      <c r="W174" s="547"/>
      <c r="X174" s="546"/>
      <c r="Y174" s="633"/>
      <c r="Z174" s="546"/>
      <c r="AA174" s="547"/>
      <c r="AB174" s="547"/>
      <c r="AC174" s="546"/>
      <c r="AD174" s="633"/>
      <c r="AE174" s="546"/>
      <c r="AF174" s="547"/>
      <c r="AG174" s="547"/>
      <c r="AH174" s="546"/>
      <c r="AI174" s="633"/>
      <c r="AJ174" s="546"/>
      <c r="AK174" s="547"/>
      <c r="AL174" s="547"/>
      <c r="AM174" s="546"/>
      <c r="AN174" s="633"/>
      <c r="AO174" s="546"/>
      <c r="AP174" s="547"/>
      <c r="AQ174" s="547"/>
      <c r="AR174" s="546"/>
      <c r="AS174" s="633"/>
      <c r="AT174" s="546"/>
      <c r="AU174" s="547"/>
      <c r="AV174" s="547"/>
      <c r="AW174" s="546"/>
      <c r="AX174" s="633"/>
      <c r="AZ174" s="361" t="e">
        <f t="shared" si="47"/>
        <v>#N/A</v>
      </c>
      <c r="BA174" s="633"/>
    </row>
    <row r="175" spans="2:53">
      <c r="B175" s="643"/>
      <c r="C175" s="267">
        <v>29</v>
      </c>
      <c r="D175" s="196"/>
      <c r="E175" s="196"/>
      <c r="F175" s="196"/>
      <c r="G175" s="196"/>
      <c r="H175" s="633"/>
      <c r="I175" s="352" t="str">
        <f t="shared" si="49"/>
        <v>-</v>
      </c>
      <c r="J175" s="352" t="str">
        <f t="shared" si="50"/>
        <v>-</v>
      </c>
      <c r="K175" s="194" t="str">
        <f t="shared" si="51"/>
        <v>-</v>
      </c>
      <c r="L175" s="653"/>
      <c r="M175" s="193" t="e">
        <f>RANK(K175, K$147:$K$176)</f>
        <v>#VALUE!</v>
      </c>
      <c r="N175" s="637"/>
      <c r="O175" s="637"/>
      <c r="P175" s="546"/>
      <c r="Q175" s="547"/>
      <c r="R175" s="547"/>
      <c r="S175" s="546"/>
      <c r="T175" s="633"/>
      <c r="U175" s="546"/>
      <c r="V175" s="547"/>
      <c r="W175" s="547"/>
      <c r="X175" s="546"/>
      <c r="Y175" s="633"/>
      <c r="Z175" s="546"/>
      <c r="AA175" s="547"/>
      <c r="AB175" s="547"/>
      <c r="AC175" s="546"/>
      <c r="AD175" s="633"/>
      <c r="AE175" s="546"/>
      <c r="AF175" s="547"/>
      <c r="AG175" s="547"/>
      <c r="AH175" s="546"/>
      <c r="AI175" s="633"/>
      <c r="AJ175" s="546"/>
      <c r="AK175" s="547"/>
      <c r="AL175" s="547"/>
      <c r="AM175" s="546"/>
      <c r="AN175" s="633"/>
      <c r="AO175" s="546"/>
      <c r="AP175" s="547"/>
      <c r="AQ175" s="547"/>
      <c r="AR175" s="546"/>
      <c r="AS175" s="633"/>
      <c r="AT175" s="546"/>
      <c r="AU175" s="547"/>
      <c r="AV175" s="547"/>
      <c r="AW175" s="546"/>
      <c r="AX175" s="633"/>
      <c r="AZ175" s="361" t="e">
        <f t="shared" si="47"/>
        <v>#N/A</v>
      </c>
      <c r="BA175" s="633"/>
    </row>
    <row r="176" spans="2:53">
      <c r="B176" s="643"/>
      <c r="C176" s="267">
        <v>30</v>
      </c>
      <c r="D176" s="196"/>
      <c r="E176" s="196"/>
      <c r="F176" s="196"/>
      <c r="G176" s="196"/>
      <c r="H176" s="634"/>
      <c r="I176" s="352" t="str">
        <f t="shared" si="49"/>
        <v>-</v>
      </c>
      <c r="J176" s="352" t="str">
        <f t="shared" si="50"/>
        <v>-</v>
      </c>
      <c r="K176" s="194" t="str">
        <f t="shared" si="51"/>
        <v>-</v>
      </c>
      <c r="L176" s="654"/>
      <c r="M176" s="193" t="e">
        <f>RANK(K176, K$147:$K$176)</f>
        <v>#VALUE!</v>
      </c>
      <c r="N176" s="637"/>
      <c r="O176" s="637"/>
      <c r="P176" s="546"/>
      <c r="Q176" s="547"/>
      <c r="R176" s="547"/>
      <c r="S176" s="546"/>
      <c r="T176" s="634"/>
      <c r="U176" s="546"/>
      <c r="V176" s="547"/>
      <c r="W176" s="547"/>
      <c r="X176" s="546"/>
      <c r="Y176" s="634"/>
      <c r="Z176" s="546"/>
      <c r="AA176" s="547"/>
      <c r="AB176" s="547"/>
      <c r="AC176" s="546"/>
      <c r="AD176" s="634"/>
      <c r="AE176" s="546"/>
      <c r="AF176" s="547"/>
      <c r="AG176" s="547"/>
      <c r="AH176" s="546"/>
      <c r="AI176" s="634"/>
      <c r="AJ176" s="546"/>
      <c r="AK176" s="547"/>
      <c r="AL176" s="547"/>
      <c r="AM176" s="546"/>
      <c r="AN176" s="634"/>
      <c r="AO176" s="546"/>
      <c r="AP176" s="547"/>
      <c r="AQ176" s="547"/>
      <c r="AR176" s="546"/>
      <c r="AS176" s="634"/>
      <c r="AT176" s="546"/>
      <c r="AU176" s="547"/>
      <c r="AV176" s="547"/>
      <c r="AW176" s="546"/>
      <c r="AX176" s="634"/>
      <c r="AZ176" s="361" t="e">
        <f t="shared" si="47"/>
        <v>#N/A</v>
      </c>
      <c r="BA176" s="634"/>
    </row>
    <row r="177" spans="2:53" ht="15.75">
      <c r="B177" s="665" t="s">
        <v>162</v>
      </c>
      <c r="C177" s="666"/>
      <c r="D177" s="666"/>
      <c r="E177" s="666"/>
      <c r="F177" s="666"/>
      <c r="G177" s="666"/>
      <c r="H177" s="667"/>
      <c r="I177" s="202"/>
      <c r="J177" s="202"/>
      <c r="K177" s="202"/>
      <c r="L177" s="202"/>
      <c r="M177" s="201"/>
      <c r="N177" s="639" t="s">
        <v>156</v>
      </c>
      <c r="O177" s="639" t="s">
        <v>105</v>
      </c>
      <c r="P177" s="664">
        <f>P142+7</f>
        <v>46329</v>
      </c>
      <c r="Q177" s="643"/>
      <c r="R177" s="643"/>
      <c r="S177" s="643"/>
      <c r="T177" s="643"/>
      <c r="U177" s="661">
        <f>P177+1</f>
        <v>46330</v>
      </c>
      <c r="V177" s="662"/>
      <c r="W177" s="662"/>
      <c r="X177" s="662"/>
      <c r="Y177" s="663"/>
      <c r="Z177" s="661">
        <f>U177+1</f>
        <v>46331</v>
      </c>
      <c r="AA177" s="662"/>
      <c r="AB177" s="662"/>
      <c r="AC177" s="662"/>
      <c r="AD177" s="663"/>
      <c r="AE177" s="661">
        <f>Z177+1</f>
        <v>46332</v>
      </c>
      <c r="AF177" s="662"/>
      <c r="AG177" s="662"/>
      <c r="AH177" s="662"/>
      <c r="AI177" s="663"/>
      <c r="AJ177" s="661">
        <f>AE177+1</f>
        <v>46333</v>
      </c>
      <c r="AK177" s="662"/>
      <c r="AL177" s="662"/>
      <c r="AM177" s="662"/>
      <c r="AN177" s="663"/>
      <c r="AO177" s="661">
        <f>AJ177+1</f>
        <v>46334</v>
      </c>
      <c r="AP177" s="662"/>
      <c r="AQ177" s="662"/>
      <c r="AR177" s="662"/>
      <c r="AS177" s="663"/>
      <c r="AT177" s="661">
        <f>AO177+1</f>
        <v>46335</v>
      </c>
      <c r="AU177" s="662"/>
      <c r="AV177" s="662"/>
      <c r="AW177" s="662"/>
      <c r="AX177" s="663"/>
    </row>
    <row r="178" spans="2:53" ht="15.75">
      <c r="B178" s="668"/>
      <c r="C178" s="668"/>
      <c r="D178" s="668"/>
      <c r="E178" s="668"/>
      <c r="F178" s="668"/>
      <c r="G178" s="668"/>
      <c r="H178" s="668"/>
      <c r="I178" s="199"/>
      <c r="J178" s="199"/>
      <c r="K178" s="199"/>
      <c r="L178" s="199"/>
      <c r="M178" s="200"/>
      <c r="N178" s="641"/>
      <c r="O178" s="641"/>
      <c r="P178" s="664" t="s">
        <v>158</v>
      </c>
      <c r="Q178" s="643"/>
      <c r="R178" s="643"/>
      <c r="S178" s="643"/>
      <c r="T178" s="643"/>
      <c r="U178" s="664" t="s">
        <v>114</v>
      </c>
      <c r="V178" s="643"/>
      <c r="W178" s="643"/>
      <c r="X178" s="643"/>
      <c r="Y178" s="643"/>
      <c r="Z178" s="664" t="s">
        <v>159</v>
      </c>
      <c r="AA178" s="643"/>
      <c r="AB178" s="643"/>
      <c r="AC178" s="643"/>
      <c r="AD178" s="643"/>
      <c r="AE178" s="664" t="s">
        <v>157</v>
      </c>
      <c r="AF178" s="643"/>
      <c r="AG178" s="643"/>
      <c r="AH178" s="643"/>
      <c r="AI178" s="643"/>
      <c r="AJ178" s="664" t="s">
        <v>160</v>
      </c>
      <c r="AK178" s="643"/>
      <c r="AL178" s="643"/>
      <c r="AM178" s="643"/>
      <c r="AN178" s="643"/>
      <c r="AO178" s="664" t="s">
        <v>115</v>
      </c>
      <c r="AP178" s="643"/>
      <c r="AQ178" s="643"/>
      <c r="AR178" s="643"/>
      <c r="AS178" s="643"/>
      <c r="AT178" s="664" t="s">
        <v>161</v>
      </c>
      <c r="AU178" s="643"/>
      <c r="AV178" s="643"/>
      <c r="AW178" s="643"/>
      <c r="AX178" s="643"/>
    </row>
    <row r="179" spans="2:53">
      <c r="B179" s="637" t="s">
        <v>154</v>
      </c>
      <c r="C179" s="637" t="s">
        <v>370</v>
      </c>
      <c r="D179" s="637"/>
      <c r="E179" s="637" t="s">
        <v>361</v>
      </c>
      <c r="F179" s="637"/>
      <c r="G179" s="637"/>
      <c r="H179" s="669" t="s">
        <v>357</v>
      </c>
      <c r="I179" s="637" t="s">
        <v>362</v>
      </c>
      <c r="J179" s="637"/>
      <c r="K179" s="637"/>
      <c r="L179" s="669" t="s">
        <v>357</v>
      </c>
      <c r="M179" s="639" t="s">
        <v>358</v>
      </c>
      <c r="N179" s="637"/>
      <c r="O179" s="637" t="s">
        <v>363</v>
      </c>
      <c r="P179" s="655" t="s">
        <v>359</v>
      </c>
      <c r="Q179" s="656"/>
      <c r="R179" s="656"/>
      <c r="S179" s="657"/>
      <c r="T179" s="637" t="s">
        <v>357</v>
      </c>
      <c r="U179" s="655" t="s">
        <v>359</v>
      </c>
      <c r="V179" s="656"/>
      <c r="W179" s="656"/>
      <c r="X179" s="657"/>
      <c r="Y179" s="637" t="s">
        <v>357</v>
      </c>
      <c r="Z179" s="655" t="s">
        <v>359</v>
      </c>
      <c r="AA179" s="656"/>
      <c r="AB179" s="656"/>
      <c r="AC179" s="657"/>
      <c r="AD179" s="637" t="s">
        <v>357</v>
      </c>
      <c r="AE179" s="655" t="s">
        <v>359</v>
      </c>
      <c r="AF179" s="656"/>
      <c r="AG179" s="656"/>
      <c r="AH179" s="657"/>
      <c r="AI179" s="637" t="s">
        <v>357</v>
      </c>
      <c r="AJ179" s="655" t="s">
        <v>359</v>
      </c>
      <c r="AK179" s="656"/>
      <c r="AL179" s="656"/>
      <c r="AM179" s="657"/>
      <c r="AN179" s="637" t="s">
        <v>357</v>
      </c>
      <c r="AO179" s="655" t="s">
        <v>359</v>
      </c>
      <c r="AP179" s="656"/>
      <c r="AQ179" s="656"/>
      <c r="AR179" s="657"/>
      <c r="AS179" s="637" t="s">
        <v>357</v>
      </c>
      <c r="AT179" s="658" t="s">
        <v>359</v>
      </c>
      <c r="AU179" s="659"/>
      <c r="AV179" s="659"/>
      <c r="AW179" s="660"/>
      <c r="AX179" s="635" t="s">
        <v>357</v>
      </c>
      <c r="BA179" s="635" t="s">
        <v>357</v>
      </c>
    </row>
    <row r="180" spans="2:53">
      <c r="B180" s="637"/>
      <c r="C180" s="637"/>
      <c r="D180" s="637"/>
      <c r="E180" s="637" t="s">
        <v>364</v>
      </c>
      <c r="F180" s="637"/>
      <c r="G180" s="637"/>
      <c r="H180" s="670"/>
      <c r="I180" s="637" t="s">
        <v>364</v>
      </c>
      <c r="J180" s="637"/>
      <c r="K180" s="637"/>
      <c r="L180" s="670"/>
      <c r="M180" s="640"/>
      <c r="N180" s="637"/>
      <c r="O180" s="637"/>
      <c r="P180" s="655" t="s">
        <v>365</v>
      </c>
      <c r="Q180" s="656"/>
      <c r="R180" s="656"/>
      <c r="S180" s="657"/>
      <c r="T180" s="637"/>
      <c r="U180" s="655" t="s">
        <v>365</v>
      </c>
      <c r="V180" s="656"/>
      <c r="W180" s="656"/>
      <c r="X180" s="657"/>
      <c r="Y180" s="637"/>
      <c r="Z180" s="655" t="s">
        <v>365</v>
      </c>
      <c r="AA180" s="656"/>
      <c r="AB180" s="656"/>
      <c r="AC180" s="657"/>
      <c r="AD180" s="637"/>
      <c r="AE180" s="655" t="s">
        <v>365</v>
      </c>
      <c r="AF180" s="656"/>
      <c r="AG180" s="656"/>
      <c r="AH180" s="657"/>
      <c r="AI180" s="637"/>
      <c r="AJ180" s="655" t="s">
        <v>365</v>
      </c>
      <c r="AK180" s="656"/>
      <c r="AL180" s="656"/>
      <c r="AM180" s="657"/>
      <c r="AN180" s="637"/>
      <c r="AO180" s="655" t="s">
        <v>365</v>
      </c>
      <c r="AP180" s="656"/>
      <c r="AQ180" s="656"/>
      <c r="AR180" s="657"/>
      <c r="AS180" s="637"/>
      <c r="AT180" s="658" t="s">
        <v>365</v>
      </c>
      <c r="AU180" s="659"/>
      <c r="AV180" s="659"/>
      <c r="AW180" s="660"/>
      <c r="AX180" s="635"/>
      <c r="BA180" s="635"/>
    </row>
    <row r="181" spans="2:53">
      <c r="B181" s="637"/>
      <c r="C181" s="637"/>
      <c r="D181" s="637"/>
      <c r="E181" s="334" t="s">
        <v>366</v>
      </c>
      <c r="F181" s="334" t="s">
        <v>367</v>
      </c>
      <c r="G181" s="334" t="s">
        <v>368</v>
      </c>
      <c r="H181" s="671"/>
      <c r="I181" s="334" t="s">
        <v>366</v>
      </c>
      <c r="J181" s="334" t="s">
        <v>367</v>
      </c>
      <c r="K181" s="334" t="s">
        <v>368</v>
      </c>
      <c r="L181" s="671"/>
      <c r="M181" s="641"/>
      <c r="N181" s="637"/>
      <c r="O181" s="637"/>
      <c r="P181" s="334" t="s">
        <v>366</v>
      </c>
      <c r="Q181" s="334" t="s">
        <v>367</v>
      </c>
      <c r="R181" s="334" t="s">
        <v>368</v>
      </c>
      <c r="S181" s="334" t="s">
        <v>358</v>
      </c>
      <c r="T181" s="637"/>
      <c r="U181" s="334" t="s">
        <v>366</v>
      </c>
      <c r="V181" s="334" t="s">
        <v>367</v>
      </c>
      <c r="W181" s="334" t="s">
        <v>368</v>
      </c>
      <c r="X181" s="334" t="s">
        <v>358</v>
      </c>
      <c r="Y181" s="637"/>
      <c r="Z181" s="334" t="s">
        <v>366</v>
      </c>
      <c r="AA181" s="334" t="s">
        <v>367</v>
      </c>
      <c r="AB181" s="334" t="s">
        <v>368</v>
      </c>
      <c r="AC181" s="334" t="s">
        <v>358</v>
      </c>
      <c r="AD181" s="637"/>
      <c r="AE181" s="334" t="s">
        <v>366</v>
      </c>
      <c r="AF181" s="334" t="s">
        <v>367</v>
      </c>
      <c r="AG181" s="334" t="s">
        <v>368</v>
      </c>
      <c r="AH181" s="334" t="s">
        <v>358</v>
      </c>
      <c r="AI181" s="637"/>
      <c r="AJ181" s="334" t="s">
        <v>366</v>
      </c>
      <c r="AK181" s="334" t="s">
        <v>367</v>
      </c>
      <c r="AL181" s="334" t="s">
        <v>368</v>
      </c>
      <c r="AM181" s="334" t="s">
        <v>358</v>
      </c>
      <c r="AN181" s="637"/>
      <c r="AO181" s="334" t="s">
        <v>366</v>
      </c>
      <c r="AP181" s="334" t="s">
        <v>367</v>
      </c>
      <c r="AQ181" s="334" t="s">
        <v>368</v>
      </c>
      <c r="AR181" s="334" t="s">
        <v>358</v>
      </c>
      <c r="AS181" s="637"/>
      <c r="AT181" s="336" t="s">
        <v>366</v>
      </c>
      <c r="AU181" s="336" t="s">
        <v>367</v>
      </c>
      <c r="AV181" s="336" t="s">
        <v>368</v>
      </c>
      <c r="AW181" s="336" t="s">
        <v>358</v>
      </c>
      <c r="AX181" s="635"/>
      <c r="AZ181" s="363" t="s">
        <v>358</v>
      </c>
      <c r="BA181" s="635"/>
    </row>
    <row r="182" spans="2:53">
      <c r="B182" s="642" t="s">
        <v>474</v>
      </c>
      <c r="C182" s="337">
        <v>1</v>
      </c>
      <c r="D182" s="196"/>
      <c r="E182" s="196"/>
      <c r="F182" s="196"/>
      <c r="G182" s="475"/>
      <c r="H182" s="650" t="e">
        <f>AVERAGE(G182:G211)</f>
        <v>#DIV/0!</v>
      </c>
      <c r="I182" s="352" t="str">
        <f>IFERROR(AVERAGE(P182,U182,Z182,AE182,AJ182,AO182,AT182),"-")</f>
        <v>-</v>
      </c>
      <c r="J182" s="352" t="str">
        <f>IFERROR(AVERAGE(Q182,V182,AA182,AF182,AK182,AP182,AU182),"-")</f>
        <v>-</v>
      </c>
      <c r="K182" s="194" t="str">
        <f>IFERROR(AVERAGE(R182,W182,AB182,AG182,AL182,AQ182,AV182),"-")</f>
        <v>-</v>
      </c>
      <c r="L182" s="652" t="str">
        <f>IFERROR(AVERAGE(K182:K211),"-")</f>
        <v>-</v>
      </c>
      <c r="M182" s="338" t="e">
        <f>RANK(K182, K$182:$K$211)</f>
        <v>#VALUE!</v>
      </c>
      <c r="N182" s="637"/>
      <c r="O182" s="637"/>
      <c r="P182" s="468"/>
      <c r="Q182" s="470"/>
      <c r="R182" s="470"/>
      <c r="S182" s="469"/>
      <c r="T182" s="638"/>
      <c r="U182" s="468"/>
      <c r="V182" s="470"/>
      <c r="W182" s="470"/>
      <c r="X182" s="469"/>
      <c r="Y182" s="638"/>
      <c r="Z182" s="468"/>
      <c r="AA182" s="470"/>
      <c r="AB182" s="470"/>
      <c r="AC182" s="469"/>
      <c r="AD182" s="638"/>
      <c r="AE182" s="468"/>
      <c r="AF182" s="470"/>
      <c r="AG182" s="470"/>
      <c r="AH182" s="469"/>
      <c r="AI182" s="638"/>
      <c r="AJ182" s="468"/>
      <c r="AK182" s="470"/>
      <c r="AL182" s="470"/>
      <c r="AM182" s="469"/>
      <c r="AN182" s="638"/>
      <c r="AO182" s="468"/>
      <c r="AP182" s="470"/>
      <c r="AQ182" s="470"/>
      <c r="AR182" s="469"/>
      <c r="AS182" s="638"/>
      <c r="AT182" s="468"/>
      <c r="AU182" s="470"/>
      <c r="AV182" s="470"/>
      <c r="AW182" s="469"/>
      <c r="AX182" s="638"/>
      <c r="AZ182" s="339" t="e">
        <f>RANK(AY182, AY$112:AY$141)</f>
        <v>#N/A</v>
      </c>
      <c r="BA182" s="636" t="e">
        <f>AVERAGE(AY182:AY211)</f>
        <v>#DIV/0!</v>
      </c>
    </row>
    <row r="183" spans="2:53">
      <c r="B183" s="672"/>
      <c r="C183" s="337">
        <v>2</v>
      </c>
      <c r="D183" s="476"/>
      <c r="E183" s="196"/>
      <c r="F183" s="196"/>
      <c r="G183" s="475"/>
      <c r="H183" s="651"/>
      <c r="I183" s="352" t="str">
        <f t="shared" ref="I183:I211" si="52">IFERROR(AVERAGE(P183,U183,Z183,AE183,AJ183,AO183,AT183),"-")</f>
        <v>-</v>
      </c>
      <c r="J183" s="352" t="str">
        <f t="shared" ref="J183:J211" si="53">IFERROR(AVERAGE(Q183,V183,AA183,AF183,AK183,AP183,AU183),"-")</f>
        <v>-</v>
      </c>
      <c r="K183" s="194" t="str">
        <f t="shared" ref="K183:K211" si="54">IFERROR(AVERAGE(R183,W183,AB183,AG183,AL183,AQ183,AV183),"-")</f>
        <v>-</v>
      </c>
      <c r="L183" s="653"/>
      <c r="M183" s="338" t="e">
        <f>RANK(K183, K$182:$K$211)</f>
        <v>#VALUE!</v>
      </c>
      <c r="N183" s="637"/>
      <c r="O183" s="637"/>
      <c r="P183" s="468"/>
      <c r="Q183" s="470"/>
      <c r="R183" s="470"/>
      <c r="S183" s="469"/>
      <c r="T183" s="638"/>
      <c r="U183" s="468"/>
      <c r="V183" s="470"/>
      <c r="W183" s="470"/>
      <c r="X183" s="469"/>
      <c r="Y183" s="638"/>
      <c r="Z183" s="468"/>
      <c r="AA183" s="470"/>
      <c r="AB183" s="470"/>
      <c r="AC183" s="469"/>
      <c r="AD183" s="638"/>
      <c r="AE183" s="468"/>
      <c r="AF183" s="470"/>
      <c r="AG183" s="470"/>
      <c r="AH183" s="469"/>
      <c r="AI183" s="638"/>
      <c r="AJ183" s="468"/>
      <c r="AK183" s="470"/>
      <c r="AL183" s="470"/>
      <c r="AM183" s="469"/>
      <c r="AN183" s="638"/>
      <c r="AO183" s="468"/>
      <c r="AP183" s="470"/>
      <c r="AQ183" s="470"/>
      <c r="AR183" s="469"/>
      <c r="AS183" s="638"/>
      <c r="AT183" s="468"/>
      <c r="AU183" s="470"/>
      <c r="AV183" s="470"/>
      <c r="AW183" s="469"/>
      <c r="AX183" s="638"/>
      <c r="AZ183" s="339" t="e">
        <f t="shared" ref="AZ183:AZ211" si="55">RANK(AY183, AY$112:AY$141)</f>
        <v>#N/A</v>
      </c>
      <c r="BA183" s="636"/>
    </row>
    <row r="184" spans="2:53">
      <c r="B184" s="672"/>
      <c r="C184" s="337">
        <v>3</v>
      </c>
      <c r="D184" s="196"/>
      <c r="E184" s="196"/>
      <c r="F184" s="196"/>
      <c r="G184" s="475"/>
      <c r="H184" s="651"/>
      <c r="I184" s="352" t="str">
        <f t="shared" si="52"/>
        <v>-</v>
      </c>
      <c r="J184" s="352" t="str">
        <f t="shared" si="53"/>
        <v>-</v>
      </c>
      <c r="K184" s="194" t="str">
        <f t="shared" si="54"/>
        <v>-</v>
      </c>
      <c r="L184" s="653"/>
      <c r="M184" s="338" t="e">
        <f>RANK(K184, K$182:$K$211)</f>
        <v>#VALUE!</v>
      </c>
      <c r="N184" s="637"/>
      <c r="O184" s="637"/>
      <c r="P184" s="468"/>
      <c r="Q184" s="470"/>
      <c r="R184" s="470"/>
      <c r="S184" s="469"/>
      <c r="T184" s="638"/>
      <c r="U184" s="468"/>
      <c r="V184" s="470"/>
      <c r="W184" s="470"/>
      <c r="X184" s="469"/>
      <c r="Y184" s="638"/>
      <c r="Z184" s="468"/>
      <c r="AA184" s="470"/>
      <c r="AB184" s="470"/>
      <c r="AC184" s="469"/>
      <c r="AD184" s="638"/>
      <c r="AE184" s="468"/>
      <c r="AF184" s="470"/>
      <c r="AG184" s="470"/>
      <c r="AH184" s="469"/>
      <c r="AI184" s="638"/>
      <c r="AJ184" s="468"/>
      <c r="AK184" s="470"/>
      <c r="AL184" s="470"/>
      <c r="AM184" s="469"/>
      <c r="AN184" s="638"/>
      <c r="AO184" s="468"/>
      <c r="AP184" s="470"/>
      <c r="AQ184" s="470"/>
      <c r="AR184" s="469"/>
      <c r="AS184" s="638"/>
      <c r="AT184" s="468"/>
      <c r="AU184" s="470"/>
      <c r="AV184" s="470"/>
      <c r="AW184" s="469"/>
      <c r="AX184" s="638"/>
      <c r="AZ184" s="339" t="e">
        <f t="shared" si="55"/>
        <v>#N/A</v>
      </c>
      <c r="BA184" s="636"/>
    </row>
    <row r="185" spans="2:53">
      <c r="B185" s="672"/>
      <c r="C185" s="337">
        <v>4</v>
      </c>
      <c r="D185" s="196"/>
      <c r="E185" s="196"/>
      <c r="F185" s="196"/>
      <c r="G185" s="475"/>
      <c r="H185" s="651"/>
      <c r="I185" s="352" t="str">
        <f t="shared" si="52"/>
        <v>-</v>
      </c>
      <c r="J185" s="352" t="str">
        <f t="shared" si="53"/>
        <v>-</v>
      </c>
      <c r="K185" s="194" t="str">
        <f t="shared" si="54"/>
        <v>-</v>
      </c>
      <c r="L185" s="653"/>
      <c r="M185" s="338" t="e">
        <f>RANK(K185, K$182:$K$211)</f>
        <v>#VALUE!</v>
      </c>
      <c r="N185" s="637"/>
      <c r="O185" s="637"/>
      <c r="P185" s="468"/>
      <c r="Q185" s="470"/>
      <c r="R185" s="470"/>
      <c r="S185" s="469"/>
      <c r="T185" s="638"/>
      <c r="U185" s="468"/>
      <c r="V185" s="470"/>
      <c r="W185" s="470"/>
      <c r="X185" s="469"/>
      <c r="Y185" s="638"/>
      <c r="Z185" s="468"/>
      <c r="AA185" s="470"/>
      <c r="AB185" s="470"/>
      <c r="AC185" s="469"/>
      <c r="AD185" s="638"/>
      <c r="AE185" s="468"/>
      <c r="AF185" s="470"/>
      <c r="AG185" s="470"/>
      <c r="AH185" s="469"/>
      <c r="AI185" s="638"/>
      <c r="AJ185" s="468"/>
      <c r="AK185" s="470"/>
      <c r="AL185" s="470"/>
      <c r="AM185" s="469"/>
      <c r="AN185" s="638"/>
      <c r="AO185" s="468"/>
      <c r="AP185" s="470"/>
      <c r="AQ185" s="470"/>
      <c r="AR185" s="469"/>
      <c r="AS185" s="638"/>
      <c r="AT185" s="468"/>
      <c r="AU185" s="470"/>
      <c r="AV185" s="470"/>
      <c r="AW185" s="469"/>
      <c r="AX185" s="638"/>
      <c r="AZ185" s="339" t="e">
        <f t="shared" si="55"/>
        <v>#N/A</v>
      </c>
      <c r="BA185" s="636"/>
    </row>
    <row r="186" spans="2:53">
      <c r="B186" s="672"/>
      <c r="C186" s="337">
        <v>5</v>
      </c>
      <c r="D186" s="196"/>
      <c r="E186" s="196"/>
      <c r="F186" s="196"/>
      <c r="G186" s="475"/>
      <c r="H186" s="651"/>
      <c r="I186" s="352" t="str">
        <f t="shared" si="52"/>
        <v>-</v>
      </c>
      <c r="J186" s="352" t="str">
        <f t="shared" si="53"/>
        <v>-</v>
      </c>
      <c r="K186" s="194" t="str">
        <f t="shared" si="54"/>
        <v>-</v>
      </c>
      <c r="L186" s="653"/>
      <c r="M186" s="338" t="e">
        <f>RANK(K186, K$182:$K$211)</f>
        <v>#VALUE!</v>
      </c>
      <c r="N186" s="637"/>
      <c r="O186" s="637"/>
      <c r="P186" s="468"/>
      <c r="Q186" s="470"/>
      <c r="R186" s="470"/>
      <c r="S186" s="469"/>
      <c r="T186" s="638"/>
      <c r="U186" s="468"/>
      <c r="V186" s="470"/>
      <c r="W186" s="470"/>
      <c r="X186" s="469"/>
      <c r="Y186" s="638"/>
      <c r="Z186" s="468"/>
      <c r="AA186" s="470"/>
      <c r="AB186" s="470"/>
      <c r="AC186" s="469"/>
      <c r="AD186" s="638"/>
      <c r="AE186" s="468"/>
      <c r="AF186" s="470"/>
      <c r="AG186" s="470"/>
      <c r="AH186" s="469"/>
      <c r="AI186" s="638"/>
      <c r="AJ186" s="468"/>
      <c r="AK186" s="470"/>
      <c r="AL186" s="470"/>
      <c r="AM186" s="469"/>
      <c r="AN186" s="638"/>
      <c r="AO186" s="468"/>
      <c r="AP186" s="470"/>
      <c r="AQ186" s="470"/>
      <c r="AR186" s="469"/>
      <c r="AS186" s="638"/>
      <c r="AT186" s="468"/>
      <c r="AU186" s="470"/>
      <c r="AV186" s="470"/>
      <c r="AW186" s="469"/>
      <c r="AX186" s="638"/>
      <c r="AZ186" s="339" t="e">
        <f t="shared" si="55"/>
        <v>#N/A</v>
      </c>
      <c r="BA186" s="636"/>
    </row>
    <row r="187" spans="2:53">
      <c r="B187" s="672"/>
      <c r="C187" s="337">
        <v>6</v>
      </c>
      <c r="D187" s="196"/>
      <c r="E187" s="196"/>
      <c r="F187" s="196"/>
      <c r="G187" s="475"/>
      <c r="H187" s="651"/>
      <c r="I187" s="352" t="str">
        <f t="shared" si="52"/>
        <v>-</v>
      </c>
      <c r="J187" s="352" t="str">
        <f t="shared" si="53"/>
        <v>-</v>
      </c>
      <c r="K187" s="194" t="str">
        <f t="shared" si="54"/>
        <v>-</v>
      </c>
      <c r="L187" s="653"/>
      <c r="M187" s="338" t="e">
        <f>RANK(K187, K$182:$K$211)</f>
        <v>#VALUE!</v>
      </c>
      <c r="N187" s="637"/>
      <c r="O187" s="637"/>
      <c r="P187" s="468"/>
      <c r="Q187" s="470"/>
      <c r="R187" s="470"/>
      <c r="S187" s="469"/>
      <c r="T187" s="638"/>
      <c r="U187" s="468"/>
      <c r="V187" s="470"/>
      <c r="W187" s="470"/>
      <c r="X187" s="469"/>
      <c r="Y187" s="638"/>
      <c r="Z187" s="468"/>
      <c r="AA187" s="470"/>
      <c r="AB187" s="470"/>
      <c r="AC187" s="469"/>
      <c r="AD187" s="638"/>
      <c r="AE187" s="468"/>
      <c r="AF187" s="470"/>
      <c r="AG187" s="470"/>
      <c r="AH187" s="469"/>
      <c r="AI187" s="638"/>
      <c r="AJ187" s="468"/>
      <c r="AK187" s="470"/>
      <c r="AL187" s="470"/>
      <c r="AM187" s="469"/>
      <c r="AN187" s="638"/>
      <c r="AO187" s="468"/>
      <c r="AP187" s="470"/>
      <c r="AQ187" s="470"/>
      <c r="AR187" s="469"/>
      <c r="AS187" s="638"/>
      <c r="AT187" s="468"/>
      <c r="AU187" s="470"/>
      <c r="AV187" s="470"/>
      <c r="AW187" s="469"/>
      <c r="AX187" s="638"/>
      <c r="AZ187" s="339" t="e">
        <f t="shared" si="55"/>
        <v>#N/A</v>
      </c>
      <c r="BA187" s="636"/>
    </row>
    <row r="188" spans="2:53">
      <c r="B188" s="672"/>
      <c r="C188" s="337">
        <v>7</v>
      </c>
      <c r="D188" s="196"/>
      <c r="E188" s="196"/>
      <c r="F188" s="196"/>
      <c r="G188" s="475"/>
      <c r="H188" s="651"/>
      <c r="I188" s="352" t="str">
        <f t="shared" si="52"/>
        <v>-</v>
      </c>
      <c r="J188" s="352" t="str">
        <f t="shared" si="53"/>
        <v>-</v>
      </c>
      <c r="K188" s="194" t="str">
        <f t="shared" si="54"/>
        <v>-</v>
      </c>
      <c r="L188" s="653"/>
      <c r="M188" s="338" t="e">
        <f>RANK(K188, K$182:$K$211)</f>
        <v>#VALUE!</v>
      </c>
      <c r="N188" s="637"/>
      <c r="O188" s="637"/>
      <c r="P188" s="468"/>
      <c r="Q188" s="470"/>
      <c r="R188" s="470"/>
      <c r="S188" s="469"/>
      <c r="T188" s="638"/>
      <c r="U188" s="468"/>
      <c r="V188" s="470"/>
      <c r="W188" s="470"/>
      <c r="X188" s="469"/>
      <c r="Y188" s="638"/>
      <c r="Z188" s="468"/>
      <c r="AA188" s="470"/>
      <c r="AB188" s="470"/>
      <c r="AC188" s="469"/>
      <c r="AD188" s="638"/>
      <c r="AE188" s="468"/>
      <c r="AF188" s="470"/>
      <c r="AG188" s="470"/>
      <c r="AH188" s="469"/>
      <c r="AI188" s="638"/>
      <c r="AJ188" s="468"/>
      <c r="AK188" s="470"/>
      <c r="AL188" s="470"/>
      <c r="AM188" s="469"/>
      <c r="AN188" s="638"/>
      <c r="AO188" s="468"/>
      <c r="AP188" s="470"/>
      <c r="AQ188" s="470"/>
      <c r="AR188" s="469"/>
      <c r="AS188" s="638"/>
      <c r="AT188" s="468"/>
      <c r="AU188" s="470"/>
      <c r="AV188" s="470"/>
      <c r="AW188" s="469"/>
      <c r="AX188" s="638"/>
      <c r="AZ188" s="339" t="e">
        <f t="shared" si="55"/>
        <v>#N/A</v>
      </c>
      <c r="BA188" s="636"/>
    </row>
    <row r="189" spans="2:53">
      <c r="B189" s="672"/>
      <c r="C189" s="337">
        <v>8</v>
      </c>
      <c r="D189" s="196"/>
      <c r="E189" s="196"/>
      <c r="F189" s="196"/>
      <c r="G189" s="475"/>
      <c r="H189" s="651"/>
      <c r="I189" s="352" t="str">
        <f t="shared" si="52"/>
        <v>-</v>
      </c>
      <c r="J189" s="352" t="str">
        <f t="shared" si="53"/>
        <v>-</v>
      </c>
      <c r="K189" s="194" t="str">
        <f t="shared" si="54"/>
        <v>-</v>
      </c>
      <c r="L189" s="653"/>
      <c r="M189" s="338" t="e">
        <f>RANK(K189, K$182:$K$211)</f>
        <v>#VALUE!</v>
      </c>
      <c r="N189" s="637"/>
      <c r="O189" s="637"/>
      <c r="P189" s="468"/>
      <c r="Q189" s="470"/>
      <c r="R189" s="470"/>
      <c r="S189" s="469"/>
      <c r="T189" s="638"/>
      <c r="U189" s="468"/>
      <c r="V189" s="470"/>
      <c r="W189" s="470"/>
      <c r="X189" s="469"/>
      <c r="Y189" s="638"/>
      <c r="Z189" s="468"/>
      <c r="AA189" s="470"/>
      <c r="AB189" s="470"/>
      <c r="AC189" s="469"/>
      <c r="AD189" s="638"/>
      <c r="AE189" s="468"/>
      <c r="AF189" s="470"/>
      <c r="AG189" s="470"/>
      <c r="AH189" s="469"/>
      <c r="AI189" s="638"/>
      <c r="AJ189" s="468"/>
      <c r="AK189" s="470"/>
      <c r="AL189" s="470"/>
      <c r="AM189" s="469"/>
      <c r="AN189" s="638"/>
      <c r="AO189" s="468"/>
      <c r="AP189" s="470"/>
      <c r="AQ189" s="470"/>
      <c r="AR189" s="469"/>
      <c r="AS189" s="638"/>
      <c r="AT189" s="468"/>
      <c r="AU189" s="470"/>
      <c r="AV189" s="470"/>
      <c r="AW189" s="469"/>
      <c r="AX189" s="638"/>
      <c r="AZ189" s="339" t="e">
        <f t="shared" si="55"/>
        <v>#N/A</v>
      </c>
      <c r="BA189" s="636"/>
    </row>
    <row r="190" spans="2:53">
      <c r="B190" s="672"/>
      <c r="C190" s="337">
        <v>9</v>
      </c>
      <c r="D190" s="196"/>
      <c r="E190" s="196"/>
      <c r="F190" s="196"/>
      <c r="G190" s="475"/>
      <c r="H190" s="651"/>
      <c r="I190" s="352" t="str">
        <f t="shared" si="52"/>
        <v>-</v>
      </c>
      <c r="J190" s="352" t="str">
        <f t="shared" si="53"/>
        <v>-</v>
      </c>
      <c r="K190" s="194" t="str">
        <f t="shared" si="54"/>
        <v>-</v>
      </c>
      <c r="L190" s="653"/>
      <c r="M190" s="338" t="e">
        <f>RANK(K190, K$182:$K$211)</f>
        <v>#VALUE!</v>
      </c>
      <c r="N190" s="637"/>
      <c r="O190" s="637"/>
      <c r="P190" s="468"/>
      <c r="Q190" s="470"/>
      <c r="R190" s="470"/>
      <c r="S190" s="469"/>
      <c r="T190" s="638"/>
      <c r="U190" s="468"/>
      <c r="V190" s="470"/>
      <c r="W190" s="470"/>
      <c r="X190" s="469"/>
      <c r="Y190" s="638"/>
      <c r="Z190" s="468"/>
      <c r="AA190" s="470"/>
      <c r="AB190" s="470"/>
      <c r="AC190" s="469"/>
      <c r="AD190" s="638"/>
      <c r="AE190" s="468"/>
      <c r="AF190" s="470"/>
      <c r="AG190" s="470"/>
      <c r="AH190" s="469"/>
      <c r="AI190" s="638"/>
      <c r="AJ190" s="468"/>
      <c r="AK190" s="470"/>
      <c r="AL190" s="470"/>
      <c r="AM190" s="469"/>
      <c r="AN190" s="638"/>
      <c r="AO190" s="468"/>
      <c r="AP190" s="470"/>
      <c r="AQ190" s="470"/>
      <c r="AR190" s="469"/>
      <c r="AS190" s="638"/>
      <c r="AT190" s="468"/>
      <c r="AU190" s="470"/>
      <c r="AV190" s="470"/>
      <c r="AW190" s="469"/>
      <c r="AX190" s="638"/>
      <c r="AZ190" s="339" t="e">
        <f t="shared" si="55"/>
        <v>#N/A</v>
      </c>
      <c r="BA190" s="636"/>
    </row>
    <row r="191" spans="2:53">
      <c r="B191" s="672"/>
      <c r="C191" s="337">
        <v>10</v>
      </c>
      <c r="D191" s="196"/>
      <c r="E191" s="196"/>
      <c r="F191" s="196"/>
      <c r="G191" s="475"/>
      <c r="H191" s="651"/>
      <c r="I191" s="352" t="str">
        <f t="shared" si="52"/>
        <v>-</v>
      </c>
      <c r="J191" s="352" t="str">
        <f t="shared" si="53"/>
        <v>-</v>
      </c>
      <c r="K191" s="194" t="str">
        <f t="shared" si="54"/>
        <v>-</v>
      </c>
      <c r="L191" s="653"/>
      <c r="M191" s="338" t="e">
        <f>RANK(K191, K$182:$K$211)</f>
        <v>#VALUE!</v>
      </c>
      <c r="N191" s="637"/>
      <c r="O191" s="637"/>
      <c r="P191" s="468"/>
      <c r="Q191" s="470"/>
      <c r="R191" s="470"/>
      <c r="S191" s="469"/>
      <c r="T191" s="638"/>
      <c r="U191" s="468"/>
      <c r="V191" s="470"/>
      <c r="W191" s="470"/>
      <c r="X191" s="469"/>
      <c r="Y191" s="638"/>
      <c r="Z191" s="468"/>
      <c r="AA191" s="470"/>
      <c r="AB191" s="470"/>
      <c r="AC191" s="469"/>
      <c r="AD191" s="638"/>
      <c r="AE191" s="468"/>
      <c r="AF191" s="470"/>
      <c r="AG191" s="470"/>
      <c r="AH191" s="469"/>
      <c r="AI191" s="638"/>
      <c r="AJ191" s="468"/>
      <c r="AK191" s="470"/>
      <c r="AL191" s="470"/>
      <c r="AM191" s="469"/>
      <c r="AN191" s="638"/>
      <c r="AO191" s="468"/>
      <c r="AP191" s="470"/>
      <c r="AQ191" s="470"/>
      <c r="AR191" s="469"/>
      <c r="AS191" s="638"/>
      <c r="AT191" s="468"/>
      <c r="AU191" s="470"/>
      <c r="AV191" s="470"/>
      <c r="AW191" s="469"/>
      <c r="AX191" s="638"/>
      <c r="AZ191" s="339" t="e">
        <f t="shared" si="55"/>
        <v>#N/A</v>
      </c>
      <c r="BA191" s="636"/>
    </row>
    <row r="192" spans="2:53">
      <c r="B192" s="672"/>
      <c r="C192" s="337">
        <v>11</v>
      </c>
      <c r="D192" s="196"/>
      <c r="E192" s="196"/>
      <c r="F192" s="196"/>
      <c r="G192" s="475"/>
      <c r="H192" s="651"/>
      <c r="I192" s="352" t="str">
        <f t="shared" si="52"/>
        <v>-</v>
      </c>
      <c r="J192" s="352" t="str">
        <f t="shared" si="53"/>
        <v>-</v>
      </c>
      <c r="K192" s="194" t="str">
        <f t="shared" si="54"/>
        <v>-</v>
      </c>
      <c r="L192" s="653"/>
      <c r="M192" s="338" t="e">
        <f>RANK(K192, K$182:$K$211)</f>
        <v>#VALUE!</v>
      </c>
      <c r="N192" s="637"/>
      <c r="O192" s="637"/>
      <c r="P192" s="468"/>
      <c r="Q192" s="470"/>
      <c r="R192" s="470"/>
      <c r="S192" s="469"/>
      <c r="T192" s="638"/>
      <c r="U192" s="468"/>
      <c r="V192" s="470"/>
      <c r="W192" s="470"/>
      <c r="X192" s="469"/>
      <c r="Y192" s="638"/>
      <c r="Z192" s="468"/>
      <c r="AA192" s="470"/>
      <c r="AB192" s="470"/>
      <c r="AC192" s="469"/>
      <c r="AD192" s="638"/>
      <c r="AE192" s="468"/>
      <c r="AF192" s="470"/>
      <c r="AG192" s="470"/>
      <c r="AH192" s="469"/>
      <c r="AI192" s="638"/>
      <c r="AJ192" s="468"/>
      <c r="AK192" s="470"/>
      <c r="AL192" s="470"/>
      <c r="AM192" s="469"/>
      <c r="AN192" s="638"/>
      <c r="AO192" s="468"/>
      <c r="AP192" s="470"/>
      <c r="AQ192" s="470"/>
      <c r="AR192" s="469"/>
      <c r="AS192" s="638"/>
      <c r="AT192" s="468"/>
      <c r="AU192" s="470"/>
      <c r="AV192" s="470"/>
      <c r="AW192" s="469"/>
      <c r="AX192" s="638"/>
      <c r="AZ192" s="339" t="e">
        <f t="shared" si="55"/>
        <v>#N/A</v>
      </c>
      <c r="BA192" s="636"/>
    </row>
    <row r="193" spans="2:53">
      <c r="B193" s="672"/>
      <c r="C193" s="337">
        <v>12</v>
      </c>
      <c r="D193" s="476"/>
      <c r="E193" s="196"/>
      <c r="F193" s="196"/>
      <c r="G193" s="475"/>
      <c r="H193" s="651"/>
      <c r="I193" s="352" t="str">
        <f t="shared" si="52"/>
        <v>-</v>
      </c>
      <c r="J193" s="352" t="str">
        <f t="shared" si="53"/>
        <v>-</v>
      </c>
      <c r="K193" s="194" t="str">
        <f t="shared" si="54"/>
        <v>-</v>
      </c>
      <c r="L193" s="653"/>
      <c r="M193" s="338" t="e">
        <f>RANK(K193, K$182:$K$211)</f>
        <v>#VALUE!</v>
      </c>
      <c r="N193" s="637"/>
      <c r="O193" s="637"/>
      <c r="P193" s="468"/>
      <c r="Q193" s="470"/>
      <c r="R193" s="470"/>
      <c r="S193" s="469"/>
      <c r="T193" s="638"/>
      <c r="U193" s="468"/>
      <c r="V193" s="470"/>
      <c r="W193" s="470"/>
      <c r="X193" s="469"/>
      <c r="Y193" s="638"/>
      <c r="Z193" s="468"/>
      <c r="AA193" s="470"/>
      <c r="AB193" s="470"/>
      <c r="AC193" s="469"/>
      <c r="AD193" s="638"/>
      <c r="AE193" s="468"/>
      <c r="AF193" s="470"/>
      <c r="AG193" s="470"/>
      <c r="AH193" s="469"/>
      <c r="AI193" s="638"/>
      <c r="AJ193" s="468"/>
      <c r="AK193" s="470"/>
      <c r="AL193" s="470"/>
      <c r="AM193" s="469"/>
      <c r="AN193" s="638"/>
      <c r="AO193" s="468"/>
      <c r="AP193" s="470"/>
      <c r="AQ193" s="470"/>
      <c r="AR193" s="469"/>
      <c r="AS193" s="638"/>
      <c r="AT193" s="468"/>
      <c r="AU193" s="470"/>
      <c r="AV193" s="470"/>
      <c r="AW193" s="469"/>
      <c r="AX193" s="638"/>
      <c r="AZ193" s="339" t="e">
        <f t="shared" si="55"/>
        <v>#N/A</v>
      </c>
      <c r="BA193" s="636"/>
    </row>
    <row r="194" spans="2:53">
      <c r="B194" s="672"/>
      <c r="C194" s="337">
        <v>13</v>
      </c>
      <c r="D194" s="196"/>
      <c r="E194" s="196"/>
      <c r="F194" s="196"/>
      <c r="G194" s="475"/>
      <c r="H194" s="651"/>
      <c r="I194" s="352" t="str">
        <f t="shared" si="52"/>
        <v>-</v>
      </c>
      <c r="J194" s="352" t="str">
        <f t="shared" si="53"/>
        <v>-</v>
      </c>
      <c r="K194" s="194" t="str">
        <f t="shared" si="54"/>
        <v>-</v>
      </c>
      <c r="L194" s="653"/>
      <c r="M194" s="338" t="e">
        <f>RANK(K194, K$182:$K$211)</f>
        <v>#VALUE!</v>
      </c>
      <c r="N194" s="637"/>
      <c r="O194" s="637"/>
      <c r="P194" s="468"/>
      <c r="Q194" s="470"/>
      <c r="R194" s="470"/>
      <c r="S194" s="469"/>
      <c r="T194" s="638"/>
      <c r="U194" s="468"/>
      <c r="V194" s="470"/>
      <c r="W194" s="470"/>
      <c r="X194" s="469"/>
      <c r="Y194" s="638"/>
      <c r="Z194" s="468"/>
      <c r="AA194" s="470"/>
      <c r="AB194" s="470"/>
      <c r="AC194" s="469"/>
      <c r="AD194" s="638"/>
      <c r="AE194" s="468"/>
      <c r="AF194" s="470"/>
      <c r="AG194" s="470"/>
      <c r="AH194" s="469"/>
      <c r="AI194" s="638"/>
      <c r="AJ194" s="468"/>
      <c r="AK194" s="470"/>
      <c r="AL194" s="470"/>
      <c r="AM194" s="469"/>
      <c r="AN194" s="638"/>
      <c r="AO194" s="468"/>
      <c r="AP194" s="470"/>
      <c r="AQ194" s="470"/>
      <c r="AR194" s="469"/>
      <c r="AS194" s="638"/>
      <c r="AT194" s="468"/>
      <c r="AU194" s="470"/>
      <c r="AV194" s="470"/>
      <c r="AW194" s="469"/>
      <c r="AX194" s="638"/>
      <c r="AZ194" s="339" t="e">
        <f t="shared" si="55"/>
        <v>#N/A</v>
      </c>
      <c r="BA194" s="636"/>
    </row>
    <row r="195" spans="2:53">
      <c r="B195" s="672"/>
      <c r="C195" s="337">
        <v>14</v>
      </c>
      <c r="D195" s="196"/>
      <c r="E195" s="196"/>
      <c r="F195" s="196"/>
      <c r="G195" s="475"/>
      <c r="H195" s="651"/>
      <c r="I195" s="352" t="str">
        <f t="shared" si="52"/>
        <v>-</v>
      </c>
      <c r="J195" s="352" t="str">
        <f t="shared" si="53"/>
        <v>-</v>
      </c>
      <c r="K195" s="194" t="str">
        <f t="shared" si="54"/>
        <v>-</v>
      </c>
      <c r="L195" s="653"/>
      <c r="M195" s="338" t="e">
        <f>RANK(K195, K$182:$K$211)</f>
        <v>#VALUE!</v>
      </c>
      <c r="N195" s="637"/>
      <c r="O195" s="637"/>
      <c r="P195" s="468"/>
      <c r="Q195" s="470"/>
      <c r="R195" s="470"/>
      <c r="S195" s="469"/>
      <c r="T195" s="638"/>
      <c r="U195" s="468"/>
      <c r="V195" s="470"/>
      <c r="W195" s="470"/>
      <c r="X195" s="469"/>
      <c r="Y195" s="638"/>
      <c r="Z195" s="468"/>
      <c r="AA195" s="470"/>
      <c r="AB195" s="470"/>
      <c r="AC195" s="469"/>
      <c r="AD195" s="638"/>
      <c r="AE195" s="468"/>
      <c r="AF195" s="470"/>
      <c r="AG195" s="470"/>
      <c r="AH195" s="469"/>
      <c r="AI195" s="638"/>
      <c r="AJ195" s="468"/>
      <c r="AK195" s="470"/>
      <c r="AL195" s="470"/>
      <c r="AM195" s="469"/>
      <c r="AN195" s="638"/>
      <c r="AO195" s="468"/>
      <c r="AP195" s="470"/>
      <c r="AQ195" s="470"/>
      <c r="AR195" s="469"/>
      <c r="AS195" s="638"/>
      <c r="AT195" s="468"/>
      <c r="AU195" s="470"/>
      <c r="AV195" s="470"/>
      <c r="AW195" s="469"/>
      <c r="AX195" s="638"/>
      <c r="AZ195" s="339" t="e">
        <f t="shared" si="55"/>
        <v>#N/A</v>
      </c>
      <c r="BA195" s="636"/>
    </row>
    <row r="196" spans="2:53">
      <c r="B196" s="672"/>
      <c r="C196" s="337">
        <v>15</v>
      </c>
      <c r="D196" s="476"/>
      <c r="E196" s="196"/>
      <c r="F196" s="196"/>
      <c r="G196" s="475"/>
      <c r="H196" s="651"/>
      <c r="I196" s="352" t="str">
        <f t="shared" si="52"/>
        <v>-</v>
      </c>
      <c r="J196" s="352" t="str">
        <f t="shared" si="53"/>
        <v>-</v>
      </c>
      <c r="K196" s="194" t="str">
        <f t="shared" si="54"/>
        <v>-</v>
      </c>
      <c r="L196" s="653"/>
      <c r="M196" s="338" t="e">
        <f>RANK(K196, K$182:$K$211)</f>
        <v>#VALUE!</v>
      </c>
      <c r="N196" s="637"/>
      <c r="O196" s="637"/>
      <c r="P196" s="468"/>
      <c r="Q196" s="470"/>
      <c r="R196" s="470"/>
      <c r="S196" s="469"/>
      <c r="T196" s="638"/>
      <c r="U196" s="468"/>
      <c r="V196" s="470"/>
      <c r="W196" s="470"/>
      <c r="X196" s="469"/>
      <c r="Y196" s="638"/>
      <c r="Z196" s="468"/>
      <c r="AA196" s="470"/>
      <c r="AB196" s="470"/>
      <c r="AC196" s="469"/>
      <c r="AD196" s="638"/>
      <c r="AE196" s="468"/>
      <c r="AF196" s="470"/>
      <c r="AG196" s="470"/>
      <c r="AH196" s="469"/>
      <c r="AI196" s="638"/>
      <c r="AJ196" s="468"/>
      <c r="AK196" s="470"/>
      <c r="AL196" s="470"/>
      <c r="AM196" s="469"/>
      <c r="AN196" s="638"/>
      <c r="AO196" s="468"/>
      <c r="AP196" s="470"/>
      <c r="AQ196" s="470"/>
      <c r="AR196" s="469"/>
      <c r="AS196" s="638"/>
      <c r="AT196" s="468"/>
      <c r="AU196" s="470"/>
      <c r="AV196" s="470"/>
      <c r="AW196" s="469"/>
      <c r="AX196" s="638"/>
      <c r="AZ196" s="339" t="e">
        <f t="shared" si="55"/>
        <v>#N/A</v>
      </c>
      <c r="BA196" s="636"/>
    </row>
    <row r="197" spans="2:53">
      <c r="B197" s="672"/>
      <c r="C197" s="337">
        <v>16</v>
      </c>
      <c r="D197" s="196"/>
      <c r="E197" s="196"/>
      <c r="F197" s="196"/>
      <c r="G197" s="475"/>
      <c r="H197" s="651"/>
      <c r="I197" s="352" t="str">
        <f t="shared" si="52"/>
        <v>-</v>
      </c>
      <c r="J197" s="352" t="str">
        <f t="shared" si="53"/>
        <v>-</v>
      </c>
      <c r="K197" s="194" t="str">
        <f t="shared" si="54"/>
        <v>-</v>
      </c>
      <c r="L197" s="653"/>
      <c r="M197" s="338" t="e">
        <f>RANK(K197, K$182:$K$211)</f>
        <v>#VALUE!</v>
      </c>
      <c r="N197" s="637"/>
      <c r="O197" s="637"/>
      <c r="P197" s="468"/>
      <c r="Q197" s="470"/>
      <c r="R197" s="470"/>
      <c r="S197" s="469"/>
      <c r="T197" s="638"/>
      <c r="U197" s="468"/>
      <c r="V197" s="470"/>
      <c r="W197" s="470"/>
      <c r="X197" s="469"/>
      <c r="Y197" s="638"/>
      <c r="Z197" s="468"/>
      <c r="AA197" s="470"/>
      <c r="AB197" s="470"/>
      <c r="AC197" s="469"/>
      <c r="AD197" s="638"/>
      <c r="AE197" s="468"/>
      <c r="AF197" s="470"/>
      <c r="AG197" s="470"/>
      <c r="AH197" s="469"/>
      <c r="AI197" s="638"/>
      <c r="AJ197" s="468"/>
      <c r="AK197" s="470"/>
      <c r="AL197" s="470"/>
      <c r="AM197" s="469"/>
      <c r="AN197" s="638"/>
      <c r="AO197" s="468"/>
      <c r="AP197" s="470"/>
      <c r="AQ197" s="470"/>
      <c r="AR197" s="469"/>
      <c r="AS197" s="638"/>
      <c r="AT197" s="468"/>
      <c r="AU197" s="470"/>
      <c r="AV197" s="470"/>
      <c r="AW197" s="469"/>
      <c r="AX197" s="638"/>
      <c r="AZ197" s="339" t="e">
        <f t="shared" si="55"/>
        <v>#N/A</v>
      </c>
      <c r="BA197" s="636"/>
    </row>
    <row r="198" spans="2:53">
      <c r="B198" s="672"/>
      <c r="C198" s="337">
        <v>17</v>
      </c>
      <c r="D198" s="196"/>
      <c r="E198" s="196"/>
      <c r="F198" s="196"/>
      <c r="G198" s="475"/>
      <c r="H198" s="651"/>
      <c r="I198" s="352" t="str">
        <f t="shared" si="52"/>
        <v>-</v>
      </c>
      <c r="J198" s="352" t="str">
        <f t="shared" si="53"/>
        <v>-</v>
      </c>
      <c r="K198" s="194" t="str">
        <f t="shared" si="54"/>
        <v>-</v>
      </c>
      <c r="L198" s="653"/>
      <c r="M198" s="338" t="e">
        <f>RANK(K198, K$182:$K$211)</f>
        <v>#VALUE!</v>
      </c>
      <c r="N198" s="637"/>
      <c r="O198" s="637"/>
      <c r="P198" s="468"/>
      <c r="Q198" s="470"/>
      <c r="R198" s="470"/>
      <c r="S198" s="469"/>
      <c r="T198" s="638"/>
      <c r="U198" s="468"/>
      <c r="V198" s="470"/>
      <c r="W198" s="470"/>
      <c r="X198" s="469"/>
      <c r="Y198" s="638"/>
      <c r="Z198" s="468"/>
      <c r="AA198" s="470"/>
      <c r="AB198" s="470"/>
      <c r="AC198" s="469"/>
      <c r="AD198" s="638"/>
      <c r="AE198" s="468"/>
      <c r="AF198" s="470"/>
      <c r="AG198" s="470"/>
      <c r="AH198" s="469"/>
      <c r="AI198" s="638"/>
      <c r="AJ198" s="468"/>
      <c r="AK198" s="470"/>
      <c r="AL198" s="470"/>
      <c r="AM198" s="469"/>
      <c r="AN198" s="638"/>
      <c r="AO198" s="468"/>
      <c r="AP198" s="470"/>
      <c r="AQ198" s="470"/>
      <c r="AR198" s="469"/>
      <c r="AS198" s="638"/>
      <c r="AT198" s="468"/>
      <c r="AU198" s="470"/>
      <c r="AV198" s="470"/>
      <c r="AW198" s="469"/>
      <c r="AX198" s="638"/>
      <c r="AZ198" s="339" t="e">
        <f t="shared" si="55"/>
        <v>#N/A</v>
      </c>
      <c r="BA198" s="636"/>
    </row>
    <row r="199" spans="2:53">
      <c r="B199" s="672"/>
      <c r="C199" s="337">
        <v>18</v>
      </c>
      <c r="D199" s="476"/>
      <c r="E199" s="196"/>
      <c r="F199" s="196"/>
      <c r="G199" s="475"/>
      <c r="H199" s="651"/>
      <c r="I199" s="352" t="str">
        <f t="shared" si="52"/>
        <v>-</v>
      </c>
      <c r="J199" s="352" t="str">
        <f t="shared" si="53"/>
        <v>-</v>
      </c>
      <c r="K199" s="194" t="str">
        <f t="shared" si="54"/>
        <v>-</v>
      </c>
      <c r="L199" s="653"/>
      <c r="M199" s="338" t="e">
        <f>RANK(K199, K$182:$K$211)</f>
        <v>#VALUE!</v>
      </c>
      <c r="N199" s="637"/>
      <c r="O199" s="637"/>
      <c r="P199" s="468"/>
      <c r="Q199" s="470"/>
      <c r="R199" s="470"/>
      <c r="S199" s="469"/>
      <c r="T199" s="638"/>
      <c r="U199" s="468"/>
      <c r="V199" s="470"/>
      <c r="W199" s="470"/>
      <c r="X199" s="469"/>
      <c r="Y199" s="638"/>
      <c r="Z199" s="468"/>
      <c r="AA199" s="470"/>
      <c r="AB199" s="470"/>
      <c r="AC199" s="469"/>
      <c r="AD199" s="638"/>
      <c r="AE199" s="468"/>
      <c r="AF199" s="470"/>
      <c r="AG199" s="470"/>
      <c r="AH199" s="469"/>
      <c r="AI199" s="638"/>
      <c r="AJ199" s="468"/>
      <c r="AK199" s="470"/>
      <c r="AL199" s="470"/>
      <c r="AM199" s="469"/>
      <c r="AN199" s="638"/>
      <c r="AO199" s="468"/>
      <c r="AP199" s="470"/>
      <c r="AQ199" s="470"/>
      <c r="AR199" s="469"/>
      <c r="AS199" s="638"/>
      <c r="AT199" s="468"/>
      <c r="AU199" s="470"/>
      <c r="AV199" s="470"/>
      <c r="AW199" s="469"/>
      <c r="AX199" s="638"/>
      <c r="AZ199" s="339" t="e">
        <f t="shared" si="55"/>
        <v>#N/A</v>
      </c>
      <c r="BA199" s="636"/>
    </row>
    <row r="200" spans="2:53">
      <c r="B200" s="672"/>
      <c r="C200" s="337">
        <v>19</v>
      </c>
      <c r="D200" s="476"/>
      <c r="E200" s="196"/>
      <c r="F200" s="196"/>
      <c r="G200" s="475"/>
      <c r="H200" s="651"/>
      <c r="I200" s="352" t="str">
        <f t="shared" si="52"/>
        <v>-</v>
      </c>
      <c r="J200" s="352" t="str">
        <f t="shared" si="53"/>
        <v>-</v>
      </c>
      <c r="K200" s="194" t="str">
        <f t="shared" si="54"/>
        <v>-</v>
      </c>
      <c r="L200" s="653"/>
      <c r="M200" s="338" t="e">
        <f>RANK(K200, K$182:$K$211)</f>
        <v>#VALUE!</v>
      </c>
      <c r="N200" s="637"/>
      <c r="O200" s="637"/>
      <c r="P200" s="468"/>
      <c r="Q200" s="470"/>
      <c r="R200" s="470"/>
      <c r="S200" s="469"/>
      <c r="T200" s="638"/>
      <c r="U200" s="468"/>
      <c r="V200" s="470"/>
      <c r="W200" s="470"/>
      <c r="X200" s="469"/>
      <c r="Y200" s="638"/>
      <c r="Z200" s="468"/>
      <c r="AA200" s="470"/>
      <c r="AB200" s="470"/>
      <c r="AC200" s="469"/>
      <c r="AD200" s="638"/>
      <c r="AE200" s="468"/>
      <c r="AF200" s="470"/>
      <c r="AG200" s="470"/>
      <c r="AH200" s="469"/>
      <c r="AI200" s="638"/>
      <c r="AJ200" s="468"/>
      <c r="AK200" s="470"/>
      <c r="AL200" s="470"/>
      <c r="AM200" s="469"/>
      <c r="AN200" s="638"/>
      <c r="AO200" s="468"/>
      <c r="AP200" s="470"/>
      <c r="AQ200" s="470"/>
      <c r="AR200" s="469"/>
      <c r="AS200" s="638"/>
      <c r="AT200" s="468"/>
      <c r="AU200" s="470"/>
      <c r="AV200" s="470"/>
      <c r="AW200" s="469"/>
      <c r="AX200" s="638"/>
      <c r="AZ200" s="339" t="e">
        <f t="shared" si="55"/>
        <v>#N/A</v>
      </c>
      <c r="BA200" s="636"/>
    </row>
    <row r="201" spans="2:53">
      <c r="B201" s="672"/>
      <c r="C201" s="337">
        <v>20</v>
      </c>
      <c r="D201" s="476"/>
      <c r="E201" s="196"/>
      <c r="F201" s="196"/>
      <c r="G201" s="475"/>
      <c r="H201" s="651"/>
      <c r="I201" s="352" t="str">
        <f t="shared" si="52"/>
        <v>-</v>
      </c>
      <c r="J201" s="352" t="str">
        <f t="shared" si="53"/>
        <v>-</v>
      </c>
      <c r="K201" s="194" t="str">
        <f t="shared" si="54"/>
        <v>-</v>
      </c>
      <c r="L201" s="653"/>
      <c r="M201" s="338" t="e">
        <f>RANK(K201, K$182:$K$211)</f>
        <v>#VALUE!</v>
      </c>
      <c r="N201" s="637"/>
      <c r="O201" s="637"/>
      <c r="P201" s="468"/>
      <c r="Q201" s="470"/>
      <c r="R201" s="470"/>
      <c r="S201" s="469"/>
      <c r="T201" s="638"/>
      <c r="U201" s="468"/>
      <c r="V201" s="470"/>
      <c r="W201" s="470"/>
      <c r="X201" s="469"/>
      <c r="Y201" s="638"/>
      <c r="Z201" s="468"/>
      <c r="AA201" s="470"/>
      <c r="AB201" s="470"/>
      <c r="AC201" s="469"/>
      <c r="AD201" s="638"/>
      <c r="AE201" s="468"/>
      <c r="AF201" s="470"/>
      <c r="AG201" s="470"/>
      <c r="AH201" s="469"/>
      <c r="AI201" s="638"/>
      <c r="AJ201" s="468"/>
      <c r="AK201" s="470"/>
      <c r="AL201" s="470"/>
      <c r="AM201" s="469"/>
      <c r="AN201" s="638"/>
      <c r="AO201" s="468"/>
      <c r="AP201" s="470"/>
      <c r="AQ201" s="470"/>
      <c r="AR201" s="469"/>
      <c r="AS201" s="638"/>
      <c r="AT201" s="468"/>
      <c r="AU201" s="470"/>
      <c r="AV201" s="470"/>
      <c r="AW201" s="469"/>
      <c r="AX201" s="638"/>
      <c r="AZ201" s="339" t="e">
        <f t="shared" si="55"/>
        <v>#N/A</v>
      </c>
      <c r="BA201" s="636"/>
    </row>
    <row r="202" spans="2:53">
      <c r="B202" s="672"/>
      <c r="C202" s="337">
        <v>21</v>
      </c>
      <c r="D202" s="476"/>
      <c r="E202" s="196"/>
      <c r="F202" s="196"/>
      <c r="G202" s="475"/>
      <c r="H202" s="651"/>
      <c r="I202" s="352" t="str">
        <f t="shared" si="52"/>
        <v>-</v>
      </c>
      <c r="J202" s="352" t="str">
        <f t="shared" si="53"/>
        <v>-</v>
      </c>
      <c r="K202" s="194" t="str">
        <f t="shared" si="54"/>
        <v>-</v>
      </c>
      <c r="L202" s="653"/>
      <c r="M202" s="338" t="e">
        <f>RANK(K202, K$182:$K$211)</f>
        <v>#VALUE!</v>
      </c>
      <c r="N202" s="637"/>
      <c r="O202" s="637"/>
      <c r="P202" s="468"/>
      <c r="Q202" s="470"/>
      <c r="R202" s="470"/>
      <c r="S202" s="469"/>
      <c r="T202" s="638"/>
      <c r="U202" s="468"/>
      <c r="V202" s="470"/>
      <c r="W202" s="470"/>
      <c r="X202" s="469"/>
      <c r="Y202" s="638"/>
      <c r="Z202" s="468"/>
      <c r="AA202" s="470"/>
      <c r="AB202" s="470"/>
      <c r="AC202" s="469"/>
      <c r="AD202" s="638"/>
      <c r="AE202" s="468"/>
      <c r="AF202" s="470"/>
      <c r="AG202" s="470"/>
      <c r="AH202" s="469"/>
      <c r="AI202" s="638"/>
      <c r="AJ202" s="468"/>
      <c r="AK202" s="470"/>
      <c r="AL202" s="470"/>
      <c r="AM202" s="469"/>
      <c r="AN202" s="638"/>
      <c r="AO202" s="468"/>
      <c r="AP202" s="470"/>
      <c r="AQ202" s="470"/>
      <c r="AR202" s="469"/>
      <c r="AS202" s="638"/>
      <c r="AT202" s="468"/>
      <c r="AU202" s="470"/>
      <c r="AV202" s="470"/>
      <c r="AW202" s="469"/>
      <c r="AX202" s="638"/>
      <c r="AZ202" s="339" t="e">
        <f t="shared" si="55"/>
        <v>#N/A</v>
      </c>
      <c r="BA202" s="636"/>
    </row>
    <row r="203" spans="2:53">
      <c r="B203" s="672"/>
      <c r="C203" s="337">
        <v>22</v>
      </c>
      <c r="D203" s="476"/>
      <c r="E203" s="196"/>
      <c r="F203" s="196"/>
      <c r="G203" s="475"/>
      <c r="H203" s="651"/>
      <c r="I203" s="352" t="str">
        <f t="shared" si="52"/>
        <v>-</v>
      </c>
      <c r="J203" s="352" t="str">
        <f t="shared" si="53"/>
        <v>-</v>
      </c>
      <c r="K203" s="194" t="str">
        <f t="shared" si="54"/>
        <v>-</v>
      </c>
      <c r="L203" s="653"/>
      <c r="M203" s="338" t="e">
        <f>RANK(K203, K$182:$K$211)</f>
        <v>#VALUE!</v>
      </c>
      <c r="N203" s="637"/>
      <c r="O203" s="637"/>
      <c r="P203" s="468"/>
      <c r="Q203" s="470"/>
      <c r="R203" s="470"/>
      <c r="S203" s="469"/>
      <c r="T203" s="638"/>
      <c r="U203" s="468"/>
      <c r="V203" s="470"/>
      <c r="W203" s="470"/>
      <c r="X203" s="469"/>
      <c r="Y203" s="638"/>
      <c r="Z203" s="468"/>
      <c r="AA203" s="470"/>
      <c r="AB203" s="470"/>
      <c r="AC203" s="469"/>
      <c r="AD203" s="638"/>
      <c r="AE203" s="468"/>
      <c r="AF203" s="470"/>
      <c r="AG203" s="470"/>
      <c r="AH203" s="469"/>
      <c r="AI203" s="638"/>
      <c r="AJ203" s="468"/>
      <c r="AK203" s="470"/>
      <c r="AL203" s="470"/>
      <c r="AM203" s="469"/>
      <c r="AN203" s="638"/>
      <c r="AO203" s="468"/>
      <c r="AP203" s="470"/>
      <c r="AQ203" s="470"/>
      <c r="AR203" s="469"/>
      <c r="AS203" s="638"/>
      <c r="AT203" s="468"/>
      <c r="AU203" s="470"/>
      <c r="AV203" s="470"/>
      <c r="AW203" s="469"/>
      <c r="AX203" s="638"/>
      <c r="AZ203" s="339" t="e">
        <f t="shared" si="55"/>
        <v>#N/A</v>
      </c>
      <c r="BA203" s="636"/>
    </row>
    <row r="204" spans="2:53">
      <c r="B204" s="672"/>
      <c r="C204" s="337">
        <v>23</v>
      </c>
      <c r="D204" s="196"/>
      <c r="E204" s="196"/>
      <c r="F204" s="196"/>
      <c r="G204" s="475"/>
      <c r="H204" s="651"/>
      <c r="I204" s="352" t="str">
        <f t="shared" si="52"/>
        <v>-</v>
      </c>
      <c r="J204" s="352" t="str">
        <f t="shared" si="53"/>
        <v>-</v>
      </c>
      <c r="K204" s="194" t="str">
        <f t="shared" si="54"/>
        <v>-</v>
      </c>
      <c r="L204" s="653"/>
      <c r="M204" s="338" t="e">
        <f>RANK(K204, K$182:$K$211)</f>
        <v>#VALUE!</v>
      </c>
      <c r="N204" s="637"/>
      <c r="O204" s="637"/>
      <c r="P204" s="468"/>
      <c r="Q204" s="470"/>
      <c r="R204" s="470"/>
      <c r="S204" s="469"/>
      <c r="T204" s="638"/>
      <c r="U204" s="468"/>
      <c r="V204" s="470"/>
      <c r="W204" s="470"/>
      <c r="X204" s="469"/>
      <c r="Y204" s="638"/>
      <c r="Z204" s="468"/>
      <c r="AA204" s="470"/>
      <c r="AB204" s="470"/>
      <c r="AC204" s="469"/>
      <c r="AD204" s="638"/>
      <c r="AE204" s="468"/>
      <c r="AF204" s="470"/>
      <c r="AG204" s="470"/>
      <c r="AH204" s="469"/>
      <c r="AI204" s="638"/>
      <c r="AJ204" s="468"/>
      <c r="AK204" s="470"/>
      <c r="AL204" s="470"/>
      <c r="AM204" s="469"/>
      <c r="AN204" s="638"/>
      <c r="AO204" s="468"/>
      <c r="AP204" s="470"/>
      <c r="AQ204" s="470"/>
      <c r="AR204" s="469"/>
      <c r="AS204" s="638"/>
      <c r="AT204" s="468"/>
      <c r="AU204" s="470"/>
      <c r="AV204" s="470"/>
      <c r="AW204" s="469"/>
      <c r="AX204" s="638"/>
      <c r="AZ204" s="339" t="e">
        <f t="shared" si="55"/>
        <v>#N/A</v>
      </c>
      <c r="BA204" s="636"/>
    </row>
    <row r="205" spans="2:53">
      <c r="B205" s="672"/>
      <c r="C205" s="337">
        <v>24</v>
      </c>
      <c r="D205" s="476"/>
      <c r="E205" s="196"/>
      <c r="F205" s="196"/>
      <c r="G205" s="475"/>
      <c r="H205" s="651"/>
      <c r="I205" s="352" t="str">
        <f t="shared" si="52"/>
        <v>-</v>
      </c>
      <c r="J205" s="352" t="str">
        <f t="shared" si="53"/>
        <v>-</v>
      </c>
      <c r="K205" s="194" t="str">
        <f t="shared" si="54"/>
        <v>-</v>
      </c>
      <c r="L205" s="653"/>
      <c r="M205" s="338" t="e">
        <f>RANK(K205, K$182:$K$211)</f>
        <v>#VALUE!</v>
      </c>
      <c r="N205" s="637"/>
      <c r="O205" s="637"/>
      <c r="P205" s="468"/>
      <c r="Q205" s="470"/>
      <c r="R205" s="470"/>
      <c r="S205" s="469"/>
      <c r="T205" s="638"/>
      <c r="U205" s="468"/>
      <c r="V205" s="470"/>
      <c r="W205" s="470"/>
      <c r="X205" s="469"/>
      <c r="Y205" s="638"/>
      <c r="Z205" s="468"/>
      <c r="AA205" s="470"/>
      <c r="AB205" s="470"/>
      <c r="AC205" s="469"/>
      <c r="AD205" s="638"/>
      <c r="AE205" s="468"/>
      <c r="AF205" s="470"/>
      <c r="AG205" s="470"/>
      <c r="AH205" s="469"/>
      <c r="AI205" s="638"/>
      <c r="AJ205" s="468"/>
      <c r="AK205" s="470"/>
      <c r="AL205" s="470"/>
      <c r="AM205" s="469"/>
      <c r="AN205" s="638"/>
      <c r="AO205" s="468"/>
      <c r="AP205" s="470"/>
      <c r="AQ205" s="470"/>
      <c r="AR205" s="469"/>
      <c r="AS205" s="638"/>
      <c r="AT205" s="468"/>
      <c r="AU205" s="470"/>
      <c r="AV205" s="470"/>
      <c r="AW205" s="469"/>
      <c r="AX205" s="638"/>
      <c r="AZ205" s="339" t="e">
        <f t="shared" si="55"/>
        <v>#N/A</v>
      </c>
      <c r="BA205" s="636"/>
    </row>
    <row r="206" spans="2:53">
      <c r="B206" s="672"/>
      <c r="C206" s="337">
        <v>25</v>
      </c>
      <c r="D206" s="196"/>
      <c r="E206" s="196"/>
      <c r="F206" s="196"/>
      <c r="G206" s="475"/>
      <c r="H206" s="651"/>
      <c r="I206" s="352" t="str">
        <f t="shared" si="52"/>
        <v>-</v>
      </c>
      <c r="J206" s="352" t="str">
        <f t="shared" si="53"/>
        <v>-</v>
      </c>
      <c r="K206" s="194" t="str">
        <f t="shared" si="54"/>
        <v>-</v>
      </c>
      <c r="L206" s="653"/>
      <c r="M206" s="338" t="e">
        <f>RANK(K206, K$182:$K$211)</f>
        <v>#VALUE!</v>
      </c>
      <c r="N206" s="637"/>
      <c r="O206" s="637"/>
      <c r="P206" s="468"/>
      <c r="Q206" s="470"/>
      <c r="R206" s="470"/>
      <c r="S206" s="469"/>
      <c r="T206" s="638"/>
      <c r="U206" s="468"/>
      <c r="V206" s="470"/>
      <c r="W206" s="470"/>
      <c r="X206" s="469"/>
      <c r="Y206" s="638"/>
      <c r="Z206" s="468"/>
      <c r="AA206" s="470"/>
      <c r="AB206" s="470"/>
      <c r="AC206" s="469"/>
      <c r="AD206" s="638"/>
      <c r="AE206" s="468"/>
      <c r="AF206" s="470"/>
      <c r="AG206" s="470"/>
      <c r="AH206" s="469"/>
      <c r="AI206" s="638"/>
      <c r="AJ206" s="468"/>
      <c r="AK206" s="470"/>
      <c r="AL206" s="470"/>
      <c r="AM206" s="469"/>
      <c r="AN206" s="638"/>
      <c r="AO206" s="468"/>
      <c r="AP206" s="470"/>
      <c r="AQ206" s="470"/>
      <c r="AR206" s="469"/>
      <c r="AS206" s="638"/>
      <c r="AT206" s="468"/>
      <c r="AU206" s="470"/>
      <c r="AV206" s="470"/>
      <c r="AW206" s="469"/>
      <c r="AX206" s="638"/>
      <c r="AZ206" s="339" t="e">
        <f t="shared" si="55"/>
        <v>#N/A</v>
      </c>
      <c r="BA206" s="636"/>
    </row>
    <row r="207" spans="2:53">
      <c r="B207" s="672"/>
      <c r="C207" s="337">
        <v>26</v>
      </c>
      <c r="D207" s="196"/>
      <c r="E207" s="196"/>
      <c r="F207" s="196"/>
      <c r="G207" s="475"/>
      <c r="H207" s="651"/>
      <c r="I207" s="352" t="str">
        <f t="shared" si="52"/>
        <v>-</v>
      </c>
      <c r="J207" s="352" t="str">
        <f t="shared" si="53"/>
        <v>-</v>
      </c>
      <c r="K207" s="194" t="str">
        <f t="shared" si="54"/>
        <v>-</v>
      </c>
      <c r="L207" s="653"/>
      <c r="M207" s="338" t="e">
        <f>RANK(K207, K$182:$K$211)</f>
        <v>#VALUE!</v>
      </c>
      <c r="N207" s="637"/>
      <c r="O207" s="637"/>
      <c r="P207" s="468"/>
      <c r="Q207" s="470"/>
      <c r="R207" s="470"/>
      <c r="S207" s="469"/>
      <c r="T207" s="638"/>
      <c r="U207" s="468"/>
      <c r="V207" s="470"/>
      <c r="W207" s="470"/>
      <c r="X207" s="469"/>
      <c r="Y207" s="638"/>
      <c r="Z207" s="468"/>
      <c r="AA207" s="470"/>
      <c r="AB207" s="470"/>
      <c r="AC207" s="469"/>
      <c r="AD207" s="638"/>
      <c r="AE207" s="468"/>
      <c r="AF207" s="470"/>
      <c r="AG207" s="470"/>
      <c r="AH207" s="469"/>
      <c r="AI207" s="638"/>
      <c r="AJ207" s="468"/>
      <c r="AK207" s="470"/>
      <c r="AL207" s="470"/>
      <c r="AM207" s="469"/>
      <c r="AN207" s="638"/>
      <c r="AO207" s="468"/>
      <c r="AP207" s="470"/>
      <c r="AQ207" s="470"/>
      <c r="AR207" s="469"/>
      <c r="AS207" s="638"/>
      <c r="AT207" s="468"/>
      <c r="AU207" s="470"/>
      <c r="AV207" s="470"/>
      <c r="AW207" s="469"/>
      <c r="AX207" s="638"/>
      <c r="AZ207" s="339" t="e">
        <f t="shared" si="55"/>
        <v>#N/A</v>
      </c>
      <c r="BA207" s="636"/>
    </row>
    <row r="208" spans="2:53">
      <c r="B208" s="672"/>
      <c r="C208" s="337">
        <v>27</v>
      </c>
      <c r="D208" s="196"/>
      <c r="E208" s="196"/>
      <c r="F208" s="196"/>
      <c r="G208" s="475"/>
      <c r="H208" s="651"/>
      <c r="I208" s="352" t="str">
        <f t="shared" si="52"/>
        <v>-</v>
      </c>
      <c r="J208" s="352" t="str">
        <f t="shared" si="53"/>
        <v>-</v>
      </c>
      <c r="K208" s="194" t="str">
        <f t="shared" si="54"/>
        <v>-</v>
      </c>
      <c r="L208" s="653"/>
      <c r="M208" s="338" t="e">
        <f>RANK(K208, K$182:$K$211)</f>
        <v>#VALUE!</v>
      </c>
      <c r="N208" s="637"/>
      <c r="O208" s="637"/>
      <c r="P208" s="468"/>
      <c r="Q208" s="470"/>
      <c r="R208" s="470"/>
      <c r="S208" s="469"/>
      <c r="T208" s="638"/>
      <c r="U208" s="468"/>
      <c r="V208" s="470"/>
      <c r="W208" s="470"/>
      <c r="X208" s="469"/>
      <c r="Y208" s="638"/>
      <c r="Z208" s="468"/>
      <c r="AA208" s="470"/>
      <c r="AB208" s="470"/>
      <c r="AC208" s="469"/>
      <c r="AD208" s="638"/>
      <c r="AE208" s="468"/>
      <c r="AF208" s="470"/>
      <c r="AG208" s="470"/>
      <c r="AH208" s="469"/>
      <c r="AI208" s="638"/>
      <c r="AJ208" s="468"/>
      <c r="AK208" s="470"/>
      <c r="AL208" s="470"/>
      <c r="AM208" s="469"/>
      <c r="AN208" s="638"/>
      <c r="AO208" s="468"/>
      <c r="AP208" s="470"/>
      <c r="AQ208" s="470"/>
      <c r="AR208" s="469"/>
      <c r="AS208" s="638"/>
      <c r="AT208" s="468"/>
      <c r="AU208" s="470"/>
      <c r="AV208" s="470"/>
      <c r="AW208" s="469"/>
      <c r="AX208" s="638"/>
      <c r="AZ208" s="339" t="e">
        <f t="shared" si="55"/>
        <v>#N/A</v>
      </c>
      <c r="BA208" s="636"/>
    </row>
    <row r="209" spans="2:53">
      <c r="B209" s="672"/>
      <c r="C209" s="337">
        <v>28</v>
      </c>
      <c r="D209" s="196"/>
      <c r="E209" s="196"/>
      <c r="F209" s="196"/>
      <c r="G209" s="196"/>
      <c r="H209" s="651"/>
      <c r="I209" s="352" t="str">
        <f t="shared" si="52"/>
        <v>-</v>
      </c>
      <c r="J209" s="352" t="str">
        <f t="shared" si="53"/>
        <v>-</v>
      </c>
      <c r="K209" s="194" t="str">
        <f t="shared" si="54"/>
        <v>-</v>
      </c>
      <c r="L209" s="653"/>
      <c r="M209" s="338" t="e">
        <f>RANK(K209, K$182:$K$211)</f>
        <v>#VALUE!</v>
      </c>
      <c r="N209" s="637"/>
      <c r="O209" s="637"/>
      <c r="P209" s="468"/>
      <c r="Q209" s="470"/>
      <c r="R209" s="470"/>
      <c r="S209" s="469"/>
      <c r="T209" s="638"/>
      <c r="U209" s="468"/>
      <c r="V209" s="470"/>
      <c r="W209" s="470"/>
      <c r="X209" s="469"/>
      <c r="Y209" s="638"/>
      <c r="Z209" s="468"/>
      <c r="AA209" s="470"/>
      <c r="AB209" s="470"/>
      <c r="AC209" s="469"/>
      <c r="AD209" s="638"/>
      <c r="AE209" s="468"/>
      <c r="AF209" s="470"/>
      <c r="AG209" s="470"/>
      <c r="AH209" s="469"/>
      <c r="AI209" s="638"/>
      <c r="AJ209" s="468"/>
      <c r="AK209" s="470"/>
      <c r="AL209" s="470"/>
      <c r="AM209" s="469"/>
      <c r="AN209" s="638"/>
      <c r="AO209" s="468"/>
      <c r="AP209" s="470"/>
      <c r="AQ209" s="470"/>
      <c r="AR209" s="469"/>
      <c r="AS209" s="638"/>
      <c r="AT209" s="468"/>
      <c r="AU209" s="470"/>
      <c r="AV209" s="470"/>
      <c r="AW209" s="469"/>
      <c r="AX209" s="638"/>
      <c r="AZ209" s="339" t="e">
        <f t="shared" si="55"/>
        <v>#N/A</v>
      </c>
      <c r="BA209" s="636"/>
    </row>
    <row r="210" spans="2:53">
      <c r="B210" s="672"/>
      <c r="C210" s="337">
        <v>29</v>
      </c>
      <c r="D210" s="196"/>
      <c r="E210" s="196"/>
      <c r="F210" s="196"/>
      <c r="G210" s="196"/>
      <c r="H210" s="651"/>
      <c r="I210" s="352" t="str">
        <f t="shared" si="52"/>
        <v>-</v>
      </c>
      <c r="J210" s="352" t="str">
        <f t="shared" si="53"/>
        <v>-</v>
      </c>
      <c r="K210" s="194" t="str">
        <f t="shared" si="54"/>
        <v>-</v>
      </c>
      <c r="L210" s="653"/>
      <c r="M210" s="338" t="e">
        <f>RANK(K210, K$182:$K$211)</f>
        <v>#VALUE!</v>
      </c>
      <c r="N210" s="637"/>
      <c r="O210" s="637"/>
      <c r="P210" s="468"/>
      <c r="Q210" s="470"/>
      <c r="R210" s="470"/>
      <c r="S210" s="469"/>
      <c r="T210" s="638"/>
      <c r="U210" s="468"/>
      <c r="V210" s="470"/>
      <c r="W210" s="470"/>
      <c r="X210" s="469"/>
      <c r="Y210" s="638"/>
      <c r="Z210" s="468"/>
      <c r="AA210" s="470"/>
      <c r="AB210" s="470"/>
      <c r="AC210" s="469"/>
      <c r="AD210" s="638"/>
      <c r="AE210" s="468"/>
      <c r="AF210" s="470"/>
      <c r="AG210" s="470"/>
      <c r="AH210" s="469"/>
      <c r="AI210" s="638"/>
      <c r="AJ210" s="468"/>
      <c r="AK210" s="470"/>
      <c r="AL210" s="470"/>
      <c r="AM210" s="469"/>
      <c r="AN210" s="638"/>
      <c r="AO210" s="468"/>
      <c r="AP210" s="470"/>
      <c r="AQ210" s="470"/>
      <c r="AR210" s="469"/>
      <c r="AS210" s="638"/>
      <c r="AT210" s="468"/>
      <c r="AU210" s="470"/>
      <c r="AV210" s="470"/>
      <c r="AW210" s="469"/>
      <c r="AX210" s="638"/>
      <c r="AZ210" s="339" t="e">
        <f t="shared" si="55"/>
        <v>#N/A</v>
      </c>
      <c r="BA210" s="636"/>
    </row>
    <row r="211" spans="2:53">
      <c r="B211" s="672"/>
      <c r="C211" s="337">
        <v>30</v>
      </c>
      <c r="D211" s="196"/>
      <c r="E211" s="196"/>
      <c r="F211" s="196"/>
      <c r="G211" s="196"/>
      <c r="H211" s="651"/>
      <c r="I211" s="352" t="str">
        <f t="shared" si="52"/>
        <v>-</v>
      </c>
      <c r="J211" s="352" t="str">
        <f t="shared" si="53"/>
        <v>-</v>
      </c>
      <c r="K211" s="194" t="str">
        <f t="shared" si="54"/>
        <v>-</v>
      </c>
      <c r="L211" s="654"/>
      <c r="M211" s="338" t="e">
        <f>RANK(K211, K$182:$K$211)</f>
        <v>#VALUE!</v>
      </c>
      <c r="N211" s="637"/>
      <c r="O211" s="637"/>
      <c r="P211" s="468"/>
      <c r="Q211" s="470"/>
      <c r="R211" s="470"/>
      <c r="S211" s="469"/>
      <c r="T211" s="638"/>
      <c r="U211" s="468"/>
      <c r="V211" s="470"/>
      <c r="W211" s="470"/>
      <c r="X211" s="469"/>
      <c r="Y211" s="638"/>
      <c r="Z211" s="468"/>
      <c r="AA211" s="470"/>
      <c r="AB211" s="470"/>
      <c r="AC211" s="469"/>
      <c r="AD211" s="638"/>
      <c r="AE211" s="468"/>
      <c r="AF211" s="470"/>
      <c r="AG211" s="470"/>
      <c r="AH211" s="469"/>
      <c r="AI211" s="638"/>
      <c r="AJ211" s="468"/>
      <c r="AK211" s="470"/>
      <c r="AL211" s="470"/>
      <c r="AM211" s="469"/>
      <c r="AN211" s="638"/>
      <c r="AO211" s="468"/>
      <c r="AP211" s="470"/>
      <c r="AQ211" s="470"/>
      <c r="AR211" s="469"/>
      <c r="AS211" s="638"/>
      <c r="AT211" s="468"/>
      <c r="AU211" s="470"/>
      <c r="AV211" s="470"/>
      <c r="AW211" s="469"/>
      <c r="AX211" s="638"/>
      <c r="AZ211" s="339" t="e">
        <f t="shared" si="55"/>
        <v>#N/A</v>
      </c>
      <c r="BA211" s="636"/>
    </row>
    <row r="213" spans="2:53" ht="15.75">
      <c r="B213" s="645" t="s">
        <v>463</v>
      </c>
      <c r="C213" s="646"/>
      <c r="D213" s="646"/>
      <c r="E213" s="646"/>
      <c r="F213" s="646"/>
      <c r="G213" s="646"/>
      <c r="H213" s="647"/>
      <c r="I213" s="299"/>
      <c r="J213" s="299"/>
      <c r="K213" s="299"/>
      <c r="L213" s="299"/>
      <c r="M213" s="300"/>
    </row>
    <row r="214" spans="2:53" ht="15.75">
      <c r="B214" s="648"/>
      <c r="C214" s="648"/>
      <c r="D214" s="648"/>
      <c r="E214" s="648"/>
      <c r="F214" s="648"/>
      <c r="G214" s="648"/>
      <c r="H214" s="648"/>
      <c r="I214" s="301"/>
      <c r="J214" s="301"/>
      <c r="K214" s="301"/>
      <c r="L214" s="301"/>
      <c r="M214" s="302"/>
    </row>
    <row r="215" spans="2:53">
      <c r="B215" s="637" t="s">
        <v>464</v>
      </c>
      <c r="C215" s="637" t="s">
        <v>465</v>
      </c>
      <c r="D215" s="637"/>
      <c r="E215" s="637" t="s">
        <v>466</v>
      </c>
      <c r="F215" s="637"/>
      <c r="G215" s="637"/>
      <c r="H215" s="637" t="s">
        <v>467</v>
      </c>
      <c r="I215" s="649" t="s">
        <v>468</v>
      </c>
      <c r="J215" s="649"/>
      <c r="K215" s="649"/>
      <c r="L215" s="649" t="s">
        <v>467</v>
      </c>
      <c r="M215" s="649" t="s">
        <v>469</v>
      </c>
    </row>
    <row r="216" spans="2:53">
      <c r="B216" s="637"/>
      <c r="C216" s="637"/>
      <c r="D216" s="637"/>
      <c r="E216" s="637" t="s">
        <v>470</v>
      </c>
      <c r="F216" s="637"/>
      <c r="G216" s="637"/>
      <c r="H216" s="637"/>
      <c r="I216" s="649" t="s">
        <v>470</v>
      </c>
      <c r="J216" s="649"/>
      <c r="K216" s="649"/>
      <c r="L216" s="649"/>
      <c r="M216" s="649"/>
    </row>
    <row r="217" spans="2:53">
      <c r="B217" s="637"/>
      <c r="C217" s="637"/>
      <c r="D217" s="637"/>
      <c r="E217" s="296" t="s">
        <v>471</v>
      </c>
      <c r="F217" s="296" t="s">
        <v>472</v>
      </c>
      <c r="G217" s="296" t="s">
        <v>473</v>
      </c>
      <c r="H217" s="637"/>
      <c r="I217" s="303" t="s">
        <v>471</v>
      </c>
      <c r="J217" s="303" t="s">
        <v>472</v>
      </c>
      <c r="K217" s="303" t="s">
        <v>473</v>
      </c>
      <c r="L217" s="649"/>
      <c r="M217" s="649"/>
    </row>
    <row r="218" spans="2:53">
      <c r="B218" s="642" t="s">
        <v>474</v>
      </c>
      <c r="C218" s="295">
        <v>1</v>
      </c>
      <c r="D218" s="295"/>
      <c r="E218" s="295"/>
      <c r="F218" s="295"/>
      <c r="G218" s="295"/>
      <c r="H218" s="638" t="e">
        <f>AVERAGE(G218:G247)</f>
        <v>#DIV/0!</v>
      </c>
      <c r="I218" s="193" t="e">
        <f t="shared" ref="I218:K240" si="56">AVERAGEIF($D$7:$D$211,$D218,I$7:I$211)</f>
        <v>#DIV/0!</v>
      </c>
      <c r="J218" s="193" t="e">
        <f t="shared" si="56"/>
        <v>#DIV/0!</v>
      </c>
      <c r="K218" s="193" t="e">
        <f>AVERAGEIF($D$7:$D$211,$D218,K$7:K$211)</f>
        <v>#DIV/0!</v>
      </c>
      <c r="L218" s="644" t="e">
        <f>AVERAGE(K218:K247)</f>
        <v>#DIV/0!</v>
      </c>
      <c r="M218" s="193" t="e">
        <f>RANK(K218, K$218:$K$247)</f>
        <v>#DIV/0!</v>
      </c>
    </row>
    <row r="219" spans="2:53">
      <c r="B219" s="643"/>
      <c r="C219" s="295">
        <v>2</v>
      </c>
      <c r="D219" s="295"/>
      <c r="E219" s="295"/>
      <c r="F219" s="295"/>
      <c r="G219" s="349"/>
      <c r="H219" s="638"/>
      <c r="I219" s="193" t="e">
        <f t="shared" si="56"/>
        <v>#DIV/0!</v>
      </c>
      <c r="J219" s="193" t="e">
        <f t="shared" si="56"/>
        <v>#DIV/0!</v>
      </c>
      <c r="K219" s="193" t="e">
        <f t="shared" si="56"/>
        <v>#DIV/0!</v>
      </c>
      <c r="L219" s="644"/>
      <c r="M219" s="193" t="e">
        <f>RANK(K219, K$218:$K$247)</f>
        <v>#DIV/0!</v>
      </c>
    </row>
    <row r="220" spans="2:53">
      <c r="B220" s="643"/>
      <c r="C220" s="295">
        <v>3</v>
      </c>
      <c r="D220" s="295"/>
      <c r="E220" s="295"/>
      <c r="F220" s="349"/>
      <c r="G220" s="295"/>
      <c r="H220" s="638"/>
      <c r="I220" s="193" t="e">
        <f t="shared" si="56"/>
        <v>#DIV/0!</v>
      </c>
      <c r="J220" s="193" t="e">
        <f t="shared" si="56"/>
        <v>#DIV/0!</v>
      </c>
      <c r="K220" s="193" t="e">
        <f t="shared" si="56"/>
        <v>#DIV/0!</v>
      </c>
      <c r="L220" s="644"/>
      <c r="M220" s="193" t="e">
        <f>RANK(K220, K$218:$K$247)</f>
        <v>#DIV/0!</v>
      </c>
    </row>
    <row r="221" spans="2:53">
      <c r="B221" s="643"/>
      <c r="C221" s="295">
        <v>4</v>
      </c>
      <c r="D221" s="295"/>
      <c r="E221" s="295"/>
      <c r="F221" s="349"/>
      <c r="G221" s="349"/>
      <c r="H221" s="638"/>
      <c r="I221" s="193" t="e">
        <f t="shared" si="56"/>
        <v>#DIV/0!</v>
      </c>
      <c r="J221" s="193" t="e">
        <f t="shared" si="56"/>
        <v>#DIV/0!</v>
      </c>
      <c r="K221" s="193" t="e">
        <f t="shared" si="56"/>
        <v>#DIV/0!</v>
      </c>
      <c r="L221" s="644"/>
      <c r="M221" s="193" t="e">
        <f>RANK(K221, K$218:$K$247)</f>
        <v>#DIV/0!</v>
      </c>
    </row>
    <row r="222" spans="2:53">
      <c r="B222" s="643"/>
      <c r="C222" s="295">
        <v>5</v>
      </c>
      <c r="D222" s="295"/>
      <c r="E222" s="295"/>
      <c r="F222" s="349"/>
      <c r="G222" s="349"/>
      <c r="H222" s="638"/>
      <c r="I222" s="193" t="e">
        <f t="shared" si="56"/>
        <v>#DIV/0!</v>
      </c>
      <c r="J222" s="193" t="e">
        <f t="shared" si="56"/>
        <v>#DIV/0!</v>
      </c>
      <c r="K222" s="193" t="e">
        <f t="shared" si="56"/>
        <v>#DIV/0!</v>
      </c>
      <c r="L222" s="644"/>
      <c r="M222" s="193" t="e">
        <f>RANK(K222, K$218:$K$247)</f>
        <v>#DIV/0!</v>
      </c>
    </row>
    <row r="223" spans="2:53">
      <c r="B223" s="643"/>
      <c r="C223" s="295">
        <v>6</v>
      </c>
      <c r="D223" s="295"/>
      <c r="E223" s="295"/>
      <c r="F223" s="349"/>
      <c r="G223" s="349"/>
      <c r="H223" s="638"/>
      <c r="I223" s="193" t="e">
        <f t="shared" si="56"/>
        <v>#DIV/0!</v>
      </c>
      <c r="J223" s="193" t="e">
        <f t="shared" si="56"/>
        <v>#DIV/0!</v>
      </c>
      <c r="K223" s="193" t="e">
        <f t="shared" si="56"/>
        <v>#DIV/0!</v>
      </c>
      <c r="L223" s="644"/>
      <c r="M223" s="193" t="e">
        <f>RANK(K223, K$218:$K$247)</f>
        <v>#DIV/0!</v>
      </c>
    </row>
    <row r="224" spans="2:53">
      <c r="B224" s="643"/>
      <c r="C224" s="295">
        <v>7</v>
      </c>
      <c r="D224" s="348"/>
      <c r="E224" s="295"/>
      <c r="F224" s="349"/>
      <c r="G224" s="349"/>
      <c r="H224" s="638"/>
      <c r="I224" s="193" t="e">
        <f t="shared" si="56"/>
        <v>#DIV/0!</v>
      </c>
      <c r="J224" s="193" t="e">
        <f t="shared" si="56"/>
        <v>#DIV/0!</v>
      </c>
      <c r="K224" s="193" t="e">
        <f t="shared" si="56"/>
        <v>#DIV/0!</v>
      </c>
      <c r="L224" s="644"/>
      <c r="M224" s="193" t="e">
        <f>RANK(K224, K$218:$K$247)</f>
        <v>#DIV/0!</v>
      </c>
    </row>
    <row r="225" spans="2:39">
      <c r="B225" s="643"/>
      <c r="C225" s="295">
        <v>8</v>
      </c>
      <c r="D225" s="348"/>
      <c r="E225" s="295"/>
      <c r="F225" s="349"/>
      <c r="G225" s="349"/>
      <c r="H225" s="638"/>
      <c r="I225" s="193" t="e">
        <f t="shared" si="56"/>
        <v>#DIV/0!</v>
      </c>
      <c r="J225" s="193" t="e">
        <f t="shared" si="56"/>
        <v>#DIV/0!</v>
      </c>
      <c r="K225" s="193" t="e">
        <f t="shared" si="56"/>
        <v>#DIV/0!</v>
      </c>
      <c r="L225" s="644"/>
      <c r="M225" s="193" t="e">
        <f>RANK(K225, K$218:$K$247)</f>
        <v>#DIV/0!</v>
      </c>
      <c r="N225" s="107"/>
      <c r="O225" s="107"/>
      <c r="P225" s="107"/>
      <c r="Q225" s="107"/>
      <c r="R225" s="107"/>
      <c r="S225" s="107"/>
      <c r="T225" s="107"/>
      <c r="X225" s="107"/>
      <c r="AC225" s="107"/>
      <c r="AH225" s="107"/>
      <c r="AM225" s="107"/>
    </row>
    <row r="226" spans="2:39">
      <c r="B226" s="643"/>
      <c r="C226" s="295">
        <v>9</v>
      </c>
      <c r="D226" s="295"/>
      <c r="E226" s="295"/>
      <c r="F226" s="295"/>
      <c r="G226" s="295"/>
      <c r="H226" s="638"/>
      <c r="I226" s="193" t="e">
        <f t="shared" si="56"/>
        <v>#DIV/0!</v>
      </c>
      <c r="J226" s="193" t="e">
        <f t="shared" si="56"/>
        <v>#DIV/0!</v>
      </c>
      <c r="K226" s="193" t="e">
        <f t="shared" si="56"/>
        <v>#DIV/0!</v>
      </c>
      <c r="L226" s="644"/>
      <c r="M226" s="193" t="e">
        <f>RANK(K226, K$218:$K$247)</f>
        <v>#DIV/0!</v>
      </c>
      <c r="N226" s="107"/>
      <c r="O226" s="107"/>
      <c r="P226" s="107"/>
      <c r="Q226" s="107"/>
      <c r="R226" s="107"/>
      <c r="S226" s="107"/>
      <c r="T226" s="107"/>
      <c r="X226" s="107"/>
      <c r="AC226" s="107"/>
      <c r="AH226" s="107"/>
      <c r="AM226" s="107"/>
    </row>
    <row r="227" spans="2:39">
      <c r="B227" s="643"/>
      <c r="C227" s="295">
        <v>10</v>
      </c>
      <c r="D227" s="295"/>
      <c r="E227" s="295"/>
      <c r="F227" s="295"/>
      <c r="G227" s="295"/>
      <c r="H227" s="638"/>
      <c r="I227" s="193" t="e">
        <f t="shared" si="56"/>
        <v>#DIV/0!</v>
      </c>
      <c r="J227" s="193" t="e">
        <f t="shared" si="56"/>
        <v>#DIV/0!</v>
      </c>
      <c r="K227" s="193" t="e">
        <f t="shared" si="56"/>
        <v>#DIV/0!</v>
      </c>
      <c r="L227" s="644"/>
      <c r="M227" s="193" t="e">
        <f>RANK(K227, K$218:$K$247)</f>
        <v>#DIV/0!</v>
      </c>
      <c r="N227" s="107"/>
      <c r="O227" s="107"/>
      <c r="P227" s="107"/>
      <c r="Q227" s="107"/>
      <c r="R227" s="107"/>
      <c r="S227" s="107"/>
      <c r="T227" s="107"/>
      <c r="X227" s="107"/>
      <c r="AC227" s="107"/>
      <c r="AH227" s="107"/>
      <c r="AM227" s="107"/>
    </row>
    <row r="228" spans="2:39">
      <c r="B228" s="643"/>
      <c r="C228" s="295">
        <v>11</v>
      </c>
      <c r="D228" s="295"/>
      <c r="E228" s="295"/>
      <c r="F228" s="295"/>
      <c r="G228" s="295"/>
      <c r="H228" s="638"/>
      <c r="I228" s="193" t="e">
        <f t="shared" si="56"/>
        <v>#DIV/0!</v>
      </c>
      <c r="J228" s="193" t="e">
        <f t="shared" si="56"/>
        <v>#DIV/0!</v>
      </c>
      <c r="K228" s="193" t="e">
        <f t="shared" si="56"/>
        <v>#DIV/0!</v>
      </c>
      <c r="L228" s="644"/>
      <c r="M228" s="193" t="e">
        <f>RANK(K228, K$218:$K$247)</f>
        <v>#DIV/0!</v>
      </c>
      <c r="N228" s="107"/>
      <c r="O228" s="107"/>
      <c r="P228" s="107"/>
      <c r="Q228" s="107"/>
      <c r="R228" s="107"/>
      <c r="S228" s="107"/>
      <c r="T228" s="107"/>
      <c r="X228" s="107"/>
      <c r="AC228" s="107"/>
      <c r="AH228" s="107"/>
      <c r="AM228" s="107"/>
    </row>
    <row r="229" spans="2:39">
      <c r="B229" s="643"/>
      <c r="C229" s="295">
        <v>12</v>
      </c>
      <c r="D229" s="295"/>
      <c r="E229" s="295"/>
      <c r="F229" s="295"/>
      <c r="G229" s="295"/>
      <c r="H229" s="638"/>
      <c r="I229" s="193" t="e">
        <f t="shared" si="56"/>
        <v>#DIV/0!</v>
      </c>
      <c r="J229" s="193" t="e">
        <f t="shared" si="56"/>
        <v>#DIV/0!</v>
      </c>
      <c r="K229" s="193" t="e">
        <f t="shared" si="56"/>
        <v>#DIV/0!</v>
      </c>
      <c r="L229" s="644"/>
      <c r="M229" s="193" t="e">
        <f>RANK(K229, K$218:$K$247)</f>
        <v>#DIV/0!</v>
      </c>
      <c r="N229" s="107"/>
      <c r="O229" s="107"/>
      <c r="P229" s="107"/>
      <c r="Q229" s="107"/>
      <c r="R229" s="107"/>
      <c r="S229" s="107"/>
      <c r="T229" s="107"/>
      <c r="X229" s="107"/>
      <c r="AC229" s="107"/>
      <c r="AH229" s="107"/>
      <c r="AM229" s="107"/>
    </row>
    <row r="230" spans="2:39">
      <c r="B230" s="643"/>
      <c r="C230" s="295">
        <v>13</v>
      </c>
      <c r="D230" s="295"/>
      <c r="E230" s="295"/>
      <c r="F230" s="295"/>
      <c r="G230" s="295"/>
      <c r="H230" s="638"/>
      <c r="I230" s="193" t="e">
        <f t="shared" si="56"/>
        <v>#DIV/0!</v>
      </c>
      <c r="J230" s="193" t="e">
        <f t="shared" si="56"/>
        <v>#DIV/0!</v>
      </c>
      <c r="K230" s="193" t="e">
        <f t="shared" si="56"/>
        <v>#DIV/0!</v>
      </c>
      <c r="L230" s="644"/>
      <c r="M230" s="193" t="e">
        <f>RANK(K230, K$218:$K$247)</f>
        <v>#DIV/0!</v>
      </c>
      <c r="N230" s="107"/>
      <c r="O230" s="107"/>
      <c r="P230" s="107"/>
      <c r="Q230" s="107"/>
      <c r="R230" s="107"/>
      <c r="S230" s="107"/>
      <c r="T230" s="107"/>
      <c r="X230" s="107"/>
      <c r="AC230" s="107"/>
      <c r="AH230" s="107"/>
      <c r="AM230" s="107"/>
    </row>
    <row r="231" spans="2:39">
      <c r="B231" s="643"/>
      <c r="C231" s="295">
        <v>14</v>
      </c>
      <c r="D231" s="295"/>
      <c r="E231" s="295"/>
      <c r="F231" s="295"/>
      <c r="G231" s="295"/>
      <c r="H231" s="638"/>
      <c r="I231" s="193" t="e">
        <f t="shared" si="56"/>
        <v>#DIV/0!</v>
      </c>
      <c r="J231" s="193" t="e">
        <f t="shared" si="56"/>
        <v>#DIV/0!</v>
      </c>
      <c r="K231" s="193" t="e">
        <f t="shared" si="56"/>
        <v>#DIV/0!</v>
      </c>
      <c r="L231" s="644"/>
      <c r="M231" s="193" t="e">
        <f>RANK(K231, K$218:$K$247)</f>
        <v>#DIV/0!</v>
      </c>
      <c r="N231" s="107"/>
      <c r="O231" s="107"/>
      <c r="P231" s="107"/>
      <c r="Q231" s="107"/>
      <c r="R231" s="107"/>
      <c r="S231" s="107"/>
      <c r="T231" s="107"/>
      <c r="X231" s="107"/>
      <c r="AC231" s="107"/>
      <c r="AH231" s="107"/>
      <c r="AM231" s="107"/>
    </row>
    <row r="232" spans="2:39">
      <c r="B232" s="643"/>
      <c r="C232" s="295">
        <v>15</v>
      </c>
      <c r="D232" s="295"/>
      <c r="E232" s="295"/>
      <c r="F232" s="295"/>
      <c r="G232" s="295"/>
      <c r="H232" s="638"/>
      <c r="I232" s="193" t="e">
        <f t="shared" si="56"/>
        <v>#DIV/0!</v>
      </c>
      <c r="J232" s="193" t="e">
        <f t="shared" si="56"/>
        <v>#DIV/0!</v>
      </c>
      <c r="K232" s="193" t="e">
        <f t="shared" si="56"/>
        <v>#DIV/0!</v>
      </c>
      <c r="L232" s="644"/>
      <c r="M232" s="193" t="e">
        <f>RANK(K232, K$218:$K$247)</f>
        <v>#DIV/0!</v>
      </c>
      <c r="N232" s="107"/>
      <c r="O232" s="107"/>
      <c r="P232" s="107"/>
      <c r="Q232" s="107"/>
      <c r="R232" s="107"/>
      <c r="S232" s="107"/>
      <c r="T232" s="107"/>
      <c r="X232" s="107"/>
      <c r="AC232" s="107"/>
      <c r="AH232" s="107"/>
      <c r="AM232" s="107"/>
    </row>
    <row r="233" spans="2:39">
      <c r="B233" s="643"/>
      <c r="C233" s="295">
        <v>16</v>
      </c>
      <c r="D233" s="295"/>
      <c r="E233" s="295"/>
      <c r="F233" s="295"/>
      <c r="G233" s="295"/>
      <c r="H233" s="638"/>
      <c r="I233" s="193" t="e">
        <f t="shared" si="56"/>
        <v>#DIV/0!</v>
      </c>
      <c r="J233" s="193" t="e">
        <f t="shared" si="56"/>
        <v>#DIV/0!</v>
      </c>
      <c r="K233" s="193" t="e">
        <f t="shared" si="56"/>
        <v>#DIV/0!</v>
      </c>
      <c r="L233" s="644"/>
      <c r="M233" s="193" t="e">
        <f>RANK(K233, K$218:$K$247)</f>
        <v>#DIV/0!</v>
      </c>
      <c r="N233" s="107"/>
      <c r="O233" s="107"/>
      <c r="P233" s="107"/>
      <c r="Q233" s="107"/>
      <c r="R233" s="107"/>
      <c r="S233" s="107"/>
      <c r="T233" s="107"/>
      <c r="X233" s="107"/>
      <c r="AC233" s="107"/>
      <c r="AH233" s="107"/>
      <c r="AM233" s="107"/>
    </row>
    <row r="234" spans="2:39">
      <c r="B234" s="643"/>
      <c r="C234" s="295">
        <v>17</v>
      </c>
      <c r="D234" s="295"/>
      <c r="E234" s="295"/>
      <c r="F234" s="295"/>
      <c r="G234" s="295"/>
      <c r="H234" s="638"/>
      <c r="I234" s="193" t="e">
        <f t="shared" si="56"/>
        <v>#DIV/0!</v>
      </c>
      <c r="J234" s="193" t="e">
        <f t="shared" si="56"/>
        <v>#DIV/0!</v>
      </c>
      <c r="K234" s="193" t="e">
        <f t="shared" si="56"/>
        <v>#DIV/0!</v>
      </c>
      <c r="L234" s="644"/>
      <c r="M234" s="193" t="e">
        <f>RANK(K234, K$218:$K$247)</f>
        <v>#DIV/0!</v>
      </c>
      <c r="N234" s="107"/>
      <c r="O234" s="107"/>
      <c r="P234" s="107"/>
      <c r="Q234" s="107"/>
      <c r="R234" s="107"/>
      <c r="S234" s="107"/>
      <c r="T234" s="107"/>
      <c r="X234" s="107"/>
      <c r="AC234" s="107"/>
      <c r="AH234" s="107"/>
      <c r="AM234" s="107"/>
    </row>
    <row r="235" spans="2:39">
      <c r="B235" s="643"/>
      <c r="C235" s="295">
        <v>18</v>
      </c>
      <c r="D235" s="295"/>
      <c r="E235" s="295"/>
      <c r="F235" s="295"/>
      <c r="G235" s="295"/>
      <c r="H235" s="638"/>
      <c r="I235" s="193" t="e">
        <f t="shared" si="56"/>
        <v>#DIV/0!</v>
      </c>
      <c r="J235" s="193" t="e">
        <f t="shared" si="56"/>
        <v>#DIV/0!</v>
      </c>
      <c r="K235" s="193" t="e">
        <f t="shared" si="56"/>
        <v>#DIV/0!</v>
      </c>
      <c r="L235" s="644"/>
      <c r="M235" s="193" t="e">
        <f>RANK(K235, K$218:$K$247)</f>
        <v>#DIV/0!</v>
      </c>
      <c r="N235" s="107"/>
      <c r="O235" s="107"/>
      <c r="P235" s="107"/>
      <c r="Q235" s="107"/>
      <c r="R235" s="107"/>
      <c r="S235" s="107"/>
      <c r="T235" s="107"/>
      <c r="X235" s="107"/>
      <c r="AC235" s="107"/>
      <c r="AH235" s="107"/>
      <c r="AM235" s="107"/>
    </row>
    <row r="236" spans="2:39">
      <c r="B236" s="643"/>
      <c r="C236" s="295">
        <v>19</v>
      </c>
      <c r="D236" s="295"/>
      <c r="E236" s="295"/>
      <c r="F236" s="295"/>
      <c r="G236" s="295"/>
      <c r="H236" s="638"/>
      <c r="I236" s="193" t="e">
        <f t="shared" si="56"/>
        <v>#DIV/0!</v>
      </c>
      <c r="J236" s="193" t="e">
        <f t="shared" si="56"/>
        <v>#DIV/0!</v>
      </c>
      <c r="K236" s="193" t="e">
        <f t="shared" si="56"/>
        <v>#DIV/0!</v>
      </c>
      <c r="L236" s="644"/>
      <c r="M236" s="193" t="e">
        <f>RANK(K236, K$218:$K$247)</f>
        <v>#DIV/0!</v>
      </c>
      <c r="N236" s="107"/>
      <c r="O236" s="107"/>
      <c r="P236" s="107"/>
      <c r="Q236" s="107"/>
      <c r="R236" s="107"/>
      <c r="S236" s="107"/>
      <c r="T236" s="107"/>
      <c r="X236" s="107"/>
      <c r="AC236" s="107"/>
      <c r="AH236" s="107"/>
      <c r="AM236" s="107"/>
    </row>
    <row r="237" spans="2:39">
      <c r="B237" s="643"/>
      <c r="C237" s="295">
        <v>20</v>
      </c>
      <c r="D237" s="295"/>
      <c r="E237" s="295"/>
      <c r="F237" s="295"/>
      <c r="G237" s="295"/>
      <c r="H237" s="638"/>
      <c r="I237" s="193" t="e">
        <f t="shared" si="56"/>
        <v>#DIV/0!</v>
      </c>
      <c r="J237" s="193" t="e">
        <f t="shared" si="56"/>
        <v>#DIV/0!</v>
      </c>
      <c r="K237" s="193" t="e">
        <f t="shared" si="56"/>
        <v>#DIV/0!</v>
      </c>
      <c r="L237" s="644"/>
      <c r="M237" s="193" t="e">
        <f>RANK(K237, K$218:$K$247)</f>
        <v>#DIV/0!</v>
      </c>
      <c r="N237" s="107"/>
      <c r="O237" s="107"/>
      <c r="P237" s="107"/>
      <c r="Q237" s="107"/>
      <c r="R237" s="107"/>
      <c r="S237" s="107"/>
      <c r="T237" s="107"/>
      <c r="X237" s="107"/>
      <c r="AC237" s="107"/>
      <c r="AH237" s="107"/>
      <c r="AM237" s="107"/>
    </row>
    <row r="238" spans="2:39">
      <c r="B238" s="643"/>
      <c r="C238" s="295">
        <v>21</v>
      </c>
      <c r="D238" s="295"/>
      <c r="E238" s="295"/>
      <c r="F238" s="295"/>
      <c r="G238" s="295"/>
      <c r="H238" s="638"/>
      <c r="I238" s="193" t="e">
        <f t="shared" si="56"/>
        <v>#DIV/0!</v>
      </c>
      <c r="J238" s="193" t="e">
        <f t="shared" si="56"/>
        <v>#DIV/0!</v>
      </c>
      <c r="K238" s="193" t="e">
        <f t="shared" si="56"/>
        <v>#DIV/0!</v>
      </c>
      <c r="L238" s="644"/>
      <c r="M238" s="193" t="e">
        <f>RANK(K238, K$218:$K$247)</f>
        <v>#DIV/0!</v>
      </c>
      <c r="N238" s="107"/>
      <c r="O238" s="107"/>
      <c r="P238" s="107"/>
      <c r="Q238" s="107"/>
      <c r="R238" s="107"/>
      <c r="S238" s="107"/>
      <c r="T238" s="107"/>
      <c r="X238" s="107"/>
      <c r="AC238" s="107"/>
      <c r="AH238" s="107"/>
      <c r="AM238" s="107"/>
    </row>
    <row r="239" spans="2:39">
      <c r="B239" s="643"/>
      <c r="C239" s="295">
        <v>22</v>
      </c>
      <c r="D239" s="295"/>
      <c r="E239" s="295"/>
      <c r="F239" s="295"/>
      <c r="G239" s="295"/>
      <c r="H239" s="638"/>
      <c r="I239" s="193" t="e">
        <f t="shared" si="56"/>
        <v>#DIV/0!</v>
      </c>
      <c r="J239" s="193" t="e">
        <f t="shared" si="56"/>
        <v>#DIV/0!</v>
      </c>
      <c r="K239" s="193" t="e">
        <f t="shared" si="56"/>
        <v>#DIV/0!</v>
      </c>
      <c r="L239" s="644"/>
      <c r="M239" s="193" t="e">
        <f>RANK(K239, K$218:$K$247)</f>
        <v>#DIV/0!</v>
      </c>
      <c r="N239" s="107"/>
      <c r="O239" s="107"/>
      <c r="P239" s="107"/>
      <c r="Q239" s="107"/>
      <c r="R239" s="107"/>
      <c r="S239" s="107"/>
      <c r="T239" s="107"/>
      <c r="X239" s="107"/>
      <c r="AC239" s="107"/>
      <c r="AH239" s="107"/>
      <c r="AM239" s="107"/>
    </row>
    <row r="240" spans="2:39">
      <c r="B240" s="643"/>
      <c r="C240" s="295">
        <v>23</v>
      </c>
      <c r="D240" s="295"/>
      <c r="E240" s="295"/>
      <c r="F240" s="295"/>
      <c r="G240" s="295"/>
      <c r="H240" s="638"/>
      <c r="I240" s="193" t="e">
        <f t="shared" si="56"/>
        <v>#DIV/0!</v>
      </c>
      <c r="J240" s="193" t="e">
        <f t="shared" si="56"/>
        <v>#DIV/0!</v>
      </c>
      <c r="K240" s="193" t="e">
        <f t="shared" si="56"/>
        <v>#DIV/0!</v>
      </c>
      <c r="L240" s="644"/>
      <c r="M240" s="193" t="e">
        <f>RANK(K240, K$218:$K$247)</f>
        <v>#DIV/0!</v>
      </c>
      <c r="N240" s="107"/>
      <c r="O240" s="107"/>
      <c r="P240" s="107"/>
      <c r="Q240" s="107"/>
      <c r="R240" s="107"/>
      <c r="S240" s="107"/>
      <c r="T240" s="107"/>
      <c r="X240" s="107"/>
      <c r="AC240" s="107"/>
      <c r="AH240" s="107"/>
      <c r="AM240" s="107"/>
    </row>
    <row r="241" spans="2:39">
      <c r="B241" s="643"/>
      <c r="C241" s="295">
        <v>24</v>
      </c>
      <c r="D241" s="295"/>
      <c r="E241" s="295"/>
      <c r="F241" s="295"/>
      <c r="G241" s="295"/>
      <c r="H241" s="638"/>
      <c r="I241" s="193"/>
      <c r="J241" s="193"/>
      <c r="K241" s="193"/>
      <c r="L241" s="644"/>
      <c r="M241" s="193" t="e">
        <f>RANK(K241, K$218:$K$247)</f>
        <v>#DIV/0!</v>
      </c>
      <c r="N241" s="107"/>
      <c r="O241" s="107"/>
      <c r="P241" s="107"/>
      <c r="Q241" s="107"/>
      <c r="R241" s="107"/>
      <c r="S241" s="107"/>
      <c r="T241" s="107"/>
      <c r="X241" s="107"/>
      <c r="AC241" s="107"/>
      <c r="AH241" s="107"/>
      <c r="AM241" s="107"/>
    </row>
    <row r="242" spans="2:39">
      <c r="B242" s="643"/>
      <c r="C242" s="295">
        <v>25</v>
      </c>
      <c r="D242" s="295"/>
      <c r="E242" s="295"/>
      <c r="F242" s="295"/>
      <c r="G242" s="295"/>
      <c r="H242" s="638"/>
      <c r="I242" s="193"/>
      <c r="J242" s="193"/>
      <c r="K242" s="193"/>
      <c r="L242" s="644"/>
      <c r="M242" s="193" t="e">
        <f>RANK(K242, K$218:$K$247)</f>
        <v>#DIV/0!</v>
      </c>
      <c r="N242" s="107"/>
      <c r="O242" s="107"/>
      <c r="P242" s="107"/>
      <c r="Q242" s="107"/>
      <c r="R242" s="107"/>
      <c r="S242" s="107"/>
      <c r="T242" s="107"/>
      <c r="X242" s="107"/>
      <c r="AC242" s="107"/>
      <c r="AH242" s="107"/>
      <c r="AM242" s="107"/>
    </row>
    <row r="243" spans="2:39">
      <c r="B243" s="643"/>
      <c r="C243" s="295">
        <v>26</v>
      </c>
      <c r="D243" s="295"/>
      <c r="E243" s="295"/>
      <c r="F243" s="295"/>
      <c r="G243" s="295"/>
      <c r="H243" s="638"/>
      <c r="I243" s="193"/>
      <c r="J243" s="193"/>
      <c r="K243" s="193"/>
      <c r="L243" s="644"/>
      <c r="M243" s="193" t="e">
        <f>RANK(K243, K$218:$K$247)</f>
        <v>#DIV/0!</v>
      </c>
      <c r="N243" s="107"/>
      <c r="O243" s="107"/>
      <c r="P243" s="107"/>
      <c r="Q243" s="107"/>
      <c r="R243" s="107"/>
      <c r="S243" s="107"/>
      <c r="T243" s="107"/>
      <c r="X243" s="107"/>
      <c r="AC243" s="107"/>
      <c r="AH243" s="107"/>
      <c r="AM243" s="107"/>
    </row>
    <row r="244" spans="2:39">
      <c r="B244" s="643"/>
      <c r="C244" s="295">
        <v>27</v>
      </c>
      <c r="D244" s="295"/>
      <c r="E244" s="295"/>
      <c r="F244" s="295"/>
      <c r="G244" s="295"/>
      <c r="H244" s="638"/>
      <c r="I244" s="193"/>
      <c r="J244" s="193"/>
      <c r="K244" s="193"/>
      <c r="L244" s="644"/>
      <c r="M244" s="193" t="e">
        <f>RANK(K244, K$218:$K$247)</f>
        <v>#DIV/0!</v>
      </c>
      <c r="N244" s="107"/>
      <c r="O244" s="107"/>
      <c r="P244" s="107"/>
      <c r="Q244" s="107"/>
      <c r="R244" s="107"/>
      <c r="S244" s="107"/>
      <c r="T244" s="107"/>
      <c r="X244" s="107"/>
      <c r="AC244" s="107"/>
      <c r="AH244" s="107"/>
      <c r="AM244" s="107"/>
    </row>
    <row r="245" spans="2:39">
      <c r="B245" s="643"/>
      <c r="C245" s="295">
        <v>28</v>
      </c>
      <c r="D245" s="295"/>
      <c r="E245" s="295"/>
      <c r="F245" s="295"/>
      <c r="G245" s="295"/>
      <c r="H245" s="638"/>
      <c r="I245" s="193"/>
      <c r="J245" s="193"/>
      <c r="K245" s="193"/>
      <c r="L245" s="644"/>
      <c r="M245" s="193" t="e">
        <f>RANK(K245, K$218:$K$247)</f>
        <v>#DIV/0!</v>
      </c>
      <c r="N245" s="107"/>
      <c r="O245" s="107"/>
      <c r="P245" s="107"/>
      <c r="Q245" s="107"/>
      <c r="R245" s="107"/>
      <c r="S245" s="107"/>
      <c r="T245" s="107"/>
      <c r="X245" s="107"/>
      <c r="AC245" s="107"/>
      <c r="AH245" s="107"/>
      <c r="AM245" s="107"/>
    </row>
    <row r="246" spans="2:39">
      <c r="B246" s="643"/>
      <c r="C246" s="295">
        <v>29</v>
      </c>
      <c r="D246" s="295"/>
      <c r="E246" s="295"/>
      <c r="F246" s="295"/>
      <c r="G246" s="295"/>
      <c r="H246" s="638"/>
      <c r="I246" s="193"/>
      <c r="J246" s="193"/>
      <c r="K246" s="193"/>
      <c r="L246" s="644"/>
      <c r="M246" s="193" t="e">
        <f>RANK(K246, K$218:$K$247)</f>
        <v>#DIV/0!</v>
      </c>
      <c r="N246" s="107"/>
      <c r="O246" s="107"/>
      <c r="P246" s="107"/>
      <c r="Q246" s="107"/>
      <c r="R246" s="107"/>
      <c r="S246" s="107"/>
      <c r="T246" s="107"/>
      <c r="X246" s="107"/>
      <c r="AC246" s="107"/>
      <c r="AH246" s="107"/>
      <c r="AM246" s="107"/>
    </row>
    <row r="247" spans="2:39">
      <c r="B247" s="643"/>
      <c r="C247" s="295">
        <v>30</v>
      </c>
      <c r="D247" s="295"/>
      <c r="E247" s="295"/>
      <c r="F247" s="295"/>
      <c r="G247" s="295"/>
      <c r="H247" s="638"/>
      <c r="I247" s="193"/>
      <c r="J247" s="193"/>
      <c r="K247" s="193"/>
      <c r="L247" s="644"/>
      <c r="M247" s="193" t="e">
        <f>RANK(K247, K$218:$K$247)</f>
        <v>#DIV/0!</v>
      </c>
      <c r="N247" s="107"/>
      <c r="O247" s="107"/>
      <c r="P247" s="107"/>
      <c r="Q247" s="107"/>
      <c r="R247" s="107"/>
      <c r="S247" s="107"/>
      <c r="T247" s="107"/>
      <c r="X247" s="107"/>
      <c r="AC247" s="107"/>
      <c r="AH247" s="107"/>
      <c r="AM247" s="107"/>
    </row>
    <row r="250" spans="2:39">
      <c r="D250" s="349" t="s">
        <v>334</v>
      </c>
      <c r="E250" s="349">
        <v>4</v>
      </c>
      <c r="F250" s="349">
        <v>2700</v>
      </c>
      <c r="G250" s="349">
        <f>F250/E250</f>
        <v>675</v>
      </c>
      <c r="H250" s="106">
        <v>704.2</v>
      </c>
      <c r="N250" s="107"/>
      <c r="O250" s="107"/>
      <c r="P250" s="107"/>
      <c r="Q250" s="107"/>
      <c r="R250" s="107"/>
      <c r="S250" s="107"/>
      <c r="T250" s="107"/>
      <c r="X250" s="107"/>
      <c r="AC250" s="107"/>
      <c r="AH250" s="107"/>
      <c r="AM250" s="107"/>
    </row>
    <row r="251" spans="2:39">
      <c r="D251" s="349" t="s">
        <v>335</v>
      </c>
      <c r="E251" s="349">
        <v>3</v>
      </c>
      <c r="F251" s="349">
        <v>2700</v>
      </c>
      <c r="G251" s="349">
        <f t="shared" ref="G251:G255" si="57">F251/E251</f>
        <v>900</v>
      </c>
      <c r="N251" s="107"/>
      <c r="O251" s="107"/>
      <c r="P251" s="107"/>
      <c r="Q251" s="107"/>
      <c r="R251" s="107"/>
      <c r="S251" s="107"/>
      <c r="T251" s="107"/>
      <c r="X251" s="107"/>
      <c r="AC251" s="107"/>
      <c r="AH251" s="107"/>
      <c r="AM251" s="107"/>
    </row>
    <row r="252" spans="2:39">
      <c r="D252" s="349" t="s">
        <v>336</v>
      </c>
      <c r="E252" s="349">
        <v>4</v>
      </c>
      <c r="F252" s="349">
        <v>2700</v>
      </c>
      <c r="G252" s="349">
        <f t="shared" si="57"/>
        <v>675</v>
      </c>
      <c r="N252" s="107"/>
      <c r="O252" s="107"/>
      <c r="P252" s="107"/>
      <c r="Q252" s="107"/>
      <c r="R252" s="107"/>
      <c r="S252" s="107"/>
      <c r="T252" s="107"/>
      <c r="X252" s="107"/>
      <c r="AC252" s="107"/>
      <c r="AH252" s="107"/>
      <c r="AM252" s="107"/>
    </row>
    <row r="253" spans="2:39">
      <c r="D253" s="349" t="s">
        <v>498</v>
      </c>
      <c r="E253" s="349">
        <v>4</v>
      </c>
      <c r="F253" s="349">
        <v>2700</v>
      </c>
      <c r="G253" s="349">
        <f t="shared" si="57"/>
        <v>675</v>
      </c>
      <c r="N253" s="107"/>
      <c r="O253" s="107"/>
      <c r="P253" s="107"/>
      <c r="Q253" s="107"/>
      <c r="R253" s="107"/>
      <c r="S253" s="107"/>
      <c r="T253" s="107"/>
      <c r="X253" s="107"/>
      <c r="AC253" s="107"/>
      <c r="AH253" s="107"/>
      <c r="AM253" s="107"/>
    </row>
    <row r="254" spans="2:39">
      <c r="D254" s="348" t="s">
        <v>536</v>
      </c>
      <c r="E254" s="349">
        <v>4</v>
      </c>
      <c r="F254" s="349">
        <v>2600</v>
      </c>
      <c r="G254" s="349">
        <f t="shared" si="57"/>
        <v>650</v>
      </c>
      <c r="N254" s="107"/>
      <c r="O254" s="107"/>
      <c r="P254" s="107"/>
      <c r="Q254" s="107"/>
      <c r="R254" s="107"/>
      <c r="S254" s="107"/>
      <c r="T254" s="107"/>
      <c r="X254" s="107"/>
      <c r="AC254" s="107"/>
      <c r="AH254" s="107"/>
      <c r="AM254" s="107"/>
    </row>
    <row r="255" spans="2:39">
      <c r="D255" s="348" t="s">
        <v>537</v>
      </c>
      <c r="E255" s="349">
        <v>4</v>
      </c>
      <c r="F255" s="349">
        <v>2600</v>
      </c>
      <c r="G255" s="349">
        <f t="shared" si="57"/>
        <v>650</v>
      </c>
      <c r="N255" s="107"/>
      <c r="O255" s="107"/>
      <c r="P255" s="107"/>
      <c r="Q255" s="107"/>
      <c r="R255" s="107"/>
      <c r="S255" s="107"/>
      <c r="T255" s="107"/>
      <c r="X255" s="107"/>
      <c r="AC255" s="107"/>
      <c r="AH255" s="107"/>
      <c r="AM255" s="107"/>
    </row>
    <row r="257" spans="4:8" s="107" customFormat="1">
      <c r="D257" s="349" t="s">
        <v>334</v>
      </c>
      <c r="E257" s="349">
        <v>4</v>
      </c>
      <c r="F257" s="349">
        <v>3300</v>
      </c>
      <c r="G257" s="349">
        <f>F257/E257</f>
        <v>825</v>
      </c>
      <c r="H257" s="106">
        <v>845.8</v>
      </c>
    </row>
    <row r="258" spans="4:8" s="107" customFormat="1">
      <c r="D258" s="349" t="s">
        <v>335</v>
      </c>
      <c r="E258" s="349">
        <v>3</v>
      </c>
      <c r="F258" s="349">
        <v>3300</v>
      </c>
      <c r="G258" s="349">
        <f t="shared" ref="G258:G262" si="58">F258/E258</f>
        <v>1100</v>
      </c>
      <c r="H258" s="106"/>
    </row>
    <row r="259" spans="4:8" s="107" customFormat="1">
      <c r="D259" s="349" t="s">
        <v>336</v>
      </c>
      <c r="E259" s="349">
        <v>4</v>
      </c>
      <c r="F259" s="349">
        <v>3300</v>
      </c>
      <c r="G259" s="349">
        <f t="shared" si="58"/>
        <v>825</v>
      </c>
      <c r="H259" s="106"/>
    </row>
    <row r="260" spans="4:8" s="107" customFormat="1">
      <c r="D260" s="349" t="s">
        <v>498</v>
      </c>
      <c r="E260" s="349">
        <v>4</v>
      </c>
      <c r="F260" s="349">
        <v>3100</v>
      </c>
      <c r="G260" s="349">
        <f t="shared" si="58"/>
        <v>775</v>
      </c>
      <c r="H260" s="106"/>
    </row>
    <row r="261" spans="4:8" s="107" customFormat="1">
      <c r="D261" s="348" t="s">
        <v>536</v>
      </c>
      <c r="E261" s="349">
        <v>4</v>
      </c>
      <c r="F261" s="349">
        <v>3100</v>
      </c>
      <c r="G261" s="349">
        <f t="shared" si="58"/>
        <v>775</v>
      </c>
      <c r="H261" s="106"/>
    </row>
    <row r="262" spans="4:8" s="107" customFormat="1">
      <c r="D262" s="348" t="s">
        <v>537</v>
      </c>
      <c r="E262" s="349">
        <v>4</v>
      </c>
      <c r="F262" s="349">
        <v>3100</v>
      </c>
      <c r="G262" s="349">
        <f t="shared" si="58"/>
        <v>775</v>
      </c>
      <c r="H262" s="106"/>
    </row>
  </sheetData>
  <mergeCells count="379">
    <mergeCell ref="L112:L141"/>
    <mergeCell ref="I144:K144"/>
    <mergeCell ref="L144:L146"/>
    <mergeCell ref="I145:K145"/>
    <mergeCell ref="L147:L176"/>
    <mergeCell ref="I39:K39"/>
    <mergeCell ref="L39:L41"/>
    <mergeCell ref="I40:K40"/>
    <mergeCell ref="L42:L71"/>
    <mergeCell ref="I74:K74"/>
    <mergeCell ref="L74:L76"/>
    <mergeCell ref="I75:K75"/>
    <mergeCell ref="L77:L106"/>
    <mergeCell ref="I109:K109"/>
    <mergeCell ref="L109:L111"/>
    <mergeCell ref="I110:K110"/>
    <mergeCell ref="AJ110:AM110"/>
    <mergeCell ref="AO110:AR110"/>
    <mergeCell ref="AT110:AW110"/>
    <mergeCell ref="T109:T111"/>
    <mergeCell ref="Y109:Y111"/>
    <mergeCell ref="I4:K4"/>
    <mergeCell ref="L4:L6"/>
    <mergeCell ref="I5:K5"/>
    <mergeCell ref="L7:L36"/>
    <mergeCell ref="AN39:AN41"/>
    <mergeCell ref="AO109:AR109"/>
    <mergeCell ref="AT109:AW109"/>
    <mergeCell ref="P110:S110"/>
    <mergeCell ref="U110:X110"/>
    <mergeCell ref="Z110:AC110"/>
    <mergeCell ref="AE110:AH110"/>
    <mergeCell ref="AE72:AI72"/>
    <mergeCell ref="AE107:AI107"/>
    <mergeCell ref="AS74:AS76"/>
    <mergeCell ref="AE74:AH74"/>
    <mergeCell ref="AI74:AI76"/>
    <mergeCell ref="AN74:AN76"/>
    <mergeCell ref="AJ74:AM74"/>
    <mergeCell ref="AE108:AI108"/>
    <mergeCell ref="AO144:AR144"/>
    <mergeCell ref="AT144:AW144"/>
    <mergeCell ref="P145:S145"/>
    <mergeCell ref="U145:X145"/>
    <mergeCell ref="Z145:AC145"/>
    <mergeCell ref="AE145:AH145"/>
    <mergeCell ref="AJ145:AM145"/>
    <mergeCell ref="AO145:AR145"/>
    <mergeCell ref="AT145:AW145"/>
    <mergeCell ref="P144:S144"/>
    <mergeCell ref="U144:X144"/>
    <mergeCell ref="AD144:AD146"/>
    <mergeCell ref="AI144:AI146"/>
    <mergeCell ref="AN144:AN146"/>
    <mergeCell ref="Z144:AC144"/>
    <mergeCell ref="AE144:AH144"/>
    <mergeCell ref="AJ144:AM144"/>
    <mergeCell ref="M144:M146"/>
    <mergeCell ref="AO75:AR75"/>
    <mergeCell ref="AT75:AW75"/>
    <mergeCell ref="AE39:AH39"/>
    <mergeCell ref="AJ39:AM39"/>
    <mergeCell ref="AO39:AR39"/>
    <mergeCell ref="AT39:AW39"/>
    <mergeCell ref="P40:S40"/>
    <mergeCell ref="U40:X40"/>
    <mergeCell ref="Z40:AC40"/>
    <mergeCell ref="AE40:AH40"/>
    <mergeCell ref="AJ40:AM40"/>
    <mergeCell ref="AO40:AR40"/>
    <mergeCell ref="P73:T73"/>
    <mergeCell ref="U73:Y73"/>
    <mergeCell ref="AO74:AR74"/>
    <mergeCell ref="AT74:AW74"/>
    <mergeCell ref="AS39:AS41"/>
    <mergeCell ref="AN42:AN71"/>
    <mergeCell ref="AS42:AS71"/>
    <mergeCell ref="T42:T71"/>
    <mergeCell ref="Y42:Y71"/>
    <mergeCell ref="AD42:AD71"/>
    <mergeCell ref="AI42:AI71"/>
    <mergeCell ref="B147:B176"/>
    <mergeCell ref="H147:H176"/>
    <mergeCell ref="P5:S5"/>
    <mergeCell ref="P4:S4"/>
    <mergeCell ref="U4:X4"/>
    <mergeCell ref="U5:X5"/>
    <mergeCell ref="P39:S39"/>
    <mergeCell ref="U39:X39"/>
    <mergeCell ref="P74:S74"/>
    <mergeCell ref="U74:X74"/>
    <mergeCell ref="B112:B141"/>
    <mergeCell ref="H112:H141"/>
    <mergeCell ref="B142:H143"/>
    <mergeCell ref="B144:B146"/>
    <mergeCell ref="C144:D146"/>
    <mergeCell ref="E144:G144"/>
    <mergeCell ref="H144:H146"/>
    <mergeCell ref="E145:G145"/>
    <mergeCell ref="P75:S75"/>
    <mergeCell ref="U75:X75"/>
    <mergeCell ref="M39:M41"/>
    <mergeCell ref="M74:M76"/>
    <mergeCell ref="M109:M111"/>
    <mergeCell ref="C39:D41"/>
    <mergeCell ref="E39:G39"/>
    <mergeCell ref="H39:H41"/>
    <mergeCell ref="E40:G40"/>
    <mergeCell ref="N72:N73"/>
    <mergeCell ref="O72:O73"/>
    <mergeCell ref="P72:T72"/>
    <mergeCell ref="U72:Y72"/>
    <mergeCell ref="Z72:AD72"/>
    <mergeCell ref="Z143:AD143"/>
    <mergeCell ref="Z75:AC75"/>
    <mergeCell ref="Z107:AD107"/>
    <mergeCell ref="Z74:AC74"/>
    <mergeCell ref="AD74:AD76"/>
    <mergeCell ref="N74:N106"/>
    <mergeCell ref="O74:O106"/>
    <mergeCell ref="T74:T76"/>
    <mergeCell ref="Y74:Y76"/>
    <mergeCell ref="T77:T106"/>
    <mergeCell ref="Y77:Y106"/>
    <mergeCell ref="P108:T108"/>
    <mergeCell ref="U108:Y108"/>
    <mergeCell ref="Z108:AD108"/>
    <mergeCell ref="N39:N71"/>
    <mergeCell ref="O39:O71"/>
    <mergeCell ref="AE143:AI143"/>
    <mergeCell ref="AJ143:AN143"/>
    <mergeCell ref="AO143:AS143"/>
    <mergeCell ref="AD112:AD141"/>
    <mergeCell ref="AI112:AI141"/>
    <mergeCell ref="AT2:AX2"/>
    <mergeCell ref="AT3:AX3"/>
    <mergeCell ref="AX4:AX6"/>
    <mergeCell ref="AX7:AX36"/>
    <mergeCell ref="AT4:AW4"/>
    <mergeCell ref="AT5:AW5"/>
    <mergeCell ref="AO2:AS2"/>
    <mergeCell ref="AO3:AS3"/>
    <mergeCell ref="AS4:AS6"/>
    <mergeCell ref="AS7:AS36"/>
    <mergeCell ref="AO4:AR4"/>
    <mergeCell ref="AO5:AR5"/>
    <mergeCell ref="AE4:AH4"/>
    <mergeCell ref="AE5:AH5"/>
    <mergeCell ref="AJ4:AM4"/>
    <mergeCell ref="AJ5:AM5"/>
    <mergeCell ref="AE75:AH75"/>
    <mergeCell ref="AT37:AX37"/>
    <mergeCell ref="AT38:AX38"/>
    <mergeCell ref="AX39:AX41"/>
    <mergeCell ref="AX42:AX71"/>
    <mergeCell ref="AT40:AW40"/>
    <mergeCell ref="B77:B106"/>
    <mergeCell ref="H77:H106"/>
    <mergeCell ref="B107:H108"/>
    <mergeCell ref="B109:B111"/>
    <mergeCell ref="C109:D111"/>
    <mergeCell ref="E109:G109"/>
    <mergeCell ref="H109:H111"/>
    <mergeCell ref="E110:G110"/>
    <mergeCell ref="B42:B71"/>
    <mergeCell ref="H42:H71"/>
    <mergeCell ref="B72:H73"/>
    <mergeCell ref="B74:B76"/>
    <mergeCell ref="C74:D76"/>
    <mergeCell ref="E74:G74"/>
    <mergeCell ref="H74:H76"/>
    <mergeCell ref="E75:G75"/>
    <mergeCell ref="AJ75:AM75"/>
    <mergeCell ref="N107:N108"/>
    <mergeCell ref="O107:O108"/>
    <mergeCell ref="P107:T107"/>
    <mergeCell ref="U107:Y107"/>
    <mergeCell ref="B37:H38"/>
    <mergeCell ref="B39:B41"/>
    <mergeCell ref="AX144:AX146"/>
    <mergeCell ref="AX147:AX176"/>
    <mergeCell ref="AT107:AX107"/>
    <mergeCell ref="AT108:AX108"/>
    <mergeCell ref="AX109:AX111"/>
    <mergeCell ref="AX112:AX141"/>
    <mergeCell ref="AT72:AX72"/>
    <mergeCell ref="AT73:AX73"/>
    <mergeCell ref="AX74:AX76"/>
    <mergeCell ref="AX77:AX106"/>
    <mergeCell ref="AT142:AX142"/>
    <mergeCell ref="AT143:AX143"/>
    <mergeCell ref="N144:N176"/>
    <mergeCell ref="O144:O176"/>
    <mergeCell ref="T144:T146"/>
    <mergeCell ref="Y144:Y146"/>
    <mergeCell ref="T147:T176"/>
    <mergeCell ref="Y147:Y176"/>
    <mergeCell ref="T112:T141"/>
    <mergeCell ref="Y112:Y141"/>
    <mergeCell ref="P143:T143"/>
    <mergeCell ref="U143:Y143"/>
    <mergeCell ref="AJ2:AN2"/>
    <mergeCell ref="AJ3:AN3"/>
    <mergeCell ref="AN4:AN6"/>
    <mergeCell ref="AN7:AN36"/>
    <mergeCell ref="AD147:AD176"/>
    <mergeCell ref="AI147:AI176"/>
    <mergeCell ref="AN147:AN176"/>
    <mergeCell ref="AS147:AS176"/>
    <mergeCell ref="AS144:AS146"/>
    <mergeCell ref="AJ142:AN142"/>
    <mergeCell ref="AO142:AS142"/>
    <mergeCell ref="AJ107:AN107"/>
    <mergeCell ref="AO107:AS107"/>
    <mergeCell ref="AJ72:AN72"/>
    <mergeCell ref="AO72:AS72"/>
    <mergeCell ref="Z73:AD73"/>
    <mergeCell ref="AE73:AI73"/>
    <mergeCell ref="AJ73:AN73"/>
    <mergeCell ref="AO73:AS73"/>
    <mergeCell ref="AJ37:AN37"/>
    <mergeCell ref="AO37:AS37"/>
    <mergeCell ref="AJ38:AN38"/>
    <mergeCell ref="AO38:AS38"/>
    <mergeCell ref="AE37:AI37"/>
    <mergeCell ref="AN112:AN141"/>
    <mergeCell ref="AS112:AS141"/>
    <mergeCell ref="AO108:AS108"/>
    <mergeCell ref="AD77:AD106"/>
    <mergeCell ref="AI77:AI106"/>
    <mergeCell ref="AN77:AN106"/>
    <mergeCell ref="AS77:AS106"/>
    <mergeCell ref="N142:N143"/>
    <mergeCell ref="O142:O143"/>
    <mergeCell ref="P142:T142"/>
    <mergeCell ref="U142:Y142"/>
    <mergeCell ref="Z142:AD142"/>
    <mergeCell ref="AE142:AI142"/>
    <mergeCell ref="AS109:AS111"/>
    <mergeCell ref="P109:S109"/>
    <mergeCell ref="U109:X109"/>
    <mergeCell ref="AD109:AD111"/>
    <mergeCell ref="AI109:AI111"/>
    <mergeCell ref="AN109:AN111"/>
    <mergeCell ref="Z109:AC109"/>
    <mergeCell ref="AE109:AH109"/>
    <mergeCell ref="AJ109:AM109"/>
    <mergeCell ref="N109:N141"/>
    <mergeCell ref="O109:O141"/>
    <mergeCell ref="AJ108:AN108"/>
    <mergeCell ref="Y39:Y41"/>
    <mergeCell ref="AD39:AD41"/>
    <mergeCell ref="AI39:AI41"/>
    <mergeCell ref="Z39:AC39"/>
    <mergeCell ref="P38:T38"/>
    <mergeCell ref="U38:Y38"/>
    <mergeCell ref="Z38:AD38"/>
    <mergeCell ref="AE38:AI38"/>
    <mergeCell ref="T39:T41"/>
    <mergeCell ref="U3:Y3"/>
    <mergeCell ref="Z3:AD3"/>
    <mergeCell ref="AE3:AI3"/>
    <mergeCell ref="N37:N38"/>
    <mergeCell ref="O37:O38"/>
    <mergeCell ref="P37:T37"/>
    <mergeCell ref="U37:Y37"/>
    <mergeCell ref="Z37:AD37"/>
    <mergeCell ref="Z2:AD2"/>
    <mergeCell ref="AD4:AD6"/>
    <mergeCell ref="AD7:AD36"/>
    <mergeCell ref="AE2:AI2"/>
    <mergeCell ref="AI4:AI6"/>
    <mergeCell ref="AI7:AI36"/>
    <mergeCell ref="P2:T2"/>
    <mergeCell ref="Z4:AC4"/>
    <mergeCell ref="Z5:AC5"/>
    <mergeCell ref="U2:Y2"/>
    <mergeCell ref="Y4:Y6"/>
    <mergeCell ref="Y7:Y36"/>
    <mergeCell ref="N2:N3"/>
    <mergeCell ref="B2:H3"/>
    <mergeCell ref="B7:B36"/>
    <mergeCell ref="B4:B6"/>
    <mergeCell ref="C4:D6"/>
    <mergeCell ref="H4:H6"/>
    <mergeCell ref="H7:H36"/>
    <mergeCell ref="E5:G5"/>
    <mergeCell ref="M4:M6"/>
    <mergeCell ref="T4:T6"/>
    <mergeCell ref="T7:T36"/>
    <mergeCell ref="N4:N36"/>
    <mergeCell ref="O4:O36"/>
    <mergeCell ref="E4:G4"/>
    <mergeCell ref="O2:O3"/>
    <mergeCell ref="P3:T3"/>
    <mergeCell ref="B177:H178"/>
    <mergeCell ref="N177:N178"/>
    <mergeCell ref="O177:O178"/>
    <mergeCell ref="P177:T177"/>
    <mergeCell ref="U177:Y177"/>
    <mergeCell ref="Z177:AD177"/>
    <mergeCell ref="B179:B181"/>
    <mergeCell ref="C179:D181"/>
    <mergeCell ref="E179:G179"/>
    <mergeCell ref="H179:H181"/>
    <mergeCell ref="I179:K179"/>
    <mergeCell ref="L179:L181"/>
    <mergeCell ref="M179:M181"/>
    <mergeCell ref="N179:N211"/>
    <mergeCell ref="O179:O211"/>
    <mergeCell ref="P179:S179"/>
    <mergeCell ref="T179:T181"/>
    <mergeCell ref="U179:X179"/>
    <mergeCell ref="Y179:Y181"/>
    <mergeCell ref="Z179:AC179"/>
    <mergeCell ref="AD179:AD181"/>
    <mergeCell ref="E180:G180"/>
    <mergeCell ref="I180:K180"/>
    <mergeCell ref="B182:B211"/>
    <mergeCell ref="AE177:AI177"/>
    <mergeCell ref="AJ177:AN177"/>
    <mergeCell ref="AO177:AS177"/>
    <mergeCell ref="AT177:AX177"/>
    <mergeCell ref="P178:T178"/>
    <mergeCell ref="U178:Y178"/>
    <mergeCell ref="Z178:AD178"/>
    <mergeCell ref="AE178:AI178"/>
    <mergeCell ref="AJ178:AN178"/>
    <mergeCell ref="AO178:AS178"/>
    <mergeCell ref="AT178:AX178"/>
    <mergeCell ref="AE179:AH179"/>
    <mergeCell ref="AI179:AI181"/>
    <mergeCell ref="AJ179:AM179"/>
    <mergeCell ref="AN179:AN181"/>
    <mergeCell ref="AO179:AR179"/>
    <mergeCell ref="AS179:AS181"/>
    <mergeCell ref="AT179:AW179"/>
    <mergeCell ref="AX179:AX181"/>
    <mergeCell ref="P180:S180"/>
    <mergeCell ref="U180:X180"/>
    <mergeCell ref="Z180:AC180"/>
    <mergeCell ref="AE180:AH180"/>
    <mergeCell ref="AJ180:AM180"/>
    <mergeCell ref="AO180:AR180"/>
    <mergeCell ref="AT180:AW180"/>
    <mergeCell ref="AX182:AX211"/>
    <mergeCell ref="B213:H214"/>
    <mergeCell ref="B215:B217"/>
    <mergeCell ref="C215:D217"/>
    <mergeCell ref="E215:G215"/>
    <mergeCell ref="H215:H217"/>
    <mergeCell ref="I215:K215"/>
    <mergeCell ref="L215:L217"/>
    <mergeCell ref="M215:M217"/>
    <mergeCell ref="E216:G216"/>
    <mergeCell ref="I216:K216"/>
    <mergeCell ref="H182:H211"/>
    <mergeCell ref="L182:L211"/>
    <mergeCell ref="B218:B247"/>
    <mergeCell ref="H218:H247"/>
    <mergeCell ref="L218:L247"/>
    <mergeCell ref="T182:T211"/>
    <mergeCell ref="Y182:Y211"/>
    <mergeCell ref="AD182:AD211"/>
    <mergeCell ref="AI182:AI211"/>
    <mergeCell ref="AN182:AN211"/>
    <mergeCell ref="AS182:AS211"/>
    <mergeCell ref="BA147:BA176"/>
    <mergeCell ref="BA179:BA181"/>
    <mergeCell ref="BA182:BA211"/>
    <mergeCell ref="BA4:BA6"/>
    <mergeCell ref="BA7:BA36"/>
    <mergeCell ref="BA39:BA41"/>
    <mergeCell ref="BA42:BA71"/>
    <mergeCell ref="BA74:BA76"/>
    <mergeCell ref="BA77:BA106"/>
    <mergeCell ref="BA109:BA111"/>
    <mergeCell ref="BA112:BA141"/>
    <mergeCell ref="BA144:BA146"/>
  </mergeCells>
  <phoneticPr fontId="13" type="noConversion"/>
  <pageMargins left="0.7" right="0.7" top="0.75" bottom="0.75" header="0.3" footer="0.3"/>
  <pageSetup paperSize="9"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FFCC"/>
  </sheetPr>
  <dimension ref="A1:BA142"/>
  <sheetViews>
    <sheetView zoomScale="55" zoomScaleNormal="55" workbookViewId="0">
      <pane xSplit="15" topLeftCell="R1" activePane="topRight" state="frozen"/>
      <selection activeCell="T7" activeCellId="4" sqref="AM7:AN36 AH7:AI36 AC7:AD36 X7:Y36 S7:T36"/>
      <selection pane="topRight" activeCell="T27" sqref="S27:T41"/>
    </sheetView>
  </sheetViews>
  <sheetFormatPr defaultColWidth="8.85546875" defaultRowHeight="12.75"/>
  <cols>
    <col min="1" max="1" width="5.5703125" style="107" customWidth="1"/>
    <col min="2" max="2" width="12.42578125" style="107" customWidth="1"/>
    <col min="3" max="3" width="8.85546875" style="106"/>
    <col min="4" max="4" width="26.42578125" style="106" customWidth="1"/>
    <col min="5" max="7" width="8.42578125" style="106" customWidth="1"/>
    <col min="8" max="8" width="11.140625" style="106" bestFit="1" customWidth="1"/>
    <col min="9" max="12" width="11.140625" style="106" customWidth="1"/>
    <col min="13" max="13" width="13.5703125" style="106" customWidth="1"/>
    <col min="14" max="14" width="9.85546875" style="106" customWidth="1"/>
    <col min="15" max="15" width="7.140625" style="106" customWidth="1"/>
    <col min="16" max="18" width="12.85546875" style="106" customWidth="1"/>
    <col min="19" max="19" width="5.42578125" style="106" customWidth="1"/>
    <col min="20" max="20" width="12.85546875" style="106" customWidth="1"/>
    <col min="21" max="23" width="12.85546875" style="107" customWidth="1"/>
    <col min="24" max="24" width="5.42578125" style="106" customWidth="1"/>
    <col min="25" max="28" width="12.85546875" style="107" customWidth="1"/>
    <col min="29" max="29" width="5.42578125" style="106" customWidth="1"/>
    <col min="30" max="30" width="12.85546875" style="107" customWidth="1"/>
    <col min="31" max="33" width="12.5703125" style="107" customWidth="1"/>
    <col min="34" max="34" width="5.42578125" style="106" customWidth="1"/>
    <col min="35" max="35" width="13" style="107" customWidth="1"/>
    <col min="36" max="38" width="12.5703125" style="107" customWidth="1"/>
    <col min="39" max="39" width="5.42578125" style="106" customWidth="1"/>
    <col min="40" max="40" width="13" style="107" customWidth="1"/>
    <col min="41" max="43" width="13.140625" style="107" customWidth="1"/>
    <col min="44" max="44" width="5.42578125" style="107" customWidth="1"/>
    <col min="45" max="48" width="13.140625" style="107" customWidth="1"/>
    <col min="49" max="49" width="5.42578125" style="107" customWidth="1"/>
    <col min="50" max="50" width="13.140625" style="107" customWidth="1"/>
    <col min="51" max="51" width="8.85546875" style="107"/>
    <col min="52" max="52" width="5.42578125" style="107" customWidth="1"/>
    <col min="53" max="53" width="13.140625" style="107" customWidth="1"/>
    <col min="54" max="16384" width="8.85546875" style="107"/>
  </cols>
  <sheetData>
    <row r="1" spans="1:53" ht="24">
      <c r="A1" s="75"/>
      <c r="B1" s="215" t="s">
        <v>313</v>
      </c>
      <c r="C1" s="214">
        <f>AVERAGE(L7,L27,L47,L87,L87,L107)</f>
        <v>131.71191799964089</v>
      </c>
    </row>
    <row r="2" spans="1:53" ht="15.75">
      <c r="A2" s="81"/>
      <c r="B2" s="665" t="s">
        <v>162</v>
      </c>
      <c r="C2" s="665"/>
      <c r="D2" s="665"/>
      <c r="E2" s="665"/>
      <c r="F2" s="665"/>
      <c r="G2" s="665"/>
      <c r="H2" s="665"/>
      <c r="I2" s="276"/>
      <c r="J2" s="276"/>
      <c r="K2" s="276"/>
      <c r="L2" s="276"/>
      <c r="M2" s="191"/>
      <c r="N2" s="639" t="s">
        <v>156</v>
      </c>
      <c r="O2" s="639" t="s">
        <v>155</v>
      </c>
      <c r="P2" s="664">
        <v>46294</v>
      </c>
      <c r="Q2" s="643"/>
      <c r="R2" s="643"/>
      <c r="S2" s="643"/>
      <c r="T2" s="643"/>
      <c r="U2" s="661">
        <f>P2+1</f>
        <v>46295</v>
      </c>
      <c r="V2" s="662"/>
      <c r="W2" s="662"/>
      <c r="X2" s="662"/>
      <c r="Y2" s="663"/>
      <c r="Z2" s="661">
        <f>U2+1</f>
        <v>46296</v>
      </c>
      <c r="AA2" s="662"/>
      <c r="AB2" s="662"/>
      <c r="AC2" s="662"/>
      <c r="AD2" s="663"/>
      <c r="AE2" s="661">
        <f>Z2+1</f>
        <v>46297</v>
      </c>
      <c r="AF2" s="662"/>
      <c r="AG2" s="662"/>
      <c r="AH2" s="662"/>
      <c r="AI2" s="663"/>
      <c r="AJ2" s="661">
        <f>AE2+1</f>
        <v>46298</v>
      </c>
      <c r="AK2" s="662"/>
      <c r="AL2" s="662"/>
      <c r="AM2" s="662"/>
      <c r="AN2" s="663"/>
      <c r="AO2" s="661">
        <f>AJ2+1</f>
        <v>46299</v>
      </c>
      <c r="AP2" s="662"/>
      <c r="AQ2" s="662"/>
      <c r="AR2" s="662"/>
      <c r="AS2" s="663"/>
      <c r="AT2" s="661">
        <f>AO2+1</f>
        <v>46300</v>
      </c>
      <c r="AU2" s="662"/>
      <c r="AV2" s="662"/>
      <c r="AW2" s="662"/>
      <c r="AX2" s="663"/>
    </row>
    <row r="3" spans="1:53" ht="15.75">
      <c r="A3" s="81"/>
      <c r="B3" s="709"/>
      <c r="C3" s="709"/>
      <c r="D3" s="709"/>
      <c r="E3" s="709"/>
      <c r="F3" s="709"/>
      <c r="G3" s="709"/>
      <c r="H3" s="709"/>
      <c r="I3" s="277"/>
      <c r="J3" s="277"/>
      <c r="K3" s="277"/>
      <c r="L3" s="277"/>
      <c r="M3" s="192"/>
      <c r="N3" s="641"/>
      <c r="O3" s="641"/>
      <c r="P3" s="664" t="s">
        <v>158</v>
      </c>
      <c r="Q3" s="643"/>
      <c r="R3" s="643"/>
      <c r="S3" s="643"/>
      <c r="T3" s="643"/>
      <c r="U3" s="664" t="s">
        <v>114</v>
      </c>
      <c r="V3" s="643"/>
      <c r="W3" s="643"/>
      <c r="X3" s="643"/>
      <c r="Y3" s="643"/>
      <c r="Z3" s="664" t="s">
        <v>159</v>
      </c>
      <c r="AA3" s="643"/>
      <c r="AB3" s="643"/>
      <c r="AC3" s="643"/>
      <c r="AD3" s="643"/>
      <c r="AE3" s="664" t="s">
        <v>157</v>
      </c>
      <c r="AF3" s="643"/>
      <c r="AG3" s="643"/>
      <c r="AH3" s="643"/>
      <c r="AI3" s="643"/>
      <c r="AJ3" s="664" t="s">
        <v>160</v>
      </c>
      <c r="AK3" s="643"/>
      <c r="AL3" s="643"/>
      <c r="AM3" s="643"/>
      <c r="AN3" s="643"/>
      <c r="AO3" s="664" t="s">
        <v>115</v>
      </c>
      <c r="AP3" s="643"/>
      <c r="AQ3" s="643"/>
      <c r="AR3" s="643"/>
      <c r="AS3" s="643"/>
      <c r="AT3" s="664" t="s">
        <v>161</v>
      </c>
      <c r="AU3" s="643"/>
      <c r="AV3" s="643"/>
      <c r="AW3" s="643"/>
      <c r="AX3" s="643"/>
    </row>
    <row r="4" spans="1:53" ht="14.25">
      <c r="A4" s="81"/>
      <c r="B4" s="637" t="s">
        <v>742</v>
      </c>
      <c r="C4" s="637" t="s">
        <v>370</v>
      </c>
      <c r="D4" s="637"/>
      <c r="E4" s="637" t="s">
        <v>361</v>
      </c>
      <c r="F4" s="637"/>
      <c r="G4" s="637"/>
      <c r="H4" s="669" t="s">
        <v>357</v>
      </c>
      <c r="I4" s="637" t="s">
        <v>362</v>
      </c>
      <c r="J4" s="637"/>
      <c r="K4" s="637"/>
      <c r="L4" s="669" t="s">
        <v>357</v>
      </c>
      <c r="M4" s="639" t="s">
        <v>358</v>
      </c>
      <c r="N4" s="637"/>
      <c r="O4" s="637" t="s">
        <v>363</v>
      </c>
      <c r="P4" s="655" t="s">
        <v>359</v>
      </c>
      <c r="Q4" s="656"/>
      <c r="R4" s="656"/>
      <c r="S4" s="657"/>
      <c r="T4" s="639" t="s">
        <v>357</v>
      </c>
      <c r="U4" s="655" t="s">
        <v>359</v>
      </c>
      <c r="V4" s="656"/>
      <c r="W4" s="656"/>
      <c r="X4" s="657"/>
      <c r="Y4" s="639" t="s">
        <v>357</v>
      </c>
      <c r="Z4" s="655" t="s">
        <v>359</v>
      </c>
      <c r="AA4" s="656"/>
      <c r="AB4" s="656"/>
      <c r="AC4" s="657"/>
      <c r="AD4" s="639" t="s">
        <v>357</v>
      </c>
      <c r="AE4" s="655" t="s">
        <v>359</v>
      </c>
      <c r="AF4" s="656"/>
      <c r="AG4" s="656"/>
      <c r="AH4" s="657"/>
      <c r="AI4" s="637" t="s">
        <v>357</v>
      </c>
      <c r="AJ4" s="655" t="s">
        <v>359</v>
      </c>
      <c r="AK4" s="656"/>
      <c r="AL4" s="656"/>
      <c r="AM4" s="657"/>
      <c r="AN4" s="637" t="s">
        <v>357</v>
      </c>
      <c r="AO4" s="655" t="s">
        <v>359</v>
      </c>
      <c r="AP4" s="656"/>
      <c r="AQ4" s="656"/>
      <c r="AR4" s="657"/>
      <c r="AS4" s="637" t="s">
        <v>357</v>
      </c>
      <c r="AT4" s="655" t="s">
        <v>359</v>
      </c>
      <c r="AU4" s="656"/>
      <c r="AV4" s="656"/>
      <c r="AW4" s="657"/>
      <c r="AX4" s="637" t="s">
        <v>357</v>
      </c>
      <c r="BA4" s="637" t="s">
        <v>357</v>
      </c>
    </row>
    <row r="5" spans="1:53" ht="14.25">
      <c r="A5" s="81"/>
      <c r="B5" s="637"/>
      <c r="C5" s="637"/>
      <c r="D5" s="637"/>
      <c r="E5" s="637" t="s">
        <v>364</v>
      </c>
      <c r="F5" s="637"/>
      <c r="G5" s="637"/>
      <c r="H5" s="670"/>
      <c r="I5" s="637" t="s">
        <v>364</v>
      </c>
      <c r="J5" s="637"/>
      <c r="K5" s="637"/>
      <c r="L5" s="670"/>
      <c r="M5" s="640"/>
      <c r="N5" s="637"/>
      <c r="O5" s="637"/>
      <c r="P5" s="655" t="s">
        <v>365</v>
      </c>
      <c r="Q5" s="656"/>
      <c r="R5" s="656"/>
      <c r="S5" s="657"/>
      <c r="T5" s="640"/>
      <c r="U5" s="655" t="s">
        <v>365</v>
      </c>
      <c r="V5" s="656"/>
      <c r="W5" s="656"/>
      <c r="X5" s="657"/>
      <c r="Y5" s="640"/>
      <c r="Z5" s="655" t="s">
        <v>365</v>
      </c>
      <c r="AA5" s="656"/>
      <c r="AB5" s="656"/>
      <c r="AC5" s="657"/>
      <c r="AD5" s="640"/>
      <c r="AE5" s="655" t="s">
        <v>365</v>
      </c>
      <c r="AF5" s="656"/>
      <c r="AG5" s="656"/>
      <c r="AH5" s="657"/>
      <c r="AI5" s="637"/>
      <c r="AJ5" s="655" t="s">
        <v>365</v>
      </c>
      <c r="AK5" s="656"/>
      <c r="AL5" s="656"/>
      <c r="AM5" s="657"/>
      <c r="AN5" s="637"/>
      <c r="AO5" s="655" t="s">
        <v>365</v>
      </c>
      <c r="AP5" s="656"/>
      <c r="AQ5" s="656"/>
      <c r="AR5" s="657"/>
      <c r="AS5" s="637"/>
      <c r="AT5" s="655" t="s">
        <v>365</v>
      </c>
      <c r="AU5" s="656"/>
      <c r="AV5" s="656"/>
      <c r="AW5" s="657"/>
      <c r="AX5" s="637"/>
      <c r="BA5" s="637"/>
    </row>
    <row r="6" spans="1:53" ht="14.25">
      <c r="A6" s="79"/>
      <c r="B6" s="637"/>
      <c r="C6" s="637"/>
      <c r="D6" s="637"/>
      <c r="E6" s="551" t="s">
        <v>366</v>
      </c>
      <c r="F6" s="551" t="s">
        <v>367</v>
      </c>
      <c r="G6" s="551" t="s">
        <v>368</v>
      </c>
      <c r="H6" s="671"/>
      <c r="I6" s="551" t="s">
        <v>366</v>
      </c>
      <c r="J6" s="551" t="s">
        <v>367</v>
      </c>
      <c r="K6" s="551" t="s">
        <v>368</v>
      </c>
      <c r="L6" s="671"/>
      <c r="M6" s="641"/>
      <c r="N6" s="637"/>
      <c r="O6" s="637"/>
      <c r="P6" s="551" t="s">
        <v>366</v>
      </c>
      <c r="Q6" s="551" t="s">
        <v>367</v>
      </c>
      <c r="R6" s="551" t="s">
        <v>368</v>
      </c>
      <c r="S6" s="551" t="s">
        <v>358</v>
      </c>
      <c r="T6" s="641"/>
      <c r="U6" s="551" t="s">
        <v>366</v>
      </c>
      <c r="V6" s="551" t="s">
        <v>367</v>
      </c>
      <c r="W6" s="551" t="s">
        <v>368</v>
      </c>
      <c r="X6" s="551" t="s">
        <v>358</v>
      </c>
      <c r="Y6" s="641"/>
      <c r="Z6" s="551" t="s">
        <v>366</v>
      </c>
      <c r="AA6" s="551" t="s">
        <v>367</v>
      </c>
      <c r="AB6" s="551" t="s">
        <v>368</v>
      </c>
      <c r="AC6" s="551" t="s">
        <v>358</v>
      </c>
      <c r="AD6" s="641"/>
      <c r="AE6" s="551" t="s">
        <v>366</v>
      </c>
      <c r="AF6" s="551" t="s">
        <v>367</v>
      </c>
      <c r="AG6" s="551" t="s">
        <v>368</v>
      </c>
      <c r="AH6" s="551" t="s">
        <v>358</v>
      </c>
      <c r="AI6" s="637"/>
      <c r="AJ6" s="551" t="s">
        <v>366</v>
      </c>
      <c r="AK6" s="551" t="s">
        <v>367</v>
      </c>
      <c r="AL6" s="551" t="s">
        <v>368</v>
      </c>
      <c r="AM6" s="551" t="s">
        <v>358</v>
      </c>
      <c r="AN6" s="637"/>
      <c r="AO6" s="551" t="s">
        <v>366</v>
      </c>
      <c r="AP6" s="551" t="s">
        <v>367</v>
      </c>
      <c r="AQ6" s="551" t="s">
        <v>368</v>
      </c>
      <c r="AR6" s="551" t="s">
        <v>358</v>
      </c>
      <c r="AS6" s="637"/>
      <c r="AT6" s="551" t="s">
        <v>366</v>
      </c>
      <c r="AU6" s="551" t="s">
        <v>367</v>
      </c>
      <c r="AV6" s="551" t="s">
        <v>368</v>
      </c>
      <c r="AW6" s="551" t="s">
        <v>358</v>
      </c>
      <c r="AX6" s="637"/>
      <c r="AZ6" s="362" t="s">
        <v>358</v>
      </c>
      <c r="BA6" s="637"/>
    </row>
    <row r="7" spans="1:53" ht="14.25">
      <c r="A7" s="81"/>
      <c r="B7" s="695" t="s">
        <v>377</v>
      </c>
      <c r="C7" s="555">
        <v>1</v>
      </c>
      <c r="D7" s="551" t="s">
        <v>548</v>
      </c>
      <c r="E7" s="553">
        <v>10</v>
      </c>
      <c r="F7" s="553">
        <v>1500</v>
      </c>
      <c r="G7" s="559">
        <v>150</v>
      </c>
      <c r="H7" s="650">
        <f>AVERAGE(G7:G21)</f>
        <v>127.5</v>
      </c>
      <c r="I7" s="554">
        <f t="shared" ref="I7:I21" si="0">IFERROR(AVERAGE(P7,U7,Z7,AE7,AJ7,AO7,AT7),"-")</f>
        <v>10</v>
      </c>
      <c r="J7" s="554">
        <f t="shared" ref="J7:J21" si="1">IFERROR(AVERAGE(Q7,V7,AA7,AF7,AK7,AP7,AU7),"-")</f>
        <v>1465.3327863292373</v>
      </c>
      <c r="K7" s="194">
        <f t="shared" ref="K7:K21" si="2">IFERROR(AVERAGE(R7,W7,AB7,AG7,AL7,AQ7,AV7),"-")</f>
        <v>146.5332786329237</v>
      </c>
      <c r="L7" s="652">
        <f>IFERROR(AVERAGE(K7:K21),"-")</f>
        <v>135.54729581794425</v>
      </c>
      <c r="M7" s="471" t="e">
        <f>RANK(K7, K$87:$K$101)</f>
        <v>#N/A</v>
      </c>
      <c r="N7" s="637"/>
      <c r="O7" s="637"/>
      <c r="P7" s="553">
        <v>10</v>
      </c>
      <c r="Q7" s="559">
        <v>1459.2000000000005</v>
      </c>
      <c r="R7" s="559">
        <v>145.92000000000004</v>
      </c>
      <c r="S7" s="553" t="e">
        <f t="shared" ref="S7:S21" si="3">RANK(R7, R$87:R$101)</f>
        <v>#N/A</v>
      </c>
      <c r="T7" s="638">
        <f t="shared" ref="T7" si="4">AVERAGE(R7:R21)</f>
        <v>143.05588383838412</v>
      </c>
      <c r="U7" s="553">
        <v>10</v>
      </c>
      <c r="V7" s="559">
        <v>1459.2000000000005</v>
      </c>
      <c r="W7" s="559">
        <v>145.92000000000004</v>
      </c>
      <c r="X7" s="553" t="e">
        <f t="shared" ref="X7:X21" si="5">RANK(W7, W$87:W$101)</f>
        <v>#N/A</v>
      </c>
      <c r="Y7" s="638">
        <f t="shared" ref="Y7" si="6">AVERAGE(W7:W21)</f>
        <v>143.05588383838412</v>
      </c>
      <c r="Z7" s="553">
        <v>10</v>
      </c>
      <c r="AA7" s="559">
        <v>1485.6521739130435</v>
      </c>
      <c r="AB7" s="559">
        <v>148.56521739130434</v>
      </c>
      <c r="AC7" s="553" t="e">
        <f t="shared" ref="AC7:AC21" si="7">RANK(AB7, AB$87:AB$101)</f>
        <v>#N/A</v>
      </c>
      <c r="AD7" s="638">
        <f t="shared" ref="AD7" si="8">AVERAGE(AB7:AB21)</f>
        <v>131.87258972911175</v>
      </c>
      <c r="AE7" s="553">
        <v>10</v>
      </c>
      <c r="AF7" s="559">
        <v>1472.9999999999993</v>
      </c>
      <c r="AG7" s="559">
        <v>147.29999999999993</v>
      </c>
      <c r="AH7" s="553" t="e">
        <f t="shared" ref="AH7:AH21" si="9">RANK(AG7, AG$87:AG$101)</f>
        <v>#N/A</v>
      </c>
      <c r="AI7" s="638">
        <f t="shared" ref="AI7" si="10">AVERAGE(AG7:AG21)</f>
        <v>134.67072072072085</v>
      </c>
      <c r="AJ7" s="553">
        <v>10</v>
      </c>
      <c r="AK7" s="559">
        <v>1472.4324324324314</v>
      </c>
      <c r="AL7" s="559">
        <v>147.24324324324314</v>
      </c>
      <c r="AM7" s="553" t="e">
        <f t="shared" ref="AM7:AM21" si="11">RANK(AL7, AL$87:AL$101)</f>
        <v>#N/A</v>
      </c>
      <c r="AN7" s="638">
        <f t="shared" ref="AN7" si="12">AVERAGE(AL7:AL21)</f>
        <v>134.44310247747757</v>
      </c>
      <c r="AO7" s="553">
        <v>10</v>
      </c>
      <c r="AP7" s="559">
        <v>1455.6000000000006</v>
      </c>
      <c r="AQ7" s="559">
        <v>145.56000000000006</v>
      </c>
      <c r="AR7" s="553" t="e">
        <f t="shared" ref="AR7:AR21" si="13">RANK(AQ7, AQ$87:AQ$101)</f>
        <v>#N/A</v>
      </c>
      <c r="AS7" s="638">
        <f t="shared" ref="AS7" si="14">AVERAGE(AQ7:AQ21)</f>
        <v>131.07462529738297</v>
      </c>
      <c r="AT7" s="553">
        <v>10</v>
      </c>
      <c r="AU7" s="559">
        <v>1452.2448979591841</v>
      </c>
      <c r="AV7" s="559">
        <v>145.2244897959184</v>
      </c>
      <c r="AW7" s="553" t="e">
        <f t="shared" ref="AW7:AW21" si="15">RANK(AV7, AV$87:AV$101)</f>
        <v>#N/A</v>
      </c>
      <c r="AX7" s="638">
        <f t="shared" ref="AX7" si="16">AVERAGE(AV7:AV21)</f>
        <v>130.6582648241482</v>
      </c>
      <c r="AZ7" s="361" t="e">
        <f t="shared" ref="AZ7:AZ21" si="17">RANK(AY7, AY$7:AY$21)</f>
        <v>#N/A</v>
      </c>
      <c r="BA7" s="694" t="e">
        <f t="shared" ref="BA7" si="18">AVERAGE(AY7:AY21)</f>
        <v>#DIV/0!</v>
      </c>
    </row>
    <row r="8" spans="1:53" ht="15" customHeight="1">
      <c r="A8" s="81"/>
      <c r="B8" s="643"/>
      <c r="C8" s="555">
        <v>2</v>
      </c>
      <c r="D8" s="553" t="s">
        <v>562</v>
      </c>
      <c r="E8" s="553">
        <v>15</v>
      </c>
      <c r="F8" s="553">
        <v>1800</v>
      </c>
      <c r="G8" s="559">
        <v>120</v>
      </c>
      <c r="H8" s="651"/>
      <c r="I8" s="554">
        <f t="shared" si="0"/>
        <v>10.571428571428571</v>
      </c>
      <c r="J8" s="554">
        <f t="shared" si="1"/>
        <v>1751.2900432900462</v>
      </c>
      <c r="K8" s="194">
        <f t="shared" si="2"/>
        <v>166.8813852813856</v>
      </c>
      <c r="L8" s="653"/>
      <c r="M8" s="471" t="e">
        <f>RANK(K8, K$87:$K$101)</f>
        <v>#N/A</v>
      </c>
      <c r="N8" s="637"/>
      <c r="O8" s="637"/>
      <c r="P8" s="553">
        <v>10</v>
      </c>
      <c r="Q8" s="559">
        <v>1789.0909090909154</v>
      </c>
      <c r="R8" s="559">
        <v>178.90909090909153</v>
      </c>
      <c r="S8" s="553" t="e">
        <f t="shared" si="3"/>
        <v>#N/A</v>
      </c>
      <c r="T8" s="638"/>
      <c r="U8" s="553">
        <v>10</v>
      </c>
      <c r="V8" s="559">
        <v>1789.0909090909154</v>
      </c>
      <c r="W8" s="559">
        <v>178.90909090909153</v>
      </c>
      <c r="X8" s="553" t="e">
        <f t="shared" si="5"/>
        <v>#N/A</v>
      </c>
      <c r="Y8" s="638"/>
      <c r="Z8" s="553">
        <v>10</v>
      </c>
      <c r="AA8" s="559">
        <v>1742.1818181818246</v>
      </c>
      <c r="AB8" s="559">
        <v>174.21818181818247</v>
      </c>
      <c r="AC8" s="553" t="e">
        <f t="shared" si="7"/>
        <v>#N/A</v>
      </c>
      <c r="AD8" s="638"/>
      <c r="AE8" s="553">
        <v>10</v>
      </c>
      <c r="AF8" s="559">
        <v>1760.0000000000064</v>
      </c>
      <c r="AG8" s="559">
        <v>176.00000000000063</v>
      </c>
      <c r="AH8" s="553" t="e">
        <f t="shared" si="9"/>
        <v>#N/A</v>
      </c>
      <c r="AI8" s="638"/>
      <c r="AJ8" s="553">
        <v>10</v>
      </c>
      <c r="AK8" s="559">
        <v>1714.6666666666727</v>
      </c>
      <c r="AL8" s="559">
        <v>171.46666666666727</v>
      </c>
      <c r="AM8" s="553" t="e">
        <f t="shared" si="11"/>
        <v>#N/A</v>
      </c>
      <c r="AN8" s="638"/>
      <c r="AO8" s="553">
        <v>12</v>
      </c>
      <c r="AP8" s="559">
        <v>1742.9999999999948</v>
      </c>
      <c r="AQ8" s="559">
        <v>145.24999999999957</v>
      </c>
      <c r="AR8" s="553" t="e">
        <f t="shared" si="13"/>
        <v>#N/A</v>
      </c>
      <c r="AS8" s="638"/>
      <c r="AT8" s="553">
        <v>12</v>
      </c>
      <c r="AU8" s="559">
        <v>1720.999999999995</v>
      </c>
      <c r="AV8" s="559">
        <v>143.41666666666626</v>
      </c>
      <c r="AW8" s="553" t="e">
        <f t="shared" si="15"/>
        <v>#N/A</v>
      </c>
      <c r="AX8" s="638"/>
      <c r="AZ8" s="361" t="e">
        <f t="shared" si="17"/>
        <v>#N/A</v>
      </c>
      <c r="BA8" s="694"/>
    </row>
    <row r="9" spans="1:53" ht="14.25">
      <c r="A9" s="81"/>
      <c r="B9" s="643"/>
      <c r="C9" s="555">
        <v>3</v>
      </c>
      <c r="D9" s="553" t="s">
        <v>563</v>
      </c>
      <c r="E9" s="553">
        <v>15</v>
      </c>
      <c r="F9" s="553">
        <v>1800</v>
      </c>
      <c r="G9" s="559">
        <v>120</v>
      </c>
      <c r="H9" s="651"/>
      <c r="I9" s="554">
        <f t="shared" si="0"/>
        <v>12.142857142857142</v>
      </c>
      <c r="J9" s="554">
        <f t="shared" si="1"/>
        <v>1797.6473196784134</v>
      </c>
      <c r="K9" s="194">
        <f t="shared" si="2"/>
        <v>148.10675160934275</v>
      </c>
      <c r="L9" s="653"/>
      <c r="M9" s="471" t="e">
        <f>RANK(K9, K$87:$K$101)</f>
        <v>#N/A</v>
      </c>
      <c r="N9" s="637"/>
      <c r="O9" s="637"/>
      <c r="P9" s="553">
        <v>12</v>
      </c>
      <c r="Q9" s="559">
        <v>1685.4000000000062</v>
      </c>
      <c r="R9" s="559">
        <v>140.45000000000053</v>
      </c>
      <c r="S9" s="553" t="e">
        <f t="shared" si="3"/>
        <v>#N/A</v>
      </c>
      <c r="T9" s="638"/>
      <c r="U9" s="553">
        <v>12</v>
      </c>
      <c r="V9" s="559">
        <v>1685.4000000000062</v>
      </c>
      <c r="W9" s="559">
        <v>140.45000000000053</v>
      </c>
      <c r="X9" s="553" t="e">
        <f t="shared" si="5"/>
        <v>#N/A</v>
      </c>
      <c r="Y9" s="638"/>
      <c r="Z9" s="553">
        <v>13</v>
      </c>
      <c r="AA9" s="559">
        <v>1853.3333333333399</v>
      </c>
      <c r="AB9" s="559">
        <v>142.56410256410305</v>
      </c>
      <c r="AC9" s="553" t="e">
        <f t="shared" si="7"/>
        <v>#N/A</v>
      </c>
      <c r="AD9" s="638"/>
      <c r="AE9" s="553">
        <v>12</v>
      </c>
      <c r="AF9" s="559">
        <v>1814.5945945945955</v>
      </c>
      <c r="AG9" s="559">
        <v>151.21621621621628</v>
      </c>
      <c r="AH9" s="553" t="e">
        <f t="shared" si="9"/>
        <v>#N/A</v>
      </c>
      <c r="AI9" s="638"/>
      <c r="AJ9" s="553">
        <v>12</v>
      </c>
      <c r="AK9" s="559">
        <v>1837.5000000000005</v>
      </c>
      <c r="AL9" s="559">
        <v>153.12500000000003</v>
      </c>
      <c r="AM9" s="553" t="e">
        <f t="shared" si="11"/>
        <v>#N/A</v>
      </c>
      <c r="AN9" s="638"/>
      <c r="AO9" s="553">
        <v>12</v>
      </c>
      <c r="AP9" s="559">
        <v>1863.0927835051552</v>
      </c>
      <c r="AQ9" s="559">
        <v>155.25773195876295</v>
      </c>
      <c r="AR9" s="553" t="e">
        <f t="shared" si="13"/>
        <v>#N/A</v>
      </c>
      <c r="AS9" s="638"/>
      <c r="AT9" s="553">
        <v>12</v>
      </c>
      <c r="AU9" s="559">
        <v>1844.2105263157896</v>
      </c>
      <c r="AV9" s="559">
        <v>153.68421052631581</v>
      </c>
      <c r="AW9" s="553" t="e">
        <f t="shared" si="15"/>
        <v>#N/A</v>
      </c>
      <c r="AX9" s="638"/>
      <c r="AZ9" s="361" t="e">
        <f t="shared" si="17"/>
        <v>#N/A</v>
      </c>
      <c r="BA9" s="694"/>
    </row>
    <row r="10" spans="1:53" ht="14.25">
      <c r="A10" s="81"/>
      <c r="B10" s="643"/>
      <c r="C10" s="555">
        <v>4</v>
      </c>
      <c r="D10" s="553" t="s">
        <v>641</v>
      </c>
      <c r="E10" s="553">
        <v>18</v>
      </c>
      <c r="F10" s="553">
        <v>1800</v>
      </c>
      <c r="G10" s="559">
        <v>120</v>
      </c>
      <c r="H10" s="651"/>
      <c r="I10" s="554">
        <f t="shared" si="0"/>
        <v>11.571428571428571</v>
      </c>
      <c r="J10" s="554">
        <f t="shared" si="1"/>
        <v>931.59406070120326</v>
      </c>
      <c r="K10" s="194">
        <f t="shared" si="2"/>
        <v>80.667767748124874</v>
      </c>
      <c r="L10" s="653"/>
      <c r="M10" s="471" t="e">
        <f>RANK(K10, K$87:$K$101)</f>
        <v>#N/A</v>
      </c>
      <c r="N10" s="637"/>
      <c r="O10" s="637"/>
      <c r="P10" s="553">
        <v>12</v>
      </c>
      <c r="Q10" s="559">
        <v>1283.3333333333323</v>
      </c>
      <c r="R10" s="559">
        <v>106.94444444444436</v>
      </c>
      <c r="S10" s="553" t="e">
        <f t="shared" si="3"/>
        <v>#N/A</v>
      </c>
      <c r="T10" s="638"/>
      <c r="U10" s="553">
        <v>12</v>
      </c>
      <c r="V10" s="559">
        <v>1283.3333333333323</v>
      </c>
      <c r="W10" s="559">
        <v>106.94444444444436</v>
      </c>
      <c r="X10" s="553" t="e">
        <f t="shared" si="5"/>
        <v>#N/A</v>
      </c>
      <c r="Y10" s="638"/>
      <c r="Z10" s="553">
        <v>13</v>
      </c>
      <c r="AA10" s="559">
        <v>807.85714285714346</v>
      </c>
      <c r="AB10" s="559">
        <v>62.142857142857189</v>
      </c>
      <c r="AC10" s="553" t="e">
        <f t="shared" si="7"/>
        <v>#N/A</v>
      </c>
      <c r="AD10" s="638"/>
      <c r="AE10" s="553">
        <v>12</v>
      </c>
      <c r="AF10" s="559">
        <v>769.99999999999943</v>
      </c>
      <c r="AG10" s="559">
        <v>64.166666666666615</v>
      </c>
      <c r="AH10" s="553" t="e">
        <f t="shared" si="9"/>
        <v>#N/A</v>
      </c>
      <c r="AI10" s="638"/>
      <c r="AJ10" s="553">
        <v>12</v>
      </c>
      <c r="AK10" s="559">
        <v>791.24999999999898</v>
      </c>
      <c r="AL10" s="559">
        <v>65.937499999999915</v>
      </c>
      <c r="AM10" s="553" t="e">
        <f t="shared" si="11"/>
        <v>#N/A</v>
      </c>
      <c r="AN10" s="638"/>
      <c r="AO10" s="553">
        <v>10</v>
      </c>
      <c r="AP10" s="559">
        <v>782.30769230769272</v>
      </c>
      <c r="AQ10" s="559">
        <v>78.230769230769269</v>
      </c>
      <c r="AR10" s="553" t="e">
        <f t="shared" si="13"/>
        <v>#N/A</v>
      </c>
      <c r="AS10" s="638"/>
      <c r="AT10" s="553">
        <v>10</v>
      </c>
      <c r="AU10" s="559">
        <v>803.07692307692355</v>
      </c>
      <c r="AV10" s="559">
        <v>80.307692307692349</v>
      </c>
      <c r="AW10" s="553" t="e">
        <f t="shared" si="15"/>
        <v>#N/A</v>
      </c>
      <c r="AX10" s="638"/>
      <c r="AZ10" s="361" t="e">
        <f t="shared" si="17"/>
        <v>#N/A</v>
      </c>
      <c r="BA10" s="694"/>
    </row>
    <row r="11" spans="1:53" ht="14.25">
      <c r="A11" s="81"/>
      <c r="B11" s="643"/>
      <c r="C11" s="555">
        <v>5</v>
      </c>
      <c r="D11" s="553"/>
      <c r="E11" s="553"/>
      <c r="F11" s="553"/>
      <c r="G11" s="559"/>
      <c r="H11" s="651"/>
      <c r="I11" s="554" t="str">
        <f t="shared" si="0"/>
        <v>-</v>
      </c>
      <c r="J11" s="554" t="str">
        <f t="shared" si="1"/>
        <v>-</v>
      </c>
      <c r="K11" s="194" t="str">
        <f t="shared" si="2"/>
        <v>-</v>
      </c>
      <c r="L11" s="653"/>
      <c r="M11" s="471" t="e">
        <f>RANK(K11, K$87:$K$101)</f>
        <v>#VALUE!</v>
      </c>
      <c r="N11" s="637"/>
      <c r="O11" s="637"/>
      <c r="P11" s="553" t="s">
        <v>557</v>
      </c>
      <c r="Q11" s="559" t="s">
        <v>557</v>
      </c>
      <c r="R11" s="559" t="s">
        <v>557</v>
      </c>
      <c r="S11" s="553" t="e">
        <f t="shared" si="3"/>
        <v>#VALUE!</v>
      </c>
      <c r="T11" s="638"/>
      <c r="U11" s="553" t="s">
        <v>557</v>
      </c>
      <c r="V11" s="559" t="s">
        <v>557</v>
      </c>
      <c r="W11" s="559" t="s">
        <v>557</v>
      </c>
      <c r="X11" s="553" t="e">
        <f t="shared" si="5"/>
        <v>#VALUE!</v>
      </c>
      <c r="Y11" s="638"/>
      <c r="Z11" s="553" t="s">
        <v>557</v>
      </c>
      <c r="AA11" s="559" t="s">
        <v>557</v>
      </c>
      <c r="AB11" s="559" t="s">
        <v>557</v>
      </c>
      <c r="AC11" s="553" t="e">
        <f t="shared" si="7"/>
        <v>#VALUE!</v>
      </c>
      <c r="AD11" s="638"/>
      <c r="AE11" s="553" t="s">
        <v>557</v>
      </c>
      <c r="AF11" s="559" t="s">
        <v>557</v>
      </c>
      <c r="AG11" s="559" t="s">
        <v>557</v>
      </c>
      <c r="AH11" s="553" t="e">
        <f t="shared" si="9"/>
        <v>#VALUE!</v>
      </c>
      <c r="AI11" s="638"/>
      <c r="AJ11" s="553" t="s">
        <v>557</v>
      </c>
      <c r="AK11" s="559" t="s">
        <v>557</v>
      </c>
      <c r="AL11" s="559" t="s">
        <v>557</v>
      </c>
      <c r="AM11" s="553" t="e">
        <f t="shared" si="11"/>
        <v>#VALUE!</v>
      </c>
      <c r="AN11" s="638"/>
      <c r="AO11" s="553" t="s">
        <v>557</v>
      </c>
      <c r="AP11" s="559" t="s">
        <v>557</v>
      </c>
      <c r="AQ11" s="559" t="s">
        <v>557</v>
      </c>
      <c r="AR11" s="553" t="e">
        <f t="shared" si="13"/>
        <v>#VALUE!</v>
      </c>
      <c r="AS11" s="638"/>
      <c r="AT11" s="553" t="s">
        <v>557</v>
      </c>
      <c r="AU11" s="559" t="s">
        <v>557</v>
      </c>
      <c r="AV11" s="559" t="s">
        <v>557</v>
      </c>
      <c r="AW11" s="553" t="e">
        <f t="shared" si="15"/>
        <v>#VALUE!</v>
      </c>
      <c r="AX11" s="638"/>
      <c r="AZ11" s="361" t="e">
        <f t="shared" si="17"/>
        <v>#N/A</v>
      </c>
      <c r="BA11" s="694"/>
    </row>
    <row r="12" spans="1:53" ht="14.25">
      <c r="A12" s="81"/>
      <c r="B12" s="643"/>
      <c r="C12" s="555">
        <v>6</v>
      </c>
      <c r="D12" s="553"/>
      <c r="E12" s="553"/>
      <c r="F12" s="553"/>
      <c r="G12" s="559"/>
      <c r="H12" s="651"/>
      <c r="I12" s="554" t="str">
        <f t="shared" si="0"/>
        <v>-</v>
      </c>
      <c r="J12" s="554" t="str">
        <f t="shared" si="1"/>
        <v>-</v>
      </c>
      <c r="K12" s="194" t="str">
        <f t="shared" si="2"/>
        <v>-</v>
      </c>
      <c r="L12" s="653"/>
      <c r="M12" s="471" t="e">
        <f>RANK(K12, K$87:$K$101)</f>
        <v>#VALUE!</v>
      </c>
      <c r="N12" s="637"/>
      <c r="O12" s="637"/>
      <c r="P12" s="553" t="s">
        <v>557</v>
      </c>
      <c r="Q12" s="559" t="s">
        <v>557</v>
      </c>
      <c r="R12" s="559" t="s">
        <v>557</v>
      </c>
      <c r="S12" s="553" t="e">
        <f t="shared" si="3"/>
        <v>#VALUE!</v>
      </c>
      <c r="T12" s="638"/>
      <c r="U12" s="553" t="s">
        <v>557</v>
      </c>
      <c r="V12" s="559" t="s">
        <v>557</v>
      </c>
      <c r="W12" s="559" t="s">
        <v>557</v>
      </c>
      <c r="X12" s="553" t="e">
        <f t="shared" si="5"/>
        <v>#VALUE!</v>
      </c>
      <c r="Y12" s="638"/>
      <c r="Z12" s="553" t="s">
        <v>557</v>
      </c>
      <c r="AA12" s="559" t="s">
        <v>557</v>
      </c>
      <c r="AB12" s="559" t="s">
        <v>557</v>
      </c>
      <c r="AC12" s="553" t="e">
        <f t="shared" si="7"/>
        <v>#VALUE!</v>
      </c>
      <c r="AD12" s="638"/>
      <c r="AE12" s="553" t="s">
        <v>557</v>
      </c>
      <c r="AF12" s="559" t="s">
        <v>557</v>
      </c>
      <c r="AG12" s="559" t="s">
        <v>557</v>
      </c>
      <c r="AH12" s="553" t="e">
        <f t="shared" si="9"/>
        <v>#VALUE!</v>
      </c>
      <c r="AI12" s="638"/>
      <c r="AJ12" s="553" t="s">
        <v>557</v>
      </c>
      <c r="AK12" s="559" t="s">
        <v>557</v>
      </c>
      <c r="AL12" s="559" t="s">
        <v>557</v>
      </c>
      <c r="AM12" s="553" t="e">
        <f t="shared" si="11"/>
        <v>#VALUE!</v>
      </c>
      <c r="AN12" s="638"/>
      <c r="AO12" s="553" t="s">
        <v>557</v>
      </c>
      <c r="AP12" s="559" t="s">
        <v>557</v>
      </c>
      <c r="AQ12" s="559" t="s">
        <v>557</v>
      </c>
      <c r="AR12" s="553" t="e">
        <f t="shared" si="13"/>
        <v>#VALUE!</v>
      </c>
      <c r="AS12" s="638"/>
      <c r="AT12" s="553" t="s">
        <v>557</v>
      </c>
      <c r="AU12" s="559" t="s">
        <v>557</v>
      </c>
      <c r="AV12" s="559" t="s">
        <v>557</v>
      </c>
      <c r="AW12" s="553" t="e">
        <f t="shared" si="15"/>
        <v>#VALUE!</v>
      </c>
      <c r="AX12" s="638"/>
      <c r="AZ12" s="361" t="e">
        <f t="shared" si="17"/>
        <v>#N/A</v>
      </c>
      <c r="BA12" s="694"/>
    </row>
    <row r="13" spans="1:53" ht="14.25">
      <c r="A13" s="81"/>
      <c r="B13" s="643"/>
      <c r="C13" s="555">
        <v>7</v>
      </c>
      <c r="D13" s="553"/>
      <c r="E13" s="553"/>
      <c r="F13" s="553"/>
      <c r="G13" s="559"/>
      <c r="H13" s="651"/>
      <c r="I13" s="554" t="str">
        <f t="shared" si="0"/>
        <v>-</v>
      </c>
      <c r="J13" s="554" t="str">
        <f t="shared" si="1"/>
        <v>-</v>
      </c>
      <c r="K13" s="194" t="str">
        <f t="shared" si="2"/>
        <v>-</v>
      </c>
      <c r="L13" s="653"/>
      <c r="M13" s="471" t="e">
        <f>RANK(K13, K$87:$K$101)</f>
        <v>#VALUE!</v>
      </c>
      <c r="N13" s="637"/>
      <c r="O13" s="637"/>
      <c r="P13" s="553" t="s">
        <v>557</v>
      </c>
      <c r="Q13" s="559" t="s">
        <v>557</v>
      </c>
      <c r="R13" s="559" t="s">
        <v>557</v>
      </c>
      <c r="S13" s="553" t="e">
        <f t="shared" si="3"/>
        <v>#VALUE!</v>
      </c>
      <c r="T13" s="638"/>
      <c r="U13" s="553" t="s">
        <v>557</v>
      </c>
      <c r="V13" s="559" t="s">
        <v>557</v>
      </c>
      <c r="W13" s="559" t="s">
        <v>557</v>
      </c>
      <c r="X13" s="553" t="e">
        <f t="shared" si="5"/>
        <v>#VALUE!</v>
      </c>
      <c r="Y13" s="638"/>
      <c r="Z13" s="553" t="s">
        <v>557</v>
      </c>
      <c r="AA13" s="559" t="s">
        <v>557</v>
      </c>
      <c r="AB13" s="559" t="s">
        <v>557</v>
      </c>
      <c r="AC13" s="553" t="e">
        <f t="shared" si="7"/>
        <v>#VALUE!</v>
      </c>
      <c r="AD13" s="638"/>
      <c r="AE13" s="553" t="s">
        <v>557</v>
      </c>
      <c r="AF13" s="559" t="s">
        <v>557</v>
      </c>
      <c r="AG13" s="559" t="s">
        <v>557</v>
      </c>
      <c r="AH13" s="553" t="e">
        <f t="shared" si="9"/>
        <v>#VALUE!</v>
      </c>
      <c r="AI13" s="638"/>
      <c r="AJ13" s="553" t="s">
        <v>557</v>
      </c>
      <c r="AK13" s="559" t="s">
        <v>557</v>
      </c>
      <c r="AL13" s="559" t="s">
        <v>557</v>
      </c>
      <c r="AM13" s="553" t="e">
        <f t="shared" si="11"/>
        <v>#VALUE!</v>
      </c>
      <c r="AN13" s="638"/>
      <c r="AO13" s="553" t="s">
        <v>557</v>
      </c>
      <c r="AP13" s="559" t="s">
        <v>557</v>
      </c>
      <c r="AQ13" s="559" t="s">
        <v>557</v>
      </c>
      <c r="AR13" s="553" t="e">
        <f t="shared" si="13"/>
        <v>#VALUE!</v>
      </c>
      <c r="AS13" s="638"/>
      <c r="AT13" s="553" t="s">
        <v>557</v>
      </c>
      <c r="AU13" s="559" t="s">
        <v>557</v>
      </c>
      <c r="AV13" s="559" t="s">
        <v>557</v>
      </c>
      <c r="AW13" s="553" t="e">
        <f t="shared" si="15"/>
        <v>#VALUE!</v>
      </c>
      <c r="AX13" s="638"/>
      <c r="AZ13" s="361" t="e">
        <f t="shared" si="17"/>
        <v>#N/A</v>
      </c>
      <c r="BA13" s="694"/>
    </row>
    <row r="14" spans="1:53" ht="14.25">
      <c r="A14" s="81"/>
      <c r="B14" s="643"/>
      <c r="C14" s="555">
        <v>8</v>
      </c>
      <c r="D14" s="553"/>
      <c r="E14" s="553"/>
      <c r="F14" s="553"/>
      <c r="G14" s="559"/>
      <c r="H14" s="651"/>
      <c r="I14" s="554" t="str">
        <f t="shared" si="0"/>
        <v>-</v>
      </c>
      <c r="J14" s="554" t="str">
        <f t="shared" si="1"/>
        <v>-</v>
      </c>
      <c r="K14" s="194" t="str">
        <f t="shared" si="2"/>
        <v>-</v>
      </c>
      <c r="L14" s="653"/>
      <c r="M14" s="471" t="e">
        <f>RANK(K14, K$87:$K$101)</f>
        <v>#VALUE!</v>
      </c>
      <c r="N14" s="637"/>
      <c r="O14" s="637"/>
      <c r="P14" s="553" t="s">
        <v>557</v>
      </c>
      <c r="Q14" s="559" t="s">
        <v>557</v>
      </c>
      <c r="R14" s="559" t="s">
        <v>557</v>
      </c>
      <c r="S14" s="553" t="e">
        <f t="shared" si="3"/>
        <v>#VALUE!</v>
      </c>
      <c r="T14" s="638"/>
      <c r="U14" s="553" t="s">
        <v>557</v>
      </c>
      <c r="V14" s="559" t="s">
        <v>557</v>
      </c>
      <c r="W14" s="559" t="s">
        <v>557</v>
      </c>
      <c r="X14" s="553" t="e">
        <f t="shared" si="5"/>
        <v>#VALUE!</v>
      </c>
      <c r="Y14" s="638"/>
      <c r="Z14" s="553" t="s">
        <v>557</v>
      </c>
      <c r="AA14" s="559" t="s">
        <v>557</v>
      </c>
      <c r="AB14" s="559" t="s">
        <v>557</v>
      </c>
      <c r="AC14" s="553" t="e">
        <f t="shared" si="7"/>
        <v>#VALUE!</v>
      </c>
      <c r="AD14" s="638"/>
      <c r="AE14" s="553" t="s">
        <v>557</v>
      </c>
      <c r="AF14" s="559" t="s">
        <v>557</v>
      </c>
      <c r="AG14" s="559" t="s">
        <v>557</v>
      </c>
      <c r="AH14" s="553" t="e">
        <f t="shared" si="9"/>
        <v>#VALUE!</v>
      </c>
      <c r="AI14" s="638"/>
      <c r="AJ14" s="553" t="s">
        <v>557</v>
      </c>
      <c r="AK14" s="559" t="s">
        <v>557</v>
      </c>
      <c r="AL14" s="559" t="s">
        <v>557</v>
      </c>
      <c r="AM14" s="553" t="e">
        <f t="shared" si="11"/>
        <v>#VALUE!</v>
      </c>
      <c r="AN14" s="638"/>
      <c r="AO14" s="553" t="s">
        <v>557</v>
      </c>
      <c r="AP14" s="559" t="s">
        <v>557</v>
      </c>
      <c r="AQ14" s="559" t="s">
        <v>557</v>
      </c>
      <c r="AR14" s="553" t="e">
        <f t="shared" si="13"/>
        <v>#VALUE!</v>
      </c>
      <c r="AS14" s="638"/>
      <c r="AT14" s="553" t="s">
        <v>557</v>
      </c>
      <c r="AU14" s="559" t="s">
        <v>557</v>
      </c>
      <c r="AV14" s="559" t="s">
        <v>557</v>
      </c>
      <c r="AW14" s="553" t="e">
        <f t="shared" si="15"/>
        <v>#VALUE!</v>
      </c>
      <c r="AX14" s="638"/>
      <c r="AZ14" s="361" t="e">
        <f t="shared" si="17"/>
        <v>#N/A</v>
      </c>
      <c r="BA14" s="694"/>
    </row>
    <row r="15" spans="1:53" ht="14.25">
      <c r="A15" s="81"/>
      <c r="B15" s="643"/>
      <c r="C15" s="555">
        <v>9</v>
      </c>
      <c r="D15" s="553"/>
      <c r="E15" s="553"/>
      <c r="F15" s="553"/>
      <c r="G15" s="559"/>
      <c r="H15" s="651"/>
      <c r="I15" s="554" t="str">
        <f t="shared" si="0"/>
        <v>-</v>
      </c>
      <c r="J15" s="554" t="str">
        <f t="shared" si="1"/>
        <v>-</v>
      </c>
      <c r="K15" s="194" t="str">
        <f t="shared" si="2"/>
        <v>-</v>
      </c>
      <c r="L15" s="653"/>
      <c r="M15" s="471" t="e">
        <f>RANK(K15, K$87:$K$101)</f>
        <v>#VALUE!</v>
      </c>
      <c r="N15" s="637"/>
      <c r="O15" s="637"/>
      <c r="P15" s="553" t="s">
        <v>557</v>
      </c>
      <c r="Q15" s="559" t="s">
        <v>557</v>
      </c>
      <c r="R15" s="559" t="s">
        <v>557</v>
      </c>
      <c r="S15" s="553" t="e">
        <f t="shared" si="3"/>
        <v>#VALUE!</v>
      </c>
      <c r="T15" s="638"/>
      <c r="U15" s="553" t="s">
        <v>557</v>
      </c>
      <c r="V15" s="559" t="s">
        <v>557</v>
      </c>
      <c r="W15" s="559" t="s">
        <v>557</v>
      </c>
      <c r="X15" s="553" t="e">
        <f t="shared" si="5"/>
        <v>#VALUE!</v>
      </c>
      <c r="Y15" s="638"/>
      <c r="Z15" s="553" t="s">
        <v>557</v>
      </c>
      <c r="AA15" s="559" t="s">
        <v>557</v>
      </c>
      <c r="AB15" s="559" t="s">
        <v>557</v>
      </c>
      <c r="AC15" s="553" t="e">
        <f t="shared" si="7"/>
        <v>#VALUE!</v>
      </c>
      <c r="AD15" s="638"/>
      <c r="AE15" s="553" t="s">
        <v>557</v>
      </c>
      <c r="AF15" s="559" t="s">
        <v>557</v>
      </c>
      <c r="AG15" s="559" t="s">
        <v>557</v>
      </c>
      <c r="AH15" s="553" t="e">
        <f t="shared" si="9"/>
        <v>#VALUE!</v>
      </c>
      <c r="AI15" s="638"/>
      <c r="AJ15" s="553" t="s">
        <v>557</v>
      </c>
      <c r="AK15" s="559" t="s">
        <v>557</v>
      </c>
      <c r="AL15" s="559" t="s">
        <v>557</v>
      </c>
      <c r="AM15" s="553" t="e">
        <f t="shared" si="11"/>
        <v>#VALUE!</v>
      </c>
      <c r="AN15" s="638"/>
      <c r="AO15" s="553" t="s">
        <v>557</v>
      </c>
      <c r="AP15" s="559" t="s">
        <v>557</v>
      </c>
      <c r="AQ15" s="559" t="s">
        <v>557</v>
      </c>
      <c r="AR15" s="553" t="e">
        <f t="shared" si="13"/>
        <v>#VALUE!</v>
      </c>
      <c r="AS15" s="638"/>
      <c r="AT15" s="553" t="s">
        <v>557</v>
      </c>
      <c r="AU15" s="559" t="s">
        <v>557</v>
      </c>
      <c r="AV15" s="559" t="s">
        <v>557</v>
      </c>
      <c r="AW15" s="553" t="e">
        <f t="shared" si="15"/>
        <v>#VALUE!</v>
      </c>
      <c r="AX15" s="638"/>
      <c r="AZ15" s="361" t="e">
        <f t="shared" si="17"/>
        <v>#N/A</v>
      </c>
      <c r="BA15" s="694"/>
    </row>
    <row r="16" spans="1:53" ht="14.25">
      <c r="A16" s="81"/>
      <c r="B16" s="643"/>
      <c r="C16" s="555">
        <v>10</v>
      </c>
      <c r="D16" s="553"/>
      <c r="E16" s="553"/>
      <c r="F16" s="553"/>
      <c r="G16" s="559"/>
      <c r="H16" s="651"/>
      <c r="I16" s="554" t="str">
        <f t="shared" si="0"/>
        <v>-</v>
      </c>
      <c r="J16" s="554" t="str">
        <f t="shared" si="1"/>
        <v>-</v>
      </c>
      <c r="K16" s="194" t="str">
        <f t="shared" si="2"/>
        <v>-</v>
      </c>
      <c r="L16" s="653"/>
      <c r="M16" s="471" t="e">
        <f>RANK(K16, K$87:$K$101)</f>
        <v>#VALUE!</v>
      </c>
      <c r="N16" s="637"/>
      <c r="O16" s="637"/>
      <c r="P16" s="553" t="s">
        <v>557</v>
      </c>
      <c r="Q16" s="559" t="s">
        <v>557</v>
      </c>
      <c r="R16" s="559" t="s">
        <v>557</v>
      </c>
      <c r="S16" s="553" t="e">
        <f t="shared" si="3"/>
        <v>#VALUE!</v>
      </c>
      <c r="T16" s="638"/>
      <c r="U16" s="553" t="s">
        <v>557</v>
      </c>
      <c r="V16" s="559" t="s">
        <v>557</v>
      </c>
      <c r="W16" s="559" t="s">
        <v>557</v>
      </c>
      <c r="X16" s="553" t="e">
        <f t="shared" si="5"/>
        <v>#VALUE!</v>
      </c>
      <c r="Y16" s="638"/>
      <c r="Z16" s="553" t="s">
        <v>557</v>
      </c>
      <c r="AA16" s="559" t="s">
        <v>557</v>
      </c>
      <c r="AB16" s="559" t="s">
        <v>557</v>
      </c>
      <c r="AC16" s="553" t="e">
        <f t="shared" si="7"/>
        <v>#VALUE!</v>
      </c>
      <c r="AD16" s="638"/>
      <c r="AE16" s="553" t="s">
        <v>557</v>
      </c>
      <c r="AF16" s="559" t="s">
        <v>557</v>
      </c>
      <c r="AG16" s="559" t="s">
        <v>557</v>
      </c>
      <c r="AH16" s="553" t="e">
        <f t="shared" si="9"/>
        <v>#VALUE!</v>
      </c>
      <c r="AI16" s="638"/>
      <c r="AJ16" s="553" t="s">
        <v>557</v>
      </c>
      <c r="AK16" s="559" t="s">
        <v>557</v>
      </c>
      <c r="AL16" s="559" t="s">
        <v>557</v>
      </c>
      <c r="AM16" s="553" t="e">
        <f t="shared" si="11"/>
        <v>#VALUE!</v>
      </c>
      <c r="AN16" s="638"/>
      <c r="AO16" s="553" t="s">
        <v>557</v>
      </c>
      <c r="AP16" s="559" t="s">
        <v>557</v>
      </c>
      <c r="AQ16" s="559" t="s">
        <v>557</v>
      </c>
      <c r="AR16" s="553" t="e">
        <f t="shared" si="13"/>
        <v>#VALUE!</v>
      </c>
      <c r="AS16" s="638"/>
      <c r="AT16" s="553" t="s">
        <v>557</v>
      </c>
      <c r="AU16" s="559" t="s">
        <v>557</v>
      </c>
      <c r="AV16" s="559" t="s">
        <v>557</v>
      </c>
      <c r="AW16" s="553" t="e">
        <f t="shared" si="15"/>
        <v>#VALUE!</v>
      </c>
      <c r="AX16" s="638"/>
      <c r="AZ16" s="361" t="e">
        <f t="shared" si="17"/>
        <v>#N/A</v>
      </c>
      <c r="BA16" s="694"/>
    </row>
    <row r="17" spans="2:53">
      <c r="B17" s="643"/>
      <c r="C17" s="555">
        <v>11</v>
      </c>
      <c r="D17" s="553"/>
      <c r="E17" s="553"/>
      <c r="F17" s="553"/>
      <c r="G17" s="559"/>
      <c r="H17" s="651"/>
      <c r="I17" s="554" t="str">
        <f t="shared" si="0"/>
        <v>-</v>
      </c>
      <c r="J17" s="554" t="str">
        <f t="shared" si="1"/>
        <v>-</v>
      </c>
      <c r="K17" s="194" t="str">
        <f t="shared" si="2"/>
        <v>-</v>
      </c>
      <c r="L17" s="653"/>
      <c r="M17" s="471" t="e">
        <f>RANK(K17, K$87:$K$101)</f>
        <v>#VALUE!</v>
      </c>
      <c r="N17" s="637"/>
      <c r="O17" s="637"/>
      <c r="P17" s="553" t="s">
        <v>557</v>
      </c>
      <c r="Q17" s="559" t="s">
        <v>557</v>
      </c>
      <c r="R17" s="559" t="s">
        <v>557</v>
      </c>
      <c r="S17" s="553" t="e">
        <f t="shared" si="3"/>
        <v>#VALUE!</v>
      </c>
      <c r="T17" s="638"/>
      <c r="U17" s="553" t="s">
        <v>557</v>
      </c>
      <c r="V17" s="559" t="s">
        <v>557</v>
      </c>
      <c r="W17" s="559" t="s">
        <v>557</v>
      </c>
      <c r="X17" s="553" t="e">
        <f t="shared" si="5"/>
        <v>#VALUE!</v>
      </c>
      <c r="Y17" s="638"/>
      <c r="Z17" s="553" t="s">
        <v>557</v>
      </c>
      <c r="AA17" s="559" t="s">
        <v>557</v>
      </c>
      <c r="AB17" s="559" t="s">
        <v>557</v>
      </c>
      <c r="AC17" s="553" t="e">
        <f t="shared" si="7"/>
        <v>#VALUE!</v>
      </c>
      <c r="AD17" s="638"/>
      <c r="AE17" s="553" t="s">
        <v>557</v>
      </c>
      <c r="AF17" s="559" t="s">
        <v>557</v>
      </c>
      <c r="AG17" s="559" t="s">
        <v>557</v>
      </c>
      <c r="AH17" s="553" t="e">
        <f t="shared" si="9"/>
        <v>#VALUE!</v>
      </c>
      <c r="AI17" s="638"/>
      <c r="AJ17" s="553" t="s">
        <v>557</v>
      </c>
      <c r="AK17" s="559" t="s">
        <v>557</v>
      </c>
      <c r="AL17" s="559" t="s">
        <v>557</v>
      </c>
      <c r="AM17" s="553" t="e">
        <f t="shared" si="11"/>
        <v>#VALUE!</v>
      </c>
      <c r="AN17" s="638"/>
      <c r="AO17" s="553" t="s">
        <v>557</v>
      </c>
      <c r="AP17" s="559" t="s">
        <v>557</v>
      </c>
      <c r="AQ17" s="559" t="s">
        <v>557</v>
      </c>
      <c r="AR17" s="553" t="e">
        <f t="shared" si="13"/>
        <v>#VALUE!</v>
      </c>
      <c r="AS17" s="638"/>
      <c r="AT17" s="553" t="s">
        <v>557</v>
      </c>
      <c r="AU17" s="559" t="s">
        <v>557</v>
      </c>
      <c r="AV17" s="559" t="s">
        <v>557</v>
      </c>
      <c r="AW17" s="553" t="e">
        <f t="shared" si="15"/>
        <v>#VALUE!</v>
      </c>
      <c r="AX17" s="638"/>
      <c r="AZ17" s="361" t="e">
        <f t="shared" si="17"/>
        <v>#N/A</v>
      </c>
      <c r="BA17" s="694"/>
    </row>
    <row r="18" spans="2:53">
      <c r="B18" s="643"/>
      <c r="C18" s="555">
        <v>12</v>
      </c>
      <c r="D18" s="553"/>
      <c r="E18" s="553"/>
      <c r="F18" s="553"/>
      <c r="G18" s="559"/>
      <c r="H18" s="651"/>
      <c r="I18" s="554" t="str">
        <f t="shared" si="0"/>
        <v>-</v>
      </c>
      <c r="J18" s="554" t="str">
        <f t="shared" si="1"/>
        <v>-</v>
      </c>
      <c r="K18" s="194" t="str">
        <f t="shared" si="2"/>
        <v>-</v>
      </c>
      <c r="L18" s="653"/>
      <c r="M18" s="471" t="e">
        <f>RANK(K18, K$87:$K$101)</f>
        <v>#VALUE!</v>
      </c>
      <c r="N18" s="637"/>
      <c r="O18" s="637"/>
      <c r="P18" s="553" t="s">
        <v>557</v>
      </c>
      <c r="Q18" s="559" t="s">
        <v>557</v>
      </c>
      <c r="R18" s="559" t="s">
        <v>557</v>
      </c>
      <c r="S18" s="553" t="e">
        <f t="shared" si="3"/>
        <v>#VALUE!</v>
      </c>
      <c r="T18" s="638"/>
      <c r="U18" s="553" t="s">
        <v>557</v>
      </c>
      <c r="V18" s="559" t="s">
        <v>557</v>
      </c>
      <c r="W18" s="559" t="s">
        <v>557</v>
      </c>
      <c r="X18" s="553" t="e">
        <f t="shared" si="5"/>
        <v>#VALUE!</v>
      </c>
      <c r="Y18" s="638"/>
      <c r="Z18" s="553" t="s">
        <v>557</v>
      </c>
      <c r="AA18" s="559" t="s">
        <v>557</v>
      </c>
      <c r="AB18" s="559" t="s">
        <v>557</v>
      </c>
      <c r="AC18" s="553" t="e">
        <f t="shared" si="7"/>
        <v>#VALUE!</v>
      </c>
      <c r="AD18" s="638"/>
      <c r="AE18" s="553" t="s">
        <v>557</v>
      </c>
      <c r="AF18" s="559" t="s">
        <v>557</v>
      </c>
      <c r="AG18" s="559" t="s">
        <v>557</v>
      </c>
      <c r="AH18" s="553" t="e">
        <f t="shared" si="9"/>
        <v>#VALUE!</v>
      </c>
      <c r="AI18" s="638"/>
      <c r="AJ18" s="553" t="s">
        <v>557</v>
      </c>
      <c r="AK18" s="559" t="s">
        <v>557</v>
      </c>
      <c r="AL18" s="559" t="s">
        <v>557</v>
      </c>
      <c r="AM18" s="553" t="e">
        <f t="shared" si="11"/>
        <v>#VALUE!</v>
      </c>
      <c r="AN18" s="638"/>
      <c r="AO18" s="553" t="s">
        <v>557</v>
      </c>
      <c r="AP18" s="559" t="s">
        <v>557</v>
      </c>
      <c r="AQ18" s="559" t="s">
        <v>557</v>
      </c>
      <c r="AR18" s="553" t="e">
        <f t="shared" si="13"/>
        <v>#VALUE!</v>
      </c>
      <c r="AS18" s="638"/>
      <c r="AT18" s="553" t="s">
        <v>557</v>
      </c>
      <c r="AU18" s="559" t="s">
        <v>557</v>
      </c>
      <c r="AV18" s="559" t="s">
        <v>557</v>
      </c>
      <c r="AW18" s="553" t="e">
        <f t="shared" si="15"/>
        <v>#VALUE!</v>
      </c>
      <c r="AX18" s="638"/>
      <c r="AZ18" s="361" t="e">
        <f t="shared" si="17"/>
        <v>#N/A</v>
      </c>
      <c r="BA18" s="694"/>
    </row>
    <row r="19" spans="2:53">
      <c r="B19" s="643"/>
      <c r="C19" s="555">
        <v>13</v>
      </c>
      <c r="D19" s="553"/>
      <c r="E19" s="553"/>
      <c r="F19" s="553"/>
      <c r="G19" s="559"/>
      <c r="H19" s="651"/>
      <c r="I19" s="554" t="str">
        <f t="shared" si="0"/>
        <v>-</v>
      </c>
      <c r="J19" s="554" t="str">
        <f t="shared" si="1"/>
        <v>-</v>
      </c>
      <c r="K19" s="194" t="str">
        <f t="shared" si="2"/>
        <v>-</v>
      </c>
      <c r="L19" s="653"/>
      <c r="M19" s="471" t="e">
        <f>RANK(K19, K$87:$K$101)</f>
        <v>#VALUE!</v>
      </c>
      <c r="N19" s="637"/>
      <c r="O19" s="637"/>
      <c r="P19" s="553" t="s">
        <v>557</v>
      </c>
      <c r="Q19" s="559" t="s">
        <v>557</v>
      </c>
      <c r="R19" s="559" t="s">
        <v>557</v>
      </c>
      <c r="S19" s="553" t="e">
        <f t="shared" si="3"/>
        <v>#VALUE!</v>
      </c>
      <c r="T19" s="638"/>
      <c r="U19" s="553" t="s">
        <v>557</v>
      </c>
      <c r="V19" s="559" t="s">
        <v>557</v>
      </c>
      <c r="W19" s="559" t="s">
        <v>557</v>
      </c>
      <c r="X19" s="553" t="e">
        <f t="shared" si="5"/>
        <v>#VALUE!</v>
      </c>
      <c r="Y19" s="638"/>
      <c r="Z19" s="553" t="s">
        <v>557</v>
      </c>
      <c r="AA19" s="559" t="s">
        <v>557</v>
      </c>
      <c r="AB19" s="559" t="s">
        <v>557</v>
      </c>
      <c r="AC19" s="553" t="e">
        <f t="shared" si="7"/>
        <v>#VALUE!</v>
      </c>
      <c r="AD19" s="638"/>
      <c r="AE19" s="553" t="s">
        <v>557</v>
      </c>
      <c r="AF19" s="559" t="s">
        <v>557</v>
      </c>
      <c r="AG19" s="559" t="s">
        <v>557</v>
      </c>
      <c r="AH19" s="553" t="e">
        <f t="shared" si="9"/>
        <v>#VALUE!</v>
      </c>
      <c r="AI19" s="638"/>
      <c r="AJ19" s="553" t="s">
        <v>557</v>
      </c>
      <c r="AK19" s="559" t="s">
        <v>557</v>
      </c>
      <c r="AL19" s="559" t="s">
        <v>557</v>
      </c>
      <c r="AM19" s="553" t="e">
        <f t="shared" si="11"/>
        <v>#VALUE!</v>
      </c>
      <c r="AN19" s="638"/>
      <c r="AO19" s="553" t="s">
        <v>557</v>
      </c>
      <c r="AP19" s="559" t="s">
        <v>557</v>
      </c>
      <c r="AQ19" s="559" t="s">
        <v>557</v>
      </c>
      <c r="AR19" s="553" t="e">
        <f t="shared" si="13"/>
        <v>#VALUE!</v>
      </c>
      <c r="AS19" s="638"/>
      <c r="AT19" s="553" t="s">
        <v>557</v>
      </c>
      <c r="AU19" s="559" t="s">
        <v>557</v>
      </c>
      <c r="AV19" s="559" t="s">
        <v>557</v>
      </c>
      <c r="AW19" s="553" t="e">
        <f t="shared" si="15"/>
        <v>#VALUE!</v>
      </c>
      <c r="AX19" s="638"/>
      <c r="AZ19" s="361" t="e">
        <f t="shared" si="17"/>
        <v>#N/A</v>
      </c>
      <c r="BA19" s="694"/>
    </row>
    <row r="20" spans="2:53">
      <c r="B20" s="643"/>
      <c r="C20" s="555">
        <v>14</v>
      </c>
      <c r="D20" s="553"/>
      <c r="E20" s="553"/>
      <c r="F20" s="553"/>
      <c r="G20" s="559"/>
      <c r="H20" s="651"/>
      <c r="I20" s="554" t="str">
        <f t="shared" si="0"/>
        <v>-</v>
      </c>
      <c r="J20" s="554" t="str">
        <f t="shared" si="1"/>
        <v>-</v>
      </c>
      <c r="K20" s="194" t="str">
        <f t="shared" si="2"/>
        <v>-</v>
      </c>
      <c r="L20" s="653"/>
      <c r="M20" s="471" t="e">
        <f>RANK(K20, K$87:$K$101)</f>
        <v>#VALUE!</v>
      </c>
      <c r="N20" s="637"/>
      <c r="O20" s="637"/>
      <c r="P20" s="553" t="s">
        <v>557</v>
      </c>
      <c r="Q20" s="559" t="s">
        <v>557</v>
      </c>
      <c r="R20" s="559" t="s">
        <v>557</v>
      </c>
      <c r="S20" s="553" t="e">
        <f t="shared" si="3"/>
        <v>#VALUE!</v>
      </c>
      <c r="T20" s="638"/>
      <c r="U20" s="553" t="s">
        <v>557</v>
      </c>
      <c r="V20" s="559" t="s">
        <v>557</v>
      </c>
      <c r="W20" s="559" t="s">
        <v>557</v>
      </c>
      <c r="X20" s="553" t="e">
        <f t="shared" si="5"/>
        <v>#VALUE!</v>
      </c>
      <c r="Y20" s="638"/>
      <c r="Z20" s="553" t="s">
        <v>557</v>
      </c>
      <c r="AA20" s="559" t="s">
        <v>557</v>
      </c>
      <c r="AB20" s="559" t="s">
        <v>557</v>
      </c>
      <c r="AC20" s="553" t="e">
        <f t="shared" si="7"/>
        <v>#VALUE!</v>
      </c>
      <c r="AD20" s="638"/>
      <c r="AE20" s="553" t="s">
        <v>557</v>
      </c>
      <c r="AF20" s="559" t="s">
        <v>557</v>
      </c>
      <c r="AG20" s="559" t="s">
        <v>557</v>
      </c>
      <c r="AH20" s="553" t="e">
        <f t="shared" si="9"/>
        <v>#VALUE!</v>
      </c>
      <c r="AI20" s="638"/>
      <c r="AJ20" s="553" t="s">
        <v>557</v>
      </c>
      <c r="AK20" s="559" t="s">
        <v>557</v>
      </c>
      <c r="AL20" s="559" t="s">
        <v>557</v>
      </c>
      <c r="AM20" s="553" t="e">
        <f t="shared" si="11"/>
        <v>#VALUE!</v>
      </c>
      <c r="AN20" s="638"/>
      <c r="AO20" s="553" t="s">
        <v>557</v>
      </c>
      <c r="AP20" s="559" t="s">
        <v>557</v>
      </c>
      <c r="AQ20" s="559" t="s">
        <v>557</v>
      </c>
      <c r="AR20" s="553" t="e">
        <f t="shared" si="13"/>
        <v>#VALUE!</v>
      </c>
      <c r="AS20" s="638"/>
      <c r="AT20" s="553" t="s">
        <v>557</v>
      </c>
      <c r="AU20" s="559" t="s">
        <v>557</v>
      </c>
      <c r="AV20" s="559" t="s">
        <v>557</v>
      </c>
      <c r="AW20" s="553" t="e">
        <f t="shared" si="15"/>
        <v>#VALUE!</v>
      </c>
      <c r="AX20" s="638"/>
      <c r="AZ20" s="361" t="e">
        <f t="shared" si="17"/>
        <v>#N/A</v>
      </c>
      <c r="BA20" s="694"/>
    </row>
    <row r="21" spans="2:53">
      <c r="B21" s="643"/>
      <c r="C21" s="555">
        <v>15</v>
      </c>
      <c r="D21" s="553"/>
      <c r="E21" s="553"/>
      <c r="F21" s="553"/>
      <c r="G21" s="553"/>
      <c r="H21" s="708"/>
      <c r="I21" s="554" t="str">
        <f t="shared" si="0"/>
        <v>-</v>
      </c>
      <c r="J21" s="554" t="str">
        <f t="shared" si="1"/>
        <v>-</v>
      </c>
      <c r="K21" s="194" t="str">
        <f t="shared" si="2"/>
        <v>-</v>
      </c>
      <c r="L21" s="654"/>
      <c r="M21" s="471" t="e">
        <f>RANK(K21, K$87:$K$101)</f>
        <v>#VALUE!</v>
      </c>
      <c r="N21" s="637"/>
      <c r="O21" s="637"/>
      <c r="P21" s="553" t="s">
        <v>557</v>
      </c>
      <c r="Q21" s="559" t="s">
        <v>557</v>
      </c>
      <c r="R21" s="559" t="s">
        <v>557</v>
      </c>
      <c r="S21" s="553" t="e">
        <f t="shared" si="3"/>
        <v>#VALUE!</v>
      </c>
      <c r="T21" s="638"/>
      <c r="U21" s="553" t="s">
        <v>557</v>
      </c>
      <c r="V21" s="559" t="s">
        <v>557</v>
      </c>
      <c r="W21" s="559" t="s">
        <v>557</v>
      </c>
      <c r="X21" s="553" t="e">
        <f t="shared" si="5"/>
        <v>#VALUE!</v>
      </c>
      <c r="Y21" s="638"/>
      <c r="Z21" s="553" t="s">
        <v>557</v>
      </c>
      <c r="AA21" s="559" t="s">
        <v>557</v>
      </c>
      <c r="AB21" s="559" t="s">
        <v>557</v>
      </c>
      <c r="AC21" s="553" t="e">
        <f t="shared" si="7"/>
        <v>#VALUE!</v>
      </c>
      <c r="AD21" s="638"/>
      <c r="AE21" s="553" t="s">
        <v>557</v>
      </c>
      <c r="AF21" s="559" t="s">
        <v>557</v>
      </c>
      <c r="AG21" s="559" t="s">
        <v>557</v>
      </c>
      <c r="AH21" s="553" t="e">
        <f t="shared" si="9"/>
        <v>#VALUE!</v>
      </c>
      <c r="AI21" s="638"/>
      <c r="AJ21" s="553" t="s">
        <v>557</v>
      </c>
      <c r="AK21" s="559" t="s">
        <v>557</v>
      </c>
      <c r="AL21" s="559" t="s">
        <v>557</v>
      </c>
      <c r="AM21" s="553" t="e">
        <f t="shared" si="11"/>
        <v>#VALUE!</v>
      </c>
      <c r="AN21" s="638"/>
      <c r="AO21" s="553" t="s">
        <v>557</v>
      </c>
      <c r="AP21" s="559" t="s">
        <v>557</v>
      </c>
      <c r="AQ21" s="559" t="s">
        <v>557</v>
      </c>
      <c r="AR21" s="553" t="e">
        <f t="shared" si="13"/>
        <v>#VALUE!</v>
      </c>
      <c r="AS21" s="638"/>
      <c r="AT21" s="553" t="s">
        <v>557</v>
      </c>
      <c r="AU21" s="559" t="s">
        <v>557</v>
      </c>
      <c r="AV21" s="559" t="s">
        <v>557</v>
      </c>
      <c r="AW21" s="553" t="e">
        <f t="shared" si="15"/>
        <v>#VALUE!</v>
      </c>
      <c r="AX21" s="638"/>
      <c r="AZ21" s="361" t="e">
        <f t="shared" si="17"/>
        <v>#N/A</v>
      </c>
      <c r="BA21" s="694"/>
    </row>
    <row r="22" spans="2:53" ht="15.75">
      <c r="B22" s="676" t="s">
        <v>162</v>
      </c>
      <c r="C22" s="677"/>
      <c r="D22" s="677"/>
      <c r="E22" s="677"/>
      <c r="F22" s="677"/>
      <c r="G22" s="677"/>
      <c r="H22" s="677"/>
      <c r="I22" s="197"/>
      <c r="J22" s="197"/>
      <c r="K22" s="197"/>
      <c r="L22" s="197"/>
      <c r="M22" s="198"/>
      <c r="N22" s="639" t="s">
        <v>156</v>
      </c>
      <c r="O22" s="639" t="s">
        <v>105</v>
      </c>
      <c r="P22" s="664">
        <f>P2+7</f>
        <v>46301</v>
      </c>
      <c r="Q22" s="643"/>
      <c r="R22" s="643"/>
      <c r="S22" s="643"/>
      <c r="T22" s="643"/>
      <c r="U22" s="661">
        <f>P22+1</f>
        <v>46302</v>
      </c>
      <c r="V22" s="662"/>
      <c r="W22" s="662"/>
      <c r="X22" s="662"/>
      <c r="Y22" s="663"/>
      <c r="Z22" s="661">
        <f>U22+1</f>
        <v>46303</v>
      </c>
      <c r="AA22" s="662"/>
      <c r="AB22" s="662"/>
      <c r="AC22" s="662"/>
      <c r="AD22" s="663"/>
      <c r="AE22" s="661">
        <f>Z22+1</f>
        <v>46304</v>
      </c>
      <c r="AF22" s="662"/>
      <c r="AG22" s="662"/>
      <c r="AH22" s="662"/>
      <c r="AI22" s="663"/>
      <c r="AJ22" s="661">
        <f>AE22+1</f>
        <v>46305</v>
      </c>
      <c r="AK22" s="662"/>
      <c r="AL22" s="662"/>
      <c r="AM22" s="662"/>
      <c r="AN22" s="663"/>
      <c r="AO22" s="661">
        <f>AJ22+1</f>
        <v>46306</v>
      </c>
      <c r="AP22" s="662"/>
      <c r="AQ22" s="662"/>
      <c r="AR22" s="662"/>
      <c r="AS22" s="663"/>
      <c r="AT22" s="661">
        <f>AO22+1</f>
        <v>46307</v>
      </c>
      <c r="AU22" s="662"/>
      <c r="AV22" s="662"/>
      <c r="AW22" s="662"/>
      <c r="AX22" s="663"/>
    </row>
    <row r="23" spans="2:53" ht="15.75">
      <c r="B23" s="668"/>
      <c r="C23" s="668"/>
      <c r="D23" s="668"/>
      <c r="E23" s="668"/>
      <c r="F23" s="668"/>
      <c r="G23" s="668"/>
      <c r="H23" s="668"/>
      <c r="I23" s="199"/>
      <c r="J23" s="199"/>
      <c r="K23" s="199"/>
      <c r="L23" s="199"/>
      <c r="M23" s="200"/>
      <c r="N23" s="641"/>
      <c r="O23" s="641"/>
      <c r="P23" s="664" t="s">
        <v>317</v>
      </c>
      <c r="Q23" s="643"/>
      <c r="R23" s="643"/>
      <c r="S23" s="643"/>
      <c r="T23" s="643"/>
      <c r="U23" s="664" t="s">
        <v>318</v>
      </c>
      <c r="V23" s="643"/>
      <c r="W23" s="643"/>
      <c r="X23" s="643"/>
      <c r="Y23" s="643"/>
      <c r="Z23" s="664" t="s">
        <v>319</v>
      </c>
      <c r="AA23" s="643"/>
      <c r="AB23" s="643"/>
      <c r="AC23" s="643"/>
      <c r="AD23" s="643"/>
      <c r="AE23" s="664" t="s">
        <v>320</v>
      </c>
      <c r="AF23" s="643"/>
      <c r="AG23" s="643"/>
      <c r="AH23" s="643"/>
      <c r="AI23" s="643"/>
      <c r="AJ23" s="664" t="s">
        <v>321</v>
      </c>
      <c r="AK23" s="643"/>
      <c r="AL23" s="643"/>
      <c r="AM23" s="643"/>
      <c r="AN23" s="643"/>
      <c r="AO23" s="664" t="s">
        <v>322</v>
      </c>
      <c r="AP23" s="643"/>
      <c r="AQ23" s="643"/>
      <c r="AR23" s="643"/>
      <c r="AS23" s="643"/>
      <c r="AT23" s="664" t="s">
        <v>323</v>
      </c>
      <c r="AU23" s="643"/>
      <c r="AV23" s="643"/>
      <c r="AW23" s="643"/>
      <c r="AX23" s="643"/>
    </row>
    <row r="24" spans="2:53">
      <c r="B24" s="637" t="s">
        <v>533</v>
      </c>
      <c r="C24" s="637" t="s">
        <v>370</v>
      </c>
      <c r="D24" s="637"/>
      <c r="E24" s="637" t="s">
        <v>361</v>
      </c>
      <c r="F24" s="637"/>
      <c r="G24" s="637"/>
      <c r="H24" s="669" t="s">
        <v>357</v>
      </c>
      <c r="I24" s="637" t="s">
        <v>362</v>
      </c>
      <c r="J24" s="637"/>
      <c r="K24" s="637"/>
      <c r="L24" s="669" t="s">
        <v>357</v>
      </c>
      <c r="M24" s="639" t="s">
        <v>358</v>
      </c>
      <c r="N24" s="637"/>
      <c r="O24" s="637" t="s">
        <v>363</v>
      </c>
      <c r="P24" s="655" t="s">
        <v>359</v>
      </c>
      <c r="Q24" s="656"/>
      <c r="R24" s="656"/>
      <c r="S24" s="657"/>
      <c r="T24" s="637" t="s">
        <v>357</v>
      </c>
      <c r="U24" s="655" t="s">
        <v>359</v>
      </c>
      <c r="V24" s="656"/>
      <c r="W24" s="656"/>
      <c r="X24" s="657"/>
      <c r="Y24" s="637" t="s">
        <v>357</v>
      </c>
      <c r="Z24" s="655" t="s">
        <v>359</v>
      </c>
      <c r="AA24" s="656"/>
      <c r="AB24" s="656"/>
      <c r="AC24" s="657"/>
      <c r="AD24" s="637" t="s">
        <v>357</v>
      </c>
      <c r="AE24" s="655" t="s">
        <v>359</v>
      </c>
      <c r="AF24" s="656"/>
      <c r="AG24" s="656"/>
      <c r="AH24" s="657"/>
      <c r="AI24" s="637" t="s">
        <v>357</v>
      </c>
      <c r="AJ24" s="655" t="s">
        <v>359</v>
      </c>
      <c r="AK24" s="656"/>
      <c r="AL24" s="656"/>
      <c r="AM24" s="657"/>
      <c r="AN24" s="637" t="s">
        <v>357</v>
      </c>
      <c r="AO24" s="655" t="s">
        <v>359</v>
      </c>
      <c r="AP24" s="656"/>
      <c r="AQ24" s="656"/>
      <c r="AR24" s="657"/>
      <c r="AS24" s="637" t="s">
        <v>357</v>
      </c>
      <c r="AT24" s="655" t="s">
        <v>359</v>
      </c>
      <c r="AU24" s="656"/>
      <c r="AV24" s="656"/>
      <c r="AW24" s="657"/>
      <c r="AX24" s="637" t="s">
        <v>357</v>
      </c>
      <c r="BA24" s="637" t="s">
        <v>357</v>
      </c>
    </row>
    <row r="25" spans="2:53">
      <c r="B25" s="637"/>
      <c r="C25" s="637"/>
      <c r="D25" s="637"/>
      <c r="E25" s="637" t="s">
        <v>364</v>
      </c>
      <c r="F25" s="637"/>
      <c r="G25" s="637"/>
      <c r="H25" s="670"/>
      <c r="I25" s="637" t="s">
        <v>364</v>
      </c>
      <c r="J25" s="637"/>
      <c r="K25" s="637"/>
      <c r="L25" s="670"/>
      <c r="M25" s="640"/>
      <c r="N25" s="637"/>
      <c r="O25" s="637"/>
      <c r="P25" s="655" t="s">
        <v>365</v>
      </c>
      <c r="Q25" s="656"/>
      <c r="R25" s="656"/>
      <c r="S25" s="657"/>
      <c r="T25" s="637"/>
      <c r="U25" s="655" t="s">
        <v>365</v>
      </c>
      <c r="V25" s="656"/>
      <c r="W25" s="656"/>
      <c r="X25" s="657"/>
      <c r="Y25" s="637"/>
      <c r="Z25" s="655" t="s">
        <v>365</v>
      </c>
      <c r="AA25" s="656"/>
      <c r="AB25" s="656"/>
      <c r="AC25" s="657"/>
      <c r="AD25" s="637"/>
      <c r="AE25" s="655" t="s">
        <v>365</v>
      </c>
      <c r="AF25" s="656"/>
      <c r="AG25" s="656"/>
      <c r="AH25" s="657"/>
      <c r="AI25" s="637"/>
      <c r="AJ25" s="655" t="s">
        <v>365</v>
      </c>
      <c r="AK25" s="656"/>
      <c r="AL25" s="656"/>
      <c r="AM25" s="657"/>
      <c r="AN25" s="637"/>
      <c r="AO25" s="655" t="s">
        <v>365</v>
      </c>
      <c r="AP25" s="656"/>
      <c r="AQ25" s="656"/>
      <c r="AR25" s="657"/>
      <c r="AS25" s="637"/>
      <c r="AT25" s="655" t="s">
        <v>365</v>
      </c>
      <c r="AU25" s="656"/>
      <c r="AV25" s="656"/>
      <c r="AW25" s="657"/>
      <c r="AX25" s="637"/>
      <c r="BA25" s="637"/>
    </row>
    <row r="26" spans="2:53">
      <c r="B26" s="637"/>
      <c r="C26" s="637"/>
      <c r="D26" s="637"/>
      <c r="E26" s="366" t="s">
        <v>366</v>
      </c>
      <c r="F26" s="366" t="s">
        <v>367</v>
      </c>
      <c r="G26" s="366" t="s">
        <v>368</v>
      </c>
      <c r="H26" s="671"/>
      <c r="I26" s="366" t="s">
        <v>366</v>
      </c>
      <c r="J26" s="366" t="s">
        <v>367</v>
      </c>
      <c r="K26" s="366" t="s">
        <v>368</v>
      </c>
      <c r="L26" s="671"/>
      <c r="M26" s="641"/>
      <c r="N26" s="637"/>
      <c r="O26" s="637"/>
      <c r="P26" s="366" t="s">
        <v>366</v>
      </c>
      <c r="Q26" s="366" t="s">
        <v>367</v>
      </c>
      <c r="R26" s="366" t="s">
        <v>368</v>
      </c>
      <c r="S26" s="366" t="s">
        <v>358</v>
      </c>
      <c r="T26" s="637"/>
      <c r="U26" s="366" t="s">
        <v>366</v>
      </c>
      <c r="V26" s="366" t="s">
        <v>367</v>
      </c>
      <c r="W26" s="366" t="s">
        <v>368</v>
      </c>
      <c r="X26" s="366" t="s">
        <v>358</v>
      </c>
      <c r="Y26" s="637"/>
      <c r="Z26" s="366" t="s">
        <v>366</v>
      </c>
      <c r="AA26" s="366" t="s">
        <v>367</v>
      </c>
      <c r="AB26" s="366" t="s">
        <v>368</v>
      </c>
      <c r="AC26" s="366" t="s">
        <v>358</v>
      </c>
      <c r="AD26" s="637"/>
      <c r="AE26" s="366" t="s">
        <v>366</v>
      </c>
      <c r="AF26" s="366" t="s">
        <v>367</v>
      </c>
      <c r="AG26" s="366" t="s">
        <v>368</v>
      </c>
      <c r="AH26" s="366" t="s">
        <v>358</v>
      </c>
      <c r="AI26" s="637"/>
      <c r="AJ26" s="366" t="s">
        <v>366</v>
      </c>
      <c r="AK26" s="366" t="s">
        <v>367</v>
      </c>
      <c r="AL26" s="366" t="s">
        <v>368</v>
      </c>
      <c r="AM26" s="366" t="s">
        <v>358</v>
      </c>
      <c r="AN26" s="637"/>
      <c r="AO26" s="366" t="s">
        <v>366</v>
      </c>
      <c r="AP26" s="366" t="s">
        <v>367</v>
      </c>
      <c r="AQ26" s="366" t="s">
        <v>368</v>
      </c>
      <c r="AR26" s="366" t="s">
        <v>358</v>
      </c>
      <c r="AS26" s="637"/>
      <c r="AT26" s="366" t="s">
        <v>366</v>
      </c>
      <c r="AU26" s="366" t="s">
        <v>367</v>
      </c>
      <c r="AV26" s="366" t="s">
        <v>368</v>
      </c>
      <c r="AW26" s="366" t="s">
        <v>358</v>
      </c>
      <c r="AX26" s="637"/>
      <c r="AZ26" s="362" t="s">
        <v>358</v>
      </c>
      <c r="BA26" s="637"/>
    </row>
    <row r="27" spans="2:53">
      <c r="B27" s="695" t="s">
        <v>535</v>
      </c>
      <c r="C27" s="368">
        <v>1</v>
      </c>
      <c r="D27" s="551" t="s">
        <v>548</v>
      </c>
      <c r="E27" s="553">
        <v>10</v>
      </c>
      <c r="F27" s="553">
        <v>1500</v>
      </c>
      <c r="G27" s="559">
        <v>150</v>
      </c>
      <c r="H27" s="650">
        <f>AVERAGE(G27:G41)</f>
        <v>129.69230769230768</v>
      </c>
      <c r="I27" s="369">
        <f t="shared" ref="I27:I41" si="19">IFERROR(AVERAGE(P27,U27,Z27,AE27,AJ27,AO27,AT27),"-")</f>
        <v>9.8571428571428577</v>
      </c>
      <c r="J27" s="369">
        <f t="shared" ref="J27:J41" si="20">IFERROR(AVERAGE(Q27,V27,AA27,AF27,AK27,AP27,AU27),"-")</f>
        <v>1451.4545688545682</v>
      </c>
      <c r="K27" s="194">
        <f t="shared" ref="K27:K41" si="21">IFERROR(AVERAGE(R27,W27,AB27,AG27,AL27,AQ27,AV27),"-")</f>
        <v>147.51307593307587</v>
      </c>
      <c r="L27" s="652">
        <f>IFERROR(AVERAGE(K27:K41),"-")</f>
        <v>127.87654018133756</v>
      </c>
      <c r="M27" s="372">
        <f>RANK(K27, K$27:$K$41)</f>
        <v>1</v>
      </c>
      <c r="N27" s="637"/>
      <c r="O27" s="637"/>
      <c r="P27" s="560">
        <v>10</v>
      </c>
      <c r="Q27" s="562">
        <v>1454.6938775510209</v>
      </c>
      <c r="R27" s="562">
        <v>145.4693877551021</v>
      </c>
      <c r="S27" s="560">
        <f t="shared" ref="S27:S41" si="22">RANK(R27, R$27:R$41)</f>
        <v>3</v>
      </c>
      <c r="T27" s="632">
        <f t="shared" ref="T27" si="23">AVERAGE(R27:R41)</f>
        <v>145.57457930540642</v>
      </c>
      <c r="U27" s="560">
        <v>10</v>
      </c>
      <c r="V27" s="562">
        <v>1416.7346938775538</v>
      </c>
      <c r="W27" s="562">
        <v>141.67346938775538</v>
      </c>
      <c r="X27" s="560">
        <f t="shared" ref="X27:X41" si="24">RANK(W27, W$27:W$41)</f>
        <v>1</v>
      </c>
      <c r="Y27" s="632">
        <f t="shared" ref="Y27" si="25">AVERAGE(W27:W41)</f>
        <v>121.16539182476522</v>
      </c>
      <c r="Z27" s="560">
        <v>10</v>
      </c>
      <c r="AA27" s="562">
        <v>1488.3333333333321</v>
      </c>
      <c r="AB27" s="562">
        <v>148.8333333333332</v>
      </c>
      <c r="AC27" s="560">
        <f t="shared" ref="AC27:AC41" si="26">RANK(AB27, AB$27:AB$41)</f>
        <v>1</v>
      </c>
      <c r="AD27" s="632">
        <f t="shared" ref="AD27" si="27">AVERAGE(AB27:AB41)</f>
        <v>122.48759365256646</v>
      </c>
      <c r="AE27" s="560">
        <v>10</v>
      </c>
      <c r="AF27" s="562">
        <v>1428.6486486486476</v>
      </c>
      <c r="AG27" s="562">
        <v>142.86486486486476</v>
      </c>
      <c r="AH27" s="560">
        <f t="shared" ref="AH27:AH41" si="28">RANK(AG27, AG$27:AG$41)</f>
        <v>1</v>
      </c>
      <c r="AI27" s="632">
        <f t="shared" ref="AI27" si="29">AVERAGE(AG27:AG41)</f>
        <v>122.11698614634399</v>
      </c>
      <c r="AJ27" s="560">
        <v>10</v>
      </c>
      <c r="AK27" s="562">
        <v>1424.5714285714271</v>
      </c>
      <c r="AL27" s="562">
        <v>142.45714285714271</v>
      </c>
      <c r="AM27" s="560">
        <f t="shared" ref="AM27:AM41" si="30">RANK(AL27, AL$27:AL$41)</f>
        <v>2</v>
      </c>
      <c r="AN27" s="632">
        <f t="shared" ref="AN27" si="31">AVERAGE(AL27:AL41)</f>
        <v>123.35045867176309</v>
      </c>
      <c r="AO27" s="560">
        <v>10</v>
      </c>
      <c r="AP27" s="562">
        <v>1455.5999999999981</v>
      </c>
      <c r="AQ27" s="562">
        <v>145.5599999999998</v>
      </c>
      <c r="AR27" s="560">
        <f t="shared" ref="AR27:AR41" si="32">RANK(AQ27, AQ$27:AQ$41)</f>
        <v>1</v>
      </c>
      <c r="AS27" s="632">
        <f t="shared" ref="AS27" si="33">AVERAGE(AQ27:AQ41)</f>
        <v>121.69919876113826</v>
      </c>
      <c r="AT27" s="560">
        <v>9</v>
      </c>
      <c r="AU27" s="562">
        <v>1491.5999999999981</v>
      </c>
      <c r="AV27" s="562">
        <v>165.73333333333312</v>
      </c>
      <c r="AW27" s="560">
        <f t="shared" ref="AW27:AW41" si="34">RANK(AV27, AV$27:AV$41)</f>
        <v>1</v>
      </c>
      <c r="AX27" s="632">
        <f t="shared" ref="AX27" si="35">AVERAGE(AV27:AV41)</f>
        <v>141.03525641025649</v>
      </c>
      <c r="AZ27" s="361" t="e">
        <f t="shared" ref="AZ27:AZ41" si="36">RANK(AY27, AY$27:AY$41)</f>
        <v>#N/A</v>
      </c>
      <c r="BA27" s="632" t="e">
        <f t="shared" ref="BA27" si="37">AVERAGE(AY27:AY41)</f>
        <v>#DIV/0!</v>
      </c>
    </row>
    <row r="28" spans="2:53">
      <c r="B28" s="643"/>
      <c r="C28" s="368">
        <v>2</v>
      </c>
      <c r="D28" s="553" t="s">
        <v>562</v>
      </c>
      <c r="E28" s="553">
        <v>15</v>
      </c>
      <c r="F28" s="553">
        <v>1800</v>
      </c>
      <c r="G28" s="559">
        <v>120</v>
      </c>
      <c r="H28" s="651"/>
      <c r="I28" s="369">
        <f t="shared" si="19"/>
        <v>12.857142857142858</v>
      </c>
      <c r="J28" s="369">
        <f t="shared" si="20"/>
        <v>1820.2474025974082</v>
      </c>
      <c r="K28" s="194">
        <f t="shared" si="21"/>
        <v>141.5620712620717</v>
      </c>
      <c r="L28" s="653"/>
      <c r="M28" s="375">
        <f>RANK(K28, K$27:$K$41)</f>
        <v>2</v>
      </c>
      <c r="N28" s="637"/>
      <c r="O28" s="637"/>
      <c r="P28" s="560">
        <v>12</v>
      </c>
      <c r="Q28" s="562">
        <v>1685.0000000000059</v>
      </c>
      <c r="R28" s="562">
        <v>140.41666666666717</v>
      </c>
      <c r="S28" s="560">
        <f t="shared" si="22"/>
        <v>4</v>
      </c>
      <c r="T28" s="633"/>
      <c r="U28" s="560">
        <v>13</v>
      </c>
      <c r="V28" s="562">
        <v>1790.1818181818248</v>
      </c>
      <c r="W28" s="562">
        <v>137.70629370629422</v>
      </c>
      <c r="X28" s="560">
        <f t="shared" si="24"/>
        <v>3</v>
      </c>
      <c r="Y28" s="633"/>
      <c r="Z28" s="560">
        <v>13</v>
      </c>
      <c r="AA28" s="562">
        <v>1796.6666666666729</v>
      </c>
      <c r="AB28" s="562">
        <v>138.20512820512869</v>
      </c>
      <c r="AC28" s="560">
        <f t="shared" si="26"/>
        <v>3</v>
      </c>
      <c r="AD28" s="633"/>
      <c r="AE28" s="560">
        <v>13</v>
      </c>
      <c r="AF28" s="562">
        <v>1775.3333333333396</v>
      </c>
      <c r="AG28" s="562">
        <v>136.56410256410305</v>
      </c>
      <c r="AH28" s="560">
        <f t="shared" si="28"/>
        <v>3</v>
      </c>
      <c r="AI28" s="633"/>
      <c r="AJ28" s="560">
        <v>13</v>
      </c>
      <c r="AK28" s="562">
        <v>1836.7500000000066</v>
      </c>
      <c r="AL28" s="562">
        <v>141.28846153846206</v>
      </c>
      <c r="AM28" s="560">
        <f t="shared" si="30"/>
        <v>3</v>
      </c>
      <c r="AN28" s="633"/>
      <c r="AO28" s="560">
        <v>13</v>
      </c>
      <c r="AP28" s="562">
        <v>1735.0000000000064</v>
      </c>
      <c r="AQ28" s="562">
        <v>133.46153846153896</v>
      </c>
      <c r="AR28" s="560">
        <f t="shared" si="32"/>
        <v>3</v>
      </c>
      <c r="AS28" s="633"/>
      <c r="AT28" s="560">
        <v>13</v>
      </c>
      <c r="AU28" s="562">
        <v>2122.8000000000006</v>
      </c>
      <c r="AV28" s="562">
        <v>163.29230769230773</v>
      </c>
      <c r="AW28" s="560">
        <f t="shared" si="34"/>
        <v>2</v>
      </c>
      <c r="AX28" s="633"/>
      <c r="AZ28" s="361" t="e">
        <f t="shared" si="36"/>
        <v>#N/A</v>
      </c>
      <c r="BA28" s="633"/>
    </row>
    <row r="29" spans="2:53">
      <c r="B29" s="643"/>
      <c r="C29" s="368">
        <v>3</v>
      </c>
      <c r="D29" s="553" t="s">
        <v>563</v>
      </c>
      <c r="E29" s="553">
        <v>15</v>
      </c>
      <c r="F29" s="553">
        <v>1800</v>
      </c>
      <c r="G29" s="559">
        <v>120</v>
      </c>
      <c r="H29" s="651"/>
      <c r="I29" s="369">
        <f t="shared" si="19"/>
        <v>12.857142857142858</v>
      </c>
      <c r="J29" s="369">
        <f t="shared" si="20"/>
        <v>1795.7764103981849</v>
      </c>
      <c r="K29" s="194">
        <f t="shared" si="21"/>
        <v>139.81507379002809</v>
      </c>
      <c r="L29" s="653"/>
      <c r="M29" s="375">
        <f>RANK(K29, K$27:$K$41)</f>
        <v>3</v>
      </c>
      <c r="N29" s="637"/>
      <c r="O29" s="637"/>
      <c r="P29" s="560">
        <v>12</v>
      </c>
      <c r="Q29" s="562">
        <v>1832.8421052631581</v>
      </c>
      <c r="R29" s="562">
        <v>152.73684210526318</v>
      </c>
      <c r="S29" s="560">
        <f t="shared" si="22"/>
        <v>1</v>
      </c>
      <c r="T29" s="633"/>
      <c r="U29" s="560">
        <v>13</v>
      </c>
      <c r="V29" s="562">
        <v>1834.1935483870952</v>
      </c>
      <c r="W29" s="562">
        <v>141.09181141439194</v>
      </c>
      <c r="X29" s="560">
        <f t="shared" si="24"/>
        <v>2</v>
      </c>
      <c r="Y29" s="633"/>
      <c r="Z29" s="560">
        <v>13</v>
      </c>
      <c r="AA29" s="562">
        <v>1852.8947368421059</v>
      </c>
      <c r="AB29" s="562">
        <v>142.53036437246968</v>
      </c>
      <c r="AC29" s="560">
        <f t="shared" si="26"/>
        <v>2</v>
      </c>
      <c r="AD29" s="633"/>
      <c r="AE29" s="560">
        <v>13</v>
      </c>
      <c r="AF29" s="562">
        <v>1835.9999999999986</v>
      </c>
      <c r="AG29" s="562">
        <v>141.23076923076911</v>
      </c>
      <c r="AH29" s="560">
        <f t="shared" si="28"/>
        <v>2</v>
      </c>
      <c r="AI29" s="633"/>
      <c r="AJ29" s="560">
        <v>13</v>
      </c>
      <c r="AK29" s="562">
        <v>1866.0869565217392</v>
      </c>
      <c r="AL29" s="562">
        <v>143.54515050167225</v>
      </c>
      <c r="AM29" s="560">
        <f t="shared" si="30"/>
        <v>1</v>
      </c>
      <c r="AN29" s="633"/>
      <c r="AO29" s="560">
        <v>13</v>
      </c>
      <c r="AP29" s="562">
        <v>1843.9175257731963</v>
      </c>
      <c r="AQ29" s="562">
        <v>141.83980967486124</v>
      </c>
      <c r="AR29" s="560">
        <f t="shared" si="32"/>
        <v>2</v>
      </c>
      <c r="AS29" s="633"/>
      <c r="AT29" s="560">
        <v>13</v>
      </c>
      <c r="AU29" s="562">
        <v>1504.5000000000005</v>
      </c>
      <c r="AV29" s="562">
        <v>115.73076923076927</v>
      </c>
      <c r="AW29" s="560">
        <f t="shared" si="34"/>
        <v>4</v>
      </c>
      <c r="AX29" s="633"/>
      <c r="AZ29" s="361" t="e">
        <f t="shared" si="36"/>
        <v>#N/A</v>
      </c>
      <c r="BA29" s="633"/>
    </row>
    <row r="30" spans="2:53">
      <c r="B30" s="643"/>
      <c r="C30" s="368">
        <v>4</v>
      </c>
      <c r="D30" s="553" t="s">
        <v>641</v>
      </c>
      <c r="E30" s="553">
        <v>18</v>
      </c>
      <c r="F30" s="553">
        <v>1800</v>
      </c>
      <c r="G30" s="559">
        <v>120</v>
      </c>
      <c r="H30" s="651"/>
      <c r="I30" s="369">
        <f t="shared" si="19"/>
        <v>12.857142857142858</v>
      </c>
      <c r="J30" s="369">
        <f t="shared" si="20"/>
        <v>1032.0333333333331</v>
      </c>
      <c r="K30" s="194">
        <f t="shared" si="21"/>
        <v>80.925641025640999</v>
      </c>
      <c r="L30" s="653"/>
      <c r="M30" s="375">
        <f>RANK(K30, K$27:$K$41)</f>
        <v>5</v>
      </c>
      <c r="N30" s="637"/>
      <c r="O30" s="637"/>
      <c r="P30" s="560">
        <v>12</v>
      </c>
      <c r="Q30" s="562">
        <v>1679.9999999999957</v>
      </c>
      <c r="R30" s="562">
        <v>139.99999999999963</v>
      </c>
      <c r="S30" s="560">
        <f t="shared" si="22"/>
        <v>5</v>
      </c>
      <c r="T30" s="633"/>
      <c r="U30" s="560">
        <v>13</v>
      </c>
      <c r="V30" s="562">
        <v>792.50000000000023</v>
      </c>
      <c r="W30" s="562">
        <v>60.961538461538481</v>
      </c>
      <c r="X30" s="560">
        <f t="shared" si="24"/>
        <v>5</v>
      </c>
      <c r="Y30" s="633"/>
      <c r="Z30" s="560">
        <v>13</v>
      </c>
      <c r="AA30" s="562">
        <v>773.33333333333269</v>
      </c>
      <c r="AB30" s="562">
        <v>59.487179487179439</v>
      </c>
      <c r="AC30" s="560">
        <f t="shared" si="26"/>
        <v>5</v>
      </c>
      <c r="AD30" s="633"/>
      <c r="AE30" s="560">
        <v>13</v>
      </c>
      <c r="AF30" s="562">
        <v>815.99999999999864</v>
      </c>
      <c r="AG30" s="562">
        <v>62.769230769230667</v>
      </c>
      <c r="AH30" s="560">
        <f t="shared" si="28"/>
        <v>5</v>
      </c>
      <c r="AI30" s="633"/>
      <c r="AJ30" s="560">
        <v>13</v>
      </c>
      <c r="AK30" s="562">
        <v>827.99999999999852</v>
      </c>
      <c r="AL30" s="562">
        <v>63.69230769230758</v>
      </c>
      <c r="AM30" s="560">
        <f t="shared" si="30"/>
        <v>5</v>
      </c>
      <c r="AN30" s="633"/>
      <c r="AO30" s="560">
        <v>13</v>
      </c>
      <c r="AP30" s="562">
        <v>782.40000000000032</v>
      </c>
      <c r="AQ30" s="562">
        <v>60.184615384615412</v>
      </c>
      <c r="AR30" s="560">
        <f t="shared" si="32"/>
        <v>5</v>
      </c>
      <c r="AS30" s="633"/>
      <c r="AT30" s="560">
        <v>13</v>
      </c>
      <c r="AU30" s="562">
        <v>1552.0000000000055</v>
      </c>
      <c r="AV30" s="562">
        <v>119.3846153846158</v>
      </c>
      <c r="AW30" s="560">
        <f t="shared" si="34"/>
        <v>3</v>
      </c>
      <c r="AX30" s="633"/>
      <c r="AZ30" s="361" t="e">
        <f t="shared" si="36"/>
        <v>#N/A</v>
      </c>
      <c r="BA30" s="633"/>
    </row>
    <row r="31" spans="2:53">
      <c r="B31" s="643"/>
      <c r="C31" s="368">
        <v>5</v>
      </c>
      <c r="D31" s="553" t="s">
        <v>727</v>
      </c>
      <c r="E31" s="553">
        <v>13</v>
      </c>
      <c r="F31" s="553">
        <v>1800</v>
      </c>
      <c r="G31" s="559">
        <v>138.46153846153845</v>
      </c>
      <c r="H31" s="651"/>
      <c r="I31" s="369">
        <f t="shared" si="19"/>
        <v>12.833333333333334</v>
      </c>
      <c r="J31" s="369">
        <f t="shared" si="20"/>
        <v>1659.4939056463245</v>
      </c>
      <c r="K31" s="194">
        <f t="shared" si="21"/>
        <v>129.56683889587109</v>
      </c>
      <c r="L31" s="653"/>
      <c r="M31" s="375">
        <f>RANK(K31, K$27:$K$41)</f>
        <v>4</v>
      </c>
      <c r="N31" s="637"/>
      <c r="O31" s="637"/>
      <c r="P31" s="560">
        <v>12</v>
      </c>
      <c r="Q31" s="562">
        <v>1790.9999999999993</v>
      </c>
      <c r="R31" s="562">
        <v>149.24999999999994</v>
      </c>
      <c r="S31" s="560">
        <f t="shared" si="22"/>
        <v>2</v>
      </c>
      <c r="T31" s="633"/>
      <c r="U31" s="560">
        <v>13</v>
      </c>
      <c r="V31" s="562">
        <v>1617.1199999999997</v>
      </c>
      <c r="W31" s="562">
        <v>124.39384615384613</v>
      </c>
      <c r="X31" s="560">
        <f t="shared" si="24"/>
        <v>4</v>
      </c>
      <c r="Y31" s="633"/>
      <c r="Z31" s="560">
        <v>13</v>
      </c>
      <c r="AA31" s="562">
        <v>1603.9655172413782</v>
      </c>
      <c r="AB31" s="562">
        <v>123.3819628647214</v>
      </c>
      <c r="AC31" s="560">
        <f t="shared" si="26"/>
        <v>4</v>
      </c>
      <c r="AD31" s="633"/>
      <c r="AE31" s="560">
        <v>13</v>
      </c>
      <c r="AF31" s="562">
        <v>1653.027522935781</v>
      </c>
      <c r="AG31" s="562">
        <v>127.15596330275238</v>
      </c>
      <c r="AH31" s="560">
        <f t="shared" si="28"/>
        <v>4</v>
      </c>
      <c r="AI31" s="633"/>
      <c r="AJ31" s="560">
        <v>13</v>
      </c>
      <c r="AK31" s="562">
        <v>1635.0000000000005</v>
      </c>
      <c r="AL31" s="562">
        <v>125.7692307692308</v>
      </c>
      <c r="AM31" s="560">
        <f t="shared" si="30"/>
        <v>4</v>
      </c>
      <c r="AN31" s="633"/>
      <c r="AO31" s="560">
        <v>13</v>
      </c>
      <c r="AP31" s="562">
        <v>1656.8503937007872</v>
      </c>
      <c r="AQ31" s="562">
        <v>127.45003028467593</v>
      </c>
      <c r="AR31" s="560">
        <f t="shared" si="32"/>
        <v>4</v>
      </c>
      <c r="AS31" s="633"/>
      <c r="AT31" s="560" t="s">
        <v>557</v>
      </c>
      <c r="AU31" s="562" t="s">
        <v>557</v>
      </c>
      <c r="AV31" s="562" t="s">
        <v>557</v>
      </c>
      <c r="AW31" s="560" t="e">
        <f t="shared" si="34"/>
        <v>#VALUE!</v>
      </c>
      <c r="AX31" s="633"/>
      <c r="AZ31" s="361" t="e">
        <f t="shared" si="36"/>
        <v>#N/A</v>
      </c>
      <c r="BA31" s="633"/>
    </row>
    <row r="32" spans="2:53">
      <c r="B32" s="643"/>
      <c r="C32" s="368">
        <v>6</v>
      </c>
      <c r="D32" s="553"/>
      <c r="E32" s="553"/>
      <c r="F32" s="553"/>
      <c r="G32" s="559"/>
      <c r="H32" s="651"/>
      <c r="I32" s="369" t="str">
        <f t="shared" si="19"/>
        <v>-</v>
      </c>
      <c r="J32" s="369" t="str">
        <f t="shared" si="20"/>
        <v>-</v>
      </c>
      <c r="K32" s="194" t="str">
        <f t="shared" si="21"/>
        <v>-</v>
      </c>
      <c r="L32" s="653"/>
      <c r="M32" s="375" t="e">
        <f>RANK(K32, K$27:$K$41)</f>
        <v>#VALUE!</v>
      </c>
      <c r="N32" s="637"/>
      <c r="O32" s="637"/>
      <c r="P32" s="560" t="s">
        <v>557</v>
      </c>
      <c r="Q32" s="562" t="s">
        <v>557</v>
      </c>
      <c r="R32" s="562" t="s">
        <v>557</v>
      </c>
      <c r="S32" s="560" t="e">
        <f t="shared" si="22"/>
        <v>#VALUE!</v>
      </c>
      <c r="T32" s="633"/>
      <c r="U32" s="560" t="s">
        <v>557</v>
      </c>
      <c r="V32" s="562" t="s">
        <v>557</v>
      </c>
      <c r="W32" s="562" t="s">
        <v>557</v>
      </c>
      <c r="X32" s="560" t="e">
        <f t="shared" si="24"/>
        <v>#VALUE!</v>
      </c>
      <c r="Y32" s="633"/>
      <c r="Z32" s="560" t="s">
        <v>557</v>
      </c>
      <c r="AA32" s="562" t="s">
        <v>557</v>
      </c>
      <c r="AB32" s="562" t="s">
        <v>557</v>
      </c>
      <c r="AC32" s="560" t="e">
        <f t="shared" si="26"/>
        <v>#VALUE!</v>
      </c>
      <c r="AD32" s="633"/>
      <c r="AE32" s="560" t="s">
        <v>557</v>
      </c>
      <c r="AF32" s="562" t="s">
        <v>557</v>
      </c>
      <c r="AG32" s="562" t="s">
        <v>557</v>
      </c>
      <c r="AH32" s="560" t="e">
        <f t="shared" si="28"/>
        <v>#VALUE!</v>
      </c>
      <c r="AI32" s="633"/>
      <c r="AJ32" s="560" t="s">
        <v>557</v>
      </c>
      <c r="AK32" s="562" t="s">
        <v>557</v>
      </c>
      <c r="AL32" s="562" t="s">
        <v>557</v>
      </c>
      <c r="AM32" s="560" t="e">
        <f t="shared" si="30"/>
        <v>#VALUE!</v>
      </c>
      <c r="AN32" s="633"/>
      <c r="AO32" s="560" t="s">
        <v>557</v>
      </c>
      <c r="AP32" s="562" t="s">
        <v>557</v>
      </c>
      <c r="AQ32" s="562" t="s">
        <v>557</v>
      </c>
      <c r="AR32" s="560" t="e">
        <f t="shared" si="32"/>
        <v>#VALUE!</v>
      </c>
      <c r="AS32" s="633"/>
      <c r="AT32" s="560" t="s">
        <v>557</v>
      </c>
      <c r="AU32" s="562" t="s">
        <v>557</v>
      </c>
      <c r="AV32" s="562" t="s">
        <v>557</v>
      </c>
      <c r="AW32" s="560" t="e">
        <f t="shared" si="34"/>
        <v>#VALUE!</v>
      </c>
      <c r="AX32" s="633"/>
      <c r="AZ32" s="361" t="e">
        <f t="shared" si="36"/>
        <v>#N/A</v>
      </c>
      <c r="BA32" s="633"/>
    </row>
    <row r="33" spans="2:53">
      <c r="B33" s="643"/>
      <c r="C33" s="368">
        <v>7</v>
      </c>
      <c r="D33" s="553"/>
      <c r="E33" s="553"/>
      <c r="F33" s="553"/>
      <c r="G33" s="559"/>
      <c r="H33" s="651"/>
      <c r="I33" s="369" t="str">
        <f t="shared" si="19"/>
        <v>-</v>
      </c>
      <c r="J33" s="369" t="str">
        <f t="shared" si="20"/>
        <v>-</v>
      </c>
      <c r="K33" s="194" t="str">
        <f t="shared" si="21"/>
        <v>-</v>
      </c>
      <c r="L33" s="653"/>
      <c r="M33" s="375" t="e">
        <f>RANK(K33, K$27:$K$41)</f>
        <v>#VALUE!</v>
      </c>
      <c r="N33" s="637"/>
      <c r="O33" s="637"/>
      <c r="P33" s="560" t="s">
        <v>557</v>
      </c>
      <c r="Q33" s="562" t="s">
        <v>557</v>
      </c>
      <c r="R33" s="562" t="s">
        <v>557</v>
      </c>
      <c r="S33" s="560" t="e">
        <f t="shared" si="22"/>
        <v>#VALUE!</v>
      </c>
      <c r="T33" s="633"/>
      <c r="U33" s="560" t="s">
        <v>557</v>
      </c>
      <c r="V33" s="562" t="s">
        <v>557</v>
      </c>
      <c r="W33" s="562" t="s">
        <v>557</v>
      </c>
      <c r="X33" s="560" t="e">
        <f t="shared" si="24"/>
        <v>#VALUE!</v>
      </c>
      <c r="Y33" s="633"/>
      <c r="Z33" s="560" t="s">
        <v>557</v>
      </c>
      <c r="AA33" s="562" t="s">
        <v>557</v>
      </c>
      <c r="AB33" s="562" t="s">
        <v>557</v>
      </c>
      <c r="AC33" s="560" t="e">
        <f t="shared" si="26"/>
        <v>#VALUE!</v>
      </c>
      <c r="AD33" s="633"/>
      <c r="AE33" s="560" t="s">
        <v>557</v>
      </c>
      <c r="AF33" s="562" t="s">
        <v>557</v>
      </c>
      <c r="AG33" s="562" t="s">
        <v>557</v>
      </c>
      <c r="AH33" s="560" t="e">
        <f t="shared" si="28"/>
        <v>#VALUE!</v>
      </c>
      <c r="AI33" s="633"/>
      <c r="AJ33" s="560" t="s">
        <v>557</v>
      </c>
      <c r="AK33" s="562" t="s">
        <v>557</v>
      </c>
      <c r="AL33" s="562" t="s">
        <v>557</v>
      </c>
      <c r="AM33" s="560" t="e">
        <f t="shared" si="30"/>
        <v>#VALUE!</v>
      </c>
      <c r="AN33" s="633"/>
      <c r="AO33" s="560" t="s">
        <v>557</v>
      </c>
      <c r="AP33" s="562" t="s">
        <v>557</v>
      </c>
      <c r="AQ33" s="562" t="s">
        <v>557</v>
      </c>
      <c r="AR33" s="560" t="e">
        <f t="shared" si="32"/>
        <v>#VALUE!</v>
      </c>
      <c r="AS33" s="633"/>
      <c r="AT33" s="560" t="s">
        <v>557</v>
      </c>
      <c r="AU33" s="562" t="s">
        <v>557</v>
      </c>
      <c r="AV33" s="562" t="s">
        <v>557</v>
      </c>
      <c r="AW33" s="560" t="e">
        <f t="shared" si="34"/>
        <v>#VALUE!</v>
      </c>
      <c r="AX33" s="633"/>
      <c r="AZ33" s="361" t="e">
        <f t="shared" si="36"/>
        <v>#N/A</v>
      </c>
      <c r="BA33" s="633"/>
    </row>
    <row r="34" spans="2:53">
      <c r="B34" s="643"/>
      <c r="C34" s="368">
        <v>8</v>
      </c>
      <c r="D34" s="553"/>
      <c r="E34" s="553"/>
      <c r="F34" s="553"/>
      <c r="G34" s="559"/>
      <c r="H34" s="651"/>
      <c r="I34" s="369" t="str">
        <f t="shared" si="19"/>
        <v>-</v>
      </c>
      <c r="J34" s="369" t="str">
        <f t="shared" si="20"/>
        <v>-</v>
      </c>
      <c r="K34" s="194" t="str">
        <f t="shared" si="21"/>
        <v>-</v>
      </c>
      <c r="L34" s="653"/>
      <c r="M34" s="375" t="e">
        <f>RANK(K34, K$27:$K$41)</f>
        <v>#VALUE!</v>
      </c>
      <c r="N34" s="637"/>
      <c r="O34" s="637"/>
      <c r="P34" s="560" t="s">
        <v>557</v>
      </c>
      <c r="Q34" s="562" t="s">
        <v>557</v>
      </c>
      <c r="R34" s="562" t="s">
        <v>557</v>
      </c>
      <c r="S34" s="560" t="e">
        <f t="shared" si="22"/>
        <v>#VALUE!</v>
      </c>
      <c r="T34" s="633"/>
      <c r="U34" s="560" t="s">
        <v>557</v>
      </c>
      <c r="V34" s="562" t="s">
        <v>557</v>
      </c>
      <c r="W34" s="562" t="s">
        <v>557</v>
      </c>
      <c r="X34" s="560" t="e">
        <f t="shared" si="24"/>
        <v>#VALUE!</v>
      </c>
      <c r="Y34" s="633"/>
      <c r="Z34" s="560" t="s">
        <v>557</v>
      </c>
      <c r="AA34" s="562" t="s">
        <v>557</v>
      </c>
      <c r="AB34" s="562" t="s">
        <v>557</v>
      </c>
      <c r="AC34" s="560" t="e">
        <f t="shared" si="26"/>
        <v>#VALUE!</v>
      </c>
      <c r="AD34" s="633"/>
      <c r="AE34" s="560" t="s">
        <v>557</v>
      </c>
      <c r="AF34" s="562" t="s">
        <v>557</v>
      </c>
      <c r="AG34" s="562" t="s">
        <v>557</v>
      </c>
      <c r="AH34" s="560" t="e">
        <f t="shared" si="28"/>
        <v>#VALUE!</v>
      </c>
      <c r="AI34" s="633"/>
      <c r="AJ34" s="560" t="s">
        <v>557</v>
      </c>
      <c r="AK34" s="562" t="s">
        <v>557</v>
      </c>
      <c r="AL34" s="562" t="s">
        <v>557</v>
      </c>
      <c r="AM34" s="560" t="e">
        <f t="shared" si="30"/>
        <v>#VALUE!</v>
      </c>
      <c r="AN34" s="633"/>
      <c r="AO34" s="560" t="s">
        <v>557</v>
      </c>
      <c r="AP34" s="562" t="s">
        <v>557</v>
      </c>
      <c r="AQ34" s="562" t="s">
        <v>557</v>
      </c>
      <c r="AR34" s="560" t="e">
        <f t="shared" si="32"/>
        <v>#VALUE!</v>
      </c>
      <c r="AS34" s="633"/>
      <c r="AT34" s="560" t="s">
        <v>557</v>
      </c>
      <c r="AU34" s="562" t="s">
        <v>557</v>
      </c>
      <c r="AV34" s="562" t="s">
        <v>557</v>
      </c>
      <c r="AW34" s="560" t="e">
        <f t="shared" si="34"/>
        <v>#VALUE!</v>
      </c>
      <c r="AX34" s="633"/>
      <c r="AZ34" s="361" t="e">
        <f t="shared" si="36"/>
        <v>#N/A</v>
      </c>
      <c r="BA34" s="633"/>
    </row>
    <row r="35" spans="2:53">
      <c r="B35" s="643"/>
      <c r="C35" s="368">
        <v>9</v>
      </c>
      <c r="D35" s="553"/>
      <c r="E35" s="553"/>
      <c r="F35" s="553"/>
      <c r="G35" s="559"/>
      <c r="H35" s="651"/>
      <c r="I35" s="369" t="str">
        <f t="shared" si="19"/>
        <v>-</v>
      </c>
      <c r="J35" s="369" t="str">
        <f t="shared" si="20"/>
        <v>-</v>
      </c>
      <c r="K35" s="194" t="str">
        <f t="shared" si="21"/>
        <v>-</v>
      </c>
      <c r="L35" s="653"/>
      <c r="M35" s="375" t="e">
        <f>RANK(K35, K$27:$K$41)</f>
        <v>#VALUE!</v>
      </c>
      <c r="N35" s="637"/>
      <c r="O35" s="637"/>
      <c r="P35" s="560" t="s">
        <v>557</v>
      </c>
      <c r="Q35" s="562" t="s">
        <v>557</v>
      </c>
      <c r="R35" s="562" t="s">
        <v>557</v>
      </c>
      <c r="S35" s="560" t="e">
        <f t="shared" si="22"/>
        <v>#VALUE!</v>
      </c>
      <c r="T35" s="633"/>
      <c r="U35" s="560" t="s">
        <v>557</v>
      </c>
      <c r="V35" s="562" t="s">
        <v>557</v>
      </c>
      <c r="W35" s="562" t="s">
        <v>557</v>
      </c>
      <c r="X35" s="560" t="e">
        <f t="shared" si="24"/>
        <v>#VALUE!</v>
      </c>
      <c r="Y35" s="633"/>
      <c r="Z35" s="560" t="s">
        <v>557</v>
      </c>
      <c r="AA35" s="562" t="s">
        <v>557</v>
      </c>
      <c r="AB35" s="562" t="s">
        <v>557</v>
      </c>
      <c r="AC35" s="560" t="e">
        <f t="shared" si="26"/>
        <v>#VALUE!</v>
      </c>
      <c r="AD35" s="633"/>
      <c r="AE35" s="560" t="s">
        <v>557</v>
      </c>
      <c r="AF35" s="562" t="s">
        <v>557</v>
      </c>
      <c r="AG35" s="562" t="s">
        <v>557</v>
      </c>
      <c r="AH35" s="560" t="e">
        <f t="shared" si="28"/>
        <v>#VALUE!</v>
      </c>
      <c r="AI35" s="633"/>
      <c r="AJ35" s="560" t="s">
        <v>557</v>
      </c>
      <c r="AK35" s="562" t="s">
        <v>557</v>
      </c>
      <c r="AL35" s="562" t="s">
        <v>557</v>
      </c>
      <c r="AM35" s="560" t="e">
        <f t="shared" si="30"/>
        <v>#VALUE!</v>
      </c>
      <c r="AN35" s="633"/>
      <c r="AO35" s="560" t="s">
        <v>557</v>
      </c>
      <c r="AP35" s="562" t="s">
        <v>557</v>
      </c>
      <c r="AQ35" s="562" t="s">
        <v>557</v>
      </c>
      <c r="AR35" s="560" t="e">
        <f t="shared" si="32"/>
        <v>#VALUE!</v>
      </c>
      <c r="AS35" s="633"/>
      <c r="AT35" s="560" t="s">
        <v>557</v>
      </c>
      <c r="AU35" s="562" t="s">
        <v>557</v>
      </c>
      <c r="AV35" s="562" t="s">
        <v>557</v>
      </c>
      <c r="AW35" s="560" t="e">
        <f t="shared" si="34"/>
        <v>#VALUE!</v>
      </c>
      <c r="AX35" s="633"/>
      <c r="AZ35" s="361" t="e">
        <f t="shared" si="36"/>
        <v>#N/A</v>
      </c>
      <c r="BA35" s="633"/>
    </row>
    <row r="36" spans="2:53">
      <c r="B36" s="643"/>
      <c r="C36" s="368">
        <v>10</v>
      </c>
      <c r="D36" s="553"/>
      <c r="E36" s="553"/>
      <c r="F36" s="553"/>
      <c r="G36" s="559"/>
      <c r="H36" s="651"/>
      <c r="I36" s="369" t="str">
        <f t="shared" si="19"/>
        <v>-</v>
      </c>
      <c r="J36" s="369" t="str">
        <f t="shared" si="20"/>
        <v>-</v>
      </c>
      <c r="K36" s="194" t="str">
        <f t="shared" si="21"/>
        <v>-</v>
      </c>
      <c r="L36" s="653"/>
      <c r="M36" s="375" t="e">
        <f>RANK(K36, K$27:$K$41)</f>
        <v>#VALUE!</v>
      </c>
      <c r="N36" s="637"/>
      <c r="O36" s="637"/>
      <c r="P36" s="560" t="s">
        <v>557</v>
      </c>
      <c r="Q36" s="562" t="s">
        <v>557</v>
      </c>
      <c r="R36" s="562" t="s">
        <v>557</v>
      </c>
      <c r="S36" s="560" t="e">
        <f t="shared" si="22"/>
        <v>#VALUE!</v>
      </c>
      <c r="T36" s="633"/>
      <c r="U36" s="560" t="s">
        <v>557</v>
      </c>
      <c r="V36" s="562" t="s">
        <v>557</v>
      </c>
      <c r="W36" s="562" t="s">
        <v>557</v>
      </c>
      <c r="X36" s="560" t="e">
        <f t="shared" si="24"/>
        <v>#VALUE!</v>
      </c>
      <c r="Y36" s="633"/>
      <c r="Z36" s="560" t="s">
        <v>557</v>
      </c>
      <c r="AA36" s="562" t="s">
        <v>557</v>
      </c>
      <c r="AB36" s="562" t="s">
        <v>557</v>
      </c>
      <c r="AC36" s="560" t="e">
        <f t="shared" si="26"/>
        <v>#VALUE!</v>
      </c>
      <c r="AD36" s="633"/>
      <c r="AE36" s="560" t="s">
        <v>557</v>
      </c>
      <c r="AF36" s="562" t="s">
        <v>557</v>
      </c>
      <c r="AG36" s="562" t="s">
        <v>557</v>
      </c>
      <c r="AH36" s="560" t="e">
        <f t="shared" si="28"/>
        <v>#VALUE!</v>
      </c>
      <c r="AI36" s="633"/>
      <c r="AJ36" s="560" t="s">
        <v>557</v>
      </c>
      <c r="AK36" s="562" t="s">
        <v>557</v>
      </c>
      <c r="AL36" s="562" t="s">
        <v>557</v>
      </c>
      <c r="AM36" s="560" t="e">
        <f t="shared" si="30"/>
        <v>#VALUE!</v>
      </c>
      <c r="AN36" s="633"/>
      <c r="AO36" s="560" t="s">
        <v>557</v>
      </c>
      <c r="AP36" s="562" t="s">
        <v>557</v>
      </c>
      <c r="AQ36" s="562" t="s">
        <v>557</v>
      </c>
      <c r="AR36" s="560" t="e">
        <f t="shared" si="32"/>
        <v>#VALUE!</v>
      </c>
      <c r="AS36" s="633"/>
      <c r="AT36" s="560" t="s">
        <v>557</v>
      </c>
      <c r="AU36" s="562" t="s">
        <v>557</v>
      </c>
      <c r="AV36" s="562" t="s">
        <v>557</v>
      </c>
      <c r="AW36" s="560" t="e">
        <f t="shared" si="34"/>
        <v>#VALUE!</v>
      </c>
      <c r="AX36" s="633"/>
      <c r="AZ36" s="361" t="e">
        <f t="shared" si="36"/>
        <v>#N/A</v>
      </c>
      <c r="BA36" s="633"/>
    </row>
    <row r="37" spans="2:53">
      <c r="B37" s="643"/>
      <c r="C37" s="368">
        <v>11</v>
      </c>
      <c r="D37" s="553"/>
      <c r="E37" s="553"/>
      <c r="F37" s="553"/>
      <c r="G37" s="559"/>
      <c r="H37" s="651"/>
      <c r="I37" s="369" t="str">
        <f t="shared" si="19"/>
        <v>-</v>
      </c>
      <c r="J37" s="369" t="str">
        <f t="shared" si="20"/>
        <v>-</v>
      </c>
      <c r="K37" s="194" t="str">
        <f t="shared" si="21"/>
        <v>-</v>
      </c>
      <c r="L37" s="653"/>
      <c r="M37" s="375" t="e">
        <f>RANK(K37, K$27:$K$41)</f>
        <v>#VALUE!</v>
      </c>
      <c r="N37" s="637"/>
      <c r="O37" s="637"/>
      <c r="P37" s="560" t="s">
        <v>557</v>
      </c>
      <c r="Q37" s="562" t="s">
        <v>557</v>
      </c>
      <c r="R37" s="562" t="s">
        <v>557</v>
      </c>
      <c r="S37" s="560" t="e">
        <f t="shared" si="22"/>
        <v>#VALUE!</v>
      </c>
      <c r="T37" s="633"/>
      <c r="U37" s="560" t="s">
        <v>557</v>
      </c>
      <c r="V37" s="562" t="s">
        <v>557</v>
      </c>
      <c r="W37" s="562" t="s">
        <v>557</v>
      </c>
      <c r="X37" s="560" t="e">
        <f t="shared" si="24"/>
        <v>#VALUE!</v>
      </c>
      <c r="Y37" s="633"/>
      <c r="Z37" s="560" t="s">
        <v>557</v>
      </c>
      <c r="AA37" s="562" t="s">
        <v>557</v>
      </c>
      <c r="AB37" s="562" t="s">
        <v>557</v>
      </c>
      <c r="AC37" s="560" t="e">
        <f t="shared" si="26"/>
        <v>#VALUE!</v>
      </c>
      <c r="AD37" s="633"/>
      <c r="AE37" s="560" t="s">
        <v>557</v>
      </c>
      <c r="AF37" s="562" t="s">
        <v>557</v>
      </c>
      <c r="AG37" s="562" t="s">
        <v>557</v>
      </c>
      <c r="AH37" s="560" t="e">
        <f t="shared" si="28"/>
        <v>#VALUE!</v>
      </c>
      <c r="AI37" s="633"/>
      <c r="AJ37" s="560" t="s">
        <v>557</v>
      </c>
      <c r="AK37" s="562" t="s">
        <v>557</v>
      </c>
      <c r="AL37" s="562" t="s">
        <v>557</v>
      </c>
      <c r="AM37" s="560" t="e">
        <f t="shared" si="30"/>
        <v>#VALUE!</v>
      </c>
      <c r="AN37" s="633"/>
      <c r="AO37" s="560" t="s">
        <v>557</v>
      </c>
      <c r="AP37" s="562" t="s">
        <v>557</v>
      </c>
      <c r="AQ37" s="562" t="s">
        <v>557</v>
      </c>
      <c r="AR37" s="560" t="e">
        <f t="shared" si="32"/>
        <v>#VALUE!</v>
      </c>
      <c r="AS37" s="633"/>
      <c r="AT37" s="560" t="s">
        <v>557</v>
      </c>
      <c r="AU37" s="562" t="s">
        <v>557</v>
      </c>
      <c r="AV37" s="562" t="s">
        <v>557</v>
      </c>
      <c r="AW37" s="560" t="e">
        <f t="shared" si="34"/>
        <v>#VALUE!</v>
      </c>
      <c r="AX37" s="633"/>
      <c r="AZ37" s="361" t="e">
        <f t="shared" si="36"/>
        <v>#N/A</v>
      </c>
      <c r="BA37" s="633"/>
    </row>
    <row r="38" spans="2:53">
      <c r="B38" s="643"/>
      <c r="C38" s="368">
        <v>12</v>
      </c>
      <c r="D38" s="553"/>
      <c r="E38" s="553"/>
      <c r="F38" s="553"/>
      <c r="G38" s="559"/>
      <c r="H38" s="651"/>
      <c r="I38" s="369" t="str">
        <f t="shared" si="19"/>
        <v>-</v>
      </c>
      <c r="J38" s="369" t="str">
        <f t="shared" si="20"/>
        <v>-</v>
      </c>
      <c r="K38" s="194" t="str">
        <f t="shared" si="21"/>
        <v>-</v>
      </c>
      <c r="L38" s="653"/>
      <c r="M38" s="375" t="e">
        <f>RANK(K38, K$27:$K$41)</f>
        <v>#VALUE!</v>
      </c>
      <c r="N38" s="637"/>
      <c r="O38" s="637"/>
      <c r="P38" s="560" t="s">
        <v>557</v>
      </c>
      <c r="Q38" s="562" t="s">
        <v>557</v>
      </c>
      <c r="R38" s="562" t="s">
        <v>557</v>
      </c>
      <c r="S38" s="560" t="e">
        <f t="shared" si="22"/>
        <v>#VALUE!</v>
      </c>
      <c r="T38" s="633"/>
      <c r="U38" s="560" t="s">
        <v>557</v>
      </c>
      <c r="V38" s="562" t="s">
        <v>557</v>
      </c>
      <c r="W38" s="562" t="s">
        <v>557</v>
      </c>
      <c r="X38" s="560" t="e">
        <f t="shared" si="24"/>
        <v>#VALUE!</v>
      </c>
      <c r="Y38" s="633"/>
      <c r="Z38" s="560" t="s">
        <v>557</v>
      </c>
      <c r="AA38" s="562" t="s">
        <v>557</v>
      </c>
      <c r="AB38" s="562" t="s">
        <v>557</v>
      </c>
      <c r="AC38" s="560" t="e">
        <f t="shared" si="26"/>
        <v>#VALUE!</v>
      </c>
      <c r="AD38" s="633"/>
      <c r="AE38" s="560" t="s">
        <v>557</v>
      </c>
      <c r="AF38" s="562" t="s">
        <v>557</v>
      </c>
      <c r="AG38" s="562" t="s">
        <v>557</v>
      </c>
      <c r="AH38" s="560" t="e">
        <f t="shared" si="28"/>
        <v>#VALUE!</v>
      </c>
      <c r="AI38" s="633"/>
      <c r="AJ38" s="560" t="s">
        <v>557</v>
      </c>
      <c r="AK38" s="562" t="s">
        <v>557</v>
      </c>
      <c r="AL38" s="562" t="s">
        <v>557</v>
      </c>
      <c r="AM38" s="560" t="e">
        <f t="shared" si="30"/>
        <v>#VALUE!</v>
      </c>
      <c r="AN38" s="633"/>
      <c r="AO38" s="560" t="s">
        <v>557</v>
      </c>
      <c r="AP38" s="562" t="s">
        <v>557</v>
      </c>
      <c r="AQ38" s="562" t="s">
        <v>557</v>
      </c>
      <c r="AR38" s="560" t="e">
        <f t="shared" si="32"/>
        <v>#VALUE!</v>
      </c>
      <c r="AS38" s="633"/>
      <c r="AT38" s="560" t="s">
        <v>557</v>
      </c>
      <c r="AU38" s="562" t="s">
        <v>557</v>
      </c>
      <c r="AV38" s="562" t="s">
        <v>557</v>
      </c>
      <c r="AW38" s="560" t="e">
        <f t="shared" si="34"/>
        <v>#VALUE!</v>
      </c>
      <c r="AX38" s="633"/>
      <c r="AZ38" s="361" t="e">
        <f t="shared" si="36"/>
        <v>#N/A</v>
      </c>
      <c r="BA38" s="633"/>
    </row>
    <row r="39" spans="2:53">
      <c r="B39" s="643"/>
      <c r="C39" s="368">
        <v>13</v>
      </c>
      <c r="D39" s="553"/>
      <c r="E39" s="553"/>
      <c r="F39" s="553"/>
      <c r="G39" s="559"/>
      <c r="H39" s="651"/>
      <c r="I39" s="369" t="str">
        <f t="shared" si="19"/>
        <v>-</v>
      </c>
      <c r="J39" s="369" t="str">
        <f t="shared" si="20"/>
        <v>-</v>
      </c>
      <c r="K39" s="194" t="str">
        <f t="shared" si="21"/>
        <v>-</v>
      </c>
      <c r="L39" s="653"/>
      <c r="M39" s="375" t="e">
        <f>RANK(K39, K$27:$K$41)</f>
        <v>#VALUE!</v>
      </c>
      <c r="N39" s="637"/>
      <c r="O39" s="637"/>
      <c r="P39" s="560" t="s">
        <v>557</v>
      </c>
      <c r="Q39" s="562" t="s">
        <v>557</v>
      </c>
      <c r="R39" s="562" t="s">
        <v>557</v>
      </c>
      <c r="S39" s="560" t="e">
        <f t="shared" si="22"/>
        <v>#VALUE!</v>
      </c>
      <c r="T39" s="633"/>
      <c r="U39" s="560" t="s">
        <v>557</v>
      </c>
      <c r="V39" s="562" t="s">
        <v>557</v>
      </c>
      <c r="W39" s="562" t="s">
        <v>557</v>
      </c>
      <c r="X39" s="560" t="e">
        <f t="shared" si="24"/>
        <v>#VALUE!</v>
      </c>
      <c r="Y39" s="633"/>
      <c r="Z39" s="560" t="s">
        <v>557</v>
      </c>
      <c r="AA39" s="562" t="s">
        <v>557</v>
      </c>
      <c r="AB39" s="562" t="s">
        <v>557</v>
      </c>
      <c r="AC39" s="560" t="e">
        <f t="shared" si="26"/>
        <v>#VALUE!</v>
      </c>
      <c r="AD39" s="633"/>
      <c r="AE39" s="560" t="s">
        <v>557</v>
      </c>
      <c r="AF39" s="562" t="s">
        <v>557</v>
      </c>
      <c r="AG39" s="562" t="s">
        <v>557</v>
      </c>
      <c r="AH39" s="560" t="e">
        <f t="shared" si="28"/>
        <v>#VALUE!</v>
      </c>
      <c r="AI39" s="633"/>
      <c r="AJ39" s="560" t="s">
        <v>557</v>
      </c>
      <c r="AK39" s="562" t="s">
        <v>557</v>
      </c>
      <c r="AL39" s="562" t="s">
        <v>557</v>
      </c>
      <c r="AM39" s="560" t="e">
        <f t="shared" si="30"/>
        <v>#VALUE!</v>
      </c>
      <c r="AN39" s="633"/>
      <c r="AO39" s="560" t="s">
        <v>557</v>
      </c>
      <c r="AP39" s="562" t="s">
        <v>557</v>
      </c>
      <c r="AQ39" s="562" t="s">
        <v>557</v>
      </c>
      <c r="AR39" s="560" t="e">
        <f t="shared" si="32"/>
        <v>#VALUE!</v>
      </c>
      <c r="AS39" s="633"/>
      <c r="AT39" s="560" t="s">
        <v>557</v>
      </c>
      <c r="AU39" s="562" t="s">
        <v>557</v>
      </c>
      <c r="AV39" s="562" t="s">
        <v>557</v>
      </c>
      <c r="AW39" s="560" t="e">
        <f t="shared" si="34"/>
        <v>#VALUE!</v>
      </c>
      <c r="AX39" s="633"/>
      <c r="AZ39" s="361" t="e">
        <f t="shared" si="36"/>
        <v>#N/A</v>
      </c>
      <c r="BA39" s="633"/>
    </row>
    <row r="40" spans="2:53">
      <c r="B40" s="643"/>
      <c r="C40" s="368">
        <v>14</v>
      </c>
      <c r="D40" s="553"/>
      <c r="E40" s="553"/>
      <c r="F40" s="553"/>
      <c r="G40" s="559"/>
      <c r="H40" s="651"/>
      <c r="I40" s="369" t="str">
        <f t="shared" si="19"/>
        <v>-</v>
      </c>
      <c r="J40" s="369" t="str">
        <f t="shared" si="20"/>
        <v>-</v>
      </c>
      <c r="K40" s="194" t="str">
        <f t="shared" si="21"/>
        <v>-</v>
      </c>
      <c r="L40" s="653"/>
      <c r="M40" s="375" t="e">
        <f>RANK(K40, K$27:$K$41)</f>
        <v>#VALUE!</v>
      </c>
      <c r="N40" s="637"/>
      <c r="O40" s="637"/>
      <c r="P40" s="560" t="s">
        <v>557</v>
      </c>
      <c r="Q40" s="562" t="s">
        <v>557</v>
      </c>
      <c r="R40" s="562" t="s">
        <v>557</v>
      </c>
      <c r="S40" s="560" t="e">
        <f t="shared" si="22"/>
        <v>#VALUE!</v>
      </c>
      <c r="T40" s="633"/>
      <c r="U40" s="560" t="s">
        <v>557</v>
      </c>
      <c r="V40" s="562" t="s">
        <v>557</v>
      </c>
      <c r="W40" s="562" t="s">
        <v>557</v>
      </c>
      <c r="X40" s="560" t="e">
        <f t="shared" si="24"/>
        <v>#VALUE!</v>
      </c>
      <c r="Y40" s="633"/>
      <c r="Z40" s="560" t="s">
        <v>557</v>
      </c>
      <c r="AA40" s="562" t="s">
        <v>557</v>
      </c>
      <c r="AB40" s="562" t="s">
        <v>557</v>
      </c>
      <c r="AC40" s="560" t="e">
        <f t="shared" si="26"/>
        <v>#VALUE!</v>
      </c>
      <c r="AD40" s="633"/>
      <c r="AE40" s="560" t="s">
        <v>557</v>
      </c>
      <c r="AF40" s="562" t="s">
        <v>557</v>
      </c>
      <c r="AG40" s="562" t="s">
        <v>557</v>
      </c>
      <c r="AH40" s="560" t="e">
        <f t="shared" si="28"/>
        <v>#VALUE!</v>
      </c>
      <c r="AI40" s="633"/>
      <c r="AJ40" s="560" t="s">
        <v>557</v>
      </c>
      <c r="AK40" s="562" t="s">
        <v>557</v>
      </c>
      <c r="AL40" s="562" t="s">
        <v>557</v>
      </c>
      <c r="AM40" s="560" t="e">
        <f t="shared" si="30"/>
        <v>#VALUE!</v>
      </c>
      <c r="AN40" s="633"/>
      <c r="AO40" s="560" t="s">
        <v>557</v>
      </c>
      <c r="AP40" s="562" t="s">
        <v>557</v>
      </c>
      <c r="AQ40" s="562" t="s">
        <v>557</v>
      </c>
      <c r="AR40" s="560" t="e">
        <f t="shared" si="32"/>
        <v>#VALUE!</v>
      </c>
      <c r="AS40" s="633"/>
      <c r="AT40" s="560" t="s">
        <v>557</v>
      </c>
      <c r="AU40" s="562" t="s">
        <v>557</v>
      </c>
      <c r="AV40" s="562" t="s">
        <v>557</v>
      </c>
      <c r="AW40" s="560" t="e">
        <f t="shared" si="34"/>
        <v>#VALUE!</v>
      </c>
      <c r="AX40" s="633"/>
      <c r="AZ40" s="361" t="e">
        <f t="shared" si="36"/>
        <v>#N/A</v>
      </c>
      <c r="BA40" s="633"/>
    </row>
    <row r="41" spans="2:53">
      <c r="B41" s="643"/>
      <c r="C41" s="368">
        <v>15</v>
      </c>
      <c r="D41" s="553"/>
      <c r="E41" s="553"/>
      <c r="F41" s="553"/>
      <c r="G41" s="553"/>
      <c r="H41" s="708"/>
      <c r="I41" s="369" t="str">
        <f t="shared" si="19"/>
        <v>-</v>
      </c>
      <c r="J41" s="369" t="str">
        <f t="shared" si="20"/>
        <v>-</v>
      </c>
      <c r="K41" s="194" t="str">
        <f t="shared" si="21"/>
        <v>-</v>
      </c>
      <c r="L41" s="654"/>
      <c r="M41" s="375" t="e">
        <f>RANK(K41, K$27:$K$41)</f>
        <v>#VALUE!</v>
      </c>
      <c r="N41" s="637"/>
      <c r="O41" s="637"/>
      <c r="P41" s="560" t="s">
        <v>557</v>
      </c>
      <c r="Q41" s="562" t="s">
        <v>557</v>
      </c>
      <c r="R41" s="562" t="s">
        <v>557</v>
      </c>
      <c r="S41" s="560" t="e">
        <f t="shared" si="22"/>
        <v>#VALUE!</v>
      </c>
      <c r="T41" s="634"/>
      <c r="U41" s="560" t="s">
        <v>557</v>
      </c>
      <c r="V41" s="562" t="s">
        <v>557</v>
      </c>
      <c r="W41" s="562" t="s">
        <v>557</v>
      </c>
      <c r="X41" s="560" t="e">
        <f t="shared" si="24"/>
        <v>#VALUE!</v>
      </c>
      <c r="Y41" s="634"/>
      <c r="Z41" s="560" t="s">
        <v>557</v>
      </c>
      <c r="AA41" s="562" t="s">
        <v>557</v>
      </c>
      <c r="AB41" s="562" t="s">
        <v>557</v>
      </c>
      <c r="AC41" s="560" t="e">
        <f t="shared" si="26"/>
        <v>#VALUE!</v>
      </c>
      <c r="AD41" s="634"/>
      <c r="AE41" s="560" t="s">
        <v>557</v>
      </c>
      <c r="AF41" s="562" t="s">
        <v>557</v>
      </c>
      <c r="AG41" s="562" t="s">
        <v>557</v>
      </c>
      <c r="AH41" s="560" t="e">
        <f t="shared" si="28"/>
        <v>#VALUE!</v>
      </c>
      <c r="AI41" s="634"/>
      <c r="AJ41" s="560" t="s">
        <v>557</v>
      </c>
      <c r="AK41" s="562" t="s">
        <v>557</v>
      </c>
      <c r="AL41" s="562" t="s">
        <v>557</v>
      </c>
      <c r="AM41" s="560" t="e">
        <f t="shared" si="30"/>
        <v>#VALUE!</v>
      </c>
      <c r="AN41" s="634"/>
      <c r="AO41" s="560" t="s">
        <v>557</v>
      </c>
      <c r="AP41" s="562" t="s">
        <v>557</v>
      </c>
      <c r="AQ41" s="562" t="s">
        <v>557</v>
      </c>
      <c r="AR41" s="560" t="e">
        <f t="shared" si="32"/>
        <v>#VALUE!</v>
      </c>
      <c r="AS41" s="634"/>
      <c r="AT41" s="560" t="s">
        <v>557</v>
      </c>
      <c r="AU41" s="562" t="s">
        <v>557</v>
      </c>
      <c r="AV41" s="562" t="s">
        <v>557</v>
      </c>
      <c r="AW41" s="560" t="e">
        <f t="shared" si="34"/>
        <v>#VALUE!</v>
      </c>
      <c r="AX41" s="634"/>
      <c r="AZ41" s="361" t="e">
        <f t="shared" si="36"/>
        <v>#N/A</v>
      </c>
      <c r="BA41" s="634"/>
    </row>
    <row r="42" spans="2:53" ht="15.75">
      <c r="B42" s="676" t="s">
        <v>162</v>
      </c>
      <c r="C42" s="677"/>
      <c r="D42" s="677"/>
      <c r="E42" s="677"/>
      <c r="F42" s="677"/>
      <c r="G42" s="677"/>
      <c r="H42" s="677"/>
      <c r="I42" s="202"/>
      <c r="J42" s="197"/>
      <c r="K42" s="202"/>
      <c r="L42" s="202"/>
      <c r="M42" s="198"/>
      <c r="N42" s="639" t="s">
        <v>156</v>
      </c>
      <c r="O42" s="639" t="s">
        <v>105</v>
      </c>
      <c r="P42" s="664">
        <f>P22+7</f>
        <v>46308</v>
      </c>
      <c r="Q42" s="643"/>
      <c r="R42" s="643"/>
      <c r="S42" s="643"/>
      <c r="T42" s="643"/>
      <c r="U42" s="661">
        <f>P42+1</f>
        <v>46309</v>
      </c>
      <c r="V42" s="662"/>
      <c r="W42" s="662"/>
      <c r="X42" s="662"/>
      <c r="Y42" s="663"/>
      <c r="Z42" s="661">
        <f>U42+1</f>
        <v>46310</v>
      </c>
      <c r="AA42" s="662"/>
      <c r="AB42" s="662"/>
      <c r="AC42" s="662"/>
      <c r="AD42" s="663"/>
      <c r="AE42" s="661">
        <f>Z42+1</f>
        <v>46311</v>
      </c>
      <c r="AF42" s="662"/>
      <c r="AG42" s="662"/>
      <c r="AH42" s="662"/>
      <c r="AI42" s="663"/>
      <c r="AJ42" s="661">
        <f>AE42+1</f>
        <v>46312</v>
      </c>
      <c r="AK42" s="662"/>
      <c r="AL42" s="662"/>
      <c r="AM42" s="662"/>
      <c r="AN42" s="663"/>
      <c r="AO42" s="661">
        <f>AJ42+1</f>
        <v>46313</v>
      </c>
      <c r="AP42" s="662"/>
      <c r="AQ42" s="662"/>
      <c r="AR42" s="662"/>
      <c r="AS42" s="663"/>
      <c r="AT42" s="661">
        <f>AO42+1</f>
        <v>46314</v>
      </c>
      <c r="AU42" s="662"/>
      <c r="AV42" s="662"/>
      <c r="AW42" s="662"/>
      <c r="AX42" s="663"/>
    </row>
    <row r="43" spans="2:53" ht="15.75">
      <c r="B43" s="668"/>
      <c r="C43" s="668"/>
      <c r="D43" s="668"/>
      <c r="E43" s="668"/>
      <c r="F43" s="668"/>
      <c r="G43" s="668"/>
      <c r="H43" s="668"/>
      <c r="I43" s="199"/>
      <c r="J43" s="199"/>
      <c r="K43" s="199"/>
      <c r="L43" s="199"/>
      <c r="M43" s="200"/>
      <c r="N43" s="641"/>
      <c r="O43" s="641"/>
      <c r="P43" s="664" t="s">
        <v>317</v>
      </c>
      <c r="Q43" s="643"/>
      <c r="R43" s="643"/>
      <c r="S43" s="643"/>
      <c r="T43" s="643"/>
      <c r="U43" s="664" t="s">
        <v>318</v>
      </c>
      <c r="V43" s="643"/>
      <c r="W43" s="643"/>
      <c r="X43" s="643"/>
      <c r="Y43" s="643"/>
      <c r="Z43" s="664" t="s">
        <v>319</v>
      </c>
      <c r="AA43" s="643"/>
      <c r="AB43" s="643"/>
      <c r="AC43" s="643"/>
      <c r="AD43" s="643"/>
      <c r="AE43" s="664" t="s">
        <v>320</v>
      </c>
      <c r="AF43" s="643"/>
      <c r="AG43" s="643"/>
      <c r="AH43" s="643"/>
      <c r="AI43" s="643"/>
      <c r="AJ43" s="664" t="s">
        <v>321</v>
      </c>
      <c r="AK43" s="643"/>
      <c r="AL43" s="643"/>
      <c r="AM43" s="643"/>
      <c r="AN43" s="643"/>
      <c r="AO43" s="664" t="s">
        <v>322</v>
      </c>
      <c r="AP43" s="643"/>
      <c r="AQ43" s="643"/>
      <c r="AR43" s="643"/>
      <c r="AS43" s="643"/>
      <c r="AT43" s="664" t="s">
        <v>323</v>
      </c>
      <c r="AU43" s="643"/>
      <c r="AV43" s="643"/>
      <c r="AW43" s="643"/>
      <c r="AX43" s="643"/>
    </row>
    <row r="44" spans="2:53">
      <c r="B44" s="637" t="s">
        <v>461</v>
      </c>
      <c r="C44" s="637" t="s">
        <v>370</v>
      </c>
      <c r="D44" s="637"/>
      <c r="E44" s="637" t="s">
        <v>361</v>
      </c>
      <c r="F44" s="637"/>
      <c r="G44" s="637"/>
      <c r="H44" s="669" t="s">
        <v>357</v>
      </c>
      <c r="I44" s="637" t="s">
        <v>362</v>
      </c>
      <c r="J44" s="637"/>
      <c r="K44" s="637"/>
      <c r="L44" s="669" t="s">
        <v>357</v>
      </c>
      <c r="M44" s="639" t="s">
        <v>358</v>
      </c>
      <c r="N44" s="637"/>
      <c r="O44" s="637" t="s">
        <v>363</v>
      </c>
      <c r="P44" s="655" t="s">
        <v>359</v>
      </c>
      <c r="Q44" s="656"/>
      <c r="R44" s="656"/>
      <c r="S44" s="657"/>
      <c r="T44" s="637" t="s">
        <v>357</v>
      </c>
      <c r="U44" s="655" t="s">
        <v>359</v>
      </c>
      <c r="V44" s="656"/>
      <c r="W44" s="656"/>
      <c r="X44" s="657"/>
      <c r="Y44" s="637" t="s">
        <v>357</v>
      </c>
      <c r="Z44" s="655" t="s">
        <v>359</v>
      </c>
      <c r="AA44" s="656"/>
      <c r="AB44" s="656"/>
      <c r="AC44" s="657"/>
      <c r="AD44" s="637" t="s">
        <v>357</v>
      </c>
      <c r="AE44" s="655" t="s">
        <v>359</v>
      </c>
      <c r="AF44" s="656"/>
      <c r="AG44" s="656"/>
      <c r="AH44" s="657"/>
      <c r="AI44" s="637" t="s">
        <v>357</v>
      </c>
      <c r="AJ44" s="655" t="s">
        <v>359</v>
      </c>
      <c r="AK44" s="656"/>
      <c r="AL44" s="656"/>
      <c r="AM44" s="657"/>
      <c r="AN44" s="637" t="s">
        <v>357</v>
      </c>
      <c r="AO44" s="655" t="s">
        <v>359</v>
      </c>
      <c r="AP44" s="656"/>
      <c r="AQ44" s="656"/>
      <c r="AR44" s="657"/>
      <c r="AS44" s="637" t="s">
        <v>357</v>
      </c>
      <c r="AT44" s="655" t="s">
        <v>359</v>
      </c>
      <c r="AU44" s="656"/>
      <c r="AV44" s="656"/>
      <c r="AW44" s="657"/>
      <c r="AX44" s="637" t="s">
        <v>357</v>
      </c>
      <c r="BA44" s="637" t="s">
        <v>357</v>
      </c>
    </row>
    <row r="45" spans="2:53">
      <c r="B45" s="637"/>
      <c r="C45" s="637"/>
      <c r="D45" s="637"/>
      <c r="E45" s="637" t="s">
        <v>364</v>
      </c>
      <c r="F45" s="637"/>
      <c r="G45" s="637"/>
      <c r="H45" s="670"/>
      <c r="I45" s="637" t="s">
        <v>364</v>
      </c>
      <c r="J45" s="637"/>
      <c r="K45" s="637"/>
      <c r="L45" s="670"/>
      <c r="M45" s="640"/>
      <c r="N45" s="637"/>
      <c r="O45" s="637"/>
      <c r="P45" s="655" t="s">
        <v>365</v>
      </c>
      <c r="Q45" s="656"/>
      <c r="R45" s="656"/>
      <c r="S45" s="657"/>
      <c r="T45" s="637"/>
      <c r="U45" s="655" t="s">
        <v>365</v>
      </c>
      <c r="V45" s="656"/>
      <c r="W45" s="656"/>
      <c r="X45" s="657"/>
      <c r="Y45" s="637"/>
      <c r="Z45" s="655" t="s">
        <v>365</v>
      </c>
      <c r="AA45" s="656"/>
      <c r="AB45" s="656"/>
      <c r="AC45" s="657"/>
      <c r="AD45" s="637"/>
      <c r="AE45" s="655" t="s">
        <v>365</v>
      </c>
      <c r="AF45" s="656"/>
      <c r="AG45" s="656"/>
      <c r="AH45" s="657"/>
      <c r="AI45" s="637"/>
      <c r="AJ45" s="655" t="s">
        <v>365</v>
      </c>
      <c r="AK45" s="656"/>
      <c r="AL45" s="656"/>
      <c r="AM45" s="657"/>
      <c r="AN45" s="637"/>
      <c r="AO45" s="655" t="s">
        <v>365</v>
      </c>
      <c r="AP45" s="656"/>
      <c r="AQ45" s="656"/>
      <c r="AR45" s="657"/>
      <c r="AS45" s="637"/>
      <c r="AT45" s="655" t="s">
        <v>365</v>
      </c>
      <c r="AU45" s="656"/>
      <c r="AV45" s="656"/>
      <c r="AW45" s="657"/>
      <c r="AX45" s="637"/>
      <c r="BA45" s="637"/>
    </row>
    <row r="46" spans="2:53">
      <c r="B46" s="637"/>
      <c r="C46" s="637"/>
      <c r="D46" s="637"/>
      <c r="E46" s="366" t="s">
        <v>366</v>
      </c>
      <c r="F46" s="366" t="s">
        <v>367</v>
      </c>
      <c r="G46" s="366" t="s">
        <v>368</v>
      </c>
      <c r="H46" s="671"/>
      <c r="I46" s="366" t="s">
        <v>366</v>
      </c>
      <c r="J46" s="366" t="s">
        <v>367</v>
      </c>
      <c r="K46" s="366" t="s">
        <v>368</v>
      </c>
      <c r="L46" s="671"/>
      <c r="M46" s="641"/>
      <c r="N46" s="637"/>
      <c r="O46" s="637"/>
      <c r="P46" s="366" t="s">
        <v>366</v>
      </c>
      <c r="Q46" s="366" t="s">
        <v>367</v>
      </c>
      <c r="R46" s="366" t="s">
        <v>368</v>
      </c>
      <c r="S46" s="366" t="s">
        <v>358</v>
      </c>
      <c r="T46" s="637"/>
      <c r="U46" s="366" t="s">
        <v>366</v>
      </c>
      <c r="V46" s="366" t="s">
        <v>367</v>
      </c>
      <c r="W46" s="366" t="s">
        <v>368</v>
      </c>
      <c r="X46" s="366" t="s">
        <v>358</v>
      </c>
      <c r="Y46" s="637"/>
      <c r="Z46" s="366" t="s">
        <v>366</v>
      </c>
      <c r="AA46" s="366" t="s">
        <v>367</v>
      </c>
      <c r="AB46" s="366" t="s">
        <v>368</v>
      </c>
      <c r="AC46" s="366" t="s">
        <v>358</v>
      </c>
      <c r="AD46" s="637"/>
      <c r="AE46" s="366" t="s">
        <v>366</v>
      </c>
      <c r="AF46" s="366" t="s">
        <v>367</v>
      </c>
      <c r="AG46" s="366" t="s">
        <v>368</v>
      </c>
      <c r="AH46" s="366" t="s">
        <v>358</v>
      </c>
      <c r="AI46" s="637"/>
      <c r="AJ46" s="366" t="s">
        <v>366</v>
      </c>
      <c r="AK46" s="366" t="s">
        <v>367</v>
      </c>
      <c r="AL46" s="366" t="s">
        <v>368</v>
      </c>
      <c r="AM46" s="366" t="s">
        <v>358</v>
      </c>
      <c r="AN46" s="637"/>
      <c r="AO46" s="366" t="s">
        <v>366</v>
      </c>
      <c r="AP46" s="366" t="s">
        <v>367</v>
      </c>
      <c r="AQ46" s="366" t="s">
        <v>368</v>
      </c>
      <c r="AR46" s="366" t="s">
        <v>358</v>
      </c>
      <c r="AS46" s="637"/>
      <c r="AT46" s="366" t="s">
        <v>366</v>
      </c>
      <c r="AU46" s="366" t="s">
        <v>367</v>
      </c>
      <c r="AV46" s="366" t="s">
        <v>368</v>
      </c>
      <c r="AW46" s="366" t="s">
        <v>358</v>
      </c>
      <c r="AX46" s="637"/>
      <c r="AZ46" s="362" t="s">
        <v>358</v>
      </c>
      <c r="BA46" s="637"/>
    </row>
    <row r="47" spans="2:53">
      <c r="B47" s="695" t="s">
        <v>462</v>
      </c>
      <c r="C47" s="368">
        <v>1</v>
      </c>
      <c r="D47" s="551"/>
      <c r="E47" s="553"/>
      <c r="F47" s="553"/>
      <c r="G47" s="559"/>
      <c r="H47" s="650" t="e">
        <f>AVERAGE(G47:G61)</f>
        <v>#DIV/0!</v>
      </c>
      <c r="I47" s="369" t="str">
        <f t="shared" ref="I47:I61" si="38">IFERROR(AVERAGE(P47,U47,Z47,AE47,AJ47,AO47,AT47),"-")</f>
        <v>-</v>
      </c>
      <c r="J47" s="369" t="str">
        <f t="shared" ref="J47:J61" si="39">IFERROR(AVERAGE(Q47,V47,AA47,AF47,AK47,AP47,AU47),"-")</f>
        <v>-</v>
      </c>
      <c r="K47" s="194" t="str">
        <f t="shared" ref="K47:K61" si="40">IFERROR(AVERAGE(R47,W47,AB47,AG47,AL47,AQ47,AV47),"-")</f>
        <v>-</v>
      </c>
      <c r="L47" s="652" t="str">
        <f>IFERROR(AVERAGE(K47:K61),"-")</f>
        <v>-</v>
      </c>
      <c r="M47" s="390" t="e">
        <f>RANK(K47, K$47:$K$61)</f>
        <v>#VALUE!</v>
      </c>
      <c r="N47" s="637"/>
      <c r="O47" s="637"/>
      <c r="P47" s="538"/>
      <c r="Q47" s="540"/>
      <c r="R47" s="540"/>
      <c r="S47" s="539"/>
      <c r="T47" s="632"/>
      <c r="U47" s="538"/>
      <c r="V47" s="540"/>
      <c r="W47" s="540"/>
      <c r="X47" s="539"/>
      <c r="Y47" s="632"/>
      <c r="Z47" s="538"/>
      <c r="AA47" s="540"/>
      <c r="AB47" s="540"/>
      <c r="AC47" s="539"/>
      <c r="AD47" s="632"/>
      <c r="AE47" s="538"/>
      <c r="AF47" s="540"/>
      <c r="AG47" s="540"/>
      <c r="AH47" s="539"/>
      <c r="AI47" s="632"/>
      <c r="AJ47" s="538"/>
      <c r="AK47" s="540"/>
      <c r="AL47" s="540"/>
      <c r="AM47" s="539"/>
      <c r="AN47" s="632"/>
      <c r="AO47" s="538"/>
      <c r="AP47" s="540"/>
      <c r="AQ47" s="540"/>
      <c r="AR47" s="539"/>
      <c r="AS47" s="632"/>
      <c r="AT47" s="538"/>
      <c r="AU47" s="540"/>
      <c r="AV47" s="540"/>
      <c r="AW47" s="539"/>
      <c r="AX47" s="632"/>
      <c r="AZ47" s="364" t="e">
        <f t="shared" ref="AZ47:AZ61" si="41">RANK(AY47, AY$47:AY$61)</f>
        <v>#N/A</v>
      </c>
      <c r="BA47" s="632" t="e">
        <f t="shared" ref="BA47" si="42">AVERAGE(AY47:AY61)</f>
        <v>#DIV/0!</v>
      </c>
    </row>
    <row r="48" spans="2:53">
      <c r="B48" s="643"/>
      <c r="C48" s="368">
        <v>2</v>
      </c>
      <c r="D48" s="553"/>
      <c r="E48" s="553"/>
      <c r="F48" s="553"/>
      <c r="G48" s="559"/>
      <c r="H48" s="651"/>
      <c r="I48" s="369" t="str">
        <f t="shared" si="38"/>
        <v>-</v>
      </c>
      <c r="J48" s="369" t="str">
        <f t="shared" si="39"/>
        <v>-</v>
      </c>
      <c r="K48" s="194" t="str">
        <f t="shared" si="40"/>
        <v>-</v>
      </c>
      <c r="L48" s="653"/>
      <c r="M48" s="390" t="e">
        <f>RANK(K48, K$47:$K$61)</f>
        <v>#VALUE!</v>
      </c>
      <c r="N48" s="637"/>
      <c r="O48" s="637"/>
      <c r="P48" s="538"/>
      <c r="Q48" s="540"/>
      <c r="R48" s="540"/>
      <c r="S48" s="539"/>
      <c r="T48" s="633"/>
      <c r="U48" s="538"/>
      <c r="V48" s="540"/>
      <c r="W48" s="540"/>
      <c r="X48" s="539"/>
      <c r="Y48" s="633"/>
      <c r="Z48" s="538"/>
      <c r="AA48" s="540"/>
      <c r="AB48" s="540"/>
      <c r="AC48" s="539"/>
      <c r="AD48" s="633"/>
      <c r="AE48" s="538"/>
      <c r="AF48" s="540"/>
      <c r="AG48" s="540"/>
      <c r="AH48" s="539"/>
      <c r="AI48" s="633"/>
      <c r="AJ48" s="538"/>
      <c r="AK48" s="540"/>
      <c r="AL48" s="540"/>
      <c r="AM48" s="539"/>
      <c r="AN48" s="633"/>
      <c r="AO48" s="538"/>
      <c r="AP48" s="540"/>
      <c r="AQ48" s="540"/>
      <c r="AR48" s="539"/>
      <c r="AS48" s="633"/>
      <c r="AT48" s="538"/>
      <c r="AU48" s="540"/>
      <c r="AV48" s="540"/>
      <c r="AW48" s="539"/>
      <c r="AX48" s="633"/>
      <c r="AZ48" s="489" t="e">
        <f t="shared" si="41"/>
        <v>#N/A</v>
      </c>
      <c r="BA48" s="633"/>
    </row>
    <row r="49" spans="2:53">
      <c r="B49" s="643"/>
      <c r="C49" s="368">
        <v>3</v>
      </c>
      <c r="D49" s="553"/>
      <c r="E49" s="553"/>
      <c r="F49" s="553"/>
      <c r="G49" s="559"/>
      <c r="H49" s="651"/>
      <c r="I49" s="369" t="str">
        <f t="shared" si="38"/>
        <v>-</v>
      </c>
      <c r="J49" s="369" t="str">
        <f t="shared" si="39"/>
        <v>-</v>
      </c>
      <c r="K49" s="194" t="str">
        <f t="shared" si="40"/>
        <v>-</v>
      </c>
      <c r="L49" s="653"/>
      <c r="M49" s="390" t="e">
        <f>RANK(K49, K$47:$K$61)</f>
        <v>#VALUE!</v>
      </c>
      <c r="N49" s="637"/>
      <c r="O49" s="637"/>
      <c r="P49" s="538"/>
      <c r="Q49" s="540"/>
      <c r="R49" s="540"/>
      <c r="S49" s="539"/>
      <c r="T49" s="633"/>
      <c r="U49" s="538"/>
      <c r="V49" s="540"/>
      <c r="W49" s="540"/>
      <c r="X49" s="539"/>
      <c r="Y49" s="633"/>
      <c r="Z49" s="538"/>
      <c r="AA49" s="540"/>
      <c r="AB49" s="540"/>
      <c r="AC49" s="539"/>
      <c r="AD49" s="633"/>
      <c r="AE49" s="538"/>
      <c r="AF49" s="540"/>
      <c r="AG49" s="540"/>
      <c r="AH49" s="539"/>
      <c r="AI49" s="633"/>
      <c r="AJ49" s="538"/>
      <c r="AK49" s="540"/>
      <c r="AL49" s="540"/>
      <c r="AM49" s="539"/>
      <c r="AN49" s="633"/>
      <c r="AO49" s="538"/>
      <c r="AP49" s="540"/>
      <c r="AQ49" s="540"/>
      <c r="AR49" s="539"/>
      <c r="AS49" s="633"/>
      <c r="AT49" s="538"/>
      <c r="AU49" s="540"/>
      <c r="AV49" s="540"/>
      <c r="AW49" s="539"/>
      <c r="AX49" s="633"/>
      <c r="AZ49" s="489" t="e">
        <f t="shared" si="41"/>
        <v>#N/A</v>
      </c>
      <c r="BA49" s="633"/>
    </row>
    <row r="50" spans="2:53">
      <c r="B50" s="643"/>
      <c r="C50" s="368">
        <v>4</v>
      </c>
      <c r="D50" s="553"/>
      <c r="E50" s="553"/>
      <c r="F50" s="553"/>
      <c r="G50" s="559"/>
      <c r="H50" s="651"/>
      <c r="I50" s="369" t="str">
        <f t="shared" si="38"/>
        <v>-</v>
      </c>
      <c r="J50" s="369" t="str">
        <f t="shared" si="39"/>
        <v>-</v>
      </c>
      <c r="K50" s="194" t="str">
        <f t="shared" si="40"/>
        <v>-</v>
      </c>
      <c r="L50" s="653"/>
      <c r="M50" s="390" t="e">
        <f>RANK(K50, K$47:$K$61)</f>
        <v>#VALUE!</v>
      </c>
      <c r="N50" s="637"/>
      <c r="O50" s="637"/>
      <c r="P50" s="538"/>
      <c r="Q50" s="540"/>
      <c r="R50" s="540"/>
      <c r="S50" s="539"/>
      <c r="T50" s="633"/>
      <c r="U50" s="538"/>
      <c r="V50" s="540"/>
      <c r="W50" s="540"/>
      <c r="X50" s="539"/>
      <c r="Y50" s="633"/>
      <c r="Z50" s="538"/>
      <c r="AA50" s="540"/>
      <c r="AB50" s="540"/>
      <c r="AC50" s="539"/>
      <c r="AD50" s="633"/>
      <c r="AE50" s="538"/>
      <c r="AF50" s="540"/>
      <c r="AG50" s="540"/>
      <c r="AH50" s="539"/>
      <c r="AI50" s="633"/>
      <c r="AJ50" s="538"/>
      <c r="AK50" s="540"/>
      <c r="AL50" s="540"/>
      <c r="AM50" s="539"/>
      <c r="AN50" s="633"/>
      <c r="AO50" s="538"/>
      <c r="AP50" s="540"/>
      <c r="AQ50" s="540"/>
      <c r="AR50" s="539"/>
      <c r="AS50" s="633"/>
      <c r="AT50" s="538"/>
      <c r="AU50" s="540"/>
      <c r="AV50" s="540"/>
      <c r="AW50" s="539"/>
      <c r="AX50" s="633"/>
      <c r="AZ50" s="489" t="e">
        <f t="shared" si="41"/>
        <v>#N/A</v>
      </c>
      <c r="BA50" s="633"/>
    </row>
    <row r="51" spans="2:53">
      <c r="B51" s="643"/>
      <c r="C51" s="368">
        <v>5</v>
      </c>
      <c r="D51" s="553"/>
      <c r="E51" s="553"/>
      <c r="F51" s="553"/>
      <c r="G51" s="559"/>
      <c r="H51" s="651"/>
      <c r="I51" s="369" t="str">
        <f t="shared" si="38"/>
        <v>-</v>
      </c>
      <c r="J51" s="369" t="str">
        <f t="shared" si="39"/>
        <v>-</v>
      </c>
      <c r="K51" s="194" t="str">
        <f t="shared" si="40"/>
        <v>-</v>
      </c>
      <c r="L51" s="653"/>
      <c r="M51" s="390" t="e">
        <f>RANK(K51, K$47:$K$61)</f>
        <v>#VALUE!</v>
      </c>
      <c r="N51" s="637"/>
      <c r="O51" s="637"/>
      <c r="P51" s="538"/>
      <c r="Q51" s="540"/>
      <c r="R51" s="540"/>
      <c r="S51" s="539"/>
      <c r="T51" s="633"/>
      <c r="U51" s="538"/>
      <c r="V51" s="540"/>
      <c r="W51" s="540"/>
      <c r="X51" s="539"/>
      <c r="Y51" s="633"/>
      <c r="Z51" s="538"/>
      <c r="AA51" s="540"/>
      <c r="AB51" s="540"/>
      <c r="AC51" s="539"/>
      <c r="AD51" s="633"/>
      <c r="AE51" s="538"/>
      <c r="AF51" s="540"/>
      <c r="AG51" s="540"/>
      <c r="AH51" s="539"/>
      <c r="AI51" s="633"/>
      <c r="AJ51" s="538"/>
      <c r="AK51" s="540"/>
      <c r="AL51" s="540"/>
      <c r="AM51" s="539"/>
      <c r="AN51" s="633"/>
      <c r="AO51" s="538"/>
      <c r="AP51" s="540"/>
      <c r="AQ51" s="540"/>
      <c r="AR51" s="539"/>
      <c r="AS51" s="633"/>
      <c r="AT51" s="538"/>
      <c r="AU51" s="540"/>
      <c r="AV51" s="540"/>
      <c r="AW51" s="539"/>
      <c r="AX51" s="633"/>
      <c r="AZ51" s="489" t="e">
        <f t="shared" si="41"/>
        <v>#N/A</v>
      </c>
      <c r="BA51" s="633"/>
    </row>
    <row r="52" spans="2:53">
      <c r="B52" s="643"/>
      <c r="C52" s="368">
        <v>6</v>
      </c>
      <c r="D52" s="553"/>
      <c r="E52" s="553"/>
      <c r="F52" s="553"/>
      <c r="G52" s="559"/>
      <c r="H52" s="651"/>
      <c r="I52" s="369" t="str">
        <f t="shared" si="38"/>
        <v>-</v>
      </c>
      <c r="J52" s="369" t="str">
        <f t="shared" si="39"/>
        <v>-</v>
      </c>
      <c r="K52" s="194" t="str">
        <f t="shared" si="40"/>
        <v>-</v>
      </c>
      <c r="L52" s="653"/>
      <c r="M52" s="390" t="e">
        <f>RANK(K52, K$47:$K$61)</f>
        <v>#VALUE!</v>
      </c>
      <c r="N52" s="637"/>
      <c r="O52" s="637"/>
      <c r="P52" s="538"/>
      <c r="Q52" s="540"/>
      <c r="R52" s="540"/>
      <c r="S52" s="539"/>
      <c r="T52" s="633"/>
      <c r="U52" s="538"/>
      <c r="V52" s="540"/>
      <c r="W52" s="540"/>
      <c r="X52" s="539"/>
      <c r="Y52" s="633"/>
      <c r="Z52" s="538"/>
      <c r="AA52" s="540"/>
      <c r="AB52" s="540"/>
      <c r="AC52" s="539"/>
      <c r="AD52" s="633"/>
      <c r="AE52" s="538"/>
      <c r="AF52" s="540"/>
      <c r="AG52" s="540"/>
      <c r="AH52" s="539"/>
      <c r="AI52" s="633"/>
      <c r="AJ52" s="538"/>
      <c r="AK52" s="540"/>
      <c r="AL52" s="540"/>
      <c r="AM52" s="539"/>
      <c r="AN52" s="633"/>
      <c r="AO52" s="538"/>
      <c r="AP52" s="540"/>
      <c r="AQ52" s="540"/>
      <c r="AR52" s="539"/>
      <c r="AS52" s="633"/>
      <c r="AT52" s="538"/>
      <c r="AU52" s="540"/>
      <c r="AV52" s="540"/>
      <c r="AW52" s="539"/>
      <c r="AX52" s="633"/>
      <c r="AZ52" s="489" t="e">
        <f t="shared" si="41"/>
        <v>#N/A</v>
      </c>
      <c r="BA52" s="633"/>
    </row>
    <row r="53" spans="2:53">
      <c r="B53" s="643"/>
      <c r="C53" s="368">
        <v>7</v>
      </c>
      <c r="D53" s="553"/>
      <c r="E53" s="553"/>
      <c r="F53" s="553"/>
      <c r="G53" s="559"/>
      <c r="H53" s="651"/>
      <c r="I53" s="369" t="str">
        <f t="shared" si="38"/>
        <v>-</v>
      </c>
      <c r="J53" s="369" t="str">
        <f t="shared" si="39"/>
        <v>-</v>
      </c>
      <c r="K53" s="194" t="str">
        <f t="shared" si="40"/>
        <v>-</v>
      </c>
      <c r="L53" s="653"/>
      <c r="M53" s="390" t="e">
        <f>RANK(K53, K$47:$K$61)</f>
        <v>#VALUE!</v>
      </c>
      <c r="N53" s="637"/>
      <c r="O53" s="637"/>
      <c r="P53" s="538"/>
      <c r="Q53" s="540"/>
      <c r="R53" s="540"/>
      <c r="S53" s="539"/>
      <c r="T53" s="633"/>
      <c r="U53" s="538"/>
      <c r="V53" s="540"/>
      <c r="W53" s="540"/>
      <c r="X53" s="539"/>
      <c r="Y53" s="633"/>
      <c r="Z53" s="538"/>
      <c r="AA53" s="540"/>
      <c r="AB53" s="540"/>
      <c r="AC53" s="539"/>
      <c r="AD53" s="633"/>
      <c r="AE53" s="538"/>
      <c r="AF53" s="540"/>
      <c r="AG53" s="540"/>
      <c r="AH53" s="539"/>
      <c r="AI53" s="633"/>
      <c r="AJ53" s="538"/>
      <c r="AK53" s="540"/>
      <c r="AL53" s="540"/>
      <c r="AM53" s="539"/>
      <c r="AN53" s="633"/>
      <c r="AO53" s="538"/>
      <c r="AP53" s="540"/>
      <c r="AQ53" s="540"/>
      <c r="AR53" s="539"/>
      <c r="AS53" s="633"/>
      <c r="AT53" s="538"/>
      <c r="AU53" s="540"/>
      <c r="AV53" s="540"/>
      <c r="AW53" s="539"/>
      <c r="AX53" s="633"/>
      <c r="AZ53" s="489" t="e">
        <f t="shared" si="41"/>
        <v>#N/A</v>
      </c>
      <c r="BA53" s="633"/>
    </row>
    <row r="54" spans="2:53">
      <c r="B54" s="643"/>
      <c r="C54" s="368">
        <v>8</v>
      </c>
      <c r="D54" s="553"/>
      <c r="E54" s="553"/>
      <c r="F54" s="553"/>
      <c r="G54" s="559"/>
      <c r="H54" s="651"/>
      <c r="I54" s="369" t="str">
        <f t="shared" si="38"/>
        <v>-</v>
      </c>
      <c r="J54" s="369" t="str">
        <f t="shared" si="39"/>
        <v>-</v>
      </c>
      <c r="K54" s="194" t="str">
        <f t="shared" si="40"/>
        <v>-</v>
      </c>
      <c r="L54" s="653"/>
      <c r="M54" s="390" t="e">
        <f>RANK(K54, K$47:$K$61)</f>
        <v>#VALUE!</v>
      </c>
      <c r="N54" s="637"/>
      <c r="O54" s="637"/>
      <c r="P54" s="538"/>
      <c r="Q54" s="540"/>
      <c r="R54" s="540"/>
      <c r="S54" s="539"/>
      <c r="T54" s="633"/>
      <c r="U54" s="538"/>
      <c r="V54" s="540"/>
      <c r="W54" s="540"/>
      <c r="X54" s="539"/>
      <c r="Y54" s="633"/>
      <c r="Z54" s="538"/>
      <c r="AA54" s="540"/>
      <c r="AB54" s="540"/>
      <c r="AC54" s="539"/>
      <c r="AD54" s="633"/>
      <c r="AE54" s="538"/>
      <c r="AF54" s="540"/>
      <c r="AG54" s="540"/>
      <c r="AH54" s="539"/>
      <c r="AI54" s="633"/>
      <c r="AJ54" s="538"/>
      <c r="AK54" s="540"/>
      <c r="AL54" s="540"/>
      <c r="AM54" s="539"/>
      <c r="AN54" s="633"/>
      <c r="AO54" s="538"/>
      <c r="AP54" s="540"/>
      <c r="AQ54" s="540"/>
      <c r="AR54" s="539"/>
      <c r="AS54" s="633"/>
      <c r="AT54" s="538"/>
      <c r="AU54" s="540"/>
      <c r="AV54" s="540"/>
      <c r="AW54" s="539"/>
      <c r="AX54" s="633"/>
      <c r="AZ54" s="489" t="e">
        <f t="shared" si="41"/>
        <v>#N/A</v>
      </c>
      <c r="BA54" s="633"/>
    </row>
    <row r="55" spans="2:53">
      <c r="B55" s="643"/>
      <c r="C55" s="368">
        <v>9</v>
      </c>
      <c r="D55" s="553"/>
      <c r="E55" s="553"/>
      <c r="F55" s="553"/>
      <c r="G55" s="559"/>
      <c r="H55" s="651"/>
      <c r="I55" s="369" t="str">
        <f t="shared" si="38"/>
        <v>-</v>
      </c>
      <c r="J55" s="369" t="str">
        <f t="shared" si="39"/>
        <v>-</v>
      </c>
      <c r="K55" s="194" t="str">
        <f t="shared" si="40"/>
        <v>-</v>
      </c>
      <c r="L55" s="653"/>
      <c r="M55" s="390" t="e">
        <f>RANK(K55, K$47:$K$61)</f>
        <v>#VALUE!</v>
      </c>
      <c r="N55" s="637"/>
      <c r="O55" s="637"/>
      <c r="P55" s="538"/>
      <c r="Q55" s="540"/>
      <c r="R55" s="540"/>
      <c r="S55" s="539"/>
      <c r="T55" s="633"/>
      <c r="U55" s="538"/>
      <c r="V55" s="540"/>
      <c r="W55" s="540"/>
      <c r="X55" s="539"/>
      <c r="Y55" s="633"/>
      <c r="Z55" s="538"/>
      <c r="AA55" s="540"/>
      <c r="AB55" s="540"/>
      <c r="AC55" s="539"/>
      <c r="AD55" s="633"/>
      <c r="AE55" s="538"/>
      <c r="AF55" s="540"/>
      <c r="AG55" s="540"/>
      <c r="AH55" s="539"/>
      <c r="AI55" s="633"/>
      <c r="AJ55" s="538"/>
      <c r="AK55" s="540"/>
      <c r="AL55" s="540"/>
      <c r="AM55" s="539"/>
      <c r="AN55" s="633"/>
      <c r="AO55" s="538"/>
      <c r="AP55" s="540"/>
      <c r="AQ55" s="540"/>
      <c r="AR55" s="539"/>
      <c r="AS55" s="633"/>
      <c r="AT55" s="538"/>
      <c r="AU55" s="540"/>
      <c r="AV55" s="540"/>
      <c r="AW55" s="539"/>
      <c r="AX55" s="633"/>
      <c r="AZ55" s="489" t="e">
        <f t="shared" si="41"/>
        <v>#N/A</v>
      </c>
      <c r="BA55" s="633"/>
    </row>
    <row r="56" spans="2:53">
      <c r="B56" s="643"/>
      <c r="C56" s="368">
        <v>10</v>
      </c>
      <c r="D56" s="553"/>
      <c r="E56" s="553"/>
      <c r="F56" s="553"/>
      <c r="G56" s="559"/>
      <c r="H56" s="651"/>
      <c r="I56" s="369" t="str">
        <f t="shared" si="38"/>
        <v>-</v>
      </c>
      <c r="J56" s="369" t="str">
        <f t="shared" si="39"/>
        <v>-</v>
      </c>
      <c r="K56" s="194" t="str">
        <f t="shared" si="40"/>
        <v>-</v>
      </c>
      <c r="L56" s="653"/>
      <c r="M56" s="390" t="e">
        <f>RANK(K56, K$47:$K$61)</f>
        <v>#VALUE!</v>
      </c>
      <c r="N56" s="637"/>
      <c r="O56" s="637"/>
      <c r="P56" s="538"/>
      <c r="Q56" s="540"/>
      <c r="R56" s="540"/>
      <c r="S56" s="539"/>
      <c r="T56" s="633"/>
      <c r="U56" s="538"/>
      <c r="V56" s="540"/>
      <c r="W56" s="540"/>
      <c r="X56" s="539"/>
      <c r="Y56" s="633"/>
      <c r="Z56" s="538"/>
      <c r="AA56" s="540"/>
      <c r="AB56" s="540"/>
      <c r="AC56" s="539"/>
      <c r="AD56" s="633"/>
      <c r="AE56" s="538"/>
      <c r="AF56" s="540"/>
      <c r="AG56" s="540"/>
      <c r="AH56" s="539"/>
      <c r="AI56" s="633"/>
      <c r="AJ56" s="538"/>
      <c r="AK56" s="540"/>
      <c r="AL56" s="540"/>
      <c r="AM56" s="539"/>
      <c r="AN56" s="633"/>
      <c r="AO56" s="538"/>
      <c r="AP56" s="540"/>
      <c r="AQ56" s="540"/>
      <c r="AR56" s="539"/>
      <c r="AS56" s="633"/>
      <c r="AT56" s="538"/>
      <c r="AU56" s="540"/>
      <c r="AV56" s="540"/>
      <c r="AW56" s="539"/>
      <c r="AX56" s="633"/>
      <c r="AZ56" s="489" t="e">
        <f t="shared" si="41"/>
        <v>#N/A</v>
      </c>
      <c r="BA56" s="633"/>
    </row>
    <row r="57" spans="2:53">
      <c r="B57" s="643"/>
      <c r="C57" s="368">
        <v>11</v>
      </c>
      <c r="D57" s="553"/>
      <c r="E57" s="553"/>
      <c r="F57" s="553"/>
      <c r="G57" s="559"/>
      <c r="H57" s="651"/>
      <c r="I57" s="369" t="str">
        <f t="shared" si="38"/>
        <v>-</v>
      </c>
      <c r="J57" s="369" t="str">
        <f t="shared" si="39"/>
        <v>-</v>
      </c>
      <c r="K57" s="194" t="str">
        <f t="shared" si="40"/>
        <v>-</v>
      </c>
      <c r="L57" s="653"/>
      <c r="M57" s="390" t="e">
        <f>RANK(K57, K$47:$K$61)</f>
        <v>#VALUE!</v>
      </c>
      <c r="N57" s="637"/>
      <c r="O57" s="637"/>
      <c r="P57" s="538"/>
      <c r="Q57" s="540"/>
      <c r="R57" s="540"/>
      <c r="S57" s="539"/>
      <c r="T57" s="633"/>
      <c r="U57" s="538"/>
      <c r="V57" s="540"/>
      <c r="W57" s="540"/>
      <c r="X57" s="539"/>
      <c r="Y57" s="633"/>
      <c r="Z57" s="538"/>
      <c r="AA57" s="540"/>
      <c r="AB57" s="540"/>
      <c r="AC57" s="539"/>
      <c r="AD57" s="633"/>
      <c r="AE57" s="538"/>
      <c r="AF57" s="540"/>
      <c r="AG57" s="540"/>
      <c r="AH57" s="539"/>
      <c r="AI57" s="633"/>
      <c r="AJ57" s="538"/>
      <c r="AK57" s="540"/>
      <c r="AL57" s="540"/>
      <c r="AM57" s="539"/>
      <c r="AN57" s="633"/>
      <c r="AO57" s="538"/>
      <c r="AP57" s="540"/>
      <c r="AQ57" s="540"/>
      <c r="AR57" s="539"/>
      <c r="AS57" s="633"/>
      <c r="AT57" s="538"/>
      <c r="AU57" s="540"/>
      <c r="AV57" s="540"/>
      <c r="AW57" s="539"/>
      <c r="AX57" s="633"/>
      <c r="AZ57" s="489" t="e">
        <f t="shared" si="41"/>
        <v>#N/A</v>
      </c>
      <c r="BA57" s="633"/>
    </row>
    <row r="58" spans="2:53">
      <c r="B58" s="643"/>
      <c r="C58" s="368">
        <v>12</v>
      </c>
      <c r="D58" s="553"/>
      <c r="E58" s="553"/>
      <c r="F58" s="553"/>
      <c r="G58" s="559"/>
      <c r="H58" s="651"/>
      <c r="I58" s="369" t="str">
        <f t="shared" si="38"/>
        <v>-</v>
      </c>
      <c r="J58" s="369" t="str">
        <f t="shared" si="39"/>
        <v>-</v>
      </c>
      <c r="K58" s="194" t="str">
        <f t="shared" si="40"/>
        <v>-</v>
      </c>
      <c r="L58" s="653"/>
      <c r="M58" s="390" t="e">
        <f>RANK(K58, K$47:$K$61)</f>
        <v>#VALUE!</v>
      </c>
      <c r="N58" s="637"/>
      <c r="O58" s="637"/>
      <c r="P58" s="538"/>
      <c r="Q58" s="540"/>
      <c r="R58" s="540"/>
      <c r="S58" s="539"/>
      <c r="T58" s="633"/>
      <c r="U58" s="538"/>
      <c r="V58" s="540"/>
      <c r="W58" s="540"/>
      <c r="X58" s="539"/>
      <c r="Y58" s="633"/>
      <c r="Z58" s="538"/>
      <c r="AA58" s="540"/>
      <c r="AB58" s="540"/>
      <c r="AC58" s="539"/>
      <c r="AD58" s="633"/>
      <c r="AE58" s="538"/>
      <c r="AF58" s="540"/>
      <c r="AG58" s="540"/>
      <c r="AH58" s="539"/>
      <c r="AI58" s="633"/>
      <c r="AJ58" s="538"/>
      <c r="AK58" s="540"/>
      <c r="AL58" s="540"/>
      <c r="AM58" s="539"/>
      <c r="AN58" s="633"/>
      <c r="AO58" s="538"/>
      <c r="AP58" s="540"/>
      <c r="AQ58" s="540"/>
      <c r="AR58" s="539"/>
      <c r="AS58" s="633"/>
      <c r="AT58" s="538"/>
      <c r="AU58" s="540"/>
      <c r="AV58" s="540"/>
      <c r="AW58" s="539"/>
      <c r="AX58" s="633"/>
      <c r="AZ58" s="489" t="e">
        <f t="shared" si="41"/>
        <v>#N/A</v>
      </c>
      <c r="BA58" s="633"/>
    </row>
    <row r="59" spans="2:53">
      <c r="B59" s="643"/>
      <c r="C59" s="368">
        <v>13</v>
      </c>
      <c r="D59" s="553"/>
      <c r="E59" s="553"/>
      <c r="F59" s="553"/>
      <c r="G59" s="559"/>
      <c r="H59" s="651"/>
      <c r="I59" s="369" t="str">
        <f t="shared" si="38"/>
        <v>-</v>
      </c>
      <c r="J59" s="369" t="str">
        <f t="shared" si="39"/>
        <v>-</v>
      </c>
      <c r="K59" s="194" t="str">
        <f t="shared" si="40"/>
        <v>-</v>
      </c>
      <c r="L59" s="653"/>
      <c r="M59" s="390" t="e">
        <f>RANK(K59, K$47:$K$61)</f>
        <v>#VALUE!</v>
      </c>
      <c r="N59" s="637"/>
      <c r="O59" s="637"/>
      <c r="P59" s="538"/>
      <c r="Q59" s="540"/>
      <c r="R59" s="540"/>
      <c r="S59" s="539"/>
      <c r="T59" s="633"/>
      <c r="U59" s="538"/>
      <c r="V59" s="540"/>
      <c r="W59" s="540"/>
      <c r="X59" s="539"/>
      <c r="Y59" s="633"/>
      <c r="Z59" s="538"/>
      <c r="AA59" s="540"/>
      <c r="AB59" s="540"/>
      <c r="AC59" s="539"/>
      <c r="AD59" s="633"/>
      <c r="AE59" s="538"/>
      <c r="AF59" s="540"/>
      <c r="AG59" s="540"/>
      <c r="AH59" s="539"/>
      <c r="AI59" s="633"/>
      <c r="AJ59" s="538"/>
      <c r="AK59" s="540"/>
      <c r="AL59" s="540"/>
      <c r="AM59" s="539"/>
      <c r="AN59" s="633"/>
      <c r="AO59" s="538"/>
      <c r="AP59" s="540"/>
      <c r="AQ59" s="540"/>
      <c r="AR59" s="539"/>
      <c r="AS59" s="633"/>
      <c r="AT59" s="538"/>
      <c r="AU59" s="540"/>
      <c r="AV59" s="540"/>
      <c r="AW59" s="539"/>
      <c r="AX59" s="633"/>
      <c r="AZ59" s="489" t="e">
        <f t="shared" si="41"/>
        <v>#N/A</v>
      </c>
      <c r="BA59" s="633"/>
    </row>
    <row r="60" spans="2:53">
      <c r="B60" s="643"/>
      <c r="C60" s="368">
        <v>14</v>
      </c>
      <c r="D60" s="553"/>
      <c r="E60" s="553"/>
      <c r="F60" s="553"/>
      <c r="G60" s="559"/>
      <c r="H60" s="651"/>
      <c r="I60" s="369" t="str">
        <f t="shared" si="38"/>
        <v>-</v>
      </c>
      <c r="J60" s="369" t="str">
        <f t="shared" si="39"/>
        <v>-</v>
      </c>
      <c r="K60" s="194" t="str">
        <f t="shared" si="40"/>
        <v>-</v>
      </c>
      <c r="L60" s="653"/>
      <c r="M60" s="390" t="e">
        <f>RANK(K60, K$47:$K$61)</f>
        <v>#VALUE!</v>
      </c>
      <c r="N60" s="637"/>
      <c r="O60" s="637"/>
      <c r="P60" s="538"/>
      <c r="Q60" s="540"/>
      <c r="R60" s="540"/>
      <c r="S60" s="539"/>
      <c r="T60" s="633"/>
      <c r="U60" s="538"/>
      <c r="V60" s="540"/>
      <c r="W60" s="540"/>
      <c r="X60" s="539"/>
      <c r="Y60" s="633"/>
      <c r="Z60" s="538"/>
      <c r="AA60" s="540"/>
      <c r="AB60" s="540"/>
      <c r="AC60" s="539"/>
      <c r="AD60" s="633"/>
      <c r="AE60" s="538"/>
      <c r="AF60" s="540"/>
      <c r="AG60" s="540"/>
      <c r="AH60" s="539"/>
      <c r="AI60" s="633"/>
      <c r="AJ60" s="538"/>
      <c r="AK60" s="540"/>
      <c r="AL60" s="540"/>
      <c r="AM60" s="539"/>
      <c r="AN60" s="633"/>
      <c r="AO60" s="538"/>
      <c r="AP60" s="540"/>
      <c r="AQ60" s="540"/>
      <c r="AR60" s="539"/>
      <c r="AS60" s="633"/>
      <c r="AT60" s="538"/>
      <c r="AU60" s="540"/>
      <c r="AV60" s="540"/>
      <c r="AW60" s="539"/>
      <c r="AX60" s="633"/>
      <c r="AZ60" s="489" t="e">
        <f t="shared" si="41"/>
        <v>#N/A</v>
      </c>
      <c r="BA60" s="633"/>
    </row>
    <row r="61" spans="2:53">
      <c r="B61" s="643"/>
      <c r="C61" s="368">
        <v>15</v>
      </c>
      <c r="D61" s="553"/>
      <c r="E61" s="553"/>
      <c r="F61" s="553"/>
      <c r="G61" s="553"/>
      <c r="H61" s="708"/>
      <c r="I61" s="369" t="str">
        <f t="shared" si="38"/>
        <v>-</v>
      </c>
      <c r="J61" s="369" t="str">
        <f t="shared" si="39"/>
        <v>-</v>
      </c>
      <c r="K61" s="194" t="str">
        <f t="shared" si="40"/>
        <v>-</v>
      </c>
      <c r="L61" s="654"/>
      <c r="M61" s="390" t="e">
        <f>RANK(K61, K$47:$K$61)</f>
        <v>#VALUE!</v>
      </c>
      <c r="N61" s="637"/>
      <c r="O61" s="637"/>
      <c r="P61" s="538"/>
      <c r="Q61" s="540"/>
      <c r="R61" s="540"/>
      <c r="S61" s="539"/>
      <c r="T61" s="634"/>
      <c r="U61" s="538"/>
      <c r="V61" s="540"/>
      <c r="W61" s="540"/>
      <c r="X61" s="539"/>
      <c r="Y61" s="634"/>
      <c r="Z61" s="538"/>
      <c r="AA61" s="540"/>
      <c r="AB61" s="540"/>
      <c r="AC61" s="539"/>
      <c r="AD61" s="634"/>
      <c r="AE61" s="538"/>
      <c r="AF61" s="540"/>
      <c r="AG61" s="540"/>
      <c r="AH61" s="539"/>
      <c r="AI61" s="634"/>
      <c r="AJ61" s="538"/>
      <c r="AK61" s="540"/>
      <c r="AL61" s="540"/>
      <c r="AM61" s="539"/>
      <c r="AN61" s="634"/>
      <c r="AO61" s="538"/>
      <c r="AP61" s="540"/>
      <c r="AQ61" s="540"/>
      <c r="AR61" s="539"/>
      <c r="AS61" s="634"/>
      <c r="AT61" s="538"/>
      <c r="AU61" s="540"/>
      <c r="AV61" s="540"/>
      <c r="AW61" s="539"/>
      <c r="AX61" s="634"/>
      <c r="AZ61" s="489" t="e">
        <f t="shared" si="41"/>
        <v>#N/A</v>
      </c>
      <c r="BA61" s="634"/>
    </row>
    <row r="62" spans="2:53" ht="15.75">
      <c r="B62" s="665" t="s">
        <v>162</v>
      </c>
      <c r="C62" s="666"/>
      <c r="D62" s="666"/>
      <c r="E62" s="666"/>
      <c r="F62" s="666"/>
      <c r="G62" s="666"/>
      <c r="H62" s="667"/>
      <c r="I62" s="202"/>
      <c r="J62" s="202"/>
      <c r="K62" s="202"/>
      <c r="L62" s="202"/>
      <c r="M62" s="201"/>
      <c r="N62" s="639" t="s">
        <v>156</v>
      </c>
      <c r="O62" s="639" t="s">
        <v>105</v>
      </c>
      <c r="P62" s="664">
        <f>P42+7</f>
        <v>46315</v>
      </c>
      <c r="Q62" s="643"/>
      <c r="R62" s="643"/>
      <c r="S62" s="643"/>
      <c r="T62" s="643"/>
      <c r="U62" s="661">
        <f>P62+1</f>
        <v>46316</v>
      </c>
      <c r="V62" s="662"/>
      <c r="W62" s="662"/>
      <c r="X62" s="662"/>
      <c r="Y62" s="663"/>
      <c r="Z62" s="661">
        <f>U62+1</f>
        <v>46317</v>
      </c>
      <c r="AA62" s="662"/>
      <c r="AB62" s="662"/>
      <c r="AC62" s="662"/>
      <c r="AD62" s="663"/>
      <c r="AE62" s="661">
        <f>Z62+1</f>
        <v>46318</v>
      </c>
      <c r="AF62" s="662"/>
      <c r="AG62" s="662"/>
      <c r="AH62" s="662"/>
      <c r="AI62" s="663"/>
      <c r="AJ62" s="661">
        <f>AE62+1</f>
        <v>46319</v>
      </c>
      <c r="AK62" s="662"/>
      <c r="AL62" s="662"/>
      <c r="AM62" s="662"/>
      <c r="AN62" s="663"/>
      <c r="AO62" s="661">
        <f>AJ62+1</f>
        <v>46320</v>
      </c>
      <c r="AP62" s="662"/>
      <c r="AQ62" s="662"/>
      <c r="AR62" s="662"/>
      <c r="AS62" s="663"/>
      <c r="AT62" s="661">
        <f>AO62+1</f>
        <v>46321</v>
      </c>
      <c r="AU62" s="662"/>
      <c r="AV62" s="662"/>
      <c r="AW62" s="662"/>
      <c r="AX62" s="663"/>
    </row>
    <row r="63" spans="2:53" ht="15.75">
      <c r="B63" s="668"/>
      <c r="C63" s="668"/>
      <c r="D63" s="668"/>
      <c r="E63" s="668"/>
      <c r="F63" s="668"/>
      <c r="G63" s="668"/>
      <c r="H63" s="668"/>
      <c r="I63" s="199"/>
      <c r="J63" s="199"/>
      <c r="K63" s="199"/>
      <c r="L63" s="199"/>
      <c r="M63" s="200"/>
      <c r="N63" s="641"/>
      <c r="O63" s="641"/>
      <c r="P63" s="664" t="s">
        <v>317</v>
      </c>
      <c r="Q63" s="643"/>
      <c r="R63" s="643"/>
      <c r="S63" s="643"/>
      <c r="T63" s="643"/>
      <c r="U63" s="664" t="s">
        <v>318</v>
      </c>
      <c r="V63" s="643"/>
      <c r="W63" s="643"/>
      <c r="X63" s="643"/>
      <c r="Y63" s="643"/>
      <c r="Z63" s="664" t="s">
        <v>319</v>
      </c>
      <c r="AA63" s="643"/>
      <c r="AB63" s="643"/>
      <c r="AC63" s="643"/>
      <c r="AD63" s="643"/>
      <c r="AE63" s="664" t="s">
        <v>320</v>
      </c>
      <c r="AF63" s="643"/>
      <c r="AG63" s="643"/>
      <c r="AH63" s="643"/>
      <c r="AI63" s="643"/>
      <c r="AJ63" s="664" t="s">
        <v>321</v>
      </c>
      <c r="AK63" s="643"/>
      <c r="AL63" s="643"/>
      <c r="AM63" s="643"/>
      <c r="AN63" s="643"/>
      <c r="AO63" s="664" t="s">
        <v>322</v>
      </c>
      <c r="AP63" s="643"/>
      <c r="AQ63" s="643"/>
      <c r="AR63" s="643"/>
      <c r="AS63" s="643"/>
      <c r="AT63" s="664" t="s">
        <v>323</v>
      </c>
      <c r="AU63" s="643"/>
      <c r="AV63" s="643"/>
      <c r="AW63" s="643"/>
      <c r="AX63" s="643"/>
    </row>
    <row r="64" spans="2:53">
      <c r="B64" s="637" t="s">
        <v>360</v>
      </c>
      <c r="C64" s="637" t="s">
        <v>370</v>
      </c>
      <c r="D64" s="637"/>
      <c r="E64" s="637" t="s">
        <v>361</v>
      </c>
      <c r="F64" s="637"/>
      <c r="G64" s="637"/>
      <c r="H64" s="669" t="s">
        <v>357</v>
      </c>
      <c r="I64" s="637" t="s">
        <v>362</v>
      </c>
      <c r="J64" s="637"/>
      <c r="K64" s="637"/>
      <c r="L64" s="669" t="s">
        <v>357</v>
      </c>
      <c r="M64" s="639" t="s">
        <v>358</v>
      </c>
      <c r="N64" s="637"/>
      <c r="O64" s="637" t="s">
        <v>363</v>
      </c>
      <c r="P64" s="655" t="s">
        <v>359</v>
      </c>
      <c r="Q64" s="656"/>
      <c r="R64" s="656"/>
      <c r="S64" s="657"/>
      <c r="T64" s="637" t="s">
        <v>357</v>
      </c>
      <c r="U64" s="655" t="s">
        <v>359</v>
      </c>
      <c r="V64" s="656"/>
      <c r="W64" s="656"/>
      <c r="X64" s="657"/>
      <c r="Y64" s="637" t="s">
        <v>357</v>
      </c>
      <c r="Z64" s="655" t="s">
        <v>359</v>
      </c>
      <c r="AA64" s="656"/>
      <c r="AB64" s="656"/>
      <c r="AC64" s="657"/>
      <c r="AD64" s="637" t="s">
        <v>357</v>
      </c>
      <c r="AE64" s="655" t="s">
        <v>359</v>
      </c>
      <c r="AF64" s="656"/>
      <c r="AG64" s="656"/>
      <c r="AH64" s="657"/>
      <c r="AI64" s="637" t="s">
        <v>357</v>
      </c>
      <c r="AJ64" s="655" t="s">
        <v>359</v>
      </c>
      <c r="AK64" s="656"/>
      <c r="AL64" s="656"/>
      <c r="AM64" s="657"/>
      <c r="AN64" s="637" t="s">
        <v>357</v>
      </c>
      <c r="AO64" s="655" t="s">
        <v>359</v>
      </c>
      <c r="AP64" s="656"/>
      <c r="AQ64" s="656"/>
      <c r="AR64" s="657"/>
      <c r="AS64" s="637" t="s">
        <v>357</v>
      </c>
      <c r="AT64" s="655" t="s">
        <v>359</v>
      </c>
      <c r="AU64" s="656"/>
      <c r="AV64" s="656"/>
      <c r="AW64" s="657"/>
      <c r="AX64" s="637" t="s">
        <v>357</v>
      </c>
      <c r="BA64" s="637" t="s">
        <v>357</v>
      </c>
    </row>
    <row r="65" spans="2:53">
      <c r="B65" s="637"/>
      <c r="C65" s="637"/>
      <c r="D65" s="637"/>
      <c r="E65" s="637" t="s">
        <v>364</v>
      </c>
      <c r="F65" s="637"/>
      <c r="G65" s="637"/>
      <c r="H65" s="670"/>
      <c r="I65" s="637" t="s">
        <v>364</v>
      </c>
      <c r="J65" s="637"/>
      <c r="K65" s="637"/>
      <c r="L65" s="670"/>
      <c r="M65" s="640"/>
      <c r="N65" s="637"/>
      <c r="O65" s="637"/>
      <c r="P65" s="655" t="s">
        <v>365</v>
      </c>
      <c r="Q65" s="656"/>
      <c r="R65" s="656"/>
      <c r="S65" s="657"/>
      <c r="T65" s="637"/>
      <c r="U65" s="655" t="s">
        <v>365</v>
      </c>
      <c r="V65" s="656"/>
      <c r="W65" s="656"/>
      <c r="X65" s="657"/>
      <c r="Y65" s="637"/>
      <c r="Z65" s="655" t="s">
        <v>365</v>
      </c>
      <c r="AA65" s="656"/>
      <c r="AB65" s="656"/>
      <c r="AC65" s="657"/>
      <c r="AD65" s="637"/>
      <c r="AE65" s="655" t="s">
        <v>365</v>
      </c>
      <c r="AF65" s="656"/>
      <c r="AG65" s="656"/>
      <c r="AH65" s="657"/>
      <c r="AI65" s="637"/>
      <c r="AJ65" s="655" t="s">
        <v>365</v>
      </c>
      <c r="AK65" s="656"/>
      <c r="AL65" s="656"/>
      <c r="AM65" s="657"/>
      <c r="AN65" s="637"/>
      <c r="AO65" s="655" t="s">
        <v>365</v>
      </c>
      <c r="AP65" s="656"/>
      <c r="AQ65" s="656"/>
      <c r="AR65" s="657"/>
      <c r="AS65" s="637"/>
      <c r="AT65" s="655" t="s">
        <v>365</v>
      </c>
      <c r="AU65" s="656"/>
      <c r="AV65" s="656"/>
      <c r="AW65" s="657"/>
      <c r="AX65" s="637"/>
      <c r="BA65" s="637"/>
    </row>
    <row r="66" spans="2:53">
      <c r="B66" s="637"/>
      <c r="C66" s="637"/>
      <c r="D66" s="637"/>
      <c r="E66" s="366" t="s">
        <v>366</v>
      </c>
      <c r="F66" s="366" t="s">
        <v>367</v>
      </c>
      <c r="G66" s="366" t="s">
        <v>368</v>
      </c>
      <c r="H66" s="671"/>
      <c r="I66" s="366" t="s">
        <v>366</v>
      </c>
      <c r="J66" s="366" t="s">
        <v>367</v>
      </c>
      <c r="K66" s="366" t="s">
        <v>368</v>
      </c>
      <c r="L66" s="671"/>
      <c r="M66" s="641"/>
      <c r="N66" s="637"/>
      <c r="O66" s="637"/>
      <c r="P66" s="366" t="s">
        <v>366</v>
      </c>
      <c r="Q66" s="366" t="s">
        <v>367</v>
      </c>
      <c r="R66" s="366" t="s">
        <v>368</v>
      </c>
      <c r="S66" s="366" t="s">
        <v>358</v>
      </c>
      <c r="T66" s="637"/>
      <c r="U66" s="366" t="s">
        <v>366</v>
      </c>
      <c r="V66" s="366" t="s">
        <v>367</v>
      </c>
      <c r="W66" s="366" t="s">
        <v>368</v>
      </c>
      <c r="X66" s="366" t="s">
        <v>358</v>
      </c>
      <c r="Y66" s="637"/>
      <c r="Z66" s="366" t="s">
        <v>366</v>
      </c>
      <c r="AA66" s="366" t="s">
        <v>367</v>
      </c>
      <c r="AB66" s="366" t="s">
        <v>368</v>
      </c>
      <c r="AC66" s="366" t="s">
        <v>358</v>
      </c>
      <c r="AD66" s="637"/>
      <c r="AE66" s="366" t="s">
        <v>366</v>
      </c>
      <c r="AF66" s="366" t="s">
        <v>367</v>
      </c>
      <c r="AG66" s="366" t="s">
        <v>368</v>
      </c>
      <c r="AH66" s="366" t="s">
        <v>358</v>
      </c>
      <c r="AI66" s="637"/>
      <c r="AJ66" s="366" t="s">
        <v>366</v>
      </c>
      <c r="AK66" s="366" t="s">
        <v>367</v>
      </c>
      <c r="AL66" s="366" t="s">
        <v>368</v>
      </c>
      <c r="AM66" s="366" t="s">
        <v>358</v>
      </c>
      <c r="AN66" s="637"/>
      <c r="AO66" s="366" t="s">
        <v>366</v>
      </c>
      <c r="AP66" s="366" t="s">
        <v>367</v>
      </c>
      <c r="AQ66" s="366" t="s">
        <v>368</v>
      </c>
      <c r="AR66" s="366" t="s">
        <v>358</v>
      </c>
      <c r="AS66" s="637"/>
      <c r="AT66" s="366" t="s">
        <v>366</v>
      </c>
      <c r="AU66" s="366" t="s">
        <v>367</v>
      </c>
      <c r="AV66" s="366" t="s">
        <v>368</v>
      </c>
      <c r="AW66" s="366" t="s">
        <v>358</v>
      </c>
      <c r="AX66" s="637"/>
      <c r="AZ66" s="362" t="s">
        <v>358</v>
      </c>
      <c r="BA66" s="637"/>
    </row>
    <row r="67" spans="2:53">
      <c r="B67" s="695" t="s">
        <v>377</v>
      </c>
      <c r="C67" s="368">
        <v>1</v>
      </c>
      <c r="D67" s="551"/>
      <c r="E67" s="553"/>
      <c r="F67" s="553"/>
      <c r="G67" s="559"/>
      <c r="H67" s="650" t="e">
        <f>AVERAGE(G67:G81)</f>
        <v>#DIV/0!</v>
      </c>
      <c r="I67" s="369" t="str">
        <f t="shared" ref="I67:I81" si="43">IFERROR(AVERAGE(P67,U67,Z67,AE67,AJ67,AO67,AT67),"-")</f>
        <v>-</v>
      </c>
      <c r="J67" s="369" t="str">
        <f t="shared" ref="J67:J81" si="44">IFERROR(AVERAGE(Q67,V67,AA67,AF67,AK67,AP67,AU67),"-")</f>
        <v>-</v>
      </c>
      <c r="K67" s="194" t="str">
        <f t="shared" ref="K67:K81" si="45">IFERROR(AVERAGE(R67,W67,AB67,AG67,AL67,AQ67,AV67),"-")</f>
        <v>-</v>
      </c>
      <c r="L67" s="652" t="str">
        <f>IFERROR(AVERAGE(K67:K81),"-")</f>
        <v>-</v>
      </c>
      <c r="M67" s="372" t="e">
        <f>RANK(K67, K$67:$K$81)</f>
        <v>#VALUE!</v>
      </c>
      <c r="N67" s="637"/>
      <c r="O67" s="637"/>
      <c r="P67" s="542"/>
      <c r="Q67" s="544"/>
      <c r="R67" s="544"/>
      <c r="S67" s="543"/>
      <c r="T67" s="632"/>
      <c r="U67" s="542"/>
      <c r="V67" s="544"/>
      <c r="W67" s="544"/>
      <c r="X67" s="543"/>
      <c r="Y67" s="632"/>
      <c r="Z67" s="542"/>
      <c r="AA67" s="544"/>
      <c r="AB67" s="544"/>
      <c r="AC67" s="543"/>
      <c r="AD67" s="632"/>
      <c r="AE67" s="542"/>
      <c r="AF67" s="544"/>
      <c r="AG67" s="544"/>
      <c r="AH67" s="543"/>
      <c r="AI67" s="632"/>
      <c r="AJ67" s="542"/>
      <c r="AK67" s="544"/>
      <c r="AL67" s="544"/>
      <c r="AM67" s="543"/>
      <c r="AN67" s="632"/>
      <c r="AO67" s="542"/>
      <c r="AP67" s="544"/>
      <c r="AQ67" s="544"/>
      <c r="AR67" s="543"/>
      <c r="AS67" s="632"/>
      <c r="AT67" s="542"/>
      <c r="AU67" s="544"/>
      <c r="AV67" s="544"/>
      <c r="AW67" s="543"/>
      <c r="AX67" s="632"/>
      <c r="AZ67" s="364" t="e">
        <f t="shared" ref="AZ67:AZ81" si="46">RANK(AY67, AY$67:AY$81)</f>
        <v>#N/A</v>
      </c>
      <c r="BA67" s="632" t="e">
        <f t="shared" ref="BA67" si="47">AVERAGE(AY67:AY81)</f>
        <v>#DIV/0!</v>
      </c>
    </row>
    <row r="68" spans="2:53">
      <c r="B68" s="643"/>
      <c r="C68" s="368">
        <v>2</v>
      </c>
      <c r="D68" s="553"/>
      <c r="E68" s="553"/>
      <c r="F68" s="553"/>
      <c r="G68" s="559"/>
      <c r="H68" s="651"/>
      <c r="I68" s="369" t="str">
        <f t="shared" si="43"/>
        <v>-</v>
      </c>
      <c r="J68" s="369" t="str">
        <f t="shared" si="44"/>
        <v>-</v>
      </c>
      <c r="K68" s="194" t="str">
        <f t="shared" si="45"/>
        <v>-</v>
      </c>
      <c r="L68" s="653"/>
      <c r="M68" s="393" t="e">
        <f>RANK(K68, K$67:$K$81)</f>
        <v>#VALUE!</v>
      </c>
      <c r="N68" s="637"/>
      <c r="O68" s="637"/>
      <c r="P68" s="542"/>
      <c r="Q68" s="544"/>
      <c r="R68" s="544"/>
      <c r="S68" s="543"/>
      <c r="T68" s="633"/>
      <c r="U68" s="542"/>
      <c r="V68" s="544"/>
      <c r="W68" s="544"/>
      <c r="X68" s="543"/>
      <c r="Y68" s="633"/>
      <c r="Z68" s="542"/>
      <c r="AA68" s="544"/>
      <c r="AB68" s="544"/>
      <c r="AC68" s="543"/>
      <c r="AD68" s="633"/>
      <c r="AE68" s="542"/>
      <c r="AF68" s="544"/>
      <c r="AG68" s="544"/>
      <c r="AH68" s="543"/>
      <c r="AI68" s="633"/>
      <c r="AJ68" s="542"/>
      <c r="AK68" s="544"/>
      <c r="AL68" s="544"/>
      <c r="AM68" s="543"/>
      <c r="AN68" s="633"/>
      <c r="AO68" s="542"/>
      <c r="AP68" s="544"/>
      <c r="AQ68" s="544"/>
      <c r="AR68" s="543"/>
      <c r="AS68" s="633"/>
      <c r="AT68" s="542"/>
      <c r="AU68" s="544"/>
      <c r="AV68" s="544"/>
      <c r="AW68" s="543"/>
      <c r="AX68" s="633"/>
      <c r="AZ68" s="364" t="e">
        <f t="shared" si="46"/>
        <v>#N/A</v>
      </c>
      <c r="BA68" s="633"/>
    </row>
    <row r="69" spans="2:53">
      <c r="B69" s="643"/>
      <c r="C69" s="368">
        <v>3</v>
      </c>
      <c r="D69" s="553"/>
      <c r="E69" s="553"/>
      <c r="F69" s="553"/>
      <c r="G69" s="559"/>
      <c r="H69" s="651"/>
      <c r="I69" s="369" t="str">
        <f t="shared" si="43"/>
        <v>-</v>
      </c>
      <c r="J69" s="369" t="str">
        <f t="shared" si="44"/>
        <v>-</v>
      </c>
      <c r="K69" s="194" t="str">
        <f t="shared" si="45"/>
        <v>-</v>
      </c>
      <c r="L69" s="653"/>
      <c r="M69" s="393" t="e">
        <f>RANK(K69, K$67:$K$81)</f>
        <v>#VALUE!</v>
      </c>
      <c r="N69" s="637"/>
      <c r="O69" s="637"/>
      <c r="P69" s="542"/>
      <c r="Q69" s="544"/>
      <c r="R69" s="544"/>
      <c r="S69" s="543"/>
      <c r="T69" s="633"/>
      <c r="U69" s="542"/>
      <c r="V69" s="544"/>
      <c r="W69" s="544"/>
      <c r="X69" s="543"/>
      <c r="Y69" s="633"/>
      <c r="Z69" s="542"/>
      <c r="AA69" s="544"/>
      <c r="AB69" s="544"/>
      <c r="AC69" s="543"/>
      <c r="AD69" s="633"/>
      <c r="AE69" s="542"/>
      <c r="AF69" s="544"/>
      <c r="AG69" s="544"/>
      <c r="AH69" s="543"/>
      <c r="AI69" s="633"/>
      <c r="AJ69" s="542"/>
      <c r="AK69" s="544"/>
      <c r="AL69" s="544"/>
      <c r="AM69" s="543"/>
      <c r="AN69" s="633"/>
      <c r="AO69" s="542"/>
      <c r="AP69" s="544"/>
      <c r="AQ69" s="544"/>
      <c r="AR69" s="543"/>
      <c r="AS69" s="633"/>
      <c r="AT69" s="542"/>
      <c r="AU69" s="544"/>
      <c r="AV69" s="544"/>
      <c r="AW69" s="543"/>
      <c r="AX69" s="633"/>
      <c r="AZ69" s="364" t="e">
        <f t="shared" si="46"/>
        <v>#N/A</v>
      </c>
      <c r="BA69" s="633"/>
    </row>
    <row r="70" spans="2:53">
      <c r="B70" s="643"/>
      <c r="C70" s="368">
        <v>4</v>
      </c>
      <c r="D70" s="553"/>
      <c r="E70" s="553"/>
      <c r="F70" s="553"/>
      <c r="G70" s="559"/>
      <c r="H70" s="651"/>
      <c r="I70" s="369" t="str">
        <f t="shared" si="43"/>
        <v>-</v>
      </c>
      <c r="J70" s="369" t="str">
        <f t="shared" si="44"/>
        <v>-</v>
      </c>
      <c r="K70" s="194" t="str">
        <f t="shared" si="45"/>
        <v>-</v>
      </c>
      <c r="L70" s="653"/>
      <c r="M70" s="393" t="e">
        <f>RANK(K70, K$67:$K$81)</f>
        <v>#VALUE!</v>
      </c>
      <c r="N70" s="637"/>
      <c r="O70" s="637"/>
      <c r="P70" s="542"/>
      <c r="Q70" s="544"/>
      <c r="R70" s="544"/>
      <c r="S70" s="543"/>
      <c r="T70" s="633"/>
      <c r="U70" s="542"/>
      <c r="V70" s="544"/>
      <c r="W70" s="544"/>
      <c r="X70" s="543"/>
      <c r="Y70" s="633"/>
      <c r="Z70" s="542"/>
      <c r="AA70" s="544"/>
      <c r="AB70" s="544"/>
      <c r="AC70" s="543"/>
      <c r="AD70" s="633"/>
      <c r="AE70" s="542"/>
      <c r="AF70" s="544"/>
      <c r="AG70" s="544"/>
      <c r="AH70" s="543"/>
      <c r="AI70" s="633"/>
      <c r="AJ70" s="542"/>
      <c r="AK70" s="544"/>
      <c r="AL70" s="544"/>
      <c r="AM70" s="543"/>
      <c r="AN70" s="633"/>
      <c r="AO70" s="542"/>
      <c r="AP70" s="544"/>
      <c r="AQ70" s="544"/>
      <c r="AR70" s="543"/>
      <c r="AS70" s="633"/>
      <c r="AT70" s="542"/>
      <c r="AU70" s="544"/>
      <c r="AV70" s="544"/>
      <c r="AW70" s="543"/>
      <c r="AX70" s="633"/>
      <c r="AZ70" s="364" t="e">
        <f t="shared" si="46"/>
        <v>#N/A</v>
      </c>
      <c r="BA70" s="633"/>
    </row>
    <row r="71" spans="2:53">
      <c r="B71" s="643"/>
      <c r="C71" s="368">
        <v>5</v>
      </c>
      <c r="D71" s="553"/>
      <c r="E71" s="553"/>
      <c r="F71" s="553"/>
      <c r="G71" s="559"/>
      <c r="H71" s="651"/>
      <c r="I71" s="369" t="str">
        <f t="shared" si="43"/>
        <v>-</v>
      </c>
      <c r="J71" s="369" t="str">
        <f t="shared" si="44"/>
        <v>-</v>
      </c>
      <c r="K71" s="194" t="str">
        <f t="shared" si="45"/>
        <v>-</v>
      </c>
      <c r="L71" s="653"/>
      <c r="M71" s="393" t="e">
        <f>RANK(K71, K$67:$K$81)</f>
        <v>#VALUE!</v>
      </c>
      <c r="N71" s="637"/>
      <c r="O71" s="637"/>
      <c r="P71" s="542"/>
      <c r="Q71" s="544"/>
      <c r="R71" s="544"/>
      <c r="S71" s="543"/>
      <c r="T71" s="633"/>
      <c r="U71" s="542"/>
      <c r="V71" s="544"/>
      <c r="W71" s="544"/>
      <c r="X71" s="543"/>
      <c r="Y71" s="633"/>
      <c r="Z71" s="542"/>
      <c r="AA71" s="544"/>
      <c r="AB71" s="544"/>
      <c r="AC71" s="543"/>
      <c r="AD71" s="633"/>
      <c r="AE71" s="542"/>
      <c r="AF71" s="544"/>
      <c r="AG71" s="544"/>
      <c r="AH71" s="543"/>
      <c r="AI71" s="633"/>
      <c r="AJ71" s="542"/>
      <c r="AK71" s="544"/>
      <c r="AL71" s="544"/>
      <c r="AM71" s="543"/>
      <c r="AN71" s="633"/>
      <c r="AO71" s="542"/>
      <c r="AP71" s="544"/>
      <c r="AQ71" s="544"/>
      <c r="AR71" s="543"/>
      <c r="AS71" s="633"/>
      <c r="AT71" s="542"/>
      <c r="AU71" s="544"/>
      <c r="AV71" s="544"/>
      <c r="AW71" s="543"/>
      <c r="AX71" s="633"/>
      <c r="AZ71" s="364" t="e">
        <f t="shared" si="46"/>
        <v>#N/A</v>
      </c>
      <c r="BA71" s="633"/>
    </row>
    <row r="72" spans="2:53">
      <c r="B72" s="643"/>
      <c r="C72" s="368">
        <v>6</v>
      </c>
      <c r="D72" s="553"/>
      <c r="E72" s="553"/>
      <c r="F72" s="553"/>
      <c r="G72" s="559"/>
      <c r="H72" s="651"/>
      <c r="I72" s="369" t="str">
        <f t="shared" si="43"/>
        <v>-</v>
      </c>
      <c r="J72" s="369" t="str">
        <f t="shared" si="44"/>
        <v>-</v>
      </c>
      <c r="K72" s="194" t="str">
        <f t="shared" si="45"/>
        <v>-</v>
      </c>
      <c r="L72" s="653"/>
      <c r="M72" s="393" t="e">
        <f>RANK(K72, K$67:$K$81)</f>
        <v>#VALUE!</v>
      </c>
      <c r="N72" s="637"/>
      <c r="O72" s="637"/>
      <c r="P72" s="542"/>
      <c r="Q72" s="544"/>
      <c r="R72" s="544"/>
      <c r="S72" s="543"/>
      <c r="T72" s="633"/>
      <c r="U72" s="542"/>
      <c r="V72" s="544"/>
      <c r="W72" s="544"/>
      <c r="X72" s="543"/>
      <c r="Y72" s="633"/>
      <c r="Z72" s="542"/>
      <c r="AA72" s="544"/>
      <c r="AB72" s="544"/>
      <c r="AC72" s="543"/>
      <c r="AD72" s="633"/>
      <c r="AE72" s="542"/>
      <c r="AF72" s="544"/>
      <c r="AG72" s="544"/>
      <c r="AH72" s="543"/>
      <c r="AI72" s="633"/>
      <c r="AJ72" s="542"/>
      <c r="AK72" s="544"/>
      <c r="AL72" s="544"/>
      <c r="AM72" s="543"/>
      <c r="AN72" s="633"/>
      <c r="AO72" s="542"/>
      <c r="AP72" s="544"/>
      <c r="AQ72" s="544"/>
      <c r="AR72" s="543"/>
      <c r="AS72" s="633"/>
      <c r="AT72" s="542"/>
      <c r="AU72" s="544"/>
      <c r="AV72" s="544"/>
      <c r="AW72" s="543"/>
      <c r="AX72" s="633"/>
      <c r="AZ72" s="364" t="e">
        <f t="shared" si="46"/>
        <v>#N/A</v>
      </c>
      <c r="BA72" s="633"/>
    </row>
    <row r="73" spans="2:53">
      <c r="B73" s="643"/>
      <c r="C73" s="368">
        <v>7</v>
      </c>
      <c r="D73" s="553"/>
      <c r="E73" s="553"/>
      <c r="F73" s="553"/>
      <c r="G73" s="559"/>
      <c r="H73" s="651"/>
      <c r="I73" s="369" t="str">
        <f t="shared" si="43"/>
        <v>-</v>
      </c>
      <c r="J73" s="369" t="str">
        <f t="shared" si="44"/>
        <v>-</v>
      </c>
      <c r="K73" s="194" t="str">
        <f t="shared" si="45"/>
        <v>-</v>
      </c>
      <c r="L73" s="653"/>
      <c r="M73" s="393" t="e">
        <f>RANK(K73, K$67:$K$81)</f>
        <v>#VALUE!</v>
      </c>
      <c r="N73" s="637"/>
      <c r="O73" s="637"/>
      <c r="P73" s="542"/>
      <c r="Q73" s="544"/>
      <c r="R73" s="544"/>
      <c r="S73" s="543"/>
      <c r="T73" s="633"/>
      <c r="U73" s="542"/>
      <c r="V73" s="544"/>
      <c r="W73" s="544"/>
      <c r="X73" s="543"/>
      <c r="Y73" s="633"/>
      <c r="Z73" s="542"/>
      <c r="AA73" s="544"/>
      <c r="AB73" s="544"/>
      <c r="AC73" s="543"/>
      <c r="AD73" s="633"/>
      <c r="AE73" s="542"/>
      <c r="AF73" s="544"/>
      <c r="AG73" s="544"/>
      <c r="AH73" s="543"/>
      <c r="AI73" s="633"/>
      <c r="AJ73" s="542"/>
      <c r="AK73" s="544"/>
      <c r="AL73" s="544"/>
      <c r="AM73" s="543"/>
      <c r="AN73" s="633"/>
      <c r="AO73" s="542"/>
      <c r="AP73" s="544"/>
      <c r="AQ73" s="544"/>
      <c r="AR73" s="543"/>
      <c r="AS73" s="633"/>
      <c r="AT73" s="542"/>
      <c r="AU73" s="544"/>
      <c r="AV73" s="544"/>
      <c r="AW73" s="543"/>
      <c r="AX73" s="633"/>
      <c r="AZ73" s="364" t="e">
        <f t="shared" si="46"/>
        <v>#N/A</v>
      </c>
      <c r="BA73" s="633"/>
    </row>
    <row r="74" spans="2:53">
      <c r="B74" s="643"/>
      <c r="C74" s="368">
        <v>8</v>
      </c>
      <c r="D74" s="553"/>
      <c r="E74" s="553"/>
      <c r="F74" s="553"/>
      <c r="G74" s="559"/>
      <c r="H74" s="651"/>
      <c r="I74" s="369" t="str">
        <f t="shared" si="43"/>
        <v>-</v>
      </c>
      <c r="J74" s="369" t="str">
        <f t="shared" si="44"/>
        <v>-</v>
      </c>
      <c r="K74" s="194" t="str">
        <f t="shared" si="45"/>
        <v>-</v>
      </c>
      <c r="L74" s="653"/>
      <c r="M74" s="393" t="e">
        <f>RANK(K74, K$67:$K$81)</f>
        <v>#VALUE!</v>
      </c>
      <c r="N74" s="637"/>
      <c r="O74" s="637"/>
      <c r="P74" s="542"/>
      <c r="Q74" s="544"/>
      <c r="R74" s="544"/>
      <c r="S74" s="543"/>
      <c r="T74" s="633"/>
      <c r="U74" s="542"/>
      <c r="V74" s="544"/>
      <c r="W74" s="544"/>
      <c r="X74" s="543"/>
      <c r="Y74" s="633"/>
      <c r="Z74" s="542"/>
      <c r="AA74" s="544"/>
      <c r="AB74" s="544"/>
      <c r="AC74" s="543"/>
      <c r="AD74" s="633"/>
      <c r="AE74" s="542"/>
      <c r="AF74" s="544"/>
      <c r="AG74" s="544"/>
      <c r="AH74" s="543"/>
      <c r="AI74" s="633"/>
      <c r="AJ74" s="542"/>
      <c r="AK74" s="544"/>
      <c r="AL74" s="544"/>
      <c r="AM74" s="543"/>
      <c r="AN74" s="633"/>
      <c r="AO74" s="542"/>
      <c r="AP74" s="544"/>
      <c r="AQ74" s="544"/>
      <c r="AR74" s="543"/>
      <c r="AS74" s="633"/>
      <c r="AT74" s="542"/>
      <c r="AU74" s="544"/>
      <c r="AV74" s="544"/>
      <c r="AW74" s="543"/>
      <c r="AX74" s="633"/>
      <c r="AZ74" s="364" t="e">
        <f t="shared" si="46"/>
        <v>#N/A</v>
      </c>
      <c r="BA74" s="633"/>
    </row>
    <row r="75" spans="2:53">
      <c r="B75" s="643"/>
      <c r="C75" s="368">
        <v>9</v>
      </c>
      <c r="D75" s="553"/>
      <c r="E75" s="553"/>
      <c r="F75" s="553"/>
      <c r="G75" s="559"/>
      <c r="H75" s="651"/>
      <c r="I75" s="369" t="str">
        <f t="shared" si="43"/>
        <v>-</v>
      </c>
      <c r="J75" s="369" t="str">
        <f t="shared" si="44"/>
        <v>-</v>
      </c>
      <c r="K75" s="194" t="str">
        <f t="shared" si="45"/>
        <v>-</v>
      </c>
      <c r="L75" s="653"/>
      <c r="M75" s="393" t="e">
        <f>RANK(K75, K$67:$K$81)</f>
        <v>#VALUE!</v>
      </c>
      <c r="N75" s="637"/>
      <c r="O75" s="637"/>
      <c r="P75" s="542"/>
      <c r="Q75" s="544"/>
      <c r="R75" s="544"/>
      <c r="S75" s="543"/>
      <c r="T75" s="633"/>
      <c r="U75" s="542"/>
      <c r="V75" s="544"/>
      <c r="W75" s="544"/>
      <c r="X75" s="543"/>
      <c r="Y75" s="633"/>
      <c r="Z75" s="542"/>
      <c r="AA75" s="544"/>
      <c r="AB75" s="544"/>
      <c r="AC75" s="543"/>
      <c r="AD75" s="633"/>
      <c r="AE75" s="542"/>
      <c r="AF75" s="544"/>
      <c r="AG75" s="544"/>
      <c r="AH75" s="543"/>
      <c r="AI75" s="633"/>
      <c r="AJ75" s="542"/>
      <c r="AK75" s="544"/>
      <c r="AL75" s="544"/>
      <c r="AM75" s="543"/>
      <c r="AN75" s="633"/>
      <c r="AO75" s="542"/>
      <c r="AP75" s="544"/>
      <c r="AQ75" s="544"/>
      <c r="AR75" s="543"/>
      <c r="AS75" s="633"/>
      <c r="AT75" s="542"/>
      <c r="AU75" s="544"/>
      <c r="AV75" s="544"/>
      <c r="AW75" s="543"/>
      <c r="AX75" s="633"/>
      <c r="AZ75" s="364" t="e">
        <f t="shared" si="46"/>
        <v>#N/A</v>
      </c>
      <c r="BA75" s="633"/>
    </row>
    <row r="76" spans="2:53">
      <c r="B76" s="643"/>
      <c r="C76" s="368">
        <v>10</v>
      </c>
      <c r="D76" s="553"/>
      <c r="E76" s="553"/>
      <c r="F76" s="553"/>
      <c r="G76" s="559"/>
      <c r="H76" s="651"/>
      <c r="I76" s="369" t="str">
        <f t="shared" si="43"/>
        <v>-</v>
      </c>
      <c r="J76" s="369" t="str">
        <f t="shared" si="44"/>
        <v>-</v>
      </c>
      <c r="K76" s="194" t="str">
        <f t="shared" si="45"/>
        <v>-</v>
      </c>
      <c r="L76" s="653"/>
      <c r="M76" s="393" t="e">
        <f>RANK(K76, K$67:$K$81)</f>
        <v>#VALUE!</v>
      </c>
      <c r="N76" s="637"/>
      <c r="O76" s="637"/>
      <c r="P76" s="542"/>
      <c r="Q76" s="544"/>
      <c r="R76" s="544"/>
      <c r="S76" s="543"/>
      <c r="T76" s="633"/>
      <c r="U76" s="542"/>
      <c r="V76" s="544"/>
      <c r="W76" s="544"/>
      <c r="X76" s="543"/>
      <c r="Y76" s="633"/>
      <c r="Z76" s="542"/>
      <c r="AA76" s="544"/>
      <c r="AB76" s="544"/>
      <c r="AC76" s="543"/>
      <c r="AD76" s="633"/>
      <c r="AE76" s="542"/>
      <c r="AF76" s="544"/>
      <c r="AG76" s="544"/>
      <c r="AH76" s="543"/>
      <c r="AI76" s="633"/>
      <c r="AJ76" s="542"/>
      <c r="AK76" s="544"/>
      <c r="AL76" s="544"/>
      <c r="AM76" s="543"/>
      <c r="AN76" s="633"/>
      <c r="AO76" s="542"/>
      <c r="AP76" s="544"/>
      <c r="AQ76" s="544"/>
      <c r="AR76" s="543"/>
      <c r="AS76" s="633"/>
      <c r="AT76" s="542"/>
      <c r="AU76" s="544"/>
      <c r="AV76" s="544"/>
      <c r="AW76" s="543"/>
      <c r="AX76" s="633"/>
      <c r="AZ76" s="364" t="e">
        <f t="shared" si="46"/>
        <v>#N/A</v>
      </c>
      <c r="BA76" s="633"/>
    </row>
    <row r="77" spans="2:53">
      <c r="B77" s="643"/>
      <c r="C77" s="368">
        <v>11</v>
      </c>
      <c r="D77" s="553"/>
      <c r="E77" s="553"/>
      <c r="F77" s="553"/>
      <c r="G77" s="559"/>
      <c r="H77" s="651"/>
      <c r="I77" s="369" t="str">
        <f t="shared" si="43"/>
        <v>-</v>
      </c>
      <c r="J77" s="369" t="str">
        <f t="shared" si="44"/>
        <v>-</v>
      </c>
      <c r="K77" s="194" t="str">
        <f t="shared" si="45"/>
        <v>-</v>
      </c>
      <c r="L77" s="653"/>
      <c r="M77" s="393" t="e">
        <f>RANK(K77, K$67:$K$81)</f>
        <v>#VALUE!</v>
      </c>
      <c r="N77" s="637"/>
      <c r="O77" s="637"/>
      <c r="P77" s="542"/>
      <c r="Q77" s="544"/>
      <c r="R77" s="544"/>
      <c r="S77" s="543"/>
      <c r="T77" s="633"/>
      <c r="U77" s="542"/>
      <c r="V77" s="544"/>
      <c r="W77" s="544"/>
      <c r="X77" s="543"/>
      <c r="Y77" s="633"/>
      <c r="Z77" s="542"/>
      <c r="AA77" s="544"/>
      <c r="AB77" s="544"/>
      <c r="AC77" s="543"/>
      <c r="AD77" s="633"/>
      <c r="AE77" s="542"/>
      <c r="AF77" s="544"/>
      <c r="AG77" s="544"/>
      <c r="AH77" s="543"/>
      <c r="AI77" s="633"/>
      <c r="AJ77" s="542"/>
      <c r="AK77" s="544"/>
      <c r="AL77" s="544"/>
      <c r="AM77" s="543"/>
      <c r="AN77" s="633"/>
      <c r="AO77" s="542"/>
      <c r="AP77" s="544"/>
      <c r="AQ77" s="544"/>
      <c r="AR77" s="543"/>
      <c r="AS77" s="633"/>
      <c r="AT77" s="542"/>
      <c r="AU77" s="544"/>
      <c r="AV77" s="544"/>
      <c r="AW77" s="543"/>
      <c r="AX77" s="633"/>
      <c r="AZ77" s="364" t="e">
        <f t="shared" si="46"/>
        <v>#N/A</v>
      </c>
      <c r="BA77" s="633"/>
    </row>
    <row r="78" spans="2:53">
      <c r="B78" s="643"/>
      <c r="C78" s="368">
        <v>12</v>
      </c>
      <c r="D78" s="553"/>
      <c r="E78" s="553"/>
      <c r="F78" s="553"/>
      <c r="G78" s="559"/>
      <c r="H78" s="651"/>
      <c r="I78" s="369" t="str">
        <f t="shared" si="43"/>
        <v>-</v>
      </c>
      <c r="J78" s="369" t="str">
        <f t="shared" si="44"/>
        <v>-</v>
      </c>
      <c r="K78" s="194" t="str">
        <f t="shared" si="45"/>
        <v>-</v>
      </c>
      <c r="L78" s="653"/>
      <c r="M78" s="393" t="e">
        <f>RANK(K78, K$67:$K$81)</f>
        <v>#VALUE!</v>
      </c>
      <c r="N78" s="637"/>
      <c r="O78" s="637"/>
      <c r="P78" s="542"/>
      <c r="Q78" s="544"/>
      <c r="R78" s="544"/>
      <c r="S78" s="543"/>
      <c r="T78" s="633"/>
      <c r="U78" s="542"/>
      <c r="V78" s="544"/>
      <c r="W78" s="544"/>
      <c r="X78" s="543"/>
      <c r="Y78" s="633"/>
      <c r="Z78" s="542"/>
      <c r="AA78" s="544"/>
      <c r="AB78" s="544"/>
      <c r="AC78" s="543"/>
      <c r="AD78" s="633"/>
      <c r="AE78" s="542"/>
      <c r="AF78" s="544"/>
      <c r="AG78" s="544"/>
      <c r="AH78" s="543"/>
      <c r="AI78" s="633"/>
      <c r="AJ78" s="542"/>
      <c r="AK78" s="544"/>
      <c r="AL78" s="544"/>
      <c r="AM78" s="543"/>
      <c r="AN78" s="633"/>
      <c r="AO78" s="542"/>
      <c r="AP78" s="544"/>
      <c r="AQ78" s="544"/>
      <c r="AR78" s="543"/>
      <c r="AS78" s="633"/>
      <c r="AT78" s="542"/>
      <c r="AU78" s="544"/>
      <c r="AV78" s="544"/>
      <c r="AW78" s="543"/>
      <c r="AX78" s="633"/>
      <c r="AZ78" s="364" t="e">
        <f t="shared" si="46"/>
        <v>#N/A</v>
      </c>
      <c r="BA78" s="633"/>
    </row>
    <row r="79" spans="2:53">
      <c r="B79" s="643"/>
      <c r="C79" s="368">
        <v>13</v>
      </c>
      <c r="D79" s="553"/>
      <c r="E79" s="553"/>
      <c r="F79" s="553"/>
      <c r="G79" s="559"/>
      <c r="H79" s="651"/>
      <c r="I79" s="369" t="str">
        <f t="shared" si="43"/>
        <v>-</v>
      </c>
      <c r="J79" s="369" t="str">
        <f t="shared" si="44"/>
        <v>-</v>
      </c>
      <c r="K79" s="194" t="str">
        <f t="shared" si="45"/>
        <v>-</v>
      </c>
      <c r="L79" s="653"/>
      <c r="M79" s="393" t="e">
        <f>RANK(K79, K$67:$K$81)</f>
        <v>#VALUE!</v>
      </c>
      <c r="N79" s="637"/>
      <c r="O79" s="637"/>
      <c r="P79" s="542"/>
      <c r="Q79" s="544"/>
      <c r="R79" s="544"/>
      <c r="S79" s="543"/>
      <c r="T79" s="633"/>
      <c r="U79" s="542"/>
      <c r="V79" s="544"/>
      <c r="W79" s="544"/>
      <c r="X79" s="543"/>
      <c r="Y79" s="633"/>
      <c r="Z79" s="542"/>
      <c r="AA79" s="544"/>
      <c r="AB79" s="544"/>
      <c r="AC79" s="543"/>
      <c r="AD79" s="633"/>
      <c r="AE79" s="542"/>
      <c r="AF79" s="544"/>
      <c r="AG79" s="544"/>
      <c r="AH79" s="543"/>
      <c r="AI79" s="633"/>
      <c r="AJ79" s="542"/>
      <c r="AK79" s="544"/>
      <c r="AL79" s="544"/>
      <c r="AM79" s="543"/>
      <c r="AN79" s="633"/>
      <c r="AO79" s="542"/>
      <c r="AP79" s="544"/>
      <c r="AQ79" s="544"/>
      <c r="AR79" s="543"/>
      <c r="AS79" s="633"/>
      <c r="AT79" s="542"/>
      <c r="AU79" s="544"/>
      <c r="AV79" s="544"/>
      <c r="AW79" s="543"/>
      <c r="AX79" s="633"/>
      <c r="AZ79" s="364" t="e">
        <f t="shared" si="46"/>
        <v>#N/A</v>
      </c>
      <c r="BA79" s="633"/>
    </row>
    <row r="80" spans="2:53">
      <c r="B80" s="643"/>
      <c r="C80" s="368">
        <v>14</v>
      </c>
      <c r="D80" s="553"/>
      <c r="E80" s="553"/>
      <c r="F80" s="553"/>
      <c r="G80" s="559"/>
      <c r="H80" s="651"/>
      <c r="I80" s="369" t="str">
        <f t="shared" si="43"/>
        <v>-</v>
      </c>
      <c r="J80" s="369" t="str">
        <f t="shared" si="44"/>
        <v>-</v>
      </c>
      <c r="K80" s="194" t="str">
        <f t="shared" si="45"/>
        <v>-</v>
      </c>
      <c r="L80" s="653"/>
      <c r="M80" s="393" t="e">
        <f>RANK(K80, K$67:$K$81)</f>
        <v>#VALUE!</v>
      </c>
      <c r="N80" s="637"/>
      <c r="O80" s="637"/>
      <c r="P80" s="542"/>
      <c r="Q80" s="544"/>
      <c r="R80" s="544"/>
      <c r="S80" s="543"/>
      <c r="T80" s="633"/>
      <c r="U80" s="542"/>
      <c r="V80" s="544"/>
      <c r="W80" s="544"/>
      <c r="X80" s="543"/>
      <c r="Y80" s="633"/>
      <c r="Z80" s="542"/>
      <c r="AA80" s="544"/>
      <c r="AB80" s="544"/>
      <c r="AC80" s="543"/>
      <c r="AD80" s="633"/>
      <c r="AE80" s="542"/>
      <c r="AF80" s="544"/>
      <c r="AG80" s="544"/>
      <c r="AH80" s="543"/>
      <c r="AI80" s="633"/>
      <c r="AJ80" s="542"/>
      <c r="AK80" s="544"/>
      <c r="AL80" s="544"/>
      <c r="AM80" s="543"/>
      <c r="AN80" s="633"/>
      <c r="AO80" s="542"/>
      <c r="AP80" s="544"/>
      <c r="AQ80" s="544"/>
      <c r="AR80" s="543"/>
      <c r="AS80" s="633"/>
      <c r="AT80" s="542"/>
      <c r="AU80" s="544"/>
      <c r="AV80" s="544"/>
      <c r="AW80" s="543"/>
      <c r="AX80" s="633"/>
      <c r="AZ80" s="364" t="e">
        <f t="shared" si="46"/>
        <v>#N/A</v>
      </c>
      <c r="BA80" s="633"/>
    </row>
    <row r="81" spans="2:53">
      <c r="B81" s="643"/>
      <c r="C81" s="368">
        <v>15</v>
      </c>
      <c r="D81" s="553"/>
      <c r="E81" s="553"/>
      <c r="F81" s="553"/>
      <c r="G81" s="553"/>
      <c r="H81" s="708"/>
      <c r="I81" s="369" t="str">
        <f t="shared" si="43"/>
        <v>-</v>
      </c>
      <c r="J81" s="369" t="str">
        <f t="shared" si="44"/>
        <v>-</v>
      </c>
      <c r="K81" s="194" t="str">
        <f t="shared" si="45"/>
        <v>-</v>
      </c>
      <c r="L81" s="654"/>
      <c r="M81" s="393" t="e">
        <f>RANK(K81, K$67:$K$81)</f>
        <v>#VALUE!</v>
      </c>
      <c r="N81" s="637"/>
      <c r="O81" s="637"/>
      <c r="P81" s="542"/>
      <c r="Q81" s="544"/>
      <c r="R81" s="544"/>
      <c r="S81" s="543"/>
      <c r="T81" s="634"/>
      <c r="U81" s="542"/>
      <c r="V81" s="544"/>
      <c r="W81" s="544"/>
      <c r="X81" s="543"/>
      <c r="Y81" s="634"/>
      <c r="Z81" s="542"/>
      <c r="AA81" s="544"/>
      <c r="AB81" s="544"/>
      <c r="AC81" s="543"/>
      <c r="AD81" s="634"/>
      <c r="AE81" s="542"/>
      <c r="AF81" s="544"/>
      <c r="AG81" s="544"/>
      <c r="AH81" s="543"/>
      <c r="AI81" s="634"/>
      <c r="AJ81" s="542"/>
      <c r="AK81" s="544"/>
      <c r="AL81" s="544"/>
      <c r="AM81" s="543"/>
      <c r="AN81" s="634"/>
      <c r="AO81" s="542"/>
      <c r="AP81" s="544"/>
      <c r="AQ81" s="544"/>
      <c r="AR81" s="543"/>
      <c r="AS81" s="634"/>
      <c r="AT81" s="542"/>
      <c r="AU81" s="544"/>
      <c r="AV81" s="544"/>
      <c r="AW81" s="543"/>
      <c r="AX81" s="634"/>
      <c r="AZ81" s="364" t="e">
        <f t="shared" si="46"/>
        <v>#N/A</v>
      </c>
      <c r="BA81" s="634"/>
    </row>
    <row r="82" spans="2:53" ht="15.75">
      <c r="B82" s="665" t="s">
        <v>162</v>
      </c>
      <c r="C82" s="666"/>
      <c r="D82" s="666"/>
      <c r="E82" s="666"/>
      <c r="F82" s="666"/>
      <c r="G82" s="666"/>
      <c r="H82" s="667"/>
      <c r="I82" s="202"/>
      <c r="J82" s="202"/>
      <c r="K82" s="202"/>
      <c r="L82" s="202"/>
      <c r="M82" s="201"/>
      <c r="N82" s="639" t="s">
        <v>156</v>
      </c>
      <c r="O82" s="639" t="s">
        <v>105</v>
      </c>
      <c r="P82" s="661">
        <f>P62+7</f>
        <v>46322</v>
      </c>
      <c r="Q82" s="662"/>
      <c r="R82" s="662"/>
      <c r="S82" s="662"/>
      <c r="T82" s="663"/>
      <c r="U82" s="661">
        <f>P82+1</f>
        <v>46323</v>
      </c>
      <c r="V82" s="662"/>
      <c r="W82" s="662"/>
      <c r="X82" s="662"/>
      <c r="Y82" s="663"/>
      <c r="Z82" s="661">
        <f>U82+1</f>
        <v>46324</v>
      </c>
      <c r="AA82" s="662"/>
      <c r="AB82" s="662"/>
      <c r="AC82" s="662"/>
      <c r="AD82" s="663"/>
      <c r="AE82" s="661">
        <f>Z82+1</f>
        <v>46325</v>
      </c>
      <c r="AF82" s="662"/>
      <c r="AG82" s="662"/>
      <c r="AH82" s="662"/>
      <c r="AI82" s="663"/>
      <c r="AJ82" s="661">
        <f>AE82+1</f>
        <v>46326</v>
      </c>
      <c r="AK82" s="662"/>
      <c r="AL82" s="662"/>
      <c r="AM82" s="662"/>
      <c r="AN82" s="663"/>
      <c r="AO82" s="661">
        <f>AJ82+1</f>
        <v>46327</v>
      </c>
      <c r="AP82" s="662"/>
      <c r="AQ82" s="662"/>
      <c r="AR82" s="662"/>
      <c r="AS82" s="663"/>
      <c r="AT82" s="661">
        <f>AO82+1</f>
        <v>46328</v>
      </c>
      <c r="AU82" s="662"/>
      <c r="AV82" s="662"/>
      <c r="AW82" s="662"/>
      <c r="AX82" s="663"/>
    </row>
    <row r="83" spans="2:53" ht="15.75">
      <c r="B83" s="668"/>
      <c r="C83" s="668"/>
      <c r="D83" s="668"/>
      <c r="E83" s="668"/>
      <c r="F83" s="668"/>
      <c r="G83" s="668"/>
      <c r="H83" s="668"/>
      <c r="I83" s="199"/>
      <c r="J83" s="199"/>
      <c r="K83" s="199"/>
      <c r="L83" s="199"/>
      <c r="M83" s="200"/>
      <c r="N83" s="641"/>
      <c r="O83" s="641"/>
      <c r="P83" s="661" t="s">
        <v>317</v>
      </c>
      <c r="Q83" s="662"/>
      <c r="R83" s="662"/>
      <c r="S83" s="662"/>
      <c r="T83" s="663"/>
      <c r="U83" s="661" t="s">
        <v>318</v>
      </c>
      <c r="V83" s="662"/>
      <c r="W83" s="662"/>
      <c r="X83" s="662"/>
      <c r="Y83" s="663"/>
      <c r="Z83" s="661" t="s">
        <v>319</v>
      </c>
      <c r="AA83" s="662"/>
      <c r="AB83" s="662"/>
      <c r="AC83" s="662"/>
      <c r="AD83" s="663"/>
      <c r="AE83" s="664" t="s">
        <v>320</v>
      </c>
      <c r="AF83" s="643"/>
      <c r="AG83" s="643"/>
      <c r="AH83" s="643"/>
      <c r="AI83" s="643"/>
      <c r="AJ83" s="664" t="s">
        <v>321</v>
      </c>
      <c r="AK83" s="643"/>
      <c r="AL83" s="643"/>
      <c r="AM83" s="643"/>
      <c r="AN83" s="643"/>
      <c r="AO83" s="664" t="s">
        <v>322</v>
      </c>
      <c r="AP83" s="643"/>
      <c r="AQ83" s="643"/>
      <c r="AR83" s="643"/>
      <c r="AS83" s="643"/>
      <c r="AT83" s="664" t="s">
        <v>323</v>
      </c>
      <c r="AU83" s="643"/>
      <c r="AV83" s="643"/>
      <c r="AW83" s="643"/>
      <c r="AX83" s="643"/>
    </row>
    <row r="84" spans="2:53">
      <c r="B84" s="637" t="s">
        <v>742</v>
      </c>
      <c r="C84" s="637" t="s">
        <v>370</v>
      </c>
      <c r="D84" s="637"/>
      <c r="E84" s="637" t="s">
        <v>361</v>
      </c>
      <c r="F84" s="637"/>
      <c r="G84" s="637"/>
      <c r="H84" s="669" t="s">
        <v>357</v>
      </c>
      <c r="I84" s="637" t="s">
        <v>362</v>
      </c>
      <c r="J84" s="637"/>
      <c r="K84" s="637"/>
      <c r="L84" s="669" t="s">
        <v>357</v>
      </c>
      <c r="M84" s="639" t="s">
        <v>358</v>
      </c>
      <c r="N84" s="637"/>
      <c r="O84" s="637" t="s">
        <v>363</v>
      </c>
      <c r="P84" s="655" t="s">
        <v>359</v>
      </c>
      <c r="Q84" s="656"/>
      <c r="R84" s="656"/>
      <c r="S84" s="657"/>
      <c r="T84" s="639" t="s">
        <v>357</v>
      </c>
      <c r="U84" s="655" t="s">
        <v>359</v>
      </c>
      <c r="V84" s="656"/>
      <c r="W84" s="656"/>
      <c r="X84" s="657"/>
      <c r="Y84" s="639" t="s">
        <v>357</v>
      </c>
      <c r="Z84" s="655" t="s">
        <v>359</v>
      </c>
      <c r="AA84" s="656"/>
      <c r="AB84" s="656"/>
      <c r="AC84" s="657"/>
      <c r="AD84" s="639" t="s">
        <v>357</v>
      </c>
      <c r="AE84" s="655" t="s">
        <v>359</v>
      </c>
      <c r="AF84" s="656"/>
      <c r="AG84" s="656"/>
      <c r="AH84" s="657"/>
      <c r="AI84" s="637" t="s">
        <v>357</v>
      </c>
      <c r="AJ84" s="655" t="s">
        <v>359</v>
      </c>
      <c r="AK84" s="656"/>
      <c r="AL84" s="656"/>
      <c r="AM84" s="657"/>
      <c r="AN84" s="637" t="s">
        <v>357</v>
      </c>
      <c r="AO84" s="655" t="s">
        <v>359</v>
      </c>
      <c r="AP84" s="656"/>
      <c r="AQ84" s="656"/>
      <c r="AR84" s="657"/>
      <c r="AS84" s="637" t="s">
        <v>357</v>
      </c>
      <c r="AT84" s="655" t="s">
        <v>359</v>
      </c>
      <c r="AU84" s="656"/>
      <c r="AV84" s="656"/>
      <c r="AW84" s="657"/>
      <c r="AX84" s="637" t="s">
        <v>357</v>
      </c>
      <c r="BA84" s="637" t="s">
        <v>357</v>
      </c>
    </row>
    <row r="85" spans="2:53">
      <c r="B85" s="637"/>
      <c r="C85" s="637"/>
      <c r="D85" s="637"/>
      <c r="E85" s="637" t="s">
        <v>364</v>
      </c>
      <c r="F85" s="637"/>
      <c r="G85" s="637"/>
      <c r="H85" s="670"/>
      <c r="I85" s="637" t="s">
        <v>364</v>
      </c>
      <c r="J85" s="637"/>
      <c r="K85" s="637"/>
      <c r="L85" s="670"/>
      <c r="M85" s="640"/>
      <c r="N85" s="637"/>
      <c r="O85" s="637"/>
      <c r="P85" s="655" t="s">
        <v>365</v>
      </c>
      <c r="Q85" s="656"/>
      <c r="R85" s="656"/>
      <c r="S85" s="657"/>
      <c r="T85" s="640"/>
      <c r="U85" s="655" t="s">
        <v>365</v>
      </c>
      <c r="V85" s="656"/>
      <c r="W85" s="656"/>
      <c r="X85" s="657"/>
      <c r="Y85" s="640"/>
      <c r="Z85" s="655" t="s">
        <v>365</v>
      </c>
      <c r="AA85" s="656"/>
      <c r="AB85" s="656"/>
      <c r="AC85" s="657"/>
      <c r="AD85" s="640"/>
      <c r="AE85" s="655" t="s">
        <v>365</v>
      </c>
      <c r="AF85" s="656"/>
      <c r="AG85" s="656"/>
      <c r="AH85" s="657"/>
      <c r="AI85" s="637"/>
      <c r="AJ85" s="655" t="s">
        <v>365</v>
      </c>
      <c r="AK85" s="656"/>
      <c r="AL85" s="656"/>
      <c r="AM85" s="657"/>
      <c r="AN85" s="637"/>
      <c r="AO85" s="655" t="s">
        <v>365</v>
      </c>
      <c r="AP85" s="656"/>
      <c r="AQ85" s="656"/>
      <c r="AR85" s="657"/>
      <c r="AS85" s="637"/>
      <c r="AT85" s="655" t="s">
        <v>365</v>
      </c>
      <c r="AU85" s="656"/>
      <c r="AV85" s="656"/>
      <c r="AW85" s="657"/>
      <c r="AX85" s="637"/>
      <c r="BA85" s="637"/>
    </row>
    <row r="86" spans="2:53">
      <c r="B86" s="637"/>
      <c r="C86" s="637"/>
      <c r="D86" s="637"/>
      <c r="E86" s="366" t="s">
        <v>366</v>
      </c>
      <c r="F86" s="366" t="s">
        <v>367</v>
      </c>
      <c r="G86" s="366" t="s">
        <v>368</v>
      </c>
      <c r="H86" s="671"/>
      <c r="I86" s="366" t="s">
        <v>366</v>
      </c>
      <c r="J86" s="366" t="s">
        <v>367</v>
      </c>
      <c r="K86" s="366" t="s">
        <v>368</v>
      </c>
      <c r="L86" s="671"/>
      <c r="M86" s="641"/>
      <c r="N86" s="637"/>
      <c r="O86" s="637"/>
      <c r="P86" s="478" t="s">
        <v>366</v>
      </c>
      <c r="Q86" s="478" t="s">
        <v>367</v>
      </c>
      <c r="R86" s="478" t="s">
        <v>368</v>
      </c>
      <c r="S86" s="478" t="s">
        <v>358</v>
      </c>
      <c r="T86" s="641"/>
      <c r="U86" s="478" t="s">
        <v>366</v>
      </c>
      <c r="V86" s="478" t="s">
        <v>367</v>
      </c>
      <c r="W86" s="478" t="s">
        <v>368</v>
      </c>
      <c r="X86" s="478" t="s">
        <v>358</v>
      </c>
      <c r="Y86" s="641"/>
      <c r="Z86" s="478" t="s">
        <v>366</v>
      </c>
      <c r="AA86" s="478" t="s">
        <v>367</v>
      </c>
      <c r="AB86" s="478" t="s">
        <v>368</v>
      </c>
      <c r="AC86" s="478" t="s">
        <v>358</v>
      </c>
      <c r="AD86" s="641"/>
      <c r="AE86" s="366" t="s">
        <v>366</v>
      </c>
      <c r="AF86" s="366" t="s">
        <v>367</v>
      </c>
      <c r="AG86" s="366" t="s">
        <v>368</v>
      </c>
      <c r="AH86" s="366" t="s">
        <v>358</v>
      </c>
      <c r="AI86" s="637"/>
      <c r="AJ86" s="366" t="s">
        <v>366</v>
      </c>
      <c r="AK86" s="366" t="s">
        <v>367</v>
      </c>
      <c r="AL86" s="366" t="s">
        <v>368</v>
      </c>
      <c r="AM86" s="366" t="s">
        <v>358</v>
      </c>
      <c r="AN86" s="637"/>
      <c r="AO86" s="366" t="s">
        <v>366</v>
      </c>
      <c r="AP86" s="366" t="s">
        <v>367</v>
      </c>
      <c r="AQ86" s="366" t="s">
        <v>368</v>
      </c>
      <c r="AR86" s="366" t="s">
        <v>358</v>
      </c>
      <c r="AS86" s="637"/>
      <c r="AT86" s="366" t="s">
        <v>366</v>
      </c>
      <c r="AU86" s="366" t="s">
        <v>367</v>
      </c>
      <c r="AV86" s="366" t="s">
        <v>368</v>
      </c>
      <c r="AW86" s="366" t="s">
        <v>358</v>
      </c>
      <c r="AX86" s="637"/>
      <c r="AZ86" s="362" t="s">
        <v>358</v>
      </c>
      <c r="BA86" s="637"/>
    </row>
    <row r="87" spans="2:53">
      <c r="B87" s="695" t="s">
        <v>393</v>
      </c>
      <c r="C87" s="368">
        <v>1</v>
      </c>
      <c r="D87" s="472"/>
      <c r="E87" s="474"/>
      <c r="F87" s="474"/>
      <c r="G87" s="477"/>
      <c r="H87" s="650" t="e">
        <f>AVERAGE(G87:G101)</f>
        <v>#DIV/0!</v>
      </c>
      <c r="I87" s="369" t="str">
        <f t="shared" ref="I87:I101" si="48">IFERROR(AVERAGE(P87,U87,Z87,AE87,AJ87,AO87,AT87),"-")</f>
        <v>-</v>
      </c>
      <c r="J87" s="369" t="str">
        <f t="shared" ref="J87:J101" si="49">IFERROR(AVERAGE(Q87,V87,AA87,AF87,AK87,AP87,AU87),"-")</f>
        <v>-</v>
      </c>
      <c r="K87" s="194" t="str">
        <f t="shared" ref="K87:K101" si="50">IFERROR(AVERAGE(R87,W87,AB87,AG87,AL87,AQ87,AV87),"-")</f>
        <v>-</v>
      </c>
      <c r="L87" s="652" t="str">
        <f>IFERROR(AVERAGE(K87:K101),"-")</f>
        <v>-</v>
      </c>
      <c r="M87" s="372" t="e">
        <f>RANK(K87, K$87:$K$101)</f>
        <v>#VALUE!</v>
      </c>
      <c r="N87" s="637"/>
      <c r="O87" s="637"/>
      <c r="P87" s="546"/>
      <c r="Q87" s="547"/>
      <c r="R87" s="547"/>
      <c r="S87" s="546"/>
      <c r="T87" s="638"/>
      <c r="U87" s="546"/>
      <c r="V87" s="547"/>
      <c r="W87" s="547"/>
      <c r="X87" s="546"/>
      <c r="Y87" s="638"/>
      <c r="Z87" s="546"/>
      <c r="AA87" s="547"/>
      <c r="AB87" s="547"/>
      <c r="AC87" s="546"/>
      <c r="AD87" s="638"/>
      <c r="AE87" s="546"/>
      <c r="AF87" s="547"/>
      <c r="AG87" s="547"/>
      <c r="AH87" s="546"/>
      <c r="AI87" s="638"/>
      <c r="AJ87" s="546"/>
      <c r="AK87" s="547"/>
      <c r="AL87" s="547"/>
      <c r="AM87" s="546"/>
      <c r="AN87" s="638"/>
      <c r="AO87" s="546"/>
      <c r="AP87" s="547"/>
      <c r="AQ87" s="547"/>
      <c r="AR87" s="546"/>
      <c r="AS87" s="638"/>
      <c r="AT87" s="546"/>
      <c r="AU87" s="547"/>
      <c r="AV87" s="547"/>
      <c r="AW87" s="546"/>
      <c r="AX87" s="638"/>
      <c r="AZ87" s="361" t="e">
        <f t="shared" ref="AZ87:AZ101" si="51">RANK(AY87, AY$87:AY$101)</f>
        <v>#N/A</v>
      </c>
      <c r="BA87" s="638" t="e">
        <f t="shared" ref="BA87" si="52">AVERAGE(AY87:AY101)</f>
        <v>#DIV/0!</v>
      </c>
    </row>
    <row r="88" spans="2:53">
      <c r="B88" s="643"/>
      <c r="C88" s="368">
        <v>2</v>
      </c>
      <c r="D88" s="474"/>
      <c r="E88" s="474"/>
      <c r="F88" s="474"/>
      <c r="G88" s="477"/>
      <c r="H88" s="651"/>
      <c r="I88" s="369" t="str">
        <f t="shared" si="48"/>
        <v>-</v>
      </c>
      <c r="J88" s="369" t="str">
        <f t="shared" si="49"/>
        <v>-</v>
      </c>
      <c r="K88" s="194" t="str">
        <f t="shared" si="50"/>
        <v>-</v>
      </c>
      <c r="L88" s="653"/>
      <c r="M88" s="436" t="e">
        <f>RANK(K88, K$87:$K$101)</f>
        <v>#VALUE!</v>
      </c>
      <c r="N88" s="637"/>
      <c r="O88" s="637"/>
      <c r="P88" s="546"/>
      <c r="Q88" s="547"/>
      <c r="R88" s="547"/>
      <c r="S88" s="546"/>
      <c r="T88" s="638"/>
      <c r="U88" s="546"/>
      <c r="V88" s="547"/>
      <c r="W88" s="547"/>
      <c r="X88" s="546"/>
      <c r="Y88" s="638"/>
      <c r="Z88" s="546"/>
      <c r="AA88" s="547"/>
      <c r="AB88" s="547"/>
      <c r="AC88" s="546"/>
      <c r="AD88" s="638"/>
      <c r="AE88" s="546"/>
      <c r="AF88" s="547"/>
      <c r="AG88" s="547"/>
      <c r="AH88" s="546"/>
      <c r="AI88" s="638"/>
      <c r="AJ88" s="546"/>
      <c r="AK88" s="547"/>
      <c r="AL88" s="547"/>
      <c r="AM88" s="546"/>
      <c r="AN88" s="638"/>
      <c r="AO88" s="546"/>
      <c r="AP88" s="547"/>
      <c r="AQ88" s="547"/>
      <c r="AR88" s="546"/>
      <c r="AS88" s="638"/>
      <c r="AT88" s="546"/>
      <c r="AU88" s="547"/>
      <c r="AV88" s="547"/>
      <c r="AW88" s="546"/>
      <c r="AX88" s="638"/>
      <c r="AZ88" s="361" t="e">
        <f t="shared" si="51"/>
        <v>#N/A</v>
      </c>
      <c r="BA88" s="638"/>
    </row>
    <row r="89" spans="2:53">
      <c r="B89" s="643"/>
      <c r="C89" s="368">
        <v>3</v>
      </c>
      <c r="D89" s="474"/>
      <c r="E89" s="474"/>
      <c r="F89" s="474"/>
      <c r="G89" s="477"/>
      <c r="H89" s="651"/>
      <c r="I89" s="369" t="str">
        <f t="shared" si="48"/>
        <v>-</v>
      </c>
      <c r="J89" s="369" t="str">
        <f t="shared" si="49"/>
        <v>-</v>
      </c>
      <c r="K89" s="194" t="str">
        <f t="shared" si="50"/>
        <v>-</v>
      </c>
      <c r="L89" s="653"/>
      <c r="M89" s="436" t="e">
        <f>RANK(K89, K$87:$K$101)</f>
        <v>#VALUE!</v>
      </c>
      <c r="N89" s="637"/>
      <c r="O89" s="637"/>
      <c r="P89" s="546"/>
      <c r="Q89" s="547"/>
      <c r="R89" s="547"/>
      <c r="S89" s="546"/>
      <c r="T89" s="638"/>
      <c r="U89" s="546"/>
      <c r="V89" s="547"/>
      <c r="W89" s="547"/>
      <c r="X89" s="546"/>
      <c r="Y89" s="638"/>
      <c r="Z89" s="546"/>
      <c r="AA89" s="547"/>
      <c r="AB89" s="547"/>
      <c r="AC89" s="546"/>
      <c r="AD89" s="638"/>
      <c r="AE89" s="546"/>
      <c r="AF89" s="547"/>
      <c r="AG89" s="547"/>
      <c r="AH89" s="546"/>
      <c r="AI89" s="638"/>
      <c r="AJ89" s="546"/>
      <c r="AK89" s="547"/>
      <c r="AL89" s="547"/>
      <c r="AM89" s="546"/>
      <c r="AN89" s="638"/>
      <c r="AO89" s="546"/>
      <c r="AP89" s="547"/>
      <c r="AQ89" s="547"/>
      <c r="AR89" s="546"/>
      <c r="AS89" s="638"/>
      <c r="AT89" s="546"/>
      <c r="AU89" s="547"/>
      <c r="AV89" s="547"/>
      <c r="AW89" s="546"/>
      <c r="AX89" s="638"/>
      <c r="AZ89" s="361" t="e">
        <f t="shared" si="51"/>
        <v>#N/A</v>
      </c>
      <c r="BA89" s="638"/>
    </row>
    <row r="90" spans="2:53">
      <c r="B90" s="643"/>
      <c r="C90" s="368">
        <v>4</v>
      </c>
      <c r="D90" s="474"/>
      <c r="E90" s="474"/>
      <c r="F90" s="474"/>
      <c r="G90" s="477"/>
      <c r="H90" s="651"/>
      <c r="I90" s="369" t="str">
        <f t="shared" si="48"/>
        <v>-</v>
      </c>
      <c r="J90" s="369" t="str">
        <f t="shared" si="49"/>
        <v>-</v>
      </c>
      <c r="K90" s="194" t="str">
        <f t="shared" si="50"/>
        <v>-</v>
      </c>
      <c r="L90" s="653"/>
      <c r="M90" s="436" t="e">
        <f>RANK(K90, K$87:$K$101)</f>
        <v>#VALUE!</v>
      </c>
      <c r="N90" s="637"/>
      <c r="O90" s="637"/>
      <c r="P90" s="546"/>
      <c r="Q90" s="547"/>
      <c r="R90" s="547"/>
      <c r="S90" s="546"/>
      <c r="T90" s="638"/>
      <c r="U90" s="546"/>
      <c r="V90" s="547"/>
      <c r="W90" s="547"/>
      <c r="X90" s="546"/>
      <c r="Y90" s="638"/>
      <c r="Z90" s="546"/>
      <c r="AA90" s="547"/>
      <c r="AB90" s="547"/>
      <c r="AC90" s="546"/>
      <c r="AD90" s="638"/>
      <c r="AE90" s="546"/>
      <c r="AF90" s="547"/>
      <c r="AG90" s="547"/>
      <c r="AH90" s="546"/>
      <c r="AI90" s="638"/>
      <c r="AJ90" s="546"/>
      <c r="AK90" s="547"/>
      <c r="AL90" s="547"/>
      <c r="AM90" s="546"/>
      <c r="AN90" s="638"/>
      <c r="AO90" s="546"/>
      <c r="AP90" s="547"/>
      <c r="AQ90" s="547"/>
      <c r="AR90" s="546"/>
      <c r="AS90" s="638"/>
      <c r="AT90" s="546"/>
      <c r="AU90" s="547"/>
      <c r="AV90" s="547"/>
      <c r="AW90" s="546"/>
      <c r="AX90" s="638"/>
      <c r="AZ90" s="361" t="e">
        <f t="shared" si="51"/>
        <v>#N/A</v>
      </c>
      <c r="BA90" s="638"/>
    </row>
    <row r="91" spans="2:53">
      <c r="B91" s="643"/>
      <c r="C91" s="368">
        <v>5</v>
      </c>
      <c r="D91" s="474"/>
      <c r="E91" s="474"/>
      <c r="F91" s="474"/>
      <c r="G91" s="477"/>
      <c r="H91" s="651"/>
      <c r="I91" s="369" t="str">
        <f t="shared" si="48"/>
        <v>-</v>
      </c>
      <c r="J91" s="369" t="str">
        <f t="shared" si="49"/>
        <v>-</v>
      </c>
      <c r="K91" s="194" t="str">
        <f t="shared" si="50"/>
        <v>-</v>
      </c>
      <c r="L91" s="653"/>
      <c r="M91" s="436" t="e">
        <f>RANK(K91, K$87:$K$101)</f>
        <v>#VALUE!</v>
      </c>
      <c r="N91" s="637"/>
      <c r="O91" s="637"/>
      <c r="P91" s="546"/>
      <c r="Q91" s="547"/>
      <c r="R91" s="547"/>
      <c r="S91" s="546"/>
      <c r="T91" s="638"/>
      <c r="U91" s="546"/>
      <c r="V91" s="547"/>
      <c r="W91" s="547"/>
      <c r="X91" s="546"/>
      <c r="Y91" s="638"/>
      <c r="Z91" s="546"/>
      <c r="AA91" s="547"/>
      <c r="AB91" s="547"/>
      <c r="AC91" s="546"/>
      <c r="AD91" s="638"/>
      <c r="AE91" s="546"/>
      <c r="AF91" s="547"/>
      <c r="AG91" s="547"/>
      <c r="AH91" s="546"/>
      <c r="AI91" s="638"/>
      <c r="AJ91" s="546"/>
      <c r="AK91" s="547"/>
      <c r="AL91" s="547"/>
      <c r="AM91" s="546"/>
      <c r="AN91" s="638"/>
      <c r="AO91" s="546"/>
      <c r="AP91" s="547"/>
      <c r="AQ91" s="547"/>
      <c r="AR91" s="546"/>
      <c r="AS91" s="638"/>
      <c r="AT91" s="546"/>
      <c r="AU91" s="547"/>
      <c r="AV91" s="547"/>
      <c r="AW91" s="546"/>
      <c r="AX91" s="638"/>
      <c r="AZ91" s="361" t="e">
        <f t="shared" si="51"/>
        <v>#N/A</v>
      </c>
      <c r="BA91" s="638"/>
    </row>
    <row r="92" spans="2:53">
      <c r="B92" s="643"/>
      <c r="C92" s="368">
        <v>6</v>
      </c>
      <c r="D92" s="474"/>
      <c r="E92" s="474"/>
      <c r="F92" s="474"/>
      <c r="G92" s="477"/>
      <c r="H92" s="651"/>
      <c r="I92" s="369" t="str">
        <f t="shared" si="48"/>
        <v>-</v>
      </c>
      <c r="J92" s="369" t="str">
        <f t="shared" si="49"/>
        <v>-</v>
      </c>
      <c r="K92" s="194" t="str">
        <f t="shared" si="50"/>
        <v>-</v>
      </c>
      <c r="L92" s="653"/>
      <c r="M92" s="436" t="e">
        <f>RANK(K92, K$87:$K$101)</f>
        <v>#VALUE!</v>
      </c>
      <c r="N92" s="637"/>
      <c r="O92" s="637"/>
      <c r="P92" s="546"/>
      <c r="Q92" s="547"/>
      <c r="R92" s="547"/>
      <c r="S92" s="546"/>
      <c r="T92" s="638"/>
      <c r="U92" s="546"/>
      <c r="V92" s="547"/>
      <c r="W92" s="547"/>
      <c r="X92" s="546"/>
      <c r="Y92" s="638"/>
      <c r="Z92" s="546"/>
      <c r="AA92" s="547"/>
      <c r="AB92" s="547"/>
      <c r="AC92" s="546"/>
      <c r="AD92" s="638"/>
      <c r="AE92" s="546"/>
      <c r="AF92" s="547"/>
      <c r="AG92" s="547"/>
      <c r="AH92" s="546"/>
      <c r="AI92" s="638"/>
      <c r="AJ92" s="546"/>
      <c r="AK92" s="547"/>
      <c r="AL92" s="547"/>
      <c r="AM92" s="546"/>
      <c r="AN92" s="638"/>
      <c r="AO92" s="546"/>
      <c r="AP92" s="547"/>
      <c r="AQ92" s="547"/>
      <c r="AR92" s="546"/>
      <c r="AS92" s="638"/>
      <c r="AT92" s="546"/>
      <c r="AU92" s="547"/>
      <c r="AV92" s="547"/>
      <c r="AW92" s="546"/>
      <c r="AX92" s="638"/>
      <c r="AZ92" s="361" t="e">
        <f t="shared" si="51"/>
        <v>#N/A</v>
      </c>
      <c r="BA92" s="638"/>
    </row>
    <row r="93" spans="2:53">
      <c r="B93" s="643"/>
      <c r="C93" s="368">
        <v>7</v>
      </c>
      <c r="D93" s="474"/>
      <c r="E93" s="474"/>
      <c r="F93" s="474"/>
      <c r="G93" s="477"/>
      <c r="H93" s="651"/>
      <c r="I93" s="369" t="str">
        <f t="shared" si="48"/>
        <v>-</v>
      </c>
      <c r="J93" s="369" t="str">
        <f t="shared" si="49"/>
        <v>-</v>
      </c>
      <c r="K93" s="194" t="str">
        <f t="shared" si="50"/>
        <v>-</v>
      </c>
      <c r="L93" s="653"/>
      <c r="M93" s="436" t="e">
        <f>RANK(K93, K$87:$K$101)</f>
        <v>#VALUE!</v>
      </c>
      <c r="N93" s="637"/>
      <c r="O93" s="637"/>
      <c r="P93" s="546"/>
      <c r="Q93" s="547"/>
      <c r="R93" s="547"/>
      <c r="S93" s="546"/>
      <c r="T93" s="638"/>
      <c r="U93" s="546"/>
      <c r="V93" s="547"/>
      <c r="W93" s="547"/>
      <c r="X93" s="546"/>
      <c r="Y93" s="638"/>
      <c r="Z93" s="546"/>
      <c r="AA93" s="547"/>
      <c r="AB93" s="547"/>
      <c r="AC93" s="546"/>
      <c r="AD93" s="638"/>
      <c r="AE93" s="546"/>
      <c r="AF93" s="547"/>
      <c r="AG93" s="547"/>
      <c r="AH93" s="546"/>
      <c r="AI93" s="638"/>
      <c r="AJ93" s="546"/>
      <c r="AK93" s="547"/>
      <c r="AL93" s="547"/>
      <c r="AM93" s="546"/>
      <c r="AN93" s="638"/>
      <c r="AO93" s="546"/>
      <c r="AP93" s="547"/>
      <c r="AQ93" s="547"/>
      <c r="AR93" s="546"/>
      <c r="AS93" s="638"/>
      <c r="AT93" s="546"/>
      <c r="AU93" s="547"/>
      <c r="AV93" s="547"/>
      <c r="AW93" s="546"/>
      <c r="AX93" s="638"/>
      <c r="AZ93" s="361" t="e">
        <f t="shared" si="51"/>
        <v>#N/A</v>
      </c>
      <c r="BA93" s="638"/>
    </row>
    <row r="94" spans="2:53">
      <c r="B94" s="643"/>
      <c r="C94" s="368">
        <v>8</v>
      </c>
      <c r="D94" s="474"/>
      <c r="E94" s="474"/>
      <c r="F94" s="474"/>
      <c r="G94" s="477"/>
      <c r="H94" s="651"/>
      <c r="I94" s="369" t="str">
        <f t="shared" si="48"/>
        <v>-</v>
      </c>
      <c r="J94" s="369" t="str">
        <f t="shared" si="49"/>
        <v>-</v>
      </c>
      <c r="K94" s="194" t="str">
        <f t="shared" si="50"/>
        <v>-</v>
      </c>
      <c r="L94" s="653"/>
      <c r="M94" s="436" t="e">
        <f>RANK(K94, K$87:$K$101)</f>
        <v>#VALUE!</v>
      </c>
      <c r="N94" s="637"/>
      <c r="O94" s="637"/>
      <c r="P94" s="546"/>
      <c r="Q94" s="547"/>
      <c r="R94" s="547"/>
      <c r="S94" s="546"/>
      <c r="T94" s="638"/>
      <c r="U94" s="546"/>
      <c r="V94" s="547"/>
      <c r="W94" s="547"/>
      <c r="X94" s="546"/>
      <c r="Y94" s="638"/>
      <c r="Z94" s="546"/>
      <c r="AA94" s="547"/>
      <c r="AB94" s="547"/>
      <c r="AC94" s="546"/>
      <c r="AD94" s="638"/>
      <c r="AE94" s="546"/>
      <c r="AF94" s="547"/>
      <c r="AG94" s="547"/>
      <c r="AH94" s="546"/>
      <c r="AI94" s="638"/>
      <c r="AJ94" s="546"/>
      <c r="AK94" s="547"/>
      <c r="AL94" s="547"/>
      <c r="AM94" s="546"/>
      <c r="AN94" s="638"/>
      <c r="AO94" s="546"/>
      <c r="AP94" s="547"/>
      <c r="AQ94" s="547"/>
      <c r="AR94" s="546"/>
      <c r="AS94" s="638"/>
      <c r="AT94" s="546"/>
      <c r="AU94" s="547"/>
      <c r="AV94" s="547"/>
      <c r="AW94" s="546"/>
      <c r="AX94" s="638"/>
      <c r="AZ94" s="361" t="e">
        <f t="shared" si="51"/>
        <v>#N/A</v>
      </c>
      <c r="BA94" s="638"/>
    </row>
    <row r="95" spans="2:53">
      <c r="B95" s="643"/>
      <c r="C95" s="368">
        <v>9</v>
      </c>
      <c r="D95" s="474"/>
      <c r="E95" s="474"/>
      <c r="F95" s="474"/>
      <c r="G95" s="477"/>
      <c r="H95" s="651"/>
      <c r="I95" s="369" t="str">
        <f t="shared" si="48"/>
        <v>-</v>
      </c>
      <c r="J95" s="369" t="str">
        <f t="shared" si="49"/>
        <v>-</v>
      </c>
      <c r="K95" s="194" t="str">
        <f t="shared" si="50"/>
        <v>-</v>
      </c>
      <c r="L95" s="653"/>
      <c r="M95" s="436" t="e">
        <f>RANK(K95, K$87:$K$101)</f>
        <v>#VALUE!</v>
      </c>
      <c r="N95" s="637"/>
      <c r="O95" s="637"/>
      <c r="P95" s="546"/>
      <c r="Q95" s="547"/>
      <c r="R95" s="547"/>
      <c r="S95" s="546"/>
      <c r="T95" s="638"/>
      <c r="U95" s="546"/>
      <c r="V95" s="547"/>
      <c r="W95" s="547"/>
      <c r="X95" s="546"/>
      <c r="Y95" s="638"/>
      <c r="Z95" s="546"/>
      <c r="AA95" s="547"/>
      <c r="AB95" s="547"/>
      <c r="AC95" s="546"/>
      <c r="AD95" s="638"/>
      <c r="AE95" s="546"/>
      <c r="AF95" s="547"/>
      <c r="AG95" s="547"/>
      <c r="AH95" s="546"/>
      <c r="AI95" s="638"/>
      <c r="AJ95" s="546"/>
      <c r="AK95" s="547"/>
      <c r="AL95" s="547"/>
      <c r="AM95" s="546"/>
      <c r="AN95" s="638"/>
      <c r="AO95" s="546"/>
      <c r="AP95" s="547"/>
      <c r="AQ95" s="547"/>
      <c r="AR95" s="546"/>
      <c r="AS95" s="638"/>
      <c r="AT95" s="546"/>
      <c r="AU95" s="547"/>
      <c r="AV95" s="547"/>
      <c r="AW95" s="546"/>
      <c r="AX95" s="638"/>
      <c r="AZ95" s="361" t="e">
        <f t="shared" si="51"/>
        <v>#N/A</v>
      </c>
      <c r="BA95" s="638"/>
    </row>
    <row r="96" spans="2:53">
      <c r="B96" s="643"/>
      <c r="C96" s="368">
        <v>10</v>
      </c>
      <c r="D96" s="474"/>
      <c r="E96" s="474"/>
      <c r="F96" s="474"/>
      <c r="G96" s="477"/>
      <c r="H96" s="651"/>
      <c r="I96" s="369" t="str">
        <f t="shared" si="48"/>
        <v>-</v>
      </c>
      <c r="J96" s="369" t="str">
        <f t="shared" si="49"/>
        <v>-</v>
      </c>
      <c r="K96" s="194" t="str">
        <f t="shared" si="50"/>
        <v>-</v>
      </c>
      <c r="L96" s="653"/>
      <c r="M96" s="436" t="e">
        <f>RANK(K96, K$87:$K$101)</f>
        <v>#VALUE!</v>
      </c>
      <c r="N96" s="637"/>
      <c r="O96" s="637"/>
      <c r="P96" s="546"/>
      <c r="Q96" s="547"/>
      <c r="R96" s="547"/>
      <c r="S96" s="546"/>
      <c r="T96" s="638"/>
      <c r="U96" s="546"/>
      <c r="V96" s="547"/>
      <c r="W96" s="547"/>
      <c r="X96" s="546"/>
      <c r="Y96" s="638"/>
      <c r="Z96" s="546"/>
      <c r="AA96" s="547"/>
      <c r="AB96" s="547"/>
      <c r="AC96" s="546"/>
      <c r="AD96" s="638"/>
      <c r="AE96" s="546"/>
      <c r="AF96" s="547"/>
      <c r="AG96" s="547"/>
      <c r="AH96" s="546"/>
      <c r="AI96" s="638"/>
      <c r="AJ96" s="546"/>
      <c r="AK96" s="547"/>
      <c r="AL96" s="547"/>
      <c r="AM96" s="546"/>
      <c r="AN96" s="638"/>
      <c r="AO96" s="546"/>
      <c r="AP96" s="547"/>
      <c r="AQ96" s="547"/>
      <c r="AR96" s="546"/>
      <c r="AS96" s="638"/>
      <c r="AT96" s="546"/>
      <c r="AU96" s="547"/>
      <c r="AV96" s="547"/>
      <c r="AW96" s="546"/>
      <c r="AX96" s="638"/>
      <c r="AZ96" s="361" t="e">
        <f t="shared" si="51"/>
        <v>#N/A</v>
      </c>
      <c r="BA96" s="638"/>
    </row>
    <row r="97" spans="2:53">
      <c r="B97" s="643"/>
      <c r="C97" s="368">
        <v>11</v>
      </c>
      <c r="D97" s="474"/>
      <c r="E97" s="474"/>
      <c r="F97" s="474"/>
      <c r="G97" s="477"/>
      <c r="H97" s="651"/>
      <c r="I97" s="369" t="str">
        <f t="shared" si="48"/>
        <v>-</v>
      </c>
      <c r="J97" s="369" t="str">
        <f t="shared" si="49"/>
        <v>-</v>
      </c>
      <c r="K97" s="194" t="str">
        <f t="shared" si="50"/>
        <v>-</v>
      </c>
      <c r="L97" s="653"/>
      <c r="M97" s="436" t="e">
        <f>RANK(K97, K$87:$K$101)</f>
        <v>#VALUE!</v>
      </c>
      <c r="N97" s="637"/>
      <c r="O97" s="637"/>
      <c r="P97" s="546"/>
      <c r="Q97" s="547"/>
      <c r="R97" s="547"/>
      <c r="S97" s="546"/>
      <c r="T97" s="638"/>
      <c r="U97" s="546"/>
      <c r="V97" s="547"/>
      <c r="W97" s="547"/>
      <c r="X97" s="546"/>
      <c r="Y97" s="638"/>
      <c r="Z97" s="546"/>
      <c r="AA97" s="547"/>
      <c r="AB97" s="547"/>
      <c r="AC97" s="546"/>
      <c r="AD97" s="638"/>
      <c r="AE97" s="546"/>
      <c r="AF97" s="547"/>
      <c r="AG97" s="547"/>
      <c r="AH97" s="546"/>
      <c r="AI97" s="638"/>
      <c r="AJ97" s="546"/>
      <c r="AK97" s="547"/>
      <c r="AL97" s="547"/>
      <c r="AM97" s="546"/>
      <c r="AN97" s="638"/>
      <c r="AO97" s="546"/>
      <c r="AP97" s="547"/>
      <c r="AQ97" s="547"/>
      <c r="AR97" s="546"/>
      <c r="AS97" s="638"/>
      <c r="AT97" s="546"/>
      <c r="AU97" s="547"/>
      <c r="AV97" s="547"/>
      <c r="AW97" s="546"/>
      <c r="AX97" s="638"/>
      <c r="AZ97" s="361" t="e">
        <f t="shared" si="51"/>
        <v>#N/A</v>
      </c>
      <c r="BA97" s="638"/>
    </row>
    <row r="98" spans="2:53">
      <c r="B98" s="643"/>
      <c r="C98" s="368">
        <v>12</v>
      </c>
      <c r="D98" s="474"/>
      <c r="E98" s="474"/>
      <c r="F98" s="474"/>
      <c r="G98" s="477"/>
      <c r="H98" s="651"/>
      <c r="I98" s="369" t="str">
        <f t="shared" si="48"/>
        <v>-</v>
      </c>
      <c r="J98" s="369" t="str">
        <f t="shared" si="49"/>
        <v>-</v>
      </c>
      <c r="K98" s="194" t="str">
        <f t="shared" si="50"/>
        <v>-</v>
      </c>
      <c r="L98" s="653"/>
      <c r="M98" s="436" t="e">
        <f>RANK(K98, K$87:$K$101)</f>
        <v>#VALUE!</v>
      </c>
      <c r="N98" s="637"/>
      <c r="O98" s="637"/>
      <c r="P98" s="546"/>
      <c r="Q98" s="547"/>
      <c r="R98" s="547"/>
      <c r="S98" s="546"/>
      <c r="T98" s="638"/>
      <c r="U98" s="546"/>
      <c r="V98" s="547"/>
      <c r="W98" s="547"/>
      <c r="X98" s="546"/>
      <c r="Y98" s="638"/>
      <c r="Z98" s="546"/>
      <c r="AA98" s="547"/>
      <c r="AB98" s="547"/>
      <c r="AC98" s="546"/>
      <c r="AD98" s="638"/>
      <c r="AE98" s="546"/>
      <c r="AF98" s="547"/>
      <c r="AG98" s="547"/>
      <c r="AH98" s="546"/>
      <c r="AI98" s="638"/>
      <c r="AJ98" s="546"/>
      <c r="AK98" s="547"/>
      <c r="AL98" s="547"/>
      <c r="AM98" s="546"/>
      <c r="AN98" s="638"/>
      <c r="AO98" s="546"/>
      <c r="AP98" s="547"/>
      <c r="AQ98" s="547"/>
      <c r="AR98" s="546"/>
      <c r="AS98" s="638"/>
      <c r="AT98" s="546"/>
      <c r="AU98" s="547"/>
      <c r="AV98" s="547"/>
      <c r="AW98" s="546"/>
      <c r="AX98" s="638"/>
      <c r="AZ98" s="361" t="e">
        <f t="shared" si="51"/>
        <v>#N/A</v>
      </c>
      <c r="BA98" s="638"/>
    </row>
    <row r="99" spans="2:53">
      <c r="B99" s="643"/>
      <c r="C99" s="368">
        <v>13</v>
      </c>
      <c r="D99" s="474"/>
      <c r="E99" s="474"/>
      <c r="F99" s="474"/>
      <c r="G99" s="477"/>
      <c r="H99" s="651"/>
      <c r="I99" s="369" t="str">
        <f t="shared" si="48"/>
        <v>-</v>
      </c>
      <c r="J99" s="369" t="str">
        <f t="shared" si="49"/>
        <v>-</v>
      </c>
      <c r="K99" s="194" t="str">
        <f t="shared" si="50"/>
        <v>-</v>
      </c>
      <c r="L99" s="653"/>
      <c r="M99" s="436" t="e">
        <f>RANK(K99, K$87:$K$101)</f>
        <v>#VALUE!</v>
      </c>
      <c r="N99" s="637"/>
      <c r="O99" s="637"/>
      <c r="P99" s="546"/>
      <c r="Q99" s="547"/>
      <c r="R99" s="547"/>
      <c r="S99" s="546"/>
      <c r="T99" s="638"/>
      <c r="U99" s="546"/>
      <c r="V99" s="547"/>
      <c r="W99" s="547"/>
      <c r="X99" s="546"/>
      <c r="Y99" s="638"/>
      <c r="Z99" s="546"/>
      <c r="AA99" s="547"/>
      <c r="AB99" s="547"/>
      <c r="AC99" s="546"/>
      <c r="AD99" s="638"/>
      <c r="AE99" s="546"/>
      <c r="AF99" s="547"/>
      <c r="AG99" s="547"/>
      <c r="AH99" s="546"/>
      <c r="AI99" s="638"/>
      <c r="AJ99" s="546"/>
      <c r="AK99" s="547"/>
      <c r="AL99" s="547"/>
      <c r="AM99" s="546"/>
      <c r="AN99" s="638"/>
      <c r="AO99" s="546"/>
      <c r="AP99" s="547"/>
      <c r="AQ99" s="547"/>
      <c r="AR99" s="546"/>
      <c r="AS99" s="638"/>
      <c r="AT99" s="546"/>
      <c r="AU99" s="547"/>
      <c r="AV99" s="547"/>
      <c r="AW99" s="546"/>
      <c r="AX99" s="638"/>
      <c r="AZ99" s="361" t="e">
        <f t="shared" si="51"/>
        <v>#N/A</v>
      </c>
      <c r="BA99" s="638"/>
    </row>
    <row r="100" spans="2:53">
      <c r="B100" s="643"/>
      <c r="C100" s="368">
        <v>14</v>
      </c>
      <c r="D100" s="474"/>
      <c r="E100" s="474"/>
      <c r="F100" s="474"/>
      <c r="G100" s="477"/>
      <c r="H100" s="651"/>
      <c r="I100" s="369" t="str">
        <f t="shared" si="48"/>
        <v>-</v>
      </c>
      <c r="J100" s="369" t="str">
        <f t="shared" si="49"/>
        <v>-</v>
      </c>
      <c r="K100" s="194" t="str">
        <f t="shared" si="50"/>
        <v>-</v>
      </c>
      <c r="L100" s="653"/>
      <c r="M100" s="436" t="e">
        <f>RANK(K100, K$87:$K$101)</f>
        <v>#VALUE!</v>
      </c>
      <c r="N100" s="637"/>
      <c r="O100" s="637"/>
      <c r="P100" s="546"/>
      <c r="Q100" s="547"/>
      <c r="R100" s="547"/>
      <c r="S100" s="546"/>
      <c r="T100" s="638"/>
      <c r="U100" s="546"/>
      <c r="V100" s="547"/>
      <c r="W100" s="547"/>
      <c r="X100" s="546"/>
      <c r="Y100" s="638"/>
      <c r="Z100" s="546"/>
      <c r="AA100" s="547"/>
      <c r="AB100" s="547"/>
      <c r="AC100" s="546"/>
      <c r="AD100" s="638"/>
      <c r="AE100" s="546"/>
      <c r="AF100" s="547"/>
      <c r="AG100" s="547"/>
      <c r="AH100" s="546"/>
      <c r="AI100" s="638"/>
      <c r="AJ100" s="546"/>
      <c r="AK100" s="547"/>
      <c r="AL100" s="547"/>
      <c r="AM100" s="546"/>
      <c r="AN100" s="638"/>
      <c r="AO100" s="546"/>
      <c r="AP100" s="547"/>
      <c r="AQ100" s="547"/>
      <c r="AR100" s="546"/>
      <c r="AS100" s="638"/>
      <c r="AT100" s="546"/>
      <c r="AU100" s="547"/>
      <c r="AV100" s="547"/>
      <c r="AW100" s="546"/>
      <c r="AX100" s="638"/>
      <c r="AZ100" s="361" t="e">
        <f t="shared" si="51"/>
        <v>#N/A</v>
      </c>
      <c r="BA100" s="638"/>
    </row>
    <row r="101" spans="2:53">
      <c r="B101" s="643"/>
      <c r="C101" s="368">
        <v>15</v>
      </c>
      <c r="D101" s="474"/>
      <c r="E101" s="474"/>
      <c r="F101" s="474"/>
      <c r="G101" s="474"/>
      <c r="H101" s="708"/>
      <c r="I101" s="369" t="str">
        <f t="shared" si="48"/>
        <v>-</v>
      </c>
      <c r="J101" s="369" t="str">
        <f t="shared" si="49"/>
        <v>-</v>
      </c>
      <c r="K101" s="194" t="str">
        <f t="shared" si="50"/>
        <v>-</v>
      </c>
      <c r="L101" s="654"/>
      <c r="M101" s="436" t="e">
        <f>RANK(K101, K$87:$K$101)</f>
        <v>#VALUE!</v>
      </c>
      <c r="N101" s="637"/>
      <c r="O101" s="637"/>
      <c r="P101" s="546"/>
      <c r="Q101" s="547"/>
      <c r="R101" s="547"/>
      <c r="S101" s="546"/>
      <c r="T101" s="638"/>
      <c r="U101" s="546"/>
      <c r="V101" s="547"/>
      <c r="W101" s="547"/>
      <c r="X101" s="546"/>
      <c r="Y101" s="638"/>
      <c r="Z101" s="546"/>
      <c r="AA101" s="547"/>
      <c r="AB101" s="547"/>
      <c r="AC101" s="546"/>
      <c r="AD101" s="638"/>
      <c r="AE101" s="546"/>
      <c r="AF101" s="547"/>
      <c r="AG101" s="547"/>
      <c r="AH101" s="546"/>
      <c r="AI101" s="638"/>
      <c r="AJ101" s="546"/>
      <c r="AK101" s="547"/>
      <c r="AL101" s="547"/>
      <c r="AM101" s="546"/>
      <c r="AN101" s="638"/>
      <c r="AO101" s="546"/>
      <c r="AP101" s="547"/>
      <c r="AQ101" s="547"/>
      <c r="AR101" s="546"/>
      <c r="AS101" s="638"/>
      <c r="AT101" s="546"/>
      <c r="AU101" s="547"/>
      <c r="AV101" s="547"/>
      <c r="AW101" s="546"/>
      <c r="AX101" s="638"/>
      <c r="AZ101" s="361" t="e">
        <f t="shared" si="51"/>
        <v>#N/A</v>
      </c>
      <c r="BA101" s="638"/>
    </row>
    <row r="102" spans="2:53" ht="15.75">
      <c r="B102" s="665" t="s">
        <v>162</v>
      </c>
      <c r="C102" s="666"/>
      <c r="D102" s="666"/>
      <c r="E102" s="666"/>
      <c r="F102" s="666"/>
      <c r="G102" s="666"/>
      <c r="H102" s="667"/>
      <c r="I102" s="202"/>
      <c r="J102" s="202"/>
      <c r="K102" s="202"/>
      <c r="L102" s="202"/>
      <c r="M102" s="201"/>
      <c r="N102" s="639" t="s">
        <v>156</v>
      </c>
      <c r="O102" s="639" t="s">
        <v>105</v>
      </c>
      <c r="P102" s="664">
        <f>P82+7</f>
        <v>46329</v>
      </c>
      <c r="Q102" s="643"/>
      <c r="R102" s="643"/>
      <c r="S102" s="643"/>
      <c r="T102" s="643"/>
      <c r="U102" s="661">
        <f>P102+1</f>
        <v>46330</v>
      </c>
      <c r="V102" s="662"/>
      <c r="W102" s="662"/>
      <c r="X102" s="662"/>
      <c r="Y102" s="663"/>
      <c r="Z102" s="661">
        <f>U102+1</f>
        <v>46331</v>
      </c>
      <c r="AA102" s="662"/>
      <c r="AB102" s="662"/>
      <c r="AC102" s="662"/>
      <c r="AD102" s="663"/>
      <c r="AE102" s="661">
        <f>Z102+1</f>
        <v>46332</v>
      </c>
      <c r="AF102" s="662"/>
      <c r="AG102" s="662"/>
      <c r="AH102" s="662"/>
      <c r="AI102" s="663"/>
      <c r="AJ102" s="661">
        <f>AE102+1</f>
        <v>46333</v>
      </c>
      <c r="AK102" s="662"/>
      <c r="AL102" s="662"/>
      <c r="AM102" s="662"/>
      <c r="AN102" s="663"/>
      <c r="AO102" s="661">
        <f>AJ102+1</f>
        <v>46334</v>
      </c>
      <c r="AP102" s="662"/>
      <c r="AQ102" s="662"/>
      <c r="AR102" s="662"/>
      <c r="AS102" s="663"/>
      <c r="AT102" s="661">
        <f>AO102+1</f>
        <v>46335</v>
      </c>
      <c r="AU102" s="662"/>
      <c r="AV102" s="662"/>
      <c r="AW102" s="662"/>
      <c r="AX102" s="663"/>
    </row>
    <row r="103" spans="2:53" ht="15.75">
      <c r="B103" s="668"/>
      <c r="C103" s="668"/>
      <c r="D103" s="668"/>
      <c r="E103" s="668"/>
      <c r="F103" s="668"/>
      <c r="G103" s="668"/>
      <c r="H103" s="668"/>
      <c r="I103" s="199"/>
      <c r="J103" s="199"/>
      <c r="K103" s="199"/>
      <c r="L103" s="199"/>
      <c r="M103" s="200"/>
      <c r="N103" s="641"/>
      <c r="O103" s="641"/>
      <c r="P103" s="664" t="s">
        <v>158</v>
      </c>
      <c r="Q103" s="643"/>
      <c r="R103" s="643"/>
      <c r="S103" s="643"/>
      <c r="T103" s="643"/>
      <c r="U103" s="664" t="s">
        <v>114</v>
      </c>
      <c r="V103" s="643"/>
      <c r="W103" s="643"/>
      <c r="X103" s="643"/>
      <c r="Y103" s="643"/>
      <c r="Z103" s="664" t="s">
        <v>159</v>
      </c>
      <c r="AA103" s="643"/>
      <c r="AB103" s="643"/>
      <c r="AC103" s="643"/>
      <c r="AD103" s="643"/>
      <c r="AE103" s="664" t="s">
        <v>157</v>
      </c>
      <c r="AF103" s="643"/>
      <c r="AG103" s="643"/>
      <c r="AH103" s="643"/>
      <c r="AI103" s="643"/>
      <c r="AJ103" s="664" t="s">
        <v>160</v>
      </c>
      <c r="AK103" s="643"/>
      <c r="AL103" s="643"/>
      <c r="AM103" s="643"/>
      <c r="AN103" s="643"/>
      <c r="AO103" s="664" t="s">
        <v>115</v>
      </c>
      <c r="AP103" s="643"/>
      <c r="AQ103" s="643"/>
      <c r="AR103" s="643"/>
      <c r="AS103" s="643"/>
      <c r="AT103" s="664" t="s">
        <v>161</v>
      </c>
      <c r="AU103" s="643"/>
      <c r="AV103" s="643"/>
      <c r="AW103" s="643"/>
      <c r="AX103" s="643"/>
    </row>
    <row r="104" spans="2:53">
      <c r="B104" s="637" t="s">
        <v>505</v>
      </c>
      <c r="C104" s="637" t="s">
        <v>506</v>
      </c>
      <c r="D104" s="637"/>
      <c r="E104" s="637" t="s">
        <v>507</v>
      </c>
      <c r="F104" s="637"/>
      <c r="G104" s="637"/>
      <c r="H104" s="669" t="s">
        <v>508</v>
      </c>
      <c r="I104" s="637" t="s">
        <v>509</v>
      </c>
      <c r="J104" s="637"/>
      <c r="K104" s="637"/>
      <c r="L104" s="669" t="s">
        <v>508</v>
      </c>
      <c r="M104" s="639" t="s">
        <v>510</v>
      </c>
      <c r="N104" s="637"/>
      <c r="O104" s="637" t="s">
        <v>511</v>
      </c>
      <c r="P104" s="655" t="s">
        <v>512</v>
      </c>
      <c r="Q104" s="656"/>
      <c r="R104" s="656"/>
      <c r="S104" s="657"/>
      <c r="T104" s="637" t="s">
        <v>508</v>
      </c>
      <c r="U104" s="655" t="s">
        <v>512</v>
      </c>
      <c r="V104" s="656"/>
      <c r="W104" s="656"/>
      <c r="X104" s="657"/>
      <c r="Y104" s="637" t="s">
        <v>508</v>
      </c>
      <c r="Z104" s="655" t="s">
        <v>512</v>
      </c>
      <c r="AA104" s="656"/>
      <c r="AB104" s="656"/>
      <c r="AC104" s="657"/>
      <c r="AD104" s="637" t="s">
        <v>508</v>
      </c>
      <c r="AE104" s="655" t="s">
        <v>512</v>
      </c>
      <c r="AF104" s="656"/>
      <c r="AG104" s="656"/>
      <c r="AH104" s="657"/>
      <c r="AI104" s="637" t="s">
        <v>508</v>
      </c>
      <c r="AJ104" s="655" t="s">
        <v>512</v>
      </c>
      <c r="AK104" s="656"/>
      <c r="AL104" s="656"/>
      <c r="AM104" s="657"/>
      <c r="AN104" s="637" t="s">
        <v>508</v>
      </c>
      <c r="AO104" s="655" t="s">
        <v>512</v>
      </c>
      <c r="AP104" s="656"/>
      <c r="AQ104" s="656"/>
      <c r="AR104" s="657"/>
      <c r="AS104" s="637" t="s">
        <v>508</v>
      </c>
      <c r="AT104" s="655" t="s">
        <v>512</v>
      </c>
      <c r="AU104" s="656"/>
      <c r="AV104" s="656"/>
      <c r="AW104" s="657"/>
      <c r="AX104" s="637" t="s">
        <v>508</v>
      </c>
      <c r="BA104" s="637" t="s">
        <v>357</v>
      </c>
    </row>
    <row r="105" spans="2:53">
      <c r="B105" s="637"/>
      <c r="C105" s="637"/>
      <c r="D105" s="637"/>
      <c r="E105" s="637" t="s">
        <v>513</v>
      </c>
      <c r="F105" s="637"/>
      <c r="G105" s="637"/>
      <c r="H105" s="670"/>
      <c r="I105" s="637" t="s">
        <v>513</v>
      </c>
      <c r="J105" s="637"/>
      <c r="K105" s="637"/>
      <c r="L105" s="670"/>
      <c r="M105" s="640"/>
      <c r="N105" s="637"/>
      <c r="O105" s="637"/>
      <c r="P105" s="655" t="s">
        <v>514</v>
      </c>
      <c r="Q105" s="656"/>
      <c r="R105" s="656"/>
      <c r="S105" s="657"/>
      <c r="T105" s="637"/>
      <c r="U105" s="655" t="s">
        <v>514</v>
      </c>
      <c r="V105" s="656"/>
      <c r="W105" s="656"/>
      <c r="X105" s="657"/>
      <c r="Y105" s="637"/>
      <c r="Z105" s="655" t="s">
        <v>514</v>
      </c>
      <c r="AA105" s="656"/>
      <c r="AB105" s="656"/>
      <c r="AC105" s="657"/>
      <c r="AD105" s="637"/>
      <c r="AE105" s="655" t="s">
        <v>514</v>
      </c>
      <c r="AF105" s="656"/>
      <c r="AG105" s="656"/>
      <c r="AH105" s="657"/>
      <c r="AI105" s="637"/>
      <c r="AJ105" s="655" t="s">
        <v>514</v>
      </c>
      <c r="AK105" s="656"/>
      <c r="AL105" s="656"/>
      <c r="AM105" s="657"/>
      <c r="AN105" s="637"/>
      <c r="AO105" s="655" t="s">
        <v>514</v>
      </c>
      <c r="AP105" s="656"/>
      <c r="AQ105" s="656"/>
      <c r="AR105" s="657"/>
      <c r="AS105" s="637"/>
      <c r="AT105" s="655" t="s">
        <v>514</v>
      </c>
      <c r="AU105" s="656"/>
      <c r="AV105" s="656"/>
      <c r="AW105" s="657"/>
      <c r="AX105" s="637"/>
      <c r="BA105" s="637"/>
    </row>
    <row r="106" spans="2:53">
      <c r="B106" s="637"/>
      <c r="C106" s="637"/>
      <c r="D106" s="637"/>
      <c r="E106" s="334" t="s">
        <v>515</v>
      </c>
      <c r="F106" s="334" t="s">
        <v>516</v>
      </c>
      <c r="G106" s="334" t="s">
        <v>517</v>
      </c>
      <c r="H106" s="671"/>
      <c r="I106" s="334" t="s">
        <v>515</v>
      </c>
      <c r="J106" s="334" t="s">
        <v>516</v>
      </c>
      <c r="K106" s="334" t="s">
        <v>517</v>
      </c>
      <c r="L106" s="671"/>
      <c r="M106" s="641"/>
      <c r="N106" s="637"/>
      <c r="O106" s="637"/>
      <c r="P106" s="334" t="s">
        <v>515</v>
      </c>
      <c r="Q106" s="334" t="s">
        <v>516</v>
      </c>
      <c r="R106" s="334" t="s">
        <v>517</v>
      </c>
      <c r="S106" s="334" t="s">
        <v>510</v>
      </c>
      <c r="T106" s="637"/>
      <c r="U106" s="334" t="s">
        <v>515</v>
      </c>
      <c r="V106" s="334" t="s">
        <v>516</v>
      </c>
      <c r="W106" s="334" t="s">
        <v>517</v>
      </c>
      <c r="X106" s="334" t="s">
        <v>510</v>
      </c>
      <c r="Y106" s="637"/>
      <c r="Z106" s="334" t="s">
        <v>515</v>
      </c>
      <c r="AA106" s="334" t="s">
        <v>516</v>
      </c>
      <c r="AB106" s="334" t="s">
        <v>517</v>
      </c>
      <c r="AC106" s="334" t="s">
        <v>510</v>
      </c>
      <c r="AD106" s="637"/>
      <c r="AE106" s="334" t="s">
        <v>515</v>
      </c>
      <c r="AF106" s="334" t="s">
        <v>516</v>
      </c>
      <c r="AG106" s="334" t="s">
        <v>517</v>
      </c>
      <c r="AH106" s="334" t="s">
        <v>510</v>
      </c>
      <c r="AI106" s="637"/>
      <c r="AJ106" s="334" t="s">
        <v>515</v>
      </c>
      <c r="AK106" s="334" t="s">
        <v>516</v>
      </c>
      <c r="AL106" s="334" t="s">
        <v>517</v>
      </c>
      <c r="AM106" s="334" t="s">
        <v>510</v>
      </c>
      <c r="AN106" s="637"/>
      <c r="AO106" s="334" t="s">
        <v>515</v>
      </c>
      <c r="AP106" s="334" t="s">
        <v>516</v>
      </c>
      <c r="AQ106" s="334" t="s">
        <v>517</v>
      </c>
      <c r="AR106" s="334" t="s">
        <v>510</v>
      </c>
      <c r="AS106" s="637"/>
      <c r="AT106" s="334" t="s">
        <v>515</v>
      </c>
      <c r="AU106" s="334" t="s">
        <v>516</v>
      </c>
      <c r="AV106" s="334" t="s">
        <v>517</v>
      </c>
      <c r="AW106" s="334" t="s">
        <v>510</v>
      </c>
      <c r="AX106" s="637"/>
      <c r="AZ106" s="362" t="s">
        <v>358</v>
      </c>
      <c r="BA106" s="637"/>
    </row>
    <row r="107" spans="2:53">
      <c r="B107" s="695" t="s">
        <v>518</v>
      </c>
      <c r="C107" s="337">
        <v>1</v>
      </c>
      <c r="D107" s="467"/>
      <c r="E107" s="468"/>
      <c r="F107" s="468"/>
      <c r="G107" s="470"/>
      <c r="H107" s="650" t="e">
        <f>AVERAGE(G107:G121)</f>
        <v>#DIV/0!</v>
      </c>
      <c r="I107" s="352" t="str">
        <f t="shared" ref="I107:I121" si="53">IFERROR(AVERAGE(P107,U107,Z107,AE107,AJ107,AO107,AT107),"-")</f>
        <v>-</v>
      </c>
      <c r="J107" s="352" t="str">
        <f t="shared" ref="J107:J121" si="54">IFERROR(AVERAGE(Q107,V107,AA107,AF107,AK107,AP107,AU107),"-")</f>
        <v>-</v>
      </c>
      <c r="K107" s="194" t="str">
        <f t="shared" ref="K107:K121" si="55">IFERROR(AVERAGE(R107,W107,AB107,AG107,AL107,AQ107,AV107),"-")</f>
        <v>-</v>
      </c>
      <c r="L107" s="652" t="str">
        <f>IFERROR(AVERAGE(K107:K121),"-")</f>
        <v>-</v>
      </c>
      <c r="M107" s="338" t="e">
        <f>RANK(K107, K$107:$K$121)</f>
        <v>#VALUE!</v>
      </c>
      <c r="N107" s="637"/>
      <c r="O107" s="637"/>
      <c r="P107" s="490"/>
      <c r="Q107" s="491"/>
      <c r="R107" s="491"/>
      <c r="S107" s="490"/>
      <c r="T107" s="632"/>
      <c r="U107" s="490"/>
      <c r="V107" s="491"/>
      <c r="W107" s="491"/>
      <c r="X107" s="490"/>
      <c r="Y107" s="632"/>
      <c r="Z107" s="490"/>
      <c r="AA107" s="491"/>
      <c r="AB107" s="491"/>
      <c r="AC107" s="490"/>
      <c r="AD107" s="632"/>
      <c r="AE107" s="490"/>
      <c r="AF107" s="491"/>
      <c r="AG107" s="491"/>
      <c r="AH107" s="490"/>
      <c r="AI107" s="632"/>
      <c r="AJ107" s="490"/>
      <c r="AK107" s="491"/>
      <c r="AL107" s="491"/>
      <c r="AM107" s="490"/>
      <c r="AN107" s="632"/>
      <c r="AO107" s="490"/>
      <c r="AP107" s="491"/>
      <c r="AQ107" s="491"/>
      <c r="AR107" s="490"/>
      <c r="AS107" s="632"/>
      <c r="AT107" s="490"/>
      <c r="AU107" s="491"/>
      <c r="AV107" s="491"/>
      <c r="AW107" s="490"/>
      <c r="AX107" s="632"/>
      <c r="AZ107" s="364" t="e">
        <f t="shared" ref="AZ107:AZ121" si="56">RANK(AY107, AY$81:AY$87)</f>
        <v>#N/A</v>
      </c>
      <c r="BA107" s="694" t="e">
        <f t="shared" ref="BA107" si="57">AVERAGE(AY107:AY121)</f>
        <v>#DIV/0!</v>
      </c>
    </row>
    <row r="108" spans="2:53">
      <c r="B108" s="672"/>
      <c r="C108" s="337">
        <v>2</v>
      </c>
      <c r="D108" s="468"/>
      <c r="E108" s="468"/>
      <c r="F108" s="468"/>
      <c r="G108" s="470"/>
      <c r="H108" s="651"/>
      <c r="I108" s="352" t="str">
        <f t="shared" si="53"/>
        <v>-</v>
      </c>
      <c r="J108" s="352" t="str">
        <f t="shared" si="54"/>
        <v>-</v>
      </c>
      <c r="K108" s="194" t="str">
        <f t="shared" si="55"/>
        <v>-</v>
      </c>
      <c r="L108" s="653"/>
      <c r="M108" s="338" t="e">
        <f>RANK(K108, K$107:$K$121)</f>
        <v>#VALUE!</v>
      </c>
      <c r="N108" s="637"/>
      <c r="O108" s="637"/>
      <c r="P108" s="490"/>
      <c r="Q108" s="491"/>
      <c r="R108" s="491"/>
      <c r="S108" s="490"/>
      <c r="T108" s="633"/>
      <c r="U108" s="490"/>
      <c r="V108" s="491"/>
      <c r="W108" s="491"/>
      <c r="X108" s="490"/>
      <c r="Y108" s="633"/>
      <c r="Z108" s="490"/>
      <c r="AA108" s="491"/>
      <c r="AB108" s="491"/>
      <c r="AC108" s="490"/>
      <c r="AD108" s="633"/>
      <c r="AE108" s="490"/>
      <c r="AF108" s="491"/>
      <c r="AG108" s="491"/>
      <c r="AH108" s="490"/>
      <c r="AI108" s="633"/>
      <c r="AJ108" s="490"/>
      <c r="AK108" s="491"/>
      <c r="AL108" s="491"/>
      <c r="AM108" s="490"/>
      <c r="AN108" s="633"/>
      <c r="AO108" s="490"/>
      <c r="AP108" s="491"/>
      <c r="AQ108" s="491"/>
      <c r="AR108" s="490"/>
      <c r="AS108" s="633"/>
      <c r="AT108" s="490"/>
      <c r="AU108" s="491"/>
      <c r="AV108" s="491"/>
      <c r="AW108" s="490"/>
      <c r="AX108" s="633"/>
      <c r="AZ108" s="364" t="e">
        <f t="shared" si="56"/>
        <v>#N/A</v>
      </c>
      <c r="BA108" s="694"/>
    </row>
    <row r="109" spans="2:53">
      <c r="B109" s="672"/>
      <c r="C109" s="337">
        <v>3</v>
      </c>
      <c r="D109" s="468"/>
      <c r="E109" s="468"/>
      <c r="F109" s="468"/>
      <c r="G109" s="470"/>
      <c r="H109" s="651"/>
      <c r="I109" s="352" t="str">
        <f t="shared" si="53"/>
        <v>-</v>
      </c>
      <c r="J109" s="352" t="str">
        <f t="shared" si="54"/>
        <v>-</v>
      </c>
      <c r="K109" s="194" t="str">
        <f t="shared" si="55"/>
        <v>-</v>
      </c>
      <c r="L109" s="653"/>
      <c r="M109" s="338" t="e">
        <f>RANK(K109, K$107:$K$121)</f>
        <v>#VALUE!</v>
      </c>
      <c r="N109" s="637"/>
      <c r="O109" s="637"/>
      <c r="P109" s="490"/>
      <c r="Q109" s="491"/>
      <c r="R109" s="491"/>
      <c r="S109" s="490"/>
      <c r="T109" s="633"/>
      <c r="U109" s="490"/>
      <c r="V109" s="491"/>
      <c r="W109" s="491"/>
      <c r="X109" s="490"/>
      <c r="Y109" s="633"/>
      <c r="Z109" s="490"/>
      <c r="AA109" s="491"/>
      <c r="AB109" s="491"/>
      <c r="AC109" s="490"/>
      <c r="AD109" s="633"/>
      <c r="AE109" s="490"/>
      <c r="AF109" s="491"/>
      <c r="AG109" s="491"/>
      <c r="AH109" s="490"/>
      <c r="AI109" s="633"/>
      <c r="AJ109" s="490"/>
      <c r="AK109" s="491"/>
      <c r="AL109" s="491"/>
      <c r="AM109" s="490"/>
      <c r="AN109" s="633"/>
      <c r="AO109" s="490"/>
      <c r="AP109" s="491"/>
      <c r="AQ109" s="491"/>
      <c r="AR109" s="490"/>
      <c r="AS109" s="633"/>
      <c r="AT109" s="490"/>
      <c r="AU109" s="491"/>
      <c r="AV109" s="491"/>
      <c r="AW109" s="490"/>
      <c r="AX109" s="633"/>
      <c r="AZ109" s="364" t="e">
        <f t="shared" si="56"/>
        <v>#N/A</v>
      </c>
      <c r="BA109" s="694"/>
    </row>
    <row r="110" spans="2:53">
      <c r="B110" s="672"/>
      <c r="C110" s="337">
        <v>4</v>
      </c>
      <c r="D110" s="341"/>
      <c r="E110" s="341"/>
      <c r="F110" s="341"/>
      <c r="G110" s="176"/>
      <c r="H110" s="651"/>
      <c r="I110" s="352" t="str">
        <f t="shared" si="53"/>
        <v>-</v>
      </c>
      <c r="J110" s="352" t="str">
        <f t="shared" si="54"/>
        <v>-</v>
      </c>
      <c r="K110" s="194" t="str">
        <f t="shared" si="55"/>
        <v>-</v>
      </c>
      <c r="L110" s="653"/>
      <c r="M110" s="338" t="e">
        <f>RANK(K110, K$107:$K$121)</f>
        <v>#VALUE!</v>
      </c>
      <c r="N110" s="637"/>
      <c r="O110" s="637"/>
      <c r="P110" s="490"/>
      <c r="Q110" s="491"/>
      <c r="R110" s="491"/>
      <c r="S110" s="490"/>
      <c r="T110" s="633"/>
      <c r="U110" s="490"/>
      <c r="V110" s="491"/>
      <c r="W110" s="491"/>
      <c r="X110" s="490"/>
      <c r="Y110" s="633"/>
      <c r="Z110" s="490"/>
      <c r="AA110" s="491"/>
      <c r="AB110" s="491"/>
      <c r="AC110" s="490"/>
      <c r="AD110" s="633"/>
      <c r="AE110" s="490"/>
      <c r="AF110" s="491"/>
      <c r="AG110" s="491"/>
      <c r="AH110" s="490"/>
      <c r="AI110" s="633"/>
      <c r="AJ110" s="490"/>
      <c r="AK110" s="491"/>
      <c r="AL110" s="491"/>
      <c r="AM110" s="490"/>
      <c r="AN110" s="633"/>
      <c r="AO110" s="490"/>
      <c r="AP110" s="491"/>
      <c r="AQ110" s="491"/>
      <c r="AR110" s="490"/>
      <c r="AS110" s="633"/>
      <c r="AT110" s="490"/>
      <c r="AU110" s="491"/>
      <c r="AV110" s="491"/>
      <c r="AW110" s="490"/>
      <c r="AX110" s="633"/>
      <c r="AZ110" s="364" t="e">
        <f t="shared" si="56"/>
        <v>#N/A</v>
      </c>
      <c r="BA110" s="694"/>
    </row>
    <row r="111" spans="2:53">
      <c r="B111" s="672"/>
      <c r="C111" s="337">
        <v>5</v>
      </c>
      <c r="D111" s="341"/>
      <c r="E111" s="341"/>
      <c r="F111" s="341"/>
      <c r="G111" s="176"/>
      <c r="H111" s="651"/>
      <c r="I111" s="352" t="str">
        <f t="shared" si="53"/>
        <v>-</v>
      </c>
      <c r="J111" s="352" t="str">
        <f t="shared" si="54"/>
        <v>-</v>
      </c>
      <c r="K111" s="194" t="str">
        <f t="shared" si="55"/>
        <v>-</v>
      </c>
      <c r="L111" s="653"/>
      <c r="M111" s="338" t="e">
        <f>RANK(K111, K$107:$K$121)</f>
        <v>#VALUE!</v>
      </c>
      <c r="N111" s="637"/>
      <c r="O111" s="637"/>
      <c r="P111" s="490"/>
      <c r="Q111" s="491"/>
      <c r="R111" s="491"/>
      <c r="S111" s="490"/>
      <c r="T111" s="633"/>
      <c r="U111" s="490"/>
      <c r="V111" s="491"/>
      <c r="W111" s="491"/>
      <c r="X111" s="490"/>
      <c r="Y111" s="633"/>
      <c r="Z111" s="490"/>
      <c r="AA111" s="491"/>
      <c r="AB111" s="491"/>
      <c r="AC111" s="490"/>
      <c r="AD111" s="633"/>
      <c r="AE111" s="490"/>
      <c r="AF111" s="491"/>
      <c r="AG111" s="491"/>
      <c r="AH111" s="490"/>
      <c r="AI111" s="633"/>
      <c r="AJ111" s="490"/>
      <c r="AK111" s="491"/>
      <c r="AL111" s="491"/>
      <c r="AM111" s="490"/>
      <c r="AN111" s="633"/>
      <c r="AO111" s="490"/>
      <c r="AP111" s="491"/>
      <c r="AQ111" s="491"/>
      <c r="AR111" s="490"/>
      <c r="AS111" s="633"/>
      <c r="AT111" s="490"/>
      <c r="AU111" s="491"/>
      <c r="AV111" s="491"/>
      <c r="AW111" s="490"/>
      <c r="AX111" s="633"/>
      <c r="AZ111" s="364" t="e">
        <f t="shared" si="56"/>
        <v>#N/A</v>
      </c>
      <c r="BA111" s="694"/>
    </row>
    <row r="112" spans="2:53">
      <c r="B112" s="672"/>
      <c r="C112" s="337">
        <v>6</v>
      </c>
      <c r="D112" s="341"/>
      <c r="E112" s="341"/>
      <c r="F112" s="341"/>
      <c r="G112" s="176"/>
      <c r="H112" s="651"/>
      <c r="I112" s="352" t="str">
        <f t="shared" si="53"/>
        <v>-</v>
      </c>
      <c r="J112" s="352" t="str">
        <f t="shared" si="54"/>
        <v>-</v>
      </c>
      <c r="K112" s="194" t="str">
        <f t="shared" si="55"/>
        <v>-</v>
      </c>
      <c r="L112" s="653"/>
      <c r="M112" s="338" t="e">
        <f>RANK(K112, K$107:$K$121)</f>
        <v>#VALUE!</v>
      </c>
      <c r="N112" s="637"/>
      <c r="O112" s="637"/>
      <c r="P112" s="490"/>
      <c r="Q112" s="491"/>
      <c r="R112" s="491"/>
      <c r="S112" s="490"/>
      <c r="T112" s="633"/>
      <c r="U112" s="490"/>
      <c r="V112" s="491"/>
      <c r="W112" s="491"/>
      <c r="X112" s="490"/>
      <c r="Y112" s="633"/>
      <c r="Z112" s="490"/>
      <c r="AA112" s="491"/>
      <c r="AB112" s="491"/>
      <c r="AC112" s="490"/>
      <c r="AD112" s="633"/>
      <c r="AE112" s="490"/>
      <c r="AF112" s="491"/>
      <c r="AG112" s="491"/>
      <c r="AH112" s="490"/>
      <c r="AI112" s="633"/>
      <c r="AJ112" s="490"/>
      <c r="AK112" s="491"/>
      <c r="AL112" s="491"/>
      <c r="AM112" s="490"/>
      <c r="AN112" s="633"/>
      <c r="AO112" s="490"/>
      <c r="AP112" s="491"/>
      <c r="AQ112" s="491"/>
      <c r="AR112" s="490"/>
      <c r="AS112" s="633"/>
      <c r="AT112" s="490"/>
      <c r="AU112" s="491"/>
      <c r="AV112" s="491"/>
      <c r="AW112" s="490"/>
      <c r="AX112" s="633"/>
      <c r="AZ112" s="364" t="e">
        <f t="shared" si="56"/>
        <v>#N/A</v>
      </c>
      <c r="BA112" s="694"/>
    </row>
    <row r="113" spans="2:53">
      <c r="B113" s="672"/>
      <c r="C113" s="337">
        <v>7</v>
      </c>
      <c r="D113" s="341"/>
      <c r="E113" s="341"/>
      <c r="F113" s="341"/>
      <c r="G113" s="176"/>
      <c r="H113" s="651"/>
      <c r="I113" s="352" t="str">
        <f t="shared" si="53"/>
        <v>-</v>
      </c>
      <c r="J113" s="352" t="str">
        <f t="shared" si="54"/>
        <v>-</v>
      </c>
      <c r="K113" s="194" t="str">
        <f t="shared" si="55"/>
        <v>-</v>
      </c>
      <c r="L113" s="653"/>
      <c r="M113" s="338" t="e">
        <f>RANK(K113, K$107:$K$121)</f>
        <v>#VALUE!</v>
      </c>
      <c r="N113" s="637"/>
      <c r="O113" s="637"/>
      <c r="P113" s="490"/>
      <c r="Q113" s="491"/>
      <c r="R113" s="491"/>
      <c r="S113" s="490"/>
      <c r="T113" s="633"/>
      <c r="U113" s="490"/>
      <c r="V113" s="491"/>
      <c r="W113" s="491"/>
      <c r="X113" s="490"/>
      <c r="Y113" s="633"/>
      <c r="Z113" s="490"/>
      <c r="AA113" s="491"/>
      <c r="AB113" s="491"/>
      <c r="AC113" s="490"/>
      <c r="AD113" s="633"/>
      <c r="AE113" s="490"/>
      <c r="AF113" s="491"/>
      <c r="AG113" s="491"/>
      <c r="AH113" s="490"/>
      <c r="AI113" s="633"/>
      <c r="AJ113" s="490"/>
      <c r="AK113" s="491"/>
      <c r="AL113" s="491"/>
      <c r="AM113" s="490"/>
      <c r="AN113" s="633"/>
      <c r="AO113" s="490"/>
      <c r="AP113" s="491"/>
      <c r="AQ113" s="491"/>
      <c r="AR113" s="490"/>
      <c r="AS113" s="633"/>
      <c r="AT113" s="490"/>
      <c r="AU113" s="491"/>
      <c r="AV113" s="491"/>
      <c r="AW113" s="490"/>
      <c r="AX113" s="633"/>
      <c r="AZ113" s="364" t="e">
        <f t="shared" si="56"/>
        <v>#N/A</v>
      </c>
      <c r="BA113" s="694"/>
    </row>
    <row r="114" spans="2:53">
      <c r="B114" s="672"/>
      <c r="C114" s="337">
        <v>8</v>
      </c>
      <c r="D114" s="341"/>
      <c r="E114" s="341"/>
      <c r="F114" s="341"/>
      <c r="G114" s="176"/>
      <c r="H114" s="651"/>
      <c r="I114" s="352" t="str">
        <f t="shared" si="53"/>
        <v>-</v>
      </c>
      <c r="J114" s="352" t="str">
        <f t="shared" si="54"/>
        <v>-</v>
      </c>
      <c r="K114" s="194" t="str">
        <f t="shared" si="55"/>
        <v>-</v>
      </c>
      <c r="L114" s="653"/>
      <c r="M114" s="338" t="e">
        <f>RANK(K114, K$107:$K$121)</f>
        <v>#VALUE!</v>
      </c>
      <c r="N114" s="637"/>
      <c r="O114" s="637"/>
      <c r="P114" s="490"/>
      <c r="Q114" s="491"/>
      <c r="R114" s="491"/>
      <c r="S114" s="490"/>
      <c r="T114" s="633"/>
      <c r="U114" s="490"/>
      <c r="V114" s="491"/>
      <c r="W114" s="491"/>
      <c r="X114" s="490"/>
      <c r="Y114" s="633"/>
      <c r="Z114" s="490"/>
      <c r="AA114" s="491"/>
      <c r="AB114" s="491"/>
      <c r="AC114" s="490"/>
      <c r="AD114" s="633"/>
      <c r="AE114" s="490"/>
      <c r="AF114" s="491"/>
      <c r="AG114" s="491"/>
      <c r="AH114" s="490"/>
      <c r="AI114" s="633"/>
      <c r="AJ114" s="490"/>
      <c r="AK114" s="491"/>
      <c r="AL114" s="491"/>
      <c r="AM114" s="490"/>
      <c r="AN114" s="633"/>
      <c r="AO114" s="490"/>
      <c r="AP114" s="491"/>
      <c r="AQ114" s="491"/>
      <c r="AR114" s="490"/>
      <c r="AS114" s="633"/>
      <c r="AT114" s="490"/>
      <c r="AU114" s="491"/>
      <c r="AV114" s="491"/>
      <c r="AW114" s="490"/>
      <c r="AX114" s="633"/>
      <c r="AZ114" s="364" t="e">
        <f t="shared" si="56"/>
        <v>#N/A</v>
      </c>
      <c r="BA114" s="694"/>
    </row>
    <row r="115" spans="2:53">
      <c r="B115" s="672"/>
      <c r="C115" s="337">
        <v>9</v>
      </c>
      <c r="D115" s="341"/>
      <c r="E115" s="341"/>
      <c r="F115" s="341"/>
      <c r="G115" s="176"/>
      <c r="H115" s="651"/>
      <c r="I115" s="352" t="str">
        <f t="shared" si="53"/>
        <v>-</v>
      </c>
      <c r="J115" s="352" t="str">
        <f t="shared" si="54"/>
        <v>-</v>
      </c>
      <c r="K115" s="194" t="str">
        <f t="shared" si="55"/>
        <v>-</v>
      </c>
      <c r="L115" s="653"/>
      <c r="M115" s="338" t="e">
        <f>RANK(K115, K$107:$K$121)</f>
        <v>#VALUE!</v>
      </c>
      <c r="N115" s="637"/>
      <c r="O115" s="637"/>
      <c r="P115" s="490"/>
      <c r="Q115" s="491"/>
      <c r="R115" s="491"/>
      <c r="S115" s="490"/>
      <c r="T115" s="633"/>
      <c r="U115" s="490"/>
      <c r="V115" s="491"/>
      <c r="W115" s="491"/>
      <c r="X115" s="490"/>
      <c r="Y115" s="633"/>
      <c r="Z115" s="490"/>
      <c r="AA115" s="491"/>
      <c r="AB115" s="491"/>
      <c r="AC115" s="490"/>
      <c r="AD115" s="633"/>
      <c r="AE115" s="490"/>
      <c r="AF115" s="491"/>
      <c r="AG115" s="491"/>
      <c r="AH115" s="490"/>
      <c r="AI115" s="633"/>
      <c r="AJ115" s="490"/>
      <c r="AK115" s="491"/>
      <c r="AL115" s="491"/>
      <c r="AM115" s="490"/>
      <c r="AN115" s="633"/>
      <c r="AO115" s="490"/>
      <c r="AP115" s="491"/>
      <c r="AQ115" s="491"/>
      <c r="AR115" s="490"/>
      <c r="AS115" s="633"/>
      <c r="AT115" s="490"/>
      <c r="AU115" s="491"/>
      <c r="AV115" s="491"/>
      <c r="AW115" s="490"/>
      <c r="AX115" s="633"/>
      <c r="AZ115" s="364" t="e">
        <f t="shared" si="56"/>
        <v>#N/A</v>
      </c>
      <c r="BA115" s="694"/>
    </row>
    <row r="116" spans="2:53">
      <c r="B116" s="672"/>
      <c r="C116" s="337">
        <v>10</v>
      </c>
      <c r="D116" s="341"/>
      <c r="E116" s="341"/>
      <c r="F116" s="341"/>
      <c r="G116" s="176"/>
      <c r="H116" s="651"/>
      <c r="I116" s="352" t="str">
        <f t="shared" si="53"/>
        <v>-</v>
      </c>
      <c r="J116" s="352" t="str">
        <f t="shared" si="54"/>
        <v>-</v>
      </c>
      <c r="K116" s="194" t="str">
        <f t="shared" si="55"/>
        <v>-</v>
      </c>
      <c r="L116" s="653"/>
      <c r="M116" s="338" t="e">
        <f>RANK(K116, K$107:$K$121)</f>
        <v>#VALUE!</v>
      </c>
      <c r="N116" s="637"/>
      <c r="O116" s="637"/>
      <c r="P116" s="490"/>
      <c r="Q116" s="491"/>
      <c r="R116" s="491"/>
      <c r="S116" s="490"/>
      <c r="T116" s="633"/>
      <c r="U116" s="490"/>
      <c r="V116" s="491"/>
      <c r="W116" s="491"/>
      <c r="X116" s="490"/>
      <c r="Y116" s="633"/>
      <c r="Z116" s="490"/>
      <c r="AA116" s="491"/>
      <c r="AB116" s="491"/>
      <c r="AC116" s="490"/>
      <c r="AD116" s="633"/>
      <c r="AE116" s="490"/>
      <c r="AF116" s="491"/>
      <c r="AG116" s="491"/>
      <c r="AH116" s="490"/>
      <c r="AI116" s="633"/>
      <c r="AJ116" s="490"/>
      <c r="AK116" s="491"/>
      <c r="AL116" s="491"/>
      <c r="AM116" s="490"/>
      <c r="AN116" s="633"/>
      <c r="AO116" s="490"/>
      <c r="AP116" s="491"/>
      <c r="AQ116" s="491"/>
      <c r="AR116" s="490"/>
      <c r="AS116" s="633"/>
      <c r="AT116" s="490"/>
      <c r="AU116" s="491"/>
      <c r="AV116" s="491"/>
      <c r="AW116" s="490"/>
      <c r="AX116" s="633"/>
      <c r="AZ116" s="364" t="e">
        <f t="shared" si="56"/>
        <v>#N/A</v>
      </c>
      <c r="BA116" s="694"/>
    </row>
    <row r="117" spans="2:53">
      <c r="B117" s="672"/>
      <c r="C117" s="337">
        <v>11</v>
      </c>
      <c r="D117" s="341"/>
      <c r="E117" s="341"/>
      <c r="F117" s="341"/>
      <c r="G117" s="176"/>
      <c r="H117" s="651"/>
      <c r="I117" s="352" t="str">
        <f t="shared" si="53"/>
        <v>-</v>
      </c>
      <c r="J117" s="352" t="str">
        <f t="shared" si="54"/>
        <v>-</v>
      </c>
      <c r="K117" s="194" t="str">
        <f t="shared" si="55"/>
        <v>-</v>
      </c>
      <c r="L117" s="653"/>
      <c r="M117" s="338" t="e">
        <f>RANK(K117, K$107:$K$121)</f>
        <v>#VALUE!</v>
      </c>
      <c r="N117" s="637"/>
      <c r="O117" s="637"/>
      <c r="P117" s="490"/>
      <c r="Q117" s="491"/>
      <c r="R117" s="491"/>
      <c r="S117" s="490"/>
      <c r="T117" s="633"/>
      <c r="U117" s="490"/>
      <c r="V117" s="491"/>
      <c r="W117" s="491"/>
      <c r="X117" s="490"/>
      <c r="Y117" s="633"/>
      <c r="Z117" s="490"/>
      <c r="AA117" s="491"/>
      <c r="AB117" s="491"/>
      <c r="AC117" s="490"/>
      <c r="AD117" s="633"/>
      <c r="AE117" s="490"/>
      <c r="AF117" s="491"/>
      <c r="AG117" s="491"/>
      <c r="AH117" s="490"/>
      <c r="AI117" s="633"/>
      <c r="AJ117" s="490"/>
      <c r="AK117" s="491"/>
      <c r="AL117" s="491"/>
      <c r="AM117" s="490"/>
      <c r="AN117" s="633"/>
      <c r="AO117" s="490"/>
      <c r="AP117" s="491"/>
      <c r="AQ117" s="491"/>
      <c r="AR117" s="490"/>
      <c r="AS117" s="633"/>
      <c r="AT117" s="490"/>
      <c r="AU117" s="491"/>
      <c r="AV117" s="491"/>
      <c r="AW117" s="490"/>
      <c r="AX117" s="633"/>
      <c r="AZ117" s="364" t="e">
        <f t="shared" si="56"/>
        <v>#N/A</v>
      </c>
      <c r="BA117" s="694"/>
    </row>
    <row r="118" spans="2:53">
      <c r="B118" s="672"/>
      <c r="C118" s="337">
        <v>12</v>
      </c>
      <c r="D118" s="341"/>
      <c r="E118" s="341"/>
      <c r="F118" s="341"/>
      <c r="G118" s="176"/>
      <c r="H118" s="651"/>
      <c r="I118" s="352" t="str">
        <f t="shared" si="53"/>
        <v>-</v>
      </c>
      <c r="J118" s="352" t="str">
        <f t="shared" si="54"/>
        <v>-</v>
      </c>
      <c r="K118" s="194" t="str">
        <f t="shared" si="55"/>
        <v>-</v>
      </c>
      <c r="L118" s="653"/>
      <c r="M118" s="338" t="e">
        <f>RANK(K118, K$107:$K$121)</f>
        <v>#VALUE!</v>
      </c>
      <c r="N118" s="637"/>
      <c r="O118" s="637"/>
      <c r="P118" s="490"/>
      <c r="Q118" s="491"/>
      <c r="R118" s="491"/>
      <c r="S118" s="490"/>
      <c r="T118" s="633"/>
      <c r="U118" s="490"/>
      <c r="V118" s="491"/>
      <c r="W118" s="491"/>
      <c r="X118" s="490"/>
      <c r="Y118" s="633"/>
      <c r="Z118" s="490"/>
      <c r="AA118" s="491"/>
      <c r="AB118" s="491"/>
      <c r="AC118" s="490"/>
      <c r="AD118" s="633"/>
      <c r="AE118" s="490"/>
      <c r="AF118" s="491"/>
      <c r="AG118" s="491"/>
      <c r="AH118" s="490"/>
      <c r="AI118" s="633"/>
      <c r="AJ118" s="490"/>
      <c r="AK118" s="491"/>
      <c r="AL118" s="491"/>
      <c r="AM118" s="490"/>
      <c r="AN118" s="633"/>
      <c r="AO118" s="490"/>
      <c r="AP118" s="491"/>
      <c r="AQ118" s="491"/>
      <c r="AR118" s="490"/>
      <c r="AS118" s="633"/>
      <c r="AT118" s="490"/>
      <c r="AU118" s="491"/>
      <c r="AV118" s="491"/>
      <c r="AW118" s="490"/>
      <c r="AX118" s="633"/>
      <c r="AZ118" s="364" t="e">
        <f t="shared" si="56"/>
        <v>#N/A</v>
      </c>
      <c r="BA118" s="694"/>
    </row>
    <row r="119" spans="2:53">
      <c r="B119" s="672"/>
      <c r="C119" s="337">
        <v>13</v>
      </c>
      <c r="D119" s="341"/>
      <c r="E119" s="341"/>
      <c r="F119" s="341"/>
      <c r="G119" s="176"/>
      <c r="H119" s="651"/>
      <c r="I119" s="352" t="str">
        <f t="shared" si="53"/>
        <v>-</v>
      </c>
      <c r="J119" s="352" t="str">
        <f t="shared" si="54"/>
        <v>-</v>
      </c>
      <c r="K119" s="194" t="str">
        <f t="shared" si="55"/>
        <v>-</v>
      </c>
      <c r="L119" s="653"/>
      <c r="M119" s="338" t="e">
        <f>RANK(K119, K$107:$K$121)</f>
        <v>#VALUE!</v>
      </c>
      <c r="N119" s="637"/>
      <c r="O119" s="637"/>
      <c r="P119" s="490"/>
      <c r="Q119" s="491"/>
      <c r="R119" s="491"/>
      <c r="S119" s="490"/>
      <c r="T119" s="633"/>
      <c r="U119" s="490"/>
      <c r="V119" s="491"/>
      <c r="W119" s="491"/>
      <c r="X119" s="490"/>
      <c r="Y119" s="633"/>
      <c r="Z119" s="490"/>
      <c r="AA119" s="491"/>
      <c r="AB119" s="491"/>
      <c r="AC119" s="490"/>
      <c r="AD119" s="633"/>
      <c r="AE119" s="490"/>
      <c r="AF119" s="491"/>
      <c r="AG119" s="491"/>
      <c r="AH119" s="490"/>
      <c r="AI119" s="633"/>
      <c r="AJ119" s="490"/>
      <c r="AK119" s="491"/>
      <c r="AL119" s="491"/>
      <c r="AM119" s="490"/>
      <c r="AN119" s="633"/>
      <c r="AO119" s="490"/>
      <c r="AP119" s="491"/>
      <c r="AQ119" s="491"/>
      <c r="AR119" s="490"/>
      <c r="AS119" s="633"/>
      <c r="AT119" s="490"/>
      <c r="AU119" s="491"/>
      <c r="AV119" s="491"/>
      <c r="AW119" s="490"/>
      <c r="AX119" s="633"/>
      <c r="AZ119" s="364" t="e">
        <f t="shared" si="56"/>
        <v>#N/A</v>
      </c>
      <c r="BA119" s="694"/>
    </row>
    <row r="120" spans="2:53">
      <c r="B120" s="672"/>
      <c r="C120" s="337">
        <v>14</v>
      </c>
      <c r="D120" s="341"/>
      <c r="E120" s="341"/>
      <c r="F120" s="341"/>
      <c r="G120" s="176"/>
      <c r="H120" s="651"/>
      <c r="I120" s="352" t="str">
        <f t="shared" si="53"/>
        <v>-</v>
      </c>
      <c r="J120" s="352" t="str">
        <f t="shared" si="54"/>
        <v>-</v>
      </c>
      <c r="K120" s="194" t="str">
        <f t="shared" si="55"/>
        <v>-</v>
      </c>
      <c r="L120" s="653"/>
      <c r="M120" s="338" t="e">
        <f>RANK(K120, K$107:$K$121)</f>
        <v>#VALUE!</v>
      </c>
      <c r="N120" s="637"/>
      <c r="O120" s="637"/>
      <c r="P120" s="490"/>
      <c r="Q120" s="491"/>
      <c r="R120" s="491"/>
      <c r="S120" s="490"/>
      <c r="T120" s="633"/>
      <c r="U120" s="490"/>
      <c r="V120" s="491"/>
      <c r="W120" s="491"/>
      <c r="X120" s="490"/>
      <c r="Y120" s="633"/>
      <c r="Z120" s="490"/>
      <c r="AA120" s="491"/>
      <c r="AB120" s="491"/>
      <c r="AC120" s="490"/>
      <c r="AD120" s="633"/>
      <c r="AE120" s="490"/>
      <c r="AF120" s="491"/>
      <c r="AG120" s="491"/>
      <c r="AH120" s="490"/>
      <c r="AI120" s="633"/>
      <c r="AJ120" s="490"/>
      <c r="AK120" s="491"/>
      <c r="AL120" s="491"/>
      <c r="AM120" s="490"/>
      <c r="AN120" s="633"/>
      <c r="AO120" s="490"/>
      <c r="AP120" s="491"/>
      <c r="AQ120" s="491"/>
      <c r="AR120" s="490"/>
      <c r="AS120" s="633"/>
      <c r="AT120" s="490"/>
      <c r="AU120" s="491"/>
      <c r="AV120" s="491"/>
      <c r="AW120" s="490"/>
      <c r="AX120" s="633"/>
      <c r="AZ120" s="364" t="e">
        <f t="shared" si="56"/>
        <v>#N/A</v>
      </c>
      <c r="BA120" s="694"/>
    </row>
    <row r="121" spans="2:53">
      <c r="B121" s="672"/>
      <c r="C121" s="337">
        <v>15</v>
      </c>
      <c r="D121" s="341"/>
      <c r="E121" s="341"/>
      <c r="F121" s="341"/>
      <c r="G121" s="341"/>
      <c r="H121" s="708"/>
      <c r="I121" s="352" t="str">
        <f t="shared" si="53"/>
        <v>-</v>
      </c>
      <c r="J121" s="352" t="str">
        <f t="shared" si="54"/>
        <v>-</v>
      </c>
      <c r="K121" s="194" t="str">
        <f t="shared" si="55"/>
        <v>-</v>
      </c>
      <c r="L121" s="654"/>
      <c r="M121" s="338" t="e">
        <f>RANK(K121, K$107:$K$121)</f>
        <v>#VALUE!</v>
      </c>
      <c r="N121" s="637"/>
      <c r="O121" s="637"/>
      <c r="P121" s="490"/>
      <c r="Q121" s="491"/>
      <c r="R121" s="491"/>
      <c r="S121" s="490"/>
      <c r="T121" s="634"/>
      <c r="U121" s="490"/>
      <c r="V121" s="491"/>
      <c r="W121" s="491"/>
      <c r="X121" s="490"/>
      <c r="Y121" s="634"/>
      <c r="Z121" s="490"/>
      <c r="AA121" s="491"/>
      <c r="AB121" s="491"/>
      <c r="AC121" s="490"/>
      <c r="AD121" s="634"/>
      <c r="AE121" s="490"/>
      <c r="AF121" s="491"/>
      <c r="AG121" s="491"/>
      <c r="AH121" s="490"/>
      <c r="AI121" s="634"/>
      <c r="AJ121" s="490"/>
      <c r="AK121" s="491"/>
      <c r="AL121" s="491"/>
      <c r="AM121" s="490"/>
      <c r="AN121" s="634"/>
      <c r="AO121" s="490"/>
      <c r="AP121" s="491"/>
      <c r="AQ121" s="491"/>
      <c r="AR121" s="490"/>
      <c r="AS121" s="634"/>
      <c r="AT121" s="490"/>
      <c r="AU121" s="491"/>
      <c r="AV121" s="491"/>
      <c r="AW121" s="490"/>
      <c r="AX121" s="634"/>
      <c r="AZ121" s="364" t="e">
        <f t="shared" si="56"/>
        <v>#N/A</v>
      </c>
      <c r="BA121" s="694"/>
    </row>
    <row r="123" spans="2:53" ht="15.75">
      <c r="B123" s="645" t="s">
        <v>463</v>
      </c>
      <c r="C123" s="646"/>
      <c r="D123" s="646"/>
      <c r="E123" s="646"/>
      <c r="F123" s="646"/>
      <c r="G123" s="646"/>
      <c r="H123" s="647"/>
      <c r="I123" s="299"/>
      <c r="J123" s="299"/>
      <c r="K123" s="299"/>
      <c r="L123" s="299"/>
      <c r="M123" s="300"/>
    </row>
    <row r="124" spans="2:53" ht="15.75">
      <c r="B124" s="648"/>
      <c r="C124" s="648"/>
      <c r="D124" s="648"/>
      <c r="E124" s="648"/>
      <c r="F124" s="648"/>
      <c r="G124" s="648"/>
      <c r="H124" s="648"/>
      <c r="I124" s="301"/>
      <c r="J124" s="301"/>
      <c r="K124" s="301"/>
      <c r="L124" s="301"/>
      <c r="M124" s="302"/>
    </row>
    <row r="125" spans="2:53">
      <c r="B125" s="637" t="s">
        <v>464</v>
      </c>
      <c r="C125" s="637" t="s">
        <v>465</v>
      </c>
      <c r="D125" s="637"/>
      <c r="E125" s="637" t="s">
        <v>466</v>
      </c>
      <c r="F125" s="637"/>
      <c r="G125" s="637"/>
      <c r="H125" s="669" t="s">
        <v>467</v>
      </c>
      <c r="I125" s="649" t="s">
        <v>468</v>
      </c>
      <c r="J125" s="649"/>
      <c r="K125" s="649"/>
      <c r="L125" s="702" t="s">
        <v>467</v>
      </c>
      <c r="M125" s="705" t="s">
        <v>469</v>
      </c>
    </row>
    <row r="126" spans="2:53">
      <c r="B126" s="637"/>
      <c r="C126" s="637"/>
      <c r="D126" s="637"/>
      <c r="E126" s="637" t="s">
        <v>470</v>
      </c>
      <c r="F126" s="637"/>
      <c r="G126" s="637"/>
      <c r="H126" s="670"/>
      <c r="I126" s="649" t="s">
        <v>470</v>
      </c>
      <c r="J126" s="649"/>
      <c r="K126" s="649"/>
      <c r="L126" s="703"/>
      <c r="M126" s="706"/>
    </row>
    <row r="127" spans="2:53">
      <c r="B127" s="637"/>
      <c r="C127" s="637"/>
      <c r="D127" s="637"/>
      <c r="E127" s="296" t="s">
        <v>471</v>
      </c>
      <c r="F127" s="296" t="s">
        <v>472</v>
      </c>
      <c r="G127" s="296" t="s">
        <v>473</v>
      </c>
      <c r="H127" s="671"/>
      <c r="I127" s="303" t="s">
        <v>471</v>
      </c>
      <c r="J127" s="303" t="s">
        <v>472</v>
      </c>
      <c r="K127" s="303" t="s">
        <v>473</v>
      </c>
      <c r="L127" s="704"/>
      <c r="M127" s="707"/>
    </row>
    <row r="128" spans="2:53">
      <c r="B128" s="695" t="s">
        <v>475</v>
      </c>
      <c r="C128" s="295">
        <v>1</v>
      </c>
      <c r="D128" s="220"/>
      <c r="E128" s="176"/>
      <c r="F128" s="295"/>
      <c r="G128" s="298"/>
      <c r="H128" s="696" t="e">
        <f>AVERAGE(G128:G142)</f>
        <v>#DIV/0!</v>
      </c>
      <c r="I128" s="193" t="e">
        <f t="shared" ref="I128:K134" si="58">AVERAGEIF($D$7:$D$121,$D128,I$7:I$121)</f>
        <v>#DIV/0!</v>
      </c>
      <c r="J128" s="193" t="e">
        <f t="shared" si="58"/>
        <v>#DIV/0!</v>
      </c>
      <c r="K128" s="193" t="e">
        <f>AVERAGEIF($D$7:$D$121,$D128,K$7:K$121)</f>
        <v>#DIV/0!</v>
      </c>
      <c r="L128" s="699" t="e">
        <f>AVERAGE(K128:K142)</f>
        <v>#DIV/0!</v>
      </c>
      <c r="M128" s="193" t="e">
        <f>RANK(K128, K$128:$K$142)</f>
        <v>#DIV/0!</v>
      </c>
    </row>
    <row r="129" spans="2:39">
      <c r="B129" s="643"/>
      <c r="C129" s="295">
        <v>2</v>
      </c>
      <c r="D129" s="220"/>
      <c r="E129" s="176"/>
      <c r="F129" s="295"/>
      <c r="G129" s="298"/>
      <c r="H129" s="697"/>
      <c r="I129" s="193" t="e">
        <f t="shared" si="58"/>
        <v>#DIV/0!</v>
      </c>
      <c r="J129" s="193" t="e">
        <f t="shared" si="58"/>
        <v>#DIV/0!</v>
      </c>
      <c r="K129" s="193" t="e">
        <f t="shared" si="58"/>
        <v>#DIV/0!</v>
      </c>
      <c r="L129" s="700"/>
      <c r="M129" s="193" t="e">
        <f>RANK(K129, K$128:$K$142)</f>
        <v>#DIV/0!</v>
      </c>
      <c r="N129" s="107"/>
      <c r="O129" s="107"/>
      <c r="P129" s="107"/>
      <c r="Q129" s="107"/>
      <c r="R129" s="107"/>
      <c r="S129" s="107"/>
      <c r="T129" s="107"/>
      <c r="X129" s="107"/>
      <c r="AC129" s="107"/>
      <c r="AH129" s="107"/>
      <c r="AM129" s="107"/>
    </row>
    <row r="130" spans="2:39">
      <c r="B130" s="643"/>
      <c r="C130" s="295">
        <v>3</v>
      </c>
      <c r="D130" s="220"/>
      <c r="E130" s="176"/>
      <c r="F130" s="295"/>
      <c r="G130" s="298"/>
      <c r="H130" s="697"/>
      <c r="I130" s="193" t="e">
        <f t="shared" si="58"/>
        <v>#DIV/0!</v>
      </c>
      <c r="J130" s="193" t="e">
        <f t="shared" si="58"/>
        <v>#DIV/0!</v>
      </c>
      <c r="K130" s="193" t="e">
        <f t="shared" si="58"/>
        <v>#DIV/0!</v>
      </c>
      <c r="L130" s="700"/>
      <c r="M130" s="193" t="e">
        <f>RANK(K130, K$128:$K$142)</f>
        <v>#DIV/0!</v>
      </c>
      <c r="N130" s="107"/>
      <c r="O130" s="107"/>
      <c r="P130" s="107"/>
      <c r="Q130" s="107"/>
      <c r="R130" s="107"/>
      <c r="S130" s="107"/>
      <c r="T130" s="107"/>
      <c r="X130" s="107"/>
      <c r="AC130" s="107"/>
      <c r="AH130" s="107"/>
      <c r="AM130" s="107"/>
    </row>
    <row r="131" spans="2:39">
      <c r="B131" s="643"/>
      <c r="C131" s="295">
        <v>4</v>
      </c>
      <c r="D131" s="220"/>
      <c r="E131" s="176"/>
      <c r="F131" s="295"/>
      <c r="G131" s="298"/>
      <c r="H131" s="697"/>
      <c r="I131" s="193" t="e">
        <f t="shared" si="58"/>
        <v>#DIV/0!</v>
      </c>
      <c r="J131" s="193" t="e">
        <f t="shared" si="58"/>
        <v>#DIV/0!</v>
      </c>
      <c r="K131" s="193" t="e">
        <f t="shared" si="58"/>
        <v>#DIV/0!</v>
      </c>
      <c r="L131" s="700"/>
      <c r="M131" s="193" t="e">
        <f>RANK(K131, K$128:$K$142)</f>
        <v>#DIV/0!</v>
      </c>
      <c r="N131" s="107"/>
      <c r="O131" s="107"/>
      <c r="P131" s="107"/>
      <c r="Q131" s="107"/>
      <c r="R131" s="107"/>
      <c r="S131" s="107"/>
      <c r="T131" s="107"/>
      <c r="X131" s="107"/>
      <c r="AC131" s="107"/>
      <c r="AH131" s="107"/>
      <c r="AM131" s="107"/>
    </row>
    <row r="132" spans="2:39">
      <c r="B132" s="643"/>
      <c r="C132" s="295">
        <v>5</v>
      </c>
      <c r="D132" s="220"/>
      <c r="E132" s="176"/>
      <c r="F132" s="295"/>
      <c r="G132" s="298"/>
      <c r="H132" s="697"/>
      <c r="I132" s="193" t="e">
        <f t="shared" si="58"/>
        <v>#DIV/0!</v>
      </c>
      <c r="J132" s="193" t="e">
        <f t="shared" si="58"/>
        <v>#DIV/0!</v>
      </c>
      <c r="K132" s="193" t="e">
        <f t="shared" si="58"/>
        <v>#DIV/0!</v>
      </c>
      <c r="L132" s="700"/>
      <c r="M132" s="193" t="e">
        <f>RANK(K132, K$128:$K$142)</f>
        <v>#DIV/0!</v>
      </c>
      <c r="N132" s="107"/>
      <c r="O132" s="107"/>
      <c r="P132" s="107"/>
      <c r="Q132" s="107"/>
      <c r="R132" s="107"/>
      <c r="S132" s="107"/>
      <c r="T132" s="107"/>
      <c r="X132" s="107"/>
      <c r="AC132" s="107"/>
      <c r="AH132" s="107"/>
      <c r="AM132" s="107"/>
    </row>
    <row r="133" spans="2:39">
      <c r="B133" s="643"/>
      <c r="C133" s="295">
        <v>6</v>
      </c>
      <c r="D133" s="304"/>
      <c r="E133" s="176"/>
      <c r="F133" s="295"/>
      <c r="G133" s="298"/>
      <c r="H133" s="697"/>
      <c r="I133" s="193" t="e">
        <f t="shared" si="58"/>
        <v>#DIV/0!</v>
      </c>
      <c r="J133" s="193" t="e">
        <f t="shared" si="58"/>
        <v>#DIV/0!</v>
      </c>
      <c r="K133" s="193" t="e">
        <f t="shared" si="58"/>
        <v>#DIV/0!</v>
      </c>
      <c r="L133" s="700"/>
      <c r="M133" s="193" t="e">
        <f>RANK(K133, K$128:$K$142)</f>
        <v>#DIV/0!</v>
      </c>
      <c r="N133" s="107"/>
      <c r="O133" s="107"/>
      <c r="P133" s="107"/>
      <c r="Q133" s="107"/>
      <c r="R133" s="107"/>
      <c r="S133" s="107"/>
      <c r="T133" s="107"/>
      <c r="X133" s="107"/>
      <c r="AC133" s="107"/>
      <c r="AH133" s="107"/>
      <c r="AM133" s="107"/>
    </row>
    <row r="134" spans="2:39">
      <c r="B134" s="643"/>
      <c r="C134" s="295">
        <v>7</v>
      </c>
      <c r="D134" s="220"/>
      <c r="E134" s="176"/>
      <c r="F134" s="295"/>
      <c r="G134" s="298"/>
      <c r="H134" s="697"/>
      <c r="I134" s="193" t="e">
        <f t="shared" si="58"/>
        <v>#DIV/0!</v>
      </c>
      <c r="J134" s="193" t="e">
        <f t="shared" si="58"/>
        <v>#DIV/0!</v>
      </c>
      <c r="K134" s="193" t="e">
        <f t="shared" si="58"/>
        <v>#DIV/0!</v>
      </c>
      <c r="L134" s="700"/>
      <c r="M134" s="193" t="e">
        <f>RANK(K134, K$128:$K$142)</f>
        <v>#DIV/0!</v>
      </c>
      <c r="N134" s="107"/>
      <c r="O134" s="107"/>
      <c r="P134" s="107"/>
      <c r="Q134" s="107"/>
      <c r="R134" s="107"/>
      <c r="S134" s="107"/>
      <c r="T134" s="107"/>
      <c r="X134" s="107"/>
      <c r="AC134" s="107"/>
      <c r="AH134" s="107"/>
      <c r="AM134" s="107"/>
    </row>
    <row r="135" spans="2:39">
      <c r="B135" s="643"/>
      <c r="C135" s="295">
        <v>8</v>
      </c>
      <c r="D135" s="220"/>
      <c r="E135" s="176"/>
      <c r="F135" s="295"/>
      <c r="G135" s="298"/>
      <c r="H135" s="697"/>
      <c r="I135" s="193"/>
      <c r="J135" s="193"/>
      <c r="K135" s="193"/>
      <c r="L135" s="700"/>
      <c r="M135" s="193" t="e">
        <f>RANK(K135, K$128:$K$142)</f>
        <v>#DIV/0!</v>
      </c>
      <c r="N135" s="107"/>
      <c r="O135" s="107"/>
      <c r="P135" s="107"/>
      <c r="Q135" s="107"/>
      <c r="R135" s="107"/>
      <c r="S135" s="107"/>
      <c r="T135" s="107"/>
      <c r="X135" s="107"/>
      <c r="AC135" s="107"/>
      <c r="AH135" s="107"/>
      <c r="AM135" s="107"/>
    </row>
    <row r="136" spans="2:39">
      <c r="B136" s="643"/>
      <c r="C136" s="295">
        <v>9</v>
      </c>
      <c r="D136" s="220"/>
      <c r="E136" s="295"/>
      <c r="F136" s="295"/>
      <c r="G136" s="295"/>
      <c r="H136" s="697"/>
      <c r="I136" s="193"/>
      <c r="J136" s="193"/>
      <c r="K136" s="193"/>
      <c r="L136" s="700"/>
      <c r="M136" s="193" t="e">
        <f>RANK(K136, K$128:$K$142)</f>
        <v>#DIV/0!</v>
      </c>
      <c r="N136" s="107"/>
      <c r="O136" s="107"/>
      <c r="P136" s="107"/>
      <c r="Q136" s="107"/>
      <c r="R136" s="107"/>
      <c r="S136" s="107"/>
      <c r="T136" s="107"/>
      <c r="X136" s="107"/>
      <c r="AC136" s="107"/>
      <c r="AH136" s="107"/>
      <c r="AM136" s="107"/>
    </row>
    <row r="137" spans="2:39">
      <c r="B137" s="643"/>
      <c r="C137" s="295">
        <v>10</v>
      </c>
      <c r="D137" s="220"/>
      <c r="E137" s="295"/>
      <c r="F137" s="295"/>
      <c r="G137" s="295"/>
      <c r="H137" s="697"/>
      <c r="I137" s="193"/>
      <c r="J137" s="193"/>
      <c r="K137" s="193"/>
      <c r="L137" s="700"/>
      <c r="M137" s="193" t="e">
        <f>RANK(K137, K$128:$K$142)</f>
        <v>#DIV/0!</v>
      </c>
      <c r="N137" s="107"/>
      <c r="O137" s="107"/>
      <c r="P137" s="107"/>
      <c r="Q137" s="107"/>
      <c r="R137" s="107"/>
      <c r="S137" s="107"/>
      <c r="T137" s="107"/>
      <c r="X137" s="107"/>
      <c r="AC137" s="107"/>
      <c r="AH137" s="107"/>
      <c r="AM137" s="107"/>
    </row>
    <row r="138" spans="2:39">
      <c r="B138" s="643"/>
      <c r="C138" s="295">
        <v>11</v>
      </c>
      <c r="D138" s="220"/>
      <c r="E138" s="295"/>
      <c r="F138" s="295"/>
      <c r="G138" s="295"/>
      <c r="H138" s="697"/>
      <c r="I138" s="193"/>
      <c r="J138" s="193"/>
      <c r="K138" s="193"/>
      <c r="L138" s="700"/>
      <c r="M138" s="193" t="e">
        <f>RANK(K138, K$128:$K$142)</f>
        <v>#DIV/0!</v>
      </c>
      <c r="N138" s="107"/>
      <c r="O138" s="107"/>
      <c r="P138" s="107"/>
      <c r="Q138" s="107"/>
      <c r="R138" s="107"/>
      <c r="S138" s="107"/>
      <c r="T138" s="107"/>
      <c r="X138" s="107"/>
      <c r="AC138" s="107"/>
      <c r="AH138" s="107"/>
      <c r="AM138" s="107"/>
    </row>
    <row r="139" spans="2:39">
      <c r="B139" s="643"/>
      <c r="C139" s="295">
        <v>12</v>
      </c>
      <c r="D139" s="220"/>
      <c r="E139" s="295"/>
      <c r="F139" s="295"/>
      <c r="G139" s="295"/>
      <c r="H139" s="697"/>
      <c r="I139" s="193"/>
      <c r="J139" s="193"/>
      <c r="K139" s="193"/>
      <c r="L139" s="700"/>
      <c r="M139" s="193" t="e">
        <f>RANK(K139, K$128:$K$142)</f>
        <v>#DIV/0!</v>
      </c>
      <c r="N139" s="107"/>
      <c r="O139" s="107"/>
      <c r="P139" s="107"/>
      <c r="Q139" s="107"/>
      <c r="R139" s="107"/>
      <c r="S139" s="107"/>
      <c r="T139" s="107"/>
      <c r="X139" s="107"/>
      <c r="AC139" s="107"/>
      <c r="AH139" s="107"/>
      <c r="AM139" s="107"/>
    </row>
    <row r="140" spans="2:39">
      <c r="B140" s="643"/>
      <c r="C140" s="295">
        <v>13</v>
      </c>
      <c r="D140" s="220"/>
      <c r="E140" s="295"/>
      <c r="F140" s="295"/>
      <c r="G140" s="295"/>
      <c r="H140" s="697"/>
      <c r="I140" s="193"/>
      <c r="J140" s="193"/>
      <c r="K140" s="193"/>
      <c r="L140" s="700"/>
      <c r="M140" s="193" t="e">
        <f>RANK(K140, K$128:$K$142)</f>
        <v>#DIV/0!</v>
      </c>
      <c r="N140" s="107"/>
      <c r="O140" s="107"/>
      <c r="P140" s="107"/>
      <c r="Q140" s="107"/>
      <c r="R140" s="107"/>
      <c r="S140" s="107"/>
      <c r="T140" s="107"/>
      <c r="X140" s="107"/>
      <c r="AC140" s="107"/>
      <c r="AH140" s="107"/>
      <c r="AM140" s="107"/>
    </row>
    <row r="141" spans="2:39">
      <c r="B141" s="643"/>
      <c r="C141" s="295">
        <v>14</v>
      </c>
      <c r="D141" s="220"/>
      <c r="E141" s="295"/>
      <c r="F141" s="295"/>
      <c r="G141" s="295"/>
      <c r="H141" s="697"/>
      <c r="I141" s="193"/>
      <c r="J141" s="193"/>
      <c r="K141" s="193"/>
      <c r="L141" s="700"/>
      <c r="M141" s="193" t="e">
        <f>RANK(K141, K$128:$K$142)</f>
        <v>#DIV/0!</v>
      </c>
      <c r="N141" s="107"/>
      <c r="O141" s="107"/>
      <c r="P141" s="107"/>
      <c r="Q141" s="107"/>
      <c r="R141" s="107"/>
      <c r="S141" s="107"/>
      <c r="T141" s="107"/>
      <c r="X141" s="107"/>
      <c r="AC141" s="107"/>
      <c r="AH141" s="107"/>
      <c r="AM141" s="107"/>
    </row>
    <row r="142" spans="2:39">
      <c r="B142" s="643"/>
      <c r="C142" s="295">
        <v>15</v>
      </c>
      <c r="D142" s="220"/>
      <c r="E142" s="295"/>
      <c r="F142" s="295"/>
      <c r="G142" s="295"/>
      <c r="H142" s="698"/>
      <c r="I142" s="193"/>
      <c r="J142" s="193"/>
      <c r="K142" s="193"/>
      <c r="L142" s="701"/>
      <c r="M142" s="193" t="e">
        <f>RANK(K142, K$128:$K$142)</f>
        <v>#DIV/0!</v>
      </c>
      <c r="N142" s="107"/>
      <c r="O142" s="107"/>
      <c r="P142" s="107"/>
      <c r="Q142" s="107"/>
      <c r="R142" s="107"/>
      <c r="S142" s="107"/>
      <c r="T142" s="107"/>
      <c r="X142" s="107"/>
      <c r="AC142" s="107"/>
      <c r="AH142" s="107"/>
      <c r="AM142" s="107"/>
    </row>
  </sheetData>
  <mergeCells count="379"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B128:B142"/>
    <mergeCell ref="H128:H142"/>
    <mergeCell ref="L128:L142"/>
    <mergeCell ref="AX107:AX121"/>
    <mergeCell ref="B123:H124"/>
    <mergeCell ref="B125:B127"/>
    <mergeCell ref="C125:D127"/>
    <mergeCell ref="E125:G125"/>
    <mergeCell ref="H125:H127"/>
    <mergeCell ref="I125:K125"/>
    <mergeCell ref="L125:L127"/>
    <mergeCell ref="M125:M127"/>
    <mergeCell ref="E126:G126"/>
    <mergeCell ref="I126:K126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BA87:BA101"/>
    <mergeCell ref="BA104:BA106"/>
    <mergeCell ref="BA107:BA121"/>
    <mergeCell ref="BA4:BA6"/>
    <mergeCell ref="BA7:BA21"/>
    <mergeCell ref="BA24:BA26"/>
    <mergeCell ref="BA27:BA41"/>
    <mergeCell ref="BA44:BA46"/>
    <mergeCell ref="BA47:BA61"/>
    <mergeCell ref="BA64:BA66"/>
    <mergeCell ref="BA67:BA81"/>
    <mergeCell ref="BA84:BA86"/>
  </mergeCells>
  <phoneticPr fontId="13" type="noConversion"/>
  <pageMargins left="0.7" right="0.7" top="0.75" bottom="0.75" header="0.3" footer="0.3"/>
  <pageSetup paperSize="9"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FFCC"/>
  </sheetPr>
  <dimension ref="A1:BA142"/>
  <sheetViews>
    <sheetView zoomScale="40" zoomScaleNormal="40" workbookViewId="0">
      <pane xSplit="15" topLeftCell="P1" activePane="topRight" state="frozen"/>
      <selection activeCell="P3" sqref="P3:T3"/>
      <selection pane="topRight" activeCell="T27" sqref="S27:T41"/>
    </sheetView>
  </sheetViews>
  <sheetFormatPr defaultColWidth="8.85546875" defaultRowHeight="12.75"/>
  <cols>
    <col min="1" max="1" width="5.5703125" style="107" customWidth="1"/>
    <col min="2" max="2" width="12.42578125" style="107" customWidth="1"/>
    <col min="3" max="3" width="8.85546875" style="106"/>
    <col min="4" max="4" width="26.42578125" style="106" customWidth="1"/>
    <col min="5" max="7" width="8.42578125" style="106" customWidth="1"/>
    <col min="8" max="8" width="11.140625" style="106" bestFit="1" customWidth="1"/>
    <col min="9" max="12" width="11.140625" style="106" customWidth="1"/>
    <col min="13" max="13" width="13.5703125" style="106" customWidth="1"/>
    <col min="14" max="14" width="9.85546875" style="106" customWidth="1"/>
    <col min="15" max="15" width="7.140625" style="106" customWidth="1"/>
    <col min="16" max="18" width="12.85546875" style="106" customWidth="1"/>
    <col min="19" max="19" width="5.42578125" style="106" customWidth="1"/>
    <col min="20" max="20" width="12.85546875" style="106" customWidth="1"/>
    <col min="21" max="23" width="12.85546875" style="107" customWidth="1"/>
    <col min="24" max="24" width="5.42578125" style="106" customWidth="1"/>
    <col min="25" max="28" width="12.85546875" style="107" customWidth="1"/>
    <col min="29" max="29" width="5.42578125" style="106" customWidth="1"/>
    <col min="30" max="30" width="12.85546875" style="107" customWidth="1"/>
    <col min="31" max="33" width="12.5703125" style="107" customWidth="1"/>
    <col min="34" max="34" width="5.42578125" style="106" customWidth="1"/>
    <col min="35" max="35" width="13" style="107" customWidth="1"/>
    <col min="36" max="38" width="12.5703125" style="107" customWidth="1"/>
    <col min="39" max="39" width="5.42578125" style="106" customWidth="1"/>
    <col min="40" max="40" width="13" style="107" customWidth="1"/>
    <col min="41" max="43" width="13.140625" style="107" customWidth="1"/>
    <col min="44" max="44" width="5.42578125" style="107" customWidth="1"/>
    <col min="45" max="48" width="13.140625" style="107" customWidth="1"/>
    <col min="49" max="49" width="5.42578125" style="107" customWidth="1"/>
    <col min="50" max="50" width="13.140625" style="107" customWidth="1"/>
    <col min="51" max="51" width="8.85546875" style="107"/>
    <col min="52" max="52" width="5.42578125" style="107" customWidth="1"/>
    <col min="53" max="53" width="13.140625" style="107" customWidth="1"/>
    <col min="54" max="16384" width="8.85546875" style="107"/>
  </cols>
  <sheetData>
    <row r="1" spans="1:53" ht="24">
      <c r="A1" s="75"/>
      <c r="B1" s="215" t="s">
        <v>313</v>
      </c>
      <c r="C1" s="214">
        <f>AVERAGE(L7,L27,L47,L67,L87,L107)</f>
        <v>212.25955965487793</v>
      </c>
    </row>
    <row r="2" spans="1:53" ht="15.75">
      <c r="A2" s="81"/>
      <c r="B2" s="665" t="s">
        <v>162</v>
      </c>
      <c r="C2" s="665"/>
      <c r="D2" s="665"/>
      <c r="E2" s="665"/>
      <c r="F2" s="665"/>
      <c r="G2" s="665"/>
      <c r="H2" s="665"/>
      <c r="I2" s="276"/>
      <c r="J2" s="276"/>
      <c r="K2" s="276"/>
      <c r="L2" s="276"/>
      <c r="M2" s="191"/>
      <c r="N2" s="639" t="s">
        <v>156</v>
      </c>
      <c r="O2" s="639" t="s">
        <v>155</v>
      </c>
      <c r="P2" s="664">
        <v>46294</v>
      </c>
      <c r="Q2" s="643"/>
      <c r="R2" s="643"/>
      <c r="S2" s="643"/>
      <c r="T2" s="643"/>
      <c r="U2" s="661">
        <f>P2+1</f>
        <v>46295</v>
      </c>
      <c r="V2" s="662"/>
      <c r="W2" s="662"/>
      <c r="X2" s="662"/>
      <c r="Y2" s="663"/>
      <c r="Z2" s="661">
        <f>U2+1</f>
        <v>46296</v>
      </c>
      <c r="AA2" s="662"/>
      <c r="AB2" s="662"/>
      <c r="AC2" s="662"/>
      <c r="AD2" s="663"/>
      <c r="AE2" s="661">
        <f>Z2+1</f>
        <v>46297</v>
      </c>
      <c r="AF2" s="662"/>
      <c r="AG2" s="662"/>
      <c r="AH2" s="662"/>
      <c r="AI2" s="663"/>
      <c r="AJ2" s="661">
        <f>AE2+1</f>
        <v>46298</v>
      </c>
      <c r="AK2" s="662"/>
      <c r="AL2" s="662"/>
      <c r="AM2" s="662"/>
      <c r="AN2" s="663"/>
      <c r="AO2" s="661">
        <f>AJ2+1</f>
        <v>46299</v>
      </c>
      <c r="AP2" s="662"/>
      <c r="AQ2" s="662"/>
      <c r="AR2" s="662"/>
      <c r="AS2" s="663"/>
      <c r="AT2" s="661">
        <f>AO2+1</f>
        <v>46300</v>
      </c>
      <c r="AU2" s="662"/>
      <c r="AV2" s="662"/>
      <c r="AW2" s="662"/>
      <c r="AX2" s="663"/>
    </row>
    <row r="3" spans="1:53" ht="15.75">
      <c r="A3" s="81"/>
      <c r="B3" s="709"/>
      <c r="C3" s="709"/>
      <c r="D3" s="709"/>
      <c r="E3" s="709"/>
      <c r="F3" s="709"/>
      <c r="G3" s="709"/>
      <c r="H3" s="709"/>
      <c r="I3" s="277"/>
      <c r="J3" s="277"/>
      <c r="K3" s="277"/>
      <c r="L3" s="277"/>
      <c r="M3" s="192"/>
      <c r="N3" s="641"/>
      <c r="O3" s="641"/>
      <c r="P3" s="664" t="s">
        <v>158</v>
      </c>
      <c r="Q3" s="643"/>
      <c r="R3" s="643"/>
      <c r="S3" s="643"/>
      <c r="T3" s="643"/>
      <c r="U3" s="664" t="s">
        <v>114</v>
      </c>
      <c r="V3" s="643"/>
      <c r="W3" s="643"/>
      <c r="X3" s="643"/>
      <c r="Y3" s="643"/>
      <c r="Z3" s="664" t="s">
        <v>159</v>
      </c>
      <c r="AA3" s="643"/>
      <c r="AB3" s="643"/>
      <c r="AC3" s="643"/>
      <c r="AD3" s="643"/>
      <c r="AE3" s="664" t="s">
        <v>157</v>
      </c>
      <c r="AF3" s="643"/>
      <c r="AG3" s="643"/>
      <c r="AH3" s="643"/>
      <c r="AI3" s="643"/>
      <c r="AJ3" s="664" t="s">
        <v>160</v>
      </c>
      <c r="AK3" s="643"/>
      <c r="AL3" s="643"/>
      <c r="AM3" s="643"/>
      <c r="AN3" s="643"/>
      <c r="AO3" s="664" t="s">
        <v>115</v>
      </c>
      <c r="AP3" s="643"/>
      <c r="AQ3" s="643"/>
      <c r="AR3" s="643"/>
      <c r="AS3" s="643"/>
      <c r="AT3" s="664" t="s">
        <v>161</v>
      </c>
      <c r="AU3" s="643"/>
      <c r="AV3" s="643"/>
      <c r="AW3" s="643"/>
      <c r="AX3" s="643"/>
    </row>
    <row r="4" spans="1:53" ht="14.25">
      <c r="A4" s="81"/>
      <c r="B4" s="637" t="s">
        <v>743</v>
      </c>
      <c r="C4" s="637" t="s">
        <v>370</v>
      </c>
      <c r="D4" s="637"/>
      <c r="E4" s="637" t="s">
        <v>361</v>
      </c>
      <c r="F4" s="637"/>
      <c r="G4" s="637"/>
      <c r="H4" s="669" t="s">
        <v>357</v>
      </c>
      <c r="I4" s="637" t="s">
        <v>362</v>
      </c>
      <c r="J4" s="637"/>
      <c r="K4" s="637"/>
      <c r="L4" s="669" t="s">
        <v>357</v>
      </c>
      <c r="M4" s="639" t="s">
        <v>358</v>
      </c>
      <c r="N4" s="637"/>
      <c r="O4" s="637" t="s">
        <v>363</v>
      </c>
      <c r="P4" s="655" t="s">
        <v>359</v>
      </c>
      <c r="Q4" s="656"/>
      <c r="R4" s="656"/>
      <c r="S4" s="657"/>
      <c r="T4" s="637" t="s">
        <v>357</v>
      </c>
      <c r="U4" s="655" t="s">
        <v>359</v>
      </c>
      <c r="V4" s="656"/>
      <c r="W4" s="656"/>
      <c r="X4" s="657"/>
      <c r="Y4" s="637" t="s">
        <v>357</v>
      </c>
      <c r="Z4" s="655" t="s">
        <v>359</v>
      </c>
      <c r="AA4" s="656"/>
      <c r="AB4" s="656"/>
      <c r="AC4" s="657"/>
      <c r="AD4" s="637" t="s">
        <v>357</v>
      </c>
      <c r="AE4" s="655" t="s">
        <v>359</v>
      </c>
      <c r="AF4" s="656"/>
      <c r="AG4" s="656"/>
      <c r="AH4" s="657"/>
      <c r="AI4" s="637" t="s">
        <v>357</v>
      </c>
      <c r="AJ4" s="655" t="s">
        <v>359</v>
      </c>
      <c r="AK4" s="656"/>
      <c r="AL4" s="656"/>
      <c r="AM4" s="657"/>
      <c r="AN4" s="637" t="s">
        <v>357</v>
      </c>
      <c r="AO4" s="655" t="s">
        <v>359</v>
      </c>
      <c r="AP4" s="656"/>
      <c r="AQ4" s="656"/>
      <c r="AR4" s="657"/>
      <c r="AS4" s="637" t="s">
        <v>357</v>
      </c>
      <c r="AT4" s="655" t="s">
        <v>359</v>
      </c>
      <c r="AU4" s="656"/>
      <c r="AV4" s="656"/>
      <c r="AW4" s="657"/>
      <c r="AX4" s="637" t="s">
        <v>357</v>
      </c>
      <c r="BA4" s="637" t="s">
        <v>357</v>
      </c>
    </row>
    <row r="5" spans="1:53" ht="14.25">
      <c r="A5" s="81"/>
      <c r="B5" s="637"/>
      <c r="C5" s="637"/>
      <c r="D5" s="637"/>
      <c r="E5" s="637" t="s">
        <v>364</v>
      </c>
      <c r="F5" s="637"/>
      <c r="G5" s="637"/>
      <c r="H5" s="670"/>
      <c r="I5" s="637" t="s">
        <v>364</v>
      </c>
      <c r="J5" s="637"/>
      <c r="K5" s="637"/>
      <c r="L5" s="670"/>
      <c r="M5" s="640"/>
      <c r="N5" s="637"/>
      <c r="O5" s="637"/>
      <c r="P5" s="655" t="s">
        <v>365</v>
      </c>
      <c r="Q5" s="656"/>
      <c r="R5" s="656"/>
      <c r="S5" s="657"/>
      <c r="T5" s="637"/>
      <c r="U5" s="655" t="s">
        <v>365</v>
      </c>
      <c r="V5" s="656"/>
      <c r="W5" s="656"/>
      <c r="X5" s="657"/>
      <c r="Y5" s="637"/>
      <c r="Z5" s="655" t="s">
        <v>365</v>
      </c>
      <c r="AA5" s="656"/>
      <c r="AB5" s="656"/>
      <c r="AC5" s="657"/>
      <c r="AD5" s="637"/>
      <c r="AE5" s="655" t="s">
        <v>365</v>
      </c>
      <c r="AF5" s="656"/>
      <c r="AG5" s="656"/>
      <c r="AH5" s="657"/>
      <c r="AI5" s="637"/>
      <c r="AJ5" s="655" t="s">
        <v>365</v>
      </c>
      <c r="AK5" s="656"/>
      <c r="AL5" s="656"/>
      <c r="AM5" s="657"/>
      <c r="AN5" s="637"/>
      <c r="AO5" s="655" t="s">
        <v>365</v>
      </c>
      <c r="AP5" s="656"/>
      <c r="AQ5" s="656"/>
      <c r="AR5" s="657"/>
      <c r="AS5" s="637"/>
      <c r="AT5" s="655" t="s">
        <v>365</v>
      </c>
      <c r="AU5" s="656"/>
      <c r="AV5" s="656"/>
      <c r="AW5" s="657"/>
      <c r="AX5" s="637"/>
      <c r="BA5" s="637"/>
    </row>
    <row r="6" spans="1:53" ht="14.25">
      <c r="A6" s="79"/>
      <c r="B6" s="637"/>
      <c r="C6" s="637"/>
      <c r="D6" s="637"/>
      <c r="E6" s="551" t="s">
        <v>366</v>
      </c>
      <c r="F6" s="551" t="s">
        <v>367</v>
      </c>
      <c r="G6" s="551" t="s">
        <v>368</v>
      </c>
      <c r="H6" s="671"/>
      <c r="I6" s="551" t="s">
        <v>366</v>
      </c>
      <c r="J6" s="551" t="s">
        <v>367</v>
      </c>
      <c r="K6" s="551" t="s">
        <v>368</v>
      </c>
      <c r="L6" s="671"/>
      <c r="M6" s="641"/>
      <c r="N6" s="637"/>
      <c r="O6" s="637"/>
      <c r="P6" s="551" t="s">
        <v>366</v>
      </c>
      <c r="Q6" s="551" t="s">
        <v>367</v>
      </c>
      <c r="R6" s="551" t="s">
        <v>368</v>
      </c>
      <c r="S6" s="551" t="s">
        <v>358</v>
      </c>
      <c r="T6" s="637"/>
      <c r="U6" s="551" t="s">
        <v>366</v>
      </c>
      <c r="V6" s="551" t="s">
        <v>367</v>
      </c>
      <c r="W6" s="551" t="s">
        <v>368</v>
      </c>
      <c r="X6" s="551" t="s">
        <v>358</v>
      </c>
      <c r="Y6" s="637"/>
      <c r="Z6" s="551" t="s">
        <v>366</v>
      </c>
      <c r="AA6" s="551" t="s">
        <v>367</v>
      </c>
      <c r="AB6" s="551" t="s">
        <v>368</v>
      </c>
      <c r="AC6" s="551" t="s">
        <v>358</v>
      </c>
      <c r="AD6" s="637"/>
      <c r="AE6" s="551" t="s">
        <v>366</v>
      </c>
      <c r="AF6" s="551" t="s">
        <v>367</v>
      </c>
      <c r="AG6" s="551" t="s">
        <v>368</v>
      </c>
      <c r="AH6" s="551" t="s">
        <v>358</v>
      </c>
      <c r="AI6" s="637"/>
      <c r="AJ6" s="551" t="s">
        <v>366</v>
      </c>
      <c r="AK6" s="551" t="s">
        <v>367</v>
      </c>
      <c r="AL6" s="551" t="s">
        <v>368</v>
      </c>
      <c r="AM6" s="551" t="s">
        <v>358</v>
      </c>
      <c r="AN6" s="637"/>
      <c r="AO6" s="551" t="s">
        <v>366</v>
      </c>
      <c r="AP6" s="551" t="s">
        <v>367</v>
      </c>
      <c r="AQ6" s="551" t="s">
        <v>368</v>
      </c>
      <c r="AR6" s="551" t="s">
        <v>358</v>
      </c>
      <c r="AS6" s="637"/>
      <c r="AT6" s="551" t="s">
        <v>366</v>
      </c>
      <c r="AU6" s="551" t="s">
        <v>367</v>
      </c>
      <c r="AV6" s="551" t="s">
        <v>368</v>
      </c>
      <c r="AW6" s="551" t="s">
        <v>358</v>
      </c>
      <c r="AX6" s="637"/>
      <c r="AZ6" s="356" t="s">
        <v>358</v>
      </c>
      <c r="BA6" s="637"/>
    </row>
    <row r="7" spans="1:53" ht="14.25">
      <c r="A7" s="81"/>
      <c r="B7" s="695" t="s">
        <v>394</v>
      </c>
      <c r="C7" s="555">
        <v>1</v>
      </c>
      <c r="D7" s="340" t="s">
        <v>350</v>
      </c>
      <c r="E7" s="471">
        <v>4</v>
      </c>
      <c r="F7" s="471">
        <v>2000</v>
      </c>
      <c r="G7" s="471">
        <v>500</v>
      </c>
      <c r="H7" s="650">
        <f>AVERAGE(G7:G21)</f>
        <v>240.60875420875422</v>
      </c>
      <c r="I7" s="554">
        <f t="shared" ref="I7:I20" si="0">IFERROR(AVERAGE(P7,U7,Z7,AE7,AJ7,AO7,AT7),"-")</f>
        <v>5</v>
      </c>
      <c r="J7" s="554">
        <f t="shared" ref="J7:J20" si="1">IFERROR(AVERAGE(Q7,V7,AA7,AF7,AK7,AP7,AU7),"-")</f>
        <v>2095.0857652634236</v>
      </c>
      <c r="K7" s="194">
        <f t="shared" ref="K7:K20" si="2">IFERROR(AVERAGE(R7,W7,AB7,AG7,AL7,AQ7,AV7),"-")</f>
        <v>419.01715305268471</v>
      </c>
      <c r="L7" s="652">
        <f>IFERROR(AVERAGE(K7:K21),"-")</f>
        <v>213.01979624234934</v>
      </c>
      <c r="M7" s="471" t="e">
        <f>RANK(K7, K$87:$K$101)</f>
        <v>#N/A</v>
      </c>
      <c r="N7" s="637"/>
      <c r="O7" s="637"/>
      <c r="P7" s="553">
        <v>5</v>
      </c>
      <c r="Q7" s="559">
        <v>2126.538461538461</v>
      </c>
      <c r="R7" s="559">
        <v>425.30769230769221</v>
      </c>
      <c r="S7" s="553" t="e">
        <f t="shared" ref="S7:S21" si="3">RANK(R7, R$87:R$101)</f>
        <v>#N/A</v>
      </c>
      <c r="T7" s="638">
        <f t="shared" ref="T7" si="4">AVERAGE(R7:R21)</f>
        <v>213.81365269783268</v>
      </c>
      <c r="U7" s="553">
        <v>5</v>
      </c>
      <c r="V7" s="559">
        <v>2107.8260869565215</v>
      </c>
      <c r="W7" s="559">
        <v>421.56521739130432</v>
      </c>
      <c r="X7" s="553" t="e">
        <f t="shared" ref="X7:X21" si="5">RANK(W7, W$87:W$101)</f>
        <v>#N/A</v>
      </c>
      <c r="Y7" s="638">
        <f t="shared" ref="Y7" si="6">AVERAGE(W7:W21)</f>
        <v>212.62850447590083</v>
      </c>
      <c r="Z7" s="553">
        <v>5</v>
      </c>
      <c r="AA7" s="559">
        <v>2092.3404255319151</v>
      </c>
      <c r="AB7" s="559">
        <v>418.468085106383</v>
      </c>
      <c r="AC7" s="553" t="e">
        <f t="shared" ref="AC7:AC21" si="7">RANK(AB7, AB$87:AB$101)</f>
        <v>#N/A</v>
      </c>
      <c r="AD7" s="638">
        <f t="shared" ref="AD7" si="8">AVERAGE(AB7:AB21)</f>
        <v>212.61241220928486</v>
      </c>
      <c r="AE7" s="553">
        <v>5</v>
      </c>
      <c r="AF7" s="559">
        <v>2046.6666666666672</v>
      </c>
      <c r="AG7" s="559">
        <v>409.33333333333343</v>
      </c>
      <c r="AH7" s="553" t="e">
        <f t="shared" ref="AH7:AH21" si="9">RANK(AG7, AG$87:AG$101)</f>
        <v>#N/A</v>
      </c>
      <c r="AI7" s="638">
        <f t="shared" ref="AI7" si="10">AVERAGE(AG7:AG21)</f>
        <v>212.8416346344182</v>
      </c>
      <c r="AJ7" s="553">
        <v>5</v>
      </c>
      <c r="AK7" s="559">
        <v>2093.3333333333335</v>
      </c>
      <c r="AL7" s="559">
        <v>418.66666666666669</v>
      </c>
      <c r="AM7" s="553" t="e">
        <f t="shared" ref="AM7:AM21" si="11">RANK(AL7, AL$87:AL$101)</f>
        <v>#N/A</v>
      </c>
      <c r="AN7" s="638">
        <f t="shared" ref="AN7" si="12">AVERAGE(AL7:AL21)</f>
        <v>212.1317264805275</v>
      </c>
      <c r="AO7" s="553">
        <v>5</v>
      </c>
      <c r="AP7" s="559">
        <v>2094.8275862068967</v>
      </c>
      <c r="AQ7" s="559">
        <v>418.96551724137936</v>
      </c>
      <c r="AR7" s="553" t="e">
        <f t="shared" ref="AR7:AR21" si="13">RANK(AQ7, AQ$87:AQ$101)</f>
        <v>#N/A</v>
      </c>
      <c r="AS7" s="638">
        <f t="shared" ref="AS7" si="14">AVERAGE(AQ7:AQ21)</f>
        <v>213.57246120526023</v>
      </c>
      <c r="AT7" s="553">
        <v>5</v>
      </c>
      <c r="AU7" s="559">
        <v>2104.0677966101698</v>
      </c>
      <c r="AV7" s="559">
        <v>420.81355932203394</v>
      </c>
      <c r="AW7" s="553" t="e">
        <f t="shared" ref="AW7:AW21" si="15">RANK(AV7, AV$87:AV$101)</f>
        <v>#N/A</v>
      </c>
      <c r="AX7" s="638">
        <f t="shared" ref="AX7" si="16">AVERAGE(AV7:AV21)</f>
        <v>213.5381819932212</v>
      </c>
      <c r="AZ7" s="358" t="e">
        <f t="shared" ref="AZ7:AZ21" si="17">RANK(AY7, AY$7:AY$21)</f>
        <v>#N/A</v>
      </c>
      <c r="BA7" s="694" t="e">
        <f t="shared" ref="BA7" si="18">AVERAGE(AY7:AY21)</f>
        <v>#DIV/0!</v>
      </c>
    </row>
    <row r="8" spans="1:53" ht="15" customHeight="1">
      <c r="A8" s="81"/>
      <c r="B8" s="643"/>
      <c r="C8" s="555">
        <v>2</v>
      </c>
      <c r="D8" s="340" t="s">
        <v>419</v>
      </c>
      <c r="E8" s="471">
        <v>4</v>
      </c>
      <c r="F8" s="471">
        <v>2000</v>
      </c>
      <c r="G8" s="471">
        <v>500</v>
      </c>
      <c r="H8" s="651"/>
      <c r="I8" s="554">
        <f t="shared" si="0"/>
        <v>5</v>
      </c>
      <c r="J8" s="554">
        <f t="shared" si="1"/>
        <v>2079.2432401182864</v>
      </c>
      <c r="K8" s="194">
        <f t="shared" si="2"/>
        <v>415.84864802365735</v>
      </c>
      <c r="L8" s="653"/>
      <c r="M8" s="471" t="e">
        <f>RANK(K8, K$87:$K$101)</f>
        <v>#N/A</v>
      </c>
      <c r="N8" s="637"/>
      <c r="O8" s="637"/>
      <c r="P8" s="553">
        <v>5</v>
      </c>
      <c r="Q8" s="559">
        <v>2077.9591836734703</v>
      </c>
      <c r="R8" s="559">
        <v>415.59183673469408</v>
      </c>
      <c r="S8" s="553" t="e">
        <f t="shared" si="3"/>
        <v>#N/A</v>
      </c>
      <c r="T8" s="638"/>
      <c r="U8" s="553">
        <v>5</v>
      </c>
      <c r="V8" s="559">
        <v>2045.1063829787238</v>
      </c>
      <c r="W8" s="559">
        <v>409.02127659574478</v>
      </c>
      <c r="X8" s="553" t="e">
        <f t="shared" si="5"/>
        <v>#N/A</v>
      </c>
      <c r="Y8" s="638"/>
      <c r="Z8" s="553">
        <v>5</v>
      </c>
      <c r="AA8" s="559">
        <v>2097.272727272727</v>
      </c>
      <c r="AB8" s="559">
        <v>419.45454545454538</v>
      </c>
      <c r="AC8" s="553" t="e">
        <f t="shared" si="7"/>
        <v>#N/A</v>
      </c>
      <c r="AD8" s="638"/>
      <c r="AE8" s="553">
        <v>5</v>
      </c>
      <c r="AF8" s="559">
        <v>2109.090909090909</v>
      </c>
      <c r="AG8" s="559">
        <v>421.81818181818181</v>
      </c>
      <c r="AH8" s="553" t="e">
        <f t="shared" si="9"/>
        <v>#N/A</v>
      </c>
      <c r="AI8" s="638"/>
      <c r="AJ8" s="553">
        <v>5</v>
      </c>
      <c r="AK8" s="559">
        <v>2056.666666666667</v>
      </c>
      <c r="AL8" s="559">
        <v>411.33333333333337</v>
      </c>
      <c r="AM8" s="553" t="e">
        <f t="shared" si="11"/>
        <v>#N/A</v>
      </c>
      <c r="AN8" s="638"/>
      <c r="AO8" s="553">
        <v>5</v>
      </c>
      <c r="AP8" s="559">
        <v>2091.7647058823536</v>
      </c>
      <c r="AQ8" s="559">
        <v>418.35294117647072</v>
      </c>
      <c r="AR8" s="553" t="e">
        <f t="shared" si="13"/>
        <v>#N/A</v>
      </c>
      <c r="AS8" s="638"/>
      <c r="AT8" s="553">
        <v>5</v>
      </c>
      <c r="AU8" s="559">
        <v>2076.842105263157</v>
      </c>
      <c r="AV8" s="559">
        <v>415.36842105263139</v>
      </c>
      <c r="AW8" s="553" t="e">
        <f t="shared" si="15"/>
        <v>#N/A</v>
      </c>
      <c r="AX8" s="638"/>
      <c r="AZ8" s="358" t="e">
        <f t="shared" si="17"/>
        <v>#N/A</v>
      </c>
      <c r="BA8" s="694"/>
    </row>
    <row r="9" spans="1:53" ht="14.25">
      <c r="A9" s="81"/>
      <c r="B9" s="643"/>
      <c r="C9" s="555">
        <v>3</v>
      </c>
      <c r="D9" s="340" t="s">
        <v>549</v>
      </c>
      <c r="E9" s="471">
        <v>13</v>
      </c>
      <c r="F9" s="471">
        <v>2250</v>
      </c>
      <c r="G9" s="471">
        <v>173.1</v>
      </c>
      <c r="H9" s="651"/>
      <c r="I9" s="554">
        <f t="shared" si="0"/>
        <v>13</v>
      </c>
      <c r="J9" s="554">
        <f t="shared" si="1"/>
        <v>2124.06076769011</v>
      </c>
      <c r="K9" s="194">
        <f t="shared" si="2"/>
        <v>163.38928982231616</v>
      </c>
      <c r="L9" s="653"/>
      <c r="M9" s="471" t="e">
        <f>RANK(K9, K$87:$K$101)</f>
        <v>#N/A</v>
      </c>
      <c r="N9" s="637"/>
      <c r="O9" s="637"/>
      <c r="P9" s="553">
        <v>13</v>
      </c>
      <c r="Q9" s="559">
        <v>2159.5423728813566</v>
      </c>
      <c r="R9" s="559">
        <v>166.11864406779665</v>
      </c>
      <c r="S9" s="553" t="e">
        <f t="shared" si="3"/>
        <v>#N/A</v>
      </c>
      <c r="T9" s="638"/>
      <c r="U9" s="553">
        <v>13</v>
      </c>
      <c r="V9" s="559">
        <v>2107.9830508474579</v>
      </c>
      <c r="W9" s="559">
        <v>162.15254237288138</v>
      </c>
      <c r="X9" s="553" t="e">
        <f t="shared" si="5"/>
        <v>#N/A</v>
      </c>
      <c r="Y9" s="638"/>
      <c r="Z9" s="553">
        <v>13</v>
      </c>
      <c r="AA9" s="559">
        <v>2110.875</v>
      </c>
      <c r="AB9" s="559">
        <v>162.375</v>
      </c>
      <c r="AC9" s="553" t="e">
        <f t="shared" si="7"/>
        <v>#N/A</v>
      </c>
      <c r="AD9" s="638"/>
      <c r="AE9" s="553">
        <v>13</v>
      </c>
      <c r="AF9" s="559">
        <v>2129.5652173913036</v>
      </c>
      <c r="AG9" s="559">
        <v>163.81270903010028</v>
      </c>
      <c r="AH9" s="553" t="e">
        <f t="shared" si="9"/>
        <v>#N/A</v>
      </c>
      <c r="AI9" s="638"/>
      <c r="AJ9" s="553">
        <v>13</v>
      </c>
      <c r="AK9" s="559">
        <v>2095.9459459459458</v>
      </c>
      <c r="AL9" s="559">
        <v>161.22661122661123</v>
      </c>
      <c r="AM9" s="553" t="e">
        <f t="shared" si="11"/>
        <v>#N/A</v>
      </c>
      <c r="AN9" s="638"/>
      <c r="AO9" s="553">
        <v>13</v>
      </c>
      <c r="AP9" s="559">
        <v>2150.4843749999995</v>
      </c>
      <c r="AQ9" s="559">
        <v>165.42187499999997</v>
      </c>
      <c r="AR9" s="553" t="e">
        <f t="shared" si="13"/>
        <v>#N/A</v>
      </c>
      <c r="AS9" s="638"/>
      <c r="AT9" s="553">
        <v>13</v>
      </c>
      <c r="AU9" s="559">
        <v>2114.0294117647059</v>
      </c>
      <c r="AV9" s="559">
        <v>162.61764705882354</v>
      </c>
      <c r="AW9" s="553" t="e">
        <f t="shared" si="15"/>
        <v>#N/A</v>
      </c>
      <c r="AX9" s="638"/>
      <c r="AZ9" s="358" t="e">
        <f t="shared" si="17"/>
        <v>#N/A</v>
      </c>
      <c r="BA9" s="694"/>
    </row>
    <row r="10" spans="1:53" ht="14.25">
      <c r="A10" s="81"/>
      <c r="B10" s="643"/>
      <c r="C10" s="555">
        <v>4</v>
      </c>
      <c r="D10" s="340" t="s">
        <v>351</v>
      </c>
      <c r="E10" s="471">
        <v>13</v>
      </c>
      <c r="F10" s="471">
        <v>2250</v>
      </c>
      <c r="G10" s="471">
        <v>173.1</v>
      </c>
      <c r="H10" s="651"/>
      <c r="I10" s="554">
        <f t="shared" si="0"/>
        <v>13</v>
      </c>
      <c r="J10" s="554">
        <f t="shared" si="1"/>
        <v>2156.9432443550982</v>
      </c>
      <c r="K10" s="194">
        <f t="shared" si="2"/>
        <v>165.91871110423833</v>
      </c>
      <c r="L10" s="653"/>
      <c r="M10" s="471" t="e">
        <f>RANK(K10, K$87:$K$101)</f>
        <v>#N/A</v>
      </c>
      <c r="N10" s="637"/>
      <c r="O10" s="637"/>
      <c r="P10" s="553">
        <v>13</v>
      </c>
      <c r="Q10" s="559">
        <v>2160.8644067796595</v>
      </c>
      <c r="R10" s="559">
        <v>166.22033898305074</v>
      </c>
      <c r="S10" s="553" t="e">
        <f t="shared" si="3"/>
        <v>#N/A</v>
      </c>
      <c r="T10" s="638"/>
      <c r="U10" s="553">
        <v>13</v>
      </c>
      <c r="V10" s="559">
        <v>2126.5636363636349</v>
      </c>
      <c r="W10" s="559">
        <v>163.58181818181808</v>
      </c>
      <c r="X10" s="553" t="e">
        <f t="shared" si="5"/>
        <v>#N/A</v>
      </c>
      <c r="Y10" s="638"/>
      <c r="Z10" s="553">
        <v>13</v>
      </c>
      <c r="AA10" s="559">
        <v>2150.9999999999991</v>
      </c>
      <c r="AB10" s="559">
        <v>165.4615384615384</v>
      </c>
      <c r="AC10" s="553" t="e">
        <f t="shared" si="7"/>
        <v>#N/A</v>
      </c>
      <c r="AD10" s="638"/>
      <c r="AE10" s="553">
        <v>13</v>
      </c>
      <c r="AF10" s="559">
        <v>2174.2857142857147</v>
      </c>
      <c r="AG10" s="559">
        <v>167.25274725274727</v>
      </c>
      <c r="AH10" s="553" t="e">
        <f t="shared" si="9"/>
        <v>#N/A</v>
      </c>
      <c r="AI10" s="638"/>
      <c r="AJ10" s="553">
        <v>13</v>
      </c>
      <c r="AK10" s="559">
        <v>2118.260869565217</v>
      </c>
      <c r="AL10" s="559">
        <v>162.943143812709</v>
      </c>
      <c r="AM10" s="553" t="e">
        <f t="shared" si="11"/>
        <v>#N/A</v>
      </c>
      <c r="AN10" s="638"/>
      <c r="AO10" s="553">
        <v>13</v>
      </c>
      <c r="AP10" s="559">
        <v>2186.4516129032259</v>
      </c>
      <c r="AQ10" s="559">
        <v>168.18858560794044</v>
      </c>
      <c r="AR10" s="553" t="e">
        <f t="shared" si="13"/>
        <v>#N/A</v>
      </c>
      <c r="AS10" s="638"/>
      <c r="AT10" s="553">
        <v>13</v>
      </c>
      <c r="AU10" s="559">
        <v>2181.176470588236</v>
      </c>
      <c r="AV10" s="559">
        <v>167.78280542986431</v>
      </c>
      <c r="AW10" s="553" t="e">
        <f t="shared" si="15"/>
        <v>#N/A</v>
      </c>
      <c r="AX10" s="638"/>
      <c r="AZ10" s="358" t="e">
        <f t="shared" si="17"/>
        <v>#N/A</v>
      </c>
      <c r="BA10" s="694"/>
    </row>
    <row r="11" spans="1:53" ht="14.25">
      <c r="A11" s="81"/>
      <c r="B11" s="643"/>
      <c r="C11" s="555">
        <v>5</v>
      </c>
      <c r="D11" s="340" t="s">
        <v>352</v>
      </c>
      <c r="E11" s="471">
        <v>10</v>
      </c>
      <c r="F11" s="471">
        <v>2769</v>
      </c>
      <c r="G11" s="471">
        <v>276.89999999999998</v>
      </c>
      <c r="H11" s="651"/>
      <c r="I11" s="554">
        <f t="shared" si="0"/>
        <v>10</v>
      </c>
      <c r="J11" s="554">
        <f t="shared" si="1"/>
        <v>2434.3582237098476</v>
      </c>
      <c r="K11" s="194">
        <f t="shared" si="2"/>
        <v>243.43582237098471</v>
      </c>
      <c r="L11" s="653"/>
      <c r="M11" s="471" t="e">
        <f>RANK(K11, K$87:$K$101)</f>
        <v>#N/A</v>
      </c>
      <c r="N11" s="637"/>
      <c r="O11" s="637"/>
      <c r="P11" s="553">
        <v>10</v>
      </c>
      <c r="Q11" s="559">
        <v>2425.8947368421063</v>
      </c>
      <c r="R11" s="559">
        <v>242.58947368421065</v>
      </c>
      <c r="S11" s="553" t="e">
        <f t="shared" si="3"/>
        <v>#N/A</v>
      </c>
      <c r="T11" s="638"/>
      <c r="U11" s="553">
        <v>10</v>
      </c>
      <c r="V11" s="559">
        <v>2413.6666666666674</v>
      </c>
      <c r="W11" s="559">
        <v>241.36666666666673</v>
      </c>
      <c r="X11" s="553" t="e">
        <f t="shared" si="5"/>
        <v>#N/A</v>
      </c>
      <c r="Y11" s="638"/>
      <c r="Z11" s="553">
        <v>10</v>
      </c>
      <c r="AA11" s="559">
        <v>2433.2307692307709</v>
      </c>
      <c r="AB11" s="559">
        <v>243.32307692307708</v>
      </c>
      <c r="AC11" s="553" t="e">
        <f t="shared" si="7"/>
        <v>#N/A</v>
      </c>
      <c r="AD11" s="638"/>
      <c r="AE11" s="553">
        <v>10</v>
      </c>
      <c r="AF11" s="559">
        <v>2438.8085106382987</v>
      </c>
      <c r="AG11" s="559">
        <v>243.88085106382988</v>
      </c>
      <c r="AH11" s="553" t="e">
        <f t="shared" si="9"/>
        <v>#N/A</v>
      </c>
      <c r="AI11" s="638"/>
      <c r="AJ11" s="553">
        <v>10</v>
      </c>
      <c r="AK11" s="559">
        <v>2467.3684210526299</v>
      </c>
      <c r="AL11" s="559">
        <v>246.73684210526298</v>
      </c>
      <c r="AM11" s="553" t="e">
        <f t="shared" si="11"/>
        <v>#N/A</v>
      </c>
      <c r="AN11" s="638"/>
      <c r="AO11" s="553">
        <v>10</v>
      </c>
      <c r="AP11" s="559">
        <v>2421.2307692307681</v>
      </c>
      <c r="AQ11" s="559">
        <v>242.12307692307681</v>
      </c>
      <c r="AR11" s="553" t="e">
        <f t="shared" si="13"/>
        <v>#N/A</v>
      </c>
      <c r="AS11" s="638"/>
      <c r="AT11" s="553">
        <v>10</v>
      </c>
      <c r="AU11" s="559">
        <v>2440.307692307691</v>
      </c>
      <c r="AV11" s="559">
        <v>244.0307692307691</v>
      </c>
      <c r="AW11" s="553" t="e">
        <f t="shared" si="15"/>
        <v>#N/A</v>
      </c>
      <c r="AX11" s="638"/>
      <c r="AZ11" s="358" t="e">
        <f t="shared" si="17"/>
        <v>#N/A</v>
      </c>
      <c r="BA11" s="694"/>
    </row>
    <row r="12" spans="1:53" ht="14.25">
      <c r="A12" s="81"/>
      <c r="B12" s="643"/>
      <c r="C12" s="555">
        <v>6</v>
      </c>
      <c r="D12" s="340" t="s">
        <v>629</v>
      </c>
      <c r="E12" s="471">
        <v>11</v>
      </c>
      <c r="F12" s="471">
        <v>2250</v>
      </c>
      <c r="G12" s="471">
        <v>204.5</v>
      </c>
      <c r="H12" s="651"/>
      <c r="I12" s="554">
        <f t="shared" si="0"/>
        <v>11</v>
      </c>
      <c r="J12" s="554">
        <f t="shared" si="1"/>
        <v>2126.3287702947609</v>
      </c>
      <c r="K12" s="194">
        <f t="shared" si="2"/>
        <v>193.30261548134192</v>
      </c>
      <c r="L12" s="653"/>
      <c r="M12" s="471" t="e">
        <f>RANK(K12, K$87:$K$101)</f>
        <v>#N/A</v>
      </c>
      <c r="N12" s="637"/>
      <c r="O12" s="637"/>
      <c r="P12" s="553">
        <v>11</v>
      </c>
      <c r="Q12" s="559">
        <v>2124.6702127659582</v>
      </c>
      <c r="R12" s="559">
        <v>193.15183752417803</v>
      </c>
      <c r="S12" s="553" t="e">
        <f t="shared" si="3"/>
        <v>#N/A</v>
      </c>
      <c r="T12" s="638"/>
      <c r="U12" s="553">
        <v>11</v>
      </c>
      <c r="V12" s="559">
        <v>2168.3103448275861</v>
      </c>
      <c r="W12" s="559">
        <v>197.11912225705328</v>
      </c>
      <c r="X12" s="553" t="e">
        <f t="shared" si="5"/>
        <v>#N/A</v>
      </c>
      <c r="Y12" s="638"/>
      <c r="Z12" s="553">
        <v>11</v>
      </c>
      <c r="AA12" s="559">
        <v>2096.9634146341459</v>
      </c>
      <c r="AB12" s="559">
        <v>190.63303769401327</v>
      </c>
      <c r="AC12" s="553" t="e">
        <f t="shared" si="7"/>
        <v>#N/A</v>
      </c>
      <c r="AD12" s="638"/>
      <c r="AE12" s="553">
        <v>11</v>
      </c>
      <c r="AF12" s="559">
        <v>2107.7462686567164</v>
      </c>
      <c r="AG12" s="559">
        <v>191.61329715061058</v>
      </c>
      <c r="AH12" s="553" t="e">
        <f t="shared" si="9"/>
        <v>#N/A</v>
      </c>
      <c r="AI12" s="638"/>
      <c r="AJ12" s="553">
        <v>11</v>
      </c>
      <c r="AK12" s="559">
        <v>2148.6400000000012</v>
      </c>
      <c r="AL12" s="559">
        <v>195.33090909090922</v>
      </c>
      <c r="AM12" s="553" t="e">
        <f t="shared" si="11"/>
        <v>#N/A</v>
      </c>
      <c r="AN12" s="638"/>
      <c r="AO12" s="553">
        <v>11</v>
      </c>
      <c r="AP12" s="559">
        <v>2104.4854368932042</v>
      </c>
      <c r="AQ12" s="559">
        <v>191.3168578993822</v>
      </c>
      <c r="AR12" s="553" t="e">
        <f t="shared" si="13"/>
        <v>#N/A</v>
      </c>
      <c r="AS12" s="638"/>
      <c r="AT12" s="553">
        <v>11</v>
      </c>
      <c r="AU12" s="559">
        <v>2133.4857142857136</v>
      </c>
      <c r="AV12" s="559">
        <v>193.9532467532467</v>
      </c>
      <c r="AW12" s="553" t="e">
        <f t="shared" si="15"/>
        <v>#N/A</v>
      </c>
      <c r="AX12" s="638"/>
      <c r="AZ12" s="358" t="e">
        <f t="shared" si="17"/>
        <v>#N/A</v>
      </c>
      <c r="BA12" s="694"/>
    </row>
    <row r="13" spans="1:53" ht="14.25">
      <c r="A13" s="81"/>
      <c r="B13" s="643"/>
      <c r="C13" s="555">
        <v>7</v>
      </c>
      <c r="D13" s="340" t="s">
        <v>349</v>
      </c>
      <c r="E13" s="471">
        <v>18</v>
      </c>
      <c r="F13" s="471">
        <v>1200</v>
      </c>
      <c r="G13" s="471">
        <v>66.666666666666671</v>
      </c>
      <c r="H13" s="651"/>
      <c r="I13" s="554">
        <f t="shared" si="0"/>
        <v>18</v>
      </c>
      <c r="J13" s="554">
        <f t="shared" si="1"/>
        <v>1076.7266284684108</v>
      </c>
      <c r="K13" s="194">
        <f t="shared" si="2"/>
        <v>59.818146026022823</v>
      </c>
      <c r="L13" s="653"/>
      <c r="M13" s="471" t="e">
        <f>RANK(K13, K$87:$K$101)</f>
        <v>#N/A</v>
      </c>
      <c r="N13" s="637"/>
      <c r="O13" s="637"/>
      <c r="P13" s="553">
        <v>18</v>
      </c>
      <c r="Q13" s="559">
        <v>1079.9999999999998</v>
      </c>
      <c r="R13" s="559">
        <v>59.999999999999986</v>
      </c>
      <c r="S13" s="553" t="e">
        <f t="shared" si="3"/>
        <v>#N/A</v>
      </c>
      <c r="T13" s="638"/>
      <c r="U13" s="553">
        <v>18</v>
      </c>
      <c r="V13" s="559">
        <v>1079.3333333333344</v>
      </c>
      <c r="W13" s="559">
        <v>59.962962962963019</v>
      </c>
      <c r="X13" s="553" t="e">
        <f t="shared" si="5"/>
        <v>#N/A</v>
      </c>
      <c r="Y13" s="638"/>
      <c r="Z13" s="553">
        <v>18</v>
      </c>
      <c r="AA13" s="559">
        <v>1074.7499999999995</v>
      </c>
      <c r="AB13" s="559">
        <v>59.708333333333307</v>
      </c>
      <c r="AC13" s="553" t="e">
        <f t="shared" si="7"/>
        <v>#N/A</v>
      </c>
      <c r="AD13" s="638"/>
      <c r="AE13" s="553">
        <v>18</v>
      </c>
      <c r="AF13" s="559">
        <v>1084.1666666666656</v>
      </c>
      <c r="AG13" s="559">
        <v>60.231481481481424</v>
      </c>
      <c r="AH13" s="553" t="e">
        <f t="shared" si="9"/>
        <v>#N/A</v>
      </c>
      <c r="AI13" s="638"/>
      <c r="AJ13" s="553">
        <v>18</v>
      </c>
      <c r="AK13" s="559">
        <v>1064.2105263157887</v>
      </c>
      <c r="AL13" s="559">
        <v>59.122807017543813</v>
      </c>
      <c r="AM13" s="553" t="e">
        <f t="shared" si="11"/>
        <v>#N/A</v>
      </c>
      <c r="AN13" s="638"/>
      <c r="AO13" s="553">
        <v>18</v>
      </c>
      <c r="AP13" s="559">
        <v>1069.6774193548406</v>
      </c>
      <c r="AQ13" s="559">
        <v>59.426523297491144</v>
      </c>
      <c r="AR13" s="553" t="e">
        <f t="shared" si="13"/>
        <v>#N/A</v>
      </c>
      <c r="AS13" s="638"/>
      <c r="AT13" s="553">
        <v>18</v>
      </c>
      <c r="AU13" s="559">
        <v>1084.9484536082477</v>
      </c>
      <c r="AV13" s="559">
        <v>60.274914089347099</v>
      </c>
      <c r="AW13" s="553" t="e">
        <f t="shared" si="15"/>
        <v>#N/A</v>
      </c>
      <c r="AX13" s="638"/>
      <c r="AZ13" s="358" t="e">
        <f t="shared" si="17"/>
        <v>#N/A</v>
      </c>
      <c r="BA13" s="694"/>
    </row>
    <row r="14" spans="1:53" ht="14.25">
      <c r="A14" s="81"/>
      <c r="B14" s="643"/>
      <c r="C14" s="555">
        <v>8</v>
      </c>
      <c r="D14" s="340" t="s">
        <v>660</v>
      </c>
      <c r="E14" s="471">
        <v>11</v>
      </c>
      <c r="F14" s="471">
        <v>2250</v>
      </c>
      <c r="G14" s="471">
        <v>204.54545454545453</v>
      </c>
      <c r="H14" s="651"/>
      <c r="I14" s="554">
        <f t="shared" si="0"/>
        <v>11</v>
      </c>
      <c r="J14" s="554">
        <f t="shared" si="1"/>
        <v>2154.1774633644122</v>
      </c>
      <c r="K14" s="194">
        <f t="shared" si="2"/>
        <v>195.83431485131018</v>
      </c>
      <c r="L14" s="653"/>
      <c r="M14" s="471" t="e">
        <f>RANK(K14, K$87:$K$101)</f>
        <v>#N/A</v>
      </c>
      <c r="N14" s="637"/>
      <c r="O14" s="637"/>
      <c r="P14" s="553">
        <v>11</v>
      </c>
      <c r="Q14" s="559">
        <v>2160.7164179104479</v>
      </c>
      <c r="R14" s="559">
        <v>196.42876526458619</v>
      </c>
      <c r="S14" s="553" t="e">
        <f t="shared" si="3"/>
        <v>#N/A</v>
      </c>
      <c r="T14" s="638"/>
      <c r="U14" s="553">
        <v>11</v>
      </c>
      <c r="V14" s="559">
        <v>2187.145161290322</v>
      </c>
      <c r="W14" s="559">
        <v>198.83137829912019</v>
      </c>
      <c r="X14" s="553" t="e">
        <f t="shared" si="5"/>
        <v>#N/A</v>
      </c>
      <c r="Y14" s="638"/>
      <c r="Z14" s="553">
        <v>11</v>
      </c>
      <c r="AA14" s="559">
        <v>2133.0483870967737</v>
      </c>
      <c r="AB14" s="559">
        <v>193.91348973607035</v>
      </c>
      <c r="AC14" s="553" t="e">
        <f t="shared" si="7"/>
        <v>#N/A</v>
      </c>
      <c r="AD14" s="638"/>
      <c r="AE14" s="553">
        <v>11</v>
      </c>
      <c r="AF14" s="559">
        <v>2156.8421052631588</v>
      </c>
      <c r="AG14" s="559">
        <v>196.07655502392353</v>
      </c>
      <c r="AH14" s="553" t="e">
        <f t="shared" si="9"/>
        <v>#N/A</v>
      </c>
      <c r="AI14" s="638"/>
      <c r="AJ14" s="553">
        <v>11</v>
      </c>
      <c r="AK14" s="559">
        <v>2110.9090909090983</v>
      </c>
      <c r="AL14" s="559">
        <v>191.90082644628166</v>
      </c>
      <c r="AM14" s="553" t="e">
        <f t="shared" si="11"/>
        <v>#N/A</v>
      </c>
      <c r="AN14" s="638"/>
      <c r="AO14" s="553">
        <v>11</v>
      </c>
      <c r="AP14" s="559">
        <v>2157.6486486486497</v>
      </c>
      <c r="AQ14" s="559">
        <v>196.14987714987726</v>
      </c>
      <c r="AR14" s="553" t="e">
        <f t="shared" si="13"/>
        <v>#N/A</v>
      </c>
      <c r="AS14" s="638"/>
      <c r="AT14" s="553">
        <v>11</v>
      </c>
      <c r="AU14" s="559">
        <v>2172.9324324324334</v>
      </c>
      <c r="AV14" s="559">
        <v>197.53931203931214</v>
      </c>
      <c r="AW14" s="553" t="e">
        <f t="shared" si="15"/>
        <v>#N/A</v>
      </c>
      <c r="AX14" s="638"/>
      <c r="AZ14" s="358" t="e">
        <f t="shared" si="17"/>
        <v>#N/A</v>
      </c>
      <c r="BA14" s="694"/>
    </row>
    <row r="15" spans="1:53" ht="14.25">
      <c r="A15" s="81"/>
      <c r="B15" s="643"/>
      <c r="C15" s="555">
        <v>9</v>
      </c>
      <c r="D15" s="340" t="s">
        <v>582</v>
      </c>
      <c r="E15" s="471">
        <v>18</v>
      </c>
      <c r="F15" s="471">
        <v>1200</v>
      </c>
      <c r="G15" s="471">
        <v>66.666666666666671</v>
      </c>
      <c r="H15" s="651"/>
      <c r="I15" s="554">
        <f t="shared" si="0"/>
        <v>18</v>
      </c>
      <c r="J15" s="554">
        <f t="shared" si="1"/>
        <v>1091.0423780745859</v>
      </c>
      <c r="K15" s="194">
        <f t="shared" si="2"/>
        <v>60.613465448588109</v>
      </c>
      <c r="L15" s="653"/>
      <c r="M15" s="471" t="e">
        <f>RANK(K15, K$87:$K$101)</f>
        <v>#N/A</v>
      </c>
      <c r="N15" s="637"/>
      <c r="O15" s="637"/>
      <c r="P15" s="553">
        <v>18</v>
      </c>
      <c r="Q15" s="559">
        <v>1060.4571428571419</v>
      </c>
      <c r="R15" s="559">
        <v>58.914285714285661</v>
      </c>
      <c r="S15" s="553" t="e">
        <f t="shared" si="3"/>
        <v>#N/A</v>
      </c>
      <c r="T15" s="638"/>
      <c r="U15" s="553">
        <v>18</v>
      </c>
      <c r="V15" s="559">
        <v>1081.0000000000007</v>
      </c>
      <c r="W15" s="559">
        <v>60.055555555555593</v>
      </c>
      <c r="X15" s="553" t="e">
        <f t="shared" si="5"/>
        <v>#N/A</v>
      </c>
      <c r="Y15" s="638"/>
      <c r="Z15" s="553">
        <v>18</v>
      </c>
      <c r="AA15" s="559">
        <v>1083.1428571428582</v>
      </c>
      <c r="AB15" s="559">
        <v>60.174603174603234</v>
      </c>
      <c r="AC15" s="553" t="e">
        <f t="shared" si="7"/>
        <v>#N/A</v>
      </c>
      <c r="AD15" s="638"/>
      <c r="AE15" s="553">
        <v>18</v>
      </c>
      <c r="AF15" s="559">
        <v>1108</v>
      </c>
      <c r="AG15" s="559">
        <v>61.555555555555557</v>
      </c>
      <c r="AH15" s="553" t="e">
        <f t="shared" si="9"/>
        <v>#N/A</v>
      </c>
      <c r="AI15" s="638"/>
      <c r="AJ15" s="553">
        <v>18</v>
      </c>
      <c r="AK15" s="559">
        <v>1114.6391752577319</v>
      </c>
      <c r="AL15" s="559">
        <v>61.924398625429554</v>
      </c>
      <c r="AM15" s="553" t="e">
        <f t="shared" si="11"/>
        <v>#N/A</v>
      </c>
      <c r="AN15" s="638"/>
      <c r="AO15" s="553">
        <v>18</v>
      </c>
      <c r="AP15" s="559">
        <v>1119.7241379310344</v>
      </c>
      <c r="AQ15" s="559">
        <v>62.206896551724135</v>
      </c>
      <c r="AR15" s="553" t="e">
        <f t="shared" si="13"/>
        <v>#N/A</v>
      </c>
      <c r="AS15" s="638"/>
      <c r="AT15" s="553">
        <v>18</v>
      </c>
      <c r="AU15" s="559">
        <v>1070.3333333333344</v>
      </c>
      <c r="AV15" s="559">
        <v>59.462962962963019</v>
      </c>
      <c r="AW15" s="553" t="e">
        <f t="shared" si="15"/>
        <v>#N/A</v>
      </c>
      <c r="AX15" s="638"/>
      <c r="AZ15" s="358" t="e">
        <f t="shared" si="17"/>
        <v>#N/A</v>
      </c>
      <c r="BA15" s="694"/>
    </row>
    <row r="16" spans="1:53" ht="14.25">
      <c r="A16" s="81"/>
      <c r="B16" s="643"/>
      <c r="C16" s="555">
        <v>10</v>
      </c>
      <c r="D16" s="340"/>
      <c r="E16" s="471"/>
      <c r="F16" s="471"/>
      <c r="G16" s="471"/>
      <c r="H16" s="651"/>
      <c r="I16" s="554" t="str">
        <f t="shared" si="0"/>
        <v>-</v>
      </c>
      <c r="J16" s="554" t="str">
        <f t="shared" si="1"/>
        <v>-</v>
      </c>
      <c r="K16" s="194" t="str">
        <f t="shared" si="2"/>
        <v>-</v>
      </c>
      <c r="L16" s="653"/>
      <c r="M16" s="471" t="e">
        <f>RANK(K16, K$87:$K$101)</f>
        <v>#VALUE!</v>
      </c>
      <c r="N16" s="637"/>
      <c r="O16" s="637"/>
      <c r="P16" s="553" t="s">
        <v>557</v>
      </c>
      <c r="Q16" s="559" t="s">
        <v>557</v>
      </c>
      <c r="R16" s="559" t="s">
        <v>557</v>
      </c>
      <c r="S16" s="553" t="e">
        <f t="shared" si="3"/>
        <v>#VALUE!</v>
      </c>
      <c r="T16" s="638"/>
      <c r="U16" s="553" t="s">
        <v>557</v>
      </c>
      <c r="V16" s="559" t="s">
        <v>557</v>
      </c>
      <c r="W16" s="559" t="s">
        <v>557</v>
      </c>
      <c r="X16" s="553" t="e">
        <f t="shared" si="5"/>
        <v>#VALUE!</v>
      </c>
      <c r="Y16" s="638"/>
      <c r="Z16" s="553" t="s">
        <v>557</v>
      </c>
      <c r="AA16" s="559" t="s">
        <v>557</v>
      </c>
      <c r="AB16" s="559" t="s">
        <v>557</v>
      </c>
      <c r="AC16" s="553" t="e">
        <f t="shared" si="7"/>
        <v>#VALUE!</v>
      </c>
      <c r="AD16" s="638"/>
      <c r="AE16" s="553" t="s">
        <v>557</v>
      </c>
      <c r="AF16" s="559" t="s">
        <v>557</v>
      </c>
      <c r="AG16" s="559" t="s">
        <v>557</v>
      </c>
      <c r="AH16" s="553" t="e">
        <f t="shared" si="9"/>
        <v>#VALUE!</v>
      </c>
      <c r="AI16" s="638"/>
      <c r="AJ16" s="553" t="s">
        <v>557</v>
      </c>
      <c r="AK16" s="559" t="s">
        <v>557</v>
      </c>
      <c r="AL16" s="559" t="s">
        <v>557</v>
      </c>
      <c r="AM16" s="553" t="e">
        <f t="shared" si="11"/>
        <v>#VALUE!</v>
      </c>
      <c r="AN16" s="638"/>
      <c r="AO16" s="553" t="s">
        <v>557</v>
      </c>
      <c r="AP16" s="559" t="s">
        <v>557</v>
      </c>
      <c r="AQ16" s="559" t="s">
        <v>557</v>
      </c>
      <c r="AR16" s="553" t="e">
        <f t="shared" si="13"/>
        <v>#VALUE!</v>
      </c>
      <c r="AS16" s="638"/>
      <c r="AT16" s="553" t="s">
        <v>557</v>
      </c>
      <c r="AU16" s="559" t="s">
        <v>557</v>
      </c>
      <c r="AV16" s="559" t="s">
        <v>557</v>
      </c>
      <c r="AW16" s="553" t="e">
        <f t="shared" si="15"/>
        <v>#VALUE!</v>
      </c>
      <c r="AX16" s="638"/>
      <c r="AZ16" s="358" t="e">
        <f t="shared" si="17"/>
        <v>#N/A</v>
      </c>
      <c r="BA16" s="694"/>
    </row>
    <row r="17" spans="2:53">
      <c r="B17" s="643"/>
      <c r="C17" s="555">
        <v>11</v>
      </c>
      <c r="D17" s="340"/>
      <c r="E17" s="471"/>
      <c r="F17" s="471"/>
      <c r="G17" s="471"/>
      <c r="H17" s="651"/>
      <c r="I17" s="554" t="str">
        <f t="shared" si="0"/>
        <v>-</v>
      </c>
      <c r="J17" s="554" t="str">
        <f t="shared" si="1"/>
        <v>-</v>
      </c>
      <c r="K17" s="194" t="str">
        <f t="shared" si="2"/>
        <v>-</v>
      </c>
      <c r="L17" s="653"/>
      <c r="M17" s="471" t="e">
        <f>RANK(K17, K$87:$K$101)</f>
        <v>#VALUE!</v>
      </c>
      <c r="N17" s="637"/>
      <c r="O17" s="637"/>
      <c r="P17" s="553" t="s">
        <v>557</v>
      </c>
      <c r="Q17" s="559" t="s">
        <v>557</v>
      </c>
      <c r="R17" s="559" t="s">
        <v>557</v>
      </c>
      <c r="S17" s="553" t="e">
        <f t="shared" si="3"/>
        <v>#VALUE!</v>
      </c>
      <c r="T17" s="638"/>
      <c r="U17" s="553" t="s">
        <v>557</v>
      </c>
      <c r="V17" s="559" t="s">
        <v>557</v>
      </c>
      <c r="W17" s="559" t="s">
        <v>557</v>
      </c>
      <c r="X17" s="553" t="e">
        <f t="shared" si="5"/>
        <v>#VALUE!</v>
      </c>
      <c r="Y17" s="638"/>
      <c r="Z17" s="553" t="s">
        <v>557</v>
      </c>
      <c r="AA17" s="559" t="s">
        <v>557</v>
      </c>
      <c r="AB17" s="559" t="s">
        <v>557</v>
      </c>
      <c r="AC17" s="553" t="e">
        <f t="shared" si="7"/>
        <v>#VALUE!</v>
      </c>
      <c r="AD17" s="638"/>
      <c r="AE17" s="553" t="s">
        <v>557</v>
      </c>
      <c r="AF17" s="559" t="s">
        <v>557</v>
      </c>
      <c r="AG17" s="559" t="s">
        <v>557</v>
      </c>
      <c r="AH17" s="553" t="e">
        <f t="shared" si="9"/>
        <v>#VALUE!</v>
      </c>
      <c r="AI17" s="638"/>
      <c r="AJ17" s="553" t="s">
        <v>557</v>
      </c>
      <c r="AK17" s="559" t="s">
        <v>557</v>
      </c>
      <c r="AL17" s="559" t="s">
        <v>557</v>
      </c>
      <c r="AM17" s="553" t="e">
        <f t="shared" si="11"/>
        <v>#VALUE!</v>
      </c>
      <c r="AN17" s="638"/>
      <c r="AO17" s="553" t="s">
        <v>557</v>
      </c>
      <c r="AP17" s="559" t="s">
        <v>557</v>
      </c>
      <c r="AQ17" s="559" t="s">
        <v>557</v>
      </c>
      <c r="AR17" s="553" t="e">
        <f t="shared" si="13"/>
        <v>#VALUE!</v>
      </c>
      <c r="AS17" s="638"/>
      <c r="AT17" s="553" t="s">
        <v>557</v>
      </c>
      <c r="AU17" s="559" t="s">
        <v>557</v>
      </c>
      <c r="AV17" s="559" t="s">
        <v>557</v>
      </c>
      <c r="AW17" s="553" t="e">
        <f t="shared" si="15"/>
        <v>#VALUE!</v>
      </c>
      <c r="AX17" s="638"/>
      <c r="AZ17" s="358" t="e">
        <f t="shared" si="17"/>
        <v>#N/A</v>
      </c>
      <c r="BA17" s="694"/>
    </row>
    <row r="18" spans="2:53">
      <c r="B18" s="643"/>
      <c r="C18" s="555">
        <v>12</v>
      </c>
      <c r="D18" s="340"/>
      <c r="E18" s="471"/>
      <c r="F18" s="471"/>
      <c r="G18" s="471"/>
      <c r="H18" s="651"/>
      <c r="I18" s="554" t="str">
        <f t="shared" si="0"/>
        <v>-</v>
      </c>
      <c r="J18" s="554" t="str">
        <f t="shared" si="1"/>
        <v>-</v>
      </c>
      <c r="K18" s="194" t="str">
        <f t="shared" si="2"/>
        <v>-</v>
      </c>
      <c r="L18" s="653"/>
      <c r="M18" s="471" t="e">
        <f>RANK(K18, K$87:$K$101)</f>
        <v>#VALUE!</v>
      </c>
      <c r="N18" s="637"/>
      <c r="O18" s="637"/>
      <c r="P18" s="553" t="s">
        <v>557</v>
      </c>
      <c r="Q18" s="559" t="s">
        <v>557</v>
      </c>
      <c r="R18" s="559" t="s">
        <v>557</v>
      </c>
      <c r="S18" s="553" t="e">
        <f t="shared" si="3"/>
        <v>#VALUE!</v>
      </c>
      <c r="T18" s="638"/>
      <c r="U18" s="553" t="s">
        <v>557</v>
      </c>
      <c r="V18" s="559" t="s">
        <v>557</v>
      </c>
      <c r="W18" s="559" t="s">
        <v>557</v>
      </c>
      <c r="X18" s="553" t="e">
        <f t="shared" si="5"/>
        <v>#VALUE!</v>
      </c>
      <c r="Y18" s="638"/>
      <c r="Z18" s="553" t="s">
        <v>557</v>
      </c>
      <c r="AA18" s="559" t="s">
        <v>557</v>
      </c>
      <c r="AB18" s="559" t="s">
        <v>557</v>
      </c>
      <c r="AC18" s="553" t="e">
        <f t="shared" si="7"/>
        <v>#VALUE!</v>
      </c>
      <c r="AD18" s="638"/>
      <c r="AE18" s="553" t="s">
        <v>557</v>
      </c>
      <c r="AF18" s="559" t="s">
        <v>557</v>
      </c>
      <c r="AG18" s="559" t="s">
        <v>557</v>
      </c>
      <c r="AH18" s="553" t="e">
        <f t="shared" si="9"/>
        <v>#VALUE!</v>
      </c>
      <c r="AI18" s="638"/>
      <c r="AJ18" s="553" t="s">
        <v>557</v>
      </c>
      <c r="AK18" s="559" t="s">
        <v>557</v>
      </c>
      <c r="AL18" s="559" t="s">
        <v>557</v>
      </c>
      <c r="AM18" s="553" t="e">
        <f t="shared" si="11"/>
        <v>#VALUE!</v>
      </c>
      <c r="AN18" s="638"/>
      <c r="AO18" s="553" t="s">
        <v>557</v>
      </c>
      <c r="AP18" s="559" t="s">
        <v>557</v>
      </c>
      <c r="AQ18" s="559" t="s">
        <v>557</v>
      </c>
      <c r="AR18" s="553" t="e">
        <f t="shared" si="13"/>
        <v>#VALUE!</v>
      </c>
      <c r="AS18" s="638"/>
      <c r="AT18" s="553" t="s">
        <v>557</v>
      </c>
      <c r="AU18" s="559" t="s">
        <v>557</v>
      </c>
      <c r="AV18" s="559" t="s">
        <v>557</v>
      </c>
      <c r="AW18" s="553" t="e">
        <f t="shared" si="15"/>
        <v>#VALUE!</v>
      </c>
      <c r="AX18" s="638"/>
      <c r="AZ18" s="358" t="e">
        <f t="shared" si="17"/>
        <v>#N/A</v>
      </c>
      <c r="BA18" s="694"/>
    </row>
    <row r="19" spans="2:53">
      <c r="B19" s="643"/>
      <c r="C19" s="555">
        <v>13</v>
      </c>
      <c r="D19" s="340"/>
      <c r="E19" s="471"/>
      <c r="F19" s="471"/>
      <c r="G19" s="471"/>
      <c r="H19" s="651"/>
      <c r="I19" s="554" t="str">
        <f t="shared" si="0"/>
        <v>-</v>
      </c>
      <c r="J19" s="554" t="str">
        <f t="shared" si="1"/>
        <v>-</v>
      </c>
      <c r="K19" s="194" t="str">
        <f t="shared" si="2"/>
        <v>-</v>
      </c>
      <c r="L19" s="653"/>
      <c r="M19" s="471" t="e">
        <f>RANK(K19, K$87:$K$101)</f>
        <v>#VALUE!</v>
      </c>
      <c r="N19" s="637"/>
      <c r="O19" s="637"/>
      <c r="P19" s="553" t="s">
        <v>557</v>
      </c>
      <c r="Q19" s="559" t="s">
        <v>557</v>
      </c>
      <c r="R19" s="559" t="s">
        <v>557</v>
      </c>
      <c r="S19" s="553" t="e">
        <f t="shared" si="3"/>
        <v>#VALUE!</v>
      </c>
      <c r="T19" s="638"/>
      <c r="U19" s="553" t="s">
        <v>557</v>
      </c>
      <c r="V19" s="559" t="s">
        <v>557</v>
      </c>
      <c r="W19" s="559" t="s">
        <v>557</v>
      </c>
      <c r="X19" s="553" t="e">
        <f t="shared" si="5"/>
        <v>#VALUE!</v>
      </c>
      <c r="Y19" s="638"/>
      <c r="Z19" s="553" t="s">
        <v>557</v>
      </c>
      <c r="AA19" s="559" t="s">
        <v>557</v>
      </c>
      <c r="AB19" s="559" t="s">
        <v>557</v>
      </c>
      <c r="AC19" s="553" t="e">
        <f t="shared" si="7"/>
        <v>#VALUE!</v>
      </c>
      <c r="AD19" s="638"/>
      <c r="AE19" s="553" t="s">
        <v>557</v>
      </c>
      <c r="AF19" s="559" t="s">
        <v>557</v>
      </c>
      <c r="AG19" s="559" t="s">
        <v>557</v>
      </c>
      <c r="AH19" s="553" t="e">
        <f t="shared" si="9"/>
        <v>#VALUE!</v>
      </c>
      <c r="AI19" s="638"/>
      <c r="AJ19" s="553" t="s">
        <v>557</v>
      </c>
      <c r="AK19" s="559" t="s">
        <v>557</v>
      </c>
      <c r="AL19" s="559" t="s">
        <v>557</v>
      </c>
      <c r="AM19" s="553" t="e">
        <f t="shared" si="11"/>
        <v>#VALUE!</v>
      </c>
      <c r="AN19" s="638"/>
      <c r="AO19" s="553" t="s">
        <v>557</v>
      </c>
      <c r="AP19" s="559" t="s">
        <v>557</v>
      </c>
      <c r="AQ19" s="559" t="s">
        <v>557</v>
      </c>
      <c r="AR19" s="553" t="e">
        <f t="shared" si="13"/>
        <v>#VALUE!</v>
      </c>
      <c r="AS19" s="638"/>
      <c r="AT19" s="553" t="s">
        <v>557</v>
      </c>
      <c r="AU19" s="559" t="s">
        <v>557</v>
      </c>
      <c r="AV19" s="559" t="s">
        <v>557</v>
      </c>
      <c r="AW19" s="553" t="e">
        <f t="shared" si="15"/>
        <v>#VALUE!</v>
      </c>
      <c r="AX19" s="638"/>
      <c r="AZ19" s="358" t="e">
        <f t="shared" si="17"/>
        <v>#N/A</v>
      </c>
      <c r="BA19" s="694"/>
    </row>
    <row r="20" spans="2:53">
      <c r="B20" s="643"/>
      <c r="C20" s="555">
        <v>14</v>
      </c>
      <c r="D20" s="340"/>
      <c r="E20" s="471"/>
      <c r="F20" s="471"/>
      <c r="G20" s="471"/>
      <c r="H20" s="651"/>
      <c r="I20" s="554" t="str">
        <f t="shared" si="0"/>
        <v>-</v>
      </c>
      <c r="J20" s="554" t="str">
        <f t="shared" si="1"/>
        <v>-</v>
      </c>
      <c r="K20" s="194" t="str">
        <f t="shared" si="2"/>
        <v>-</v>
      </c>
      <c r="L20" s="653"/>
      <c r="M20" s="471" t="e">
        <f>RANK(K20, K$87:$K$101)</f>
        <v>#VALUE!</v>
      </c>
      <c r="N20" s="637"/>
      <c r="O20" s="637"/>
      <c r="P20" s="553" t="s">
        <v>557</v>
      </c>
      <c r="Q20" s="559" t="s">
        <v>557</v>
      </c>
      <c r="R20" s="559" t="s">
        <v>557</v>
      </c>
      <c r="S20" s="553" t="e">
        <f t="shared" si="3"/>
        <v>#VALUE!</v>
      </c>
      <c r="T20" s="638"/>
      <c r="U20" s="553" t="s">
        <v>557</v>
      </c>
      <c r="V20" s="559" t="s">
        <v>557</v>
      </c>
      <c r="W20" s="559" t="s">
        <v>557</v>
      </c>
      <c r="X20" s="553" t="e">
        <f t="shared" si="5"/>
        <v>#VALUE!</v>
      </c>
      <c r="Y20" s="638"/>
      <c r="Z20" s="553" t="s">
        <v>557</v>
      </c>
      <c r="AA20" s="559" t="s">
        <v>557</v>
      </c>
      <c r="AB20" s="559" t="s">
        <v>557</v>
      </c>
      <c r="AC20" s="553" t="e">
        <f t="shared" si="7"/>
        <v>#VALUE!</v>
      </c>
      <c r="AD20" s="638"/>
      <c r="AE20" s="553" t="s">
        <v>557</v>
      </c>
      <c r="AF20" s="559" t="s">
        <v>557</v>
      </c>
      <c r="AG20" s="559" t="s">
        <v>557</v>
      </c>
      <c r="AH20" s="553" t="e">
        <f t="shared" si="9"/>
        <v>#VALUE!</v>
      </c>
      <c r="AI20" s="638"/>
      <c r="AJ20" s="553" t="s">
        <v>557</v>
      </c>
      <c r="AK20" s="559" t="s">
        <v>557</v>
      </c>
      <c r="AL20" s="559" t="s">
        <v>557</v>
      </c>
      <c r="AM20" s="553" t="e">
        <f t="shared" si="11"/>
        <v>#VALUE!</v>
      </c>
      <c r="AN20" s="638"/>
      <c r="AO20" s="553" t="s">
        <v>557</v>
      </c>
      <c r="AP20" s="559" t="s">
        <v>557</v>
      </c>
      <c r="AQ20" s="559" t="s">
        <v>557</v>
      </c>
      <c r="AR20" s="553" t="e">
        <f t="shared" si="13"/>
        <v>#VALUE!</v>
      </c>
      <c r="AS20" s="638"/>
      <c r="AT20" s="553" t="s">
        <v>557</v>
      </c>
      <c r="AU20" s="559" t="s">
        <v>557</v>
      </c>
      <c r="AV20" s="559" t="s">
        <v>557</v>
      </c>
      <c r="AW20" s="553" t="e">
        <f t="shared" si="15"/>
        <v>#VALUE!</v>
      </c>
      <c r="AX20" s="638"/>
      <c r="AZ20" s="358" t="e">
        <f t="shared" si="17"/>
        <v>#N/A</v>
      </c>
      <c r="BA20" s="694"/>
    </row>
    <row r="21" spans="2:53">
      <c r="B21" s="643"/>
      <c r="C21" s="555">
        <v>15</v>
      </c>
      <c r="D21" s="340"/>
      <c r="E21" s="471"/>
      <c r="F21" s="471"/>
      <c r="G21" s="471"/>
      <c r="H21" s="708"/>
      <c r="I21" s="471"/>
      <c r="J21" s="471"/>
      <c r="K21" s="557"/>
      <c r="L21" s="654"/>
      <c r="M21" s="471" t="e">
        <f>RANK(K21, K$87:$K$101)</f>
        <v>#N/A</v>
      </c>
      <c r="N21" s="637"/>
      <c r="O21" s="637"/>
      <c r="P21" s="553" t="s">
        <v>557</v>
      </c>
      <c r="Q21" s="559" t="s">
        <v>557</v>
      </c>
      <c r="R21" s="559" t="s">
        <v>557</v>
      </c>
      <c r="S21" s="553" t="e">
        <f t="shared" si="3"/>
        <v>#VALUE!</v>
      </c>
      <c r="T21" s="638"/>
      <c r="U21" s="553" t="s">
        <v>557</v>
      </c>
      <c r="V21" s="559" t="s">
        <v>557</v>
      </c>
      <c r="W21" s="559" t="s">
        <v>557</v>
      </c>
      <c r="X21" s="553" t="e">
        <f t="shared" si="5"/>
        <v>#VALUE!</v>
      </c>
      <c r="Y21" s="638"/>
      <c r="Z21" s="553" t="s">
        <v>557</v>
      </c>
      <c r="AA21" s="559" t="s">
        <v>557</v>
      </c>
      <c r="AB21" s="559" t="s">
        <v>557</v>
      </c>
      <c r="AC21" s="553" t="e">
        <f t="shared" si="7"/>
        <v>#VALUE!</v>
      </c>
      <c r="AD21" s="638"/>
      <c r="AE21" s="553" t="s">
        <v>557</v>
      </c>
      <c r="AF21" s="559" t="s">
        <v>557</v>
      </c>
      <c r="AG21" s="559" t="s">
        <v>557</v>
      </c>
      <c r="AH21" s="553" t="e">
        <f t="shared" si="9"/>
        <v>#VALUE!</v>
      </c>
      <c r="AI21" s="638"/>
      <c r="AJ21" s="553" t="s">
        <v>557</v>
      </c>
      <c r="AK21" s="559" t="s">
        <v>557</v>
      </c>
      <c r="AL21" s="559" t="s">
        <v>557</v>
      </c>
      <c r="AM21" s="553" t="e">
        <f t="shared" si="11"/>
        <v>#VALUE!</v>
      </c>
      <c r="AN21" s="638"/>
      <c r="AO21" s="553" t="s">
        <v>557</v>
      </c>
      <c r="AP21" s="559" t="s">
        <v>557</v>
      </c>
      <c r="AQ21" s="559" t="s">
        <v>557</v>
      </c>
      <c r="AR21" s="553" t="e">
        <f t="shared" si="13"/>
        <v>#VALUE!</v>
      </c>
      <c r="AS21" s="638"/>
      <c r="AT21" s="553" t="s">
        <v>557</v>
      </c>
      <c r="AU21" s="559" t="s">
        <v>557</v>
      </c>
      <c r="AV21" s="559" t="s">
        <v>557</v>
      </c>
      <c r="AW21" s="553" t="e">
        <f t="shared" si="15"/>
        <v>#VALUE!</v>
      </c>
      <c r="AX21" s="638"/>
      <c r="AZ21" s="358" t="e">
        <f t="shared" si="17"/>
        <v>#N/A</v>
      </c>
      <c r="BA21" s="694"/>
    </row>
    <row r="22" spans="2:53" ht="15.75">
      <c r="B22" s="676" t="s">
        <v>162</v>
      </c>
      <c r="C22" s="677"/>
      <c r="D22" s="677"/>
      <c r="E22" s="677"/>
      <c r="F22" s="677"/>
      <c r="G22" s="677"/>
      <c r="H22" s="677"/>
      <c r="I22" s="197"/>
      <c r="J22" s="197"/>
      <c r="K22" s="197"/>
      <c r="L22" s="197"/>
      <c r="M22" s="198"/>
      <c r="N22" s="639" t="s">
        <v>156</v>
      </c>
      <c r="O22" s="639" t="s">
        <v>105</v>
      </c>
      <c r="P22" s="664">
        <f>P2+7</f>
        <v>46301</v>
      </c>
      <c r="Q22" s="643"/>
      <c r="R22" s="643"/>
      <c r="S22" s="643"/>
      <c r="T22" s="643"/>
      <c r="U22" s="661">
        <f>P22+1</f>
        <v>46302</v>
      </c>
      <c r="V22" s="662"/>
      <c r="W22" s="662"/>
      <c r="X22" s="662"/>
      <c r="Y22" s="663"/>
      <c r="Z22" s="661">
        <f>U22+1</f>
        <v>46303</v>
      </c>
      <c r="AA22" s="662"/>
      <c r="AB22" s="662"/>
      <c r="AC22" s="662"/>
      <c r="AD22" s="663"/>
      <c r="AE22" s="661">
        <f>Z22+1</f>
        <v>46304</v>
      </c>
      <c r="AF22" s="662"/>
      <c r="AG22" s="662"/>
      <c r="AH22" s="662"/>
      <c r="AI22" s="663"/>
      <c r="AJ22" s="661">
        <f>AE22+1</f>
        <v>46305</v>
      </c>
      <c r="AK22" s="662"/>
      <c r="AL22" s="662"/>
      <c r="AM22" s="662"/>
      <c r="AN22" s="663"/>
      <c r="AO22" s="661">
        <f>AJ22+1</f>
        <v>46306</v>
      </c>
      <c r="AP22" s="662"/>
      <c r="AQ22" s="662"/>
      <c r="AR22" s="662"/>
      <c r="AS22" s="663"/>
      <c r="AT22" s="661">
        <f>AO22+1</f>
        <v>46307</v>
      </c>
      <c r="AU22" s="662"/>
      <c r="AV22" s="662"/>
      <c r="AW22" s="662"/>
      <c r="AX22" s="663"/>
    </row>
    <row r="23" spans="2:53" ht="15.75">
      <c r="B23" s="668"/>
      <c r="C23" s="668"/>
      <c r="D23" s="668"/>
      <c r="E23" s="668"/>
      <c r="F23" s="668"/>
      <c r="G23" s="668"/>
      <c r="H23" s="668"/>
      <c r="I23" s="199"/>
      <c r="J23" s="199"/>
      <c r="K23" s="199"/>
      <c r="L23" s="199"/>
      <c r="M23" s="200"/>
      <c r="N23" s="641"/>
      <c r="O23" s="641"/>
      <c r="P23" s="664" t="s">
        <v>317</v>
      </c>
      <c r="Q23" s="643"/>
      <c r="R23" s="643"/>
      <c r="S23" s="643"/>
      <c r="T23" s="643"/>
      <c r="U23" s="664" t="s">
        <v>318</v>
      </c>
      <c r="V23" s="643"/>
      <c r="W23" s="643"/>
      <c r="X23" s="643"/>
      <c r="Y23" s="643"/>
      <c r="Z23" s="664" t="s">
        <v>319</v>
      </c>
      <c r="AA23" s="643"/>
      <c r="AB23" s="643"/>
      <c r="AC23" s="643"/>
      <c r="AD23" s="643"/>
      <c r="AE23" s="664" t="s">
        <v>320</v>
      </c>
      <c r="AF23" s="643"/>
      <c r="AG23" s="643"/>
      <c r="AH23" s="643"/>
      <c r="AI23" s="643"/>
      <c r="AJ23" s="664" t="s">
        <v>321</v>
      </c>
      <c r="AK23" s="643"/>
      <c r="AL23" s="643"/>
      <c r="AM23" s="643"/>
      <c r="AN23" s="643"/>
      <c r="AO23" s="664" t="s">
        <v>322</v>
      </c>
      <c r="AP23" s="643"/>
      <c r="AQ23" s="643"/>
      <c r="AR23" s="643"/>
      <c r="AS23" s="643"/>
      <c r="AT23" s="664" t="s">
        <v>323</v>
      </c>
      <c r="AU23" s="643"/>
      <c r="AV23" s="643"/>
      <c r="AW23" s="643"/>
      <c r="AX23" s="643"/>
    </row>
    <row r="24" spans="2:53">
      <c r="B24" s="637" t="s">
        <v>360</v>
      </c>
      <c r="C24" s="637" t="s">
        <v>370</v>
      </c>
      <c r="D24" s="637"/>
      <c r="E24" s="637" t="s">
        <v>361</v>
      </c>
      <c r="F24" s="637"/>
      <c r="G24" s="637"/>
      <c r="H24" s="669" t="s">
        <v>357</v>
      </c>
      <c r="I24" s="637" t="s">
        <v>362</v>
      </c>
      <c r="J24" s="637"/>
      <c r="K24" s="637"/>
      <c r="L24" s="669" t="s">
        <v>357</v>
      </c>
      <c r="M24" s="639" t="s">
        <v>358</v>
      </c>
      <c r="N24" s="637"/>
      <c r="O24" s="637" t="s">
        <v>363</v>
      </c>
      <c r="P24" s="655" t="s">
        <v>359</v>
      </c>
      <c r="Q24" s="656"/>
      <c r="R24" s="656"/>
      <c r="S24" s="657"/>
      <c r="T24" s="637" t="s">
        <v>357</v>
      </c>
      <c r="U24" s="655" t="s">
        <v>359</v>
      </c>
      <c r="V24" s="656"/>
      <c r="W24" s="656"/>
      <c r="X24" s="657"/>
      <c r="Y24" s="637" t="s">
        <v>357</v>
      </c>
      <c r="Z24" s="655" t="s">
        <v>359</v>
      </c>
      <c r="AA24" s="656"/>
      <c r="AB24" s="656"/>
      <c r="AC24" s="657"/>
      <c r="AD24" s="637" t="s">
        <v>357</v>
      </c>
      <c r="AE24" s="655" t="s">
        <v>359</v>
      </c>
      <c r="AF24" s="656"/>
      <c r="AG24" s="656"/>
      <c r="AH24" s="657"/>
      <c r="AI24" s="637" t="s">
        <v>357</v>
      </c>
      <c r="AJ24" s="655" t="s">
        <v>359</v>
      </c>
      <c r="AK24" s="656"/>
      <c r="AL24" s="656"/>
      <c r="AM24" s="657"/>
      <c r="AN24" s="637" t="s">
        <v>357</v>
      </c>
      <c r="AO24" s="655" t="s">
        <v>359</v>
      </c>
      <c r="AP24" s="656"/>
      <c r="AQ24" s="656"/>
      <c r="AR24" s="657"/>
      <c r="AS24" s="637" t="s">
        <v>357</v>
      </c>
      <c r="AT24" s="655" t="s">
        <v>359</v>
      </c>
      <c r="AU24" s="656"/>
      <c r="AV24" s="656"/>
      <c r="AW24" s="657"/>
      <c r="AX24" s="637" t="s">
        <v>357</v>
      </c>
      <c r="BA24" s="637" t="s">
        <v>534</v>
      </c>
    </row>
    <row r="25" spans="2:53">
      <c r="B25" s="637"/>
      <c r="C25" s="637"/>
      <c r="D25" s="637"/>
      <c r="E25" s="637" t="s">
        <v>364</v>
      </c>
      <c r="F25" s="637"/>
      <c r="G25" s="637"/>
      <c r="H25" s="670"/>
      <c r="I25" s="637" t="s">
        <v>364</v>
      </c>
      <c r="J25" s="637"/>
      <c r="K25" s="637"/>
      <c r="L25" s="670"/>
      <c r="M25" s="640"/>
      <c r="N25" s="637"/>
      <c r="O25" s="637"/>
      <c r="P25" s="655" t="s">
        <v>365</v>
      </c>
      <c r="Q25" s="656"/>
      <c r="R25" s="656"/>
      <c r="S25" s="657"/>
      <c r="T25" s="637"/>
      <c r="U25" s="655" t="s">
        <v>365</v>
      </c>
      <c r="V25" s="656"/>
      <c r="W25" s="656"/>
      <c r="X25" s="657"/>
      <c r="Y25" s="637"/>
      <c r="Z25" s="655" t="s">
        <v>365</v>
      </c>
      <c r="AA25" s="656"/>
      <c r="AB25" s="656"/>
      <c r="AC25" s="657"/>
      <c r="AD25" s="637"/>
      <c r="AE25" s="655" t="s">
        <v>365</v>
      </c>
      <c r="AF25" s="656"/>
      <c r="AG25" s="656"/>
      <c r="AH25" s="657"/>
      <c r="AI25" s="637"/>
      <c r="AJ25" s="655" t="s">
        <v>365</v>
      </c>
      <c r="AK25" s="656"/>
      <c r="AL25" s="656"/>
      <c r="AM25" s="657"/>
      <c r="AN25" s="637"/>
      <c r="AO25" s="655" t="s">
        <v>365</v>
      </c>
      <c r="AP25" s="656"/>
      <c r="AQ25" s="656"/>
      <c r="AR25" s="657"/>
      <c r="AS25" s="637"/>
      <c r="AT25" s="655" t="s">
        <v>365</v>
      </c>
      <c r="AU25" s="656"/>
      <c r="AV25" s="656"/>
      <c r="AW25" s="657"/>
      <c r="AX25" s="637"/>
      <c r="BA25" s="637"/>
    </row>
    <row r="26" spans="2:53">
      <c r="B26" s="637"/>
      <c r="C26" s="637"/>
      <c r="D26" s="637"/>
      <c r="E26" s="366" t="s">
        <v>366</v>
      </c>
      <c r="F26" s="366" t="s">
        <v>367</v>
      </c>
      <c r="G26" s="366" t="s">
        <v>368</v>
      </c>
      <c r="H26" s="671"/>
      <c r="I26" s="366" t="s">
        <v>366</v>
      </c>
      <c r="J26" s="366" t="s">
        <v>367</v>
      </c>
      <c r="K26" s="366" t="s">
        <v>368</v>
      </c>
      <c r="L26" s="671"/>
      <c r="M26" s="641"/>
      <c r="N26" s="637"/>
      <c r="O26" s="637"/>
      <c r="P26" s="366" t="s">
        <v>366</v>
      </c>
      <c r="Q26" s="366" t="s">
        <v>367</v>
      </c>
      <c r="R26" s="366" t="s">
        <v>368</v>
      </c>
      <c r="S26" s="366" t="s">
        <v>358</v>
      </c>
      <c r="T26" s="637"/>
      <c r="U26" s="366" t="s">
        <v>366</v>
      </c>
      <c r="V26" s="366" t="s">
        <v>367</v>
      </c>
      <c r="W26" s="366" t="s">
        <v>368</v>
      </c>
      <c r="X26" s="366" t="s">
        <v>358</v>
      </c>
      <c r="Y26" s="637"/>
      <c r="Z26" s="366" t="s">
        <v>366</v>
      </c>
      <c r="AA26" s="366" t="s">
        <v>367</v>
      </c>
      <c r="AB26" s="366" t="s">
        <v>368</v>
      </c>
      <c r="AC26" s="366" t="s">
        <v>358</v>
      </c>
      <c r="AD26" s="637"/>
      <c r="AE26" s="366" t="s">
        <v>366</v>
      </c>
      <c r="AF26" s="366" t="s">
        <v>367</v>
      </c>
      <c r="AG26" s="366" t="s">
        <v>368</v>
      </c>
      <c r="AH26" s="366" t="s">
        <v>358</v>
      </c>
      <c r="AI26" s="637"/>
      <c r="AJ26" s="366" t="s">
        <v>366</v>
      </c>
      <c r="AK26" s="366" t="s">
        <v>367</v>
      </c>
      <c r="AL26" s="366" t="s">
        <v>368</v>
      </c>
      <c r="AM26" s="366" t="s">
        <v>358</v>
      </c>
      <c r="AN26" s="637"/>
      <c r="AO26" s="366" t="s">
        <v>366</v>
      </c>
      <c r="AP26" s="366" t="s">
        <v>367</v>
      </c>
      <c r="AQ26" s="366" t="s">
        <v>368</v>
      </c>
      <c r="AR26" s="366" t="s">
        <v>358</v>
      </c>
      <c r="AS26" s="637"/>
      <c r="AT26" s="366" t="s">
        <v>366</v>
      </c>
      <c r="AU26" s="366" t="s">
        <v>367</v>
      </c>
      <c r="AV26" s="366" t="s">
        <v>368</v>
      </c>
      <c r="AW26" s="366" t="s">
        <v>358</v>
      </c>
      <c r="AX26" s="637"/>
      <c r="AZ26" s="356" t="s">
        <v>358</v>
      </c>
      <c r="BA26" s="637"/>
    </row>
    <row r="27" spans="2:53">
      <c r="B27" s="695" t="s">
        <v>369</v>
      </c>
      <c r="C27" s="368">
        <v>1</v>
      </c>
      <c r="D27" s="340" t="s">
        <v>350</v>
      </c>
      <c r="E27" s="471">
        <v>4</v>
      </c>
      <c r="F27" s="471">
        <v>2000</v>
      </c>
      <c r="G27" s="471">
        <v>500</v>
      </c>
      <c r="H27" s="650">
        <f>AVERAGE(G27:G41)</f>
        <v>240.60875420875422</v>
      </c>
      <c r="I27" s="369">
        <f t="shared" ref="I27:I40" si="19">IFERROR(AVERAGE(P27,U27,Z27,AE27,AJ27,AO27,AT27),"-")</f>
        <v>5</v>
      </c>
      <c r="J27" s="369">
        <f t="shared" ref="J27:J40" si="20">IFERROR(AVERAGE(Q27,V27,AA27,AF27,AK27,AP27,AU27),"-")</f>
        <v>2076.3561172464024</v>
      </c>
      <c r="K27" s="194">
        <f t="shared" ref="K27:K40" si="21">IFERROR(AVERAGE(R27,W27,AB27,AG27,AL27,AQ27,AV27),"-")</f>
        <v>415.27122344928051</v>
      </c>
      <c r="L27" s="652">
        <f>IFERROR(AVERAGE(K27:K41),"-")</f>
        <v>211.49932306740652</v>
      </c>
      <c r="M27" s="372">
        <f>RANK(K27, K$27:$K$41)</f>
        <v>2</v>
      </c>
      <c r="N27" s="637"/>
      <c r="O27" s="637"/>
      <c r="P27" s="560">
        <v>5</v>
      </c>
      <c r="Q27" s="562">
        <v>2095.1999999999994</v>
      </c>
      <c r="R27" s="562">
        <v>419.03999999999985</v>
      </c>
      <c r="S27" s="560">
        <f t="shared" ref="S27:S41" si="22">RANK(R27, R$27:R$41)</f>
        <v>2</v>
      </c>
      <c r="T27" s="632">
        <f t="shared" ref="T27" si="23">AVERAGE(R27:R41)</f>
        <v>212.8242011494516</v>
      </c>
      <c r="U27" s="560">
        <v>5</v>
      </c>
      <c r="V27" s="562">
        <v>2089.3333333333335</v>
      </c>
      <c r="W27" s="562">
        <v>417.86666666666667</v>
      </c>
      <c r="X27" s="560">
        <f t="shared" ref="X27:X41" si="24">RANK(W27, W$27:W$41)</f>
        <v>2</v>
      </c>
      <c r="Y27" s="632">
        <f t="shared" ref="Y27" si="25">AVERAGE(W27:W41)</f>
        <v>213.9657333133365</v>
      </c>
      <c r="Z27" s="560">
        <v>5</v>
      </c>
      <c r="AA27" s="562">
        <v>2089.7560975609749</v>
      </c>
      <c r="AB27" s="562">
        <v>417.951219512195</v>
      </c>
      <c r="AC27" s="560">
        <f t="shared" ref="AC27:AC41" si="26">RANK(AB27, AB$27:AB$41)</f>
        <v>1</v>
      </c>
      <c r="AD27" s="632">
        <f t="shared" ref="AD27" si="27">AVERAGE(AB27:AB41)</f>
        <v>211.31325898465704</v>
      </c>
      <c r="AE27" s="560">
        <v>5</v>
      </c>
      <c r="AF27" s="562">
        <v>2069.1891891891901</v>
      </c>
      <c r="AG27" s="562">
        <v>413.83783783783804</v>
      </c>
      <c r="AH27" s="560">
        <f t="shared" ref="AH27:AH41" si="28">RANK(AG27, AG$27:AG$41)</f>
        <v>2</v>
      </c>
      <c r="AI27" s="632">
        <f t="shared" ref="AI27" si="29">AVERAGE(AG27:AG41)</f>
        <v>210.82116457698373</v>
      </c>
      <c r="AJ27" s="560">
        <v>5</v>
      </c>
      <c r="AK27" s="562">
        <v>2070.8108108108117</v>
      </c>
      <c r="AL27" s="562">
        <v>414.16216216216236</v>
      </c>
      <c r="AM27" s="560">
        <f t="shared" ref="AM27:AM41" si="30">RANK(AL27, AL$27:AL$41)</f>
        <v>1</v>
      </c>
      <c r="AN27" s="632">
        <f t="shared" ref="AN27" si="31">AVERAGE(AL27:AL41)</f>
        <v>212.14256441657128</v>
      </c>
      <c r="AO27" s="560">
        <v>5</v>
      </c>
      <c r="AP27" s="562">
        <v>2052.2033898305085</v>
      </c>
      <c r="AQ27" s="562">
        <v>410.4406779661017</v>
      </c>
      <c r="AR27" s="560">
        <f t="shared" ref="AR27:AR41" si="32">RANK(AQ27, AQ$27:AQ$41)</f>
        <v>2</v>
      </c>
      <c r="AS27" s="632">
        <f t="shared" ref="AS27" si="33">AVERAGE(AQ27:AQ41)</f>
        <v>206.98728908062358</v>
      </c>
      <c r="AT27" s="560">
        <v>5</v>
      </c>
      <c r="AU27" s="562">
        <v>2068.0000000000005</v>
      </c>
      <c r="AV27" s="562">
        <v>413.60000000000008</v>
      </c>
      <c r="AW27" s="560">
        <f t="shared" ref="AW27:AW41" si="34">RANK(AV27, AV$27:AV$41)</f>
        <v>2</v>
      </c>
      <c r="AX27" s="632">
        <f t="shared" ref="AX27" si="35">AVERAGE(AV27:AV41)</f>
        <v>212.44104995022178</v>
      </c>
      <c r="AZ27" s="357" t="e">
        <f t="shared" ref="AZ27:AZ41" si="36">RANK(AY27, AY$27:AY$41)</f>
        <v>#N/A</v>
      </c>
      <c r="BA27" s="632" t="e">
        <f t="shared" ref="BA27" si="37">AVERAGE(AY27:AY41)</f>
        <v>#DIV/0!</v>
      </c>
    </row>
    <row r="28" spans="2:53">
      <c r="B28" s="643"/>
      <c r="C28" s="368">
        <v>2</v>
      </c>
      <c r="D28" s="340" t="s">
        <v>419</v>
      </c>
      <c r="E28" s="471">
        <v>4</v>
      </c>
      <c r="F28" s="471">
        <v>2000</v>
      </c>
      <c r="G28" s="471">
        <v>500</v>
      </c>
      <c r="H28" s="651"/>
      <c r="I28" s="369">
        <f t="shared" si="19"/>
        <v>5</v>
      </c>
      <c r="J28" s="369">
        <f t="shared" si="20"/>
        <v>2083.0831970780778</v>
      </c>
      <c r="K28" s="194">
        <f t="shared" si="21"/>
        <v>416.61663941561562</v>
      </c>
      <c r="L28" s="653"/>
      <c r="M28" s="375">
        <f>RANK(K28, K$27:$K$41)</f>
        <v>1</v>
      </c>
      <c r="N28" s="637"/>
      <c r="O28" s="637"/>
      <c r="P28" s="560">
        <v>5</v>
      </c>
      <c r="Q28" s="562">
        <v>2096.1702127659578</v>
      </c>
      <c r="R28" s="562">
        <v>419.23404255319156</v>
      </c>
      <c r="S28" s="560">
        <f t="shared" si="22"/>
        <v>1</v>
      </c>
      <c r="T28" s="633"/>
      <c r="U28" s="560">
        <v>5</v>
      </c>
      <c r="V28" s="562">
        <v>2127.272727272727</v>
      </c>
      <c r="W28" s="562">
        <v>425.45454545454538</v>
      </c>
      <c r="X28" s="560">
        <f t="shared" si="24"/>
        <v>1</v>
      </c>
      <c r="Y28" s="633"/>
      <c r="Z28" s="560">
        <v>5</v>
      </c>
      <c r="AA28" s="562">
        <v>2044.7368421052638</v>
      </c>
      <c r="AB28" s="562">
        <v>408.94736842105277</v>
      </c>
      <c r="AC28" s="560">
        <f t="shared" si="26"/>
        <v>2</v>
      </c>
      <c r="AD28" s="633"/>
      <c r="AE28" s="560">
        <v>5</v>
      </c>
      <c r="AF28" s="562">
        <v>2076.3636363636365</v>
      </c>
      <c r="AG28" s="562">
        <v>415.27272727272731</v>
      </c>
      <c r="AH28" s="560">
        <f t="shared" si="28"/>
        <v>1</v>
      </c>
      <c r="AI28" s="633"/>
      <c r="AJ28" s="560">
        <v>5</v>
      </c>
      <c r="AK28" s="562">
        <v>2058.8571428571436</v>
      </c>
      <c r="AL28" s="562">
        <v>411.77142857142871</v>
      </c>
      <c r="AM28" s="560">
        <f t="shared" si="30"/>
        <v>2</v>
      </c>
      <c r="AN28" s="633"/>
      <c r="AO28" s="560">
        <v>5</v>
      </c>
      <c r="AP28" s="562">
        <v>2094.5454545454545</v>
      </c>
      <c r="AQ28" s="562">
        <v>418.90909090909088</v>
      </c>
      <c r="AR28" s="560">
        <f t="shared" si="32"/>
        <v>1</v>
      </c>
      <c r="AS28" s="633"/>
      <c r="AT28" s="560">
        <v>5</v>
      </c>
      <c r="AU28" s="562">
        <v>2083.6363636363631</v>
      </c>
      <c r="AV28" s="562">
        <v>416.72727272727263</v>
      </c>
      <c r="AW28" s="560">
        <f t="shared" si="34"/>
        <v>1</v>
      </c>
      <c r="AX28" s="633"/>
      <c r="AZ28" s="357" t="e">
        <f t="shared" si="36"/>
        <v>#N/A</v>
      </c>
      <c r="BA28" s="633"/>
    </row>
    <row r="29" spans="2:53">
      <c r="B29" s="643"/>
      <c r="C29" s="368">
        <v>3</v>
      </c>
      <c r="D29" s="340" t="s">
        <v>549</v>
      </c>
      <c r="E29" s="471">
        <v>13</v>
      </c>
      <c r="F29" s="471">
        <v>2250</v>
      </c>
      <c r="G29" s="471">
        <v>173.1</v>
      </c>
      <c r="H29" s="651"/>
      <c r="I29" s="369">
        <f t="shared" si="19"/>
        <v>13</v>
      </c>
      <c r="J29" s="369">
        <f t="shared" si="20"/>
        <v>2099.8028682382383</v>
      </c>
      <c r="K29" s="194">
        <f t="shared" si="21"/>
        <v>161.52329755678758</v>
      </c>
      <c r="L29" s="653"/>
      <c r="M29" s="375">
        <f>RANK(K29, K$27:$K$41)</f>
        <v>7</v>
      </c>
      <c r="N29" s="637"/>
      <c r="O29" s="637"/>
      <c r="P29" s="560">
        <v>13</v>
      </c>
      <c r="Q29" s="562">
        <v>2104.1129032258068</v>
      </c>
      <c r="R29" s="562">
        <v>161.85483870967744</v>
      </c>
      <c r="S29" s="560">
        <f t="shared" si="22"/>
        <v>7</v>
      </c>
      <c r="T29" s="633"/>
      <c r="U29" s="560">
        <v>13</v>
      </c>
      <c r="V29" s="562">
        <v>2115.5789473684213</v>
      </c>
      <c r="W29" s="562">
        <v>162.73684210526318</v>
      </c>
      <c r="X29" s="560">
        <f t="shared" si="24"/>
        <v>7</v>
      </c>
      <c r="Y29" s="633"/>
      <c r="Z29" s="560">
        <v>13</v>
      </c>
      <c r="AA29" s="562">
        <v>2064.7058823529424</v>
      </c>
      <c r="AB29" s="562">
        <v>158.82352941176481</v>
      </c>
      <c r="AC29" s="560">
        <f t="shared" si="26"/>
        <v>7</v>
      </c>
      <c r="AD29" s="633"/>
      <c r="AE29" s="560">
        <v>13</v>
      </c>
      <c r="AF29" s="562">
        <v>2060.7600000000007</v>
      </c>
      <c r="AG29" s="562">
        <v>158.52000000000004</v>
      </c>
      <c r="AH29" s="560">
        <f t="shared" si="28"/>
        <v>7</v>
      </c>
      <c r="AI29" s="633"/>
      <c r="AJ29" s="560">
        <v>13</v>
      </c>
      <c r="AK29" s="562">
        <v>2108.4375000000005</v>
      </c>
      <c r="AL29" s="562">
        <v>162.18750000000003</v>
      </c>
      <c r="AM29" s="560">
        <f t="shared" si="30"/>
        <v>7</v>
      </c>
      <c r="AN29" s="633"/>
      <c r="AO29" s="560">
        <v>13</v>
      </c>
      <c r="AP29" s="562">
        <v>2116.7391304347825</v>
      </c>
      <c r="AQ29" s="562">
        <v>162.82608695652172</v>
      </c>
      <c r="AR29" s="560">
        <f t="shared" si="32"/>
        <v>6</v>
      </c>
      <c r="AS29" s="633"/>
      <c r="AT29" s="560">
        <v>13</v>
      </c>
      <c r="AU29" s="562">
        <v>2128.2857142857147</v>
      </c>
      <c r="AV29" s="562">
        <v>163.71428571428575</v>
      </c>
      <c r="AW29" s="560">
        <f t="shared" si="34"/>
        <v>7</v>
      </c>
      <c r="AX29" s="633"/>
      <c r="AZ29" s="357" t="e">
        <f t="shared" si="36"/>
        <v>#N/A</v>
      </c>
      <c r="BA29" s="633"/>
    </row>
    <row r="30" spans="2:53">
      <c r="B30" s="643"/>
      <c r="C30" s="368">
        <v>4</v>
      </c>
      <c r="D30" s="340" t="s">
        <v>351</v>
      </c>
      <c r="E30" s="471">
        <v>13</v>
      </c>
      <c r="F30" s="471">
        <v>2250</v>
      </c>
      <c r="G30" s="471">
        <v>173.1</v>
      </c>
      <c r="H30" s="651"/>
      <c r="I30" s="369">
        <f t="shared" si="19"/>
        <v>13</v>
      </c>
      <c r="J30" s="369">
        <f t="shared" si="20"/>
        <v>2150.5540569413552</v>
      </c>
      <c r="K30" s="194">
        <f t="shared" si="21"/>
        <v>165.42723514933502</v>
      </c>
      <c r="L30" s="653"/>
      <c r="M30" s="375">
        <f>RANK(K30, K$27:$K$41)</f>
        <v>6</v>
      </c>
      <c r="N30" s="637"/>
      <c r="O30" s="637"/>
      <c r="P30" s="560">
        <v>13</v>
      </c>
      <c r="Q30" s="562">
        <v>2139.5604395604387</v>
      </c>
      <c r="R30" s="562">
        <v>164.58157227387989</v>
      </c>
      <c r="S30" s="560">
        <f t="shared" si="22"/>
        <v>6</v>
      </c>
      <c r="T30" s="633"/>
      <c r="U30" s="560">
        <v>13</v>
      </c>
      <c r="V30" s="562">
        <v>2180.5063291139231</v>
      </c>
      <c r="W30" s="562">
        <v>167.7312560856864</v>
      </c>
      <c r="X30" s="560">
        <f t="shared" si="24"/>
        <v>6</v>
      </c>
      <c r="Y30" s="633"/>
      <c r="Z30" s="560">
        <v>13</v>
      </c>
      <c r="AA30" s="562">
        <v>2150.5263157894747</v>
      </c>
      <c r="AB30" s="562">
        <v>165.42510121457497</v>
      </c>
      <c r="AC30" s="560">
        <f t="shared" si="26"/>
        <v>6</v>
      </c>
      <c r="AD30" s="633"/>
      <c r="AE30" s="560">
        <v>13</v>
      </c>
      <c r="AF30" s="562">
        <v>2142.3529411764694</v>
      </c>
      <c r="AG30" s="562">
        <v>164.79638009049765</v>
      </c>
      <c r="AH30" s="560">
        <f t="shared" si="28"/>
        <v>6</v>
      </c>
      <c r="AI30" s="633"/>
      <c r="AJ30" s="560">
        <v>13</v>
      </c>
      <c r="AK30" s="562">
        <v>2133.3333333333326</v>
      </c>
      <c r="AL30" s="562">
        <v>164.10256410256403</v>
      </c>
      <c r="AM30" s="560">
        <f t="shared" si="30"/>
        <v>6</v>
      </c>
      <c r="AN30" s="633"/>
      <c r="AO30" s="560">
        <v>13</v>
      </c>
      <c r="AP30" s="562">
        <v>2158.7755102040824</v>
      </c>
      <c r="AQ30" s="562">
        <v>166.05965463108325</v>
      </c>
      <c r="AR30" s="560">
        <f t="shared" si="32"/>
        <v>5</v>
      </c>
      <c r="AS30" s="633"/>
      <c r="AT30" s="560">
        <v>13</v>
      </c>
      <c r="AU30" s="562">
        <v>2148.823529411764</v>
      </c>
      <c r="AV30" s="562">
        <v>165.29411764705875</v>
      </c>
      <c r="AW30" s="560">
        <f t="shared" si="34"/>
        <v>6</v>
      </c>
      <c r="AX30" s="633"/>
      <c r="AZ30" s="357" t="e">
        <f t="shared" si="36"/>
        <v>#N/A</v>
      </c>
      <c r="BA30" s="633"/>
    </row>
    <row r="31" spans="2:53">
      <c r="B31" s="643"/>
      <c r="C31" s="368">
        <v>5</v>
      </c>
      <c r="D31" s="340" t="s">
        <v>352</v>
      </c>
      <c r="E31" s="471">
        <v>10</v>
      </c>
      <c r="F31" s="471">
        <v>2769</v>
      </c>
      <c r="G31" s="471">
        <v>276.89999999999998</v>
      </c>
      <c r="H31" s="651"/>
      <c r="I31" s="369">
        <f t="shared" si="19"/>
        <v>10</v>
      </c>
      <c r="J31" s="369">
        <f t="shared" si="20"/>
        <v>2427.6376304547343</v>
      </c>
      <c r="K31" s="194">
        <f t="shared" si="21"/>
        <v>242.76376304547338</v>
      </c>
      <c r="L31" s="653"/>
      <c r="M31" s="375">
        <f>RANK(K31, K$27:$K$41)</f>
        <v>3</v>
      </c>
      <c r="N31" s="637"/>
      <c r="O31" s="637"/>
      <c r="P31" s="560">
        <v>10</v>
      </c>
      <c r="Q31" s="562">
        <v>2392.4210526315801</v>
      </c>
      <c r="R31" s="562">
        <v>239.24210526315801</v>
      </c>
      <c r="S31" s="560">
        <f t="shared" si="22"/>
        <v>3</v>
      </c>
      <c r="T31" s="633"/>
      <c r="U31" s="560">
        <v>10</v>
      </c>
      <c r="V31" s="562">
        <v>2421.9718309859159</v>
      </c>
      <c r="W31" s="562">
        <v>242.19718309859158</v>
      </c>
      <c r="X31" s="560">
        <f t="shared" si="24"/>
        <v>3</v>
      </c>
      <c r="Y31" s="633"/>
      <c r="Z31" s="560">
        <v>10</v>
      </c>
      <c r="AA31" s="562">
        <v>2389.3770491803275</v>
      </c>
      <c r="AB31" s="562">
        <v>238.93770491803275</v>
      </c>
      <c r="AC31" s="560">
        <f t="shared" si="26"/>
        <v>3</v>
      </c>
      <c r="AD31" s="633"/>
      <c r="AE31" s="560">
        <v>10</v>
      </c>
      <c r="AF31" s="562">
        <v>2445.0526315789498</v>
      </c>
      <c r="AG31" s="562">
        <v>244.50526315789497</v>
      </c>
      <c r="AH31" s="560">
        <f t="shared" si="28"/>
        <v>3</v>
      </c>
      <c r="AI31" s="633"/>
      <c r="AJ31" s="560">
        <v>10</v>
      </c>
      <c r="AK31" s="562">
        <v>2452.7999999999988</v>
      </c>
      <c r="AL31" s="562">
        <v>245.27999999999989</v>
      </c>
      <c r="AM31" s="560">
        <f t="shared" si="30"/>
        <v>3</v>
      </c>
      <c r="AN31" s="633"/>
      <c r="AO31" s="560">
        <v>10</v>
      </c>
      <c r="AP31" s="562">
        <v>2425.3793103448274</v>
      </c>
      <c r="AQ31" s="562">
        <v>242.53793103448274</v>
      </c>
      <c r="AR31" s="560">
        <f t="shared" si="32"/>
        <v>3</v>
      </c>
      <c r="AS31" s="633"/>
      <c r="AT31" s="560">
        <v>10</v>
      </c>
      <c r="AU31" s="562">
        <v>2466.4615384615386</v>
      </c>
      <c r="AV31" s="562">
        <v>246.64615384615385</v>
      </c>
      <c r="AW31" s="560">
        <f t="shared" si="34"/>
        <v>3</v>
      </c>
      <c r="AX31" s="633"/>
      <c r="AZ31" s="357" t="e">
        <f t="shared" si="36"/>
        <v>#N/A</v>
      </c>
      <c r="BA31" s="633"/>
    </row>
    <row r="32" spans="2:53">
      <c r="B32" s="643"/>
      <c r="C32" s="368">
        <v>6</v>
      </c>
      <c r="D32" s="340" t="s">
        <v>629</v>
      </c>
      <c r="E32" s="471">
        <v>11</v>
      </c>
      <c r="F32" s="471">
        <v>2250</v>
      </c>
      <c r="G32" s="471">
        <v>204.5</v>
      </c>
      <c r="H32" s="651"/>
      <c r="I32" s="369">
        <f t="shared" si="19"/>
        <v>11</v>
      </c>
      <c r="J32" s="369">
        <f t="shared" si="20"/>
        <v>2134.699991755776</v>
      </c>
      <c r="K32" s="194">
        <f t="shared" si="21"/>
        <v>194.06363561416148</v>
      </c>
      <c r="L32" s="653"/>
      <c r="M32" s="375">
        <f>RANK(K32, K$27:$K$41)</f>
        <v>4</v>
      </c>
      <c r="N32" s="637"/>
      <c r="O32" s="637"/>
      <c r="P32" s="560">
        <v>11</v>
      </c>
      <c r="Q32" s="562">
        <v>2163.2812499999995</v>
      </c>
      <c r="R32" s="562">
        <v>196.66193181818178</v>
      </c>
      <c r="S32" s="560">
        <f t="shared" si="22"/>
        <v>4</v>
      </c>
      <c r="T32" s="633"/>
      <c r="U32" s="560">
        <v>11</v>
      </c>
      <c r="V32" s="562">
        <v>2135.1379310344837</v>
      </c>
      <c r="W32" s="562">
        <v>194.10344827586215</v>
      </c>
      <c r="X32" s="560">
        <f t="shared" si="24"/>
        <v>5</v>
      </c>
      <c r="Y32" s="633"/>
      <c r="Z32" s="560">
        <v>11</v>
      </c>
      <c r="AA32" s="562">
        <v>2161.1086956521749</v>
      </c>
      <c r="AB32" s="562">
        <v>196.46442687747046</v>
      </c>
      <c r="AC32" s="560">
        <f t="shared" si="26"/>
        <v>4</v>
      </c>
      <c r="AD32" s="633"/>
      <c r="AE32" s="560">
        <v>11</v>
      </c>
      <c r="AF32" s="562">
        <v>2107.0129870129867</v>
      </c>
      <c r="AG32" s="562">
        <v>191.54663518299878</v>
      </c>
      <c r="AH32" s="560">
        <f t="shared" si="28"/>
        <v>4</v>
      </c>
      <c r="AI32" s="633"/>
      <c r="AJ32" s="560">
        <v>11</v>
      </c>
      <c r="AK32" s="562">
        <v>2134.8888888888896</v>
      </c>
      <c r="AL32" s="562">
        <v>194.08080808080814</v>
      </c>
      <c r="AM32" s="560">
        <f t="shared" si="30"/>
        <v>5</v>
      </c>
      <c r="AN32" s="633"/>
      <c r="AO32" s="560">
        <v>11</v>
      </c>
      <c r="AP32" s="562">
        <v>2130.414634146342</v>
      </c>
      <c r="AQ32" s="562">
        <v>193.67405764966745</v>
      </c>
      <c r="AR32" s="560">
        <f t="shared" si="32"/>
        <v>4</v>
      </c>
      <c r="AS32" s="633"/>
      <c r="AT32" s="560">
        <v>11</v>
      </c>
      <c r="AU32" s="562">
        <v>2111.0555555555561</v>
      </c>
      <c r="AV32" s="562">
        <v>191.91414141414145</v>
      </c>
      <c r="AW32" s="560">
        <f t="shared" si="34"/>
        <v>5</v>
      </c>
      <c r="AX32" s="633"/>
      <c r="AZ32" s="357" t="e">
        <f t="shared" si="36"/>
        <v>#N/A</v>
      </c>
      <c r="BA32" s="633"/>
    </row>
    <row r="33" spans="2:53">
      <c r="B33" s="643"/>
      <c r="C33" s="368">
        <v>7</v>
      </c>
      <c r="D33" s="340" t="s">
        <v>349</v>
      </c>
      <c r="E33" s="471">
        <v>18</v>
      </c>
      <c r="F33" s="471">
        <v>1200</v>
      </c>
      <c r="G33" s="471">
        <v>66.666666666666671</v>
      </c>
      <c r="H33" s="651"/>
      <c r="I33" s="369">
        <f t="shared" si="19"/>
        <v>18</v>
      </c>
      <c r="J33" s="369">
        <f t="shared" si="20"/>
        <v>1078.7965621221133</v>
      </c>
      <c r="K33" s="194">
        <f t="shared" si="21"/>
        <v>59.933142340117406</v>
      </c>
      <c r="L33" s="653"/>
      <c r="M33" s="375">
        <f>RANK(K33, K$27:$K$41)</f>
        <v>8</v>
      </c>
      <c r="N33" s="637"/>
      <c r="O33" s="637"/>
      <c r="P33" s="560">
        <v>18</v>
      </c>
      <c r="Q33" s="562">
        <v>1085.510204081633</v>
      </c>
      <c r="R33" s="562">
        <v>60.306122448979607</v>
      </c>
      <c r="S33" s="560">
        <f t="shared" si="22"/>
        <v>8</v>
      </c>
      <c r="T33" s="633"/>
      <c r="U33" s="560">
        <v>18</v>
      </c>
      <c r="V33" s="562">
        <v>1089.655172413793</v>
      </c>
      <c r="W33" s="562">
        <v>60.536398467432946</v>
      </c>
      <c r="X33" s="560">
        <f t="shared" si="24"/>
        <v>8</v>
      </c>
      <c r="Y33" s="633"/>
      <c r="Z33" s="560">
        <v>18</v>
      </c>
      <c r="AA33" s="562">
        <v>1070.5263157894738</v>
      </c>
      <c r="AB33" s="562">
        <v>59.473684210526322</v>
      </c>
      <c r="AC33" s="560">
        <f t="shared" si="26"/>
        <v>9</v>
      </c>
      <c r="AD33" s="633"/>
      <c r="AE33" s="560">
        <v>18</v>
      </c>
      <c r="AF33" s="562">
        <v>1052.0547945205471</v>
      </c>
      <c r="AG33" s="562">
        <v>58.44748858447484</v>
      </c>
      <c r="AH33" s="560">
        <f t="shared" si="28"/>
        <v>9</v>
      </c>
      <c r="AI33" s="633"/>
      <c r="AJ33" s="560">
        <v>18</v>
      </c>
      <c r="AK33" s="562">
        <v>1085.7534246575335</v>
      </c>
      <c r="AL33" s="562">
        <v>60.319634703196307</v>
      </c>
      <c r="AM33" s="560">
        <f t="shared" si="30"/>
        <v>8</v>
      </c>
      <c r="AN33" s="633"/>
      <c r="AO33" s="560">
        <v>18</v>
      </c>
      <c r="AP33" s="562">
        <v>1099.444444444445</v>
      </c>
      <c r="AQ33" s="562">
        <v>61.080246913580282</v>
      </c>
      <c r="AR33" s="560">
        <f t="shared" si="32"/>
        <v>8</v>
      </c>
      <c r="AS33" s="633"/>
      <c r="AT33" s="560">
        <v>18</v>
      </c>
      <c r="AU33" s="562">
        <v>1068.6315789473686</v>
      </c>
      <c r="AV33" s="562">
        <v>59.368421052631589</v>
      </c>
      <c r="AW33" s="560">
        <f t="shared" si="34"/>
        <v>9</v>
      </c>
      <c r="AX33" s="633"/>
      <c r="AZ33" s="357" t="e">
        <f t="shared" si="36"/>
        <v>#N/A</v>
      </c>
      <c r="BA33" s="633"/>
    </row>
    <row r="34" spans="2:53">
      <c r="B34" s="643"/>
      <c r="C34" s="368">
        <v>8</v>
      </c>
      <c r="D34" s="340" t="s">
        <v>660</v>
      </c>
      <c r="E34" s="471">
        <v>11</v>
      </c>
      <c r="F34" s="471">
        <v>2250</v>
      </c>
      <c r="G34" s="471">
        <v>204.54545454545453</v>
      </c>
      <c r="H34" s="651"/>
      <c r="I34" s="369">
        <f t="shared" si="19"/>
        <v>11</v>
      </c>
      <c r="J34" s="369">
        <f t="shared" si="20"/>
        <v>2069.4045287167364</v>
      </c>
      <c r="K34" s="194">
        <f t="shared" si="21"/>
        <v>188.12768442879423</v>
      </c>
      <c r="L34" s="653"/>
      <c r="M34" s="375">
        <f>RANK(K34, K$27:$K$41)</f>
        <v>5</v>
      </c>
      <c r="N34" s="637"/>
      <c r="O34" s="637"/>
      <c r="P34" s="560">
        <v>11</v>
      </c>
      <c r="Q34" s="562">
        <v>2142.4528301886789</v>
      </c>
      <c r="R34" s="562">
        <v>194.76843910806173</v>
      </c>
      <c r="S34" s="560">
        <f t="shared" si="22"/>
        <v>5</v>
      </c>
      <c r="T34" s="633"/>
      <c r="U34" s="560">
        <v>11</v>
      </c>
      <c r="V34" s="562">
        <v>2141.489361702128</v>
      </c>
      <c r="W34" s="562">
        <v>194.68085106382981</v>
      </c>
      <c r="X34" s="560">
        <f t="shared" si="24"/>
        <v>4</v>
      </c>
      <c r="Y34" s="633"/>
      <c r="Z34" s="560">
        <v>11</v>
      </c>
      <c r="AA34" s="562">
        <v>2159.2592592592587</v>
      </c>
      <c r="AB34" s="562">
        <v>196.29629629629625</v>
      </c>
      <c r="AC34" s="560">
        <f t="shared" si="26"/>
        <v>5</v>
      </c>
      <c r="AD34" s="633"/>
      <c r="AE34" s="560">
        <v>11</v>
      </c>
      <c r="AF34" s="562">
        <v>2094.5454545454554</v>
      </c>
      <c r="AG34" s="562">
        <v>190.41322314049594</v>
      </c>
      <c r="AH34" s="560">
        <f t="shared" si="28"/>
        <v>5</v>
      </c>
      <c r="AI34" s="633"/>
      <c r="AJ34" s="560">
        <v>11</v>
      </c>
      <c r="AK34" s="562">
        <v>2183.2499999999991</v>
      </c>
      <c r="AL34" s="562">
        <v>198.47727272727263</v>
      </c>
      <c r="AM34" s="560">
        <f t="shared" si="30"/>
        <v>4</v>
      </c>
      <c r="AN34" s="633"/>
      <c r="AO34" s="560">
        <v>11</v>
      </c>
      <c r="AP34" s="562">
        <v>1630.6111111111072</v>
      </c>
      <c r="AQ34" s="562">
        <v>148.23737373737339</v>
      </c>
      <c r="AR34" s="560">
        <f t="shared" si="32"/>
        <v>7</v>
      </c>
      <c r="AS34" s="633"/>
      <c r="AT34" s="560">
        <v>11</v>
      </c>
      <c r="AU34" s="562">
        <v>2134.2236842105272</v>
      </c>
      <c r="AV34" s="562">
        <v>194.02033492822974</v>
      </c>
      <c r="AW34" s="560">
        <f t="shared" si="34"/>
        <v>4</v>
      </c>
      <c r="AX34" s="633"/>
      <c r="AZ34" s="357" t="e">
        <f t="shared" si="36"/>
        <v>#N/A</v>
      </c>
      <c r="BA34" s="633"/>
    </row>
    <row r="35" spans="2:53">
      <c r="B35" s="643"/>
      <c r="C35" s="368">
        <v>9</v>
      </c>
      <c r="D35" s="340" t="s">
        <v>582</v>
      </c>
      <c r="E35" s="471">
        <v>18</v>
      </c>
      <c r="F35" s="471">
        <v>1200</v>
      </c>
      <c r="G35" s="471">
        <v>66.666666666666671</v>
      </c>
      <c r="H35" s="651"/>
      <c r="I35" s="369">
        <f t="shared" si="19"/>
        <v>18</v>
      </c>
      <c r="J35" s="369">
        <f t="shared" si="20"/>
        <v>1075.8111589276807</v>
      </c>
      <c r="K35" s="194">
        <f t="shared" si="21"/>
        <v>59.767286607093368</v>
      </c>
      <c r="L35" s="653"/>
      <c r="M35" s="375">
        <f>RANK(K35, K$27:$K$41)</f>
        <v>9</v>
      </c>
      <c r="N35" s="637"/>
      <c r="O35" s="637"/>
      <c r="P35" s="560">
        <v>18</v>
      </c>
      <c r="Q35" s="562">
        <v>1075.1176470588239</v>
      </c>
      <c r="R35" s="562">
        <v>59.728758169934657</v>
      </c>
      <c r="S35" s="560">
        <f t="shared" si="22"/>
        <v>9</v>
      </c>
      <c r="T35" s="633"/>
      <c r="U35" s="560">
        <v>18</v>
      </c>
      <c r="V35" s="562">
        <v>1086.9193548387107</v>
      </c>
      <c r="W35" s="562">
        <v>60.384408602150593</v>
      </c>
      <c r="X35" s="560">
        <f t="shared" si="24"/>
        <v>9</v>
      </c>
      <c r="Y35" s="633"/>
      <c r="Z35" s="560">
        <v>18</v>
      </c>
      <c r="AA35" s="562">
        <v>1071.0000000000011</v>
      </c>
      <c r="AB35" s="562">
        <v>59.500000000000064</v>
      </c>
      <c r="AC35" s="560">
        <f t="shared" si="26"/>
        <v>8</v>
      </c>
      <c r="AD35" s="633"/>
      <c r="AE35" s="560">
        <v>18</v>
      </c>
      <c r="AF35" s="562">
        <v>1080.9166666666656</v>
      </c>
      <c r="AG35" s="562">
        <v>60.050925925925867</v>
      </c>
      <c r="AH35" s="560">
        <f t="shared" si="28"/>
        <v>8</v>
      </c>
      <c r="AI35" s="633"/>
      <c r="AJ35" s="560">
        <v>18</v>
      </c>
      <c r="AK35" s="562">
        <v>1060.2307692307686</v>
      </c>
      <c r="AL35" s="562">
        <v>58.901709401709368</v>
      </c>
      <c r="AM35" s="560">
        <f t="shared" si="30"/>
        <v>9</v>
      </c>
      <c r="AN35" s="633"/>
      <c r="AO35" s="560">
        <v>18</v>
      </c>
      <c r="AP35" s="562">
        <v>1064.1686746987948</v>
      </c>
      <c r="AQ35" s="562">
        <v>59.12048192771082</v>
      </c>
      <c r="AR35" s="560">
        <f t="shared" si="32"/>
        <v>9</v>
      </c>
      <c r="AS35" s="633"/>
      <c r="AT35" s="560">
        <v>18</v>
      </c>
      <c r="AU35" s="562">
        <v>1092.325</v>
      </c>
      <c r="AV35" s="562">
        <v>60.684722222222227</v>
      </c>
      <c r="AW35" s="560">
        <f t="shared" si="34"/>
        <v>8</v>
      </c>
      <c r="AX35" s="633"/>
      <c r="AZ35" s="357" t="e">
        <f t="shared" si="36"/>
        <v>#N/A</v>
      </c>
      <c r="BA35" s="633"/>
    </row>
    <row r="36" spans="2:53">
      <c r="B36" s="643"/>
      <c r="C36" s="368">
        <v>10</v>
      </c>
      <c r="D36" s="340"/>
      <c r="E36" s="471"/>
      <c r="F36" s="471"/>
      <c r="G36" s="471"/>
      <c r="H36" s="651"/>
      <c r="I36" s="369" t="str">
        <f t="shared" si="19"/>
        <v>-</v>
      </c>
      <c r="J36" s="369" t="str">
        <f t="shared" si="20"/>
        <v>-</v>
      </c>
      <c r="K36" s="194" t="str">
        <f t="shared" si="21"/>
        <v>-</v>
      </c>
      <c r="L36" s="653"/>
      <c r="M36" s="375" t="e">
        <f>RANK(K36, K$27:$K$41)</f>
        <v>#VALUE!</v>
      </c>
      <c r="N36" s="637"/>
      <c r="O36" s="637"/>
      <c r="P36" s="560" t="s">
        <v>557</v>
      </c>
      <c r="Q36" s="562" t="s">
        <v>557</v>
      </c>
      <c r="R36" s="562" t="s">
        <v>557</v>
      </c>
      <c r="S36" s="560" t="e">
        <f t="shared" si="22"/>
        <v>#VALUE!</v>
      </c>
      <c r="T36" s="633"/>
      <c r="U36" s="560" t="s">
        <v>557</v>
      </c>
      <c r="V36" s="562" t="s">
        <v>557</v>
      </c>
      <c r="W36" s="562" t="s">
        <v>557</v>
      </c>
      <c r="X36" s="560" t="e">
        <f t="shared" si="24"/>
        <v>#VALUE!</v>
      </c>
      <c r="Y36" s="633"/>
      <c r="Z36" s="560" t="s">
        <v>557</v>
      </c>
      <c r="AA36" s="562" t="s">
        <v>557</v>
      </c>
      <c r="AB36" s="562" t="s">
        <v>557</v>
      </c>
      <c r="AC36" s="560" t="e">
        <f t="shared" si="26"/>
        <v>#VALUE!</v>
      </c>
      <c r="AD36" s="633"/>
      <c r="AE36" s="560" t="s">
        <v>557</v>
      </c>
      <c r="AF36" s="562" t="s">
        <v>557</v>
      </c>
      <c r="AG36" s="562" t="s">
        <v>557</v>
      </c>
      <c r="AH36" s="560" t="e">
        <f t="shared" si="28"/>
        <v>#VALUE!</v>
      </c>
      <c r="AI36" s="633"/>
      <c r="AJ36" s="560" t="s">
        <v>557</v>
      </c>
      <c r="AK36" s="562" t="s">
        <v>557</v>
      </c>
      <c r="AL36" s="562" t="s">
        <v>557</v>
      </c>
      <c r="AM36" s="560" t="e">
        <f t="shared" si="30"/>
        <v>#VALUE!</v>
      </c>
      <c r="AN36" s="633"/>
      <c r="AO36" s="560" t="s">
        <v>557</v>
      </c>
      <c r="AP36" s="562" t="s">
        <v>557</v>
      </c>
      <c r="AQ36" s="562" t="s">
        <v>557</v>
      </c>
      <c r="AR36" s="560" t="e">
        <f t="shared" si="32"/>
        <v>#VALUE!</v>
      </c>
      <c r="AS36" s="633"/>
      <c r="AT36" s="560" t="s">
        <v>557</v>
      </c>
      <c r="AU36" s="562" t="s">
        <v>557</v>
      </c>
      <c r="AV36" s="562" t="s">
        <v>557</v>
      </c>
      <c r="AW36" s="560" t="e">
        <f t="shared" si="34"/>
        <v>#VALUE!</v>
      </c>
      <c r="AX36" s="633"/>
      <c r="AZ36" s="357" t="e">
        <f t="shared" si="36"/>
        <v>#N/A</v>
      </c>
      <c r="BA36" s="633"/>
    </row>
    <row r="37" spans="2:53">
      <c r="B37" s="643"/>
      <c r="C37" s="368">
        <v>11</v>
      </c>
      <c r="D37" s="340"/>
      <c r="E37" s="471"/>
      <c r="F37" s="471"/>
      <c r="G37" s="471"/>
      <c r="H37" s="651"/>
      <c r="I37" s="369" t="str">
        <f t="shared" si="19"/>
        <v>-</v>
      </c>
      <c r="J37" s="369" t="str">
        <f t="shared" si="20"/>
        <v>-</v>
      </c>
      <c r="K37" s="194" t="str">
        <f t="shared" si="21"/>
        <v>-</v>
      </c>
      <c r="L37" s="653"/>
      <c r="M37" s="375" t="e">
        <f>RANK(K37, K$27:$K$41)</f>
        <v>#VALUE!</v>
      </c>
      <c r="N37" s="637"/>
      <c r="O37" s="637"/>
      <c r="P37" s="560" t="s">
        <v>557</v>
      </c>
      <c r="Q37" s="562" t="s">
        <v>557</v>
      </c>
      <c r="R37" s="562" t="s">
        <v>557</v>
      </c>
      <c r="S37" s="560" t="e">
        <f t="shared" si="22"/>
        <v>#VALUE!</v>
      </c>
      <c r="T37" s="633"/>
      <c r="U37" s="560" t="s">
        <v>557</v>
      </c>
      <c r="V37" s="562" t="s">
        <v>557</v>
      </c>
      <c r="W37" s="562" t="s">
        <v>557</v>
      </c>
      <c r="X37" s="560" t="e">
        <f t="shared" si="24"/>
        <v>#VALUE!</v>
      </c>
      <c r="Y37" s="633"/>
      <c r="Z37" s="560" t="s">
        <v>557</v>
      </c>
      <c r="AA37" s="562" t="s">
        <v>557</v>
      </c>
      <c r="AB37" s="562" t="s">
        <v>557</v>
      </c>
      <c r="AC37" s="560" t="e">
        <f t="shared" si="26"/>
        <v>#VALUE!</v>
      </c>
      <c r="AD37" s="633"/>
      <c r="AE37" s="560" t="s">
        <v>557</v>
      </c>
      <c r="AF37" s="562" t="s">
        <v>557</v>
      </c>
      <c r="AG37" s="562" t="s">
        <v>557</v>
      </c>
      <c r="AH37" s="560" t="e">
        <f t="shared" si="28"/>
        <v>#VALUE!</v>
      </c>
      <c r="AI37" s="633"/>
      <c r="AJ37" s="560" t="s">
        <v>557</v>
      </c>
      <c r="AK37" s="562" t="s">
        <v>557</v>
      </c>
      <c r="AL37" s="562" t="s">
        <v>557</v>
      </c>
      <c r="AM37" s="560" t="e">
        <f t="shared" si="30"/>
        <v>#VALUE!</v>
      </c>
      <c r="AN37" s="633"/>
      <c r="AO37" s="560" t="s">
        <v>557</v>
      </c>
      <c r="AP37" s="562" t="s">
        <v>557</v>
      </c>
      <c r="AQ37" s="562" t="s">
        <v>557</v>
      </c>
      <c r="AR37" s="560" t="e">
        <f t="shared" si="32"/>
        <v>#VALUE!</v>
      </c>
      <c r="AS37" s="633"/>
      <c r="AT37" s="560" t="s">
        <v>557</v>
      </c>
      <c r="AU37" s="562" t="s">
        <v>557</v>
      </c>
      <c r="AV37" s="562" t="s">
        <v>557</v>
      </c>
      <c r="AW37" s="560" t="e">
        <f t="shared" si="34"/>
        <v>#VALUE!</v>
      </c>
      <c r="AX37" s="633"/>
      <c r="AZ37" s="357" t="e">
        <f t="shared" si="36"/>
        <v>#N/A</v>
      </c>
      <c r="BA37" s="633"/>
    </row>
    <row r="38" spans="2:53">
      <c r="B38" s="643"/>
      <c r="C38" s="368">
        <v>12</v>
      </c>
      <c r="D38" s="340"/>
      <c r="E38" s="471"/>
      <c r="F38" s="471"/>
      <c r="G38" s="471"/>
      <c r="H38" s="651"/>
      <c r="I38" s="369" t="str">
        <f t="shared" si="19"/>
        <v>-</v>
      </c>
      <c r="J38" s="369" t="str">
        <f t="shared" si="20"/>
        <v>-</v>
      </c>
      <c r="K38" s="194" t="str">
        <f t="shared" si="21"/>
        <v>-</v>
      </c>
      <c r="L38" s="653"/>
      <c r="M38" s="375" t="e">
        <f>RANK(K38, K$27:$K$41)</f>
        <v>#VALUE!</v>
      </c>
      <c r="N38" s="637"/>
      <c r="O38" s="637"/>
      <c r="P38" s="560" t="s">
        <v>557</v>
      </c>
      <c r="Q38" s="562" t="s">
        <v>557</v>
      </c>
      <c r="R38" s="562" t="s">
        <v>557</v>
      </c>
      <c r="S38" s="560" t="e">
        <f t="shared" si="22"/>
        <v>#VALUE!</v>
      </c>
      <c r="T38" s="633"/>
      <c r="U38" s="560" t="s">
        <v>557</v>
      </c>
      <c r="V38" s="562" t="s">
        <v>557</v>
      </c>
      <c r="W38" s="562" t="s">
        <v>557</v>
      </c>
      <c r="X38" s="560" t="e">
        <f t="shared" si="24"/>
        <v>#VALUE!</v>
      </c>
      <c r="Y38" s="633"/>
      <c r="Z38" s="560" t="s">
        <v>557</v>
      </c>
      <c r="AA38" s="562" t="s">
        <v>557</v>
      </c>
      <c r="AB38" s="562" t="s">
        <v>557</v>
      </c>
      <c r="AC38" s="560" t="e">
        <f t="shared" si="26"/>
        <v>#VALUE!</v>
      </c>
      <c r="AD38" s="633"/>
      <c r="AE38" s="560" t="s">
        <v>557</v>
      </c>
      <c r="AF38" s="562" t="s">
        <v>557</v>
      </c>
      <c r="AG38" s="562" t="s">
        <v>557</v>
      </c>
      <c r="AH38" s="560" t="e">
        <f t="shared" si="28"/>
        <v>#VALUE!</v>
      </c>
      <c r="AI38" s="633"/>
      <c r="AJ38" s="560" t="s">
        <v>557</v>
      </c>
      <c r="AK38" s="562" t="s">
        <v>557</v>
      </c>
      <c r="AL38" s="562" t="s">
        <v>557</v>
      </c>
      <c r="AM38" s="560" t="e">
        <f t="shared" si="30"/>
        <v>#VALUE!</v>
      </c>
      <c r="AN38" s="633"/>
      <c r="AO38" s="560" t="s">
        <v>557</v>
      </c>
      <c r="AP38" s="562" t="s">
        <v>557</v>
      </c>
      <c r="AQ38" s="562" t="s">
        <v>557</v>
      </c>
      <c r="AR38" s="560" t="e">
        <f t="shared" si="32"/>
        <v>#VALUE!</v>
      </c>
      <c r="AS38" s="633"/>
      <c r="AT38" s="560" t="s">
        <v>557</v>
      </c>
      <c r="AU38" s="562" t="s">
        <v>557</v>
      </c>
      <c r="AV38" s="562" t="s">
        <v>557</v>
      </c>
      <c r="AW38" s="560" t="e">
        <f t="shared" si="34"/>
        <v>#VALUE!</v>
      </c>
      <c r="AX38" s="633"/>
      <c r="AZ38" s="357" t="e">
        <f t="shared" si="36"/>
        <v>#N/A</v>
      </c>
      <c r="BA38" s="633"/>
    </row>
    <row r="39" spans="2:53">
      <c r="B39" s="643"/>
      <c r="C39" s="368">
        <v>13</v>
      </c>
      <c r="D39" s="340"/>
      <c r="E39" s="471"/>
      <c r="F39" s="471"/>
      <c r="G39" s="471"/>
      <c r="H39" s="651"/>
      <c r="I39" s="369" t="str">
        <f t="shared" si="19"/>
        <v>-</v>
      </c>
      <c r="J39" s="369" t="str">
        <f t="shared" si="20"/>
        <v>-</v>
      </c>
      <c r="K39" s="194" t="str">
        <f t="shared" si="21"/>
        <v>-</v>
      </c>
      <c r="L39" s="653"/>
      <c r="M39" s="375" t="e">
        <f>RANK(K39, K$27:$K$41)</f>
        <v>#VALUE!</v>
      </c>
      <c r="N39" s="637"/>
      <c r="O39" s="637"/>
      <c r="P39" s="560" t="s">
        <v>557</v>
      </c>
      <c r="Q39" s="562" t="s">
        <v>557</v>
      </c>
      <c r="R39" s="562" t="s">
        <v>557</v>
      </c>
      <c r="S39" s="560" t="e">
        <f t="shared" si="22"/>
        <v>#VALUE!</v>
      </c>
      <c r="T39" s="633"/>
      <c r="U39" s="560" t="s">
        <v>557</v>
      </c>
      <c r="V39" s="562" t="s">
        <v>557</v>
      </c>
      <c r="W39" s="562" t="s">
        <v>557</v>
      </c>
      <c r="X39" s="560" t="e">
        <f t="shared" si="24"/>
        <v>#VALUE!</v>
      </c>
      <c r="Y39" s="633"/>
      <c r="Z39" s="560" t="s">
        <v>557</v>
      </c>
      <c r="AA39" s="562" t="s">
        <v>557</v>
      </c>
      <c r="AB39" s="562" t="s">
        <v>557</v>
      </c>
      <c r="AC39" s="560" t="e">
        <f t="shared" si="26"/>
        <v>#VALUE!</v>
      </c>
      <c r="AD39" s="633"/>
      <c r="AE39" s="560" t="s">
        <v>557</v>
      </c>
      <c r="AF39" s="562" t="s">
        <v>557</v>
      </c>
      <c r="AG39" s="562" t="s">
        <v>557</v>
      </c>
      <c r="AH39" s="560" t="e">
        <f t="shared" si="28"/>
        <v>#VALUE!</v>
      </c>
      <c r="AI39" s="633"/>
      <c r="AJ39" s="560" t="s">
        <v>557</v>
      </c>
      <c r="AK39" s="562" t="s">
        <v>557</v>
      </c>
      <c r="AL39" s="562" t="s">
        <v>557</v>
      </c>
      <c r="AM39" s="560" t="e">
        <f t="shared" si="30"/>
        <v>#VALUE!</v>
      </c>
      <c r="AN39" s="633"/>
      <c r="AO39" s="560" t="s">
        <v>557</v>
      </c>
      <c r="AP39" s="562" t="s">
        <v>557</v>
      </c>
      <c r="AQ39" s="562" t="s">
        <v>557</v>
      </c>
      <c r="AR39" s="560" t="e">
        <f t="shared" si="32"/>
        <v>#VALUE!</v>
      </c>
      <c r="AS39" s="633"/>
      <c r="AT39" s="560" t="s">
        <v>557</v>
      </c>
      <c r="AU39" s="562" t="s">
        <v>557</v>
      </c>
      <c r="AV39" s="562" t="s">
        <v>557</v>
      </c>
      <c r="AW39" s="560" t="e">
        <f t="shared" si="34"/>
        <v>#VALUE!</v>
      </c>
      <c r="AX39" s="633"/>
      <c r="AZ39" s="357" t="e">
        <f t="shared" si="36"/>
        <v>#N/A</v>
      </c>
      <c r="BA39" s="633"/>
    </row>
    <row r="40" spans="2:53">
      <c r="B40" s="643"/>
      <c r="C40" s="368">
        <v>14</v>
      </c>
      <c r="D40" s="340"/>
      <c r="E40" s="471"/>
      <c r="F40" s="471"/>
      <c r="G40" s="471"/>
      <c r="H40" s="651"/>
      <c r="I40" s="369" t="str">
        <f t="shared" si="19"/>
        <v>-</v>
      </c>
      <c r="J40" s="369" t="str">
        <f t="shared" si="20"/>
        <v>-</v>
      </c>
      <c r="K40" s="194" t="str">
        <f t="shared" si="21"/>
        <v>-</v>
      </c>
      <c r="L40" s="653"/>
      <c r="M40" s="375" t="e">
        <f>RANK(K40, K$27:$K$41)</f>
        <v>#VALUE!</v>
      </c>
      <c r="N40" s="637"/>
      <c r="O40" s="637"/>
      <c r="P40" s="560" t="s">
        <v>557</v>
      </c>
      <c r="Q40" s="562" t="s">
        <v>557</v>
      </c>
      <c r="R40" s="562" t="s">
        <v>557</v>
      </c>
      <c r="S40" s="560" t="e">
        <f t="shared" si="22"/>
        <v>#VALUE!</v>
      </c>
      <c r="T40" s="633"/>
      <c r="U40" s="560" t="s">
        <v>557</v>
      </c>
      <c r="V40" s="562" t="s">
        <v>557</v>
      </c>
      <c r="W40" s="562" t="s">
        <v>557</v>
      </c>
      <c r="X40" s="560" t="e">
        <f t="shared" si="24"/>
        <v>#VALUE!</v>
      </c>
      <c r="Y40" s="633"/>
      <c r="Z40" s="560" t="s">
        <v>557</v>
      </c>
      <c r="AA40" s="562" t="s">
        <v>557</v>
      </c>
      <c r="AB40" s="562" t="s">
        <v>557</v>
      </c>
      <c r="AC40" s="560" t="e">
        <f t="shared" si="26"/>
        <v>#VALUE!</v>
      </c>
      <c r="AD40" s="633"/>
      <c r="AE40" s="560" t="s">
        <v>557</v>
      </c>
      <c r="AF40" s="562" t="s">
        <v>557</v>
      </c>
      <c r="AG40" s="562" t="s">
        <v>557</v>
      </c>
      <c r="AH40" s="560" t="e">
        <f t="shared" si="28"/>
        <v>#VALUE!</v>
      </c>
      <c r="AI40" s="633"/>
      <c r="AJ40" s="560" t="s">
        <v>557</v>
      </c>
      <c r="AK40" s="562" t="s">
        <v>557</v>
      </c>
      <c r="AL40" s="562" t="s">
        <v>557</v>
      </c>
      <c r="AM40" s="560" t="e">
        <f t="shared" si="30"/>
        <v>#VALUE!</v>
      </c>
      <c r="AN40" s="633"/>
      <c r="AO40" s="560" t="s">
        <v>557</v>
      </c>
      <c r="AP40" s="562" t="s">
        <v>557</v>
      </c>
      <c r="AQ40" s="562" t="s">
        <v>557</v>
      </c>
      <c r="AR40" s="560" t="e">
        <f t="shared" si="32"/>
        <v>#VALUE!</v>
      </c>
      <c r="AS40" s="633"/>
      <c r="AT40" s="560" t="s">
        <v>557</v>
      </c>
      <c r="AU40" s="562" t="s">
        <v>557</v>
      </c>
      <c r="AV40" s="562" t="s">
        <v>557</v>
      </c>
      <c r="AW40" s="560" t="e">
        <f t="shared" si="34"/>
        <v>#VALUE!</v>
      </c>
      <c r="AX40" s="633"/>
      <c r="AZ40" s="357" t="e">
        <f t="shared" si="36"/>
        <v>#N/A</v>
      </c>
      <c r="BA40" s="633"/>
    </row>
    <row r="41" spans="2:53">
      <c r="B41" s="643"/>
      <c r="C41" s="368">
        <v>15</v>
      </c>
      <c r="D41" s="340"/>
      <c r="E41" s="471"/>
      <c r="F41" s="471"/>
      <c r="G41" s="471"/>
      <c r="H41" s="708"/>
      <c r="I41" s="372"/>
      <c r="J41" s="372"/>
      <c r="K41" s="370"/>
      <c r="L41" s="654"/>
      <c r="M41" s="375" t="e">
        <f>RANK(K41, K$27:$K$41)</f>
        <v>#N/A</v>
      </c>
      <c r="N41" s="637"/>
      <c r="O41" s="637"/>
      <c r="P41" s="560" t="s">
        <v>557</v>
      </c>
      <c r="Q41" s="562" t="s">
        <v>557</v>
      </c>
      <c r="R41" s="562" t="s">
        <v>557</v>
      </c>
      <c r="S41" s="560" t="e">
        <f t="shared" si="22"/>
        <v>#VALUE!</v>
      </c>
      <c r="T41" s="634"/>
      <c r="U41" s="560" t="s">
        <v>557</v>
      </c>
      <c r="V41" s="562" t="s">
        <v>557</v>
      </c>
      <c r="W41" s="562" t="s">
        <v>557</v>
      </c>
      <c r="X41" s="560" t="e">
        <f t="shared" si="24"/>
        <v>#VALUE!</v>
      </c>
      <c r="Y41" s="634"/>
      <c r="Z41" s="560" t="s">
        <v>557</v>
      </c>
      <c r="AA41" s="562" t="s">
        <v>557</v>
      </c>
      <c r="AB41" s="562" t="s">
        <v>557</v>
      </c>
      <c r="AC41" s="560" t="e">
        <f t="shared" si="26"/>
        <v>#VALUE!</v>
      </c>
      <c r="AD41" s="634"/>
      <c r="AE41" s="560" t="s">
        <v>557</v>
      </c>
      <c r="AF41" s="562" t="s">
        <v>557</v>
      </c>
      <c r="AG41" s="562" t="s">
        <v>557</v>
      </c>
      <c r="AH41" s="560" t="e">
        <f t="shared" si="28"/>
        <v>#VALUE!</v>
      </c>
      <c r="AI41" s="634"/>
      <c r="AJ41" s="560" t="s">
        <v>557</v>
      </c>
      <c r="AK41" s="562" t="s">
        <v>557</v>
      </c>
      <c r="AL41" s="562" t="s">
        <v>557</v>
      </c>
      <c r="AM41" s="560" t="e">
        <f t="shared" si="30"/>
        <v>#VALUE!</v>
      </c>
      <c r="AN41" s="634"/>
      <c r="AO41" s="560" t="s">
        <v>557</v>
      </c>
      <c r="AP41" s="562" t="s">
        <v>557</v>
      </c>
      <c r="AQ41" s="562" t="s">
        <v>557</v>
      </c>
      <c r="AR41" s="560" t="e">
        <f t="shared" si="32"/>
        <v>#VALUE!</v>
      </c>
      <c r="AS41" s="634"/>
      <c r="AT41" s="560" t="s">
        <v>557</v>
      </c>
      <c r="AU41" s="562" t="s">
        <v>557</v>
      </c>
      <c r="AV41" s="562" t="s">
        <v>557</v>
      </c>
      <c r="AW41" s="560" t="e">
        <f t="shared" si="34"/>
        <v>#VALUE!</v>
      </c>
      <c r="AX41" s="634"/>
      <c r="AZ41" s="357" t="e">
        <f t="shared" si="36"/>
        <v>#N/A</v>
      </c>
      <c r="BA41" s="634"/>
    </row>
    <row r="42" spans="2:53" ht="15.75">
      <c r="B42" s="676" t="s">
        <v>162</v>
      </c>
      <c r="C42" s="677"/>
      <c r="D42" s="677"/>
      <c r="E42" s="677"/>
      <c r="F42" s="677"/>
      <c r="G42" s="677"/>
      <c r="H42" s="677"/>
      <c r="I42" s="202"/>
      <c r="J42" s="197"/>
      <c r="K42" s="202"/>
      <c r="L42" s="202"/>
      <c r="M42" s="198"/>
      <c r="N42" s="639" t="s">
        <v>156</v>
      </c>
      <c r="O42" s="639" t="s">
        <v>105</v>
      </c>
      <c r="P42" s="664">
        <f>P22+7</f>
        <v>46308</v>
      </c>
      <c r="Q42" s="643"/>
      <c r="R42" s="643"/>
      <c r="S42" s="643"/>
      <c r="T42" s="643"/>
      <c r="U42" s="661">
        <f>P42+1</f>
        <v>46309</v>
      </c>
      <c r="V42" s="662"/>
      <c r="W42" s="662"/>
      <c r="X42" s="662"/>
      <c r="Y42" s="663"/>
      <c r="Z42" s="661">
        <f>U42+1</f>
        <v>46310</v>
      </c>
      <c r="AA42" s="662"/>
      <c r="AB42" s="662"/>
      <c r="AC42" s="662"/>
      <c r="AD42" s="663"/>
      <c r="AE42" s="661">
        <f>Z42+1</f>
        <v>46311</v>
      </c>
      <c r="AF42" s="662"/>
      <c r="AG42" s="662"/>
      <c r="AH42" s="662"/>
      <c r="AI42" s="663"/>
      <c r="AJ42" s="661">
        <f>AE42+1</f>
        <v>46312</v>
      </c>
      <c r="AK42" s="662"/>
      <c r="AL42" s="662"/>
      <c r="AM42" s="662"/>
      <c r="AN42" s="663"/>
      <c r="AO42" s="661">
        <f>AJ42+1</f>
        <v>46313</v>
      </c>
      <c r="AP42" s="662"/>
      <c r="AQ42" s="662"/>
      <c r="AR42" s="662"/>
      <c r="AS42" s="663"/>
      <c r="AT42" s="661">
        <f>AO42+1</f>
        <v>46314</v>
      </c>
      <c r="AU42" s="662"/>
      <c r="AV42" s="662"/>
      <c r="AW42" s="662"/>
      <c r="AX42" s="663"/>
    </row>
    <row r="43" spans="2:53" ht="15.75">
      <c r="B43" s="668"/>
      <c r="C43" s="668"/>
      <c r="D43" s="668"/>
      <c r="E43" s="668"/>
      <c r="F43" s="668"/>
      <c r="G43" s="668"/>
      <c r="H43" s="668"/>
      <c r="I43" s="199"/>
      <c r="J43" s="199"/>
      <c r="K43" s="199"/>
      <c r="L43" s="199"/>
      <c r="M43" s="200"/>
      <c r="N43" s="641"/>
      <c r="O43" s="641"/>
      <c r="P43" s="664" t="s">
        <v>317</v>
      </c>
      <c r="Q43" s="643"/>
      <c r="R43" s="643"/>
      <c r="S43" s="643"/>
      <c r="T43" s="643"/>
      <c r="U43" s="664" t="s">
        <v>318</v>
      </c>
      <c r="V43" s="643"/>
      <c r="W43" s="643"/>
      <c r="X43" s="643"/>
      <c r="Y43" s="643"/>
      <c r="Z43" s="664" t="s">
        <v>319</v>
      </c>
      <c r="AA43" s="643"/>
      <c r="AB43" s="643"/>
      <c r="AC43" s="643"/>
      <c r="AD43" s="643"/>
      <c r="AE43" s="664" t="s">
        <v>320</v>
      </c>
      <c r="AF43" s="643"/>
      <c r="AG43" s="643"/>
      <c r="AH43" s="643"/>
      <c r="AI43" s="643"/>
      <c r="AJ43" s="664" t="s">
        <v>321</v>
      </c>
      <c r="AK43" s="643"/>
      <c r="AL43" s="643"/>
      <c r="AM43" s="643"/>
      <c r="AN43" s="643"/>
      <c r="AO43" s="664" t="s">
        <v>322</v>
      </c>
      <c r="AP43" s="643"/>
      <c r="AQ43" s="643"/>
      <c r="AR43" s="643"/>
      <c r="AS43" s="643"/>
      <c r="AT43" s="664" t="s">
        <v>323</v>
      </c>
      <c r="AU43" s="643"/>
      <c r="AV43" s="643"/>
      <c r="AW43" s="643"/>
      <c r="AX43" s="643"/>
    </row>
    <row r="44" spans="2:53">
      <c r="B44" s="637" t="s">
        <v>360</v>
      </c>
      <c r="C44" s="637" t="s">
        <v>370</v>
      </c>
      <c r="D44" s="637"/>
      <c r="E44" s="637" t="s">
        <v>361</v>
      </c>
      <c r="F44" s="637"/>
      <c r="G44" s="637"/>
      <c r="H44" s="669" t="s">
        <v>357</v>
      </c>
      <c r="I44" s="637" t="s">
        <v>362</v>
      </c>
      <c r="J44" s="637"/>
      <c r="K44" s="637"/>
      <c r="L44" s="669" t="s">
        <v>357</v>
      </c>
      <c r="M44" s="639" t="s">
        <v>358</v>
      </c>
      <c r="N44" s="637"/>
      <c r="O44" s="637" t="s">
        <v>363</v>
      </c>
      <c r="P44" s="655" t="s">
        <v>359</v>
      </c>
      <c r="Q44" s="656"/>
      <c r="R44" s="656"/>
      <c r="S44" s="657"/>
      <c r="T44" s="637" t="s">
        <v>357</v>
      </c>
      <c r="U44" s="655" t="s">
        <v>359</v>
      </c>
      <c r="V44" s="656"/>
      <c r="W44" s="656"/>
      <c r="X44" s="657"/>
      <c r="Y44" s="637" t="s">
        <v>357</v>
      </c>
      <c r="Z44" s="655" t="s">
        <v>359</v>
      </c>
      <c r="AA44" s="656"/>
      <c r="AB44" s="656"/>
      <c r="AC44" s="657"/>
      <c r="AD44" s="637" t="s">
        <v>357</v>
      </c>
      <c r="AE44" s="655" t="s">
        <v>359</v>
      </c>
      <c r="AF44" s="656"/>
      <c r="AG44" s="656"/>
      <c r="AH44" s="657"/>
      <c r="AI44" s="637" t="s">
        <v>357</v>
      </c>
      <c r="AJ44" s="655" t="s">
        <v>359</v>
      </c>
      <c r="AK44" s="656"/>
      <c r="AL44" s="656"/>
      <c r="AM44" s="657"/>
      <c r="AN44" s="637" t="s">
        <v>357</v>
      </c>
      <c r="AO44" s="655" t="s">
        <v>359</v>
      </c>
      <c r="AP44" s="656"/>
      <c r="AQ44" s="656"/>
      <c r="AR44" s="657"/>
      <c r="AS44" s="637" t="s">
        <v>357</v>
      </c>
      <c r="AT44" s="655" t="s">
        <v>359</v>
      </c>
      <c r="AU44" s="656"/>
      <c r="AV44" s="656"/>
      <c r="AW44" s="657"/>
      <c r="AX44" s="637" t="s">
        <v>357</v>
      </c>
      <c r="BA44" s="637" t="s">
        <v>357</v>
      </c>
    </row>
    <row r="45" spans="2:53">
      <c r="B45" s="637"/>
      <c r="C45" s="637"/>
      <c r="D45" s="637"/>
      <c r="E45" s="637" t="s">
        <v>364</v>
      </c>
      <c r="F45" s="637"/>
      <c r="G45" s="637"/>
      <c r="H45" s="670"/>
      <c r="I45" s="637" t="s">
        <v>364</v>
      </c>
      <c r="J45" s="637"/>
      <c r="K45" s="637"/>
      <c r="L45" s="670"/>
      <c r="M45" s="640"/>
      <c r="N45" s="637"/>
      <c r="O45" s="637"/>
      <c r="P45" s="655" t="s">
        <v>365</v>
      </c>
      <c r="Q45" s="656"/>
      <c r="R45" s="656"/>
      <c r="S45" s="657"/>
      <c r="T45" s="637"/>
      <c r="U45" s="655" t="s">
        <v>365</v>
      </c>
      <c r="V45" s="656"/>
      <c r="W45" s="656"/>
      <c r="X45" s="657"/>
      <c r="Y45" s="637"/>
      <c r="Z45" s="655" t="s">
        <v>365</v>
      </c>
      <c r="AA45" s="656"/>
      <c r="AB45" s="656"/>
      <c r="AC45" s="657"/>
      <c r="AD45" s="637"/>
      <c r="AE45" s="655" t="s">
        <v>365</v>
      </c>
      <c r="AF45" s="656"/>
      <c r="AG45" s="656"/>
      <c r="AH45" s="657"/>
      <c r="AI45" s="637"/>
      <c r="AJ45" s="655" t="s">
        <v>365</v>
      </c>
      <c r="AK45" s="656"/>
      <c r="AL45" s="656"/>
      <c r="AM45" s="657"/>
      <c r="AN45" s="637"/>
      <c r="AO45" s="655" t="s">
        <v>365</v>
      </c>
      <c r="AP45" s="656"/>
      <c r="AQ45" s="656"/>
      <c r="AR45" s="657"/>
      <c r="AS45" s="637"/>
      <c r="AT45" s="655" t="s">
        <v>365</v>
      </c>
      <c r="AU45" s="656"/>
      <c r="AV45" s="656"/>
      <c r="AW45" s="657"/>
      <c r="AX45" s="637"/>
      <c r="BA45" s="637"/>
    </row>
    <row r="46" spans="2:53">
      <c r="B46" s="637"/>
      <c r="C46" s="637"/>
      <c r="D46" s="637"/>
      <c r="E46" s="366" t="s">
        <v>366</v>
      </c>
      <c r="F46" s="366" t="s">
        <v>367</v>
      </c>
      <c r="G46" s="366" t="s">
        <v>368</v>
      </c>
      <c r="H46" s="671"/>
      <c r="I46" s="366" t="s">
        <v>366</v>
      </c>
      <c r="J46" s="366" t="s">
        <v>367</v>
      </c>
      <c r="K46" s="366" t="s">
        <v>368</v>
      </c>
      <c r="L46" s="671"/>
      <c r="M46" s="641"/>
      <c r="N46" s="637"/>
      <c r="O46" s="637"/>
      <c r="P46" s="366" t="s">
        <v>366</v>
      </c>
      <c r="Q46" s="366" t="s">
        <v>367</v>
      </c>
      <c r="R46" s="366" t="s">
        <v>368</v>
      </c>
      <c r="S46" s="366" t="s">
        <v>358</v>
      </c>
      <c r="T46" s="637"/>
      <c r="U46" s="366" t="s">
        <v>366</v>
      </c>
      <c r="V46" s="366" t="s">
        <v>367</v>
      </c>
      <c r="W46" s="366" t="s">
        <v>368</v>
      </c>
      <c r="X46" s="366" t="s">
        <v>358</v>
      </c>
      <c r="Y46" s="637"/>
      <c r="Z46" s="366" t="s">
        <v>366</v>
      </c>
      <c r="AA46" s="366" t="s">
        <v>367</v>
      </c>
      <c r="AB46" s="366" t="s">
        <v>368</v>
      </c>
      <c r="AC46" s="366" t="s">
        <v>358</v>
      </c>
      <c r="AD46" s="637"/>
      <c r="AE46" s="366" t="s">
        <v>366</v>
      </c>
      <c r="AF46" s="366" t="s">
        <v>367</v>
      </c>
      <c r="AG46" s="366" t="s">
        <v>368</v>
      </c>
      <c r="AH46" s="366" t="s">
        <v>358</v>
      </c>
      <c r="AI46" s="637"/>
      <c r="AJ46" s="366" t="s">
        <v>366</v>
      </c>
      <c r="AK46" s="366" t="s">
        <v>367</v>
      </c>
      <c r="AL46" s="366" t="s">
        <v>368</v>
      </c>
      <c r="AM46" s="366" t="s">
        <v>358</v>
      </c>
      <c r="AN46" s="637"/>
      <c r="AO46" s="366" t="s">
        <v>366</v>
      </c>
      <c r="AP46" s="366" t="s">
        <v>367</v>
      </c>
      <c r="AQ46" s="366" t="s">
        <v>368</v>
      </c>
      <c r="AR46" s="366" t="s">
        <v>358</v>
      </c>
      <c r="AS46" s="637"/>
      <c r="AT46" s="366" t="s">
        <v>366</v>
      </c>
      <c r="AU46" s="366" t="s">
        <v>367</v>
      </c>
      <c r="AV46" s="366" t="s">
        <v>368</v>
      </c>
      <c r="AW46" s="366" t="s">
        <v>358</v>
      </c>
      <c r="AX46" s="637"/>
      <c r="AZ46" s="356" t="s">
        <v>546</v>
      </c>
      <c r="BA46" s="637"/>
    </row>
    <row r="47" spans="2:53">
      <c r="B47" s="695" t="s">
        <v>369</v>
      </c>
      <c r="C47" s="368">
        <v>1</v>
      </c>
      <c r="D47" s="340"/>
      <c r="E47" s="471"/>
      <c r="F47" s="471"/>
      <c r="G47" s="471"/>
      <c r="H47" s="650" t="e">
        <f>AVERAGE(G47:G61)</f>
        <v>#DIV/0!</v>
      </c>
      <c r="I47" s="369" t="str">
        <f t="shared" ref="I47:I60" si="38">IFERROR(AVERAGE(P47,U47,Z47,AE47,AJ47,AO47,AT47),"-")</f>
        <v>-</v>
      </c>
      <c r="J47" s="369" t="str">
        <f t="shared" ref="J47:J60" si="39">IFERROR(AVERAGE(Q47,V47,AA47,AF47,AK47,AP47,AU47),"-")</f>
        <v>-</v>
      </c>
      <c r="K47" s="194" t="str">
        <f t="shared" ref="K47:K60" si="40">IFERROR(AVERAGE(R47,W47,AB47,AG47,AL47,AQ47,AV47),"-")</f>
        <v>-</v>
      </c>
      <c r="L47" s="652" t="str">
        <f>IFERROR(AVERAGE(K47:K55),"-")</f>
        <v>-</v>
      </c>
      <c r="M47" s="390" t="e">
        <f>RANK(K47, K$47:$K$61)</f>
        <v>#VALUE!</v>
      </c>
      <c r="N47" s="637"/>
      <c r="O47" s="637"/>
      <c r="P47" s="538"/>
      <c r="Q47" s="540"/>
      <c r="R47" s="540"/>
      <c r="S47" s="538"/>
      <c r="T47" s="632"/>
      <c r="U47" s="538"/>
      <c r="V47" s="540"/>
      <c r="W47" s="540"/>
      <c r="X47" s="538"/>
      <c r="Y47" s="632"/>
      <c r="Z47" s="538"/>
      <c r="AA47" s="540"/>
      <c r="AB47" s="540"/>
      <c r="AC47" s="538"/>
      <c r="AD47" s="632"/>
      <c r="AE47" s="538"/>
      <c r="AF47" s="540"/>
      <c r="AG47" s="540"/>
      <c r="AH47" s="538"/>
      <c r="AI47" s="632"/>
      <c r="AJ47" s="538"/>
      <c r="AK47" s="540"/>
      <c r="AL47" s="540"/>
      <c r="AM47" s="538"/>
      <c r="AN47" s="632"/>
      <c r="AO47" s="538"/>
      <c r="AP47" s="540"/>
      <c r="AQ47" s="540"/>
      <c r="AR47" s="538"/>
      <c r="AS47" s="632"/>
      <c r="AT47" s="538"/>
      <c r="AU47" s="540"/>
      <c r="AV47" s="540"/>
      <c r="AW47" s="538"/>
      <c r="AX47" s="632"/>
      <c r="AZ47" s="357" t="e">
        <f t="shared" ref="AZ47:AZ61" si="41">RANK(AY47, AY$47:AY$61)</f>
        <v>#N/A</v>
      </c>
      <c r="BA47" s="632" t="e">
        <f t="shared" ref="BA47" si="42">AVERAGE(AY47:AY61)</f>
        <v>#DIV/0!</v>
      </c>
    </row>
    <row r="48" spans="2:53">
      <c r="B48" s="643"/>
      <c r="C48" s="368">
        <v>2</v>
      </c>
      <c r="D48" s="340"/>
      <c r="E48" s="471"/>
      <c r="F48" s="471"/>
      <c r="G48" s="471"/>
      <c r="H48" s="651"/>
      <c r="I48" s="369" t="str">
        <f t="shared" si="38"/>
        <v>-</v>
      </c>
      <c r="J48" s="369" t="str">
        <f t="shared" si="39"/>
        <v>-</v>
      </c>
      <c r="K48" s="194" t="str">
        <f t="shared" si="40"/>
        <v>-</v>
      </c>
      <c r="L48" s="653"/>
      <c r="M48" s="390" t="e">
        <f>RANK(K48, K$47:$K$61)</f>
        <v>#VALUE!</v>
      </c>
      <c r="N48" s="637"/>
      <c r="O48" s="637"/>
      <c r="P48" s="538"/>
      <c r="Q48" s="540"/>
      <c r="R48" s="540"/>
      <c r="S48" s="538"/>
      <c r="T48" s="633"/>
      <c r="U48" s="538"/>
      <c r="V48" s="540"/>
      <c r="W48" s="540"/>
      <c r="X48" s="538"/>
      <c r="Y48" s="633"/>
      <c r="Z48" s="538"/>
      <c r="AA48" s="540"/>
      <c r="AB48" s="540"/>
      <c r="AC48" s="538"/>
      <c r="AD48" s="633"/>
      <c r="AE48" s="538"/>
      <c r="AF48" s="540"/>
      <c r="AG48" s="540"/>
      <c r="AH48" s="538"/>
      <c r="AI48" s="633"/>
      <c r="AJ48" s="538"/>
      <c r="AK48" s="540"/>
      <c r="AL48" s="540"/>
      <c r="AM48" s="538"/>
      <c r="AN48" s="633"/>
      <c r="AO48" s="538"/>
      <c r="AP48" s="540"/>
      <c r="AQ48" s="540"/>
      <c r="AR48" s="538"/>
      <c r="AS48" s="633"/>
      <c r="AT48" s="538"/>
      <c r="AU48" s="540"/>
      <c r="AV48" s="540"/>
      <c r="AW48" s="538"/>
      <c r="AX48" s="633"/>
      <c r="AZ48" s="357" t="e">
        <f t="shared" si="41"/>
        <v>#N/A</v>
      </c>
      <c r="BA48" s="633"/>
    </row>
    <row r="49" spans="2:53">
      <c r="B49" s="643"/>
      <c r="C49" s="368">
        <v>3</v>
      </c>
      <c r="D49" s="340"/>
      <c r="E49" s="471"/>
      <c r="F49" s="471"/>
      <c r="G49" s="471"/>
      <c r="H49" s="651"/>
      <c r="I49" s="369" t="str">
        <f t="shared" si="38"/>
        <v>-</v>
      </c>
      <c r="J49" s="369" t="str">
        <f t="shared" si="39"/>
        <v>-</v>
      </c>
      <c r="K49" s="194" t="str">
        <f t="shared" si="40"/>
        <v>-</v>
      </c>
      <c r="L49" s="653"/>
      <c r="M49" s="390" t="e">
        <f>RANK(K49, K$47:$K$61)</f>
        <v>#VALUE!</v>
      </c>
      <c r="N49" s="637"/>
      <c r="O49" s="637"/>
      <c r="P49" s="538"/>
      <c r="Q49" s="540"/>
      <c r="R49" s="540"/>
      <c r="S49" s="538"/>
      <c r="T49" s="633"/>
      <c r="U49" s="538"/>
      <c r="V49" s="540"/>
      <c r="W49" s="540"/>
      <c r="X49" s="538"/>
      <c r="Y49" s="633"/>
      <c r="Z49" s="538"/>
      <c r="AA49" s="540"/>
      <c r="AB49" s="540"/>
      <c r="AC49" s="538"/>
      <c r="AD49" s="633"/>
      <c r="AE49" s="538"/>
      <c r="AF49" s="540"/>
      <c r="AG49" s="540"/>
      <c r="AH49" s="538"/>
      <c r="AI49" s="633"/>
      <c r="AJ49" s="538"/>
      <c r="AK49" s="540"/>
      <c r="AL49" s="540"/>
      <c r="AM49" s="538"/>
      <c r="AN49" s="633"/>
      <c r="AO49" s="538"/>
      <c r="AP49" s="540"/>
      <c r="AQ49" s="540"/>
      <c r="AR49" s="538"/>
      <c r="AS49" s="633"/>
      <c r="AT49" s="538"/>
      <c r="AU49" s="540"/>
      <c r="AV49" s="540"/>
      <c r="AW49" s="538"/>
      <c r="AX49" s="633"/>
      <c r="AZ49" s="357" t="e">
        <f t="shared" si="41"/>
        <v>#N/A</v>
      </c>
      <c r="BA49" s="633"/>
    </row>
    <row r="50" spans="2:53">
      <c r="B50" s="643"/>
      <c r="C50" s="368">
        <v>4</v>
      </c>
      <c r="D50" s="340"/>
      <c r="E50" s="471"/>
      <c r="F50" s="471"/>
      <c r="G50" s="471"/>
      <c r="H50" s="651"/>
      <c r="I50" s="369" t="str">
        <f t="shared" si="38"/>
        <v>-</v>
      </c>
      <c r="J50" s="369" t="str">
        <f t="shared" si="39"/>
        <v>-</v>
      </c>
      <c r="K50" s="194" t="str">
        <f t="shared" si="40"/>
        <v>-</v>
      </c>
      <c r="L50" s="653"/>
      <c r="M50" s="390" t="e">
        <f>RANK(K50, K$47:$K$61)</f>
        <v>#VALUE!</v>
      </c>
      <c r="N50" s="637"/>
      <c r="O50" s="637"/>
      <c r="P50" s="538"/>
      <c r="Q50" s="540"/>
      <c r="R50" s="540"/>
      <c r="S50" s="538"/>
      <c r="T50" s="633"/>
      <c r="U50" s="538"/>
      <c r="V50" s="540"/>
      <c r="W50" s="540"/>
      <c r="X50" s="538"/>
      <c r="Y50" s="633"/>
      <c r="Z50" s="538"/>
      <c r="AA50" s="540"/>
      <c r="AB50" s="540"/>
      <c r="AC50" s="538"/>
      <c r="AD50" s="633"/>
      <c r="AE50" s="538"/>
      <c r="AF50" s="540"/>
      <c r="AG50" s="540"/>
      <c r="AH50" s="538"/>
      <c r="AI50" s="633"/>
      <c r="AJ50" s="538"/>
      <c r="AK50" s="540"/>
      <c r="AL50" s="540"/>
      <c r="AM50" s="538"/>
      <c r="AN50" s="633"/>
      <c r="AO50" s="538"/>
      <c r="AP50" s="540"/>
      <c r="AQ50" s="540"/>
      <c r="AR50" s="538"/>
      <c r="AS50" s="633"/>
      <c r="AT50" s="538"/>
      <c r="AU50" s="540"/>
      <c r="AV50" s="540"/>
      <c r="AW50" s="538"/>
      <c r="AX50" s="633"/>
      <c r="AZ50" s="357" t="e">
        <f t="shared" si="41"/>
        <v>#N/A</v>
      </c>
      <c r="BA50" s="633"/>
    </row>
    <row r="51" spans="2:53">
      <c r="B51" s="643"/>
      <c r="C51" s="368">
        <v>5</v>
      </c>
      <c r="D51" s="340"/>
      <c r="E51" s="471"/>
      <c r="F51" s="471"/>
      <c r="G51" s="471"/>
      <c r="H51" s="651"/>
      <c r="I51" s="369" t="str">
        <f t="shared" si="38"/>
        <v>-</v>
      </c>
      <c r="J51" s="369" t="str">
        <f t="shared" si="39"/>
        <v>-</v>
      </c>
      <c r="K51" s="194" t="str">
        <f t="shared" si="40"/>
        <v>-</v>
      </c>
      <c r="L51" s="653"/>
      <c r="M51" s="390" t="e">
        <f>RANK(K51, K$47:$K$61)</f>
        <v>#VALUE!</v>
      </c>
      <c r="N51" s="637"/>
      <c r="O51" s="637"/>
      <c r="P51" s="538"/>
      <c r="Q51" s="540"/>
      <c r="R51" s="540"/>
      <c r="S51" s="538"/>
      <c r="T51" s="633"/>
      <c r="U51" s="538"/>
      <c r="V51" s="540"/>
      <c r="W51" s="540"/>
      <c r="X51" s="538"/>
      <c r="Y51" s="633"/>
      <c r="Z51" s="538"/>
      <c r="AA51" s="540"/>
      <c r="AB51" s="540"/>
      <c r="AC51" s="538"/>
      <c r="AD51" s="633"/>
      <c r="AE51" s="538"/>
      <c r="AF51" s="540"/>
      <c r="AG51" s="540"/>
      <c r="AH51" s="538"/>
      <c r="AI51" s="633"/>
      <c r="AJ51" s="538"/>
      <c r="AK51" s="540"/>
      <c r="AL51" s="540"/>
      <c r="AM51" s="538"/>
      <c r="AN51" s="633"/>
      <c r="AO51" s="538"/>
      <c r="AP51" s="540"/>
      <c r="AQ51" s="540"/>
      <c r="AR51" s="538"/>
      <c r="AS51" s="633"/>
      <c r="AT51" s="538"/>
      <c r="AU51" s="540"/>
      <c r="AV51" s="540"/>
      <c r="AW51" s="538"/>
      <c r="AX51" s="633"/>
      <c r="AZ51" s="357" t="e">
        <f t="shared" si="41"/>
        <v>#N/A</v>
      </c>
      <c r="BA51" s="633"/>
    </row>
    <row r="52" spans="2:53">
      <c r="B52" s="643"/>
      <c r="C52" s="368">
        <v>6</v>
      </c>
      <c r="D52" s="340"/>
      <c r="E52" s="471"/>
      <c r="F52" s="471"/>
      <c r="G52" s="471"/>
      <c r="H52" s="651"/>
      <c r="I52" s="369" t="str">
        <f t="shared" si="38"/>
        <v>-</v>
      </c>
      <c r="J52" s="369" t="str">
        <f t="shared" si="39"/>
        <v>-</v>
      </c>
      <c r="K52" s="194" t="str">
        <f t="shared" si="40"/>
        <v>-</v>
      </c>
      <c r="L52" s="653"/>
      <c r="M52" s="390" t="e">
        <f>RANK(K52, K$47:$K$61)</f>
        <v>#VALUE!</v>
      </c>
      <c r="N52" s="637"/>
      <c r="O52" s="637"/>
      <c r="P52" s="538"/>
      <c r="Q52" s="540"/>
      <c r="R52" s="540"/>
      <c r="S52" s="538"/>
      <c r="T52" s="633"/>
      <c r="U52" s="538"/>
      <c r="V52" s="540"/>
      <c r="W52" s="540"/>
      <c r="X52" s="538"/>
      <c r="Y52" s="633"/>
      <c r="Z52" s="538"/>
      <c r="AA52" s="540"/>
      <c r="AB52" s="540"/>
      <c r="AC52" s="538"/>
      <c r="AD52" s="633"/>
      <c r="AE52" s="538"/>
      <c r="AF52" s="540"/>
      <c r="AG52" s="540"/>
      <c r="AH52" s="538"/>
      <c r="AI52" s="633"/>
      <c r="AJ52" s="538"/>
      <c r="AK52" s="540"/>
      <c r="AL52" s="540"/>
      <c r="AM52" s="538"/>
      <c r="AN52" s="633"/>
      <c r="AO52" s="538"/>
      <c r="AP52" s="540"/>
      <c r="AQ52" s="540"/>
      <c r="AR52" s="538"/>
      <c r="AS52" s="633"/>
      <c r="AT52" s="538"/>
      <c r="AU52" s="540"/>
      <c r="AV52" s="540"/>
      <c r="AW52" s="538"/>
      <c r="AX52" s="633"/>
      <c r="AZ52" s="357" t="e">
        <f t="shared" si="41"/>
        <v>#N/A</v>
      </c>
      <c r="BA52" s="633"/>
    </row>
    <row r="53" spans="2:53">
      <c r="B53" s="643"/>
      <c r="C53" s="368">
        <v>7</v>
      </c>
      <c r="D53" s="340"/>
      <c r="E53" s="471"/>
      <c r="F53" s="471"/>
      <c r="G53" s="471"/>
      <c r="H53" s="651"/>
      <c r="I53" s="369" t="str">
        <f t="shared" si="38"/>
        <v>-</v>
      </c>
      <c r="J53" s="369" t="str">
        <f t="shared" si="39"/>
        <v>-</v>
      </c>
      <c r="K53" s="194" t="str">
        <f t="shared" si="40"/>
        <v>-</v>
      </c>
      <c r="L53" s="653"/>
      <c r="M53" s="390" t="e">
        <f>RANK(K53, K$47:$K$61)</f>
        <v>#VALUE!</v>
      </c>
      <c r="N53" s="637"/>
      <c r="O53" s="637"/>
      <c r="P53" s="538"/>
      <c r="Q53" s="540"/>
      <c r="R53" s="540"/>
      <c r="S53" s="538"/>
      <c r="T53" s="633"/>
      <c r="U53" s="538"/>
      <c r="V53" s="540"/>
      <c r="W53" s="540"/>
      <c r="X53" s="538"/>
      <c r="Y53" s="633"/>
      <c r="Z53" s="538"/>
      <c r="AA53" s="540"/>
      <c r="AB53" s="540"/>
      <c r="AC53" s="538"/>
      <c r="AD53" s="633"/>
      <c r="AE53" s="538"/>
      <c r="AF53" s="540"/>
      <c r="AG53" s="540"/>
      <c r="AH53" s="538"/>
      <c r="AI53" s="633"/>
      <c r="AJ53" s="538"/>
      <c r="AK53" s="540"/>
      <c r="AL53" s="540"/>
      <c r="AM53" s="538"/>
      <c r="AN53" s="633"/>
      <c r="AO53" s="538"/>
      <c r="AP53" s="540"/>
      <c r="AQ53" s="540"/>
      <c r="AR53" s="538"/>
      <c r="AS53" s="633"/>
      <c r="AT53" s="538"/>
      <c r="AU53" s="540"/>
      <c r="AV53" s="540"/>
      <c r="AW53" s="538"/>
      <c r="AX53" s="633"/>
      <c r="AZ53" s="357" t="e">
        <f t="shared" si="41"/>
        <v>#N/A</v>
      </c>
      <c r="BA53" s="633"/>
    </row>
    <row r="54" spans="2:53">
      <c r="B54" s="643"/>
      <c r="C54" s="368">
        <v>8</v>
      </c>
      <c r="D54" s="340"/>
      <c r="E54" s="471"/>
      <c r="F54" s="471"/>
      <c r="G54" s="471"/>
      <c r="H54" s="651"/>
      <c r="I54" s="369" t="str">
        <f t="shared" si="38"/>
        <v>-</v>
      </c>
      <c r="J54" s="369" t="str">
        <f t="shared" si="39"/>
        <v>-</v>
      </c>
      <c r="K54" s="194" t="str">
        <f t="shared" si="40"/>
        <v>-</v>
      </c>
      <c r="L54" s="653"/>
      <c r="M54" s="390" t="e">
        <f>RANK(K54, K$47:$K$61)</f>
        <v>#VALUE!</v>
      </c>
      <c r="N54" s="637"/>
      <c r="O54" s="637"/>
      <c r="P54" s="538"/>
      <c r="Q54" s="540"/>
      <c r="R54" s="540"/>
      <c r="S54" s="538"/>
      <c r="T54" s="633"/>
      <c r="U54" s="538"/>
      <c r="V54" s="540"/>
      <c r="W54" s="540"/>
      <c r="X54" s="538"/>
      <c r="Y54" s="633"/>
      <c r="Z54" s="538"/>
      <c r="AA54" s="540"/>
      <c r="AB54" s="540"/>
      <c r="AC54" s="538"/>
      <c r="AD54" s="633"/>
      <c r="AE54" s="538"/>
      <c r="AF54" s="540"/>
      <c r="AG54" s="540"/>
      <c r="AH54" s="538"/>
      <c r="AI54" s="633"/>
      <c r="AJ54" s="538"/>
      <c r="AK54" s="540"/>
      <c r="AL54" s="540"/>
      <c r="AM54" s="538"/>
      <c r="AN54" s="633"/>
      <c r="AO54" s="538"/>
      <c r="AP54" s="540"/>
      <c r="AQ54" s="540"/>
      <c r="AR54" s="538"/>
      <c r="AS54" s="633"/>
      <c r="AT54" s="538"/>
      <c r="AU54" s="540"/>
      <c r="AV54" s="540"/>
      <c r="AW54" s="538"/>
      <c r="AX54" s="633"/>
      <c r="AZ54" s="357" t="e">
        <f t="shared" si="41"/>
        <v>#N/A</v>
      </c>
      <c r="BA54" s="633"/>
    </row>
    <row r="55" spans="2:53">
      <c r="B55" s="643"/>
      <c r="C55" s="368">
        <v>9</v>
      </c>
      <c r="D55" s="340"/>
      <c r="E55" s="471"/>
      <c r="F55" s="471"/>
      <c r="G55" s="471"/>
      <c r="H55" s="651"/>
      <c r="I55" s="369" t="str">
        <f t="shared" si="38"/>
        <v>-</v>
      </c>
      <c r="J55" s="369" t="str">
        <f t="shared" si="39"/>
        <v>-</v>
      </c>
      <c r="K55" s="194" t="str">
        <f t="shared" si="40"/>
        <v>-</v>
      </c>
      <c r="L55" s="653"/>
      <c r="M55" s="390" t="e">
        <f>RANK(K55, K$47:$K$61)</f>
        <v>#VALUE!</v>
      </c>
      <c r="N55" s="637"/>
      <c r="O55" s="637"/>
      <c r="P55" s="538"/>
      <c r="Q55" s="540"/>
      <c r="R55" s="540"/>
      <c r="S55" s="538"/>
      <c r="T55" s="633"/>
      <c r="U55" s="538"/>
      <c r="V55" s="540"/>
      <c r="W55" s="540"/>
      <c r="X55" s="538"/>
      <c r="Y55" s="633"/>
      <c r="Z55" s="538"/>
      <c r="AA55" s="540"/>
      <c r="AB55" s="540"/>
      <c r="AC55" s="538"/>
      <c r="AD55" s="633"/>
      <c r="AE55" s="538"/>
      <c r="AF55" s="540"/>
      <c r="AG55" s="540"/>
      <c r="AH55" s="538"/>
      <c r="AI55" s="633"/>
      <c r="AJ55" s="538"/>
      <c r="AK55" s="540"/>
      <c r="AL55" s="540"/>
      <c r="AM55" s="538"/>
      <c r="AN55" s="633"/>
      <c r="AO55" s="538"/>
      <c r="AP55" s="540"/>
      <c r="AQ55" s="540"/>
      <c r="AR55" s="538"/>
      <c r="AS55" s="633"/>
      <c r="AT55" s="538"/>
      <c r="AU55" s="540"/>
      <c r="AV55" s="540"/>
      <c r="AW55" s="538"/>
      <c r="AX55" s="633"/>
      <c r="AZ55" s="357" t="e">
        <f t="shared" si="41"/>
        <v>#N/A</v>
      </c>
      <c r="BA55" s="633"/>
    </row>
    <row r="56" spans="2:53">
      <c r="B56" s="643"/>
      <c r="C56" s="368">
        <v>10</v>
      </c>
      <c r="D56" s="340"/>
      <c r="E56" s="471"/>
      <c r="F56" s="471"/>
      <c r="G56" s="471"/>
      <c r="H56" s="651"/>
      <c r="I56" s="369" t="str">
        <f t="shared" si="38"/>
        <v>-</v>
      </c>
      <c r="J56" s="369" t="str">
        <f t="shared" si="39"/>
        <v>-</v>
      </c>
      <c r="K56" s="194" t="str">
        <f t="shared" si="40"/>
        <v>-</v>
      </c>
      <c r="L56" s="653"/>
      <c r="M56" s="390" t="e">
        <f>RANK(K56, K$47:$K$61)</f>
        <v>#VALUE!</v>
      </c>
      <c r="N56" s="637"/>
      <c r="O56" s="637"/>
      <c r="P56" s="538"/>
      <c r="Q56" s="540"/>
      <c r="R56" s="540"/>
      <c r="S56" s="538"/>
      <c r="T56" s="633"/>
      <c r="U56" s="538"/>
      <c r="V56" s="540"/>
      <c r="W56" s="540"/>
      <c r="X56" s="538"/>
      <c r="Y56" s="633"/>
      <c r="Z56" s="538"/>
      <c r="AA56" s="540"/>
      <c r="AB56" s="540"/>
      <c r="AC56" s="538"/>
      <c r="AD56" s="633"/>
      <c r="AE56" s="538"/>
      <c r="AF56" s="540"/>
      <c r="AG56" s="540"/>
      <c r="AH56" s="538"/>
      <c r="AI56" s="633"/>
      <c r="AJ56" s="538"/>
      <c r="AK56" s="540"/>
      <c r="AL56" s="540"/>
      <c r="AM56" s="538"/>
      <c r="AN56" s="633"/>
      <c r="AO56" s="538"/>
      <c r="AP56" s="540"/>
      <c r="AQ56" s="540"/>
      <c r="AR56" s="538"/>
      <c r="AS56" s="633"/>
      <c r="AT56" s="538"/>
      <c r="AU56" s="540"/>
      <c r="AV56" s="540"/>
      <c r="AW56" s="538"/>
      <c r="AX56" s="633"/>
      <c r="AZ56" s="357" t="e">
        <f t="shared" si="41"/>
        <v>#N/A</v>
      </c>
      <c r="BA56" s="633"/>
    </row>
    <row r="57" spans="2:53">
      <c r="B57" s="643"/>
      <c r="C57" s="368">
        <v>11</v>
      </c>
      <c r="D57" s="340"/>
      <c r="E57" s="471"/>
      <c r="F57" s="471"/>
      <c r="G57" s="471"/>
      <c r="H57" s="651"/>
      <c r="I57" s="369" t="str">
        <f t="shared" si="38"/>
        <v>-</v>
      </c>
      <c r="J57" s="369" t="str">
        <f t="shared" si="39"/>
        <v>-</v>
      </c>
      <c r="K57" s="194" t="str">
        <f t="shared" si="40"/>
        <v>-</v>
      </c>
      <c r="L57" s="653"/>
      <c r="M57" s="390" t="e">
        <f>RANK(K57, K$47:$K$61)</f>
        <v>#VALUE!</v>
      </c>
      <c r="N57" s="637"/>
      <c r="O57" s="637"/>
      <c r="P57" s="538"/>
      <c r="Q57" s="540"/>
      <c r="R57" s="540"/>
      <c r="S57" s="538"/>
      <c r="T57" s="633"/>
      <c r="U57" s="538"/>
      <c r="V57" s="540"/>
      <c r="W57" s="540"/>
      <c r="X57" s="538"/>
      <c r="Y57" s="633"/>
      <c r="Z57" s="538"/>
      <c r="AA57" s="540"/>
      <c r="AB57" s="540"/>
      <c r="AC57" s="538"/>
      <c r="AD57" s="633"/>
      <c r="AE57" s="538"/>
      <c r="AF57" s="540"/>
      <c r="AG57" s="540"/>
      <c r="AH57" s="538"/>
      <c r="AI57" s="633"/>
      <c r="AJ57" s="538"/>
      <c r="AK57" s="540"/>
      <c r="AL57" s="540"/>
      <c r="AM57" s="538"/>
      <c r="AN57" s="633"/>
      <c r="AO57" s="538"/>
      <c r="AP57" s="540"/>
      <c r="AQ57" s="540"/>
      <c r="AR57" s="538"/>
      <c r="AS57" s="633"/>
      <c r="AT57" s="538"/>
      <c r="AU57" s="540"/>
      <c r="AV57" s="540"/>
      <c r="AW57" s="538"/>
      <c r="AX57" s="633"/>
      <c r="AZ57" s="357" t="e">
        <f t="shared" si="41"/>
        <v>#N/A</v>
      </c>
      <c r="BA57" s="633"/>
    </row>
    <row r="58" spans="2:53">
      <c r="B58" s="643"/>
      <c r="C58" s="368">
        <v>12</v>
      </c>
      <c r="D58" s="340"/>
      <c r="E58" s="471"/>
      <c r="F58" s="471"/>
      <c r="G58" s="471"/>
      <c r="H58" s="651"/>
      <c r="I58" s="369" t="str">
        <f t="shared" si="38"/>
        <v>-</v>
      </c>
      <c r="J58" s="369" t="str">
        <f t="shared" si="39"/>
        <v>-</v>
      </c>
      <c r="K58" s="194" t="str">
        <f t="shared" si="40"/>
        <v>-</v>
      </c>
      <c r="L58" s="653"/>
      <c r="M58" s="390" t="e">
        <f>RANK(K58, K$47:$K$61)</f>
        <v>#VALUE!</v>
      </c>
      <c r="N58" s="637"/>
      <c r="O58" s="637"/>
      <c r="P58" s="538"/>
      <c r="Q58" s="540"/>
      <c r="R58" s="540"/>
      <c r="S58" s="538"/>
      <c r="T58" s="633"/>
      <c r="U58" s="538"/>
      <c r="V58" s="540"/>
      <c r="W58" s="540"/>
      <c r="X58" s="538"/>
      <c r="Y58" s="633"/>
      <c r="Z58" s="538"/>
      <c r="AA58" s="540"/>
      <c r="AB58" s="540"/>
      <c r="AC58" s="538"/>
      <c r="AD58" s="633"/>
      <c r="AE58" s="538"/>
      <c r="AF58" s="540"/>
      <c r="AG58" s="540"/>
      <c r="AH58" s="538"/>
      <c r="AI58" s="633"/>
      <c r="AJ58" s="538"/>
      <c r="AK58" s="540"/>
      <c r="AL58" s="540"/>
      <c r="AM58" s="538"/>
      <c r="AN58" s="633"/>
      <c r="AO58" s="538"/>
      <c r="AP58" s="540"/>
      <c r="AQ58" s="540"/>
      <c r="AR58" s="538"/>
      <c r="AS58" s="633"/>
      <c r="AT58" s="538"/>
      <c r="AU58" s="540"/>
      <c r="AV58" s="540"/>
      <c r="AW58" s="538"/>
      <c r="AX58" s="633"/>
      <c r="AZ58" s="357" t="e">
        <f t="shared" si="41"/>
        <v>#N/A</v>
      </c>
      <c r="BA58" s="633"/>
    </row>
    <row r="59" spans="2:53">
      <c r="B59" s="643"/>
      <c r="C59" s="368">
        <v>13</v>
      </c>
      <c r="D59" s="340"/>
      <c r="E59" s="471"/>
      <c r="F59" s="471"/>
      <c r="G59" s="471"/>
      <c r="H59" s="651"/>
      <c r="I59" s="369" t="str">
        <f t="shared" si="38"/>
        <v>-</v>
      </c>
      <c r="J59" s="369" t="str">
        <f t="shared" si="39"/>
        <v>-</v>
      </c>
      <c r="K59" s="194" t="str">
        <f t="shared" si="40"/>
        <v>-</v>
      </c>
      <c r="L59" s="653"/>
      <c r="M59" s="390" t="e">
        <f>RANK(K59, K$47:$K$61)</f>
        <v>#VALUE!</v>
      </c>
      <c r="N59" s="637"/>
      <c r="O59" s="637"/>
      <c r="P59" s="538"/>
      <c r="Q59" s="540"/>
      <c r="R59" s="540"/>
      <c r="S59" s="538"/>
      <c r="T59" s="633"/>
      <c r="U59" s="538"/>
      <c r="V59" s="540"/>
      <c r="W59" s="540"/>
      <c r="X59" s="538"/>
      <c r="Y59" s="633"/>
      <c r="Z59" s="538"/>
      <c r="AA59" s="540"/>
      <c r="AB59" s="540"/>
      <c r="AC59" s="538"/>
      <c r="AD59" s="633"/>
      <c r="AE59" s="538"/>
      <c r="AF59" s="540"/>
      <c r="AG59" s="540"/>
      <c r="AH59" s="538"/>
      <c r="AI59" s="633"/>
      <c r="AJ59" s="538"/>
      <c r="AK59" s="540"/>
      <c r="AL59" s="540"/>
      <c r="AM59" s="538"/>
      <c r="AN59" s="633"/>
      <c r="AO59" s="538"/>
      <c r="AP59" s="540"/>
      <c r="AQ59" s="540"/>
      <c r="AR59" s="538"/>
      <c r="AS59" s="633"/>
      <c r="AT59" s="538"/>
      <c r="AU59" s="540"/>
      <c r="AV59" s="540"/>
      <c r="AW59" s="538"/>
      <c r="AX59" s="633"/>
      <c r="AZ59" s="357" t="e">
        <f t="shared" si="41"/>
        <v>#N/A</v>
      </c>
      <c r="BA59" s="633"/>
    </row>
    <row r="60" spans="2:53">
      <c r="B60" s="643"/>
      <c r="C60" s="368">
        <v>14</v>
      </c>
      <c r="D60" s="340"/>
      <c r="E60" s="471"/>
      <c r="F60" s="471"/>
      <c r="G60" s="471"/>
      <c r="H60" s="651"/>
      <c r="I60" s="369" t="str">
        <f t="shared" si="38"/>
        <v>-</v>
      </c>
      <c r="J60" s="369" t="str">
        <f t="shared" si="39"/>
        <v>-</v>
      </c>
      <c r="K60" s="194" t="str">
        <f t="shared" si="40"/>
        <v>-</v>
      </c>
      <c r="L60" s="653"/>
      <c r="M60" s="390" t="e">
        <f>RANK(K60, K$47:$K$61)</f>
        <v>#VALUE!</v>
      </c>
      <c r="N60" s="637"/>
      <c r="O60" s="637"/>
      <c r="P60" s="538"/>
      <c r="Q60" s="540"/>
      <c r="R60" s="540"/>
      <c r="S60" s="538"/>
      <c r="T60" s="633"/>
      <c r="U60" s="538"/>
      <c r="V60" s="540"/>
      <c r="W60" s="540"/>
      <c r="X60" s="538"/>
      <c r="Y60" s="633"/>
      <c r="Z60" s="538"/>
      <c r="AA60" s="540"/>
      <c r="AB60" s="540"/>
      <c r="AC60" s="538"/>
      <c r="AD60" s="633"/>
      <c r="AE60" s="538"/>
      <c r="AF60" s="540"/>
      <c r="AG60" s="540"/>
      <c r="AH60" s="538"/>
      <c r="AI60" s="633"/>
      <c r="AJ60" s="538"/>
      <c r="AK60" s="540"/>
      <c r="AL60" s="540"/>
      <c r="AM60" s="538"/>
      <c r="AN60" s="633"/>
      <c r="AO60" s="538"/>
      <c r="AP60" s="540"/>
      <c r="AQ60" s="540"/>
      <c r="AR60" s="538"/>
      <c r="AS60" s="633"/>
      <c r="AT60" s="538"/>
      <c r="AU60" s="540"/>
      <c r="AV60" s="540"/>
      <c r="AW60" s="538"/>
      <c r="AX60" s="633"/>
      <c r="AZ60" s="357" t="e">
        <f t="shared" si="41"/>
        <v>#N/A</v>
      </c>
      <c r="BA60" s="633"/>
    </row>
    <row r="61" spans="2:53">
      <c r="B61" s="643"/>
      <c r="C61" s="368">
        <v>15</v>
      </c>
      <c r="D61" s="340"/>
      <c r="E61" s="471"/>
      <c r="F61" s="471"/>
      <c r="G61" s="471"/>
      <c r="H61" s="708"/>
      <c r="I61" s="372"/>
      <c r="J61" s="372"/>
      <c r="K61" s="370"/>
      <c r="L61" s="654"/>
      <c r="M61" s="390" t="e">
        <f>RANK(K61, K$47:$K$61)</f>
        <v>#N/A</v>
      </c>
      <c r="N61" s="637"/>
      <c r="O61" s="637"/>
      <c r="P61" s="538"/>
      <c r="Q61" s="540"/>
      <c r="R61" s="540"/>
      <c r="S61" s="538"/>
      <c r="T61" s="634"/>
      <c r="U61" s="538"/>
      <c r="V61" s="540"/>
      <c r="W61" s="540"/>
      <c r="X61" s="538"/>
      <c r="Y61" s="634"/>
      <c r="Z61" s="538"/>
      <c r="AA61" s="540"/>
      <c r="AB61" s="540"/>
      <c r="AC61" s="538"/>
      <c r="AD61" s="634"/>
      <c r="AE61" s="538"/>
      <c r="AF61" s="540"/>
      <c r="AG61" s="540"/>
      <c r="AH61" s="538"/>
      <c r="AI61" s="634"/>
      <c r="AJ61" s="538"/>
      <c r="AK61" s="540"/>
      <c r="AL61" s="540"/>
      <c r="AM61" s="538"/>
      <c r="AN61" s="634"/>
      <c r="AO61" s="538"/>
      <c r="AP61" s="540"/>
      <c r="AQ61" s="540"/>
      <c r="AR61" s="538"/>
      <c r="AS61" s="634"/>
      <c r="AT61" s="538"/>
      <c r="AU61" s="540"/>
      <c r="AV61" s="540"/>
      <c r="AW61" s="538"/>
      <c r="AX61" s="634"/>
      <c r="AZ61" s="357" t="e">
        <f t="shared" si="41"/>
        <v>#N/A</v>
      </c>
      <c r="BA61" s="634"/>
    </row>
    <row r="62" spans="2:53" ht="15.75">
      <c r="B62" s="665" t="s">
        <v>162</v>
      </c>
      <c r="C62" s="666"/>
      <c r="D62" s="666"/>
      <c r="E62" s="666"/>
      <c r="F62" s="666"/>
      <c r="G62" s="666"/>
      <c r="H62" s="667"/>
      <c r="I62" s="202"/>
      <c r="J62" s="202"/>
      <c r="K62" s="202"/>
      <c r="L62" s="202"/>
      <c r="M62" s="201"/>
      <c r="N62" s="639" t="s">
        <v>156</v>
      </c>
      <c r="O62" s="639" t="s">
        <v>105</v>
      </c>
      <c r="P62" s="664">
        <f>P42+7</f>
        <v>46315</v>
      </c>
      <c r="Q62" s="643"/>
      <c r="R62" s="643"/>
      <c r="S62" s="643"/>
      <c r="T62" s="643"/>
      <c r="U62" s="661">
        <f>P62+1</f>
        <v>46316</v>
      </c>
      <c r="V62" s="662"/>
      <c r="W62" s="662"/>
      <c r="X62" s="662"/>
      <c r="Y62" s="663"/>
      <c r="Z62" s="661">
        <f>U62+1</f>
        <v>46317</v>
      </c>
      <c r="AA62" s="662"/>
      <c r="AB62" s="662"/>
      <c r="AC62" s="662"/>
      <c r="AD62" s="663"/>
      <c r="AE62" s="661">
        <f>Z62+1</f>
        <v>46318</v>
      </c>
      <c r="AF62" s="662"/>
      <c r="AG62" s="662"/>
      <c r="AH62" s="662"/>
      <c r="AI62" s="663"/>
      <c r="AJ62" s="661">
        <f>AE62+1</f>
        <v>46319</v>
      </c>
      <c r="AK62" s="662"/>
      <c r="AL62" s="662"/>
      <c r="AM62" s="662"/>
      <c r="AN62" s="663"/>
      <c r="AO62" s="661">
        <f>AJ62+1</f>
        <v>46320</v>
      </c>
      <c r="AP62" s="662"/>
      <c r="AQ62" s="662"/>
      <c r="AR62" s="662"/>
      <c r="AS62" s="663"/>
      <c r="AT62" s="661">
        <f>AO62+1</f>
        <v>46321</v>
      </c>
      <c r="AU62" s="662"/>
      <c r="AV62" s="662"/>
      <c r="AW62" s="662"/>
      <c r="AX62" s="663"/>
    </row>
    <row r="63" spans="2:53" ht="15.75">
      <c r="B63" s="668"/>
      <c r="C63" s="668"/>
      <c r="D63" s="668"/>
      <c r="E63" s="668"/>
      <c r="F63" s="668"/>
      <c r="G63" s="668"/>
      <c r="H63" s="668"/>
      <c r="I63" s="199"/>
      <c r="J63" s="199"/>
      <c r="K63" s="199"/>
      <c r="L63" s="199"/>
      <c r="M63" s="200"/>
      <c r="N63" s="641"/>
      <c r="O63" s="641"/>
      <c r="P63" s="664" t="s">
        <v>317</v>
      </c>
      <c r="Q63" s="643"/>
      <c r="R63" s="643"/>
      <c r="S63" s="643"/>
      <c r="T63" s="643"/>
      <c r="U63" s="664" t="s">
        <v>318</v>
      </c>
      <c r="V63" s="643"/>
      <c r="W63" s="643"/>
      <c r="X63" s="643"/>
      <c r="Y63" s="643"/>
      <c r="Z63" s="664" t="s">
        <v>319</v>
      </c>
      <c r="AA63" s="643"/>
      <c r="AB63" s="643"/>
      <c r="AC63" s="643"/>
      <c r="AD63" s="643"/>
      <c r="AE63" s="664" t="s">
        <v>320</v>
      </c>
      <c r="AF63" s="643"/>
      <c r="AG63" s="643"/>
      <c r="AH63" s="643"/>
      <c r="AI63" s="643"/>
      <c r="AJ63" s="664" t="s">
        <v>321</v>
      </c>
      <c r="AK63" s="643"/>
      <c r="AL63" s="643"/>
      <c r="AM63" s="643"/>
      <c r="AN63" s="643"/>
      <c r="AO63" s="664" t="s">
        <v>322</v>
      </c>
      <c r="AP63" s="643"/>
      <c r="AQ63" s="643"/>
      <c r="AR63" s="643"/>
      <c r="AS63" s="643"/>
      <c r="AT63" s="664" t="s">
        <v>323</v>
      </c>
      <c r="AU63" s="643"/>
      <c r="AV63" s="643"/>
      <c r="AW63" s="643"/>
      <c r="AX63" s="643"/>
    </row>
    <row r="64" spans="2:53">
      <c r="B64" s="637" t="s">
        <v>360</v>
      </c>
      <c r="C64" s="637" t="s">
        <v>370</v>
      </c>
      <c r="D64" s="637"/>
      <c r="E64" s="637" t="s">
        <v>361</v>
      </c>
      <c r="F64" s="637"/>
      <c r="G64" s="637"/>
      <c r="H64" s="669" t="s">
        <v>357</v>
      </c>
      <c r="I64" s="637" t="s">
        <v>362</v>
      </c>
      <c r="J64" s="637"/>
      <c r="K64" s="637"/>
      <c r="L64" s="669" t="s">
        <v>357</v>
      </c>
      <c r="M64" s="639" t="s">
        <v>358</v>
      </c>
      <c r="N64" s="637"/>
      <c r="O64" s="637" t="s">
        <v>363</v>
      </c>
      <c r="P64" s="655" t="s">
        <v>359</v>
      </c>
      <c r="Q64" s="656"/>
      <c r="R64" s="656"/>
      <c r="S64" s="657"/>
      <c r="T64" s="637" t="s">
        <v>357</v>
      </c>
      <c r="U64" s="655" t="s">
        <v>359</v>
      </c>
      <c r="V64" s="656"/>
      <c r="W64" s="656"/>
      <c r="X64" s="657"/>
      <c r="Y64" s="637" t="s">
        <v>357</v>
      </c>
      <c r="Z64" s="655" t="s">
        <v>359</v>
      </c>
      <c r="AA64" s="656"/>
      <c r="AB64" s="656"/>
      <c r="AC64" s="657"/>
      <c r="AD64" s="637" t="s">
        <v>357</v>
      </c>
      <c r="AE64" s="655" t="s">
        <v>359</v>
      </c>
      <c r="AF64" s="656"/>
      <c r="AG64" s="656"/>
      <c r="AH64" s="657"/>
      <c r="AI64" s="637" t="s">
        <v>357</v>
      </c>
      <c r="AJ64" s="655" t="s">
        <v>359</v>
      </c>
      <c r="AK64" s="656"/>
      <c r="AL64" s="656"/>
      <c r="AM64" s="657"/>
      <c r="AN64" s="637" t="s">
        <v>357</v>
      </c>
      <c r="AO64" s="655" t="s">
        <v>359</v>
      </c>
      <c r="AP64" s="656"/>
      <c r="AQ64" s="656"/>
      <c r="AR64" s="657"/>
      <c r="AS64" s="637" t="s">
        <v>357</v>
      </c>
      <c r="AT64" s="655" t="s">
        <v>359</v>
      </c>
      <c r="AU64" s="656"/>
      <c r="AV64" s="656"/>
      <c r="AW64" s="657"/>
      <c r="AX64" s="637" t="s">
        <v>357</v>
      </c>
      <c r="BA64" s="637" t="s">
        <v>357</v>
      </c>
    </row>
    <row r="65" spans="2:53">
      <c r="B65" s="637"/>
      <c r="C65" s="637"/>
      <c r="D65" s="637"/>
      <c r="E65" s="637" t="s">
        <v>364</v>
      </c>
      <c r="F65" s="637"/>
      <c r="G65" s="637"/>
      <c r="H65" s="670"/>
      <c r="I65" s="637" t="s">
        <v>364</v>
      </c>
      <c r="J65" s="637"/>
      <c r="K65" s="637"/>
      <c r="L65" s="670"/>
      <c r="M65" s="640"/>
      <c r="N65" s="637"/>
      <c r="O65" s="637"/>
      <c r="P65" s="655" t="s">
        <v>365</v>
      </c>
      <c r="Q65" s="656"/>
      <c r="R65" s="656"/>
      <c r="S65" s="657"/>
      <c r="T65" s="637"/>
      <c r="U65" s="655" t="s">
        <v>365</v>
      </c>
      <c r="V65" s="656"/>
      <c r="W65" s="656"/>
      <c r="X65" s="657"/>
      <c r="Y65" s="637"/>
      <c r="Z65" s="655" t="s">
        <v>365</v>
      </c>
      <c r="AA65" s="656"/>
      <c r="AB65" s="656"/>
      <c r="AC65" s="657"/>
      <c r="AD65" s="637"/>
      <c r="AE65" s="655" t="s">
        <v>365</v>
      </c>
      <c r="AF65" s="656"/>
      <c r="AG65" s="656"/>
      <c r="AH65" s="657"/>
      <c r="AI65" s="637"/>
      <c r="AJ65" s="655" t="s">
        <v>365</v>
      </c>
      <c r="AK65" s="656"/>
      <c r="AL65" s="656"/>
      <c r="AM65" s="657"/>
      <c r="AN65" s="637"/>
      <c r="AO65" s="655" t="s">
        <v>365</v>
      </c>
      <c r="AP65" s="656"/>
      <c r="AQ65" s="656"/>
      <c r="AR65" s="657"/>
      <c r="AS65" s="637"/>
      <c r="AT65" s="655" t="s">
        <v>365</v>
      </c>
      <c r="AU65" s="656"/>
      <c r="AV65" s="656"/>
      <c r="AW65" s="657"/>
      <c r="AX65" s="637"/>
      <c r="BA65" s="637"/>
    </row>
    <row r="66" spans="2:53">
      <c r="B66" s="637"/>
      <c r="C66" s="637"/>
      <c r="D66" s="637"/>
      <c r="E66" s="366" t="s">
        <v>366</v>
      </c>
      <c r="F66" s="366" t="s">
        <v>367</v>
      </c>
      <c r="G66" s="366" t="s">
        <v>368</v>
      </c>
      <c r="H66" s="671"/>
      <c r="I66" s="366" t="s">
        <v>366</v>
      </c>
      <c r="J66" s="366" t="s">
        <v>367</v>
      </c>
      <c r="K66" s="366" t="s">
        <v>368</v>
      </c>
      <c r="L66" s="671"/>
      <c r="M66" s="641"/>
      <c r="N66" s="637"/>
      <c r="O66" s="637"/>
      <c r="P66" s="366" t="s">
        <v>366</v>
      </c>
      <c r="Q66" s="366" t="s">
        <v>367</v>
      </c>
      <c r="R66" s="366" t="s">
        <v>368</v>
      </c>
      <c r="S66" s="366" t="s">
        <v>358</v>
      </c>
      <c r="T66" s="637"/>
      <c r="U66" s="366" t="s">
        <v>366</v>
      </c>
      <c r="V66" s="366" t="s">
        <v>367</v>
      </c>
      <c r="W66" s="366" t="s">
        <v>368</v>
      </c>
      <c r="X66" s="366" t="s">
        <v>358</v>
      </c>
      <c r="Y66" s="637"/>
      <c r="Z66" s="366" t="s">
        <v>366</v>
      </c>
      <c r="AA66" s="366" t="s">
        <v>367</v>
      </c>
      <c r="AB66" s="366" t="s">
        <v>368</v>
      </c>
      <c r="AC66" s="366" t="s">
        <v>358</v>
      </c>
      <c r="AD66" s="637"/>
      <c r="AE66" s="366" t="s">
        <v>366</v>
      </c>
      <c r="AF66" s="366" t="s">
        <v>367</v>
      </c>
      <c r="AG66" s="366" t="s">
        <v>368</v>
      </c>
      <c r="AH66" s="366" t="s">
        <v>358</v>
      </c>
      <c r="AI66" s="637"/>
      <c r="AJ66" s="366" t="s">
        <v>366</v>
      </c>
      <c r="AK66" s="366" t="s">
        <v>367</v>
      </c>
      <c r="AL66" s="366" t="s">
        <v>368</v>
      </c>
      <c r="AM66" s="366" t="s">
        <v>358</v>
      </c>
      <c r="AN66" s="637"/>
      <c r="AO66" s="366" t="s">
        <v>366</v>
      </c>
      <c r="AP66" s="366" t="s">
        <v>367</v>
      </c>
      <c r="AQ66" s="366" t="s">
        <v>368</v>
      </c>
      <c r="AR66" s="366" t="s">
        <v>358</v>
      </c>
      <c r="AS66" s="637"/>
      <c r="AT66" s="366" t="s">
        <v>366</v>
      </c>
      <c r="AU66" s="366" t="s">
        <v>367</v>
      </c>
      <c r="AV66" s="366" t="s">
        <v>368</v>
      </c>
      <c r="AW66" s="366" t="s">
        <v>358</v>
      </c>
      <c r="AX66" s="637"/>
      <c r="AZ66" s="356" t="s">
        <v>358</v>
      </c>
      <c r="BA66" s="637"/>
    </row>
    <row r="67" spans="2:53">
      <c r="B67" s="695" t="s">
        <v>369</v>
      </c>
      <c r="C67" s="368">
        <v>1</v>
      </c>
      <c r="D67" s="340"/>
      <c r="E67" s="471"/>
      <c r="F67" s="471"/>
      <c r="G67" s="471"/>
      <c r="H67" s="650" t="e">
        <f>AVERAGE(G67:G81)</f>
        <v>#DIV/0!</v>
      </c>
      <c r="I67" s="369" t="str">
        <f t="shared" ref="I67:I80" si="43">IFERROR(AVERAGE(P67,U67,Z67,AE67,AJ67,AO67,AT67),"-")</f>
        <v>-</v>
      </c>
      <c r="J67" s="369" t="str">
        <f t="shared" ref="J67:J80" si="44">IFERROR(AVERAGE(Q67,V67,AA67,AF67,AK67,AP67,AU67),"-")</f>
        <v>-</v>
      </c>
      <c r="K67" s="194" t="str">
        <f t="shared" ref="K67:K80" si="45">IFERROR(AVERAGE(R67,W67,AB67,AG67,AL67,AQ67,AV67),"-")</f>
        <v>-</v>
      </c>
      <c r="L67" s="652" t="str">
        <f>IFERROR(AVERAGE(K67:K81),"-")</f>
        <v>-</v>
      </c>
      <c r="M67" s="372" t="e">
        <f>RANK(K67, K$67:$K$81)</f>
        <v>#VALUE!</v>
      </c>
      <c r="N67" s="637"/>
      <c r="O67" s="637"/>
      <c r="P67" s="542"/>
      <c r="Q67" s="544"/>
      <c r="R67" s="544"/>
      <c r="S67" s="542"/>
      <c r="T67" s="632"/>
      <c r="U67" s="542"/>
      <c r="V67" s="544"/>
      <c r="W67" s="544"/>
      <c r="X67" s="542"/>
      <c r="Y67" s="632"/>
      <c r="Z67" s="542"/>
      <c r="AA67" s="544"/>
      <c r="AB67" s="544"/>
      <c r="AC67" s="542"/>
      <c r="AD67" s="632"/>
      <c r="AE67" s="542"/>
      <c r="AF67" s="544"/>
      <c r="AG67" s="544"/>
      <c r="AH67" s="542"/>
      <c r="AI67" s="632"/>
      <c r="AJ67" s="542"/>
      <c r="AK67" s="544"/>
      <c r="AL67" s="544"/>
      <c r="AM67" s="542"/>
      <c r="AN67" s="632"/>
      <c r="AO67" s="542"/>
      <c r="AP67" s="544"/>
      <c r="AQ67" s="544"/>
      <c r="AR67" s="542"/>
      <c r="AS67" s="632"/>
      <c r="AT67" s="542"/>
      <c r="AU67" s="544"/>
      <c r="AV67" s="544"/>
      <c r="AW67" s="542"/>
      <c r="AX67" s="632"/>
      <c r="AZ67" s="357" t="e">
        <f t="shared" ref="AZ67:AZ81" si="46">RANK(AY67, AY$67:AY$81)</f>
        <v>#N/A</v>
      </c>
      <c r="BA67" s="632" t="e">
        <f t="shared" ref="BA67" si="47">AVERAGE(AY67:AY81)</f>
        <v>#DIV/0!</v>
      </c>
    </row>
    <row r="68" spans="2:53">
      <c r="B68" s="643"/>
      <c r="C68" s="368">
        <v>2</v>
      </c>
      <c r="D68" s="340"/>
      <c r="E68" s="471"/>
      <c r="F68" s="471"/>
      <c r="G68" s="471"/>
      <c r="H68" s="651"/>
      <c r="I68" s="369" t="str">
        <f t="shared" si="43"/>
        <v>-</v>
      </c>
      <c r="J68" s="369" t="str">
        <f t="shared" si="44"/>
        <v>-</v>
      </c>
      <c r="K68" s="194" t="str">
        <f t="shared" si="45"/>
        <v>-</v>
      </c>
      <c r="L68" s="653"/>
      <c r="M68" s="372" t="e">
        <f>RANK(K68, K$67:$K$81)</f>
        <v>#VALUE!</v>
      </c>
      <c r="N68" s="637"/>
      <c r="O68" s="637"/>
      <c r="P68" s="542"/>
      <c r="Q68" s="544"/>
      <c r="R68" s="544"/>
      <c r="S68" s="542"/>
      <c r="T68" s="633"/>
      <c r="U68" s="542"/>
      <c r="V68" s="544"/>
      <c r="W68" s="544"/>
      <c r="X68" s="542"/>
      <c r="Y68" s="633"/>
      <c r="Z68" s="542"/>
      <c r="AA68" s="544"/>
      <c r="AB68" s="544"/>
      <c r="AC68" s="542"/>
      <c r="AD68" s="633"/>
      <c r="AE68" s="542"/>
      <c r="AF68" s="544"/>
      <c r="AG68" s="544"/>
      <c r="AH68" s="542"/>
      <c r="AI68" s="633"/>
      <c r="AJ68" s="542"/>
      <c r="AK68" s="544"/>
      <c r="AL68" s="544"/>
      <c r="AM68" s="542"/>
      <c r="AN68" s="633"/>
      <c r="AO68" s="542"/>
      <c r="AP68" s="544"/>
      <c r="AQ68" s="544"/>
      <c r="AR68" s="542"/>
      <c r="AS68" s="633"/>
      <c r="AT68" s="542"/>
      <c r="AU68" s="544"/>
      <c r="AV68" s="544"/>
      <c r="AW68" s="542"/>
      <c r="AX68" s="633"/>
      <c r="AZ68" s="357" t="e">
        <f t="shared" si="46"/>
        <v>#N/A</v>
      </c>
      <c r="BA68" s="633"/>
    </row>
    <row r="69" spans="2:53">
      <c r="B69" s="643"/>
      <c r="C69" s="368">
        <v>3</v>
      </c>
      <c r="D69" s="340"/>
      <c r="E69" s="471"/>
      <c r="F69" s="471"/>
      <c r="G69" s="471"/>
      <c r="H69" s="651"/>
      <c r="I69" s="369" t="str">
        <f t="shared" si="43"/>
        <v>-</v>
      </c>
      <c r="J69" s="369" t="str">
        <f t="shared" si="44"/>
        <v>-</v>
      </c>
      <c r="K69" s="194" t="str">
        <f t="shared" si="45"/>
        <v>-</v>
      </c>
      <c r="L69" s="653"/>
      <c r="M69" s="372" t="e">
        <f>RANK(K69, K$67:$K$81)</f>
        <v>#VALUE!</v>
      </c>
      <c r="N69" s="637"/>
      <c r="O69" s="637"/>
      <c r="P69" s="542"/>
      <c r="Q69" s="544"/>
      <c r="R69" s="544"/>
      <c r="S69" s="542"/>
      <c r="T69" s="633"/>
      <c r="U69" s="542"/>
      <c r="V69" s="544"/>
      <c r="W69" s="544"/>
      <c r="X69" s="542"/>
      <c r="Y69" s="633"/>
      <c r="Z69" s="542"/>
      <c r="AA69" s="544"/>
      <c r="AB69" s="544"/>
      <c r="AC69" s="542"/>
      <c r="AD69" s="633"/>
      <c r="AE69" s="542"/>
      <c r="AF69" s="544"/>
      <c r="AG69" s="544"/>
      <c r="AH69" s="542"/>
      <c r="AI69" s="633"/>
      <c r="AJ69" s="542"/>
      <c r="AK69" s="544"/>
      <c r="AL69" s="544"/>
      <c r="AM69" s="542"/>
      <c r="AN69" s="633"/>
      <c r="AO69" s="542"/>
      <c r="AP69" s="544"/>
      <c r="AQ69" s="544"/>
      <c r="AR69" s="542"/>
      <c r="AS69" s="633"/>
      <c r="AT69" s="542"/>
      <c r="AU69" s="544"/>
      <c r="AV69" s="544"/>
      <c r="AW69" s="542"/>
      <c r="AX69" s="633"/>
      <c r="AZ69" s="357" t="e">
        <f t="shared" si="46"/>
        <v>#N/A</v>
      </c>
      <c r="BA69" s="633"/>
    </row>
    <row r="70" spans="2:53">
      <c r="B70" s="643"/>
      <c r="C70" s="368">
        <v>4</v>
      </c>
      <c r="D70" s="340"/>
      <c r="E70" s="471"/>
      <c r="F70" s="471"/>
      <c r="G70" s="471"/>
      <c r="H70" s="651"/>
      <c r="I70" s="369" t="str">
        <f t="shared" si="43"/>
        <v>-</v>
      </c>
      <c r="J70" s="369" t="str">
        <f t="shared" si="44"/>
        <v>-</v>
      </c>
      <c r="K70" s="194" t="str">
        <f t="shared" si="45"/>
        <v>-</v>
      </c>
      <c r="L70" s="653"/>
      <c r="M70" s="372" t="e">
        <f>RANK(K70, K$67:$K$81)</f>
        <v>#VALUE!</v>
      </c>
      <c r="N70" s="637"/>
      <c r="O70" s="637"/>
      <c r="P70" s="542"/>
      <c r="Q70" s="544"/>
      <c r="R70" s="544"/>
      <c r="S70" s="542"/>
      <c r="T70" s="633"/>
      <c r="U70" s="542"/>
      <c r="V70" s="544"/>
      <c r="W70" s="544"/>
      <c r="X70" s="542"/>
      <c r="Y70" s="633"/>
      <c r="Z70" s="542"/>
      <c r="AA70" s="544"/>
      <c r="AB70" s="544"/>
      <c r="AC70" s="542"/>
      <c r="AD70" s="633"/>
      <c r="AE70" s="542"/>
      <c r="AF70" s="544"/>
      <c r="AG70" s="544"/>
      <c r="AH70" s="542"/>
      <c r="AI70" s="633"/>
      <c r="AJ70" s="542"/>
      <c r="AK70" s="544"/>
      <c r="AL70" s="544"/>
      <c r="AM70" s="542"/>
      <c r="AN70" s="633"/>
      <c r="AO70" s="542"/>
      <c r="AP70" s="544"/>
      <c r="AQ70" s="544"/>
      <c r="AR70" s="542"/>
      <c r="AS70" s="633"/>
      <c r="AT70" s="542"/>
      <c r="AU70" s="544"/>
      <c r="AV70" s="544"/>
      <c r="AW70" s="542"/>
      <c r="AX70" s="633"/>
      <c r="AZ70" s="357" t="e">
        <f t="shared" si="46"/>
        <v>#N/A</v>
      </c>
      <c r="BA70" s="633"/>
    </row>
    <row r="71" spans="2:53">
      <c r="B71" s="643"/>
      <c r="C71" s="368">
        <v>5</v>
      </c>
      <c r="D71" s="340"/>
      <c r="E71" s="471"/>
      <c r="F71" s="471"/>
      <c r="G71" s="471"/>
      <c r="H71" s="651"/>
      <c r="I71" s="369" t="str">
        <f t="shared" si="43"/>
        <v>-</v>
      </c>
      <c r="J71" s="369" t="str">
        <f t="shared" si="44"/>
        <v>-</v>
      </c>
      <c r="K71" s="194" t="str">
        <f t="shared" si="45"/>
        <v>-</v>
      </c>
      <c r="L71" s="653"/>
      <c r="M71" s="372" t="e">
        <f>RANK(K71, K$67:$K$81)</f>
        <v>#VALUE!</v>
      </c>
      <c r="N71" s="637"/>
      <c r="O71" s="637"/>
      <c r="P71" s="542"/>
      <c r="Q71" s="544"/>
      <c r="R71" s="544"/>
      <c r="S71" s="542"/>
      <c r="T71" s="633"/>
      <c r="U71" s="542"/>
      <c r="V71" s="544"/>
      <c r="W71" s="544"/>
      <c r="X71" s="542"/>
      <c r="Y71" s="633"/>
      <c r="Z71" s="542"/>
      <c r="AA71" s="544"/>
      <c r="AB71" s="544"/>
      <c r="AC71" s="542"/>
      <c r="AD71" s="633"/>
      <c r="AE71" s="542"/>
      <c r="AF71" s="544"/>
      <c r="AG71" s="544"/>
      <c r="AH71" s="542"/>
      <c r="AI71" s="633"/>
      <c r="AJ71" s="542"/>
      <c r="AK71" s="544"/>
      <c r="AL71" s="544"/>
      <c r="AM71" s="542"/>
      <c r="AN71" s="633"/>
      <c r="AO71" s="542"/>
      <c r="AP71" s="544"/>
      <c r="AQ71" s="544"/>
      <c r="AR71" s="542"/>
      <c r="AS71" s="633"/>
      <c r="AT71" s="542"/>
      <c r="AU71" s="544"/>
      <c r="AV71" s="544"/>
      <c r="AW71" s="542"/>
      <c r="AX71" s="633"/>
      <c r="AZ71" s="357" t="e">
        <f t="shared" si="46"/>
        <v>#N/A</v>
      </c>
      <c r="BA71" s="633"/>
    </row>
    <row r="72" spans="2:53">
      <c r="B72" s="643"/>
      <c r="C72" s="368">
        <v>6</v>
      </c>
      <c r="D72" s="340"/>
      <c r="E72" s="471"/>
      <c r="F72" s="471"/>
      <c r="G72" s="471"/>
      <c r="H72" s="651"/>
      <c r="I72" s="369" t="str">
        <f t="shared" si="43"/>
        <v>-</v>
      </c>
      <c r="J72" s="369" t="str">
        <f t="shared" si="44"/>
        <v>-</v>
      </c>
      <c r="K72" s="194" t="str">
        <f t="shared" si="45"/>
        <v>-</v>
      </c>
      <c r="L72" s="653"/>
      <c r="M72" s="372" t="e">
        <f>RANK(K72, K$67:$K$81)</f>
        <v>#VALUE!</v>
      </c>
      <c r="N72" s="637"/>
      <c r="O72" s="637"/>
      <c r="P72" s="542"/>
      <c r="Q72" s="544"/>
      <c r="R72" s="544"/>
      <c r="S72" s="542"/>
      <c r="T72" s="633"/>
      <c r="U72" s="542"/>
      <c r="V72" s="544"/>
      <c r="W72" s="544"/>
      <c r="X72" s="542"/>
      <c r="Y72" s="633"/>
      <c r="Z72" s="542"/>
      <c r="AA72" s="544"/>
      <c r="AB72" s="544"/>
      <c r="AC72" s="542"/>
      <c r="AD72" s="633"/>
      <c r="AE72" s="542"/>
      <c r="AF72" s="544"/>
      <c r="AG72" s="544"/>
      <c r="AH72" s="542"/>
      <c r="AI72" s="633"/>
      <c r="AJ72" s="542"/>
      <c r="AK72" s="544"/>
      <c r="AL72" s="544"/>
      <c r="AM72" s="542"/>
      <c r="AN72" s="633"/>
      <c r="AO72" s="542"/>
      <c r="AP72" s="544"/>
      <c r="AQ72" s="544"/>
      <c r="AR72" s="542"/>
      <c r="AS72" s="633"/>
      <c r="AT72" s="542"/>
      <c r="AU72" s="544"/>
      <c r="AV72" s="544"/>
      <c r="AW72" s="542"/>
      <c r="AX72" s="633"/>
      <c r="AZ72" s="357" t="e">
        <f t="shared" si="46"/>
        <v>#N/A</v>
      </c>
      <c r="BA72" s="633"/>
    </row>
    <row r="73" spans="2:53">
      <c r="B73" s="643"/>
      <c r="C73" s="368">
        <v>7</v>
      </c>
      <c r="D73" s="340"/>
      <c r="E73" s="471"/>
      <c r="F73" s="471"/>
      <c r="G73" s="471"/>
      <c r="H73" s="651"/>
      <c r="I73" s="369" t="str">
        <f t="shared" si="43"/>
        <v>-</v>
      </c>
      <c r="J73" s="369" t="str">
        <f t="shared" si="44"/>
        <v>-</v>
      </c>
      <c r="K73" s="194" t="str">
        <f t="shared" si="45"/>
        <v>-</v>
      </c>
      <c r="L73" s="653"/>
      <c r="M73" s="372" t="e">
        <f>RANK(K73, K$67:$K$81)</f>
        <v>#VALUE!</v>
      </c>
      <c r="N73" s="637"/>
      <c r="O73" s="637"/>
      <c r="P73" s="542"/>
      <c r="Q73" s="544"/>
      <c r="R73" s="544"/>
      <c r="S73" s="542"/>
      <c r="T73" s="633"/>
      <c r="U73" s="542"/>
      <c r="V73" s="544"/>
      <c r="W73" s="544"/>
      <c r="X73" s="542"/>
      <c r="Y73" s="633"/>
      <c r="Z73" s="542"/>
      <c r="AA73" s="544"/>
      <c r="AB73" s="544"/>
      <c r="AC73" s="542"/>
      <c r="AD73" s="633"/>
      <c r="AE73" s="542"/>
      <c r="AF73" s="544"/>
      <c r="AG73" s="544"/>
      <c r="AH73" s="542"/>
      <c r="AI73" s="633"/>
      <c r="AJ73" s="542"/>
      <c r="AK73" s="544"/>
      <c r="AL73" s="544"/>
      <c r="AM73" s="542"/>
      <c r="AN73" s="633"/>
      <c r="AO73" s="542"/>
      <c r="AP73" s="544"/>
      <c r="AQ73" s="544"/>
      <c r="AR73" s="542"/>
      <c r="AS73" s="633"/>
      <c r="AT73" s="542"/>
      <c r="AU73" s="544"/>
      <c r="AV73" s="544"/>
      <c r="AW73" s="542"/>
      <c r="AX73" s="633"/>
      <c r="AZ73" s="357" t="e">
        <f t="shared" si="46"/>
        <v>#N/A</v>
      </c>
      <c r="BA73" s="633"/>
    </row>
    <row r="74" spans="2:53">
      <c r="B74" s="643"/>
      <c r="C74" s="368">
        <v>8</v>
      </c>
      <c r="D74" s="340"/>
      <c r="E74" s="471"/>
      <c r="F74" s="471"/>
      <c r="G74" s="471"/>
      <c r="H74" s="651"/>
      <c r="I74" s="369" t="str">
        <f t="shared" si="43"/>
        <v>-</v>
      </c>
      <c r="J74" s="369" t="str">
        <f t="shared" si="44"/>
        <v>-</v>
      </c>
      <c r="K74" s="194" t="str">
        <f t="shared" si="45"/>
        <v>-</v>
      </c>
      <c r="L74" s="653"/>
      <c r="M74" s="372" t="e">
        <f>RANK(K74, K$67:$K$81)</f>
        <v>#VALUE!</v>
      </c>
      <c r="N74" s="637"/>
      <c r="O74" s="637"/>
      <c r="P74" s="542"/>
      <c r="Q74" s="544"/>
      <c r="R74" s="544"/>
      <c r="S74" s="542"/>
      <c r="T74" s="633"/>
      <c r="U74" s="542"/>
      <c r="V74" s="544"/>
      <c r="W74" s="544"/>
      <c r="X74" s="542"/>
      <c r="Y74" s="633"/>
      <c r="Z74" s="542"/>
      <c r="AA74" s="544"/>
      <c r="AB74" s="544"/>
      <c r="AC74" s="542"/>
      <c r="AD74" s="633"/>
      <c r="AE74" s="542"/>
      <c r="AF74" s="544"/>
      <c r="AG74" s="544"/>
      <c r="AH74" s="542"/>
      <c r="AI74" s="633"/>
      <c r="AJ74" s="542"/>
      <c r="AK74" s="544"/>
      <c r="AL74" s="544"/>
      <c r="AM74" s="542"/>
      <c r="AN74" s="633"/>
      <c r="AO74" s="542"/>
      <c r="AP74" s="544"/>
      <c r="AQ74" s="544"/>
      <c r="AR74" s="542"/>
      <c r="AS74" s="633"/>
      <c r="AT74" s="542"/>
      <c r="AU74" s="544"/>
      <c r="AV74" s="544"/>
      <c r="AW74" s="542"/>
      <c r="AX74" s="633"/>
      <c r="AZ74" s="357" t="e">
        <f t="shared" si="46"/>
        <v>#N/A</v>
      </c>
      <c r="BA74" s="633"/>
    </row>
    <row r="75" spans="2:53">
      <c r="B75" s="643"/>
      <c r="C75" s="368">
        <v>9</v>
      </c>
      <c r="D75" s="340"/>
      <c r="E75" s="471"/>
      <c r="F75" s="471"/>
      <c r="G75" s="471"/>
      <c r="H75" s="651"/>
      <c r="I75" s="369" t="str">
        <f t="shared" si="43"/>
        <v>-</v>
      </c>
      <c r="J75" s="369" t="str">
        <f t="shared" si="44"/>
        <v>-</v>
      </c>
      <c r="K75" s="194" t="str">
        <f t="shared" si="45"/>
        <v>-</v>
      </c>
      <c r="L75" s="653"/>
      <c r="M75" s="372" t="e">
        <f>RANK(K75, K$67:$K$81)</f>
        <v>#VALUE!</v>
      </c>
      <c r="N75" s="637"/>
      <c r="O75" s="637"/>
      <c r="P75" s="542"/>
      <c r="Q75" s="544"/>
      <c r="R75" s="544"/>
      <c r="S75" s="542"/>
      <c r="T75" s="633"/>
      <c r="U75" s="542"/>
      <c r="V75" s="544"/>
      <c r="W75" s="544"/>
      <c r="X75" s="542"/>
      <c r="Y75" s="633"/>
      <c r="Z75" s="542"/>
      <c r="AA75" s="544"/>
      <c r="AB75" s="544"/>
      <c r="AC75" s="542"/>
      <c r="AD75" s="633"/>
      <c r="AE75" s="542"/>
      <c r="AF75" s="544"/>
      <c r="AG75" s="544"/>
      <c r="AH75" s="542"/>
      <c r="AI75" s="633"/>
      <c r="AJ75" s="542"/>
      <c r="AK75" s="544"/>
      <c r="AL75" s="544"/>
      <c r="AM75" s="542"/>
      <c r="AN75" s="633"/>
      <c r="AO75" s="542"/>
      <c r="AP75" s="544"/>
      <c r="AQ75" s="544"/>
      <c r="AR75" s="542"/>
      <c r="AS75" s="633"/>
      <c r="AT75" s="542"/>
      <c r="AU75" s="544"/>
      <c r="AV75" s="544"/>
      <c r="AW75" s="542"/>
      <c r="AX75" s="633"/>
      <c r="AZ75" s="357" t="e">
        <f t="shared" si="46"/>
        <v>#N/A</v>
      </c>
      <c r="BA75" s="633"/>
    </row>
    <row r="76" spans="2:53">
      <c r="B76" s="643"/>
      <c r="C76" s="368">
        <v>10</v>
      </c>
      <c r="D76" s="340"/>
      <c r="E76" s="471"/>
      <c r="F76" s="471"/>
      <c r="G76" s="471"/>
      <c r="H76" s="651"/>
      <c r="I76" s="369" t="str">
        <f t="shared" si="43"/>
        <v>-</v>
      </c>
      <c r="J76" s="369" t="str">
        <f t="shared" si="44"/>
        <v>-</v>
      </c>
      <c r="K76" s="194" t="str">
        <f t="shared" si="45"/>
        <v>-</v>
      </c>
      <c r="L76" s="653"/>
      <c r="M76" s="372" t="e">
        <f>RANK(K76, K$67:$K$81)</f>
        <v>#VALUE!</v>
      </c>
      <c r="N76" s="637"/>
      <c r="O76" s="637"/>
      <c r="P76" s="542"/>
      <c r="Q76" s="544"/>
      <c r="R76" s="544"/>
      <c r="S76" s="542"/>
      <c r="T76" s="633"/>
      <c r="U76" s="542"/>
      <c r="V76" s="544"/>
      <c r="W76" s="544"/>
      <c r="X76" s="542"/>
      <c r="Y76" s="633"/>
      <c r="Z76" s="542"/>
      <c r="AA76" s="544"/>
      <c r="AB76" s="544"/>
      <c r="AC76" s="542"/>
      <c r="AD76" s="633"/>
      <c r="AE76" s="542"/>
      <c r="AF76" s="544"/>
      <c r="AG76" s="544"/>
      <c r="AH76" s="542"/>
      <c r="AI76" s="633"/>
      <c r="AJ76" s="542"/>
      <c r="AK76" s="544"/>
      <c r="AL76" s="544"/>
      <c r="AM76" s="542"/>
      <c r="AN76" s="633"/>
      <c r="AO76" s="542"/>
      <c r="AP76" s="544"/>
      <c r="AQ76" s="544"/>
      <c r="AR76" s="542"/>
      <c r="AS76" s="633"/>
      <c r="AT76" s="542"/>
      <c r="AU76" s="544"/>
      <c r="AV76" s="544"/>
      <c r="AW76" s="542"/>
      <c r="AX76" s="633"/>
      <c r="AZ76" s="357" t="e">
        <f t="shared" si="46"/>
        <v>#N/A</v>
      </c>
      <c r="BA76" s="633"/>
    </row>
    <row r="77" spans="2:53">
      <c r="B77" s="643"/>
      <c r="C77" s="368">
        <v>11</v>
      </c>
      <c r="D77" s="340"/>
      <c r="E77" s="471"/>
      <c r="F77" s="471"/>
      <c r="G77" s="471"/>
      <c r="H77" s="651"/>
      <c r="I77" s="369" t="str">
        <f t="shared" si="43"/>
        <v>-</v>
      </c>
      <c r="J77" s="369" t="str">
        <f t="shared" si="44"/>
        <v>-</v>
      </c>
      <c r="K77" s="194" t="str">
        <f t="shared" si="45"/>
        <v>-</v>
      </c>
      <c r="L77" s="653"/>
      <c r="M77" s="372" t="e">
        <f>RANK(K77, K$67:$K$81)</f>
        <v>#VALUE!</v>
      </c>
      <c r="N77" s="637"/>
      <c r="O77" s="637"/>
      <c r="P77" s="542"/>
      <c r="Q77" s="544"/>
      <c r="R77" s="544"/>
      <c r="S77" s="542"/>
      <c r="T77" s="633"/>
      <c r="U77" s="542"/>
      <c r="V77" s="544"/>
      <c r="W77" s="544"/>
      <c r="X77" s="542"/>
      <c r="Y77" s="633"/>
      <c r="Z77" s="542"/>
      <c r="AA77" s="544"/>
      <c r="AB77" s="544"/>
      <c r="AC77" s="542"/>
      <c r="AD77" s="633"/>
      <c r="AE77" s="542"/>
      <c r="AF77" s="544"/>
      <c r="AG77" s="544"/>
      <c r="AH77" s="542"/>
      <c r="AI77" s="633"/>
      <c r="AJ77" s="542"/>
      <c r="AK77" s="544"/>
      <c r="AL77" s="544"/>
      <c r="AM77" s="542"/>
      <c r="AN77" s="633"/>
      <c r="AO77" s="542"/>
      <c r="AP77" s="544"/>
      <c r="AQ77" s="544"/>
      <c r="AR77" s="542"/>
      <c r="AS77" s="633"/>
      <c r="AT77" s="542"/>
      <c r="AU77" s="544"/>
      <c r="AV77" s="544"/>
      <c r="AW77" s="542"/>
      <c r="AX77" s="633"/>
      <c r="AZ77" s="357" t="e">
        <f t="shared" si="46"/>
        <v>#N/A</v>
      </c>
      <c r="BA77" s="633"/>
    </row>
    <row r="78" spans="2:53">
      <c r="B78" s="643"/>
      <c r="C78" s="368">
        <v>12</v>
      </c>
      <c r="D78" s="340"/>
      <c r="E78" s="471"/>
      <c r="F78" s="471"/>
      <c r="G78" s="471"/>
      <c r="H78" s="651"/>
      <c r="I78" s="369" t="str">
        <f t="shared" si="43"/>
        <v>-</v>
      </c>
      <c r="J78" s="369" t="str">
        <f t="shared" si="44"/>
        <v>-</v>
      </c>
      <c r="K78" s="194" t="str">
        <f t="shared" si="45"/>
        <v>-</v>
      </c>
      <c r="L78" s="653"/>
      <c r="M78" s="372" t="e">
        <f>RANK(K78, K$67:$K$81)</f>
        <v>#VALUE!</v>
      </c>
      <c r="N78" s="637"/>
      <c r="O78" s="637"/>
      <c r="P78" s="542"/>
      <c r="Q78" s="544"/>
      <c r="R78" s="544"/>
      <c r="S78" s="542"/>
      <c r="T78" s="633"/>
      <c r="U78" s="542"/>
      <c r="V78" s="544"/>
      <c r="W78" s="544"/>
      <c r="X78" s="542"/>
      <c r="Y78" s="633"/>
      <c r="Z78" s="542"/>
      <c r="AA78" s="544"/>
      <c r="AB78" s="544"/>
      <c r="AC78" s="542"/>
      <c r="AD78" s="633"/>
      <c r="AE78" s="542"/>
      <c r="AF78" s="544"/>
      <c r="AG78" s="544"/>
      <c r="AH78" s="542"/>
      <c r="AI78" s="633"/>
      <c r="AJ78" s="542"/>
      <c r="AK78" s="544"/>
      <c r="AL78" s="544"/>
      <c r="AM78" s="542"/>
      <c r="AN78" s="633"/>
      <c r="AO78" s="542"/>
      <c r="AP78" s="544"/>
      <c r="AQ78" s="544"/>
      <c r="AR78" s="542"/>
      <c r="AS78" s="633"/>
      <c r="AT78" s="542"/>
      <c r="AU78" s="544"/>
      <c r="AV78" s="544"/>
      <c r="AW78" s="542"/>
      <c r="AX78" s="633"/>
      <c r="AZ78" s="357" t="e">
        <f t="shared" si="46"/>
        <v>#N/A</v>
      </c>
      <c r="BA78" s="633"/>
    </row>
    <row r="79" spans="2:53">
      <c r="B79" s="643"/>
      <c r="C79" s="368">
        <v>13</v>
      </c>
      <c r="D79" s="340"/>
      <c r="E79" s="471"/>
      <c r="F79" s="471"/>
      <c r="G79" s="471"/>
      <c r="H79" s="651"/>
      <c r="I79" s="369" t="str">
        <f t="shared" si="43"/>
        <v>-</v>
      </c>
      <c r="J79" s="369" t="str">
        <f t="shared" si="44"/>
        <v>-</v>
      </c>
      <c r="K79" s="194" t="str">
        <f t="shared" si="45"/>
        <v>-</v>
      </c>
      <c r="L79" s="653"/>
      <c r="M79" s="372" t="e">
        <f>RANK(K79, K$67:$K$81)</f>
        <v>#VALUE!</v>
      </c>
      <c r="N79" s="637"/>
      <c r="O79" s="637"/>
      <c r="P79" s="542"/>
      <c r="Q79" s="544"/>
      <c r="R79" s="544"/>
      <c r="S79" s="542"/>
      <c r="T79" s="633"/>
      <c r="U79" s="542"/>
      <c r="V79" s="544"/>
      <c r="W79" s="544"/>
      <c r="X79" s="542"/>
      <c r="Y79" s="633"/>
      <c r="Z79" s="542"/>
      <c r="AA79" s="544"/>
      <c r="AB79" s="544"/>
      <c r="AC79" s="542"/>
      <c r="AD79" s="633"/>
      <c r="AE79" s="542"/>
      <c r="AF79" s="544"/>
      <c r="AG79" s="544"/>
      <c r="AH79" s="542"/>
      <c r="AI79" s="633"/>
      <c r="AJ79" s="542"/>
      <c r="AK79" s="544"/>
      <c r="AL79" s="544"/>
      <c r="AM79" s="542"/>
      <c r="AN79" s="633"/>
      <c r="AO79" s="542"/>
      <c r="AP79" s="544"/>
      <c r="AQ79" s="544"/>
      <c r="AR79" s="542"/>
      <c r="AS79" s="633"/>
      <c r="AT79" s="542"/>
      <c r="AU79" s="544"/>
      <c r="AV79" s="544"/>
      <c r="AW79" s="542"/>
      <c r="AX79" s="633"/>
      <c r="AZ79" s="357" t="e">
        <f t="shared" si="46"/>
        <v>#N/A</v>
      </c>
      <c r="BA79" s="633"/>
    </row>
    <row r="80" spans="2:53">
      <c r="B80" s="643"/>
      <c r="C80" s="368">
        <v>14</v>
      </c>
      <c r="D80" s="340"/>
      <c r="E80" s="471"/>
      <c r="F80" s="471"/>
      <c r="G80" s="471"/>
      <c r="H80" s="651"/>
      <c r="I80" s="369" t="str">
        <f t="shared" si="43"/>
        <v>-</v>
      </c>
      <c r="J80" s="369" t="str">
        <f t="shared" si="44"/>
        <v>-</v>
      </c>
      <c r="K80" s="194" t="str">
        <f t="shared" si="45"/>
        <v>-</v>
      </c>
      <c r="L80" s="653"/>
      <c r="M80" s="372" t="e">
        <f>RANK(K80, K$67:$K$81)</f>
        <v>#VALUE!</v>
      </c>
      <c r="N80" s="637"/>
      <c r="O80" s="637"/>
      <c r="P80" s="542"/>
      <c r="Q80" s="544"/>
      <c r="R80" s="544"/>
      <c r="S80" s="542"/>
      <c r="T80" s="633"/>
      <c r="U80" s="542"/>
      <c r="V80" s="544"/>
      <c r="W80" s="544"/>
      <c r="X80" s="542"/>
      <c r="Y80" s="633"/>
      <c r="Z80" s="542"/>
      <c r="AA80" s="544"/>
      <c r="AB80" s="544"/>
      <c r="AC80" s="542"/>
      <c r="AD80" s="633"/>
      <c r="AE80" s="542"/>
      <c r="AF80" s="544"/>
      <c r="AG80" s="544"/>
      <c r="AH80" s="542"/>
      <c r="AI80" s="633"/>
      <c r="AJ80" s="542"/>
      <c r="AK80" s="544"/>
      <c r="AL80" s="544"/>
      <c r="AM80" s="542"/>
      <c r="AN80" s="633"/>
      <c r="AO80" s="542"/>
      <c r="AP80" s="544"/>
      <c r="AQ80" s="544"/>
      <c r="AR80" s="542"/>
      <c r="AS80" s="633"/>
      <c r="AT80" s="542"/>
      <c r="AU80" s="544"/>
      <c r="AV80" s="544"/>
      <c r="AW80" s="542"/>
      <c r="AX80" s="633"/>
      <c r="AZ80" s="357" t="e">
        <f t="shared" si="46"/>
        <v>#N/A</v>
      </c>
      <c r="BA80" s="633"/>
    </row>
    <row r="81" spans="2:53">
      <c r="B81" s="643"/>
      <c r="C81" s="368">
        <v>15</v>
      </c>
      <c r="D81" s="340"/>
      <c r="E81" s="471"/>
      <c r="F81" s="471"/>
      <c r="G81" s="471"/>
      <c r="H81" s="708"/>
      <c r="I81" s="372"/>
      <c r="J81" s="372"/>
      <c r="K81" s="370"/>
      <c r="L81" s="654"/>
      <c r="M81" s="372" t="e">
        <f>RANK(K81, K$67:$K$81)</f>
        <v>#N/A</v>
      </c>
      <c r="N81" s="637"/>
      <c r="O81" s="637"/>
      <c r="P81" s="542"/>
      <c r="Q81" s="544"/>
      <c r="R81" s="544"/>
      <c r="S81" s="542"/>
      <c r="T81" s="634"/>
      <c r="U81" s="542"/>
      <c r="V81" s="544"/>
      <c r="W81" s="544"/>
      <c r="X81" s="542"/>
      <c r="Y81" s="634"/>
      <c r="Z81" s="542"/>
      <c r="AA81" s="544"/>
      <c r="AB81" s="544"/>
      <c r="AC81" s="542"/>
      <c r="AD81" s="634"/>
      <c r="AE81" s="542"/>
      <c r="AF81" s="544"/>
      <c r="AG81" s="544"/>
      <c r="AH81" s="542"/>
      <c r="AI81" s="634"/>
      <c r="AJ81" s="542"/>
      <c r="AK81" s="544"/>
      <c r="AL81" s="544"/>
      <c r="AM81" s="542"/>
      <c r="AN81" s="634"/>
      <c r="AO81" s="542"/>
      <c r="AP81" s="544"/>
      <c r="AQ81" s="544"/>
      <c r="AR81" s="542"/>
      <c r="AS81" s="634"/>
      <c r="AT81" s="542"/>
      <c r="AU81" s="544"/>
      <c r="AV81" s="544"/>
      <c r="AW81" s="542"/>
      <c r="AX81" s="634"/>
      <c r="AZ81" s="357" t="e">
        <f t="shared" si="46"/>
        <v>#N/A</v>
      </c>
      <c r="BA81" s="634"/>
    </row>
    <row r="82" spans="2:53" ht="15.75">
      <c r="B82" s="665" t="s">
        <v>162</v>
      </c>
      <c r="C82" s="666"/>
      <c r="D82" s="666"/>
      <c r="E82" s="666"/>
      <c r="F82" s="666"/>
      <c r="G82" s="666"/>
      <c r="H82" s="667"/>
      <c r="I82" s="202"/>
      <c r="J82" s="202"/>
      <c r="K82" s="202"/>
      <c r="L82" s="202"/>
      <c r="M82" s="201"/>
      <c r="N82" s="639" t="s">
        <v>156</v>
      </c>
      <c r="O82" s="639" t="s">
        <v>105</v>
      </c>
      <c r="P82" s="664">
        <f>P62+7</f>
        <v>46322</v>
      </c>
      <c r="Q82" s="643"/>
      <c r="R82" s="643"/>
      <c r="S82" s="643"/>
      <c r="T82" s="643"/>
      <c r="U82" s="661">
        <f>P82+1</f>
        <v>46323</v>
      </c>
      <c r="V82" s="662"/>
      <c r="W82" s="662"/>
      <c r="X82" s="662"/>
      <c r="Y82" s="663"/>
      <c r="Z82" s="661">
        <f>U82+1</f>
        <v>46324</v>
      </c>
      <c r="AA82" s="662"/>
      <c r="AB82" s="662"/>
      <c r="AC82" s="662"/>
      <c r="AD82" s="663"/>
      <c r="AE82" s="661">
        <f>Z82+1</f>
        <v>46325</v>
      </c>
      <c r="AF82" s="662"/>
      <c r="AG82" s="662"/>
      <c r="AH82" s="662"/>
      <c r="AI82" s="663"/>
      <c r="AJ82" s="661">
        <f>AE82+1</f>
        <v>46326</v>
      </c>
      <c r="AK82" s="662"/>
      <c r="AL82" s="662"/>
      <c r="AM82" s="662"/>
      <c r="AN82" s="663"/>
      <c r="AO82" s="661">
        <f>AJ82+1</f>
        <v>46327</v>
      </c>
      <c r="AP82" s="662"/>
      <c r="AQ82" s="662"/>
      <c r="AR82" s="662"/>
      <c r="AS82" s="663"/>
      <c r="AT82" s="661">
        <f>AO82+1</f>
        <v>46328</v>
      </c>
      <c r="AU82" s="662"/>
      <c r="AV82" s="662"/>
      <c r="AW82" s="662"/>
      <c r="AX82" s="663"/>
    </row>
    <row r="83" spans="2:53" ht="15.75">
      <c r="B83" s="668"/>
      <c r="C83" s="668"/>
      <c r="D83" s="668"/>
      <c r="E83" s="668"/>
      <c r="F83" s="668"/>
      <c r="G83" s="668"/>
      <c r="H83" s="668"/>
      <c r="I83" s="199"/>
      <c r="J83" s="199"/>
      <c r="K83" s="199"/>
      <c r="L83" s="199"/>
      <c r="M83" s="200"/>
      <c r="N83" s="641"/>
      <c r="O83" s="641"/>
      <c r="P83" s="664" t="s">
        <v>317</v>
      </c>
      <c r="Q83" s="643"/>
      <c r="R83" s="643"/>
      <c r="S83" s="643"/>
      <c r="T83" s="643"/>
      <c r="U83" s="664" t="s">
        <v>318</v>
      </c>
      <c r="V83" s="643"/>
      <c r="W83" s="643"/>
      <c r="X83" s="643"/>
      <c r="Y83" s="643"/>
      <c r="Z83" s="664" t="s">
        <v>319</v>
      </c>
      <c r="AA83" s="643"/>
      <c r="AB83" s="643"/>
      <c r="AC83" s="643"/>
      <c r="AD83" s="643"/>
      <c r="AE83" s="664" t="s">
        <v>320</v>
      </c>
      <c r="AF83" s="643"/>
      <c r="AG83" s="643"/>
      <c r="AH83" s="643"/>
      <c r="AI83" s="643"/>
      <c r="AJ83" s="664" t="s">
        <v>321</v>
      </c>
      <c r="AK83" s="643"/>
      <c r="AL83" s="643"/>
      <c r="AM83" s="643"/>
      <c r="AN83" s="643"/>
      <c r="AO83" s="664" t="s">
        <v>322</v>
      </c>
      <c r="AP83" s="643"/>
      <c r="AQ83" s="643"/>
      <c r="AR83" s="643"/>
      <c r="AS83" s="643"/>
      <c r="AT83" s="664" t="s">
        <v>323</v>
      </c>
      <c r="AU83" s="643"/>
      <c r="AV83" s="643"/>
      <c r="AW83" s="643"/>
      <c r="AX83" s="643"/>
    </row>
    <row r="84" spans="2:53">
      <c r="B84" s="637" t="s">
        <v>743</v>
      </c>
      <c r="C84" s="637" t="s">
        <v>370</v>
      </c>
      <c r="D84" s="637"/>
      <c r="E84" s="637" t="s">
        <v>361</v>
      </c>
      <c r="F84" s="637"/>
      <c r="G84" s="637"/>
      <c r="H84" s="669" t="s">
        <v>357</v>
      </c>
      <c r="I84" s="637" t="s">
        <v>362</v>
      </c>
      <c r="J84" s="637"/>
      <c r="K84" s="637"/>
      <c r="L84" s="669" t="s">
        <v>357</v>
      </c>
      <c r="M84" s="639" t="s">
        <v>358</v>
      </c>
      <c r="N84" s="637"/>
      <c r="O84" s="637" t="s">
        <v>363</v>
      </c>
      <c r="P84" s="655" t="s">
        <v>359</v>
      </c>
      <c r="Q84" s="656"/>
      <c r="R84" s="656"/>
      <c r="S84" s="657"/>
      <c r="T84" s="637" t="s">
        <v>357</v>
      </c>
      <c r="U84" s="655" t="s">
        <v>359</v>
      </c>
      <c r="V84" s="656"/>
      <c r="W84" s="656"/>
      <c r="X84" s="657"/>
      <c r="Y84" s="637" t="s">
        <v>357</v>
      </c>
      <c r="Z84" s="655" t="s">
        <v>359</v>
      </c>
      <c r="AA84" s="656"/>
      <c r="AB84" s="656"/>
      <c r="AC84" s="657"/>
      <c r="AD84" s="637" t="s">
        <v>357</v>
      </c>
      <c r="AE84" s="655" t="s">
        <v>359</v>
      </c>
      <c r="AF84" s="656"/>
      <c r="AG84" s="656"/>
      <c r="AH84" s="657"/>
      <c r="AI84" s="637" t="s">
        <v>357</v>
      </c>
      <c r="AJ84" s="655" t="s">
        <v>359</v>
      </c>
      <c r="AK84" s="656"/>
      <c r="AL84" s="656"/>
      <c r="AM84" s="657"/>
      <c r="AN84" s="637" t="s">
        <v>357</v>
      </c>
      <c r="AO84" s="655" t="s">
        <v>359</v>
      </c>
      <c r="AP84" s="656"/>
      <c r="AQ84" s="656"/>
      <c r="AR84" s="657"/>
      <c r="AS84" s="637" t="s">
        <v>357</v>
      </c>
      <c r="AT84" s="655" t="s">
        <v>359</v>
      </c>
      <c r="AU84" s="656"/>
      <c r="AV84" s="656"/>
      <c r="AW84" s="657"/>
      <c r="AX84" s="637" t="s">
        <v>357</v>
      </c>
      <c r="BA84" s="637" t="s">
        <v>357</v>
      </c>
    </row>
    <row r="85" spans="2:53">
      <c r="B85" s="637"/>
      <c r="C85" s="637"/>
      <c r="D85" s="637"/>
      <c r="E85" s="637" t="s">
        <v>364</v>
      </c>
      <c r="F85" s="637"/>
      <c r="G85" s="637"/>
      <c r="H85" s="670"/>
      <c r="I85" s="637" t="s">
        <v>364</v>
      </c>
      <c r="J85" s="637"/>
      <c r="K85" s="637"/>
      <c r="L85" s="670"/>
      <c r="M85" s="640"/>
      <c r="N85" s="637"/>
      <c r="O85" s="637"/>
      <c r="P85" s="655" t="s">
        <v>365</v>
      </c>
      <c r="Q85" s="656"/>
      <c r="R85" s="656"/>
      <c r="S85" s="657"/>
      <c r="T85" s="637"/>
      <c r="U85" s="655" t="s">
        <v>365</v>
      </c>
      <c r="V85" s="656"/>
      <c r="W85" s="656"/>
      <c r="X85" s="657"/>
      <c r="Y85" s="637"/>
      <c r="Z85" s="655" t="s">
        <v>365</v>
      </c>
      <c r="AA85" s="656"/>
      <c r="AB85" s="656"/>
      <c r="AC85" s="657"/>
      <c r="AD85" s="637"/>
      <c r="AE85" s="655" t="s">
        <v>365</v>
      </c>
      <c r="AF85" s="656"/>
      <c r="AG85" s="656"/>
      <c r="AH85" s="657"/>
      <c r="AI85" s="637"/>
      <c r="AJ85" s="655" t="s">
        <v>365</v>
      </c>
      <c r="AK85" s="656"/>
      <c r="AL85" s="656"/>
      <c r="AM85" s="657"/>
      <c r="AN85" s="637"/>
      <c r="AO85" s="655" t="s">
        <v>365</v>
      </c>
      <c r="AP85" s="656"/>
      <c r="AQ85" s="656"/>
      <c r="AR85" s="657"/>
      <c r="AS85" s="637"/>
      <c r="AT85" s="655" t="s">
        <v>365</v>
      </c>
      <c r="AU85" s="656"/>
      <c r="AV85" s="656"/>
      <c r="AW85" s="657"/>
      <c r="AX85" s="637"/>
      <c r="BA85" s="637"/>
    </row>
    <row r="86" spans="2:53">
      <c r="B86" s="637"/>
      <c r="C86" s="637"/>
      <c r="D86" s="637"/>
      <c r="E86" s="366" t="s">
        <v>366</v>
      </c>
      <c r="F86" s="366" t="s">
        <v>367</v>
      </c>
      <c r="G86" s="366" t="s">
        <v>368</v>
      </c>
      <c r="H86" s="671"/>
      <c r="I86" s="366" t="s">
        <v>366</v>
      </c>
      <c r="J86" s="366" t="s">
        <v>367</v>
      </c>
      <c r="K86" s="366" t="s">
        <v>368</v>
      </c>
      <c r="L86" s="671"/>
      <c r="M86" s="641"/>
      <c r="N86" s="637"/>
      <c r="O86" s="637"/>
      <c r="P86" s="366" t="s">
        <v>366</v>
      </c>
      <c r="Q86" s="366" t="s">
        <v>367</v>
      </c>
      <c r="R86" s="366" t="s">
        <v>368</v>
      </c>
      <c r="S86" s="366" t="s">
        <v>358</v>
      </c>
      <c r="T86" s="637"/>
      <c r="U86" s="366" t="s">
        <v>366</v>
      </c>
      <c r="V86" s="366" t="s">
        <v>367</v>
      </c>
      <c r="W86" s="366" t="s">
        <v>368</v>
      </c>
      <c r="X86" s="366" t="s">
        <v>358</v>
      </c>
      <c r="Y86" s="637"/>
      <c r="Z86" s="366" t="s">
        <v>366</v>
      </c>
      <c r="AA86" s="366" t="s">
        <v>367</v>
      </c>
      <c r="AB86" s="366" t="s">
        <v>368</v>
      </c>
      <c r="AC86" s="366" t="s">
        <v>358</v>
      </c>
      <c r="AD86" s="637"/>
      <c r="AE86" s="366" t="s">
        <v>366</v>
      </c>
      <c r="AF86" s="366" t="s">
        <v>367</v>
      </c>
      <c r="AG86" s="366" t="s">
        <v>368</v>
      </c>
      <c r="AH86" s="366" t="s">
        <v>358</v>
      </c>
      <c r="AI86" s="637"/>
      <c r="AJ86" s="366" t="s">
        <v>366</v>
      </c>
      <c r="AK86" s="366" t="s">
        <v>367</v>
      </c>
      <c r="AL86" s="366" t="s">
        <v>368</v>
      </c>
      <c r="AM86" s="366" t="s">
        <v>358</v>
      </c>
      <c r="AN86" s="637"/>
      <c r="AO86" s="366" t="s">
        <v>366</v>
      </c>
      <c r="AP86" s="366" t="s">
        <v>367</v>
      </c>
      <c r="AQ86" s="366" t="s">
        <v>368</v>
      </c>
      <c r="AR86" s="366" t="s">
        <v>358</v>
      </c>
      <c r="AS86" s="637"/>
      <c r="AT86" s="366" t="s">
        <v>366</v>
      </c>
      <c r="AU86" s="366" t="s">
        <v>367</v>
      </c>
      <c r="AV86" s="366" t="s">
        <v>368</v>
      </c>
      <c r="AW86" s="366" t="s">
        <v>358</v>
      </c>
      <c r="AX86" s="637"/>
      <c r="AZ86" s="356" t="s">
        <v>358</v>
      </c>
      <c r="BA86" s="637"/>
    </row>
    <row r="87" spans="2:53">
      <c r="B87" s="695" t="s">
        <v>394</v>
      </c>
      <c r="C87" s="368">
        <v>1</v>
      </c>
      <c r="D87" s="340"/>
      <c r="E87" s="471"/>
      <c r="F87" s="471"/>
      <c r="G87" s="471"/>
      <c r="H87" s="650" t="e">
        <f>AVERAGE(G87:G101)</f>
        <v>#DIV/0!</v>
      </c>
      <c r="I87" s="369" t="str">
        <f t="shared" ref="I87:I100" si="48">IFERROR(AVERAGE(P87,U87,Z87,AE87,AJ87,AO87,AT87),"-")</f>
        <v>-</v>
      </c>
      <c r="J87" s="369" t="str">
        <f t="shared" ref="J87:J100" si="49">IFERROR(AVERAGE(Q87,V87,AA87,AF87,AK87,AP87,AU87),"-")</f>
        <v>-</v>
      </c>
      <c r="K87" s="194" t="str">
        <f t="shared" ref="K87:K100" si="50">IFERROR(AVERAGE(R87,W87,AB87,AG87,AL87,AQ87,AV87),"-")</f>
        <v>-</v>
      </c>
      <c r="L87" s="652" t="str">
        <f>IFERROR(AVERAGE(K87:K101),"-")</f>
        <v>-</v>
      </c>
      <c r="M87" s="372" t="e">
        <f>RANK(K87, K$87:$K$101)</f>
        <v>#VALUE!</v>
      </c>
      <c r="N87" s="637"/>
      <c r="O87" s="637"/>
      <c r="P87" s="546"/>
      <c r="Q87" s="547"/>
      <c r="R87" s="547"/>
      <c r="S87" s="546"/>
      <c r="T87" s="638"/>
      <c r="U87" s="546"/>
      <c r="V87" s="547"/>
      <c r="W87" s="547"/>
      <c r="X87" s="546"/>
      <c r="Y87" s="638"/>
      <c r="Z87" s="546"/>
      <c r="AA87" s="547"/>
      <c r="AB87" s="547"/>
      <c r="AC87" s="546"/>
      <c r="AD87" s="638"/>
      <c r="AE87" s="546"/>
      <c r="AF87" s="547"/>
      <c r="AG87" s="547"/>
      <c r="AH87" s="546"/>
      <c r="AI87" s="638"/>
      <c r="AJ87" s="546"/>
      <c r="AK87" s="547"/>
      <c r="AL87" s="547"/>
      <c r="AM87" s="546"/>
      <c r="AN87" s="638"/>
      <c r="AO87" s="546"/>
      <c r="AP87" s="547"/>
      <c r="AQ87" s="547"/>
      <c r="AR87" s="546"/>
      <c r="AS87" s="638"/>
      <c r="AT87" s="546"/>
      <c r="AU87" s="547"/>
      <c r="AV87" s="547"/>
      <c r="AW87" s="546"/>
      <c r="AX87" s="638"/>
      <c r="AZ87" s="357" t="e">
        <f t="shared" ref="AZ87:AZ101" si="51">RANK(AY87, AY$87:AY$101)</f>
        <v>#N/A</v>
      </c>
      <c r="BA87" s="638" t="e">
        <f t="shared" ref="BA87" si="52">AVERAGE(AY87:AY101)</f>
        <v>#DIV/0!</v>
      </c>
    </row>
    <row r="88" spans="2:53">
      <c r="B88" s="643"/>
      <c r="C88" s="368">
        <v>2</v>
      </c>
      <c r="D88" s="340"/>
      <c r="E88" s="471"/>
      <c r="F88" s="471"/>
      <c r="G88" s="471"/>
      <c r="H88" s="651"/>
      <c r="I88" s="369" t="str">
        <f t="shared" si="48"/>
        <v>-</v>
      </c>
      <c r="J88" s="369" t="str">
        <f t="shared" si="49"/>
        <v>-</v>
      </c>
      <c r="K88" s="194" t="str">
        <f t="shared" si="50"/>
        <v>-</v>
      </c>
      <c r="L88" s="653"/>
      <c r="M88" s="394" t="e">
        <f>RANK(K88, K$87:$K$101)</f>
        <v>#VALUE!</v>
      </c>
      <c r="N88" s="637"/>
      <c r="O88" s="637"/>
      <c r="P88" s="546"/>
      <c r="Q88" s="547"/>
      <c r="R88" s="547"/>
      <c r="S88" s="546"/>
      <c r="T88" s="638"/>
      <c r="U88" s="546"/>
      <c r="V88" s="547"/>
      <c r="W88" s="547"/>
      <c r="X88" s="546"/>
      <c r="Y88" s="638"/>
      <c r="Z88" s="546"/>
      <c r="AA88" s="547"/>
      <c r="AB88" s="547"/>
      <c r="AC88" s="546"/>
      <c r="AD88" s="638"/>
      <c r="AE88" s="546"/>
      <c r="AF88" s="547"/>
      <c r="AG88" s="547"/>
      <c r="AH88" s="546"/>
      <c r="AI88" s="638"/>
      <c r="AJ88" s="546"/>
      <c r="AK88" s="547"/>
      <c r="AL88" s="547"/>
      <c r="AM88" s="546"/>
      <c r="AN88" s="638"/>
      <c r="AO88" s="546"/>
      <c r="AP88" s="547"/>
      <c r="AQ88" s="547"/>
      <c r="AR88" s="546"/>
      <c r="AS88" s="638"/>
      <c r="AT88" s="546"/>
      <c r="AU88" s="547"/>
      <c r="AV88" s="547"/>
      <c r="AW88" s="546"/>
      <c r="AX88" s="638"/>
      <c r="AZ88" s="357" t="e">
        <f t="shared" si="51"/>
        <v>#N/A</v>
      </c>
      <c r="BA88" s="638"/>
    </row>
    <row r="89" spans="2:53">
      <c r="B89" s="643"/>
      <c r="C89" s="368">
        <v>3</v>
      </c>
      <c r="D89" s="340"/>
      <c r="E89" s="471"/>
      <c r="F89" s="471"/>
      <c r="G89" s="471"/>
      <c r="H89" s="651"/>
      <c r="I89" s="369" t="str">
        <f t="shared" si="48"/>
        <v>-</v>
      </c>
      <c r="J89" s="369" t="str">
        <f t="shared" si="49"/>
        <v>-</v>
      </c>
      <c r="K89" s="194" t="str">
        <f t="shared" si="50"/>
        <v>-</v>
      </c>
      <c r="L89" s="653"/>
      <c r="M89" s="394" t="e">
        <f>RANK(K89, K$87:$K$101)</f>
        <v>#VALUE!</v>
      </c>
      <c r="N89" s="637"/>
      <c r="O89" s="637"/>
      <c r="P89" s="546"/>
      <c r="Q89" s="547"/>
      <c r="R89" s="547"/>
      <c r="S89" s="546"/>
      <c r="T89" s="638"/>
      <c r="U89" s="546"/>
      <c r="V89" s="547"/>
      <c r="W89" s="547"/>
      <c r="X89" s="546"/>
      <c r="Y89" s="638"/>
      <c r="Z89" s="546"/>
      <c r="AA89" s="547"/>
      <c r="AB89" s="547"/>
      <c r="AC89" s="546"/>
      <c r="AD89" s="638"/>
      <c r="AE89" s="546"/>
      <c r="AF89" s="547"/>
      <c r="AG89" s="547"/>
      <c r="AH89" s="546"/>
      <c r="AI89" s="638"/>
      <c r="AJ89" s="546"/>
      <c r="AK89" s="547"/>
      <c r="AL89" s="547"/>
      <c r="AM89" s="546"/>
      <c r="AN89" s="638"/>
      <c r="AO89" s="546"/>
      <c r="AP89" s="547"/>
      <c r="AQ89" s="547"/>
      <c r="AR89" s="546"/>
      <c r="AS89" s="638"/>
      <c r="AT89" s="546"/>
      <c r="AU89" s="547"/>
      <c r="AV89" s="547"/>
      <c r="AW89" s="546"/>
      <c r="AX89" s="638"/>
      <c r="AZ89" s="357" t="e">
        <f t="shared" si="51"/>
        <v>#N/A</v>
      </c>
      <c r="BA89" s="638"/>
    </row>
    <row r="90" spans="2:53">
      <c r="B90" s="643"/>
      <c r="C90" s="368">
        <v>4</v>
      </c>
      <c r="D90" s="340"/>
      <c r="E90" s="471"/>
      <c r="F90" s="471"/>
      <c r="G90" s="471"/>
      <c r="H90" s="651"/>
      <c r="I90" s="369" t="str">
        <f t="shared" si="48"/>
        <v>-</v>
      </c>
      <c r="J90" s="369" t="str">
        <f t="shared" si="49"/>
        <v>-</v>
      </c>
      <c r="K90" s="194" t="str">
        <f t="shared" si="50"/>
        <v>-</v>
      </c>
      <c r="L90" s="653"/>
      <c r="M90" s="394" t="e">
        <f>RANK(K90, K$87:$K$101)</f>
        <v>#VALUE!</v>
      </c>
      <c r="N90" s="637"/>
      <c r="O90" s="637"/>
      <c r="P90" s="546"/>
      <c r="Q90" s="547"/>
      <c r="R90" s="547"/>
      <c r="S90" s="546"/>
      <c r="T90" s="638"/>
      <c r="U90" s="546"/>
      <c r="V90" s="547"/>
      <c r="W90" s="547"/>
      <c r="X90" s="546"/>
      <c r="Y90" s="638"/>
      <c r="Z90" s="546"/>
      <c r="AA90" s="547"/>
      <c r="AB90" s="547"/>
      <c r="AC90" s="546"/>
      <c r="AD90" s="638"/>
      <c r="AE90" s="546"/>
      <c r="AF90" s="547"/>
      <c r="AG90" s="547"/>
      <c r="AH90" s="546"/>
      <c r="AI90" s="638"/>
      <c r="AJ90" s="546"/>
      <c r="AK90" s="547"/>
      <c r="AL90" s="547"/>
      <c r="AM90" s="546"/>
      <c r="AN90" s="638"/>
      <c r="AO90" s="546"/>
      <c r="AP90" s="547"/>
      <c r="AQ90" s="547"/>
      <c r="AR90" s="546"/>
      <c r="AS90" s="638"/>
      <c r="AT90" s="546"/>
      <c r="AU90" s="547"/>
      <c r="AV90" s="547"/>
      <c r="AW90" s="546"/>
      <c r="AX90" s="638"/>
      <c r="AZ90" s="357" t="e">
        <f t="shared" si="51"/>
        <v>#N/A</v>
      </c>
      <c r="BA90" s="638"/>
    </row>
    <row r="91" spans="2:53">
      <c r="B91" s="643"/>
      <c r="C91" s="368">
        <v>5</v>
      </c>
      <c r="D91" s="340"/>
      <c r="E91" s="471"/>
      <c r="F91" s="471"/>
      <c r="G91" s="471"/>
      <c r="H91" s="651"/>
      <c r="I91" s="369" t="str">
        <f t="shared" si="48"/>
        <v>-</v>
      </c>
      <c r="J91" s="369" t="str">
        <f t="shared" si="49"/>
        <v>-</v>
      </c>
      <c r="K91" s="194" t="str">
        <f t="shared" si="50"/>
        <v>-</v>
      </c>
      <c r="L91" s="653"/>
      <c r="M91" s="394" t="e">
        <f>RANK(K91, K$87:$K$101)</f>
        <v>#VALUE!</v>
      </c>
      <c r="N91" s="637"/>
      <c r="O91" s="637"/>
      <c r="P91" s="546"/>
      <c r="Q91" s="547"/>
      <c r="R91" s="547"/>
      <c r="S91" s="546"/>
      <c r="T91" s="638"/>
      <c r="U91" s="546"/>
      <c r="V91" s="547"/>
      <c r="W91" s="547"/>
      <c r="X91" s="546"/>
      <c r="Y91" s="638"/>
      <c r="Z91" s="546"/>
      <c r="AA91" s="547"/>
      <c r="AB91" s="547"/>
      <c r="AC91" s="546"/>
      <c r="AD91" s="638"/>
      <c r="AE91" s="546"/>
      <c r="AF91" s="547"/>
      <c r="AG91" s="547"/>
      <c r="AH91" s="546"/>
      <c r="AI91" s="638"/>
      <c r="AJ91" s="546"/>
      <c r="AK91" s="547"/>
      <c r="AL91" s="547"/>
      <c r="AM91" s="546"/>
      <c r="AN91" s="638"/>
      <c r="AO91" s="546"/>
      <c r="AP91" s="547"/>
      <c r="AQ91" s="547"/>
      <c r="AR91" s="546"/>
      <c r="AS91" s="638"/>
      <c r="AT91" s="546"/>
      <c r="AU91" s="547"/>
      <c r="AV91" s="547"/>
      <c r="AW91" s="546"/>
      <c r="AX91" s="638"/>
      <c r="AZ91" s="357" t="e">
        <f t="shared" si="51"/>
        <v>#N/A</v>
      </c>
      <c r="BA91" s="638"/>
    </row>
    <row r="92" spans="2:53">
      <c r="B92" s="643"/>
      <c r="C92" s="368">
        <v>6</v>
      </c>
      <c r="D92" s="340"/>
      <c r="E92" s="471"/>
      <c r="F92" s="471"/>
      <c r="G92" s="471"/>
      <c r="H92" s="651"/>
      <c r="I92" s="369" t="str">
        <f t="shared" si="48"/>
        <v>-</v>
      </c>
      <c r="J92" s="369" t="str">
        <f t="shared" si="49"/>
        <v>-</v>
      </c>
      <c r="K92" s="194" t="str">
        <f t="shared" si="50"/>
        <v>-</v>
      </c>
      <c r="L92" s="653"/>
      <c r="M92" s="394" t="e">
        <f>RANK(K92, K$87:$K$101)</f>
        <v>#VALUE!</v>
      </c>
      <c r="N92" s="637"/>
      <c r="O92" s="637"/>
      <c r="P92" s="546"/>
      <c r="Q92" s="547"/>
      <c r="R92" s="547"/>
      <c r="S92" s="546"/>
      <c r="T92" s="638"/>
      <c r="U92" s="546"/>
      <c r="V92" s="547"/>
      <c r="W92" s="547"/>
      <c r="X92" s="546"/>
      <c r="Y92" s="638"/>
      <c r="Z92" s="546"/>
      <c r="AA92" s="547"/>
      <c r="AB92" s="547"/>
      <c r="AC92" s="546"/>
      <c r="AD92" s="638"/>
      <c r="AE92" s="546"/>
      <c r="AF92" s="547"/>
      <c r="AG92" s="547"/>
      <c r="AH92" s="546"/>
      <c r="AI92" s="638"/>
      <c r="AJ92" s="546"/>
      <c r="AK92" s="547"/>
      <c r="AL92" s="547"/>
      <c r="AM92" s="546"/>
      <c r="AN92" s="638"/>
      <c r="AO92" s="546"/>
      <c r="AP92" s="547"/>
      <c r="AQ92" s="547"/>
      <c r="AR92" s="546"/>
      <c r="AS92" s="638"/>
      <c r="AT92" s="546"/>
      <c r="AU92" s="547"/>
      <c r="AV92" s="547"/>
      <c r="AW92" s="546"/>
      <c r="AX92" s="638"/>
      <c r="AZ92" s="357" t="e">
        <f t="shared" si="51"/>
        <v>#N/A</v>
      </c>
      <c r="BA92" s="638"/>
    </row>
    <row r="93" spans="2:53">
      <c r="B93" s="643"/>
      <c r="C93" s="368">
        <v>7</v>
      </c>
      <c r="D93" s="340"/>
      <c r="E93" s="471"/>
      <c r="F93" s="471"/>
      <c r="G93" s="471"/>
      <c r="H93" s="651"/>
      <c r="I93" s="369" t="str">
        <f t="shared" si="48"/>
        <v>-</v>
      </c>
      <c r="J93" s="369" t="str">
        <f t="shared" si="49"/>
        <v>-</v>
      </c>
      <c r="K93" s="194" t="str">
        <f t="shared" si="50"/>
        <v>-</v>
      </c>
      <c r="L93" s="653"/>
      <c r="M93" s="394" t="e">
        <f>RANK(K93, K$87:$K$101)</f>
        <v>#VALUE!</v>
      </c>
      <c r="N93" s="637"/>
      <c r="O93" s="637"/>
      <c r="P93" s="546"/>
      <c r="Q93" s="547"/>
      <c r="R93" s="547"/>
      <c r="S93" s="546"/>
      <c r="T93" s="638"/>
      <c r="U93" s="546"/>
      <c r="V93" s="547"/>
      <c r="W93" s="547"/>
      <c r="X93" s="546"/>
      <c r="Y93" s="638"/>
      <c r="Z93" s="546"/>
      <c r="AA93" s="547"/>
      <c r="AB93" s="547"/>
      <c r="AC93" s="546"/>
      <c r="AD93" s="638"/>
      <c r="AE93" s="546"/>
      <c r="AF93" s="547"/>
      <c r="AG93" s="547"/>
      <c r="AH93" s="546"/>
      <c r="AI93" s="638"/>
      <c r="AJ93" s="546"/>
      <c r="AK93" s="547"/>
      <c r="AL93" s="547"/>
      <c r="AM93" s="546"/>
      <c r="AN93" s="638"/>
      <c r="AO93" s="546"/>
      <c r="AP93" s="547"/>
      <c r="AQ93" s="547"/>
      <c r="AR93" s="546"/>
      <c r="AS93" s="638"/>
      <c r="AT93" s="546"/>
      <c r="AU93" s="547"/>
      <c r="AV93" s="547"/>
      <c r="AW93" s="546"/>
      <c r="AX93" s="638"/>
      <c r="AZ93" s="357" t="e">
        <f t="shared" si="51"/>
        <v>#N/A</v>
      </c>
      <c r="BA93" s="638"/>
    </row>
    <row r="94" spans="2:53">
      <c r="B94" s="643"/>
      <c r="C94" s="368">
        <v>8</v>
      </c>
      <c r="D94" s="340"/>
      <c r="E94" s="471"/>
      <c r="F94" s="471"/>
      <c r="G94" s="471"/>
      <c r="H94" s="651"/>
      <c r="I94" s="369" t="str">
        <f t="shared" si="48"/>
        <v>-</v>
      </c>
      <c r="J94" s="369" t="str">
        <f t="shared" si="49"/>
        <v>-</v>
      </c>
      <c r="K94" s="194" t="str">
        <f t="shared" si="50"/>
        <v>-</v>
      </c>
      <c r="L94" s="653"/>
      <c r="M94" s="394" t="e">
        <f>RANK(K94, K$87:$K$101)</f>
        <v>#VALUE!</v>
      </c>
      <c r="N94" s="637"/>
      <c r="O94" s="637"/>
      <c r="P94" s="546"/>
      <c r="Q94" s="547"/>
      <c r="R94" s="547"/>
      <c r="S94" s="546"/>
      <c r="T94" s="638"/>
      <c r="U94" s="546"/>
      <c r="V94" s="547"/>
      <c r="W94" s="547"/>
      <c r="X94" s="546"/>
      <c r="Y94" s="638"/>
      <c r="Z94" s="546"/>
      <c r="AA94" s="547"/>
      <c r="AB94" s="547"/>
      <c r="AC94" s="546"/>
      <c r="AD94" s="638"/>
      <c r="AE94" s="546"/>
      <c r="AF94" s="547"/>
      <c r="AG94" s="547"/>
      <c r="AH94" s="546"/>
      <c r="AI94" s="638"/>
      <c r="AJ94" s="546"/>
      <c r="AK94" s="547"/>
      <c r="AL94" s="547"/>
      <c r="AM94" s="546"/>
      <c r="AN94" s="638"/>
      <c r="AO94" s="546"/>
      <c r="AP94" s="547"/>
      <c r="AQ94" s="547"/>
      <c r="AR94" s="546"/>
      <c r="AS94" s="638"/>
      <c r="AT94" s="546"/>
      <c r="AU94" s="547"/>
      <c r="AV94" s="547"/>
      <c r="AW94" s="546"/>
      <c r="AX94" s="638"/>
      <c r="AZ94" s="357" t="e">
        <f t="shared" si="51"/>
        <v>#N/A</v>
      </c>
      <c r="BA94" s="638"/>
    </row>
    <row r="95" spans="2:53">
      <c r="B95" s="643"/>
      <c r="C95" s="368">
        <v>9</v>
      </c>
      <c r="D95" s="340"/>
      <c r="E95" s="471"/>
      <c r="F95" s="471"/>
      <c r="G95" s="471"/>
      <c r="H95" s="651"/>
      <c r="I95" s="369" t="str">
        <f t="shared" si="48"/>
        <v>-</v>
      </c>
      <c r="J95" s="369" t="str">
        <f t="shared" si="49"/>
        <v>-</v>
      </c>
      <c r="K95" s="194" t="str">
        <f t="shared" si="50"/>
        <v>-</v>
      </c>
      <c r="L95" s="653"/>
      <c r="M95" s="394" t="e">
        <f>RANK(K95, K$87:$K$101)</f>
        <v>#VALUE!</v>
      </c>
      <c r="N95" s="637"/>
      <c r="O95" s="637"/>
      <c r="P95" s="546"/>
      <c r="Q95" s="547"/>
      <c r="R95" s="547"/>
      <c r="S95" s="546"/>
      <c r="T95" s="638"/>
      <c r="U95" s="546"/>
      <c r="V95" s="547"/>
      <c r="W95" s="547"/>
      <c r="X95" s="546"/>
      <c r="Y95" s="638"/>
      <c r="Z95" s="546"/>
      <c r="AA95" s="547"/>
      <c r="AB95" s="547"/>
      <c r="AC95" s="546"/>
      <c r="AD95" s="638"/>
      <c r="AE95" s="546"/>
      <c r="AF95" s="547"/>
      <c r="AG95" s="547"/>
      <c r="AH95" s="546"/>
      <c r="AI95" s="638"/>
      <c r="AJ95" s="546"/>
      <c r="AK95" s="547"/>
      <c r="AL95" s="547"/>
      <c r="AM95" s="546"/>
      <c r="AN95" s="638"/>
      <c r="AO95" s="546"/>
      <c r="AP95" s="547"/>
      <c r="AQ95" s="547"/>
      <c r="AR95" s="546"/>
      <c r="AS95" s="638"/>
      <c r="AT95" s="546"/>
      <c r="AU95" s="547"/>
      <c r="AV95" s="547"/>
      <c r="AW95" s="546"/>
      <c r="AX95" s="638"/>
      <c r="AZ95" s="357" t="e">
        <f t="shared" si="51"/>
        <v>#N/A</v>
      </c>
      <c r="BA95" s="638"/>
    </row>
    <row r="96" spans="2:53">
      <c r="B96" s="643"/>
      <c r="C96" s="368">
        <v>10</v>
      </c>
      <c r="D96" s="340"/>
      <c r="E96" s="471"/>
      <c r="F96" s="471"/>
      <c r="G96" s="471"/>
      <c r="H96" s="651"/>
      <c r="I96" s="369" t="str">
        <f t="shared" si="48"/>
        <v>-</v>
      </c>
      <c r="J96" s="369" t="str">
        <f t="shared" si="49"/>
        <v>-</v>
      </c>
      <c r="K96" s="194" t="str">
        <f t="shared" si="50"/>
        <v>-</v>
      </c>
      <c r="L96" s="653"/>
      <c r="M96" s="394" t="e">
        <f>RANK(K96, K$87:$K$101)</f>
        <v>#VALUE!</v>
      </c>
      <c r="N96" s="637"/>
      <c r="O96" s="637"/>
      <c r="P96" s="546"/>
      <c r="Q96" s="547"/>
      <c r="R96" s="547"/>
      <c r="S96" s="546"/>
      <c r="T96" s="638"/>
      <c r="U96" s="546"/>
      <c r="V96" s="547"/>
      <c r="W96" s="547"/>
      <c r="X96" s="546"/>
      <c r="Y96" s="638"/>
      <c r="Z96" s="546"/>
      <c r="AA96" s="547"/>
      <c r="AB96" s="547"/>
      <c r="AC96" s="546"/>
      <c r="AD96" s="638"/>
      <c r="AE96" s="546"/>
      <c r="AF96" s="547"/>
      <c r="AG96" s="547"/>
      <c r="AH96" s="546"/>
      <c r="AI96" s="638"/>
      <c r="AJ96" s="546"/>
      <c r="AK96" s="547"/>
      <c r="AL96" s="547"/>
      <c r="AM96" s="546"/>
      <c r="AN96" s="638"/>
      <c r="AO96" s="546"/>
      <c r="AP96" s="547"/>
      <c r="AQ96" s="547"/>
      <c r="AR96" s="546"/>
      <c r="AS96" s="638"/>
      <c r="AT96" s="546"/>
      <c r="AU96" s="547"/>
      <c r="AV96" s="547"/>
      <c r="AW96" s="546"/>
      <c r="AX96" s="638"/>
      <c r="AZ96" s="357" t="e">
        <f t="shared" si="51"/>
        <v>#N/A</v>
      </c>
      <c r="BA96" s="638"/>
    </row>
    <row r="97" spans="2:53">
      <c r="B97" s="643"/>
      <c r="C97" s="368">
        <v>11</v>
      </c>
      <c r="D97" s="340"/>
      <c r="E97" s="471"/>
      <c r="F97" s="471"/>
      <c r="G97" s="471"/>
      <c r="H97" s="651"/>
      <c r="I97" s="369" t="str">
        <f t="shared" si="48"/>
        <v>-</v>
      </c>
      <c r="J97" s="369" t="str">
        <f t="shared" si="49"/>
        <v>-</v>
      </c>
      <c r="K97" s="194" t="str">
        <f t="shared" si="50"/>
        <v>-</v>
      </c>
      <c r="L97" s="653"/>
      <c r="M97" s="394" t="e">
        <f>RANK(K97, K$87:$K$101)</f>
        <v>#VALUE!</v>
      </c>
      <c r="N97" s="637"/>
      <c r="O97" s="637"/>
      <c r="P97" s="546"/>
      <c r="Q97" s="547"/>
      <c r="R97" s="547"/>
      <c r="S97" s="546"/>
      <c r="T97" s="638"/>
      <c r="U97" s="546"/>
      <c r="V97" s="547"/>
      <c r="W97" s="547"/>
      <c r="X97" s="546"/>
      <c r="Y97" s="638"/>
      <c r="Z97" s="546"/>
      <c r="AA97" s="547"/>
      <c r="AB97" s="547"/>
      <c r="AC97" s="546"/>
      <c r="AD97" s="638"/>
      <c r="AE97" s="546"/>
      <c r="AF97" s="547"/>
      <c r="AG97" s="547"/>
      <c r="AH97" s="546"/>
      <c r="AI97" s="638"/>
      <c r="AJ97" s="546"/>
      <c r="AK97" s="547"/>
      <c r="AL97" s="547"/>
      <c r="AM97" s="546"/>
      <c r="AN97" s="638"/>
      <c r="AO97" s="546"/>
      <c r="AP97" s="547"/>
      <c r="AQ97" s="547"/>
      <c r="AR97" s="546"/>
      <c r="AS97" s="638"/>
      <c r="AT97" s="546"/>
      <c r="AU97" s="547"/>
      <c r="AV97" s="547"/>
      <c r="AW97" s="546"/>
      <c r="AX97" s="638"/>
      <c r="AZ97" s="357" t="e">
        <f t="shared" si="51"/>
        <v>#N/A</v>
      </c>
      <c r="BA97" s="638"/>
    </row>
    <row r="98" spans="2:53">
      <c r="B98" s="643"/>
      <c r="C98" s="368">
        <v>12</v>
      </c>
      <c r="D98" s="340"/>
      <c r="E98" s="471"/>
      <c r="F98" s="471"/>
      <c r="G98" s="471"/>
      <c r="H98" s="651"/>
      <c r="I98" s="369" t="str">
        <f t="shared" si="48"/>
        <v>-</v>
      </c>
      <c r="J98" s="369" t="str">
        <f t="shared" si="49"/>
        <v>-</v>
      </c>
      <c r="K98" s="194" t="str">
        <f t="shared" si="50"/>
        <v>-</v>
      </c>
      <c r="L98" s="653"/>
      <c r="M98" s="394" t="e">
        <f>RANK(K98, K$87:$K$101)</f>
        <v>#VALUE!</v>
      </c>
      <c r="N98" s="637"/>
      <c r="O98" s="637"/>
      <c r="P98" s="546"/>
      <c r="Q98" s="547"/>
      <c r="R98" s="547"/>
      <c r="S98" s="546"/>
      <c r="T98" s="638"/>
      <c r="U98" s="546"/>
      <c r="V98" s="547"/>
      <c r="W98" s="547"/>
      <c r="X98" s="546"/>
      <c r="Y98" s="638"/>
      <c r="Z98" s="546"/>
      <c r="AA98" s="547"/>
      <c r="AB98" s="547"/>
      <c r="AC98" s="546"/>
      <c r="AD98" s="638"/>
      <c r="AE98" s="546"/>
      <c r="AF98" s="547"/>
      <c r="AG98" s="547"/>
      <c r="AH98" s="546"/>
      <c r="AI98" s="638"/>
      <c r="AJ98" s="546"/>
      <c r="AK98" s="547"/>
      <c r="AL98" s="547"/>
      <c r="AM98" s="546"/>
      <c r="AN98" s="638"/>
      <c r="AO98" s="546"/>
      <c r="AP98" s="547"/>
      <c r="AQ98" s="547"/>
      <c r="AR98" s="546"/>
      <c r="AS98" s="638"/>
      <c r="AT98" s="546"/>
      <c r="AU98" s="547"/>
      <c r="AV98" s="547"/>
      <c r="AW98" s="546"/>
      <c r="AX98" s="638"/>
      <c r="AZ98" s="357" t="e">
        <f t="shared" si="51"/>
        <v>#N/A</v>
      </c>
      <c r="BA98" s="638"/>
    </row>
    <row r="99" spans="2:53">
      <c r="B99" s="643"/>
      <c r="C99" s="368">
        <v>13</v>
      </c>
      <c r="D99" s="340"/>
      <c r="E99" s="471"/>
      <c r="F99" s="471"/>
      <c r="G99" s="471"/>
      <c r="H99" s="651"/>
      <c r="I99" s="369" t="str">
        <f t="shared" si="48"/>
        <v>-</v>
      </c>
      <c r="J99" s="369" t="str">
        <f t="shared" si="49"/>
        <v>-</v>
      </c>
      <c r="K99" s="194" t="str">
        <f t="shared" si="50"/>
        <v>-</v>
      </c>
      <c r="L99" s="653"/>
      <c r="M99" s="394" t="e">
        <f>RANK(K99, K$87:$K$101)</f>
        <v>#VALUE!</v>
      </c>
      <c r="N99" s="637"/>
      <c r="O99" s="637"/>
      <c r="P99" s="546"/>
      <c r="Q99" s="547"/>
      <c r="R99" s="547"/>
      <c r="S99" s="546"/>
      <c r="T99" s="638"/>
      <c r="U99" s="546"/>
      <c r="V99" s="547"/>
      <c r="W99" s="547"/>
      <c r="X99" s="546"/>
      <c r="Y99" s="638"/>
      <c r="Z99" s="546"/>
      <c r="AA99" s="547"/>
      <c r="AB99" s="547"/>
      <c r="AC99" s="546"/>
      <c r="AD99" s="638"/>
      <c r="AE99" s="546"/>
      <c r="AF99" s="547"/>
      <c r="AG99" s="547"/>
      <c r="AH99" s="546"/>
      <c r="AI99" s="638"/>
      <c r="AJ99" s="546"/>
      <c r="AK99" s="547"/>
      <c r="AL99" s="547"/>
      <c r="AM99" s="546"/>
      <c r="AN99" s="638"/>
      <c r="AO99" s="546"/>
      <c r="AP99" s="547"/>
      <c r="AQ99" s="547"/>
      <c r="AR99" s="546"/>
      <c r="AS99" s="638"/>
      <c r="AT99" s="546"/>
      <c r="AU99" s="547"/>
      <c r="AV99" s="547"/>
      <c r="AW99" s="546"/>
      <c r="AX99" s="638"/>
      <c r="AZ99" s="357" t="e">
        <f t="shared" si="51"/>
        <v>#N/A</v>
      </c>
      <c r="BA99" s="638"/>
    </row>
    <row r="100" spans="2:53">
      <c r="B100" s="643"/>
      <c r="C100" s="368">
        <v>14</v>
      </c>
      <c r="D100" s="340"/>
      <c r="E100" s="471"/>
      <c r="F100" s="471"/>
      <c r="G100" s="471"/>
      <c r="H100" s="651"/>
      <c r="I100" s="369" t="str">
        <f t="shared" si="48"/>
        <v>-</v>
      </c>
      <c r="J100" s="369" t="str">
        <f t="shared" si="49"/>
        <v>-</v>
      </c>
      <c r="K100" s="194" t="str">
        <f t="shared" si="50"/>
        <v>-</v>
      </c>
      <c r="L100" s="653"/>
      <c r="M100" s="394" t="e">
        <f>RANK(K100, K$87:$K$101)</f>
        <v>#VALUE!</v>
      </c>
      <c r="N100" s="637"/>
      <c r="O100" s="637"/>
      <c r="P100" s="546"/>
      <c r="Q100" s="547"/>
      <c r="R100" s="547"/>
      <c r="S100" s="546"/>
      <c r="T100" s="638"/>
      <c r="U100" s="546"/>
      <c r="V100" s="547"/>
      <c r="W100" s="547"/>
      <c r="X100" s="546"/>
      <c r="Y100" s="638"/>
      <c r="Z100" s="546"/>
      <c r="AA100" s="547"/>
      <c r="AB100" s="547"/>
      <c r="AC100" s="546"/>
      <c r="AD100" s="638"/>
      <c r="AE100" s="546"/>
      <c r="AF100" s="547"/>
      <c r="AG100" s="547"/>
      <c r="AH100" s="546"/>
      <c r="AI100" s="638"/>
      <c r="AJ100" s="546"/>
      <c r="AK100" s="547"/>
      <c r="AL100" s="547"/>
      <c r="AM100" s="546"/>
      <c r="AN100" s="638"/>
      <c r="AO100" s="546"/>
      <c r="AP100" s="547"/>
      <c r="AQ100" s="547"/>
      <c r="AR100" s="546"/>
      <c r="AS100" s="638"/>
      <c r="AT100" s="546"/>
      <c r="AU100" s="547"/>
      <c r="AV100" s="547"/>
      <c r="AW100" s="546"/>
      <c r="AX100" s="638"/>
      <c r="AZ100" s="357" t="e">
        <f t="shared" si="51"/>
        <v>#N/A</v>
      </c>
      <c r="BA100" s="638"/>
    </row>
    <row r="101" spans="2:53">
      <c r="B101" s="643"/>
      <c r="C101" s="368">
        <v>15</v>
      </c>
      <c r="D101" s="340"/>
      <c r="E101" s="471"/>
      <c r="F101" s="471"/>
      <c r="G101" s="471"/>
      <c r="H101" s="708"/>
      <c r="I101" s="372"/>
      <c r="J101" s="372"/>
      <c r="K101" s="370"/>
      <c r="L101" s="654"/>
      <c r="M101" s="394" t="e">
        <f>RANK(K101, K$87:$K$101)</f>
        <v>#N/A</v>
      </c>
      <c r="N101" s="637"/>
      <c r="O101" s="637"/>
      <c r="P101" s="546"/>
      <c r="Q101" s="547"/>
      <c r="R101" s="547"/>
      <c r="S101" s="546"/>
      <c r="T101" s="638"/>
      <c r="U101" s="546"/>
      <c r="V101" s="547"/>
      <c r="W101" s="547"/>
      <c r="X101" s="546"/>
      <c r="Y101" s="638"/>
      <c r="Z101" s="546"/>
      <c r="AA101" s="547"/>
      <c r="AB101" s="547"/>
      <c r="AC101" s="546"/>
      <c r="AD101" s="638"/>
      <c r="AE101" s="546"/>
      <c r="AF101" s="547"/>
      <c r="AG101" s="547"/>
      <c r="AH101" s="546"/>
      <c r="AI101" s="638"/>
      <c r="AJ101" s="546"/>
      <c r="AK101" s="547"/>
      <c r="AL101" s="547"/>
      <c r="AM101" s="546"/>
      <c r="AN101" s="638"/>
      <c r="AO101" s="546"/>
      <c r="AP101" s="547"/>
      <c r="AQ101" s="547"/>
      <c r="AR101" s="546"/>
      <c r="AS101" s="638"/>
      <c r="AT101" s="546"/>
      <c r="AU101" s="547"/>
      <c r="AV101" s="547"/>
      <c r="AW101" s="546"/>
      <c r="AX101" s="638"/>
      <c r="AZ101" s="357" t="e">
        <f t="shared" si="51"/>
        <v>#N/A</v>
      </c>
      <c r="BA101" s="638"/>
    </row>
    <row r="102" spans="2:53" ht="15.75">
      <c r="B102" s="665" t="s">
        <v>162</v>
      </c>
      <c r="C102" s="666"/>
      <c r="D102" s="666"/>
      <c r="E102" s="666"/>
      <c r="F102" s="666"/>
      <c r="G102" s="666"/>
      <c r="H102" s="667"/>
      <c r="I102" s="202"/>
      <c r="J102" s="202"/>
      <c r="K102" s="202"/>
      <c r="L102" s="202"/>
      <c r="M102" s="201"/>
      <c r="N102" s="639" t="s">
        <v>156</v>
      </c>
      <c r="O102" s="639" t="s">
        <v>105</v>
      </c>
      <c r="P102" s="664">
        <f>P82+7</f>
        <v>46329</v>
      </c>
      <c r="Q102" s="643"/>
      <c r="R102" s="643"/>
      <c r="S102" s="643"/>
      <c r="T102" s="643"/>
      <c r="U102" s="661">
        <f>P102+1</f>
        <v>46330</v>
      </c>
      <c r="V102" s="662"/>
      <c r="W102" s="662"/>
      <c r="X102" s="662"/>
      <c r="Y102" s="663"/>
      <c r="Z102" s="661">
        <f>U102+1</f>
        <v>46331</v>
      </c>
      <c r="AA102" s="662"/>
      <c r="AB102" s="662"/>
      <c r="AC102" s="662"/>
      <c r="AD102" s="663"/>
      <c r="AE102" s="661">
        <f>Z102+1</f>
        <v>46332</v>
      </c>
      <c r="AF102" s="662"/>
      <c r="AG102" s="662"/>
      <c r="AH102" s="662"/>
      <c r="AI102" s="663"/>
      <c r="AJ102" s="661">
        <f>AE102+1</f>
        <v>46333</v>
      </c>
      <c r="AK102" s="662"/>
      <c r="AL102" s="662"/>
      <c r="AM102" s="662"/>
      <c r="AN102" s="663"/>
      <c r="AO102" s="661">
        <f>AJ102+1</f>
        <v>46334</v>
      </c>
      <c r="AP102" s="662"/>
      <c r="AQ102" s="662"/>
      <c r="AR102" s="662"/>
      <c r="AS102" s="663"/>
      <c r="AT102" s="661">
        <f>AO102+1</f>
        <v>46335</v>
      </c>
      <c r="AU102" s="662"/>
      <c r="AV102" s="662"/>
      <c r="AW102" s="662"/>
      <c r="AX102" s="663"/>
    </row>
    <row r="103" spans="2:53" ht="15.75">
      <c r="B103" s="668"/>
      <c r="C103" s="668"/>
      <c r="D103" s="668"/>
      <c r="E103" s="668"/>
      <c r="F103" s="668"/>
      <c r="G103" s="668"/>
      <c r="H103" s="668"/>
      <c r="I103" s="199"/>
      <c r="J103" s="199"/>
      <c r="K103" s="199"/>
      <c r="L103" s="199"/>
      <c r="M103" s="200"/>
      <c r="N103" s="641"/>
      <c r="O103" s="641"/>
      <c r="P103" s="664" t="s">
        <v>158</v>
      </c>
      <c r="Q103" s="643"/>
      <c r="R103" s="643"/>
      <c r="S103" s="643"/>
      <c r="T103" s="643"/>
      <c r="U103" s="664" t="s">
        <v>114</v>
      </c>
      <c r="V103" s="643"/>
      <c r="W103" s="643"/>
      <c r="X103" s="643"/>
      <c r="Y103" s="643"/>
      <c r="Z103" s="664" t="s">
        <v>159</v>
      </c>
      <c r="AA103" s="643"/>
      <c r="AB103" s="643"/>
      <c r="AC103" s="643"/>
      <c r="AD103" s="643"/>
      <c r="AE103" s="664" t="s">
        <v>157</v>
      </c>
      <c r="AF103" s="643"/>
      <c r="AG103" s="643"/>
      <c r="AH103" s="643"/>
      <c r="AI103" s="643"/>
      <c r="AJ103" s="664" t="s">
        <v>160</v>
      </c>
      <c r="AK103" s="643"/>
      <c r="AL103" s="643"/>
      <c r="AM103" s="643"/>
      <c r="AN103" s="643"/>
      <c r="AO103" s="664" t="s">
        <v>115</v>
      </c>
      <c r="AP103" s="643"/>
      <c r="AQ103" s="643"/>
      <c r="AR103" s="643"/>
      <c r="AS103" s="643"/>
      <c r="AT103" s="664" t="s">
        <v>161</v>
      </c>
      <c r="AU103" s="643"/>
      <c r="AV103" s="643"/>
      <c r="AW103" s="643"/>
      <c r="AX103" s="643"/>
    </row>
    <row r="104" spans="2:53">
      <c r="B104" s="637" t="s">
        <v>505</v>
      </c>
      <c r="C104" s="637" t="s">
        <v>506</v>
      </c>
      <c r="D104" s="637"/>
      <c r="E104" s="637" t="s">
        <v>507</v>
      </c>
      <c r="F104" s="637"/>
      <c r="G104" s="637"/>
      <c r="H104" s="669" t="s">
        <v>508</v>
      </c>
      <c r="I104" s="637" t="s">
        <v>509</v>
      </c>
      <c r="J104" s="637"/>
      <c r="K104" s="637"/>
      <c r="L104" s="669" t="s">
        <v>357</v>
      </c>
      <c r="M104" s="639" t="s">
        <v>510</v>
      </c>
      <c r="N104" s="637"/>
      <c r="O104" s="637" t="s">
        <v>511</v>
      </c>
      <c r="P104" s="655" t="s">
        <v>512</v>
      </c>
      <c r="Q104" s="656"/>
      <c r="R104" s="656"/>
      <c r="S104" s="657"/>
      <c r="T104" s="637" t="s">
        <v>508</v>
      </c>
      <c r="U104" s="655" t="s">
        <v>512</v>
      </c>
      <c r="V104" s="656"/>
      <c r="W104" s="656"/>
      <c r="X104" s="657"/>
      <c r="Y104" s="637" t="s">
        <v>508</v>
      </c>
      <c r="Z104" s="655" t="s">
        <v>512</v>
      </c>
      <c r="AA104" s="656"/>
      <c r="AB104" s="656"/>
      <c r="AC104" s="657"/>
      <c r="AD104" s="637" t="s">
        <v>508</v>
      </c>
      <c r="AE104" s="655" t="s">
        <v>512</v>
      </c>
      <c r="AF104" s="656"/>
      <c r="AG104" s="656"/>
      <c r="AH104" s="657"/>
      <c r="AI104" s="637" t="s">
        <v>508</v>
      </c>
      <c r="AJ104" s="655" t="s">
        <v>512</v>
      </c>
      <c r="AK104" s="656"/>
      <c r="AL104" s="656"/>
      <c r="AM104" s="657"/>
      <c r="AN104" s="637" t="s">
        <v>508</v>
      </c>
      <c r="AO104" s="655" t="s">
        <v>512</v>
      </c>
      <c r="AP104" s="656"/>
      <c r="AQ104" s="656"/>
      <c r="AR104" s="657"/>
      <c r="AS104" s="637" t="s">
        <v>508</v>
      </c>
      <c r="AT104" s="655" t="s">
        <v>512</v>
      </c>
      <c r="AU104" s="656"/>
      <c r="AV104" s="656"/>
      <c r="AW104" s="657"/>
      <c r="AX104" s="637" t="s">
        <v>508</v>
      </c>
      <c r="BA104" s="637" t="s">
        <v>357</v>
      </c>
    </row>
    <row r="105" spans="2:53">
      <c r="B105" s="637"/>
      <c r="C105" s="637"/>
      <c r="D105" s="637"/>
      <c r="E105" s="637" t="s">
        <v>513</v>
      </c>
      <c r="F105" s="637"/>
      <c r="G105" s="637"/>
      <c r="H105" s="670"/>
      <c r="I105" s="637" t="s">
        <v>513</v>
      </c>
      <c r="J105" s="637"/>
      <c r="K105" s="637"/>
      <c r="L105" s="670"/>
      <c r="M105" s="640"/>
      <c r="N105" s="637"/>
      <c r="O105" s="637"/>
      <c r="P105" s="655" t="s">
        <v>514</v>
      </c>
      <c r="Q105" s="656"/>
      <c r="R105" s="656"/>
      <c r="S105" s="657"/>
      <c r="T105" s="637"/>
      <c r="U105" s="655" t="s">
        <v>514</v>
      </c>
      <c r="V105" s="656"/>
      <c r="W105" s="656"/>
      <c r="X105" s="657"/>
      <c r="Y105" s="637"/>
      <c r="Z105" s="655" t="s">
        <v>514</v>
      </c>
      <c r="AA105" s="656"/>
      <c r="AB105" s="656"/>
      <c r="AC105" s="657"/>
      <c r="AD105" s="637"/>
      <c r="AE105" s="655" t="s">
        <v>514</v>
      </c>
      <c r="AF105" s="656"/>
      <c r="AG105" s="656"/>
      <c r="AH105" s="657"/>
      <c r="AI105" s="637"/>
      <c r="AJ105" s="655" t="s">
        <v>514</v>
      </c>
      <c r="AK105" s="656"/>
      <c r="AL105" s="656"/>
      <c r="AM105" s="657"/>
      <c r="AN105" s="637"/>
      <c r="AO105" s="655" t="s">
        <v>514</v>
      </c>
      <c r="AP105" s="656"/>
      <c r="AQ105" s="656"/>
      <c r="AR105" s="657"/>
      <c r="AS105" s="637"/>
      <c r="AT105" s="655" t="s">
        <v>514</v>
      </c>
      <c r="AU105" s="656"/>
      <c r="AV105" s="656"/>
      <c r="AW105" s="657"/>
      <c r="AX105" s="637"/>
      <c r="BA105" s="637"/>
    </row>
    <row r="106" spans="2:53">
      <c r="B106" s="637"/>
      <c r="C106" s="637"/>
      <c r="D106" s="637"/>
      <c r="E106" s="334" t="s">
        <v>515</v>
      </c>
      <c r="F106" s="334" t="s">
        <v>516</v>
      </c>
      <c r="G106" s="334" t="s">
        <v>517</v>
      </c>
      <c r="H106" s="671"/>
      <c r="I106" s="334" t="s">
        <v>515</v>
      </c>
      <c r="J106" s="334" t="s">
        <v>516</v>
      </c>
      <c r="K106" s="334" t="s">
        <v>517</v>
      </c>
      <c r="L106" s="671"/>
      <c r="M106" s="641"/>
      <c r="N106" s="637"/>
      <c r="O106" s="637"/>
      <c r="P106" s="334" t="s">
        <v>515</v>
      </c>
      <c r="Q106" s="334" t="s">
        <v>516</v>
      </c>
      <c r="R106" s="334" t="s">
        <v>517</v>
      </c>
      <c r="S106" s="334" t="s">
        <v>510</v>
      </c>
      <c r="T106" s="637"/>
      <c r="U106" s="334" t="s">
        <v>515</v>
      </c>
      <c r="V106" s="334" t="s">
        <v>516</v>
      </c>
      <c r="W106" s="334" t="s">
        <v>517</v>
      </c>
      <c r="X106" s="334" t="s">
        <v>510</v>
      </c>
      <c r="Y106" s="637"/>
      <c r="Z106" s="334" t="s">
        <v>515</v>
      </c>
      <c r="AA106" s="334" t="s">
        <v>516</v>
      </c>
      <c r="AB106" s="334" t="s">
        <v>517</v>
      </c>
      <c r="AC106" s="334" t="s">
        <v>510</v>
      </c>
      <c r="AD106" s="637"/>
      <c r="AE106" s="334" t="s">
        <v>515</v>
      </c>
      <c r="AF106" s="334" t="s">
        <v>516</v>
      </c>
      <c r="AG106" s="334" t="s">
        <v>517</v>
      </c>
      <c r="AH106" s="334" t="s">
        <v>510</v>
      </c>
      <c r="AI106" s="637"/>
      <c r="AJ106" s="334" t="s">
        <v>515</v>
      </c>
      <c r="AK106" s="334" t="s">
        <v>516</v>
      </c>
      <c r="AL106" s="334" t="s">
        <v>517</v>
      </c>
      <c r="AM106" s="334" t="s">
        <v>510</v>
      </c>
      <c r="AN106" s="637"/>
      <c r="AO106" s="334" t="s">
        <v>515</v>
      </c>
      <c r="AP106" s="334" t="s">
        <v>516</v>
      </c>
      <c r="AQ106" s="334" t="s">
        <v>517</v>
      </c>
      <c r="AR106" s="334" t="s">
        <v>510</v>
      </c>
      <c r="AS106" s="637"/>
      <c r="AT106" s="334" t="s">
        <v>515</v>
      </c>
      <c r="AU106" s="334" t="s">
        <v>516</v>
      </c>
      <c r="AV106" s="334" t="s">
        <v>517</v>
      </c>
      <c r="AW106" s="334" t="s">
        <v>510</v>
      </c>
      <c r="AX106" s="637"/>
      <c r="AZ106" s="356" t="s">
        <v>510</v>
      </c>
      <c r="BA106" s="637"/>
    </row>
    <row r="107" spans="2:53">
      <c r="B107" s="695" t="s">
        <v>519</v>
      </c>
      <c r="C107" s="337">
        <v>1</v>
      </c>
      <c r="D107" s="340"/>
      <c r="E107" s="338"/>
      <c r="F107" s="338"/>
      <c r="G107" s="338"/>
      <c r="H107" s="650" t="e">
        <f>AVERAGE(G107:G121)</f>
        <v>#DIV/0!</v>
      </c>
      <c r="I107" s="352" t="str">
        <f t="shared" ref="I107:I120" si="53">IFERROR(AVERAGE(P107,U107,Z107,AE107,AJ107,AO107,AT107),"-")</f>
        <v>-</v>
      </c>
      <c r="J107" s="352" t="str">
        <f t="shared" ref="J107:J120" si="54">IFERROR(AVERAGE(Q107,V107,AA107,AF107,AK107,AP107,AU107),"-")</f>
        <v>-</v>
      </c>
      <c r="K107" s="194" t="str">
        <f t="shared" ref="K107:K120" si="55">IFERROR(AVERAGE(R107,W107,AB107,AG107,AL107,AQ107,AV107),"-")</f>
        <v>-</v>
      </c>
      <c r="L107" s="652" t="str">
        <f>IFERROR(AVERAGE(K107:K121),"-")</f>
        <v>-</v>
      </c>
      <c r="M107" s="338" t="e">
        <f>RANK(K107, K$107:$K$121)</f>
        <v>#VALUE!</v>
      </c>
      <c r="N107" s="637"/>
      <c r="O107" s="637"/>
      <c r="P107" s="490"/>
      <c r="Q107" s="491"/>
      <c r="R107" s="491"/>
      <c r="S107" s="490"/>
      <c r="T107" s="632"/>
      <c r="U107" s="490"/>
      <c r="V107" s="491"/>
      <c r="W107" s="491"/>
      <c r="X107" s="490"/>
      <c r="Y107" s="632"/>
      <c r="Z107" s="490"/>
      <c r="AA107" s="491"/>
      <c r="AB107" s="491"/>
      <c r="AC107" s="490"/>
      <c r="AD107" s="632"/>
      <c r="AE107" s="490"/>
      <c r="AF107" s="491"/>
      <c r="AG107" s="491"/>
      <c r="AH107" s="490"/>
      <c r="AI107" s="632"/>
      <c r="AJ107" s="490"/>
      <c r="AK107" s="491"/>
      <c r="AL107" s="491"/>
      <c r="AM107" s="490"/>
      <c r="AN107" s="632"/>
      <c r="AO107" s="490"/>
      <c r="AP107" s="491"/>
      <c r="AQ107" s="491"/>
      <c r="AR107" s="490"/>
      <c r="AS107" s="632"/>
      <c r="AT107" s="490"/>
      <c r="AU107" s="491"/>
      <c r="AV107" s="491"/>
      <c r="AW107" s="490"/>
      <c r="AX107" s="632"/>
      <c r="AZ107" s="358" t="e">
        <f t="shared" ref="AZ107:AZ121" si="56">RANK(AY107, AY$67:AY$81)</f>
        <v>#N/A</v>
      </c>
      <c r="BA107" s="694" t="e">
        <f t="shared" ref="BA107" si="57">AVERAGE(AY107:AY121)</f>
        <v>#DIV/0!</v>
      </c>
    </row>
    <row r="108" spans="2:53">
      <c r="B108" s="672"/>
      <c r="C108" s="337">
        <v>2</v>
      </c>
      <c r="D108" s="340"/>
      <c r="E108" s="338"/>
      <c r="F108" s="338"/>
      <c r="G108" s="338"/>
      <c r="H108" s="651"/>
      <c r="I108" s="352" t="str">
        <f t="shared" si="53"/>
        <v>-</v>
      </c>
      <c r="J108" s="352" t="str">
        <f t="shared" si="54"/>
        <v>-</v>
      </c>
      <c r="K108" s="194" t="str">
        <f t="shared" si="55"/>
        <v>-</v>
      </c>
      <c r="L108" s="653"/>
      <c r="M108" s="471" t="e">
        <f>RANK(K108, K$107:$K$121)</f>
        <v>#VALUE!</v>
      </c>
      <c r="N108" s="637"/>
      <c r="O108" s="637"/>
      <c r="P108" s="490"/>
      <c r="Q108" s="491"/>
      <c r="R108" s="491"/>
      <c r="S108" s="490"/>
      <c r="T108" s="633"/>
      <c r="U108" s="490"/>
      <c r="V108" s="491"/>
      <c r="W108" s="491"/>
      <c r="X108" s="490"/>
      <c r="Y108" s="633"/>
      <c r="Z108" s="490"/>
      <c r="AA108" s="491"/>
      <c r="AB108" s="491"/>
      <c r="AC108" s="490"/>
      <c r="AD108" s="633"/>
      <c r="AE108" s="490"/>
      <c r="AF108" s="491"/>
      <c r="AG108" s="491"/>
      <c r="AH108" s="490"/>
      <c r="AI108" s="633"/>
      <c r="AJ108" s="490"/>
      <c r="AK108" s="491"/>
      <c r="AL108" s="491"/>
      <c r="AM108" s="490"/>
      <c r="AN108" s="633"/>
      <c r="AO108" s="490"/>
      <c r="AP108" s="491"/>
      <c r="AQ108" s="491"/>
      <c r="AR108" s="490"/>
      <c r="AS108" s="633"/>
      <c r="AT108" s="490"/>
      <c r="AU108" s="491"/>
      <c r="AV108" s="491"/>
      <c r="AW108" s="490"/>
      <c r="AX108" s="633"/>
      <c r="AZ108" s="358" t="e">
        <f t="shared" si="56"/>
        <v>#N/A</v>
      </c>
      <c r="BA108" s="694"/>
    </row>
    <row r="109" spans="2:53">
      <c r="B109" s="672"/>
      <c r="C109" s="337">
        <v>3</v>
      </c>
      <c r="D109" s="340"/>
      <c r="E109" s="338"/>
      <c r="F109" s="338"/>
      <c r="G109" s="338"/>
      <c r="H109" s="651"/>
      <c r="I109" s="352" t="str">
        <f t="shared" si="53"/>
        <v>-</v>
      </c>
      <c r="J109" s="352" t="str">
        <f t="shared" si="54"/>
        <v>-</v>
      </c>
      <c r="K109" s="194" t="str">
        <f t="shared" si="55"/>
        <v>-</v>
      </c>
      <c r="L109" s="653"/>
      <c r="M109" s="471" t="e">
        <f>RANK(K109, K$107:$K$121)</f>
        <v>#VALUE!</v>
      </c>
      <c r="N109" s="637"/>
      <c r="O109" s="637"/>
      <c r="P109" s="490"/>
      <c r="Q109" s="491"/>
      <c r="R109" s="491"/>
      <c r="S109" s="490"/>
      <c r="T109" s="633"/>
      <c r="U109" s="490"/>
      <c r="V109" s="491"/>
      <c r="W109" s="491"/>
      <c r="X109" s="490"/>
      <c r="Y109" s="633"/>
      <c r="Z109" s="490"/>
      <c r="AA109" s="491"/>
      <c r="AB109" s="491"/>
      <c r="AC109" s="490"/>
      <c r="AD109" s="633"/>
      <c r="AE109" s="490"/>
      <c r="AF109" s="491"/>
      <c r="AG109" s="491"/>
      <c r="AH109" s="490"/>
      <c r="AI109" s="633"/>
      <c r="AJ109" s="490"/>
      <c r="AK109" s="491"/>
      <c r="AL109" s="491"/>
      <c r="AM109" s="490"/>
      <c r="AN109" s="633"/>
      <c r="AO109" s="490"/>
      <c r="AP109" s="491"/>
      <c r="AQ109" s="491"/>
      <c r="AR109" s="490"/>
      <c r="AS109" s="633"/>
      <c r="AT109" s="490"/>
      <c r="AU109" s="491"/>
      <c r="AV109" s="491"/>
      <c r="AW109" s="490"/>
      <c r="AX109" s="633"/>
      <c r="AZ109" s="358" t="e">
        <f t="shared" si="56"/>
        <v>#N/A</v>
      </c>
      <c r="BA109" s="694"/>
    </row>
    <row r="110" spans="2:53">
      <c r="B110" s="672"/>
      <c r="C110" s="337">
        <v>4</v>
      </c>
      <c r="D110" s="340"/>
      <c r="E110" s="338"/>
      <c r="F110" s="338"/>
      <c r="G110" s="338"/>
      <c r="H110" s="651"/>
      <c r="I110" s="352" t="str">
        <f t="shared" si="53"/>
        <v>-</v>
      </c>
      <c r="J110" s="352" t="str">
        <f t="shared" si="54"/>
        <v>-</v>
      </c>
      <c r="K110" s="194" t="str">
        <f t="shared" si="55"/>
        <v>-</v>
      </c>
      <c r="L110" s="653"/>
      <c r="M110" s="471" t="e">
        <f>RANK(K110, K$107:$K$121)</f>
        <v>#VALUE!</v>
      </c>
      <c r="N110" s="637"/>
      <c r="O110" s="637"/>
      <c r="P110" s="490"/>
      <c r="Q110" s="491"/>
      <c r="R110" s="491"/>
      <c r="S110" s="490"/>
      <c r="T110" s="633"/>
      <c r="U110" s="490"/>
      <c r="V110" s="491"/>
      <c r="W110" s="491"/>
      <c r="X110" s="490"/>
      <c r="Y110" s="633"/>
      <c r="Z110" s="490"/>
      <c r="AA110" s="491"/>
      <c r="AB110" s="491"/>
      <c r="AC110" s="490"/>
      <c r="AD110" s="633"/>
      <c r="AE110" s="490"/>
      <c r="AF110" s="491"/>
      <c r="AG110" s="491"/>
      <c r="AH110" s="490"/>
      <c r="AI110" s="633"/>
      <c r="AJ110" s="490"/>
      <c r="AK110" s="491"/>
      <c r="AL110" s="491"/>
      <c r="AM110" s="490"/>
      <c r="AN110" s="633"/>
      <c r="AO110" s="490"/>
      <c r="AP110" s="491"/>
      <c r="AQ110" s="491"/>
      <c r="AR110" s="490"/>
      <c r="AS110" s="633"/>
      <c r="AT110" s="490"/>
      <c r="AU110" s="491"/>
      <c r="AV110" s="491"/>
      <c r="AW110" s="490"/>
      <c r="AX110" s="633"/>
      <c r="AZ110" s="358" t="e">
        <f t="shared" si="56"/>
        <v>#N/A</v>
      </c>
      <c r="BA110" s="694"/>
    </row>
    <row r="111" spans="2:53">
      <c r="B111" s="672"/>
      <c r="C111" s="337">
        <v>5</v>
      </c>
      <c r="D111" s="340"/>
      <c r="E111" s="338"/>
      <c r="F111" s="338"/>
      <c r="G111" s="338"/>
      <c r="H111" s="651"/>
      <c r="I111" s="352" t="str">
        <f t="shared" si="53"/>
        <v>-</v>
      </c>
      <c r="J111" s="352" t="str">
        <f t="shared" si="54"/>
        <v>-</v>
      </c>
      <c r="K111" s="194" t="str">
        <f t="shared" si="55"/>
        <v>-</v>
      </c>
      <c r="L111" s="653"/>
      <c r="M111" s="471" t="e">
        <f>RANK(K111, K$107:$K$121)</f>
        <v>#VALUE!</v>
      </c>
      <c r="N111" s="637"/>
      <c r="O111" s="637"/>
      <c r="P111" s="490"/>
      <c r="Q111" s="491"/>
      <c r="R111" s="491"/>
      <c r="S111" s="490"/>
      <c r="T111" s="633"/>
      <c r="U111" s="490"/>
      <c r="V111" s="491"/>
      <c r="W111" s="491"/>
      <c r="X111" s="490"/>
      <c r="Y111" s="633"/>
      <c r="Z111" s="490"/>
      <c r="AA111" s="491"/>
      <c r="AB111" s="491"/>
      <c r="AC111" s="490"/>
      <c r="AD111" s="633"/>
      <c r="AE111" s="490"/>
      <c r="AF111" s="491"/>
      <c r="AG111" s="491"/>
      <c r="AH111" s="490"/>
      <c r="AI111" s="633"/>
      <c r="AJ111" s="490"/>
      <c r="AK111" s="491"/>
      <c r="AL111" s="491"/>
      <c r="AM111" s="490"/>
      <c r="AN111" s="633"/>
      <c r="AO111" s="490"/>
      <c r="AP111" s="491"/>
      <c r="AQ111" s="491"/>
      <c r="AR111" s="490"/>
      <c r="AS111" s="633"/>
      <c r="AT111" s="490"/>
      <c r="AU111" s="491"/>
      <c r="AV111" s="491"/>
      <c r="AW111" s="490"/>
      <c r="AX111" s="633"/>
      <c r="AZ111" s="358" t="e">
        <f t="shared" si="56"/>
        <v>#N/A</v>
      </c>
      <c r="BA111" s="694"/>
    </row>
    <row r="112" spans="2:53">
      <c r="B112" s="672"/>
      <c r="C112" s="337">
        <v>6</v>
      </c>
      <c r="D112" s="340"/>
      <c r="E112" s="338"/>
      <c r="F112" s="338"/>
      <c r="G112" s="338"/>
      <c r="H112" s="651"/>
      <c r="I112" s="352" t="str">
        <f t="shared" si="53"/>
        <v>-</v>
      </c>
      <c r="J112" s="352" t="str">
        <f t="shared" si="54"/>
        <v>-</v>
      </c>
      <c r="K112" s="194" t="str">
        <f t="shared" si="55"/>
        <v>-</v>
      </c>
      <c r="L112" s="653"/>
      <c r="M112" s="471" t="e">
        <f>RANK(K112, K$107:$K$121)</f>
        <v>#VALUE!</v>
      </c>
      <c r="N112" s="637"/>
      <c r="O112" s="637"/>
      <c r="P112" s="490"/>
      <c r="Q112" s="491"/>
      <c r="R112" s="491"/>
      <c r="S112" s="490"/>
      <c r="T112" s="633"/>
      <c r="U112" s="490"/>
      <c r="V112" s="491"/>
      <c r="W112" s="491"/>
      <c r="X112" s="490"/>
      <c r="Y112" s="633"/>
      <c r="Z112" s="490"/>
      <c r="AA112" s="491"/>
      <c r="AB112" s="491"/>
      <c r="AC112" s="490"/>
      <c r="AD112" s="633"/>
      <c r="AE112" s="490"/>
      <c r="AF112" s="491"/>
      <c r="AG112" s="491"/>
      <c r="AH112" s="490"/>
      <c r="AI112" s="633"/>
      <c r="AJ112" s="490"/>
      <c r="AK112" s="491"/>
      <c r="AL112" s="491"/>
      <c r="AM112" s="490"/>
      <c r="AN112" s="633"/>
      <c r="AO112" s="490"/>
      <c r="AP112" s="491"/>
      <c r="AQ112" s="491"/>
      <c r="AR112" s="490"/>
      <c r="AS112" s="633"/>
      <c r="AT112" s="490"/>
      <c r="AU112" s="491"/>
      <c r="AV112" s="491"/>
      <c r="AW112" s="490"/>
      <c r="AX112" s="633"/>
      <c r="AZ112" s="358" t="e">
        <f t="shared" si="56"/>
        <v>#N/A</v>
      </c>
      <c r="BA112" s="694"/>
    </row>
    <row r="113" spans="2:53">
      <c r="B113" s="672"/>
      <c r="C113" s="337">
        <v>7</v>
      </c>
      <c r="D113" s="340"/>
      <c r="E113" s="338"/>
      <c r="F113" s="338"/>
      <c r="G113" s="338"/>
      <c r="H113" s="651"/>
      <c r="I113" s="352" t="str">
        <f t="shared" si="53"/>
        <v>-</v>
      </c>
      <c r="J113" s="352" t="str">
        <f t="shared" si="54"/>
        <v>-</v>
      </c>
      <c r="K113" s="194" t="str">
        <f t="shared" si="55"/>
        <v>-</v>
      </c>
      <c r="L113" s="653"/>
      <c r="M113" s="471" t="e">
        <f>RANK(K113, K$107:$K$121)</f>
        <v>#VALUE!</v>
      </c>
      <c r="N113" s="637"/>
      <c r="O113" s="637"/>
      <c r="P113" s="490"/>
      <c r="Q113" s="491"/>
      <c r="R113" s="491"/>
      <c r="S113" s="490"/>
      <c r="T113" s="633"/>
      <c r="U113" s="490"/>
      <c r="V113" s="491"/>
      <c r="W113" s="491"/>
      <c r="X113" s="490"/>
      <c r="Y113" s="633"/>
      <c r="Z113" s="490"/>
      <c r="AA113" s="491"/>
      <c r="AB113" s="491"/>
      <c r="AC113" s="490"/>
      <c r="AD113" s="633"/>
      <c r="AE113" s="490"/>
      <c r="AF113" s="491"/>
      <c r="AG113" s="491"/>
      <c r="AH113" s="490"/>
      <c r="AI113" s="633"/>
      <c r="AJ113" s="490"/>
      <c r="AK113" s="491"/>
      <c r="AL113" s="491"/>
      <c r="AM113" s="490"/>
      <c r="AN113" s="633"/>
      <c r="AO113" s="490"/>
      <c r="AP113" s="491"/>
      <c r="AQ113" s="491"/>
      <c r="AR113" s="490"/>
      <c r="AS113" s="633"/>
      <c r="AT113" s="490"/>
      <c r="AU113" s="491"/>
      <c r="AV113" s="491"/>
      <c r="AW113" s="490"/>
      <c r="AX113" s="633"/>
      <c r="AZ113" s="358" t="e">
        <f t="shared" si="56"/>
        <v>#N/A</v>
      </c>
      <c r="BA113" s="694"/>
    </row>
    <row r="114" spans="2:53">
      <c r="B114" s="672"/>
      <c r="C114" s="337">
        <v>8</v>
      </c>
      <c r="D114" s="340"/>
      <c r="E114" s="338"/>
      <c r="F114" s="338"/>
      <c r="G114" s="338"/>
      <c r="H114" s="651"/>
      <c r="I114" s="352" t="str">
        <f t="shared" si="53"/>
        <v>-</v>
      </c>
      <c r="J114" s="352" t="str">
        <f t="shared" si="54"/>
        <v>-</v>
      </c>
      <c r="K114" s="194" t="str">
        <f t="shared" si="55"/>
        <v>-</v>
      </c>
      <c r="L114" s="653"/>
      <c r="M114" s="471" t="e">
        <f>RANK(K114, K$107:$K$121)</f>
        <v>#VALUE!</v>
      </c>
      <c r="N114" s="637"/>
      <c r="O114" s="637"/>
      <c r="P114" s="490"/>
      <c r="Q114" s="491"/>
      <c r="R114" s="491"/>
      <c r="S114" s="490"/>
      <c r="T114" s="633"/>
      <c r="U114" s="490"/>
      <c r="V114" s="491"/>
      <c r="W114" s="491"/>
      <c r="X114" s="490"/>
      <c r="Y114" s="633"/>
      <c r="Z114" s="490"/>
      <c r="AA114" s="491"/>
      <c r="AB114" s="491"/>
      <c r="AC114" s="490"/>
      <c r="AD114" s="633"/>
      <c r="AE114" s="490"/>
      <c r="AF114" s="491"/>
      <c r="AG114" s="491"/>
      <c r="AH114" s="490"/>
      <c r="AI114" s="633"/>
      <c r="AJ114" s="490"/>
      <c r="AK114" s="491"/>
      <c r="AL114" s="491"/>
      <c r="AM114" s="490"/>
      <c r="AN114" s="633"/>
      <c r="AO114" s="490"/>
      <c r="AP114" s="491"/>
      <c r="AQ114" s="491"/>
      <c r="AR114" s="490"/>
      <c r="AS114" s="633"/>
      <c r="AT114" s="490"/>
      <c r="AU114" s="491"/>
      <c r="AV114" s="491"/>
      <c r="AW114" s="490"/>
      <c r="AX114" s="633"/>
      <c r="AZ114" s="358" t="e">
        <f t="shared" si="56"/>
        <v>#N/A</v>
      </c>
      <c r="BA114" s="694"/>
    </row>
    <row r="115" spans="2:53">
      <c r="B115" s="672"/>
      <c r="C115" s="337">
        <v>9</v>
      </c>
      <c r="D115" s="340"/>
      <c r="E115" s="338"/>
      <c r="F115" s="338"/>
      <c r="G115" s="338"/>
      <c r="H115" s="651"/>
      <c r="I115" s="352" t="str">
        <f t="shared" si="53"/>
        <v>-</v>
      </c>
      <c r="J115" s="352" t="str">
        <f t="shared" si="54"/>
        <v>-</v>
      </c>
      <c r="K115" s="194" t="str">
        <f t="shared" si="55"/>
        <v>-</v>
      </c>
      <c r="L115" s="653"/>
      <c r="M115" s="471" t="e">
        <f>RANK(K115, K$107:$K$121)</f>
        <v>#VALUE!</v>
      </c>
      <c r="N115" s="637"/>
      <c r="O115" s="637"/>
      <c r="P115" s="490"/>
      <c r="Q115" s="491"/>
      <c r="R115" s="491"/>
      <c r="S115" s="490"/>
      <c r="T115" s="633"/>
      <c r="U115" s="490"/>
      <c r="V115" s="491"/>
      <c r="W115" s="491"/>
      <c r="X115" s="490"/>
      <c r="Y115" s="633"/>
      <c r="Z115" s="490"/>
      <c r="AA115" s="491"/>
      <c r="AB115" s="491"/>
      <c r="AC115" s="490"/>
      <c r="AD115" s="633"/>
      <c r="AE115" s="490"/>
      <c r="AF115" s="491"/>
      <c r="AG115" s="491"/>
      <c r="AH115" s="490"/>
      <c r="AI115" s="633"/>
      <c r="AJ115" s="490"/>
      <c r="AK115" s="491"/>
      <c r="AL115" s="491"/>
      <c r="AM115" s="490"/>
      <c r="AN115" s="633"/>
      <c r="AO115" s="490"/>
      <c r="AP115" s="491"/>
      <c r="AQ115" s="491"/>
      <c r="AR115" s="490"/>
      <c r="AS115" s="633"/>
      <c r="AT115" s="490"/>
      <c r="AU115" s="491"/>
      <c r="AV115" s="491"/>
      <c r="AW115" s="490"/>
      <c r="AX115" s="633"/>
      <c r="AZ115" s="358" t="e">
        <f t="shared" si="56"/>
        <v>#N/A</v>
      </c>
      <c r="BA115" s="694"/>
    </row>
    <row r="116" spans="2:53">
      <c r="B116" s="672"/>
      <c r="C116" s="337">
        <v>10</v>
      </c>
      <c r="D116" s="340"/>
      <c r="E116" s="338"/>
      <c r="F116" s="338"/>
      <c r="G116" s="338"/>
      <c r="H116" s="651"/>
      <c r="I116" s="352" t="str">
        <f t="shared" si="53"/>
        <v>-</v>
      </c>
      <c r="J116" s="352" t="str">
        <f t="shared" si="54"/>
        <v>-</v>
      </c>
      <c r="K116" s="194" t="str">
        <f t="shared" si="55"/>
        <v>-</v>
      </c>
      <c r="L116" s="653"/>
      <c r="M116" s="471" t="e">
        <f>RANK(K116, K$107:$K$121)</f>
        <v>#VALUE!</v>
      </c>
      <c r="N116" s="637"/>
      <c r="O116" s="637"/>
      <c r="P116" s="490"/>
      <c r="Q116" s="491"/>
      <c r="R116" s="491"/>
      <c r="S116" s="490"/>
      <c r="T116" s="633"/>
      <c r="U116" s="490"/>
      <c r="V116" s="491"/>
      <c r="W116" s="491"/>
      <c r="X116" s="490"/>
      <c r="Y116" s="633"/>
      <c r="Z116" s="490"/>
      <c r="AA116" s="491"/>
      <c r="AB116" s="491"/>
      <c r="AC116" s="490"/>
      <c r="AD116" s="633"/>
      <c r="AE116" s="490"/>
      <c r="AF116" s="491"/>
      <c r="AG116" s="491"/>
      <c r="AH116" s="490"/>
      <c r="AI116" s="633"/>
      <c r="AJ116" s="490"/>
      <c r="AK116" s="491"/>
      <c r="AL116" s="491"/>
      <c r="AM116" s="490"/>
      <c r="AN116" s="633"/>
      <c r="AO116" s="490"/>
      <c r="AP116" s="491"/>
      <c r="AQ116" s="491"/>
      <c r="AR116" s="490"/>
      <c r="AS116" s="633"/>
      <c r="AT116" s="490"/>
      <c r="AU116" s="491"/>
      <c r="AV116" s="491"/>
      <c r="AW116" s="490"/>
      <c r="AX116" s="633"/>
      <c r="AZ116" s="358" t="e">
        <f t="shared" si="56"/>
        <v>#N/A</v>
      </c>
      <c r="BA116" s="694"/>
    </row>
    <row r="117" spans="2:53">
      <c r="B117" s="672"/>
      <c r="C117" s="337">
        <v>11</v>
      </c>
      <c r="D117" s="340"/>
      <c r="E117" s="338"/>
      <c r="F117" s="338"/>
      <c r="G117" s="338"/>
      <c r="H117" s="651"/>
      <c r="I117" s="352" t="str">
        <f t="shared" si="53"/>
        <v>-</v>
      </c>
      <c r="J117" s="352" t="str">
        <f t="shared" si="54"/>
        <v>-</v>
      </c>
      <c r="K117" s="194" t="str">
        <f t="shared" si="55"/>
        <v>-</v>
      </c>
      <c r="L117" s="653"/>
      <c r="M117" s="471" t="e">
        <f>RANK(K117, K$107:$K$121)</f>
        <v>#VALUE!</v>
      </c>
      <c r="N117" s="637"/>
      <c r="O117" s="637"/>
      <c r="P117" s="490"/>
      <c r="Q117" s="491"/>
      <c r="R117" s="491"/>
      <c r="S117" s="490"/>
      <c r="T117" s="633"/>
      <c r="U117" s="490"/>
      <c r="V117" s="491"/>
      <c r="W117" s="491"/>
      <c r="X117" s="490"/>
      <c r="Y117" s="633"/>
      <c r="Z117" s="490"/>
      <c r="AA117" s="491"/>
      <c r="AB117" s="491"/>
      <c r="AC117" s="490"/>
      <c r="AD117" s="633"/>
      <c r="AE117" s="490"/>
      <c r="AF117" s="491"/>
      <c r="AG117" s="491"/>
      <c r="AH117" s="490"/>
      <c r="AI117" s="633"/>
      <c r="AJ117" s="490"/>
      <c r="AK117" s="491"/>
      <c r="AL117" s="491"/>
      <c r="AM117" s="490"/>
      <c r="AN117" s="633"/>
      <c r="AO117" s="490"/>
      <c r="AP117" s="491"/>
      <c r="AQ117" s="491"/>
      <c r="AR117" s="490"/>
      <c r="AS117" s="633"/>
      <c r="AT117" s="490"/>
      <c r="AU117" s="491"/>
      <c r="AV117" s="491"/>
      <c r="AW117" s="490"/>
      <c r="AX117" s="633"/>
      <c r="AZ117" s="358" t="e">
        <f t="shared" si="56"/>
        <v>#N/A</v>
      </c>
      <c r="BA117" s="694"/>
    </row>
    <row r="118" spans="2:53">
      <c r="B118" s="672"/>
      <c r="C118" s="337">
        <v>12</v>
      </c>
      <c r="D118" s="340"/>
      <c r="E118" s="338"/>
      <c r="F118" s="338"/>
      <c r="G118" s="338"/>
      <c r="H118" s="651"/>
      <c r="I118" s="352" t="str">
        <f t="shared" si="53"/>
        <v>-</v>
      </c>
      <c r="J118" s="352" t="str">
        <f t="shared" si="54"/>
        <v>-</v>
      </c>
      <c r="K118" s="194" t="str">
        <f t="shared" si="55"/>
        <v>-</v>
      </c>
      <c r="L118" s="653"/>
      <c r="M118" s="471" t="e">
        <f>RANK(K118, K$107:$K$121)</f>
        <v>#VALUE!</v>
      </c>
      <c r="N118" s="637"/>
      <c r="O118" s="637"/>
      <c r="P118" s="490"/>
      <c r="Q118" s="491"/>
      <c r="R118" s="491"/>
      <c r="S118" s="490"/>
      <c r="T118" s="633"/>
      <c r="U118" s="490"/>
      <c r="V118" s="491"/>
      <c r="W118" s="491"/>
      <c r="X118" s="490"/>
      <c r="Y118" s="633"/>
      <c r="Z118" s="490"/>
      <c r="AA118" s="491"/>
      <c r="AB118" s="491"/>
      <c r="AC118" s="490"/>
      <c r="AD118" s="633"/>
      <c r="AE118" s="490"/>
      <c r="AF118" s="491"/>
      <c r="AG118" s="491"/>
      <c r="AH118" s="490"/>
      <c r="AI118" s="633"/>
      <c r="AJ118" s="490"/>
      <c r="AK118" s="491"/>
      <c r="AL118" s="491"/>
      <c r="AM118" s="490"/>
      <c r="AN118" s="633"/>
      <c r="AO118" s="490"/>
      <c r="AP118" s="491"/>
      <c r="AQ118" s="491"/>
      <c r="AR118" s="490"/>
      <c r="AS118" s="633"/>
      <c r="AT118" s="490"/>
      <c r="AU118" s="491"/>
      <c r="AV118" s="491"/>
      <c r="AW118" s="490"/>
      <c r="AX118" s="633"/>
      <c r="AZ118" s="358" t="e">
        <f t="shared" si="56"/>
        <v>#N/A</v>
      </c>
      <c r="BA118" s="694"/>
    </row>
    <row r="119" spans="2:53">
      <c r="B119" s="672"/>
      <c r="C119" s="337">
        <v>13</v>
      </c>
      <c r="D119" s="340"/>
      <c r="E119" s="338"/>
      <c r="F119" s="338"/>
      <c r="G119" s="338"/>
      <c r="H119" s="651"/>
      <c r="I119" s="352" t="str">
        <f t="shared" si="53"/>
        <v>-</v>
      </c>
      <c r="J119" s="352" t="str">
        <f t="shared" si="54"/>
        <v>-</v>
      </c>
      <c r="K119" s="194" t="str">
        <f t="shared" si="55"/>
        <v>-</v>
      </c>
      <c r="L119" s="653"/>
      <c r="M119" s="471" t="e">
        <f>RANK(K119, K$107:$K$121)</f>
        <v>#VALUE!</v>
      </c>
      <c r="N119" s="637"/>
      <c r="O119" s="637"/>
      <c r="P119" s="490"/>
      <c r="Q119" s="491"/>
      <c r="R119" s="491"/>
      <c r="S119" s="490"/>
      <c r="T119" s="633"/>
      <c r="U119" s="490"/>
      <c r="V119" s="491"/>
      <c r="W119" s="491"/>
      <c r="X119" s="490"/>
      <c r="Y119" s="633"/>
      <c r="Z119" s="490"/>
      <c r="AA119" s="491"/>
      <c r="AB119" s="491"/>
      <c r="AC119" s="490"/>
      <c r="AD119" s="633"/>
      <c r="AE119" s="490"/>
      <c r="AF119" s="491"/>
      <c r="AG119" s="491"/>
      <c r="AH119" s="490"/>
      <c r="AI119" s="633"/>
      <c r="AJ119" s="490"/>
      <c r="AK119" s="491"/>
      <c r="AL119" s="491"/>
      <c r="AM119" s="490"/>
      <c r="AN119" s="633"/>
      <c r="AO119" s="490"/>
      <c r="AP119" s="491"/>
      <c r="AQ119" s="491"/>
      <c r="AR119" s="490"/>
      <c r="AS119" s="633"/>
      <c r="AT119" s="490"/>
      <c r="AU119" s="491"/>
      <c r="AV119" s="491"/>
      <c r="AW119" s="490"/>
      <c r="AX119" s="633"/>
      <c r="AZ119" s="358" t="e">
        <f t="shared" si="56"/>
        <v>#N/A</v>
      </c>
      <c r="BA119" s="694"/>
    </row>
    <row r="120" spans="2:53">
      <c r="B120" s="672"/>
      <c r="C120" s="337">
        <v>14</v>
      </c>
      <c r="D120" s="340"/>
      <c r="E120" s="338"/>
      <c r="F120" s="338"/>
      <c r="G120" s="338"/>
      <c r="H120" s="651"/>
      <c r="I120" s="352" t="str">
        <f t="shared" si="53"/>
        <v>-</v>
      </c>
      <c r="J120" s="352" t="str">
        <f t="shared" si="54"/>
        <v>-</v>
      </c>
      <c r="K120" s="194" t="str">
        <f t="shared" si="55"/>
        <v>-</v>
      </c>
      <c r="L120" s="653"/>
      <c r="M120" s="471" t="e">
        <f>RANK(K120, K$107:$K$121)</f>
        <v>#VALUE!</v>
      </c>
      <c r="N120" s="637"/>
      <c r="O120" s="637"/>
      <c r="P120" s="490"/>
      <c r="Q120" s="491"/>
      <c r="R120" s="491"/>
      <c r="S120" s="490"/>
      <c r="T120" s="633"/>
      <c r="U120" s="490"/>
      <c r="V120" s="491"/>
      <c r="W120" s="491"/>
      <c r="X120" s="490"/>
      <c r="Y120" s="633"/>
      <c r="Z120" s="490"/>
      <c r="AA120" s="491"/>
      <c r="AB120" s="491"/>
      <c r="AC120" s="490"/>
      <c r="AD120" s="633"/>
      <c r="AE120" s="490"/>
      <c r="AF120" s="491"/>
      <c r="AG120" s="491"/>
      <c r="AH120" s="490"/>
      <c r="AI120" s="633"/>
      <c r="AJ120" s="490"/>
      <c r="AK120" s="491"/>
      <c r="AL120" s="491"/>
      <c r="AM120" s="490"/>
      <c r="AN120" s="633"/>
      <c r="AO120" s="490"/>
      <c r="AP120" s="491"/>
      <c r="AQ120" s="491"/>
      <c r="AR120" s="490"/>
      <c r="AS120" s="633"/>
      <c r="AT120" s="490"/>
      <c r="AU120" s="491"/>
      <c r="AV120" s="491"/>
      <c r="AW120" s="490"/>
      <c r="AX120" s="633"/>
      <c r="AZ120" s="358" t="e">
        <f t="shared" si="56"/>
        <v>#N/A</v>
      </c>
      <c r="BA120" s="694"/>
    </row>
    <row r="121" spans="2:53">
      <c r="B121" s="672"/>
      <c r="C121" s="337">
        <v>15</v>
      </c>
      <c r="D121" s="340"/>
      <c r="E121" s="338"/>
      <c r="F121" s="338"/>
      <c r="G121" s="338"/>
      <c r="H121" s="708"/>
      <c r="I121" s="355"/>
      <c r="J121" s="355"/>
      <c r="K121" s="353"/>
      <c r="L121" s="654"/>
      <c r="M121" s="471" t="e">
        <f>RANK(K121, K$107:$K$121)</f>
        <v>#N/A</v>
      </c>
      <c r="N121" s="637"/>
      <c r="O121" s="637"/>
      <c r="P121" s="490"/>
      <c r="Q121" s="491"/>
      <c r="R121" s="491"/>
      <c r="S121" s="490"/>
      <c r="T121" s="634"/>
      <c r="U121" s="490"/>
      <c r="V121" s="491"/>
      <c r="W121" s="491"/>
      <c r="X121" s="490"/>
      <c r="Y121" s="634"/>
      <c r="Z121" s="490"/>
      <c r="AA121" s="491"/>
      <c r="AB121" s="491"/>
      <c r="AC121" s="490"/>
      <c r="AD121" s="634"/>
      <c r="AE121" s="490"/>
      <c r="AF121" s="491"/>
      <c r="AG121" s="491"/>
      <c r="AH121" s="490"/>
      <c r="AI121" s="634"/>
      <c r="AJ121" s="490"/>
      <c r="AK121" s="491"/>
      <c r="AL121" s="491"/>
      <c r="AM121" s="490"/>
      <c r="AN121" s="634"/>
      <c r="AO121" s="490"/>
      <c r="AP121" s="491"/>
      <c r="AQ121" s="491"/>
      <c r="AR121" s="490"/>
      <c r="AS121" s="634"/>
      <c r="AT121" s="490"/>
      <c r="AU121" s="491"/>
      <c r="AV121" s="491"/>
      <c r="AW121" s="490"/>
      <c r="AX121" s="634"/>
      <c r="AZ121" s="358" t="e">
        <f t="shared" si="56"/>
        <v>#N/A</v>
      </c>
      <c r="BA121" s="694"/>
    </row>
    <row r="123" spans="2:53" ht="15.75">
      <c r="B123" s="645" t="s">
        <v>476</v>
      </c>
      <c r="C123" s="646"/>
      <c r="D123" s="646"/>
      <c r="E123" s="646"/>
      <c r="F123" s="646"/>
      <c r="G123" s="646"/>
      <c r="H123" s="647"/>
      <c r="I123" s="299"/>
      <c r="J123" s="299"/>
      <c r="K123" s="299"/>
      <c r="L123" s="299"/>
      <c r="M123" s="300"/>
    </row>
    <row r="124" spans="2:53" ht="15.75">
      <c r="B124" s="648"/>
      <c r="C124" s="648"/>
      <c r="D124" s="648"/>
      <c r="E124" s="648"/>
      <c r="F124" s="648"/>
      <c r="G124" s="648"/>
      <c r="H124" s="648"/>
      <c r="I124" s="301"/>
      <c r="J124" s="301"/>
      <c r="K124" s="301"/>
      <c r="L124" s="301"/>
      <c r="M124" s="302"/>
    </row>
    <row r="125" spans="2:53">
      <c r="B125" s="637" t="s">
        <v>154</v>
      </c>
      <c r="C125" s="637" t="s">
        <v>370</v>
      </c>
      <c r="D125" s="637"/>
      <c r="E125" s="637" t="s">
        <v>361</v>
      </c>
      <c r="F125" s="637"/>
      <c r="G125" s="637"/>
      <c r="H125" s="669" t="s">
        <v>357</v>
      </c>
      <c r="I125" s="649" t="s">
        <v>362</v>
      </c>
      <c r="J125" s="649"/>
      <c r="K125" s="649"/>
      <c r="L125" s="702" t="s">
        <v>357</v>
      </c>
      <c r="M125" s="705" t="s">
        <v>358</v>
      </c>
    </row>
    <row r="126" spans="2:53">
      <c r="B126" s="637"/>
      <c r="C126" s="637"/>
      <c r="D126" s="637"/>
      <c r="E126" s="637" t="s">
        <v>364</v>
      </c>
      <c r="F126" s="637"/>
      <c r="G126" s="637"/>
      <c r="H126" s="670"/>
      <c r="I126" s="649" t="s">
        <v>364</v>
      </c>
      <c r="J126" s="649"/>
      <c r="K126" s="649"/>
      <c r="L126" s="703"/>
      <c r="M126" s="706"/>
    </row>
    <row r="127" spans="2:53">
      <c r="B127" s="637"/>
      <c r="C127" s="637"/>
      <c r="D127" s="637"/>
      <c r="E127" s="296" t="s">
        <v>366</v>
      </c>
      <c r="F127" s="296" t="s">
        <v>367</v>
      </c>
      <c r="G127" s="296" t="s">
        <v>368</v>
      </c>
      <c r="H127" s="671"/>
      <c r="I127" s="303" t="s">
        <v>366</v>
      </c>
      <c r="J127" s="303" t="s">
        <v>367</v>
      </c>
      <c r="K127" s="303" t="s">
        <v>368</v>
      </c>
      <c r="L127" s="704"/>
      <c r="M127" s="707"/>
    </row>
    <row r="128" spans="2:53">
      <c r="B128" s="695" t="s">
        <v>369</v>
      </c>
      <c r="C128" s="295">
        <v>1</v>
      </c>
      <c r="D128" s="220"/>
      <c r="E128" s="176"/>
      <c r="F128" s="295"/>
      <c r="G128" s="298"/>
      <c r="H128" s="696" t="e">
        <f>AVERAGE(G128:G142)</f>
        <v>#DIV/0!</v>
      </c>
      <c r="I128" s="193" t="e">
        <f t="shared" ref="I128:J138" si="58">AVERAGEIF($D$7:$D$121,$D128,I$7:I$121)</f>
        <v>#DIV/0!</v>
      </c>
      <c r="J128" s="193" t="e">
        <f t="shared" si="58"/>
        <v>#DIV/0!</v>
      </c>
      <c r="K128" s="193" t="e">
        <f t="shared" ref="K128:K138" si="59">AVERAGEIF($D$7:$D$121,$D128,K$7:K$121)</f>
        <v>#DIV/0!</v>
      </c>
      <c r="L128" s="699" t="e">
        <f>AVERAGE(K128:K142)</f>
        <v>#DIV/0!</v>
      </c>
      <c r="M128" s="193" t="e">
        <f>RANK(K128, K$128:$K$142)</f>
        <v>#DIV/0!</v>
      </c>
    </row>
    <row r="129" spans="2:39">
      <c r="B129" s="643"/>
      <c r="C129" s="295">
        <v>2</v>
      </c>
      <c r="D129" s="220"/>
      <c r="E129" s="176"/>
      <c r="F129" s="295"/>
      <c r="G129" s="298"/>
      <c r="H129" s="697"/>
      <c r="I129" s="193" t="e">
        <f t="shared" si="58"/>
        <v>#DIV/0!</v>
      </c>
      <c r="J129" s="193" t="e">
        <f t="shared" si="58"/>
        <v>#DIV/0!</v>
      </c>
      <c r="K129" s="193" t="e">
        <f t="shared" si="59"/>
        <v>#DIV/0!</v>
      </c>
      <c r="L129" s="700"/>
      <c r="M129" s="193" t="e">
        <f>RANK(K129, K$128:$K$142)</f>
        <v>#DIV/0!</v>
      </c>
      <c r="N129" s="107"/>
      <c r="O129" s="107"/>
      <c r="P129" s="107"/>
      <c r="Q129" s="107"/>
      <c r="R129" s="107"/>
      <c r="S129" s="107"/>
      <c r="T129" s="107"/>
      <c r="X129" s="107"/>
      <c r="AC129" s="107"/>
      <c r="AH129" s="107"/>
      <c r="AM129" s="107"/>
    </row>
    <row r="130" spans="2:39">
      <c r="B130" s="643"/>
      <c r="C130" s="295">
        <v>3</v>
      </c>
      <c r="D130" s="220"/>
      <c r="E130" s="176"/>
      <c r="F130" s="295"/>
      <c r="G130" s="298"/>
      <c r="H130" s="697"/>
      <c r="I130" s="193" t="e">
        <f t="shared" si="58"/>
        <v>#DIV/0!</v>
      </c>
      <c r="J130" s="193" t="e">
        <f t="shared" si="58"/>
        <v>#DIV/0!</v>
      </c>
      <c r="K130" s="193" t="e">
        <f t="shared" si="59"/>
        <v>#DIV/0!</v>
      </c>
      <c r="L130" s="700"/>
      <c r="M130" s="193" t="e">
        <f>RANK(K130, K$128:$K$142)</f>
        <v>#DIV/0!</v>
      </c>
      <c r="N130" s="107"/>
      <c r="O130" s="107"/>
      <c r="P130" s="107"/>
      <c r="Q130" s="107"/>
      <c r="R130" s="107"/>
      <c r="S130" s="107"/>
      <c r="T130" s="107"/>
      <c r="X130" s="107"/>
      <c r="AC130" s="107"/>
      <c r="AH130" s="107"/>
      <c r="AM130" s="107"/>
    </row>
    <row r="131" spans="2:39">
      <c r="B131" s="643"/>
      <c r="C131" s="295">
        <v>4</v>
      </c>
      <c r="D131" s="220"/>
      <c r="E131" s="176"/>
      <c r="F131" s="295"/>
      <c r="G131" s="298"/>
      <c r="H131" s="697"/>
      <c r="I131" s="193" t="e">
        <f t="shared" si="58"/>
        <v>#DIV/0!</v>
      </c>
      <c r="J131" s="193" t="e">
        <f t="shared" si="58"/>
        <v>#DIV/0!</v>
      </c>
      <c r="K131" s="193" t="e">
        <f t="shared" si="59"/>
        <v>#DIV/0!</v>
      </c>
      <c r="L131" s="700"/>
      <c r="M131" s="193" t="e">
        <f>RANK(K131, K$128:$K$142)</f>
        <v>#DIV/0!</v>
      </c>
      <c r="N131" s="107"/>
      <c r="O131" s="107"/>
      <c r="P131" s="107"/>
      <c r="Q131" s="107"/>
      <c r="R131" s="107"/>
      <c r="S131" s="107"/>
      <c r="T131" s="107"/>
      <c r="X131" s="107"/>
      <c r="AC131" s="107"/>
      <c r="AH131" s="107"/>
      <c r="AM131" s="107"/>
    </row>
    <row r="132" spans="2:39">
      <c r="B132" s="643"/>
      <c r="C132" s="295">
        <v>5</v>
      </c>
      <c r="D132" s="220"/>
      <c r="E132" s="176"/>
      <c r="F132" s="295"/>
      <c r="G132" s="298"/>
      <c r="H132" s="697"/>
      <c r="I132" s="193" t="e">
        <f t="shared" si="58"/>
        <v>#DIV/0!</v>
      </c>
      <c r="J132" s="193" t="e">
        <f t="shared" si="58"/>
        <v>#DIV/0!</v>
      </c>
      <c r="K132" s="193" t="e">
        <f t="shared" si="59"/>
        <v>#DIV/0!</v>
      </c>
      <c r="L132" s="700"/>
      <c r="M132" s="193" t="e">
        <f>RANK(K132, K$128:$K$142)</f>
        <v>#DIV/0!</v>
      </c>
      <c r="N132" s="107"/>
      <c r="O132" s="107"/>
      <c r="P132" s="107"/>
      <c r="Q132" s="107"/>
      <c r="R132" s="107"/>
      <c r="S132" s="107"/>
      <c r="T132" s="107"/>
      <c r="X132" s="107"/>
      <c r="AC132" s="107"/>
      <c r="AH132" s="107"/>
      <c r="AM132" s="107"/>
    </row>
    <row r="133" spans="2:39">
      <c r="B133" s="643"/>
      <c r="C133" s="295">
        <v>6</v>
      </c>
      <c r="D133" s="304"/>
      <c r="E133" s="176"/>
      <c r="F133" s="295"/>
      <c r="G133" s="298"/>
      <c r="H133" s="697"/>
      <c r="I133" s="193" t="e">
        <f t="shared" si="58"/>
        <v>#DIV/0!</v>
      </c>
      <c r="J133" s="193" t="e">
        <f t="shared" si="58"/>
        <v>#DIV/0!</v>
      </c>
      <c r="K133" s="193" t="e">
        <f t="shared" si="59"/>
        <v>#DIV/0!</v>
      </c>
      <c r="L133" s="700"/>
      <c r="M133" s="193" t="e">
        <f>RANK(K133, K$128:$K$142)</f>
        <v>#DIV/0!</v>
      </c>
      <c r="N133" s="107"/>
      <c r="O133" s="107"/>
      <c r="P133" s="107"/>
      <c r="Q133" s="107"/>
      <c r="R133" s="107"/>
      <c r="S133" s="107"/>
      <c r="T133" s="107"/>
      <c r="X133" s="107"/>
      <c r="AC133" s="107"/>
      <c r="AH133" s="107"/>
      <c r="AM133" s="107"/>
    </row>
    <row r="134" spans="2:39">
      <c r="B134" s="643"/>
      <c r="C134" s="295">
        <v>7</v>
      </c>
      <c r="D134" s="220"/>
      <c r="E134" s="176"/>
      <c r="F134" s="295"/>
      <c r="G134" s="298"/>
      <c r="H134" s="697"/>
      <c r="I134" s="193" t="e">
        <f t="shared" si="58"/>
        <v>#DIV/0!</v>
      </c>
      <c r="J134" s="193" t="e">
        <f t="shared" si="58"/>
        <v>#DIV/0!</v>
      </c>
      <c r="K134" s="193" t="e">
        <f t="shared" si="59"/>
        <v>#DIV/0!</v>
      </c>
      <c r="L134" s="700"/>
      <c r="M134" s="193" t="e">
        <f>RANK(K134, K$128:$K$142)</f>
        <v>#DIV/0!</v>
      </c>
      <c r="N134" s="107"/>
      <c r="O134" s="107"/>
      <c r="P134" s="107"/>
      <c r="Q134" s="107"/>
      <c r="R134" s="107"/>
      <c r="S134" s="107"/>
      <c r="T134" s="107"/>
      <c r="X134" s="107"/>
      <c r="AC134" s="107"/>
      <c r="AH134" s="107"/>
      <c r="AM134" s="107"/>
    </row>
    <row r="135" spans="2:39">
      <c r="B135" s="643"/>
      <c r="C135" s="295">
        <v>8</v>
      </c>
      <c r="D135" s="220"/>
      <c r="E135" s="176"/>
      <c r="F135" s="295"/>
      <c r="G135" s="298"/>
      <c r="H135" s="697"/>
      <c r="I135" s="193" t="e">
        <f t="shared" si="58"/>
        <v>#DIV/0!</v>
      </c>
      <c r="J135" s="193" t="e">
        <f t="shared" si="58"/>
        <v>#DIV/0!</v>
      </c>
      <c r="K135" s="193" t="e">
        <f t="shared" si="59"/>
        <v>#DIV/0!</v>
      </c>
      <c r="L135" s="700"/>
      <c r="M135" s="193" t="e">
        <f>RANK(K135, K$128:$K$142)</f>
        <v>#DIV/0!</v>
      </c>
      <c r="N135" s="107"/>
      <c r="O135" s="107"/>
      <c r="P135" s="107"/>
      <c r="Q135" s="107"/>
      <c r="R135" s="107"/>
      <c r="S135" s="107"/>
      <c r="T135" s="107"/>
      <c r="X135" s="107"/>
      <c r="AC135" s="107"/>
      <c r="AH135" s="107"/>
      <c r="AM135" s="107"/>
    </row>
    <row r="136" spans="2:39">
      <c r="B136" s="643"/>
      <c r="C136" s="295">
        <v>9</v>
      </c>
      <c r="D136" s="220"/>
      <c r="E136" s="295"/>
      <c r="F136" s="295"/>
      <c r="G136" s="295"/>
      <c r="H136" s="697"/>
      <c r="I136" s="193" t="e">
        <f t="shared" si="58"/>
        <v>#DIV/0!</v>
      </c>
      <c r="J136" s="193" t="e">
        <f t="shared" si="58"/>
        <v>#DIV/0!</v>
      </c>
      <c r="K136" s="193" t="e">
        <f t="shared" si="59"/>
        <v>#DIV/0!</v>
      </c>
      <c r="L136" s="700"/>
      <c r="M136" s="193" t="e">
        <f>RANK(K136, K$128:$K$142)</f>
        <v>#DIV/0!</v>
      </c>
      <c r="N136" s="107"/>
      <c r="O136" s="107"/>
      <c r="P136" s="107"/>
      <c r="Q136" s="107"/>
      <c r="R136" s="107"/>
      <c r="S136" s="107"/>
      <c r="T136" s="107"/>
      <c r="X136" s="107"/>
      <c r="AC136" s="107"/>
      <c r="AH136" s="107"/>
      <c r="AM136" s="107"/>
    </row>
    <row r="137" spans="2:39">
      <c r="B137" s="643"/>
      <c r="C137" s="295">
        <v>10</v>
      </c>
      <c r="D137" s="220"/>
      <c r="E137" s="295"/>
      <c r="F137" s="295"/>
      <c r="G137" s="295"/>
      <c r="H137" s="697"/>
      <c r="I137" s="193" t="e">
        <f t="shared" si="58"/>
        <v>#DIV/0!</v>
      </c>
      <c r="J137" s="193" t="e">
        <f t="shared" si="58"/>
        <v>#DIV/0!</v>
      </c>
      <c r="K137" s="193" t="e">
        <f t="shared" si="59"/>
        <v>#DIV/0!</v>
      </c>
      <c r="L137" s="700"/>
      <c r="M137" s="193" t="e">
        <f>RANK(K137, K$128:$K$142)</f>
        <v>#DIV/0!</v>
      </c>
      <c r="N137" s="107"/>
      <c r="O137" s="107"/>
      <c r="P137" s="107"/>
      <c r="Q137" s="107"/>
      <c r="R137" s="107"/>
      <c r="S137" s="107"/>
      <c r="T137" s="107"/>
      <c r="X137" s="107"/>
      <c r="AC137" s="107"/>
      <c r="AH137" s="107"/>
      <c r="AM137" s="107"/>
    </row>
    <row r="138" spans="2:39">
      <c r="B138" s="643"/>
      <c r="C138" s="295">
        <v>11</v>
      </c>
      <c r="D138" s="220"/>
      <c r="E138" s="295"/>
      <c r="F138" s="295"/>
      <c r="G138" s="295"/>
      <c r="H138" s="697"/>
      <c r="I138" s="193" t="e">
        <f t="shared" si="58"/>
        <v>#DIV/0!</v>
      </c>
      <c r="J138" s="193" t="e">
        <f t="shared" si="58"/>
        <v>#DIV/0!</v>
      </c>
      <c r="K138" s="193" t="e">
        <f t="shared" si="59"/>
        <v>#DIV/0!</v>
      </c>
      <c r="L138" s="700"/>
      <c r="M138" s="193" t="e">
        <f>RANK(K138, K$128:$K$142)</f>
        <v>#DIV/0!</v>
      </c>
      <c r="N138" s="107"/>
      <c r="O138" s="107"/>
      <c r="P138" s="107"/>
      <c r="Q138" s="107"/>
      <c r="R138" s="107"/>
      <c r="S138" s="107"/>
      <c r="T138" s="107"/>
      <c r="X138" s="107"/>
      <c r="AC138" s="107"/>
      <c r="AH138" s="107"/>
      <c r="AM138" s="107"/>
    </row>
    <row r="139" spans="2:39">
      <c r="B139" s="643"/>
      <c r="C139" s="295">
        <v>12</v>
      </c>
      <c r="D139" s="220"/>
      <c r="E139" s="295"/>
      <c r="F139" s="295"/>
      <c r="G139" s="295"/>
      <c r="H139" s="697"/>
      <c r="I139" s="193"/>
      <c r="J139" s="193"/>
      <c r="K139" s="193"/>
      <c r="L139" s="700"/>
      <c r="M139" s="193" t="e">
        <f>RANK(K139, K$128:$K$142)</f>
        <v>#DIV/0!</v>
      </c>
      <c r="N139" s="107"/>
      <c r="O139" s="107"/>
      <c r="P139" s="107"/>
      <c r="Q139" s="107"/>
      <c r="R139" s="107"/>
      <c r="S139" s="107"/>
      <c r="T139" s="107"/>
      <c r="X139" s="107"/>
      <c r="AC139" s="107"/>
      <c r="AH139" s="107"/>
      <c r="AM139" s="107"/>
    </row>
    <row r="140" spans="2:39">
      <c r="B140" s="643"/>
      <c r="C140" s="295">
        <v>13</v>
      </c>
      <c r="D140" s="220"/>
      <c r="E140" s="295"/>
      <c r="F140" s="295"/>
      <c r="G140" s="295"/>
      <c r="H140" s="697"/>
      <c r="I140" s="193"/>
      <c r="J140" s="193"/>
      <c r="K140" s="193"/>
      <c r="L140" s="700"/>
      <c r="M140" s="193" t="e">
        <f>RANK(K140, K$128:$K$142)</f>
        <v>#DIV/0!</v>
      </c>
      <c r="N140" s="107"/>
      <c r="O140" s="107"/>
      <c r="P140" s="107"/>
      <c r="Q140" s="107"/>
      <c r="R140" s="107"/>
      <c r="S140" s="107"/>
      <c r="T140" s="107"/>
      <c r="X140" s="107"/>
      <c r="AC140" s="107"/>
      <c r="AH140" s="107"/>
      <c r="AM140" s="107"/>
    </row>
    <row r="141" spans="2:39">
      <c r="B141" s="643"/>
      <c r="C141" s="295">
        <v>14</v>
      </c>
      <c r="D141" s="220"/>
      <c r="E141" s="295"/>
      <c r="F141" s="295"/>
      <c r="G141" s="295"/>
      <c r="H141" s="697"/>
      <c r="I141" s="193"/>
      <c r="J141" s="193"/>
      <c r="K141" s="193"/>
      <c r="L141" s="700"/>
      <c r="M141" s="193" t="e">
        <f>RANK(K141, K$128:$K$142)</f>
        <v>#DIV/0!</v>
      </c>
      <c r="N141" s="107"/>
      <c r="O141" s="107"/>
      <c r="P141" s="107"/>
      <c r="Q141" s="107"/>
      <c r="R141" s="107"/>
      <c r="S141" s="107"/>
      <c r="T141" s="107"/>
      <c r="X141" s="107"/>
      <c r="AC141" s="107"/>
      <c r="AH141" s="107"/>
      <c r="AM141" s="107"/>
    </row>
    <row r="142" spans="2:39">
      <c r="B142" s="643"/>
      <c r="C142" s="295">
        <v>15</v>
      </c>
      <c r="D142" s="220"/>
      <c r="E142" s="295"/>
      <c r="F142" s="295"/>
      <c r="G142" s="295"/>
      <c r="H142" s="698"/>
      <c r="I142" s="193"/>
      <c r="J142" s="193"/>
      <c r="K142" s="193"/>
      <c r="L142" s="701"/>
      <c r="M142" s="193" t="e">
        <f>RANK(K142, K$128:$K$142)</f>
        <v>#DIV/0!</v>
      </c>
      <c r="N142" s="107"/>
      <c r="O142" s="107"/>
      <c r="P142" s="107"/>
      <c r="Q142" s="107"/>
      <c r="R142" s="107"/>
      <c r="S142" s="107"/>
      <c r="T142" s="107"/>
      <c r="X142" s="107"/>
      <c r="AC142" s="107"/>
      <c r="AH142" s="107"/>
      <c r="AM142" s="107"/>
    </row>
  </sheetData>
  <mergeCells count="379">
    <mergeCell ref="BA87:BA101"/>
    <mergeCell ref="BA104:BA106"/>
    <mergeCell ref="BA107:BA121"/>
    <mergeCell ref="BA7:BA21"/>
    <mergeCell ref="BA4:BA6"/>
    <mergeCell ref="BA24:BA26"/>
    <mergeCell ref="BA27:BA41"/>
    <mergeCell ref="BA44:BA46"/>
    <mergeCell ref="BA47:BA61"/>
    <mergeCell ref="BA64:BA66"/>
    <mergeCell ref="BA67:BA81"/>
    <mergeCell ref="BA84:BA86"/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B128:B142"/>
    <mergeCell ref="H128:H142"/>
    <mergeCell ref="L128:L142"/>
    <mergeCell ref="AX107:AX121"/>
    <mergeCell ref="B123:H124"/>
    <mergeCell ref="B125:B127"/>
    <mergeCell ref="C125:D127"/>
    <mergeCell ref="E125:G125"/>
    <mergeCell ref="H125:H127"/>
    <mergeCell ref="I125:K125"/>
    <mergeCell ref="L125:L127"/>
    <mergeCell ref="M125:M127"/>
    <mergeCell ref="E126:G126"/>
    <mergeCell ref="I126:K126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</mergeCells>
  <phoneticPr fontId="13" type="noConversion"/>
  <pageMargins left="0.7" right="0.7" top="0.75" bottom="0.75" header="0.3" footer="0.3"/>
  <pageSetup paperSize="9"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FFCC"/>
  </sheetPr>
  <dimension ref="A1:BA142"/>
  <sheetViews>
    <sheetView zoomScale="40" zoomScaleNormal="40" workbookViewId="0">
      <pane xSplit="15" topLeftCell="P1" activePane="topRight" state="frozen"/>
      <selection activeCell="P3" sqref="P3:T3"/>
      <selection pane="topRight" activeCell="P3" sqref="P3:T3"/>
    </sheetView>
  </sheetViews>
  <sheetFormatPr defaultColWidth="8.85546875" defaultRowHeight="12.75"/>
  <cols>
    <col min="1" max="1" width="5.5703125" style="107" customWidth="1"/>
    <col min="2" max="2" width="12.42578125" style="107" customWidth="1"/>
    <col min="3" max="3" width="8.85546875" style="106"/>
    <col min="4" max="4" width="26.42578125" style="106" customWidth="1"/>
    <col min="5" max="7" width="8.42578125" style="106" customWidth="1"/>
    <col min="8" max="8" width="11.140625" style="106" bestFit="1" customWidth="1"/>
    <col min="9" max="12" width="11.140625" style="106" customWidth="1"/>
    <col min="13" max="13" width="13.5703125" style="106" customWidth="1"/>
    <col min="14" max="14" width="9.85546875" style="106" customWidth="1"/>
    <col min="15" max="15" width="7.140625" style="106" customWidth="1"/>
    <col min="16" max="18" width="12.85546875" style="106" customWidth="1"/>
    <col min="19" max="19" width="5.42578125" style="106" customWidth="1"/>
    <col min="20" max="20" width="12.85546875" style="106" customWidth="1"/>
    <col min="21" max="23" width="12.85546875" style="107" customWidth="1"/>
    <col min="24" max="24" width="5.42578125" style="106" customWidth="1"/>
    <col min="25" max="28" width="12.85546875" style="107" customWidth="1"/>
    <col min="29" max="29" width="5.42578125" style="106" customWidth="1"/>
    <col min="30" max="30" width="12.85546875" style="107" customWidth="1"/>
    <col min="31" max="33" width="12.5703125" style="107" customWidth="1"/>
    <col min="34" max="34" width="5.42578125" style="106" customWidth="1"/>
    <col min="35" max="35" width="13" style="107" customWidth="1"/>
    <col min="36" max="38" width="12.5703125" style="107" customWidth="1"/>
    <col min="39" max="39" width="5.42578125" style="106" customWidth="1"/>
    <col min="40" max="40" width="13" style="107" customWidth="1"/>
    <col min="41" max="43" width="13.140625" style="107" customWidth="1"/>
    <col min="44" max="44" width="5.42578125" style="107" customWidth="1"/>
    <col min="45" max="48" width="13.140625" style="107" customWidth="1"/>
    <col min="49" max="49" width="5.42578125" style="107" customWidth="1"/>
    <col min="50" max="50" width="13.140625" style="107" customWidth="1"/>
    <col min="51" max="51" width="8.85546875" style="107"/>
    <col min="52" max="52" width="5.42578125" style="107" customWidth="1"/>
    <col min="53" max="53" width="13.140625" style="107" customWidth="1"/>
    <col min="54" max="16384" width="8.85546875" style="107"/>
  </cols>
  <sheetData>
    <row r="1" spans="1:53" ht="24">
      <c r="A1" s="75"/>
      <c r="B1" s="215" t="s">
        <v>313</v>
      </c>
      <c r="C1" s="214" t="e">
        <f>AVERAGE(L7,L27,L47,L67,L87,L107)</f>
        <v>#DIV/0!</v>
      </c>
    </row>
    <row r="2" spans="1:53" ht="15.75">
      <c r="A2" s="81"/>
      <c r="B2" s="665" t="s">
        <v>162</v>
      </c>
      <c r="C2" s="665"/>
      <c r="D2" s="665"/>
      <c r="E2" s="665"/>
      <c r="F2" s="665"/>
      <c r="G2" s="665"/>
      <c r="H2" s="665"/>
      <c r="I2" s="276"/>
      <c r="J2" s="276"/>
      <c r="K2" s="276"/>
      <c r="L2" s="276"/>
      <c r="M2" s="191"/>
      <c r="N2" s="639" t="s">
        <v>156</v>
      </c>
      <c r="O2" s="639" t="s">
        <v>155</v>
      </c>
      <c r="P2" s="664">
        <v>46294</v>
      </c>
      <c r="Q2" s="643"/>
      <c r="R2" s="643"/>
      <c r="S2" s="643"/>
      <c r="T2" s="643"/>
      <c r="U2" s="661">
        <f>P2+1</f>
        <v>46295</v>
      </c>
      <c r="V2" s="662"/>
      <c r="W2" s="662"/>
      <c r="X2" s="662"/>
      <c r="Y2" s="663"/>
      <c r="Z2" s="661">
        <f>U2+1</f>
        <v>46296</v>
      </c>
      <c r="AA2" s="662"/>
      <c r="AB2" s="662"/>
      <c r="AC2" s="662"/>
      <c r="AD2" s="663"/>
      <c r="AE2" s="661">
        <f>Z2+1</f>
        <v>46297</v>
      </c>
      <c r="AF2" s="662"/>
      <c r="AG2" s="662"/>
      <c r="AH2" s="662"/>
      <c r="AI2" s="663"/>
      <c r="AJ2" s="661">
        <f>AE2+1</f>
        <v>46298</v>
      </c>
      <c r="AK2" s="662"/>
      <c r="AL2" s="662"/>
      <c r="AM2" s="662"/>
      <c r="AN2" s="663"/>
      <c r="AO2" s="661">
        <f>AJ2+1</f>
        <v>46299</v>
      </c>
      <c r="AP2" s="662"/>
      <c r="AQ2" s="662"/>
      <c r="AR2" s="662"/>
      <c r="AS2" s="663"/>
      <c r="AT2" s="661">
        <f>AO2+1</f>
        <v>46300</v>
      </c>
      <c r="AU2" s="662"/>
      <c r="AV2" s="662"/>
      <c r="AW2" s="662"/>
      <c r="AX2" s="663"/>
    </row>
    <row r="3" spans="1:53" ht="15.75">
      <c r="A3" s="81"/>
      <c r="B3" s="709"/>
      <c r="C3" s="709"/>
      <c r="D3" s="709"/>
      <c r="E3" s="709"/>
      <c r="F3" s="709"/>
      <c r="G3" s="709"/>
      <c r="H3" s="709"/>
      <c r="I3" s="277"/>
      <c r="J3" s="277"/>
      <c r="K3" s="277"/>
      <c r="L3" s="277"/>
      <c r="M3" s="192"/>
      <c r="N3" s="641"/>
      <c r="O3" s="641"/>
      <c r="P3" s="664" t="s">
        <v>158</v>
      </c>
      <c r="Q3" s="643"/>
      <c r="R3" s="643"/>
      <c r="S3" s="643"/>
      <c r="T3" s="643"/>
      <c r="U3" s="664" t="s">
        <v>114</v>
      </c>
      <c r="V3" s="643"/>
      <c r="W3" s="643"/>
      <c r="X3" s="643"/>
      <c r="Y3" s="643"/>
      <c r="Z3" s="664" t="s">
        <v>159</v>
      </c>
      <c r="AA3" s="643"/>
      <c r="AB3" s="643"/>
      <c r="AC3" s="643"/>
      <c r="AD3" s="643"/>
      <c r="AE3" s="664" t="s">
        <v>157</v>
      </c>
      <c r="AF3" s="643"/>
      <c r="AG3" s="643"/>
      <c r="AH3" s="643"/>
      <c r="AI3" s="643"/>
      <c r="AJ3" s="664" t="s">
        <v>160</v>
      </c>
      <c r="AK3" s="643"/>
      <c r="AL3" s="643"/>
      <c r="AM3" s="643"/>
      <c r="AN3" s="643"/>
      <c r="AO3" s="664" t="s">
        <v>115</v>
      </c>
      <c r="AP3" s="643"/>
      <c r="AQ3" s="643"/>
      <c r="AR3" s="643"/>
      <c r="AS3" s="643"/>
      <c r="AT3" s="664" t="s">
        <v>161</v>
      </c>
      <c r="AU3" s="643"/>
      <c r="AV3" s="643"/>
      <c r="AW3" s="643"/>
      <c r="AX3" s="643"/>
    </row>
    <row r="4" spans="1:53" ht="14.25">
      <c r="A4" s="81"/>
      <c r="B4" s="637" t="s">
        <v>743</v>
      </c>
      <c r="C4" s="637" t="s">
        <v>370</v>
      </c>
      <c r="D4" s="637"/>
      <c r="E4" s="637" t="s">
        <v>361</v>
      </c>
      <c r="F4" s="637"/>
      <c r="G4" s="637"/>
      <c r="H4" s="669" t="s">
        <v>357</v>
      </c>
      <c r="I4" s="684" t="s">
        <v>362</v>
      </c>
      <c r="J4" s="684"/>
      <c r="K4" s="684"/>
      <c r="L4" s="685" t="s">
        <v>357</v>
      </c>
      <c r="M4" s="673" t="s">
        <v>358</v>
      </c>
      <c r="N4" s="637"/>
      <c r="O4" s="637" t="s">
        <v>363</v>
      </c>
      <c r="P4" s="655" t="s">
        <v>359</v>
      </c>
      <c r="Q4" s="656"/>
      <c r="R4" s="656"/>
      <c r="S4" s="657"/>
      <c r="T4" s="637" t="s">
        <v>357</v>
      </c>
      <c r="U4" s="655" t="s">
        <v>359</v>
      </c>
      <c r="V4" s="656"/>
      <c r="W4" s="656"/>
      <c r="X4" s="657"/>
      <c r="Y4" s="637" t="s">
        <v>357</v>
      </c>
      <c r="Z4" s="655" t="s">
        <v>359</v>
      </c>
      <c r="AA4" s="656"/>
      <c r="AB4" s="656"/>
      <c r="AC4" s="657"/>
      <c r="AD4" s="637" t="s">
        <v>357</v>
      </c>
      <c r="AE4" s="655" t="s">
        <v>359</v>
      </c>
      <c r="AF4" s="656"/>
      <c r="AG4" s="656"/>
      <c r="AH4" s="657"/>
      <c r="AI4" s="637" t="s">
        <v>357</v>
      </c>
      <c r="AJ4" s="655" t="s">
        <v>359</v>
      </c>
      <c r="AK4" s="656"/>
      <c r="AL4" s="656"/>
      <c r="AM4" s="657"/>
      <c r="AN4" s="637" t="s">
        <v>357</v>
      </c>
      <c r="AO4" s="655" t="s">
        <v>359</v>
      </c>
      <c r="AP4" s="656"/>
      <c r="AQ4" s="656"/>
      <c r="AR4" s="657"/>
      <c r="AS4" s="637" t="s">
        <v>357</v>
      </c>
      <c r="AT4" s="655" t="s">
        <v>359</v>
      </c>
      <c r="AU4" s="656"/>
      <c r="AV4" s="656"/>
      <c r="AW4" s="657"/>
      <c r="AX4" s="637" t="s">
        <v>357</v>
      </c>
      <c r="BA4" s="637" t="s">
        <v>357</v>
      </c>
    </row>
    <row r="5" spans="1:53" ht="14.25">
      <c r="A5" s="81"/>
      <c r="B5" s="637"/>
      <c r="C5" s="637"/>
      <c r="D5" s="637"/>
      <c r="E5" s="637" t="s">
        <v>364</v>
      </c>
      <c r="F5" s="637"/>
      <c r="G5" s="637"/>
      <c r="H5" s="670"/>
      <c r="I5" s="684" t="s">
        <v>364</v>
      </c>
      <c r="J5" s="684"/>
      <c r="K5" s="684"/>
      <c r="L5" s="686"/>
      <c r="M5" s="674"/>
      <c r="N5" s="637"/>
      <c r="O5" s="637"/>
      <c r="P5" s="655" t="s">
        <v>365</v>
      </c>
      <c r="Q5" s="656"/>
      <c r="R5" s="656"/>
      <c r="S5" s="657"/>
      <c r="T5" s="637"/>
      <c r="U5" s="655" t="s">
        <v>365</v>
      </c>
      <c r="V5" s="656"/>
      <c r="W5" s="656"/>
      <c r="X5" s="657"/>
      <c r="Y5" s="637"/>
      <c r="Z5" s="655" t="s">
        <v>365</v>
      </c>
      <c r="AA5" s="656"/>
      <c r="AB5" s="656"/>
      <c r="AC5" s="657"/>
      <c r="AD5" s="637"/>
      <c r="AE5" s="655" t="s">
        <v>365</v>
      </c>
      <c r="AF5" s="656"/>
      <c r="AG5" s="656"/>
      <c r="AH5" s="657"/>
      <c r="AI5" s="637"/>
      <c r="AJ5" s="655" t="s">
        <v>365</v>
      </c>
      <c r="AK5" s="656"/>
      <c r="AL5" s="656"/>
      <c r="AM5" s="657"/>
      <c r="AN5" s="637"/>
      <c r="AO5" s="655" t="s">
        <v>365</v>
      </c>
      <c r="AP5" s="656"/>
      <c r="AQ5" s="656"/>
      <c r="AR5" s="657"/>
      <c r="AS5" s="637"/>
      <c r="AT5" s="655" t="s">
        <v>365</v>
      </c>
      <c r="AU5" s="656"/>
      <c r="AV5" s="656"/>
      <c r="AW5" s="657"/>
      <c r="AX5" s="637"/>
      <c r="BA5" s="637"/>
    </row>
    <row r="6" spans="1:53" ht="14.25">
      <c r="A6" s="79"/>
      <c r="B6" s="637"/>
      <c r="C6" s="637"/>
      <c r="D6" s="637"/>
      <c r="E6" s="551" t="s">
        <v>366</v>
      </c>
      <c r="F6" s="551" t="s">
        <v>367</v>
      </c>
      <c r="G6" s="551" t="s">
        <v>368</v>
      </c>
      <c r="H6" s="671"/>
      <c r="I6" s="556" t="s">
        <v>366</v>
      </c>
      <c r="J6" s="556" t="s">
        <v>367</v>
      </c>
      <c r="K6" s="556" t="s">
        <v>368</v>
      </c>
      <c r="L6" s="687"/>
      <c r="M6" s="675"/>
      <c r="N6" s="637"/>
      <c r="O6" s="637"/>
      <c r="P6" s="551" t="s">
        <v>366</v>
      </c>
      <c r="Q6" s="551" t="s">
        <v>367</v>
      </c>
      <c r="R6" s="551" t="s">
        <v>368</v>
      </c>
      <c r="S6" s="551" t="s">
        <v>358</v>
      </c>
      <c r="T6" s="637"/>
      <c r="U6" s="551" t="s">
        <v>366</v>
      </c>
      <c r="V6" s="551" t="s">
        <v>367</v>
      </c>
      <c r="W6" s="551" t="s">
        <v>368</v>
      </c>
      <c r="X6" s="551" t="s">
        <v>358</v>
      </c>
      <c r="Y6" s="637"/>
      <c r="Z6" s="551" t="s">
        <v>366</v>
      </c>
      <c r="AA6" s="551" t="s">
        <v>367</v>
      </c>
      <c r="AB6" s="551" t="s">
        <v>368</v>
      </c>
      <c r="AC6" s="551" t="s">
        <v>358</v>
      </c>
      <c r="AD6" s="637"/>
      <c r="AE6" s="551" t="s">
        <v>366</v>
      </c>
      <c r="AF6" s="551" t="s">
        <v>367</v>
      </c>
      <c r="AG6" s="551" t="s">
        <v>368</v>
      </c>
      <c r="AH6" s="551" t="s">
        <v>358</v>
      </c>
      <c r="AI6" s="637"/>
      <c r="AJ6" s="551" t="s">
        <v>366</v>
      </c>
      <c r="AK6" s="551" t="s">
        <v>367</v>
      </c>
      <c r="AL6" s="551" t="s">
        <v>368</v>
      </c>
      <c r="AM6" s="551" t="s">
        <v>358</v>
      </c>
      <c r="AN6" s="637"/>
      <c r="AO6" s="551" t="s">
        <v>366</v>
      </c>
      <c r="AP6" s="551" t="s">
        <v>367</v>
      </c>
      <c r="AQ6" s="551" t="s">
        <v>368</v>
      </c>
      <c r="AR6" s="551" t="s">
        <v>358</v>
      </c>
      <c r="AS6" s="637"/>
      <c r="AT6" s="551" t="s">
        <v>366</v>
      </c>
      <c r="AU6" s="551" t="s">
        <v>367</v>
      </c>
      <c r="AV6" s="551" t="s">
        <v>368</v>
      </c>
      <c r="AW6" s="551" t="s">
        <v>358</v>
      </c>
      <c r="AX6" s="637"/>
      <c r="AZ6" s="356" t="s">
        <v>358</v>
      </c>
      <c r="BA6" s="637"/>
    </row>
    <row r="7" spans="1:53" ht="14.25">
      <c r="A7" s="81"/>
      <c r="B7" s="637" t="s">
        <v>371</v>
      </c>
      <c r="C7" s="553">
        <v>1</v>
      </c>
      <c r="D7" s="220"/>
      <c r="E7" s="559"/>
      <c r="F7" s="553"/>
      <c r="G7" s="552"/>
      <c r="H7" s="696" t="e">
        <f>AVERAGE(G7:G21)</f>
        <v>#DIV/0!</v>
      </c>
      <c r="I7" s="554" t="str">
        <f t="shared" ref="I7:I20" si="0">IFERROR(AVERAGE(P7,U7,Z7,AE7,AJ7,AO7,AT7),"-")</f>
        <v>-</v>
      </c>
      <c r="J7" s="554" t="str">
        <f t="shared" ref="J7:J20" si="1">IFERROR(AVERAGE(Q7,V7,AA7,AF7,AK7,AP7,AU7),"-")</f>
        <v>-</v>
      </c>
      <c r="K7" s="194" t="str">
        <f t="shared" ref="K7:K20" si="2">IFERROR(AVERAGE(R7,W7,AB7,AG7,AL7,AQ7,AV7),"-")</f>
        <v>-</v>
      </c>
      <c r="L7" s="652" t="str">
        <f>IFERROR(AVERAGE(K7:K21),"-")</f>
        <v>-</v>
      </c>
      <c r="M7" s="558" t="e">
        <f>RANK(K7, K$87:$K$101)</f>
        <v>#VALUE!</v>
      </c>
      <c r="N7" s="637"/>
      <c r="O7" s="637"/>
      <c r="P7" s="553"/>
      <c r="Q7" s="559"/>
      <c r="R7" s="559"/>
      <c r="S7" s="553"/>
      <c r="T7" s="632"/>
      <c r="U7" s="553"/>
      <c r="V7" s="559"/>
      <c r="W7" s="559"/>
      <c r="X7" s="553"/>
      <c r="Y7" s="632"/>
      <c r="Z7" s="553"/>
      <c r="AA7" s="559"/>
      <c r="AB7" s="559"/>
      <c r="AC7" s="553"/>
      <c r="AD7" s="632"/>
      <c r="AE7" s="553"/>
      <c r="AF7" s="559"/>
      <c r="AG7" s="559"/>
      <c r="AH7" s="553"/>
      <c r="AI7" s="632"/>
      <c r="AJ7" s="553"/>
      <c r="AK7" s="559"/>
      <c r="AL7" s="559"/>
      <c r="AM7" s="553"/>
      <c r="AN7" s="632"/>
      <c r="AO7" s="553"/>
      <c r="AP7" s="559"/>
      <c r="AQ7" s="559"/>
      <c r="AR7" s="553"/>
      <c r="AS7" s="632"/>
      <c r="AT7" s="553"/>
      <c r="AU7" s="559"/>
      <c r="AV7" s="559"/>
      <c r="AW7" s="553"/>
      <c r="AX7" s="632"/>
      <c r="AZ7" s="357" t="e">
        <f t="shared" ref="AZ7:AZ21" si="3">RANK(AY7, AY$7:AY$21)</f>
        <v>#N/A</v>
      </c>
      <c r="BA7" s="638" t="e">
        <f t="shared" ref="BA7" si="4">AVERAGE(AY7:AY21)</f>
        <v>#DIV/0!</v>
      </c>
    </row>
    <row r="8" spans="1:53" ht="15" customHeight="1">
      <c r="A8" s="81"/>
      <c r="B8" s="643"/>
      <c r="C8" s="553">
        <v>2</v>
      </c>
      <c r="D8" s="220"/>
      <c r="E8" s="559"/>
      <c r="F8" s="553"/>
      <c r="G8" s="552"/>
      <c r="H8" s="697"/>
      <c r="I8" s="554" t="str">
        <f t="shared" si="0"/>
        <v>-</v>
      </c>
      <c r="J8" s="554" t="str">
        <f t="shared" si="1"/>
        <v>-</v>
      </c>
      <c r="K8" s="194" t="str">
        <f t="shared" si="2"/>
        <v>-</v>
      </c>
      <c r="L8" s="653"/>
      <c r="M8" s="558" t="e">
        <f>RANK(K8, K$87:$K$101)</f>
        <v>#VALUE!</v>
      </c>
      <c r="N8" s="637"/>
      <c r="O8" s="637"/>
      <c r="P8" s="553"/>
      <c r="Q8" s="559"/>
      <c r="R8" s="559"/>
      <c r="S8" s="553"/>
      <c r="T8" s="633"/>
      <c r="U8" s="553"/>
      <c r="V8" s="559"/>
      <c r="W8" s="559"/>
      <c r="X8" s="553"/>
      <c r="Y8" s="633"/>
      <c r="Z8" s="553"/>
      <c r="AA8" s="559"/>
      <c r="AB8" s="559"/>
      <c r="AC8" s="553"/>
      <c r="AD8" s="633"/>
      <c r="AE8" s="553"/>
      <c r="AF8" s="559"/>
      <c r="AG8" s="559"/>
      <c r="AH8" s="553"/>
      <c r="AI8" s="633"/>
      <c r="AJ8" s="553"/>
      <c r="AK8" s="559"/>
      <c r="AL8" s="559"/>
      <c r="AM8" s="553"/>
      <c r="AN8" s="633"/>
      <c r="AO8" s="553"/>
      <c r="AP8" s="559"/>
      <c r="AQ8" s="559"/>
      <c r="AR8" s="553"/>
      <c r="AS8" s="633"/>
      <c r="AT8" s="553"/>
      <c r="AU8" s="559"/>
      <c r="AV8" s="559"/>
      <c r="AW8" s="553"/>
      <c r="AX8" s="633"/>
      <c r="AZ8" s="357" t="e">
        <f t="shared" si="3"/>
        <v>#N/A</v>
      </c>
      <c r="BA8" s="638"/>
    </row>
    <row r="9" spans="1:53" ht="14.25">
      <c r="A9" s="81"/>
      <c r="B9" s="643"/>
      <c r="C9" s="553">
        <v>3</v>
      </c>
      <c r="D9" s="220"/>
      <c r="E9" s="559"/>
      <c r="F9" s="553"/>
      <c r="G9" s="552"/>
      <c r="H9" s="697"/>
      <c r="I9" s="554" t="str">
        <f t="shared" si="0"/>
        <v>-</v>
      </c>
      <c r="J9" s="554" t="str">
        <f t="shared" si="1"/>
        <v>-</v>
      </c>
      <c r="K9" s="194" t="str">
        <f t="shared" si="2"/>
        <v>-</v>
      </c>
      <c r="L9" s="653"/>
      <c r="M9" s="558" t="e">
        <f>RANK(K9, K$87:$K$101)</f>
        <v>#VALUE!</v>
      </c>
      <c r="N9" s="637"/>
      <c r="O9" s="637"/>
      <c r="P9" s="553"/>
      <c r="Q9" s="559"/>
      <c r="R9" s="559"/>
      <c r="S9" s="553"/>
      <c r="T9" s="633"/>
      <c r="U9" s="553"/>
      <c r="V9" s="559"/>
      <c r="W9" s="559"/>
      <c r="X9" s="553"/>
      <c r="Y9" s="633"/>
      <c r="Z9" s="553"/>
      <c r="AA9" s="559"/>
      <c r="AB9" s="559"/>
      <c r="AC9" s="553"/>
      <c r="AD9" s="633"/>
      <c r="AE9" s="553"/>
      <c r="AF9" s="559"/>
      <c r="AG9" s="559"/>
      <c r="AH9" s="553"/>
      <c r="AI9" s="633"/>
      <c r="AJ9" s="553"/>
      <c r="AK9" s="559"/>
      <c r="AL9" s="559"/>
      <c r="AM9" s="553"/>
      <c r="AN9" s="633"/>
      <c r="AO9" s="553"/>
      <c r="AP9" s="559"/>
      <c r="AQ9" s="559"/>
      <c r="AR9" s="553"/>
      <c r="AS9" s="633"/>
      <c r="AT9" s="553"/>
      <c r="AU9" s="559"/>
      <c r="AV9" s="559"/>
      <c r="AW9" s="553"/>
      <c r="AX9" s="633"/>
      <c r="AZ9" s="357" t="e">
        <f t="shared" si="3"/>
        <v>#N/A</v>
      </c>
      <c r="BA9" s="638"/>
    </row>
    <row r="10" spans="1:53" ht="14.25">
      <c r="A10" s="81"/>
      <c r="B10" s="643"/>
      <c r="C10" s="553">
        <v>4</v>
      </c>
      <c r="D10" s="220"/>
      <c r="E10" s="559"/>
      <c r="F10" s="553"/>
      <c r="G10" s="552"/>
      <c r="H10" s="697"/>
      <c r="I10" s="554" t="str">
        <f t="shared" si="0"/>
        <v>-</v>
      </c>
      <c r="J10" s="554" t="str">
        <f t="shared" si="1"/>
        <v>-</v>
      </c>
      <c r="K10" s="194" t="str">
        <f t="shared" si="2"/>
        <v>-</v>
      </c>
      <c r="L10" s="653"/>
      <c r="M10" s="558" t="e">
        <f>RANK(K10, K$87:$K$101)</f>
        <v>#VALUE!</v>
      </c>
      <c r="N10" s="637"/>
      <c r="O10" s="637"/>
      <c r="P10" s="553"/>
      <c r="Q10" s="559"/>
      <c r="R10" s="559"/>
      <c r="S10" s="553"/>
      <c r="T10" s="633"/>
      <c r="U10" s="553"/>
      <c r="V10" s="559"/>
      <c r="W10" s="559"/>
      <c r="X10" s="553"/>
      <c r="Y10" s="633"/>
      <c r="Z10" s="553"/>
      <c r="AA10" s="559"/>
      <c r="AB10" s="559"/>
      <c r="AC10" s="553"/>
      <c r="AD10" s="633"/>
      <c r="AE10" s="553"/>
      <c r="AF10" s="559"/>
      <c r="AG10" s="559"/>
      <c r="AH10" s="553"/>
      <c r="AI10" s="633"/>
      <c r="AJ10" s="553"/>
      <c r="AK10" s="559"/>
      <c r="AL10" s="559"/>
      <c r="AM10" s="553"/>
      <c r="AN10" s="633"/>
      <c r="AO10" s="553"/>
      <c r="AP10" s="559"/>
      <c r="AQ10" s="559"/>
      <c r="AR10" s="553"/>
      <c r="AS10" s="633"/>
      <c r="AT10" s="553"/>
      <c r="AU10" s="559"/>
      <c r="AV10" s="559"/>
      <c r="AW10" s="553"/>
      <c r="AX10" s="633"/>
      <c r="AZ10" s="357" t="e">
        <f t="shared" si="3"/>
        <v>#N/A</v>
      </c>
      <c r="BA10" s="638"/>
    </row>
    <row r="11" spans="1:53" ht="14.25">
      <c r="A11" s="81"/>
      <c r="B11" s="643"/>
      <c r="C11" s="553">
        <v>5</v>
      </c>
      <c r="D11" s="220"/>
      <c r="E11" s="559"/>
      <c r="F11" s="553"/>
      <c r="G11" s="552"/>
      <c r="H11" s="697"/>
      <c r="I11" s="554" t="str">
        <f t="shared" si="0"/>
        <v>-</v>
      </c>
      <c r="J11" s="554" t="str">
        <f t="shared" si="1"/>
        <v>-</v>
      </c>
      <c r="K11" s="194" t="str">
        <f t="shared" si="2"/>
        <v>-</v>
      </c>
      <c r="L11" s="653"/>
      <c r="M11" s="558" t="e">
        <f>RANK(K11, K$87:$K$101)</f>
        <v>#VALUE!</v>
      </c>
      <c r="N11" s="637"/>
      <c r="O11" s="637"/>
      <c r="P11" s="553"/>
      <c r="Q11" s="559"/>
      <c r="R11" s="559"/>
      <c r="S11" s="553"/>
      <c r="T11" s="633"/>
      <c r="U11" s="553"/>
      <c r="V11" s="559"/>
      <c r="W11" s="559"/>
      <c r="X11" s="553"/>
      <c r="Y11" s="633"/>
      <c r="Z11" s="553"/>
      <c r="AA11" s="559"/>
      <c r="AB11" s="559"/>
      <c r="AC11" s="553"/>
      <c r="AD11" s="633"/>
      <c r="AE11" s="553"/>
      <c r="AF11" s="559"/>
      <c r="AG11" s="559"/>
      <c r="AH11" s="553"/>
      <c r="AI11" s="633"/>
      <c r="AJ11" s="553"/>
      <c r="AK11" s="559"/>
      <c r="AL11" s="559"/>
      <c r="AM11" s="553"/>
      <c r="AN11" s="633"/>
      <c r="AO11" s="553"/>
      <c r="AP11" s="559"/>
      <c r="AQ11" s="559"/>
      <c r="AR11" s="553"/>
      <c r="AS11" s="633"/>
      <c r="AT11" s="553"/>
      <c r="AU11" s="559"/>
      <c r="AV11" s="559"/>
      <c r="AW11" s="553"/>
      <c r="AX11" s="633"/>
      <c r="AZ11" s="357" t="e">
        <f t="shared" si="3"/>
        <v>#N/A</v>
      </c>
      <c r="BA11" s="638"/>
    </row>
    <row r="12" spans="1:53" ht="14.25">
      <c r="A12" s="81"/>
      <c r="B12" s="643"/>
      <c r="C12" s="553">
        <v>6</v>
      </c>
      <c r="D12" s="220"/>
      <c r="E12" s="559"/>
      <c r="F12" s="553"/>
      <c r="G12" s="552"/>
      <c r="H12" s="697"/>
      <c r="I12" s="554" t="str">
        <f t="shared" si="0"/>
        <v>-</v>
      </c>
      <c r="J12" s="554" t="str">
        <f t="shared" si="1"/>
        <v>-</v>
      </c>
      <c r="K12" s="194" t="str">
        <f t="shared" si="2"/>
        <v>-</v>
      </c>
      <c r="L12" s="653"/>
      <c r="M12" s="558" t="e">
        <f>RANK(K12, K$87:$K$101)</f>
        <v>#VALUE!</v>
      </c>
      <c r="N12" s="637"/>
      <c r="O12" s="637"/>
      <c r="P12" s="553"/>
      <c r="Q12" s="559"/>
      <c r="R12" s="559"/>
      <c r="S12" s="553"/>
      <c r="T12" s="633"/>
      <c r="U12" s="553"/>
      <c r="V12" s="559"/>
      <c r="W12" s="559"/>
      <c r="X12" s="553"/>
      <c r="Y12" s="633"/>
      <c r="Z12" s="553"/>
      <c r="AA12" s="559"/>
      <c r="AB12" s="559"/>
      <c r="AC12" s="553"/>
      <c r="AD12" s="633"/>
      <c r="AE12" s="553"/>
      <c r="AF12" s="559"/>
      <c r="AG12" s="559"/>
      <c r="AH12" s="553"/>
      <c r="AI12" s="633"/>
      <c r="AJ12" s="553"/>
      <c r="AK12" s="559"/>
      <c r="AL12" s="559"/>
      <c r="AM12" s="553"/>
      <c r="AN12" s="633"/>
      <c r="AO12" s="553"/>
      <c r="AP12" s="559"/>
      <c r="AQ12" s="559"/>
      <c r="AR12" s="553"/>
      <c r="AS12" s="633"/>
      <c r="AT12" s="553"/>
      <c r="AU12" s="559"/>
      <c r="AV12" s="559"/>
      <c r="AW12" s="553"/>
      <c r="AX12" s="633"/>
      <c r="AZ12" s="357" t="e">
        <f t="shared" si="3"/>
        <v>#N/A</v>
      </c>
      <c r="BA12" s="638"/>
    </row>
    <row r="13" spans="1:53" ht="14.25">
      <c r="A13" s="81"/>
      <c r="B13" s="643"/>
      <c r="C13" s="553">
        <v>7</v>
      </c>
      <c r="D13" s="220"/>
      <c r="E13" s="559"/>
      <c r="F13" s="553"/>
      <c r="G13" s="552"/>
      <c r="H13" s="697"/>
      <c r="I13" s="554" t="str">
        <f t="shared" si="0"/>
        <v>-</v>
      </c>
      <c r="J13" s="554" t="str">
        <f t="shared" si="1"/>
        <v>-</v>
      </c>
      <c r="K13" s="194" t="str">
        <f t="shared" si="2"/>
        <v>-</v>
      </c>
      <c r="L13" s="653"/>
      <c r="M13" s="558" t="e">
        <f>RANK(K13, K$87:$K$101)</f>
        <v>#VALUE!</v>
      </c>
      <c r="N13" s="637"/>
      <c r="O13" s="637"/>
      <c r="P13" s="553"/>
      <c r="Q13" s="559"/>
      <c r="R13" s="559"/>
      <c r="S13" s="553"/>
      <c r="T13" s="633"/>
      <c r="U13" s="553"/>
      <c r="V13" s="559"/>
      <c r="W13" s="559"/>
      <c r="X13" s="553"/>
      <c r="Y13" s="633"/>
      <c r="Z13" s="553"/>
      <c r="AA13" s="559"/>
      <c r="AB13" s="559"/>
      <c r="AC13" s="553"/>
      <c r="AD13" s="633"/>
      <c r="AE13" s="553"/>
      <c r="AF13" s="559"/>
      <c r="AG13" s="559"/>
      <c r="AH13" s="553"/>
      <c r="AI13" s="633"/>
      <c r="AJ13" s="553"/>
      <c r="AK13" s="559"/>
      <c r="AL13" s="559"/>
      <c r="AM13" s="553"/>
      <c r="AN13" s="633"/>
      <c r="AO13" s="553"/>
      <c r="AP13" s="559"/>
      <c r="AQ13" s="559"/>
      <c r="AR13" s="553"/>
      <c r="AS13" s="633"/>
      <c r="AT13" s="553"/>
      <c r="AU13" s="559"/>
      <c r="AV13" s="559"/>
      <c r="AW13" s="553"/>
      <c r="AX13" s="633"/>
      <c r="AZ13" s="357" t="e">
        <f t="shared" si="3"/>
        <v>#N/A</v>
      </c>
      <c r="BA13" s="638"/>
    </row>
    <row r="14" spans="1:53" ht="14.25">
      <c r="A14" s="81"/>
      <c r="B14" s="643"/>
      <c r="C14" s="553">
        <v>8</v>
      </c>
      <c r="D14" s="220"/>
      <c r="E14" s="559"/>
      <c r="F14" s="553"/>
      <c r="G14" s="552"/>
      <c r="H14" s="697"/>
      <c r="I14" s="554" t="str">
        <f t="shared" si="0"/>
        <v>-</v>
      </c>
      <c r="J14" s="554" t="str">
        <f t="shared" si="1"/>
        <v>-</v>
      </c>
      <c r="K14" s="194" t="str">
        <f t="shared" si="2"/>
        <v>-</v>
      </c>
      <c r="L14" s="653"/>
      <c r="M14" s="558" t="e">
        <f>RANK(K14, K$87:$K$101)</f>
        <v>#VALUE!</v>
      </c>
      <c r="N14" s="637"/>
      <c r="O14" s="637"/>
      <c r="P14" s="553"/>
      <c r="Q14" s="559"/>
      <c r="R14" s="559"/>
      <c r="S14" s="553"/>
      <c r="T14" s="633"/>
      <c r="U14" s="553"/>
      <c r="V14" s="559"/>
      <c r="W14" s="559"/>
      <c r="X14" s="553"/>
      <c r="Y14" s="633"/>
      <c r="Z14" s="553"/>
      <c r="AA14" s="559"/>
      <c r="AB14" s="559"/>
      <c r="AC14" s="553"/>
      <c r="AD14" s="633"/>
      <c r="AE14" s="553"/>
      <c r="AF14" s="559"/>
      <c r="AG14" s="559"/>
      <c r="AH14" s="553"/>
      <c r="AI14" s="633"/>
      <c r="AJ14" s="553"/>
      <c r="AK14" s="559"/>
      <c r="AL14" s="559"/>
      <c r="AM14" s="553"/>
      <c r="AN14" s="633"/>
      <c r="AO14" s="553"/>
      <c r="AP14" s="559"/>
      <c r="AQ14" s="559"/>
      <c r="AR14" s="553"/>
      <c r="AS14" s="633"/>
      <c r="AT14" s="553"/>
      <c r="AU14" s="559"/>
      <c r="AV14" s="559"/>
      <c r="AW14" s="553"/>
      <c r="AX14" s="633"/>
      <c r="AZ14" s="357" t="e">
        <f t="shared" si="3"/>
        <v>#N/A</v>
      </c>
      <c r="BA14" s="638"/>
    </row>
    <row r="15" spans="1:53" ht="14.25">
      <c r="A15" s="81"/>
      <c r="B15" s="643"/>
      <c r="C15" s="553">
        <v>9</v>
      </c>
      <c r="D15" s="220"/>
      <c r="E15" s="559"/>
      <c r="F15" s="553"/>
      <c r="G15" s="552"/>
      <c r="H15" s="697"/>
      <c r="I15" s="554" t="str">
        <f t="shared" si="0"/>
        <v>-</v>
      </c>
      <c r="J15" s="554" t="str">
        <f t="shared" si="1"/>
        <v>-</v>
      </c>
      <c r="K15" s="194" t="str">
        <f t="shared" si="2"/>
        <v>-</v>
      </c>
      <c r="L15" s="653"/>
      <c r="M15" s="558" t="e">
        <f>RANK(K15, K$87:$K$101)</f>
        <v>#VALUE!</v>
      </c>
      <c r="N15" s="637"/>
      <c r="O15" s="637"/>
      <c r="P15" s="553"/>
      <c r="Q15" s="559"/>
      <c r="R15" s="559"/>
      <c r="S15" s="553"/>
      <c r="T15" s="633"/>
      <c r="U15" s="553"/>
      <c r="V15" s="559"/>
      <c r="W15" s="559"/>
      <c r="X15" s="553"/>
      <c r="Y15" s="633"/>
      <c r="Z15" s="553"/>
      <c r="AA15" s="559"/>
      <c r="AB15" s="559"/>
      <c r="AC15" s="553"/>
      <c r="AD15" s="633"/>
      <c r="AE15" s="553"/>
      <c r="AF15" s="559"/>
      <c r="AG15" s="559"/>
      <c r="AH15" s="553"/>
      <c r="AI15" s="633"/>
      <c r="AJ15" s="553"/>
      <c r="AK15" s="559"/>
      <c r="AL15" s="559"/>
      <c r="AM15" s="553"/>
      <c r="AN15" s="633"/>
      <c r="AO15" s="553"/>
      <c r="AP15" s="559"/>
      <c r="AQ15" s="559"/>
      <c r="AR15" s="553"/>
      <c r="AS15" s="633"/>
      <c r="AT15" s="553"/>
      <c r="AU15" s="559"/>
      <c r="AV15" s="559"/>
      <c r="AW15" s="553"/>
      <c r="AX15" s="633"/>
      <c r="AZ15" s="357" t="e">
        <f t="shared" si="3"/>
        <v>#N/A</v>
      </c>
      <c r="BA15" s="638"/>
    </row>
    <row r="16" spans="1:53" ht="14.25">
      <c r="A16" s="81"/>
      <c r="B16" s="643"/>
      <c r="C16" s="553">
        <v>10</v>
      </c>
      <c r="D16" s="220"/>
      <c r="E16" s="559"/>
      <c r="F16" s="553"/>
      <c r="G16" s="552"/>
      <c r="H16" s="697"/>
      <c r="I16" s="554" t="str">
        <f t="shared" si="0"/>
        <v>-</v>
      </c>
      <c r="J16" s="554" t="str">
        <f t="shared" si="1"/>
        <v>-</v>
      </c>
      <c r="K16" s="194" t="str">
        <f t="shared" si="2"/>
        <v>-</v>
      </c>
      <c r="L16" s="653"/>
      <c r="M16" s="558" t="e">
        <f>RANK(K16, K$87:$K$101)</f>
        <v>#VALUE!</v>
      </c>
      <c r="N16" s="637"/>
      <c r="O16" s="637"/>
      <c r="P16" s="553"/>
      <c r="Q16" s="559"/>
      <c r="R16" s="559"/>
      <c r="S16" s="553"/>
      <c r="T16" s="633"/>
      <c r="U16" s="553"/>
      <c r="V16" s="559"/>
      <c r="W16" s="559"/>
      <c r="X16" s="553"/>
      <c r="Y16" s="633"/>
      <c r="Z16" s="553"/>
      <c r="AA16" s="559"/>
      <c r="AB16" s="559"/>
      <c r="AC16" s="553"/>
      <c r="AD16" s="633"/>
      <c r="AE16" s="553"/>
      <c r="AF16" s="559"/>
      <c r="AG16" s="559"/>
      <c r="AH16" s="553"/>
      <c r="AI16" s="633"/>
      <c r="AJ16" s="553"/>
      <c r="AK16" s="559"/>
      <c r="AL16" s="559"/>
      <c r="AM16" s="553"/>
      <c r="AN16" s="633"/>
      <c r="AO16" s="553"/>
      <c r="AP16" s="559"/>
      <c r="AQ16" s="559"/>
      <c r="AR16" s="553"/>
      <c r="AS16" s="633"/>
      <c r="AT16" s="553"/>
      <c r="AU16" s="559"/>
      <c r="AV16" s="559"/>
      <c r="AW16" s="553"/>
      <c r="AX16" s="633"/>
      <c r="AZ16" s="357" t="e">
        <f t="shared" si="3"/>
        <v>#N/A</v>
      </c>
      <c r="BA16" s="638"/>
    </row>
    <row r="17" spans="2:53">
      <c r="B17" s="643"/>
      <c r="C17" s="553">
        <v>11</v>
      </c>
      <c r="D17" s="220"/>
      <c r="E17" s="559"/>
      <c r="F17" s="553"/>
      <c r="G17" s="552"/>
      <c r="H17" s="697"/>
      <c r="I17" s="554" t="str">
        <f t="shared" si="0"/>
        <v>-</v>
      </c>
      <c r="J17" s="554" t="str">
        <f t="shared" si="1"/>
        <v>-</v>
      </c>
      <c r="K17" s="194" t="str">
        <f t="shared" si="2"/>
        <v>-</v>
      </c>
      <c r="L17" s="653"/>
      <c r="M17" s="558" t="e">
        <f>RANK(K17, K$87:$K$101)</f>
        <v>#VALUE!</v>
      </c>
      <c r="N17" s="637"/>
      <c r="O17" s="637"/>
      <c r="P17" s="553"/>
      <c r="Q17" s="559"/>
      <c r="R17" s="559"/>
      <c r="S17" s="553"/>
      <c r="T17" s="633"/>
      <c r="U17" s="553"/>
      <c r="V17" s="559"/>
      <c r="W17" s="559"/>
      <c r="X17" s="553"/>
      <c r="Y17" s="633"/>
      <c r="Z17" s="553"/>
      <c r="AA17" s="559"/>
      <c r="AB17" s="559"/>
      <c r="AC17" s="553"/>
      <c r="AD17" s="633"/>
      <c r="AE17" s="553"/>
      <c r="AF17" s="559"/>
      <c r="AG17" s="559"/>
      <c r="AH17" s="553"/>
      <c r="AI17" s="633"/>
      <c r="AJ17" s="553"/>
      <c r="AK17" s="559"/>
      <c r="AL17" s="559"/>
      <c r="AM17" s="553"/>
      <c r="AN17" s="633"/>
      <c r="AO17" s="553"/>
      <c r="AP17" s="559"/>
      <c r="AQ17" s="559"/>
      <c r="AR17" s="553"/>
      <c r="AS17" s="633"/>
      <c r="AT17" s="553"/>
      <c r="AU17" s="559"/>
      <c r="AV17" s="559"/>
      <c r="AW17" s="553"/>
      <c r="AX17" s="633"/>
      <c r="AZ17" s="357" t="e">
        <f t="shared" si="3"/>
        <v>#N/A</v>
      </c>
      <c r="BA17" s="638"/>
    </row>
    <row r="18" spans="2:53">
      <c r="B18" s="643"/>
      <c r="C18" s="553">
        <v>12</v>
      </c>
      <c r="D18" s="220"/>
      <c r="E18" s="559"/>
      <c r="F18" s="553"/>
      <c r="G18" s="552"/>
      <c r="H18" s="697"/>
      <c r="I18" s="554" t="str">
        <f t="shared" si="0"/>
        <v>-</v>
      </c>
      <c r="J18" s="554" t="str">
        <f t="shared" si="1"/>
        <v>-</v>
      </c>
      <c r="K18" s="194" t="str">
        <f t="shared" si="2"/>
        <v>-</v>
      </c>
      <c r="L18" s="653"/>
      <c r="M18" s="558" t="e">
        <f>RANK(K18, K$87:$K$101)</f>
        <v>#VALUE!</v>
      </c>
      <c r="N18" s="637"/>
      <c r="O18" s="637"/>
      <c r="P18" s="553"/>
      <c r="Q18" s="559"/>
      <c r="R18" s="559"/>
      <c r="S18" s="553"/>
      <c r="T18" s="633"/>
      <c r="U18" s="553"/>
      <c r="V18" s="559"/>
      <c r="W18" s="559"/>
      <c r="X18" s="553"/>
      <c r="Y18" s="633"/>
      <c r="Z18" s="553"/>
      <c r="AA18" s="559"/>
      <c r="AB18" s="559"/>
      <c r="AC18" s="553"/>
      <c r="AD18" s="633"/>
      <c r="AE18" s="553"/>
      <c r="AF18" s="559"/>
      <c r="AG18" s="559"/>
      <c r="AH18" s="553"/>
      <c r="AI18" s="633"/>
      <c r="AJ18" s="553"/>
      <c r="AK18" s="559"/>
      <c r="AL18" s="559"/>
      <c r="AM18" s="553"/>
      <c r="AN18" s="633"/>
      <c r="AO18" s="553"/>
      <c r="AP18" s="559"/>
      <c r="AQ18" s="559"/>
      <c r="AR18" s="553"/>
      <c r="AS18" s="633"/>
      <c r="AT18" s="553"/>
      <c r="AU18" s="559"/>
      <c r="AV18" s="559"/>
      <c r="AW18" s="553"/>
      <c r="AX18" s="633"/>
      <c r="AZ18" s="357" t="e">
        <f t="shared" si="3"/>
        <v>#N/A</v>
      </c>
      <c r="BA18" s="638"/>
    </row>
    <row r="19" spans="2:53">
      <c r="B19" s="643"/>
      <c r="C19" s="553">
        <v>13</v>
      </c>
      <c r="D19" s="220"/>
      <c r="E19" s="559"/>
      <c r="F19" s="553"/>
      <c r="G19" s="552"/>
      <c r="H19" s="697"/>
      <c r="I19" s="554" t="str">
        <f t="shared" si="0"/>
        <v>-</v>
      </c>
      <c r="J19" s="554" t="str">
        <f t="shared" si="1"/>
        <v>-</v>
      </c>
      <c r="K19" s="194" t="str">
        <f t="shared" si="2"/>
        <v>-</v>
      </c>
      <c r="L19" s="653"/>
      <c r="M19" s="558" t="e">
        <f>RANK(K19, K$87:$K$101)</f>
        <v>#VALUE!</v>
      </c>
      <c r="N19" s="637"/>
      <c r="O19" s="637"/>
      <c r="P19" s="553"/>
      <c r="Q19" s="559"/>
      <c r="R19" s="559"/>
      <c r="S19" s="553"/>
      <c r="T19" s="633"/>
      <c r="U19" s="553"/>
      <c r="V19" s="559"/>
      <c r="W19" s="559"/>
      <c r="X19" s="553"/>
      <c r="Y19" s="633"/>
      <c r="Z19" s="553"/>
      <c r="AA19" s="559"/>
      <c r="AB19" s="559"/>
      <c r="AC19" s="553"/>
      <c r="AD19" s="633"/>
      <c r="AE19" s="553"/>
      <c r="AF19" s="559"/>
      <c r="AG19" s="559"/>
      <c r="AH19" s="553"/>
      <c r="AI19" s="633"/>
      <c r="AJ19" s="553"/>
      <c r="AK19" s="559"/>
      <c r="AL19" s="559"/>
      <c r="AM19" s="553"/>
      <c r="AN19" s="633"/>
      <c r="AO19" s="553"/>
      <c r="AP19" s="559"/>
      <c r="AQ19" s="559"/>
      <c r="AR19" s="553"/>
      <c r="AS19" s="633"/>
      <c r="AT19" s="553"/>
      <c r="AU19" s="559"/>
      <c r="AV19" s="559"/>
      <c r="AW19" s="553"/>
      <c r="AX19" s="633"/>
      <c r="AZ19" s="357" t="e">
        <f t="shared" si="3"/>
        <v>#N/A</v>
      </c>
      <c r="BA19" s="638"/>
    </row>
    <row r="20" spans="2:53">
      <c r="B20" s="643"/>
      <c r="C20" s="553">
        <v>14</v>
      </c>
      <c r="D20" s="220"/>
      <c r="E20" s="559"/>
      <c r="F20" s="553"/>
      <c r="G20" s="552"/>
      <c r="H20" s="697"/>
      <c r="I20" s="554" t="str">
        <f t="shared" si="0"/>
        <v>-</v>
      </c>
      <c r="J20" s="554" t="str">
        <f t="shared" si="1"/>
        <v>-</v>
      </c>
      <c r="K20" s="194" t="str">
        <f t="shared" si="2"/>
        <v>-</v>
      </c>
      <c r="L20" s="653"/>
      <c r="M20" s="558" t="e">
        <f>RANK(K20, K$87:$K$101)</f>
        <v>#VALUE!</v>
      </c>
      <c r="N20" s="637"/>
      <c r="O20" s="637"/>
      <c r="P20" s="553"/>
      <c r="Q20" s="559"/>
      <c r="R20" s="559"/>
      <c r="S20" s="553"/>
      <c r="T20" s="633"/>
      <c r="U20" s="553"/>
      <c r="V20" s="559"/>
      <c r="W20" s="559"/>
      <c r="X20" s="553"/>
      <c r="Y20" s="633"/>
      <c r="Z20" s="553"/>
      <c r="AA20" s="559"/>
      <c r="AB20" s="559"/>
      <c r="AC20" s="553"/>
      <c r="AD20" s="633"/>
      <c r="AE20" s="553"/>
      <c r="AF20" s="559"/>
      <c r="AG20" s="559"/>
      <c r="AH20" s="553"/>
      <c r="AI20" s="633"/>
      <c r="AJ20" s="553"/>
      <c r="AK20" s="559"/>
      <c r="AL20" s="559"/>
      <c r="AM20" s="553"/>
      <c r="AN20" s="633"/>
      <c r="AO20" s="553"/>
      <c r="AP20" s="559"/>
      <c r="AQ20" s="559"/>
      <c r="AR20" s="553"/>
      <c r="AS20" s="633"/>
      <c r="AT20" s="553"/>
      <c r="AU20" s="559"/>
      <c r="AV20" s="559"/>
      <c r="AW20" s="553"/>
      <c r="AX20" s="633"/>
      <c r="AZ20" s="357" t="e">
        <f t="shared" si="3"/>
        <v>#N/A</v>
      </c>
      <c r="BA20" s="638"/>
    </row>
    <row r="21" spans="2:53">
      <c r="B21" s="643"/>
      <c r="C21" s="553">
        <v>15</v>
      </c>
      <c r="D21" s="220"/>
      <c r="E21" s="559"/>
      <c r="F21" s="553"/>
      <c r="G21" s="552"/>
      <c r="H21" s="698"/>
      <c r="I21" s="196"/>
      <c r="J21" s="196"/>
      <c r="K21" s="196"/>
      <c r="L21" s="654"/>
      <c r="M21" s="554" t="e">
        <f>RANK(K21, K$87:$K$101)</f>
        <v>#N/A</v>
      </c>
      <c r="N21" s="637"/>
      <c r="O21" s="637"/>
      <c r="P21" s="553"/>
      <c r="Q21" s="559"/>
      <c r="R21" s="559"/>
      <c r="S21" s="553"/>
      <c r="T21" s="634"/>
      <c r="U21" s="553"/>
      <c r="V21" s="559"/>
      <c r="W21" s="559"/>
      <c r="X21" s="553"/>
      <c r="Y21" s="634"/>
      <c r="Z21" s="553"/>
      <c r="AA21" s="559"/>
      <c r="AB21" s="559"/>
      <c r="AC21" s="553"/>
      <c r="AD21" s="634"/>
      <c r="AE21" s="553"/>
      <c r="AF21" s="559"/>
      <c r="AG21" s="559"/>
      <c r="AH21" s="553"/>
      <c r="AI21" s="634"/>
      <c r="AJ21" s="553"/>
      <c r="AK21" s="559"/>
      <c r="AL21" s="559"/>
      <c r="AM21" s="553"/>
      <c r="AN21" s="634"/>
      <c r="AO21" s="553"/>
      <c r="AP21" s="559"/>
      <c r="AQ21" s="559"/>
      <c r="AR21" s="553"/>
      <c r="AS21" s="634"/>
      <c r="AT21" s="553"/>
      <c r="AU21" s="559"/>
      <c r="AV21" s="559"/>
      <c r="AW21" s="553"/>
      <c r="AX21" s="634"/>
      <c r="AZ21" s="357" t="e">
        <f t="shared" si="3"/>
        <v>#N/A</v>
      </c>
      <c r="BA21" s="638"/>
    </row>
    <row r="22" spans="2:53" ht="15.75">
      <c r="B22" s="676" t="s">
        <v>162</v>
      </c>
      <c r="C22" s="677"/>
      <c r="D22" s="677"/>
      <c r="E22" s="677"/>
      <c r="F22" s="677"/>
      <c r="G22" s="677"/>
      <c r="H22" s="677"/>
      <c r="I22" s="197"/>
      <c r="J22" s="197"/>
      <c r="K22" s="197"/>
      <c r="L22" s="197"/>
      <c r="M22" s="198"/>
      <c r="N22" s="639" t="s">
        <v>156</v>
      </c>
      <c r="O22" s="639" t="s">
        <v>105</v>
      </c>
      <c r="P22" s="664">
        <f>P2+7</f>
        <v>46301</v>
      </c>
      <c r="Q22" s="643"/>
      <c r="R22" s="643"/>
      <c r="S22" s="643"/>
      <c r="T22" s="643"/>
      <c r="U22" s="661">
        <f>P22+1</f>
        <v>46302</v>
      </c>
      <c r="V22" s="662"/>
      <c r="W22" s="662"/>
      <c r="X22" s="662"/>
      <c r="Y22" s="663"/>
      <c r="Z22" s="661">
        <f>U22+1</f>
        <v>46303</v>
      </c>
      <c r="AA22" s="662"/>
      <c r="AB22" s="662"/>
      <c r="AC22" s="662"/>
      <c r="AD22" s="663"/>
      <c r="AE22" s="661">
        <f>Z22+1</f>
        <v>46304</v>
      </c>
      <c r="AF22" s="662"/>
      <c r="AG22" s="662"/>
      <c r="AH22" s="662"/>
      <c r="AI22" s="663"/>
      <c r="AJ22" s="661">
        <f>AE22+1</f>
        <v>46305</v>
      </c>
      <c r="AK22" s="662"/>
      <c r="AL22" s="662"/>
      <c r="AM22" s="662"/>
      <c r="AN22" s="663"/>
      <c r="AO22" s="661">
        <f>AJ22+1</f>
        <v>46306</v>
      </c>
      <c r="AP22" s="662"/>
      <c r="AQ22" s="662"/>
      <c r="AR22" s="662"/>
      <c r="AS22" s="663"/>
      <c r="AT22" s="661">
        <f>AO22+1</f>
        <v>46307</v>
      </c>
      <c r="AU22" s="662"/>
      <c r="AV22" s="662"/>
      <c r="AW22" s="662"/>
      <c r="AX22" s="663"/>
    </row>
    <row r="23" spans="2:53" ht="15.75">
      <c r="B23" s="668"/>
      <c r="C23" s="668"/>
      <c r="D23" s="668"/>
      <c r="E23" s="668"/>
      <c r="F23" s="668"/>
      <c r="G23" s="668"/>
      <c r="H23" s="668"/>
      <c r="I23" s="199"/>
      <c r="J23" s="199"/>
      <c r="K23" s="199"/>
      <c r="L23" s="199"/>
      <c r="M23" s="200"/>
      <c r="N23" s="641"/>
      <c r="O23" s="641"/>
      <c r="P23" s="664" t="s">
        <v>317</v>
      </c>
      <c r="Q23" s="643"/>
      <c r="R23" s="643"/>
      <c r="S23" s="643"/>
      <c r="T23" s="643"/>
      <c r="U23" s="664" t="s">
        <v>318</v>
      </c>
      <c r="V23" s="643"/>
      <c r="W23" s="643"/>
      <c r="X23" s="643"/>
      <c r="Y23" s="643"/>
      <c r="Z23" s="664" t="s">
        <v>319</v>
      </c>
      <c r="AA23" s="643"/>
      <c r="AB23" s="643"/>
      <c r="AC23" s="643"/>
      <c r="AD23" s="643"/>
      <c r="AE23" s="664" t="s">
        <v>320</v>
      </c>
      <c r="AF23" s="643"/>
      <c r="AG23" s="643"/>
      <c r="AH23" s="643"/>
      <c r="AI23" s="643"/>
      <c r="AJ23" s="664" t="s">
        <v>321</v>
      </c>
      <c r="AK23" s="643"/>
      <c r="AL23" s="643"/>
      <c r="AM23" s="643"/>
      <c r="AN23" s="643"/>
      <c r="AO23" s="664" t="s">
        <v>322</v>
      </c>
      <c r="AP23" s="643"/>
      <c r="AQ23" s="643"/>
      <c r="AR23" s="643"/>
      <c r="AS23" s="643"/>
      <c r="AT23" s="664" t="s">
        <v>323</v>
      </c>
      <c r="AU23" s="643"/>
      <c r="AV23" s="643"/>
      <c r="AW23" s="643"/>
      <c r="AX23" s="643"/>
    </row>
    <row r="24" spans="2:53">
      <c r="B24" s="637" t="s">
        <v>154</v>
      </c>
      <c r="C24" s="637" t="s">
        <v>370</v>
      </c>
      <c r="D24" s="637"/>
      <c r="E24" s="637" t="s">
        <v>361</v>
      </c>
      <c r="F24" s="637"/>
      <c r="G24" s="637"/>
      <c r="H24" s="669" t="s">
        <v>357</v>
      </c>
      <c r="I24" s="684" t="s">
        <v>362</v>
      </c>
      <c r="J24" s="684"/>
      <c r="K24" s="684"/>
      <c r="L24" s="685" t="s">
        <v>357</v>
      </c>
      <c r="M24" s="673" t="s">
        <v>358</v>
      </c>
      <c r="N24" s="637"/>
      <c r="O24" s="637" t="s">
        <v>363</v>
      </c>
      <c r="P24" s="655" t="s">
        <v>359</v>
      </c>
      <c r="Q24" s="656"/>
      <c r="R24" s="656"/>
      <c r="S24" s="657"/>
      <c r="T24" s="637" t="s">
        <v>357</v>
      </c>
      <c r="U24" s="655" t="s">
        <v>359</v>
      </c>
      <c r="V24" s="656"/>
      <c r="W24" s="656"/>
      <c r="X24" s="657"/>
      <c r="Y24" s="637" t="s">
        <v>357</v>
      </c>
      <c r="Z24" s="655" t="s">
        <v>359</v>
      </c>
      <c r="AA24" s="656"/>
      <c r="AB24" s="656"/>
      <c r="AC24" s="657"/>
      <c r="AD24" s="637" t="s">
        <v>357</v>
      </c>
      <c r="AE24" s="655" t="s">
        <v>359</v>
      </c>
      <c r="AF24" s="656"/>
      <c r="AG24" s="656"/>
      <c r="AH24" s="657"/>
      <c r="AI24" s="637" t="s">
        <v>357</v>
      </c>
      <c r="AJ24" s="655" t="s">
        <v>359</v>
      </c>
      <c r="AK24" s="656"/>
      <c r="AL24" s="656"/>
      <c r="AM24" s="657"/>
      <c r="AN24" s="637" t="s">
        <v>357</v>
      </c>
      <c r="AO24" s="655" t="s">
        <v>359</v>
      </c>
      <c r="AP24" s="656"/>
      <c r="AQ24" s="656"/>
      <c r="AR24" s="657"/>
      <c r="AS24" s="637" t="s">
        <v>357</v>
      </c>
      <c r="AT24" s="655" t="s">
        <v>359</v>
      </c>
      <c r="AU24" s="656"/>
      <c r="AV24" s="656"/>
      <c r="AW24" s="657"/>
      <c r="AX24" s="637" t="s">
        <v>357</v>
      </c>
      <c r="BA24" s="637" t="s">
        <v>357</v>
      </c>
    </row>
    <row r="25" spans="2:53">
      <c r="B25" s="637"/>
      <c r="C25" s="637"/>
      <c r="D25" s="637"/>
      <c r="E25" s="637" t="s">
        <v>364</v>
      </c>
      <c r="F25" s="637"/>
      <c r="G25" s="637"/>
      <c r="H25" s="670"/>
      <c r="I25" s="684" t="s">
        <v>364</v>
      </c>
      <c r="J25" s="684"/>
      <c r="K25" s="684"/>
      <c r="L25" s="686"/>
      <c r="M25" s="674"/>
      <c r="N25" s="637"/>
      <c r="O25" s="637"/>
      <c r="P25" s="655" t="s">
        <v>365</v>
      </c>
      <c r="Q25" s="656"/>
      <c r="R25" s="656"/>
      <c r="S25" s="657"/>
      <c r="T25" s="637"/>
      <c r="U25" s="655" t="s">
        <v>365</v>
      </c>
      <c r="V25" s="656"/>
      <c r="W25" s="656"/>
      <c r="X25" s="657"/>
      <c r="Y25" s="637"/>
      <c r="Z25" s="655" t="s">
        <v>365</v>
      </c>
      <c r="AA25" s="656"/>
      <c r="AB25" s="656"/>
      <c r="AC25" s="657"/>
      <c r="AD25" s="637"/>
      <c r="AE25" s="655" t="s">
        <v>365</v>
      </c>
      <c r="AF25" s="656"/>
      <c r="AG25" s="656"/>
      <c r="AH25" s="657"/>
      <c r="AI25" s="637"/>
      <c r="AJ25" s="655" t="s">
        <v>365</v>
      </c>
      <c r="AK25" s="656"/>
      <c r="AL25" s="656"/>
      <c r="AM25" s="657"/>
      <c r="AN25" s="637"/>
      <c r="AO25" s="655" t="s">
        <v>365</v>
      </c>
      <c r="AP25" s="656"/>
      <c r="AQ25" s="656"/>
      <c r="AR25" s="657"/>
      <c r="AS25" s="637"/>
      <c r="AT25" s="655" t="s">
        <v>365</v>
      </c>
      <c r="AU25" s="656"/>
      <c r="AV25" s="656"/>
      <c r="AW25" s="657"/>
      <c r="AX25" s="637"/>
      <c r="BA25" s="637"/>
    </row>
    <row r="26" spans="2:53">
      <c r="B26" s="637"/>
      <c r="C26" s="637"/>
      <c r="D26" s="637"/>
      <c r="E26" s="366" t="s">
        <v>366</v>
      </c>
      <c r="F26" s="366" t="s">
        <v>367</v>
      </c>
      <c r="G26" s="366" t="s">
        <v>368</v>
      </c>
      <c r="H26" s="671"/>
      <c r="I26" s="365" t="s">
        <v>366</v>
      </c>
      <c r="J26" s="365" t="s">
        <v>367</v>
      </c>
      <c r="K26" s="365" t="s">
        <v>368</v>
      </c>
      <c r="L26" s="687"/>
      <c r="M26" s="675"/>
      <c r="N26" s="637"/>
      <c r="O26" s="637"/>
      <c r="P26" s="366" t="s">
        <v>366</v>
      </c>
      <c r="Q26" s="366" t="s">
        <v>367</v>
      </c>
      <c r="R26" s="366" t="s">
        <v>368</v>
      </c>
      <c r="S26" s="366" t="s">
        <v>358</v>
      </c>
      <c r="T26" s="637"/>
      <c r="U26" s="366" t="s">
        <v>366</v>
      </c>
      <c r="V26" s="366" t="s">
        <v>367</v>
      </c>
      <c r="W26" s="366" t="s">
        <v>368</v>
      </c>
      <c r="X26" s="366" t="s">
        <v>358</v>
      </c>
      <c r="Y26" s="637"/>
      <c r="Z26" s="366" t="s">
        <v>366</v>
      </c>
      <c r="AA26" s="366" t="s">
        <v>367</v>
      </c>
      <c r="AB26" s="366" t="s">
        <v>368</v>
      </c>
      <c r="AC26" s="366" t="s">
        <v>358</v>
      </c>
      <c r="AD26" s="637"/>
      <c r="AE26" s="366" t="s">
        <v>366</v>
      </c>
      <c r="AF26" s="366" t="s">
        <v>367</v>
      </c>
      <c r="AG26" s="366" t="s">
        <v>368</v>
      </c>
      <c r="AH26" s="366" t="s">
        <v>358</v>
      </c>
      <c r="AI26" s="637"/>
      <c r="AJ26" s="366" t="s">
        <v>366</v>
      </c>
      <c r="AK26" s="366" t="s">
        <v>367</v>
      </c>
      <c r="AL26" s="366" t="s">
        <v>368</v>
      </c>
      <c r="AM26" s="366" t="s">
        <v>358</v>
      </c>
      <c r="AN26" s="637"/>
      <c r="AO26" s="366" t="s">
        <v>366</v>
      </c>
      <c r="AP26" s="366" t="s">
        <v>367</v>
      </c>
      <c r="AQ26" s="366" t="s">
        <v>368</v>
      </c>
      <c r="AR26" s="366" t="s">
        <v>358</v>
      </c>
      <c r="AS26" s="637"/>
      <c r="AT26" s="366" t="s">
        <v>366</v>
      </c>
      <c r="AU26" s="366" t="s">
        <v>367</v>
      </c>
      <c r="AV26" s="366" t="s">
        <v>368</v>
      </c>
      <c r="AW26" s="366" t="s">
        <v>358</v>
      </c>
      <c r="AX26" s="637"/>
      <c r="AZ26" s="356" t="s">
        <v>358</v>
      </c>
      <c r="BA26" s="637"/>
    </row>
    <row r="27" spans="2:53">
      <c r="B27" s="637" t="s">
        <v>371</v>
      </c>
      <c r="C27" s="367">
        <v>1</v>
      </c>
      <c r="D27" s="220"/>
      <c r="E27" s="559"/>
      <c r="F27" s="553"/>
      <c r="G27" s="552"/>
      <c r="H27" s="696" t="e">
        <f>AVERAGE(G27:G41)</f>
        <v>#DIV/0!</v>
      </c>
      <c r="I27" s="369" t="str">
        <f t="shared" ref="I27:I40" si="5">IFERROR(AVERAGE(P27,U27,Z27,AE27,AJ27,AO27,AT27),"-")</f>
        <v>-</v>
      </c>
      <c r="J27" s="369" t="str">
        <f t="shared" ref="J27:J40" si="6">IFERROR(AVERAGE(Q27,V27,AA27,AF27,AK27,AP27,AU27),"-")</f>
        <v>-</v>
      </c>
      <c r="K27" s="194" t="str">
        <f t="shared" ref="K27:K40" si="7">IFERROR(AVERAGE(R27,W27,AB27,AG27,AL27,AQ27,AV27),"-")</f>
        <v>-</v>
      </c>
      <c r="L27" s="652" t="str">
        <f>IFERROR(AVERAGE(K27:K41),"-")</f>
        <v>-</v>
      </c>
      <c r="M27" s="371" t="e">
        <f>RANK(K27, K$24:$K$41)</f>
        <v>#VALUE!</v>
      </c>
      <c r="N27" s="637"/>
      <c r="O27" s="637"/>
      <c r="P27" s="487"/>
      <c r="Q27" s="488"/>
      <c r="R27" s="488"/>
      <c r="S27" s="487"/>
      <c r="T27" s="632"/>
      <c r="U27" s="487"/>
      <c r="V27" s="488"/>
      <c r="W27" s="488"/>
      <c r="X27" s="487"/>
      <c r="Y27" s="632"/>
      <c r="Z27" s="487"/>
      <c r="AA27" s="488"/>
      <c r="AB27" s="488"/>
      <c r="AC27" s="487"/>
      <c r="AD27" s="632"/>
      <c r="AE27" s="487"/>
      <c r="AF27" s="488"/>
      <c r="AG27" s="488"/>
      <c r="AH27" s="487"/>
      <c r="AI27" s="632"/>
      <c r="AJ27" s="487"/>
      <c r="AK27" s="488"/>
      <c r="AL27" s="488"/>
      <c r="AM27" s="487"/>
      <c r="AN27" s="632"/>
      <c r="AO27" s="487"/>
      <c r="AP27" s="488"/>
      <c r="AQ27" s="488"/>
      <c r="AR27" s="487"/>
      <c r="AS27" s="632"/>
      <c r="AT27" s="487"/>
      <c r="AU27" s="488"/>
      <c r="AV27" s="488"/>
      <c r="AW27" s="487"/>
      <c r="AX27" s="632"/>
      <c r="AZ27" s="357" t="e">
        <f t="shared" ref="AZ27:AZ41" si="8">RANK(AY27, AY$27:AY$41)</f>
        <v>#N/A</v>
      </c>
      <c r="BA27" s="632" t="e">
        <f t="shared" ref="BA27" si="9">AVERAGE(AY27:AY41)</f>
        <v>#DIV/0!</v>
      </c>
    </row>
    <row r="28" spans="2:53">
      <c r="B28" s="643"/>
      <c r="C28" s="367">
        <v>2</v>
      </c>
      <c r="D28" s="220"/>
      <c r="E28" s="559"/>
      <c r="F28" s="553"/>
      <c r="G28" s="552"/>
      <c r="H28" s="697"/>
      <c r="I28" s="369" t="str">
        <f t="shared" si="5"/>
        <v>-</v>
      </c>
      <c r="J28" s="369" t="str">
        <f t="shared" si="6"/>
        <v>-</v>
      </c>
      <c r="K28" s="194" t="str">
        <f t="shared" si="7"/>
        <v>-</v>
      </c>
      <c r="L28" s="653"/>
      <c r="M28" s="374" t="e">
        <f>RANK(K28, K$24:$K$41)</f>
        <v>#VALUE!</v>
      </c>
      <c r="N28" s="637"/>
      <c r="O28" s="637"/>
      <c r="P28" s="487"/>
      <c r="Q28" s="488"/>
      <c r="R28" s="488"/>
      <c r="S28" s="487"/>
      <c r="T28" s="633"/>
      <c r="U28" s="487"/>
      <c r="V28" s="488"/>
      <c r="W28" s="488"/>
      <c r="X28" s="487"/>
      <c r="Y28" s="633"/>
      <c r="Z28" s="487"/>
      <c r="AA28" s="488"/>
      <c r="AB28" s="488"/>
      <c r="AC28" s="487"/>
      <c r="AD28" s="633"/>
      <c r="AE28" s="487"/>
      <c r="AF28" s="488"/>
      <c r="AG28" s="488"/>
      <c r="AH28" s="487"/>
      <c r="AI28" s="633"/>
      <c r="AJ28" s="487"/>
      <c r="AK28" s="488"/>
      <c r="AL28" s="488"/>
      <c r="AM28" s="487"/>
      <c r="AN28" s="633"/>
      <c r="AO28" s="487"/>
      <c r="AP28" s="488"/>
      <c r="AQ28" s="488"/>
      <c r="AR28" s="487"/>
      <c r="AS28" s="633"/>
      <c r="AT28" s="487"/>
      <c r="AU28" s="488"/>
      <c r="AV28" s="488"/>
      <c r="AW28" s="487"/>
      <c r="AX28" s="633"/>
      <c r="AZ28" s="357" t="e">
        <f t="shared" si="8"/>
        <v>#N/A</v>
      </c>
      <c r="BA28" s="633"/>
    </row>
    <row r="29" spans="2:53">
      <c r="B29" s="643"/>
      <c r="C29" s="367">
        <v>3</v>
      </c>
      <c r="D29" s="220"/>
      <c r="E29" s="559"/>
      <c r="F29" s="553"/>
      <c r="G29" s="552"/>
      <c r="H29" s="697"/>
      <c r="I29" s="369" t="str">
        <f t="shared" si="5"/>
        <v>-</v>
      </c>
      <c r="J29" s="369" t="str">
        <f t="shared" si="6"/>
        <v>-</v>
      </c>
      <c r="K29" s="194" t="str">
        <f t="shared" si="7"/>
        <v>-</v>
      </c>
      <c r="L29" s="653"/>
      <c r="M29" s="374" t="e">
        <f>RANK(K29, K$24:$K$41)</f>
        <v>#VALUE!</v>
      </c>
      <c r="N29" s="637"/>
      <c r="O29" s="637"/>
      <c r="P29" s="487"/>
      <c r="Q29" s="488"/>
      <c r="R29" s="488"/>
      <c r="S29" s="487"/>
      <c r="T29" s="633"/>
      <c r="U29" s="487"/>
      <c r="V29" s="488"/>
      <c r="W29" s="488"/>
      <c r="X29" s="487"/>
      <c r="Y29" s="633"/>
      <c r="Z29" s="487"/>
      <c r="AA29" s="488"/>
      <c r="AB29" s="488"/>
      <c r="AC29" s="487"/>
      <c r="AD29" s="633"/>
      <c r="AE29" s="487"/>
      <c r="AF29" s="488"/>
      <c r="AG29" s="488"/>
      <c r="AH29" s="487"/>
      <c r="AI29" s="633"/>
      <c r="AJ29" s="487"/>
      <c r="AK29" s="488"/>
      <c r="AL29" s="488"/>
      <c r="AM29" s="487"/>
      <c r="AN29" s="633"/>
      <c r="AO29" s="487"/>
      <c r="AP29" s="488"/>
      <c r="AQ29" s="488"/>
      <c r="AR29" s="487"/>
      <c r="AS29" s="633"/>
      <c r="AT29" s="487"/>
      <c r="AU29" s="488"/>
      <c r="AV29" s="488"/>
      <c r="AW29" s="487"/>
      <c r="AX29" s="633"/>
      <c r="AZ29" s="357" t="e">
        <f t="shared" si="8"/>
        <v>#N/A</v>
      </c>
      <c r="BA29" s="633"/>
    </row>
    <row r="30" spans="2:53">
      <c r="B30" s="643"/>
      <c r="C30" s="367">
        <v>4</v>
      </c>
      <c r="D30" s="220"/>
      <c r="E30" s="559"/>
      <c r="F30" s="553"/>
      <c r="G30" s="552"/>
      <c r="H30" s="697"/>
      <c r="I30" s="369" t="str">
        <f t="shared" si="5"/>
        <v>-</v>
      </c>
      <c r="J30" s="369" t="str">
        <f t="shared" si="6"/>
        <v>-</v>
      </c>
      <c r="K30" s="194" t="str">
        <f t="shared" si="7"/>
        <v>-</v>
      </c>
      <c r="L30" s="653"/>
      <c r="M30" s="374" t="e">
        <f>RANK(K30, K$24:$K$41)</f>
        <v>#VALUE!</v>
      </c>
      <c r="N30" s="637"/>
      <c r="O30" s="637"/>
      <c r="P30" s="487"/>
      <c r="Q30" s="488"/>
      <c r="R30" s="488"/>
      <c r="S30" s="487"/>
      <c r="T30" s="633"/>
      <c r="U30" s="487"/>
      <c r="V30" s="488"/>
      <c r="W30" s="488"/>
      <c r="X30" s="487"/>
      <c r="Y30" s="633"/>
      <c r="Z30" s="487"/>
      <c r="AA30" s="488"/>
      <c r="AB30" s="488"/>
      <c r="AC30" s="487"/>
      <c r="AD30" s="633"/>
      <c r="AE30" s="487"/>
      <c r="AF30" s="488"/>
      <c r="AG30" s="488"/>
      <c r="AH30" s="487"/>
      <c r="AI30" s="633"/>
      <c r="AJ30" s="487"/>
      <c r="AK30" s="488"/>
      <c r="AL30" s="488"/>
      <c r="AM30" s="487"/>
      <c r="AN30" s="633"/>
      <c r="AO30" s="487"/>
      <c r="AP30" s="488"/>
      <c r="AQ30" s="488"/>
      <c r="AR30" s="487"/>
      <c r="AS30" s="633"/>
      <c r="AT30" s="487"/>
      <c r="AU30" s="488"/>
      <c r="AV30" s="488"/>
      <c r="AW30" s="487"/>
      <c r="AX30" s="633"/>
      <c r="AZ30" s="357" t="e">
        <f t="shared" si="8"/>
        <v>#N/A</v>
      </c>
      <c r="BA30" s="633"/>
    </row>
    <row r="31" spans="2:53">
      <c r="B31" s="643"/>
      <c r="C31" s="367">
        <v>5</v>
      </c>
      <c r="D31" s="220"/>
      <c r="E31" s="559"/>
      <c r="F31" s="553"/>
      <c r="G31" s="552"/>
      <c r="H31" s="697"/>
      <c r="I31" s="369" t="str">
        <f t="shared" si="5"/>
        <v>-</v>
      </c>
      <c r="J31" s="369" t="str">
        <f t="shared" si="6"/>
        <v>-</v>
      </c>
      <c r="K31" s="194" t="str">
        <f t="shared" si="7"/>
        <v>-</v>
      </c>
      <c r="L31" s="653"/>
      <c r="M31" s="374" t="e">
        <f>RANK(K31, K$24:$K$41)</f>
        <v>#VALUE!</v>
      </c>
      <c r="N31" s="637"/>
      <c r="O31" s="637"/>
      <c r="P31" s="487"/>
      <c r="Q31" s="488"/>
      <c r="R31" s="488"/>
      <c r="S31" s="487"/>
      <c r="T31" s="633"/>
      <c r="U31" s="487"/>
      <c r="V31" s="488"/>
      <c r="W31" s="488"/>
      <c r="X31" s="487"/>
      <c r="Y31" s="633"/>
      <c r="Z31" s="487"/>
      <c r="AA31" s="488"/>
      <c r="AB31" s="488"/>
      <c r="AC31" s="487"/>
      <c r="AD31" s="633"/>
      <c r="AE31" s="487"/>
      <c r="AF31" s="488"/>
      <c r="AG31" s="488"/>
      <c r="AH31" s="487"/>
      <c r="AI31" s="633"/>
      <c r="AJ31" s="487"/>
      <c r="AK31" s="488"/>
      <c r="AL31" s="488"/>
      <c r="AM31" s="487"/>
      <c r="AN31" s="633"/>
      <c r="AO31" s="487"/>
      <c r="AP31" s="488"/>
      <c r="AQ31" s="488"/>
      <c r="AR31" s="487"/>
      <c r="AS31" s="633"/>
      <c r="AT31" s="487"/>
      <c r="AU31" s="488"/>
      <c r="AV31" s="488"/>
      <c r="AW31" s="487"/>
      <c r="AX31" s="633"/>
      <c r="AZ31" s="357" t="e">
        <f t="shared" si="8"/>
        <v>#N/A</v>
      </c>
      <c r="BA31" s="633"/>
    </row>
    <row r="32" spans="2:53">
      <c r="B32" s="643"/>
      <c r="C32" s="367">
        <v>6</v>
      </c>
      <c r="D32" s="220"/>
      <c r="E32" s="559"/>
      <c r="F32" s="553"/>
      <c r="G32" s="552"/>
      <c r="H32" s="697"/>
      <c r="I32" s="369" t="str">
        <f t="shared" si="5"/>
        <v>-</v>
      </c>
      <c r="J32" s="369" t="str">
        <f t="shared" si="6"/>
        <v>-</v>
      </c>
      <c r="K32" s="194" t="str">
        <f t="shared" si="7"/>
        <v>-</v>
      </c>
      <c r="L32" s="653"/>
      <c r="M32" s="374" t="e">
        <f>RANK(K32, K$24:$K$41)</f>
        <v>#VALUE!</v>
      </c>
      <c r="N32" s="637"/>
      <c r="O32" s="637"/>
      <c r="P32" s="487"/>
      <c r="Q32" s="488"/>
      <c r="R32" s="488"/>
      <c r="S32" s="487"/>
      <c r="T32" s="633"/>
      <c r="U32" s="487"/>
      <c r="V32" s="488"/>
      <c r="W32" s="488"/>
      <c r="X32" s="487"/>
      <c r="Y32" s="633"/>
      <c r="Z32" s="487"/>
      <c r="AA32" s="488"/>
      <c r="AB32" s="488"/>
      <c r="AC32" s="487"/>
      <c r="AD32" s="633"/>
      <c r="AE32" s="487"/>
      <c r="AF32" s="488"/>
      <c r="AG32" s="488"/>
      <c r="AH32" s="487"/>
      <c r="AI32" s="633"/>
      <c r="AJ32" s="487"/>
      <c r="AK32" s="488"/>
      <c r="AL32" s="488"/>
      <c r="AM32" s="487"/>
      <c r="AN32" s="633"/>
      <c r="AO32" s="487"/>
      <c r="AP32" s="488"/>
      <c r="AQ32" s="488"/>
      <c r="AR32" s="487"/>
      <c r="AS32" s="633"/>
      <c r="AT32" s="487"/>
      <c r="AU32" s="488"/>
      <c r="AV32" s="488"/>
      <c r="AW32" s="487"/>
      <c r="AX32" s="633"/>
      <c r="AZ32" s="357" t="e">
        <f t="shared" si="8"/>
        <v>#N/A</v>
      </c>
      <c r="BA32" s="633"/>
    </row>
    <row r="33" spans="2:53">
      <c r="B33" s="643"/>
      <c r="C33" s="367">
        <v>7</v>
      </c>
      <c r="D33" s="220"/>
      <c r="E33" s="559"/>
      <c r="F33" s="553"/>
      <c r="G33" s="552"/>
      <c r="H33" s="697"/>
      <c r="I33" s="369" t="str">
        <f t="shared" si="5"/>
        <v>-</v>
      </c>
      <c r="J33" s="369" t="str">
        <f t="shared" si="6"/>
        <v>-</v>
      </c>
      <c r="K33" s="194" t="str">
        <f t="shared" si="7"/>
        <v>-</v>
      </c>
      <c r="L33" s="653"/>
      <c r="M33" s="374" t="e">
        <f>RANK(K33, K$24:$K$41)</f>
        <v>#VALUE!</v>
      </c>
      <c r="N33" s="637"/>
      <c r="O33" s="637"/>
      <c r="P33" s="487"/>
      <c r="Q33" s="488"/>
      <c r="R33" s="488"/>
      <c r="S33" s="487"/>
      <c r="T33" s="633"/>
      <c r="U33" s="487"/>
      <c r="V33" s="488"/>
      <c r="W33" s="488"/>
      <c r="X33" s="487"/>
      <c r="Y33" s="633"/>
      <c r="Z33" s="487"/>
      <c r="AA33" s="488"/>
      <c r="AB33" s="488"/>
      <c r="AC33" s="487"/>
      <c r="AD33" s="633"/>
      <c r="AE33" s="487"/>
      <c r="AF33" s="488"/>
      <c r="AG33" s="488"/>
      <c r="AH33" s="487"/>
      <c r="AI33" s="633"/>
      <c r="AJ33" s="487"/>
      <c r="AK33" s="488"/>
      <c r="AL33" s="488"/>
      <c r="AM33" s="487"/>
      <c r="AN33" s="633"/>
      <c r="AO33" s="487"/>
      <c r="AP33" s="488"/>
      <c r="AQ33" s="488"/>
      <c r="AR33" s="487"/>
      <c r="AS33" s="633"/>
      <c r="AT33" s="487"/>
      <c r="AU33" s="488"/>
      <c r="AV33" s="488"/>
      <c r="AW33" s="487"/>
      <c r="AX33" s="633"/>
      <c r="AZ33" s="357" t="e">
        <f t="shared" si="8"/>
        <v>#N/A</v>
      </c>
      <c r="BA33" s="633"/>
    </row>
    <row r="34" spans="2:53">
      <c r="B34" s="643"/>
      <c r="C34" s="367">
        <v>8</v>
      </c>
      <c r="D34" s="220"/>
      <c r="E34" s="559"/>
      <c r="F34" s="553"/>
      <c r="G34" s="552"/>
      <c r="H34" s="697"/>
      <c r="I34" s="369" t="str">
        <f t="shared" si="5"/>
        <v>-</v>
      </c>
      <c r="J34" s="369" t="str">
        <f t="shared" si="6"/>
        <v>-</v>
      </c>
      <c r="K34" s="194" t="str">
        <f t="shared" si="7"/>
        <v>-</v>
      </c>
      <c r="L34" s="653"/>
      <c r="M34" s="374" t="e">
        <f>RANK(K34, K$24:$K$41)</f>
        <v>#VALUE!</v>
      </c>
      <c r="N34" s="637"/>
      <c r="O34" s="637"/>
      <c r="P34" s="487"/>
      <c r="Q34" s="488"/>
      <c r="R34" s="488"/>
      <c r="S34" s="487"/>
      <c r="T34" s="633"/>
      <c r="U34" s="487"/>
      <c r="V34" s="488"/>
      <c r="W34" s="488"/>
      <c r="X34" s="487"/>
      <c r="Y34" s="633"/>
      <c r="Z34" s="487"/>
      <c r="AA34" s="488"/>
      <c r="AB34" s="488"/>
      <c r="AC34" s="487"/>
      <c r="AD34" s="633"/>
      <c r="AE34" s="487"/>
      <c r="AF34" s="488"/>
      <c r="AG34" s="488"/>
      <c r="AH34" s="487"/>
      <c r="AI34" s="633"/>
      <c r="AJ34" s="487"/>
      <c r="AK34" s="488"/>
      <c r="AL34" s="488"/>
      <c r="AM34" s="487"/>
      <c r="AN34" s="633"/>
      <c r="AO34" s="487"/>
      <c r="AP34" s="488"/>
      <c r="AQ34" s="488"/>
      <c r="AR34" s="487"/>
      <c r="AS34" s="633"/>
      <c r="AT34" s="487"/>
      <c r="AU34" s="488"/>
      <c r="AV34" s="488"/>
      <c r="AW34" s="487"/>
      <c r="AX34" s="633"/>
      <c r="AZ34" s="357" t="e">
        <f t="shared" si="8"/>
        <v>#N/A</v>
      </c>
      <c r="BA34" s="633"/>
    </row>
    <row r="35" spans="2:53">
      <c r="B35" s="643"/>
      <c r="C35" s="367">
        <v>9</v>
      </c>
      <c r="D35" s="220"/>
      <c r="E35" s="559"/>
      <c r="F35" s="553"/>
      <c r="G35" s="552"/>
      <c r="H35" s="697"/>
      <c r="I35" s="369" t="str">
        <f t="shared" si="5"/>
        <v>-</v>
      </c>
      <c r="J35" s="369" t="str">
        <f t="shared" si="6"/>
        <v>-</v>
      </c>
      <c r="K35" s="194" t="str">
        <f t="shared" si="7"/>
        <v>-</v>
      </c>
      <c r="L35" s="653"/>
      <c r="M35" s="374" t="e">
        <f>RANK(K35, K$24:$K$41)</f>
        <v>#VALUE!</v>
      </c>
      <c r="N35" s="637"/>
      <c r="O35" s="637"/>
      <c r="P35" s="487"/>
      <c r="Q35" s="488"/>
      <c r="R35" s="488"/>
      <c r="S35" s="487"/>
      <c r="T35" s="633"/>
      <c r="U35" s="487"/>
      <c r="V35" s="488"/>
      <c r="W35" s="488"/>
      <c r="X35" s="487"/>
      <c r="Y35" s="633"/>
      <c r="Z35" s="487"/>
      <c r="AA35" s="488"/>
      <c r="AB35" s="488"/>
      <c r="AC35" s="487"/>
      <c r="AD35" s="633"/>
      <c r="AE35" s="487"/>
      <c r="AF35" s="488"/>
      <c r="AG35" s="488"/>
      <c r="AH35" s="487"/>
      <c r="AI35" s="633"/>
      <c r="AJ35" s="487"/>
      <c r="AK35" s="488"/>
      <c r="AL35" s="488"/>
      <c r="AM35" s="487"/>
      <c r="AN35" s="633"/>
      <c r="AO35" s="487"/>
      <c r="AP35" s="488"/>
      <c r="AQ35" s="488"/>
      <c r="AR35" s="487"/>
      <c r="AS35" s="633"/>
      <c r="AT35" s="487"/>
      <c r="AU35" s="488"/>
      <c r="AV35" s="488"/>
      <c r="AW35" s="487"/>
      <c r="AX35" s="633"/>
      <c r="AZ35" s="357" t="e">
        <f t="shared" si="8"/>
        <v>#N/A</v>
      </c>
      <c r="BA35" s="633"/>
    </row>
    <row r="36" spans="2:53">
      <c r="B36" s="643"/>
      <c r="C36" s="367">
        <v>10</v>
      </c>
      <c r="D36" s="220"/>
      <c r="E36" s="559"/>
      <c r="F36" s="553"/>
      <c r="G36" s="552"/>
      <c r="H36" s="697"/>
      <c r="I36" s="369" t="str">
        <f t="shared" si="5"/>
        <v>-</v>
      </c>
      <c r="J36" s="369" t="str">
        <f t="shared" si="6"/>
        <v>-</v>
      </c>
      <c r="K36" s="194" t="str">
        <f t="shared" si="7"/>
        <v>-</v>
      </c>
      <c r="L36" s="653"/>
      <c r="M36" s="374" t="e">
        <f>RANK(K36, K$24:$K$41)</f>
        <v>#VALUE!</v>
      </c>
      <c r="N36" s="637"/>
      <c r="O36" s="637"/>
      <c r="P36" s="487"/>
      <c r="Q36" s="488"/>
      <c r="R36" s="488"/>
      <c r="S36" s="487"/>
      <c r="T36" s="633"/>
      <c r="U36" s="487"/>
      <c r="V36" s="488"/>
      <c r="W36" s="488"/>
      <c r="X36" s="487"/>
      <c r="Y36" s="633"/>
      <c r="Z36" s="487"/>
      <c r="AA36" s="488"/>
      <c r="AB36" s="488"/>
      <c r="AC36" s="487"/>
      <c r="AD36" s="633"/>
      <c r="AE36" s="487"/>
      <c r="AF36" s="488"/>
      <c r="AG36" s="488"/>
      <c r="AH36" s="487"/>
      <c r="AI36" s="633"/>
      <c r="AJ36" s="487"/>
      <c r="AK36" s="488"/>
      <c r="AL36" s="488"/>
      <c r="AM36" s="487"/>
      <c r="AN36" s="633"/>
      <c r="AO36" s="487"/>
      <c r="AP36" s="488"/>
      <c r="AQ36" s="488"/>
      <c r="AR36" s="487"/>
      <c r="AS36" s="633"/>
      <c r="AT36" s="487"/>
      <c r="AU36" s="488"/>
      <c r="AV36" s="488"/>
      <c r="AW36" s="487"/>
      <c r="AX36" s="633"/>
      <c r="AZ36" s="357" t="e">
        <f t="shared" si="8"/>
        <v>#N/A</v>
      </c>
      <c r="BA36" s="633"/>
    </row>
    <row r="37" spans="2:53">
      <c r="B37" s="643"/>
      <c r="C37" s="367">
        <v>11</v>
      </c>
      <c r="D37" s="220"/>
      <c r="E37" s="559"/>
      <c r="F37" s="553"/>
      <c r="G37" s="552"/>
      <c r="H37" s="697"/>
      <c r="I37" s="369" t="str">
        <f t="shared" si="5"/>
        <v>-</v>
      </c>
      <c r="J37" s="369" t="str">
        <f t="shared" si="6"/>
        <v>-</v>
      </c>
      <c r="K37" s="194" t="str">
        <f t="shared" si="7"/>
        <v>-</v>
      </c>
      <c r="L37" s="653"/>
      <c r="M37" s="374" t="e">
        <f>RANK(K37, K$24:$K$41)</f>
        <v>#VALUE!</v>
      </c>
      <c r="N37" s="637"/>
      <c r="O37" s="637"/>
      <c r="P37" s="487"/>
      <c r="Q37" s="488"/>
      <c r="R37" s="488"/>
      <c r="S37" s="487"/>
      <c r="T37" s="633"/>
      <c r="U37" s="487"/>
      <c r="V37" s="488"/>
      <c r="W37" s="488"/>
      <c r="X37" s="487"/>
      <c r="Y37" s="633"/>
      <c r="Z37" s="487"/>
      <c r="AA37" s="488"/>
      <c r="AB37" s="488"/>
      <c r="AC37" s="487"/>
      <c r="AD37" s="633"/>
      <c r="AE37" s="487"/>
      <c r="AF37" s="488"/>
      <c r="AG37" s="488"/>
      <c r="AH37" s="487"/>
      <c r="AI37" s="633"/>
      <c r="AJ37" s="487"/>
      <c r="AK37" s="488"/>
      <c r="AL37" s="488"/>
      <c r="AM37" s="487"/>
      <c r="AN37" s="633"/>
      <c r="AO37" s="487"/>
      <c r="AP37" s="488"/>
      <c r="AQ37" s="488"/>
      <c r="AR37" s="487"/>
      <c r="AS37" s="633"/>
      <c r="AT37" s="487"/>
      <c r="AU37" s="488"/>
      <c r="AV37" s="488"/>
      <c r="AW37" s="487"/>
      <c r="AX37" s="633"/>
      <c r="AZ37" s="357" t="e">
        <f t="shared" si="8"/>
        <v>#N/A</v>
      </c>
      <c r="BA37" s="633"/>
    </row>
    <row r="38" spans="2:53">
      <c r="B38" s="643"/>
      <c r="C38" s="367">
        <v>12</v>
      </c>
      <c r="D38" s="220"/>
      <c r="E38" s="559"/>
      <c r="F38" s="553"/>
      <c r="G38" s="552"/>
      <c r="H38" s="697"/>
      <c r="I38" s="369" t="str">
        <f t="shared" si="5"/>
        <v>-</v>
      </c>
      <c r="J38" s="369" t="str">
        <f t="shared" si="6"/>
        <v>-</v>
      </c>
      <c r="K38" s="194" t="str">
        <f t="shared" si="7"/>
        <v>-</v>
      </c>
      <c r="L38" s="653"/>
      <c r="M38" s="374" t="e">
        <f>RANK(K38, K$24:$K$41)</f>
        <v>#VALUE!</v>
      </c>
      <c r="N38" s="637"/>
      <c r="O38" s="637"/>
      <c r="P38" s="487"/>
      <c r="Q38" s="488"/>
      <c r="R38" s="488"/>
      <c r="S38" s="487"/>
      <c r="T38" s="633"/>
      <c r="U38" s="487"/>
      <c r="V38" s="488"/>
      <c r="W38" s="488"/>
      <c r="X38" s="487"/>
      <c r="Y38" s="633"/>
      <c r="Z38" s="487"/>
      <c r="AA38" s="488"/>
      <c r="AB38" s="488"/>
      <c r="AC38" s="487"/>
      <c r="AD38" s="633"/>
      <c r="AE38" s="487"/>
      <c r="AF38" s="488"/>
      <c r="AG38" s="488"/>
      <c r="AH38" s="487"/>
      <c r="AI38" s="633"/>
      <c r="AJ38" s="487"/>
      <c r="AK38" s="488"/>
      <c r="AL38" s="488"/>
      <c r="AM38" s="487"/>
      <c r="AN38" s="633"/>
      <c r="AO38" s="487"/>
      <c r="AP38" s="488"/>
      <c r="AQ38" s="488"/>
      <c r="AR38" s="487"/>
      <c r="AS38" s="633"/>
      <c r="AT38" s="487"/>
      <c r="AU38" s="488"/>
      <c r="AV38" s="488"/>
      <c r="AW38" s="487"/>
      <c r="AX38" s="633"/>
      <c r="AZ38" s="357" t="e">
        <f t="shared" si="8"/>
        <v>#N/A</v>
      </c>
      <c r="BA38" s="633"/>
    </row>
    <row r="39" spans="2:53">
      <c r="B39" s="643"/>
      <c r="C39" s="367">
        <v>13</v>
      </c>
      <c r="D39" s="220"/>
      <c r="E39" s="559"/>
      <c r="F39" s="553"/>
      <c r="G39" s="552"/>
      <c r="H39" s="697"/>
      <c r="I39" s="369" t="str">
        <f t="shared" si="5"/>
        <v>-</v>
      </c>
      <c r="J39" s="369" t="str">
        <f t="shared" si="6"/>
        <v>-</v>
      </c>
      <c r="K39" s="194" t="str">
        <f t="shared" si="7"/>
        <v>-</v>
      </c>
      <c r="L39" s="653"/>
      <c r="M39" s="374" t="e">
        <f>RANK(K39, K$24:$K$41)</f>
        <v>#VALUE!</v>
      </c>
      <c r="N39" s="637"/>
      <c r="O39" s="637"/>
      <c r="P39" s="487"/>
      <c r="Q39" s="488"/>
      <c r="R39" s="488"/>
      <c r="S39" s="487"/>
      <c r="T39" s="633"/>
      <c r="U39" s="487"/>
      <c r="V39" s="488"/>
      <c r="W39" s="488"/>
      <c r="X39" s="487"/>
      <c r="Y39" s="633"/>
      <c r="Z39" s="487"/>
      <c r="AA39" s="488"/>
      <c r="AB39" s="488"/>
      <c r="AC39" s="487"/>
      <c r="AD39" s="633"/>
      <c r="AE39" s="487"/>
      <c r="AF39" s="488"/>
      <c r="AG39" s="488"/>
      <c r="AH39" s="487"/>
      <c r="AI39" s="633"/>
      <c r="AJ39" s="487"/>
      <c r="AK39" s="488"/>
      <c r="AL39" s="488"/>
      <c r="AM39" s="487"/>
      <c r="AN39" s="633"/>
      <c r="AO39" s="487"/>
      <c r="AP39" s="488"/>
      <c r="AQ39" s="488"/>
      <c r="AR39" s="487"/>
      <c r="AS39" s="633"/>
      <c r="AT39" s="487"/>
      <c r="AU39" s="488"/>
      <c r="AV39" s="488"/>
      <c r="AW39" s="487"/>
      <c r="AX39" s="633"/>
      <c r="AZ39" s="357" t="e">
        <f t="shared" si="8"/>
        <v>#N/A</v>
      </c>
      <c r="BA39" s="633"/>
    </row>
    <row r="40" spans="2:53">
      <c r="B40" s="643"/>
      <c r="C40" s="367">
        <v>14</v>
      </c>
      <c r="D40" s="220"/>
      <c r="E40" s="559"/>
      <c r="F40" s="553"/>
      <c r="G40" s="552"/>
      <c r="H40" s="697"/>
      <c r="I40" s="369" t="str">
        <f t="shared" si="5"/>
        <v>-</v>
      </c>
      <c r="J40" s="369" t="str">
        <f t="shared" si="6"/>
        <v>-</v>
      </c>
      <c r="K40" s="194" t="str">
        <f t="shared" si="7"/>
        <v>-</v>
      </c>
      <c r="L40" s="653"/>
      <c r="M40" s="374" t="e">
        <f>RANK(K40, K$24:$K$41)</f>
        <v>#VALUE!</v>
      </c>
      <c r="N40" s="637"/>
      <c r="O40" s="637"/>
      <c r="P40" s="487"/>
      <c r="Q40" s="488"/>
      <c r="R40" s="488"/>
      <c r="S40" s="487"/>
      <c r="T40" s="633"/>
      <c r="U40" s="487"/>
      <c r="V40" s="488"/>
      <c r="W40" s="488"/>
      <c r="X40" s="487"/>
      <c r="Y40" s="633"/>
      <c r="Z40" s="487"/>
      <c r="AA40" s="488"/>
      <c r="AB40" s="488"/>
      <c r="AC40" s="487"/>
      <c r="AD40" s="633"/>
      <c r="AE40" s="487"/>
      <c r="AF40" s="488"/>
      <c r="AG40" s="488"/>
      <c r="AH40" s="487"/>
      <c r="AI40" s="633"/>
      <c r="AJ40" s="487"/>
      <c r="AK40" s="488"/>
      <c r="AL40" s="488"/>
      <c r="AM40" s="487"/>
      <c r="AN40" s="633"/>
      <c r="AO40" s="487"/>
      <c r="AP40" s="488"/>
      <c r="AQ40" s="488"/>
      <c r="AR40" s="487"/>
      <c r="AS40" s="633"/>
      <c r="AT40" s="487"/>
      <c r="AU40" s="488"/>
      <c r="AV40" s="488"/>
      <c r="AW40" s="487"/>
      <c r="AX40" s="633"/>
      <c r="AZ40" s="357" t="e">
        <f t="shared" si="8"/>
        <v>#N/A</v>
      </c>
      <c r="BA40" s="633"/>
    </row>
    <row r="41" spans="2:53">
      <c r="B41" s="643"/>
      <c r="C41" s="367">
        <v>15</v>
      </c>
      <c r="D41" s="220"/>
      <c r="E41" s="559"/>
      <c r="F41" s="553"/>
      <c r="G41" s="552"/>
      <c r="H41" s="698"/>
      <c r="I41" s="196"/>
      <c r="J41" s="196"/>
      <c r="K41" s="196"/>
      <c r="L41" s="654"/>
      <c r="M41" s="373" t="e">
        <f>RANK(K41, K$24:$K$41)</f>
        <v>#N/A</v>
      </c>
      <c r="N41" s="637"/>
      <c r="O41" s="637"/>
      <c r="P41" s="487"/>
      <c r="Q41" s="488"/>
      <c r="R41" s="488"/>
      <c r="S41" s="487"/>
      <c r="T41" s="634"/>
      <c r="U41" s="487"/>
      <c r="V41" s="488"/>
      <c r="W41" s="488"/>
      <c r="X41" s="487"/>
      <c r="Y41" s="634"/>
      <c r="Z41" s="487"/>
      <c r="AA41" s="488"/>
      <c r="AB41" s="488"/>
      <c r="AC41" s="487"/>
      <c r="AD41" s="634"/>
      <c r="AE41" s="487"/>
      <c r="AF41" s="488"/>
      <c r="AG41" s="488"/>
      <c r="AH41" s="487"/>
      <c r="AI41" s="634"/>
      <c r="AJ41" s="487"/>
      <c r="AK41" s="488"/>
      <c r="AL41" s="488"/>
      <c r="AM41" s="487"/>
      <c r="AN41" s="634"/>
      <c r="AO41" s="487"/>
      <c r="AP41" s="488"/>
      <c r="AQ41" s="488"/>
      <c r="AR41" s="487"/>
      <c r="AS41" s="634"/>
      <c r="AT41" s="487"/>
      <c r="AU41" s="488"/>
      <c r="AV41" s="488"/>
      <c r="AW41" s="487"/>
      <c r="AX41" s="634"/>
      <c r="AZ41" s="357" t="e">
        <f t="shared" si="8"/>
        <v>#N/A</v>
      </c>
      <c r="BA41" s="634"/>
    </row>
    <row r="42" spans="2:53" ht="15.75">
      <c r="B42" s="676" t="s">
        <v>162</v>
      </c>
      <c r="C42" s="677"/>
      <c r="D42" s="677"/>
      <c r="E42" s="677"/>
      <c r="F42" s="677"/>
      <c r="G42" s="677"/>
      <c r="H42" s="677"/>
      <c r="I42" s="202"/>
      <c r="J42" s="197"/>
      <c r="K42" s="202"/>
      <c r="L42" s="202"/>
      <c r="M42" s="198"/>
      <c r="N42" s="639" t="s">
        <v>156</v>
      </c>
      <c r="O42" s="639" t="s">
        <v>105</v>
      </c>
      <c r="P42" s="664">
        <f>P22+7</f>
        <v>46308</v>
      </c>
      <c r="Q42" s="643"/>
      <c r="R42" s="643"/>
      <c r="S42" s="643"/>
      <c r="T42" s="643"/>
      <c r="U42" s="661">
        <f>P42+1</f>
        <v>46309</v>
      </c>
      <c r="V42" s="662"/>
      <c r="W42" s="662"/>
      <c r="X42" s="662"/>
      <c r="Y42" s="663"/>
      <c r="Z42" s="661">
        <f>U42+1</f>
        <v>46310</v>
      </c>
      <c r="AA42" s="662"/>
      <c r="AB42" s="662"/>
      <c r="AC42" s="662"/>
      <c r="AD42" s="663"/>
      <c r="AE42" s="661">
        <f>Z42+1</f>
        <v>46311</v>
      </c>
      <c r="AF42" s="662"/>
      <c r="AG42" s="662"/>
      <c r="AH42" s="662"/>
      <c r="AI42" s="663"/>
      <c r="AJ42" s="661">
        <f>AE42+1</f>
        <v>46312</v>
      </c>
      <c r="AK42" s="662"/>
      <c r="AL42" s="662"/>
      <c r="AM42" s="662"/>
      <c r="AN42" s="663"/>
      <c r="AO42" s="661">
        <f>AJ42+1</f>
        <v>46313</v>
      </c>
      <c r="AP42" s="662"/>
      <c r="AQ42" s="662"/>
      <c r="AR42" s="662"/>
      <c r="AS42" s="663"/>
      <c r="AT42" s="661">
        <f>AO42+1</f>
        <v>46314</v>
      </c>
      <c r="AU42" s="662"/>
      <c r="AV42" s="662"/>
      <c r="AW42" s="662"/>
      <c r="AX42" s="663"/>
    </row>
    <row r="43" spans="2:53" ht="15.75">
      <c r="B43" s="668"/>
      <c r="C43" s="668"/>
      <c r="D43" s="668"/>
      <c r="E43" s="668"/>
      <c r="F43" s="668"/>
      <c r="G43" s="668"/>
      <c r="H43" s="668"/>
      <c r="I43" s="199"/>
      <c r="J43" s="199"/>
      <c r="K43" s="199"/>
      <c r="L43" s="199"/>
      <c r="M43" s="200"/>
      <c r="N43" s="641"/>
      <c r="O43" s="641"/>
      <c r="P43" s="664" t="s">
        <v>317</v>
      </c>
      <c r="Q43" s="643"/>
      <c r="R43" s="643"/>
      <c r="S43" s="643"/>
      <c r="T43" s="643"/>
      <c r="U43" s="664" t="s">
        <v>318</v>
      </c>
      <c r="V43" s="643"/>
      <c r="W43" s="643"/>
      <c r="X43" s="643"/>
      <c r="Y43" s="643"/>
      <c r="Z43" s="664" t="s">
        <v>319</v>
      </c>
      <c r="AA43" s="643"/>
      <c r="AB43" s="643"/>
      <c r="AC43" s="643"/>
      <c r="AD43" s="643"/>
      <c r="AE43" s="664" t="s">
        <v>320</v>
      </c>
      <c r="AF43" s="643"/>
      <c r="AG43" s="643"/>
      <c r="AH43" s="643"/>
      <c r="AI43" s="643"/>
      <c r="AJ43" s="664" t="s">
        <v>321</v>
      </c>
      <c r="AK43" s="643"/>
      <c r="AL43" s="643"/>
      <c r="AM43" s="643"/>
      <c r="AN43" s="643"/>
      <c r="AO43" s="664" t="s">
        <v>322</v>
      </c>
      <c r="AP43" s="643"/>
      <c r="AQ43" s="643"/>
      <c r="AR43" s="643"/>
      <c r="AS43" s="643"/>
      <c r="AT43" s="664" t="s">
        <v>323</v>
      </c>
      <c r="AU43" s="643"/>
      <c r="AV43" s="643"/>
      <c r="AW43" s="643"/>
      <c r="AX43" s="643"/>
    </row>
    <row r="44" spans="2:53">
      <c r="B44" s="637" t="s">
        <v>444</v>
      </c>
      <c r="C44" s="637" t="s">
        <v>370</v>
      </c>
      <c r="D44" s="637"/>
      <c r="E44" s="637" t="s">
        <v>361</v>
      </c>
      <c r="F44" s="637"/>
      <c r="G44" s="637"/>
      <c r="H44" s="669" t="s">
        <v>357</v>
      </c>
      <c r="I44" s="684" t="s">
        <v>362</v>
      </c>
      <c r="J44" s="684"/>
      <c r="K44" s="684"/>
      <c r="L44" s="685" t="s">
        <v>357</v>
      </c>
      <c r="M44" s="673" t="s">
        <v>358</v>
      </c>
      <c r="N44" s="637"/>
      <c r="O44" s="637" t="s">
        <v>363</v>
      </c>
      <c r="P44" s="655" t="s">
        <v>359</v>
      </c>
      <c r="Q44" s="656"/>
      <c r="R44" s="656"/>
      <c r="S44" s="657"/>
      <c r="T44" s="637" t="s">
        <v>357</v>
      </c>
      <c r="U44" s="655" t="s">
        <v>359</v>
      </c>
      <c r="V44" s="656"/>
      <c r="W44" s="656"/>
      <c r="X44" s="657"/>
      <c r="Y44" s="637" t="s">
        <v>357</v>
      </c>
      <c r="Z44" s="655" t="s">
        <v>359</v>
      </c>
      <c r="AA44" s="656"/>
      <c r="AB44" s="656"/>
      <c r="AC44" s="657"/>
      <c r="AD44" s="637" t="s">
        <v>357</v>
      </c>
      <c r="AE44" s="655" t="s">
        <v>359</v>
      </c>
      <c r="AF44" s="656"/>
      <c r="AG44" s="656"/>
      <c r="AH44" s="657"/>
      <c r="AI44" s="637" t="s">
        <v>357</v>
      </c>
      <c r="AJ44" s="655" t="s">
        <v>359</v>
      </c>
      <c r="AK44" s="656"/>
      <c r="AL44" s="656"/>
      <c r="AM44" s="657"/>
      <c r="AN44" s="637" t="s">
        <v>357</v>
      </c>
      <c r="AO44" s="655" t="s">
        <v>359</v>
      </c>
      <c r="AP44" s="656"/>
      <c r="AQ44" s="656"/>
      <c r="AR44" s="657"/>
      <c r="AS44" s="637" t="s">
        <v>357</v>
      </c>
      <c r="AT44" s="655" t="s">
        <v>359</v>
      </c>
      <c r="AU44" s="656"/>
      <c r="AV44" s="656"/>
      <c r="AW44" s="657"/>
      <c r="AX44" s="637" t="s">
        <v>357</v>
      </c>
      <c r="BA44" s="637" t="s">
        <v>357</v>
      </c>
    </row>
    <row r="45" spans="2:53">
      <c r="B45" s="637"/>
      <c r="C45" s="637"/>
      <c r="D45" s="637"/>
      <c r="E45" s="637" t="s">
        <v>364</v>
      </c>
      <c r="F45" s="637"/>
      <c r="G45" s="637"/>
      <c r="H45" s="670"/>
      <c r="I45" s="684" t="s">
        <v>364</v>
      </c>
      <c r="J45" s="684"/>
      <c r="K45" s="684"/>
      <c r="L45" s="686"/>
      <c r="M45" s="674"/>
      <c r="N45" s="637"/>
      <c r="O45" s="637"/>
      <c r="P45" s="655" t="s">
        <v>365</v>
      </c>
      <c r="Q45" s="656"/>
      <c r="R45" s="656"/>
      <c r="S45" s="657"/>
      <c r="T45" s="637"/>
      <c r="U45" s="655" t="s">
        <v>365</v>
      </c>
      <c r="V45" s="656"/>
      <c r="W45" s="656"/>
      <c r="X45" s="657"/>
      <c r="Y45" s="637"/>
      <c r="Z45" s="655" t="s">
        <v>365</v>
      </c>
      <c r="AA45" s="656"/>
      <c r="AB45" s="656"/>
      <c r="AC45" s="657"/>
      <c r="AD45" s="637"/>
      <c r="AE45" s="655" t="s">
        <v>365</v>
      </c>
      <c r="AF45" s="656"/>
      <c r="AG45" s="656"/>
      <c r="AH45" s="657"/>
      <c r="AI45" s="637"/>
      <c r="AJ45" s="655" t="s">
        <v>365</v>
      </c>
      <c r="AK45" s="656"/>
      <c r="AL45" s="656"/>
      <c r="AM45" s="657"/>
      <c r="AN45" s="637"/>
      <c r="AO45" s="655" t="s">
        <v>365</v>
      </c>
      <c r="AP45" s="656"/>
      <c r="AQ45" s="656"/>
      <c r="AR45" s="657"/>
      <c r="AS45" s="637"/>
      <c r="AT45" s="655" t="s">
        <v>365</v>
      </c>
      <c r="AU45" s="656"/>
      <c r="AV45" s="656"/>
      <c r="AW45" s="657"/>
      <c r="AX45" s="637"/>
      <c r="BA45" s="637"/>
    </row>
    <row r="46" spans="2:53">
      <c r="B46" s="637"/>
      <c r="C46" s="637"/>
      <c r="D46" s="637"/>
      <c r="E46" s="366" t="s">
        <v>366</v>
      </c>
      <c r="F46" s="366" t="s">
        <v>367</v>
      </c>
      <c r="G46" s="366" t="s">
        <v>368</v>
      </c>
      <c r="H46" s="671"/>
      <c r="I46" s="365" t="s">
        <v>366</v>
      </c>
      <c r="J46" s="365" t="s">
        <v>367</v>
      </c>
      <c r="K46" s="365" t="s">
        <v>368</v>
      </c>
      <c r="L46" s="687"/>
      <c r="M46" s="675"/>
      <c r="N46" s="637"/>
      <c r="O46" s="637"/>
      <c r="P46" s="366" t="s">
        <v>366</v>
      </c>
      <c r="Q46" s="366" t="s">
        <v>367</v>
      </c>
      <c r="R46" s="366" t="s">
        <v>368</v>
      </c>
      <c r="S46" s="366" t="s">
        <v>358</v>
      </c>
      <c r="T46" s="637"/>
      <c r="U46" s="366" t="s">
        <v>366</v>
      </c>
      <c r="V46" s="366" t="s">
        <v>367</v>
      </c>
      <c r="W46" s="366" t="s">
        <v>368</v>
      </c>
      <c r="X46" s="366" t="s">
        <v>358</v>
      </c>
      <c r="Y46" s="637"/>
      <c r="Z46" s="366" t="s">
        <v>366</v>
      </c>
      <c r="AA46" s="366" t="s">
        <v>367</v>
      </c>
      <c r="AB46" s="366" t="s">
        <v>368</v>
      </c>
      <c r="AC46" s="366" t="s">
        <v>358</v>
      </c>
      <c r="AD46" s="637"/>
      <c r="AE46" s="366" t="s">
        <v>366</v>
      </c>
      <c r="AF46" s="366" t="s">
        <v>367</v>
      </c>
      <c r="AG46" s="366" t="s">
        <v>368</v>
      </c>
      <c r="AH46" s="366" t="s">
        <v>358</v>
      </c>
      <c r="AI46" s="637"/>
      <c r="AJ46" s="366" t="s">
        <v>366</v>
      </c>
      <c r="AK46" s="366" t="s">
        <v>367</v>
      </c>
      <c r="AL46" s="366" t="s">
        <v>368</v>
      </c>
      <c r="AM46" s="366" t="s">
        <v>358</v>
      </c>
      <c r="AN46" s="637"/>
      <c r="AO46" s="366" t="s">
        <v>366</v>
      </c>
      <c r="AP46" s="366" t="s">
        <v>367</v>
      </c>
      <c r="AQ46" s="366" t="s">
        <v>368</v>
      </c>
      <c r="AR46" s="366" t="s">
        <v>358</v>
      </c>
      <c r="AS46" s="637"/>
      <c r="AT46" s="366" t="s">
        <v>366</v>
      </c>
      <c r="AU46" s="366" t="s">
        <v>367</v>
      </c>
      <c r="AV46" s="366" t="s">
        <v>368</v>
      </c>
      <c r="AW46" s="366" t="s">
        <v>358</v>
      </c>
      <c r="AX46" s="637"/>
      <c r="AZ46" s="356" t="s">
        <v>358</v>
      </c>
      <c r="BA46" s="637"/>
    </row>
    <row r="47" spans="2:53">
      <c r="B47" s="637" t="s">
        <v>457</v>
      </c>
      <c r="C47" s="367">
        <v>1</v>
      </c>
      <c r="D47" s="220"/>
      <c r="E47" s="559"/>
      <c r="F47" s="553"/>
      <c r="G47" s="552"/>
      <c r="H47" s="696" t="e">
        <f>AVERAGE(G47:G61)</f>
        <v>#DIV/0!</v>
      </c>
      <c r="I47" s="369" t="str">
        <f t="shared" ref="I47:I60" si="10">IFERROR(AVERAGE(P47,U47,Z47,AE47,AJ47,AO47,AT47),"-")</f>
        <v>-</v>
      </c>
      <c r="J47" s="369" t="str">
        <f t="shared" ref="J47:J60" si="11">IFERROR(AVERAGE(Q47,V47,AA47,AF47,AK47,AP47,AU47),"-")</f>
        <v>-</v>
      </c>
      <c r="K47" s="194" t="str">
        <f t="shared" ref="K47:K60" si="12">IFERROR(AVERAGE(R47,W47,AB47,AG47,AL47,AQ47,AV47),"-")</f>
        <v>-</v>
      </c>
      <c r="L47" s="652" t="str">
        <f>IFERROR(AVERAGE(K47:K61),"-")</f>
        <v>-</v>
      </c>
      <c r="M47" s="371" t="e">
        <f>RANK(K47, K$47:$K$61)</f>
        <v>#VALUE!</v>
      </c>
      <c r="N47" s="637"/>
      <c r="O47" s="637"/>
      <c r="P47" s="490"/>
      <c r="Q47" s="491"/>
      <c r="R47" s="491"/>
      <c r="S47" s="490"/>
      <c r="T47" s="632"/>
      <c r="U47" s="490"/>
      <c r="V47" s="491"/>
      <c r="W47" s="491"/>
      <c r="X47" s="490"/>
      <c r="Y47" s="632"/>
      <c r="Z47" s="490"/>
      <c r="AA47" s="491"/>
      <c r="AB47" s="491"/>
      <c r="AC47" s="490"/>
      <c r="AD47" s="632"/>
      <c r="AE47" s="490"/>
      <c r="AF47" s="491"/>
      <c r="AG47" s="491"/>
      <c r="AH47" s="490"/>
      <c r="AI47" s="632"/>
      <c r="AJ47" s="490"/>
      <c r="AK47" s="491"/>
      <c r="AL47" s="491"/>
      <c r="AM47" s="490"/>
      <c r="AN47" s="632"/>
      <c r="AO47" s="490"/>
      <c r="AP47" s="491"/>
      <c r="AQ47" s="491"/>
      <c r="AR47" s="490"/>
      <c r="AS47" s="632"/>
      <c r="AT47" s="490"/>
      <c r="AU47" s="491"/>
      <c r="AV47" s="491"/>
      <c r="AW47" s="490"/>
      <c r="AX47" s="632"/>
      <c r="AZ47" s="357" t="e">
        <f t="shared" ref="AZ47:AZ61" si="13">RANK(AY47, AY$47:AY$61)</f>
        <v>#N/A</v>
      </c>
      <c r="BA47" s="632" t="e">
        <f t="shared" ref="BA47" si="14">AVERAGE(AY47:AY61)</f>
        <v>#DIV/0!</v>
      </c>
    </row>
    <row r="48" spans="2:53">
      <c r="B48" s="643"/>
      <c r="C48" s="367">
        <v>2</v>
      </c>
      <c r="D48" s="220"/>
      <c r="E48" s="559"/>
      <c r="F48" s="553"/>
      <c r="G48" s="552"/>
      <c r="H48" s="697"/>
      <c r="I48" s="369" t="str">
        <f t="shared" si="10"/>
        <v>-</v>
      </c>
      <c r="J48" s="369" t="str">
        <f t="shared" si="11"/>
        <v>-</v>
      </c>
      <c r="K48" s="194" t="str">
        <f t="shared" si="12"/>
        <v>-</v>
      </c>
      <c r="L48" s="653"/>
      <c r="M48" s="389" t="e">
        <f>RANK(K48, K$47:$K$61)</f>
        <v>#VALUE!</v>
      </c>
      <c r="N48" s="637"/>
      <c r="O48" s="637"/>
      <c r="P48" s="490"/>
      <c r="Q48" s="491"/>
      <c r="R48" s="491"/>
      <c r="S48" s="490"/>
      <c r="T48" s="633"/>
      <c r="U48" s="490"/>
      <c r="V48" s="491"/>
      <c r="W48" s="491"/>
      <c r="X48" s="490"/>
      <c r="Y48" s="633"/>
      <c r="Z48" s="490"/>
      <c r="AA48" s="491"/>
      <c r="AB48" s="491"/>
      <c r="AC48" s="490"/>
      <c r="AD48" s="633"/>
      <c r="AE48" s="490"/>
      <c r="AF48" s="491"/>
      <c r="AG48" s="491"/>
      <c r="AH48" s="490"/>
      <c r="AI48" s="633"/>
      <c r="AJ48" s="490"/>
      <c r="AK48" s="491"/>
      <c r="AL48" s="491"/>
      <c r="AM48" s="490"/>
      <c r="AN48" s="633"/>
      <c r="AO48" s="490"/>
      <c r="AP48" s="491"/>
      <c r="AQ48" s="491"/>
      <c r="AR48" s="490"/>
      <c r="AS48" s="633"/>
      <c r="AT48" s="490"/>
      <c r="AU48" s="491"/>
      <c r="AV48" s="491"/>
      <c r="AW48" s="490"/>
      <c r="AX48" s="633"/>
      <c r="AZ48" s="357" t="e">
        <f t="shared" si="13"/>
        <v>#N/A</v>
      </c>
      <c r="BA48" s="633"/>
    </row>
    <row r="49" spans="2:53">
      <c r="B49" s="643"/>
      <c r="C49" s="367">
        <v>3</v>
      </c>
      <c r="D49" s="220"/>
      <c r="E49" s="559"/>
      <c r="F49" s="553"/>
      <c r="G49" s="552"/>
      <c r="H49" s="697"/>
      <c r="I49" s="369" t="str">
        <f t="shared" si="10"/>
        <v>-</v>
      </c>
      <c r="J49" s="369" t="str">
        <f t="shared" si="11"/>
        <v>-</v>
      </c>
      <c r="K49" s="194" t="str">
        <f t="shared" si="12"/>
        <v>-</v>
      </c>
      <c r="L49" s="653"/>
      <c r="M49" s="389" t="e">
        <f>RANK(K49, K$47:$K$61)</f>
        <v>#VALUE!</v>
      </c>
      <c r="N49" s="637"/>
      <c r="O49" s="637"/>
      <c r="P49" s="490"/>
      <c r="Q49" s="491"/>
      <c r="R49" s="491"/>
      <c r="S49" s="490"/>
      <c r="T49" s="633"/>
      <c r="U49" s="490"/>
      <c r="V49" s="491"/>
      <c r="W49" s="491"/>
      <c r="X49" s="490"/>
      <c r="Y49" s="633"/>
      <c r="Z49" s="490"/>
      <c r="AA49" s="491"/>
      <c r="AB49" s="491"/>
      <c r="AC49" s="490"/>
      <c r="AD49" s="633"/>
      <c r="AE49" s="490"/>
      <c r="AF49" s="491"/>
      <c r="AG49" s="491"/>
      <c r="AH49" s="490"/>
      <c r="AI49" s="633"/>
      <c r="AJ49" s="490"/>
      <c r="AK49" s="491"/>
      <c r="AL49" s="491"/>
      <c r="AM49" s="490"/>
      <c r="AN49" s="633"/>
      <c r="AO49" s="490"/>
      <c r="AP49" s="491"/>
      <c r="AQ49" s="491"/>
      <c r="AR49" s="490"/>
      <c r="AS49" s="633"/>
      <c r="AT49" s="490"/>
      <c r="AU49" s="491"/>
      <c r="AV49" s="491"/>
      <c r="AW49" s="490"/>
      <c r="AX49" s="633"/>
      <c r="AZ49" s="357" t="e">
        <f t="shared" si="13"/>
        <v>#N/A</v>
      </c>
      <c r="BA49" s="633"/>
    </row>
    <row r="50" spans="2:53">
      <c r="B50" s="643"/>
      <c r="C50" s="367">
        <v>4</v>
      </c>
      <c r="D50" s="220"/>
      <c r="E50" s="559"/>
      <c r="F50" s="553"/>
      <c r="G50" s="552"/>
      <c r="H50" s="697"/>
      <c r="I50" s="369" t="str">
        <f t="shared" si="10"/>
        <v>-</v>
      </c>
      <c r="J50" s="369" t="str">
        <f t="shared" si="11"/>
        <v>-</v>
      </c>
      <c r="K50" s="194" t="str">
        <f t="shared" si="12"/>
        <v>-</v>
      </c>
      <c r="L50" s="653"/>
      <c r="M50" s="389" t="e">
        <f>RANK(K50, K$47:$K$61)</f>
        <v>#VALUE!</v>
      </c>
      <c r="N50" s="637"/>
      <c r="O50" s="637"/>
      <c r="P50" s="490"/>
      <c r="Q50" s="491"/>
      <c r="R50" s="491"/>
      <c r="S50" s="490"/>
      <c r="T50" s="633"/>
      <c r="U50" s="490"/>
      <c r="V50" s="491"/>
      <c r="W50" s="491"/>
      <c r="X50" s="490"/>
      <c r="Y50" s="633"/>
      <c r="Z50" s="490"/>
      <c r="AA50" s="491"/>
      <c r="AB50" s="491"/>
      <c r="AC50" s="490"/>
      <c r="AD50" s="633"/>
      <c r="AE50" s="490"/>
      <c r="AF50" s="491"/>
      <c r="AG50" s="491"/>
      <c r="AH50" s="490"/>
      <c r="AI50" s="633"/>
      <c r="AJ50" s="490"/>
      <c r="AK50" s="491"/>
      <c r="AL50" s="491"/>
      <c r="AM50" s="490"/>
      <c r="AN50" s="633"/>
      <c r="AO50" s="490"/>
      <c r="AP50" s="491"/>
      <c r="AQ50" s="491"/>
      <c r="AR50" s="490"/>
      <c r="AS50" s="633"/>
      <c r="AT50" s="490"/>
      <c r="AU50" s="491"/>
      <c r="AV50" s="491"/>
      <c r="AW50" s="490"/>
      <c r="AX50" s="633"/>
      <c r="AZ50" s="357" t="e">
        <f t="shared" si="13"/>
        <v>#N/A</v>
      </c>
      <c r="BA50" s="633"/>
    </row>
    <row r="51" spans="2:53">
      <c r="B51" s="643"/>
      <c r="C51" s="367">
        <v>5</v>
      </c>
      <c r="D51" s="220"/>
      <c r="E51" s="559"/>
      <c r="F51" s="553"/>
      <c r="G51" s="552"/>
      <c r="H51" s="697"/>
      <c r="I51" s="369" t="str">
        <f t="shared" si="10"/>
        <v>-</v>
      </c>
      <c r="J51" s="369" t="str">
        <f t="shared" si="11"/>
        <v>-</v>
      </c>
      <c r="K51" s="194" t="str">
        <f t="shared" si="12"/>
        <v>-</v>
      </c>
      <c r="L51" s="653"/>
      <c r="M51" s="389" t="e">
        <f>RANK(K51, K$47:$K$61)</f>
        <v>#VALUE!</v>
      </c>
      <c r="N51" s="637"/>
      <c r="O51" s="637"/>
      <c r="P51" s="490"/>
      <c r="Q51" s="491"/>
      <c r="R51" s="491"/>
      <c r="S51" s="490"/>
      <c r="T51" s="633"/>
      <c r="U51" s="490"/>
      <c r="V51" s="491"/>
      <c r="W51" s="491"/>
      <c r="X51" s="490"/>
      <c r="Y51" s="633"/>
      <c r="Z51" s="490"/>
      <c r="AA51" s="491"/>
      <c r="AB51" s="491"/>
      <c r="AC51" s="490"/>
      <c r="AD51" s="633"/>
      <c r="AE51" s="490"/>
      <c r="AF51" s="491"/>
      <c r="AG51" s="491"/>
      <c r="AH51" s="490"/>
      <c r="AI51" s="633"/>
      <c r="AJ51" s="490"/>
      <c r="AK51" s="491"/>
      <c r="AL51" s="491"/>
      <c r="AM51" s="490"/>
      <c r="AN51" s="633"/>
      <c r="AO51" s="490"/>
      <c r="AP51" s="491"/>
      <c r="AQ51" s="491"/>
      <c r="AR51" s="490"/>
      <c r="AS51" s="633"/>
      <c r="AT51" s="490"/>
      <c r="AU51" s="491"/>
      <c r="AV51" s="491"/>
      <c r="AW51" s="490"/>
      <c r="AX51" s="633"/>
      <c r="AZ51" s="357" t="e">
        <f t="shared" si="13"/>
        <v>#N/A</v>
      </c>
      <c r="BA51" s="633"/>
    </row>
    <row r="52" spans="2:53">
      <c r="B52" s="643"/>
      <c r="C52" s="367">
        <v>6</v>
      </c>
      <c r="D52" s="220"/>
      <c r="E52" s="559"/>
      <c r="F52" s="553"/>
      <c r="G52" s="552"/>
      <c r="H52" s="697"/>
      <c r="I52" s="369" t="str">
        <f t="shared" si="10"/>
        <v>-</v>
      </c>
      <c r="J52" s="369" t="str">
        <f t="shared" si="11"/>
        <v>-</v>
      </c>
      <c r="K52" s="194" t="str">
        <f t="shared" si="12"/>
        <v>-</v>
      </c>
      <c r="L52" s="653"/>
      <c r="M52" s="389" t="e">
        <f>RANK(K52, K$47:$K$61)</f>
        <v>#VALUE!</v>
      </c>
      <c r="N52" s="637"/>
      <c r="O52" s="637"/>
      <c r="P52" s="490"/>
      <c r="Q52" s="491"/>
      <c r="R52" s="491"/>
      <c r="S52" s="490"/>
      <c r="T52" s="633"/>
      <c r="U52" s="490"/>
      <c r="V52" s="491"/>
      <c r="W52" s="491"/>
      <c r="X52" s="490"/>
      <c r="Y52" s="633"/>
      <c r="Z52" s="490"/>
      <c r="AA52" s="491"/>
      <c r="AB52" s="491"/>
      <c r="AC52" s="490"/>
      <c r="AD52" s="633"/>
      <c r="AE52" s="490"/>
      <c r="AF52" s="491"/>
      <c r="AG52" s="491"/>
      <c r="AH52" s="490"/>
      <c r="AI52" s="633"/>
      <c r="AJ52" s="490"/>
      <c r="AK52" s="491"/>
      <c r="AL52" s="491"/>
      <c r="AM52" s="490"/>
      <c r="AN52" s="633"/>
      <c r="AO52" s="490"/>
      <c r="AP52" s="491"/>
      <c r="AQ52" s="491"/>
      <c r="AR52" s="490"/>
      <c r="AS52" s="633"/>
      <c r="AT52" s="490"/>
      <c r="AU52" s="491"/>
      <c r="AV52" s="491"/>
      <c r="AW52" s="490"/>
      <c r="AX52" s="633"/>
      <c r="AZ52" s="357" t="e">
        <f t="shared" si="13"/>
        <v>#N/A</v>
      </c>
      <c r="BA52" s="633"/>
    </row>
    <row r="53" spans="2:53">
      <c r="B53" s="643"/>
      <c r="C53" s="367">
        <v>7</v>
      </c>
      <c r="D53" s="220"/>
      <c r="E53" s="559"/>
      <c r="F53" s="553"/>
      <c r="G53" s="552"/>
      <c r="H53" s="697"/>
      <c r="I53" s="369" t="str">
        <f t="shared" si="10"/>
        <v>-</v>
      </c>
      <c r="J53" s="369" t="str">
        <f t="shared" si="11"/>
        <v>-</v>
      </c>
      <c r="K53" s="194" t="str">
        <f t="shared" si="12"/>
        <v>-</v>
      </c>
      <c r="L53" s="653"/>
      <c r="M53" s="389" t="e">
        <f>RANK(K53, K$47:$K$61)</f>
        <v>#VALUE!</v>
      </c>
      <c r="N53" s="637"/>
      <c r="O53" s="637"/>
      <c r="P53" s="490"/>
      <c r="Q53" s="491"/>
      <c r="R53" s="491"/>
      <c r="S53" s="490"/>
      <c r="T53" s="633"/>
      <c r="U53" s="490"/>
      <c r="V53" s="491"/>
      <c r="W53" s="491"/>
      <c r="X53" s="490"/>
      <c r="Y53" s="633"/>
      <c r="Z53" s="490"/>
      <c r="AA53" s="491"/>
      <c r="AB53" s="491"/>
      <c r="AC53" s="490"/>
      <c r="AD53" s="633"/>
      <c r="AE53" s="490"/>
      <c r="AF53" s="491"/>
      <c r="AG53" s="491"/>
      <c r="AH53" s="490"/>
      <c r="AI53" s="633"/>
      <c r="AJ53" s="490"/>
      <c r="AK53" s="491"/>
      <c r="AL53" s="491"/>
      <c r="AM53" s="490"/>
      <c r="AN53" s="633"/>
      <c r="AO53" s="490"/>
      <c r="AP53" s="491"/>
      <c r="AQ53" s="491"/>
      <c r="AR53" s="490"/>
      <c r="AS53" s="633"/>
      <c r="AT53" s="490"/>
      <c r="AU53" s="491"/>
      <c r="AV53" s="491"/>
      <c r="AW53" s="490"/>
      <c r="AX53" s="633"/>
      <c r="AZ53" s="357" t="e">
        <f t="shared" si="13"/>
        <v>#N/A</v>
      </c>
      <c r="BA53" s="633"/>
    </row>
    <row r="54" spans="2:53">
      <c r="B54" s="643"/>
      <c r="C54" s="367">
        <v>8</v>
      </c>
      <c r="D54" s="220"/>
      <c r="E54" s="559"/>
      <c r="F54" s="553"/>
      <c r="G54" s="552"/>
      <c r="H54" s="697"/>
      <c r="I54" s="369" t="str">
        <f t="shared" si="10"/>
        <v>-</v>
      </c>
      <c r="J54" s="369" t="str">
        <f t="shared" si="11"/>
        <v>-</v>
      </c>
      <c r="K54" s="194" t="str">
        <f t="shared" si="12"/>
        <v>-</v>
      </c>
      <c r="L54" s="653"/>
      <c r="M54" s="389" t="e">
        <f>RANK(K54, K$47:$K$61)</f>
        <v>#VALUE!</v>
      </c>
      <c r="N54" s="637"/>
      <c r="O54" s="637"/>
      <c r="P54" s="490"/>
      <c r="Q54" s="491"/>
      <c r="R54" s="491"/>
      <c r="S54" s="490"/>
      <c r="T54" s="633"/>
      <c r="U54" s="490"/>
      <c r="V54" s="491"/>
      <c r="W54" s="491"/>
      <c r="X54" s="490"/>
      <c r="Y54" s="633"/>
      <c r="Z54" s="490"/>
      <c r="AA54" s="491"/>
      <c r="AB54" s="491"/>
      <c r="AC54" s="490"/>
      <c r="AD54" s="633"/>
      <c r="AE54" s="490"/>
      <c r="AF54" s="491"/>
      <c r="AG54" s="491"/>
      <c r="AH54" s="490"/>
      <c r="AI54" s="633"/>
      <c r="AJ54" s="490"/>
      <c r="AK54" s="491"/>
      <c r="AL54" s="491"/>
      <c r="AM54" s="490"/>
      <c r="AN54" s="633"/>
      <c r="AO54" s="490"/>
      <c r="AP54" s="491"/>
      <c r="AQ54" s="491"/>
      <c r="AR54" s="490"/>
      <c r="AS54" s="633"/>
      <c r="AT54" s="490"/>
      <c r="AU54" s="491"/>
      <c r="AV54" s="491"/>
      <c r="AW54" s="490"/>
      <c r="AX54" s="633"/>
      <c r="AZ54" s="357" t="e">
        <f t="shared" si="13"/>
        <v>#N/A</v>
      </c>
      <c r="BA54" s="633"/>
    </row>
    <row r="55" spans="2:53">
      <c r="B55" s="643"/>
      <c r="C55" s="367">
        <v>9</v>
      </c>
      <c r="D55" s="220"/>
      <c r="E55" s="559"/>
      <c r="F55" s="553"/>
      <c r="G55" s="552"/>
      <c r="H55" s="697"/>
      <c r="I55" s="369" t="str">
        <f t="shared" si="10"/>
        <v>-</v>
      </c>
      <c r="J55" s="369" t="str">
        <f t="shared" si="11"/>
        <v>-</v>
      </c>
      <c r="K55" s="194" t="str">
        <f t="shared" si="12"/>
        <v>-</v>
      </c>
      <c r="L55" s="653"/>
      <c r="M55" s="389" t="e">
        <f>RANK(K55, K$47:$K$61)</f>
        <v>#VALUE!</v>
      </c>
      <c r="N55" s="637"/>
      <c r="O55" s="637"/>
      <c r="P55" s="490"/>
      <c r="Q55" s="491"/>
      <c r="R55" s="491"/>
      <c r="S55" s="490"/>
      <c r="T55" s="633"/>
      <c r="U55" s="490"/>
      <c r="V55" s="491"/>
      <c r="W55" s="491"/>
      <c r="X55" s="490"/>
      <c r="Y55" s="633"/>
      <c r="Z55" s="490"/>
      <c r="AA55" s="491"/>
      <c r="AB55" s="491"/>
      <c r="AC55" s="490"/>
      <c r="AD55" s="633"/>
      <c r="AE55" s="490"/>
      <c r="AF55" s="491"/>
      <c r="AG55" s="491"/>
      <c r="AH55" s="490"/>
      <c r="AI55" s="633"/>
      <c r="AJ55" s="490"/>
      <c r="AK55" s="491"/>
      <c r="AL55" s="491"/>
      <c r="AM55" s="490"/>
      <c r="AN55" s="633"/>
      <c r="AO55" s="490"/>
      <c r="AP55" s="491"/>
      <c r="AQ55" s="491"/>
      <c r="AR55" s="490"/>
      <c r="AS55" s="633"/>
      <c r="AT55" s="490"/>
      <c r="AU55" s="491"/>
      <c r="AV55" s="491"/>
      <c r="AW55" s="490"/>
      <c r="AX55" s="633"/>
      <c r="AZ55" s="357" t="e">
        <f t="shared" si="13"/>
        <v>#N/A</v>
      </c>
      <c r="BA55" s="633"/>
    </row>
    <row r="56" spans="2:53">
      <c r="B56" s="643"/>
      <c r="C56" s="367">
        <v>10</v>
      </c>
      <c r="D56" s="220"/>
      <c r="E56" s="559"/>
      <c r="F56" s="553"/>
      <c r="G56" s="552"/>
      <c r="H56" s="697"/>
      <c r="I56" s="369" t="str">
        <f t="shared" si="10"/>
        <v>-</v>
      </c>
      <c r="J56" s="369" t="str">
        <f t="shared" si="11"/>
        <v>-</v>
      </c>
      <c r="K56" s="194" t="str">
        <f t="shared" si="12"/>
        <v>-</v>
      </c>
      <c r="L56" s="653"/>
      <c r="M56" s="389" t="e">
        <f>RANK(K56, K$47:$K$61)</f>
        <v>#VALUE!</v>
      </c>
      <c r="N56" s="637"/>
      <c r="O56" s="637"/>
      <c r="P56" s="490"/>
      <c r="Q56" s="491"/>
      <c r="R56" s="491"/>
      <c r="S56" s="490"/>
      <c r="T56" s="633"/>
      <c r="U56" s="490"/>
      <c r="V56" s="491"/>
      <c r="W56" s="491"/>
      <c r="X56" s="490"/>
      <c r="Y56" s="633"/>
      <c r="Z56" s="490"/>
      <c r="AA56" s="491"/>
      <c r="AB56" s="491"/>
      <c r="AC56" s="490"/>
      <c r="AD56" s="633"/>
      <c r="AE56" s="490"/>
      <c r="AF56" s="491"/>
      <c r="AG56" s="491"/>
      <c r="AH56" s="490"/>
      <c r="AI56" s="633"/>
      <c r="AJ56" s="490"/>
      <c r="AK56" s="491"/>
      <c r="AL56" s="491"/>
      <c r="AM56" s="490"/>
      <c r="AN56" s="633"/>
      <c r="AO56" s="490"/>
      <c r="AP56" s="491"/>
      <c r="AQ56" s="491"/>
      <c r="AR56" s="490"/>
      <c r="AS56" s="633"/>
      <c r="AT56" s="490"/>
      <c r="AU56" s="491"/>
      <c r="AV56" s="491"/>
      <c r="AW56" s="490"/>
      <c r="AX56" s="633"/>
      <c r="AZ56" s="357" t="e">
        <f t="shared" si="13"/>
        <v>#N/A</v>
      </c>
      <c r="BA56" s="633"/>
    </row>
    <row r="57" spans="2:53">
      <c r="B57" s="643"/>
      <c r="C57" s="367">
        <v>11</v>
      </c>
      <c r="D57" s="220"/>
      <c r="E57" s="559"/>
      <c r="F57" s="553"/>
      <c r="G57" s="552"/>
      <c r="H57" s="697"/>
      <c r="I57" s="369" t="str">
        <f t="shared" si="10"/>
        <v>-</v>
      </c>
      <c r="J57" s="369" t="str">
        <f t="shared" si="11"/>
        <v>-</v>
      </c>
      <c r="K57" s="194" t="str">
        <f t="shared" si="12"/>
        <v>-</v>
      </c>
      <c r="L57" s="653"/>
      <c r="M57" s="389" t="e">
        <f>RANK(K57, K$47:$K$61)</f>
        <v>#VALUE!</v>
      </c>
      <c r="N57" s="637"/>
      <c r="O57" s="637"/>
      <c r="P57" s="490"/>
      <c r="Q57" s="491"/>
      <c r="R57" s="491"/>
      <c r="S57" s="490"/>
      <c r="T57" s="633"/>
      <c r="U57" s="490"/>
      <c r="V57" s="491"/>
      <c r="W57" s="491"/>
      <c r="X57" s="490"/>
      <c r="Y57" s="633"/>
      <c r="Z57" s="490"/>
      <c r="AA57" s="491"/>
      <c r="AB57" s="491"/>
      <c r="AC57" s="490"/>
      <c r="AD57" s="633"/>
      <c r="AE57" s="490"/>
      <c r="AF57" s="491"/>
      <c r="AG57" s="491"/>
      <c r="AH57" s="490"/>
      <c r="AI57" s="633"/>
      <c r="AJ57" s="490"/>
      <c r="AK57" s="491"/>
      <c r="AL57" s="491"/>
      <c r="AM57" s="490"/>
      <c r="AN57" s="633"/>
      <c r="AO57" s="490"/>
      <c r="AP57" s="491"/>
      <c r="AQ57" s="491"/>
      <c r="AR57" s="490"/>
      <c r="AS57" s="633"/>
      <c r="AT57" s="490"/>
      <c r="AU57" s="491"/>
      <c r="AV57" s="491"/>
      <c r="AW57" s="490"/>
      <c r="AX57" s="633"/>
      <c r="AZ57" s="357" t="e">
        <f t="shared" si="13"/>
        <v>#N/A</v>
      </c>
      <c r="BA57" s="633"/>
    </row>
    <row r="58" spans="2:53">
      <c r="B58" s="643"/>
      <c r="C58" s="367">
        <v>12</v>
      </c>
      <c r="D58" s="220"/>
      <c r="E58" s="559"/>
      <c r="F58" s="553"/>
      <c r="G58" s="552"/>
      <c r="H58" s="697"/>
      <c r="I58" s="369" t="str">
        <f t="shared" si="10"/>
        <v>-</v>
      </c>
      <c r="J58" s="369" t="str">
        <f t="shared" si="11"/>
        <v>-</v>
      </c>
      <c r="K58" s="194" t="str">
        <f t="shared" si="12"/>
        <v>-</v>
      </c>
      <c r="L58" s="653"/>
      <c r="M58" s="389" t="e">
        <f>RANK(K58, K$47:$K$61)</f>
        <v>#VALUE!</v>
      </c>
      <c r="N58" s="637"/>
      <c r="O58" s="637"/>
      <c r="P58" s="490"/>
      <c r="Q58" s="491"/>
      <c r="R58" s="491"/>
      <c r="S58" s="490"/>
      <c r="T58" s="633"/>
      <c r="U58" s="490"/>
      <c r="V58" s="491"/>
      <c r="W58" s="491"/>
      <c r="X58" s="490"/>
      <c r="Y58" s="633"/>
      <c r="Z58" s="490"/>
      <c r="AA58" s="491"/>
      <c r="AB58" s="491"/>
      <c r="AC58" s="490"/>
      <c r="AD58" s="633"/>
      <c r="AE58" s="490"/>
      <c r="AF58" s="491"/>
      <c r="AG58" s="491"/>
      <c r="AH58" s="490"/>
      <c r="AI58" s="633"/>
      <c r="AJ58" s="490"/>
      <c r="AK58" s="491"/>
      <c r="AL58" s="491"/>
      <c r="AM58" s="490"/>
      <c r="AN58" s="633"/>
      <c r="AO58" s="490"/>
      <c r="AP58" s="491"/>
      <c r="AQ58" s="491"/>
      <c r="AR58" s="490"/>
      <c r="AS58" s="633"/>
      <c r="AT58" s="490"/>
      <c r="AU58" s="491"/>
      <c r="AV58" s="491"/>
      <c r="AW58" s="490"/>
      <c r="AX58" s="633"/>
      <c r="AZ58" s="357" t="e">
        <f t="shared" si="13"/>
        <v>#N/A</v>
      </c>
      <c r="BA58" s="633"/>
    </row>
    <row r="59" spans="2:53">
      <c r="B59" s="643"/>
      <c r="C59" s="367">
        <v>13</v>
      </c>
      <c r="D59" s="220"/>
      <c r="E59" s="559"/>
      <c r="F59" s="553"/>
      <c r="G59" s="552"/>
      <c r="H59" s="697"/>
      <c r="I59" s="369" t="str">
        <f t="shared" si="10"/>
        <v>-</v>
      </c>
      <c r="J59" s="369" t="str">
        <f t="shared" si="11"/>
        <v>-</v>
      </c>
      <c r="K59" s="194" t="str">
        <f t="shared" si="12"/>
        <v>-</v>
      </c>
      <c r="L59" s="653"/>
      <c r="M59" s="389" t="e">
        <f>RANK(K59, K$47:$K$61)</f>
        <v>#VALUE!</v>
      </c>
      <c r="N59" s="637"/>
      <c r="O59" s="637"/>
      <c r="P59" s="490"/>
      <c r="Q59" s="491"/>
      <c r="R59" s="491"/>
      <c r="S59" s="490"/>
      <c r="T59" s="633"/>
      <c r="U59" s="490"/>
      <c r="V59" s="491"/>
      <c r="W59" s="491"/>
      <c r="X59" s="490"/>
      <c r="Y59" s="633"/>
      <c r="Z59" s="490"/>
      <c r="AA59" s="491"/>
      <c r="AB59" s="491"/>
      <c r="AC59" s="490"/>
      <c r="AD59" s="633"/>
      <c r="AE59" s="490"/>
      <c r="AF59" s="491"/>
      <c r="AG59" s="491"/>
      <c r="AH59" s="490"/>
      <c r="AI59" s="633"/>
      <c r="AJ59" s="490"/>
      <c r="AK59" s="491"/>
      <c r="AL59" s="491"/>
      <c r="AM59" s="490"/>
      <c r="AN59" s="633"/>
      <c r="AO59" s="490"/>
      <c r="AP59" s="491"/>
      <c r="AQ59" s="491"/>
      <c r="AR59" s="490"/>
      <c r="AS59" s="633"/>
      <c r="AT59" s="490"/>
      <c r="AU59" s="491"/>
      <c r="AV59" s="491"/>
      <c r="AW59" s="490"/>
      <c r="AX59" s="633"/>
      <c r="AZ59" s="357" t="e">
        <f t="shared" si="13"/>
        <v>#N/A</v>
      </c>
      <c r="BA59" s="633"/>
    </row>
    <row r="60" spans="2:53">
      <c r="B60" s="643"/>
      <c r="C60" s="367">
        <v>14</v>
      </c>
      <c r="D60" s="220"/>
      <c r="E60" s="559"/>
      <c r="F60" s="553"/>
      <c r="G60" s="552"/>
      <c r="H60" s="697"/>
      <c r="I60" s="369" t="str">
        <f t="shared" si="10"/>
        <v>-</v>
      </c>
      <c r="J60" s="369" t="str">
        <f t="shared" si="11"/>
        <v>-</v>
      </c>
      <c r="K60" s="194" t="str">
        <f t="shared" si="12"/>
        <v>-</v>
      </c>
      <c r="L60" s="653"/>
      <c r="M60" s="389" t="e">
        <f>RANK(K60, K$47:$K$61)</f>
        <v>#VALUE!</v>
      </c>
      <c r="N60" s="637"/>
      <c r="O60" s="637"/>
      <c r="P60" s="490"/>
      <c r="Q60" s="491"/>
      <c r="R60" s="491"/>
      <c r="S60" s="490"/>
      <c r="T60" s="633"/>
      <c r="U60" s="490"/>
      <c r="V60" s="491"/>
      <c r="W60" s="491"/>
      <c r="X60" s="490"/>
      <c r="Y60" s="633"/>
      <c r="Z60" s="490"/>
      <c r="AA60" s="491"/>
      <c r="AB60" s="491"/>
      <c r="AC60" s="490"/>
      <c r="AD60" s="633"/>
      <c r="AE60" s="490"/>
      <c r="AF60" s="491"/>
      <c r="AG60" s="491"/>
      <c r="AH60" s="490"/>
      <c r="AI60" s="633"/>
      <c r="AJ60" s="490"/>
      <c r="AK60" s="491"/>
      <c r="AL60" s="491"/>
      <c r="AM60" s="490"/>
      <c r="AN60" s="633"/>
      <c r="AO60" s="490"/>
      <c r="AP60" s="491"/>
      <c r="AQ60" s="491"/>
      <c r="AR60" s="490"/>
      <c r="AS60" s="633"/>
      <c r="AT60" s="490"/>
      <c r="AU60" s="491"/>
      <c r="AV60" s="491"/>
      <c r="AW60" s="490"/>
      <c r="AX60" s="633"/>
      <c r="AZ60" s="357" t="e">
        <f t="shared" si="13"/>
        <v>#N/A</v>
      </c>
      <c r="BA60" s="633"/>
    </row>
    <row r="61" spans="2:53">
      <c r="B61" s="643"/>
      <c r="C61" s="367">
        <v>15</v>
      </c>
      <c r="D61" s="220"/>
      <c r="E61" s="559"/>
      <c r="F61" s="553"/>
      <c r="G61" s="552"/>
      <c r="H61" s="698"/>
      <c r="I61" s="196"/>
      <c r="J61" s="196"/>
      <c r="K61" s="196"/>
      <c r="L61" s="654"/>
      <c r="M61" s="389" t="e">
        <f>RANK(K61, K$47:$K$61)</f>
        <v>#N/A</v>
      </c>
      <c r="N61" s="637"/>
      <c r="O61" s="637"/>
      <c r="P61" s="490"/>
      <c r="Q61" s="491"/>
      <c r="R61" s="491"/>
      <c r="S61" s="490"/>
      <c r="T61" s="634"/>
      <c r="U61" s="490"/>
      <c r="V61" s="491"/>
      <c r="W61" s="491"/>
      <c r="X61" s="490"/>
      <c r="Y61" s="634"/>
      <c r="Z61" s="490"/>
      <c r="AA61" s="491"/>
      <c r="AB61" s="491"/>
      <c r="AC61" s="490"/>
      <c r="AD61" s="634"/>
      <c r="AE61" s="490"/>
      <c r="AF61" s="491"/>
      <c r="AG61" s="491"/>
      <c r="AH61" s="490"/>
      <c r="AI61" s="634"/>
      <c r="AJ61" s="490"/>
      <c r="AK61" s="491"/>
      <c r="AL61" s="491"/>
      <c r="AM61" s="490"/>
      <c r="AN61" s="634"/>
      <c r="AO61" s="490"/>
      <c r="AP61" s="491"/>
      <c r="AQ61" s="491"/>
      <c r="AR61" s="490"/>
      <c r="AS61" s="634"/>
      <c r="AT61" s="490"/>
      <c r="AU61" s="491"/>
      <c r="AV61" s="491"/>
      <c r="AW61" s="490"/>
      <c r="AX61" s="634"/>
      <c r="AZ61" s="357" t="e">
        <f t="shared" si="13"/>
        <v>#N/A</v>
      </c>
      <c r="BA61" s="634"/>
    </row>
    <row r="62" spans="2:53" ht="15.75">
      <c r="B62" s="665" t="s">
        <v>162</v>
      </c>
      <c r="C62" s="666"/>
      <c r="D62" s="666"/>
      <c r="E62" s="666"/>
      <c r="F62" s="666"/>
      <c r="G62" s="666"/>
      <c r="H62" s="667"/>
      <c r="I62" s="202"/>
      <c r="J62" s="202"/>
      <c r="K62" s="202"/>
      <c r="L62" s="202"/>
      <c r="M62" s="201"/>
      <c r="N62" s="639" t="s">
        <v>156</v>
      </c>
      <c r="O62" s="639" t="s">
        <v>105</v>
      </c>
      <c r="P62" s="664">
        <f>P42+7</f>
        <v>46315</v>
      </c>
      <c r="Q62" s="643"/>
      <c r="R62" s="643"/>
      <c r="S62" s="643"/>
      <c r="T62" s="643"/>
      <c r="U62" s="661">
        <f>P62+1</f>
        <v>46316</v>
      </c>
      <c r="V62" s="662"/>
      <c r="W62" s="662"/>
      <c r="X62" s="662"/>
      <c r="Y62" s="663"/>
      <c r="Z62" s="661">
        <f>U62+1</f>
        <v>46317</v>
      </c>
      <c r="AA62" s="662"/>
      <c r="AB62" s="662"/>
      <c r="AC62" s="662"/>
      <c r="AD62" s="663"/>
      <c r="AE62" s="661">
        <f>Z62+1</f>
        <v>46318</v>
      </c>
      <c r="AF62" s="662"/>
      <c r="AG62" s="662"/>
      <c r="AH62" s="662"/>
      <c r="AI62" s="663"/>
      <c r="AJ62" s="661">
        <f>AE62+1</f>
        <v>46319</v>
      </c>
      <c r="AK62" s="662"/>
      <c r="AL62" s="662"/>
      <c r="AM62" s="662"/>
      <c r="AN62" s="663"/>
      <c r="AO62" s="661">
        <f>AJ62+1</f>
        <v>46320</v>
      </c>
      <c r="AP62" s="662"/>
      <c r="AQ62" s="662"/>
      <c r="AR62" s="662"/>
      <c r="AS62" s="663"/>
      <c r="AT62" s="661">
        <f>AO62+1</f>
        <v>46321</v>
      </c>
      <c r="AU62" s="662"/>
      <c r="AV62" s="662"/>
      <c r="AW62" s="662"/>
      <c r="AX62" s="663"/>
    </row>
    <row r="63" spans="2:53" ht="15.75">
      <c r="B63" s="668"/>
      <c r="C63" s="668"/>
      <c r="D63" s="668"/>
      <c r="E63" s="668"/>
      <c r="F63" s="668"/>
      <c r="G63" s="668"/>
      <c r="H63" s="668"/>
      <c r="I63" s="199"/>
      <c r="J63" s="199"/>
      <c r="K63" s="199"/>
      <c r="L63" s="199"/>
      <c r="M63" s="200"/>
      <c r="N63" s="641"/>
      <c r="O63" s="641"/>
      <c r="P63" s="664" t="s">
        <v>317</v>
      </c>
      <c r="Q63" s="643"/>
      <c r="R63" s="643"/>
      <c r="S63" s="643"/>
      <c r="T63" s="643"/>
      <c r="U63" s="664" t="s">
        <v>318</v>
      </c>
      <c r="V63" s="643"/>
      <c r="W63" s="643"/>
      <c r="X63" s="643"/>
      <c r="Y63" s="643"/>
      <c r="Z63" s="664" t="s">
        <v>319</v>
      </c>
      <c r="AA63" s="643"/>
      <c r="AB63" s="643"/>
      <c r="AC63" s="643"/>
      <c r="AD63" s="643"/>
      <c r="AE63" s="664" t="s">
        <v>320</v>
      </c>
      <c r="AF63" s="643"/>
      <c r="AG63" s="643"/>
      <c r="AH63" s="643"/>
      <c r="AI63" s="643"/>
      <c r="AJ63" s="664" t="s">
        <v>321</v>
      </c>
      <c r="AK63" s="643"/>
      <c r="AL63" s="643"/>
      <c r="AM63" s="643"/>
      <c r="AN63" s="643"/>
      <c r="AO63" s="664" t="s">
        <v>322</v>
      </c>
      <c r="AP63" s="643"/>
      <c r="AQ63" s="643"/>
      <c r="AR63" s="643"/>
      <c r="AS63" s="643"/>
      <c r="AT63" s="664" t="s">
        <v>323</v>
      </c>
      <c r="AU63" s="643"/>
      <c r="AV63" s="643"/>
      <c r="AW63" s="643"/>
      <c r="AX63" s="643"/>
    </row>
    <row r="64" spans="2:53">
      <c r="B64" s="637" t="s">
        <v>360</v>
      </c>
      <c r="C64" s="669" t="s">
        <v>370</v>
      </c>
      <c r="D64" s="681"/>
      <c r="E64" s="655" t="s">
        <v>361</v>
      </c>
      <c r="F64" s="656"/>
      <c r="G64" s="657"/>
      <c r="H64" s="639" t="s">
        <v>357</v>
      </c>
      <c r="I64" s="688" t="s">
        <v>362</v>
      </c>
      <c r="J64" s="689"/>
      <c r="K64" s="690"/>
      <c r="L64" s="673" t="s">
        <v>357</v>
      </c>
      <c r="M64" s="673" t="s">
        <v>358</v>
      </c>
      <c r="N64" s="639"/>
      <c r="O64" s="639" t="s">
        <v>363</v>
      </c>
      <c r="P64" s="655" t="s">
        <v>359</v>
      </c>
      <c r="Q64" s="656"/>
      <c r="R64" s="656"/>
      <c r="S64" s="657"/>
      <c r="T64" s="639" t="s">
        <v>357</v>
      </c>
      <c r="U64" s="655" t="s">
        <v>359</v>
      </c>
      <c r="V64" s="656"/>
      <c r="W64" s="656"/>
      <c r="X64" s="657"/>
      <c r="Y64" s="639" t="s">
        <v>357</v>
      </c>
      <c r="Z64" s="655" t="s">
        <v>359</v>
      </c>
      <c r="AA64" s="656"/>
      <c r="AB64" s="656"/>
      <c r="AC64" s="657"/>
      <c r="AD64" s="639" t="s">
        <v>357</v>
      </c>
      <c r="AE64" s="655" t="s">
        <v>359</v>
      </c>
      <c r="AF64" s="656"/>
      <c r="AG64" s="656"/>
      <c r="AH64" s="657"/>
      <c r="AI64" s="639" t="s">
        <v>357</v>
      </c>
      <c r="AJ64" s="655" t="s">
        <v>359</v>
      </c>
      <c r="AK64" s="656"/>
      <c r="AL64" s="656"/>
      <c r="AM64" s="657"/>
      <c r="AN64" s="639" t="s">
        <v>357</v>
      </c>
      <c r="AO64" s="655" t="s">
        <v>359</v>
      </c>
      <c r="AP64" s="656"/>
      <c r="AQ64" s="656"/>
      <c r="AR64" s="657"/>
      <c r="AS64" s="639" t="s">
        <v>357</v>
      </c>
      <c r="AT64" s="655" t="s">
        <v>359</v>
      </c>
      <c r="AU64" s="656"/>
      <c r="AV64" s="656"/>
      <c r="AW64" s="657"/>
      <c r="AX64" s="639" t="s">
        <v>357</v>
      </c>
      <c r="BA64" s="637" t="s">
        <v>357</v>
      </c>
    </row>
    <row r="65" spans="2:53">
      <c r="B65" s="637"/>
      <c r="C65" s="670"/>
      <c r="D65" s="682"/>
      <c r="E65" s="655" t="s">
        <v>364</v>
      </c>
      <c r="F65" s="656"/>
      <c r="G65" s="657"/>
      <c r="H65" s="640"/>
      <c r="I65" s="688" t="s">
        <v>364</v>
      </c>
      <c r="J65" s="689"/>
      <c r="K65" s="690"/>
      <c r="L65" s="674"/>
      <c r="M65" s="674"/>
      <c r="N65" s="640"/>
      <c r="O65" s="640"/>
      <c r="P65" s="655" t="s">
        <v>365</v>
      </c>
      <c r="Q65" s="656"/>
      <c r="R65" s="656"/>
      <c r="S65" s="657"/>
      <c r="T65" s="640"/>
      <c r="U65" s="655" t="s">
        <v>365</v>
      </c>
      <c r="V65" s="656"/>
      <c r="W65" s="656"/>
      <c r="X65" s="657"/>
      <c r="Y65" s="640"/>
      <c r="Z65" s="655" t="s">
        <v>365</v>
      </c>
      <c r="AA65" s="656"/>
      <c r="AB65" s="656"/>
      <c r="AC65" s="657"/>
      <c r="AD65" s="640"/>
      <c r="AE65" s="655" t="s">
        <v>365</v>
      </c>
      <c r="AF65" s="656"/>
      <c r="AG65" s="656"/>
      <c r="AH65" s="657"/>
      <c r="AI65" s="640"/>
      <c r="AJ65" s="655" t="s">
        <v>365</v>
      </c>
      <c r="AK65" s="656"/>
      <c r="AL65" s="656"/>
      <c r="AM65" s="657"/>
      <c r="AN65" s="640"/>
      <c r="AO65" s="655" t="s">
        <v>365</v>
      </c>
      <c r="AP65" s="656"/>
      <c r="AQ65" s="656"/>
      <c r="AR65" s="657"/>
      <c r="AS65" s="640"/>
      <c r="AT65" s="655" t="s">
        <v>365</v>
      </c>
      <c r="AU65" s="656"/>
      <c r="AV65" s="656"/>
      <c r="AW65" s="657"/>
      <c r="AX65" s="640"/>
      <c r="BA65" s="637"/>
    </row>
    <row r="66" spans="2:53">
      <c r="B66" s="637"/>
      <c r="C66" s="671"/>
      <c r="D66" s="683"/>
      <c r="E66" s="480" t="s">
        <v>366</v>
      </c>
      <c r="F66" s="480" t="s">
        <v>367</v>
      </c>
      <c r="G66" s="480" t="s">
        <v>368</v>
      </c>
      <c r="H66" s="641"/>
      <c r="I66" s="479" t="s">
        <v>366</v>
      </c>
      <c r="J66" s="479" t="s">
        <v>367</v>
      </c>
      <c r="K66" s="479" t="s">
        <v>368</v>
      </c>
      <c r="L66" s="675"/>
      <c r="M66" s="675"/>
      <c r="N66" s="640"/>
      <c r="O66" s="640"/>
      <c r="P66" s="480" t="s">
        <v>366</v>
      </c>
      <c r="Q66" s="480" t="s">
        <v>367</v>
      </c>
      <c r="R66" s="480" t="s">
        <v>368</v>
      </c>
      <c r="S66" s="480" t="s">
        <v>358</v>
      </c>
      <c r="T66" s="641"/>
      <c r="U66" s="480" t="s">
        <v>366</v>
      </c>
      <c r="V66" s="480" t="s">
        <v>367</v>
      </c>
      <c r="W66" s="480" t="s">
        <v>368</v>
      </c>
      <c r="X66" s="480" t="s">
        <v>358</v>
      </c>
      <c r="Y66" s="641"/>
      <c r="Z66" s="480" t="s">
        <v>366</v>
      </c>
      <c r="AA66" s="480" t="s">
        <v>367</v>
      </c>
      <c r="AB66" s="480" t="s">
        <v>368</v>
      </c>
      <c r="AC66" s="480" t="s">
        <v>358</v>
      </c>
      <c r="AD66" s="641"/>
      <c r="AE66" s="480" t="s">
        <v>366</v>
      </c>
      <c r="AF66" s="480" t="s">
        <v>367</v>
      </c>
      <c r="AG66" s="480" t="s">
        <v>368</v>
      </c>
      <c r="AH66" s="480" t="s">
        <v>358</v>
      </c>
      <c r="AI66" s="641"/>
      <c r="AJ66" s="480" t="s">
        <v>366</v>
      </c>
      <c r="AK66" s="480" t="s">
        <v>367</v>
      </c>
      <c r="AL66" s="480" t="s">
        <v>368</v>
      </c>
      <c r="AM66" s="480" t="s">
        <v>358</v>
      </c>
      <c r="AN66" s="641"/>
      <c r="AO66" s="480" t="s">
        <v>366</v>
      </c>
      <c r="AP66" s="480" t="s">
        <v>367</v>
      </c>
      <c r="AQ66" s="480" t="s">
        <v>368</v>
      </c>
      <c r="AR66" s="480" t="s">
        <v>358</v>
      </c>
      <c r="AS66" s="641"/>
      <c r="AT66" s="480" t="s">
        <v>366</v>
      </c>
      <c r="AU66" s="480" t="s">
        <v>367</v>
      </c>
      <c r="AV66" s="480" t="s">
        <v>368</v>
      </c>
      <c r="AW66" s="480" t="s">
        <v>358</v>
      </c>
      <c r="AX66" s="641"/>
      <c r="AZ66" s="356" t="s">
        <v>358</v>
      </c>
      <c r="BA66" s="637"/>
    </row>
    <row r="67" spans="2:53">
      <c r="B67" s="637" t="s">
        <v>371</v>
      </c>
      <c r="C67" s="481">
        <v>1</v>
      </c>
      <c r="D67" s="220"/>
      <c r="E67" s="559"/>
      <c r="F67" s="553"/>
      <c r="G67" s="552"/>
      <c r="H67" s="632" t="e">
        <f>AVERAGE(G67:G81)</f>
        <v>#DIV/0!</v>
      </c>
      <c r="I67" s="482" t="str">
        <f t="shared" ref="I67:I80" si="15">IFERROR(AVERAGE(P67,U67,Z67,AE67,AJ67,AO67,AT67),"-")</f>
        <v>-</v>
      </c>
      <c r="J67" s="482" t="str">
        <f t="shared" ref="J67:J80" si="16">IFERROR(AVERAGE(Q67,V67,AA67,AF67,AK67,AP67,AU67),"-")</f>
        <v>-</v>
      </c>
      <c r="K67" s="194" t="str">
        <f t="shared" ref="K67:K80" si="17">IFERROR(AVERAGE(R67,W67,AB67,AG67,AL67,AQ67,AV67),"-")</f>
        <v>-</v>
      </c>
      <c r="L67" s="691" t="str">
        <f>IFERROR(AVERAGE(K67:K81),"-")</f>
        <v>-</v>
      </c>
      <c r="M67" s="483" t="e">
        <f>RANK(K67, K$67:$K$81)</f>
        <v>#VALUE!</v>
      </c>
      <c r="N67" s="640"/>
      <c r="O67" s="640"/>
      <c r="P67" s="490"/>
      <c r="Q67" s="491"/>
      <c r="R67" s="491"/>
      <c r="S67" s="490"/>
      <c r="T67" s="632"/>
      <c r="U67" s="490"/>
      <c r="V67" s="491"/>
      <c r="W67" s="491"/>
      <c r="X67" s="490"/>
      <c r="Y67" s="632"/>
      <c r="Z67" s="490"/>
      <c r="AA67" s="491"/>
      <c r="AB67" s="491"/>
      <c r="AC67" s="490"/>
      <c r="AD67" s="632"/>
      <c r="AE67" s="490"/>
      <c r="AF67" s="491"/>
      <c r="AG67" s="491"/>
      <c r="AH67" s="490"/>
      <c r="AI67" s="632"/>
      <c r="AJ67" s="490"/>
      <c r="AK67" s="491"/>
      <c r="AL67" s="491"/>
      <c r="AM67" s="490"/>
      <c r="AN67" s="632"/>
      <c r="AO67" s="490"/>
      <c r="AP67" s="491"/>
      <c r="AQ67" s="491"/>
      <c r="AR67" s="490"/>
      <c r="AS67" s="632"/>
      <c r="AT67" s="490"/>
      <c r="AU67" s="491"/>
      <c r="AV67" s="491"/>
      <c r="AW67" s="490"/>
      <c r="AX67" s="632"/>
      <c r="AZ67" s="357" t="e">
        <f t="shared" ref="AZ67:AZ81" si="18">RANK(AY67, AY$67:AY$81)</f>
        <v>#N/A</v>
      </c>
      <c r="BA67" s="632" t="e">
        <f t="shared" ref="BA67" si="19">AVERAGE(AY67:AY81)</f>
        <v>#DIV/0!</v>
      </c>
    </row>
    <row r="68" spans="2:53">
      <c r="B68" s="643"/>
      <c r="C68" s="481">
        <v>2</v>
      </c>
      <c r="D68" s="220"/>
      <c r="E68" s="559"/>
      <c r="F68" s="553"/>
      <c r="G68" s="552"/>
      <c r="H68" s="633"/>
      <c r="I68" s="482" t="str">
        <f t="shared" si="15"/>
        <v>-</v>
      </c>
      <c r="J68" s="482" t="str">
        <f t="shared" si="16"/>
        <v>-</v>
      </c>
      <c r="K68" s="194" t="str">
        <f t="shared" si="17"/>
        <v>-</v>
      </c>
      <c r="L68" s="692"/>
      <c r="M68" s="483" t="e">
        <f>RANK(K68, K$67:$K$81)</f>
        <v>#VALUE!</v>
      </c>
      <c r="N68" s="640"/>
      <c r="O68" s="640"/>
      <c r="P68" s="490"/>
      <c r="Q68" s="491"/>
      <c r="R68" s="491"/>
      <c r="S68" s="490"/>
      <c r="T68" s="633"/>
      <c r="U68" s="490"/>
      <c r="V68" s="491"/>
      <c r="W68" s="491"/>
      <c r="X68" s="490"/>
      <c r="Y68" s="633"/>
      <c r="Z68" s="490"/>
      <c r="AA68" s="491"/>
      <c r="AB68" s="491"/>
      <c r="AC68" s="490"/>
      <c r="AD68" s="633"/>
      <c r="AE68" s="490"/>
      <c r="AF68" s="491"/>
      <c r="AG68" s="491"/>
      <c r="AH68" s="490"/>
      <c r="AI68" s="633"/>
      <c r="AJ68" s="490"/>
      <c r="AK68" s="491"/>
      <c r="AL68" s="491"/>
      <c r="AM68" s="490"/>
      <c r="AN68" s="633"/>
      <c r="AO68" s="490"/>
      <c r="AP68" s="491"/>
      <c r="AQ68" s="491"/>
      <c r="AR68" s="490"/>
      <c r="AS68" s="633"/>
      <c r="AT68" s="490"/>
      <c r="AU68" s="491"/>
      <c r="AV68" s="491"/>
      <c r="AW68" s="490"/>
      <c r="AX68" s="633"/>
      <c r="AZ68" s="357" t="e">
        <f t="shared" si="18"/>
        <v>#N/A</v>
      </c>
      <c r="BA68" s="633"/>
    </row>
    <row r="69" spans="2:53">
      <c r="B69" s="643"/>
      <c r="C69" s="481">
        <v>3</v>
      </c>
      <c r="D69" s="220"/>
      <c r="E69" s="559"/>
      <c r="F69" s="553"/>
      <c r="G69" s="552"/>
      <c r="H69" s="633"/>
      <c r="I69" s="482" t="str">
        <f t="shared" si="15"/>
        <v>-</v>
      </c>
      <c r="J69" s="482" t="str">
        <f t="shared" si="16"/>
        <v>-</v>
      </c>
      <c r="K69" s="194" t="str">
        <f t="shared" si="17"/>
        <v>-</v>
      </c>
      <c r="L69" s="692"/>
      <c r="M69" s="483" t="e">
        <f>RANK(K69, K$87:$K$101)</f>
        <v>#VALUE!</v>
      </c>
      <c r="N69" s="640"/>
      <c r="O69" s="640"/>
      <c r="P69" s="490"/>
      <c r="Q69" s="491"/>
      <c r="R69" s="491"/>
      <c r="S69" s="490"/>
      <c r="T69" s="633"/>
      <c r="U69" s="490"/>
      <c r="V69" s="491"/>
      <c r="W69" s="491"/>
      <c r="X69" s="490"/>
      <c r="Y69" s="633"/>
      <c r="Z69" s="490"/>
      <c r="AA69" s="491"/>
      <c r="AB69" s="491"/>
      <c r="AC69" s="490"/>
      <c r="AD69" s="633"/>
      <c r="AE69" s="490"/>
      <c r="AF69" s="491"/>
      <c r="AG69" s="491"/>
      <c r="AH69" s="490"/>
      <c r="AI69" s="633"/>
      <c r="AJ69" s="490"/>
      <c r="AK69" s="491"/>
      <c r="AL69" s="491"/>
      <c r="AM69" s="490"/>
      <c r="AN69" s="633"/>
      <c r="AO69" s="490"/>
      <c r="AP69" s="491"/>
      <c r="AQ69" s="491"/>
      <c r="AR69" s="490"/>
      <c r="AS69" s="633"/>
      <c r="AT69" s="490"/>
      <c r="AU69" s="491"/>
      <c r="AV69" s="491"/>
      <c r="AW69" s="490"/>
      <c r="AX69" s="633"/>
      <c r="AZ69" s="357" t="e">
        <f t="shared" si="18"/>
        <v>#N/A</v>
      </c>
      <c r="BA69" s="633"/>
    </row>
    <row r="70" spans="2:53">
      <c r="B70" s="643"/>
      <c r="C70" s="481">
        <v>4</v>
      </c>
      <c r="D70" s="220"/>
      <c r="E70" s="559"/>
      <c r="F70" s="553"/>
      <c r="G70" s="552"/>
      <c r="H70" s="633"/>
      <c r="I70" s="482" t="str">
        <f t="shared" si="15"/>
        <v>-</v>
      </c>
      <c r="J70" s="482" t="str">
        <f t="shared" si="16"/>
        <v>-</v>
      </c>
      <c r="K70" s="194" t="str">
        <f t="shared" si="17"/>
        <v>-</v>
      </c>
      <c r="L70" s="692"/>
      <c r="M70" s="483" t="e">
        <f>RANK(K70, K$87:$K$101)</f>
        <v>#VALUE!</v>
      </c>
      <c r="N70" s="640"/>
      <c r="O70" s="640"/>
      <c r="P70" s="490"/>
      <c r="Q70" s="491"/>
      <c r="R70" s="491"/>
      <c r="S70" s="490"/>
      <c r="T70" s="633"/>
      <c r="U70" s="490"/>
      <c r="V70" s="491"/>
      <c r="W70" s="491"/>
      <c r="X70" s="490"/>
      <c r="Y70" s="633"/>
      <c r="Z70" s="490"/>
      <c r="AA70" s="491"/>
      <c r="AB70" s="491"/>
      <c r="AC70" s="490"/>
      <c r="AD70" s="633"/>
      <c r="AE70" s="490"/>
      <c r="AF70" s="491"/>
      <c r="AG70" s="491"/>
      <c r="AH70" s="490"/>
      <c r="AI70" s="633"/>
      <c r="AJ70" s="490"/>
      <c r="AK70" s="491"/>
      <c r="AL70" s="491"/>
      <c r="AM70" s="490"/>
      <c r="AN70" s="633"/>
      <c r="AO70" s="490"/>
      <c r="AP70" s="491"/>
      <c r="AQ70" s="491"/>
      <c r="AR70" s="490"/>
      <c r="AS70" s="633"/>
      <c r="AT70" s="490"/>
      <c r="AU70" s="491"/>
      <c r="AV70" s="491"/>
      <c r="AW70" s="490"/>
      <c r="AX70" s="633"/>
      <c r="AZ70" s="357" t="e">
        <f t="shared" si="18"/>
        <v>#N/A</v>
      </c>
      <c r="BA70" s="633"/>
    </row>
    <row r="71" spans="2:53">
      <c r="B71" s="643"/>
      <c r="C71" s="481">
        <v>5</v>
      </c>
      <c r="D71" s="220"/>
      <c r="E71" s="559"/>
      <c r="F71" s="553"/>
      <c r="G71" s="552"/>
      <c r="H71" s="633"/>
      <c r="I71" s="482" t="str">
        <f t="shared" si="15"/>
        <v>-</v>
      </c>
      <c r="J71" s="482" t="str">
        <f t="shared" si="16"/>
        <v>-</v>
      </c>
      <c r="K71" s="194" t="str">
        <f t="shared" si="17"/>
        <v>-</v>
      </c>
      <c r="L71" s="692"/>
      <c r="M71" s="483" t="e">
        <f>RANK(K71, K$87:$K$101)</f>
        <v>#VALUE!</v>
      </c>
      <c r="N71" s="640"/>
      <c r="O71" s="640"/>
      <c r="P71" s="490"/>
      <c r="Q71" s="491"/>
      <c r="R71" s="491"/>
      <c r="S71" s="490"/>
      <c r="T71" s="633"/>
      <c r="U71" s="490"/>
      <c r="V71" s="491"/>
      <c r="W71" s="491"/>
      <c r="X71" s="490"/>
      <c r="Y71" s="633"/>
      <c r="Z71" s="490"/>
      <c r="AA71" s="491"/>
      <c r="AB71" s="491"/>
      <c r="AC71" s="490"/>
      <c r="AD71" s="633"/>
      <c r="AE71" s="490"/>
      <c r="AF71" s="491"/>
      <c r="AG71" s="491"/>
      <c r="AH71" s="490"/>
      <c r="AI71" s="633"/>
      <c r="AJ71" s="490"/>
      <c r="AK71" s="491"/>
      <c r="AL71" s="491"/>
      <c r="AM71" s="490"/>
      <c r="AN71" s="633"/>
      <c r="AO71" s="490"/>
      <c r="AP71" s="491"/>
      <c r="AQ71" s="491"/>
      <c r="AR71" s="490"/>
      <c r="AS71" s="633"/>
      <c r="AT71" s="490"/>
      <c r="AU71" s="491"/>
      <c r="AV71" s="491"/>
      <c r="AW71" s="490"/>
      <c r="AX71" s="633"/>
      <c r="AZ71" s="357" t="e">
        <f t="shared" si="18"/>
        <v>#N/A</v>
      </c>
      <c r="BA71" s="633"/>
    </row>
    <row r="72" spans="2:53">
      <c r="B72" s="643"/>
      <c r="C72" s="481">
        <v>6</v>
      </c>
      <c r="D72" s="220"/>
      <c r="E72" s="559"/>
      <c r="F72" s="553"/>
      <c r="G72" s="552"/>
      <c r="H72" s="633"/>
      <c r="I72" s="482" t="str">
        <f t="shared" si="15"/>
        <v>-</v>
      </c>
      <c r="J72" s="482" t="str">
        <f t="shared" si="16"/>
        <v>-</v>
      </c>
      <c r="K72" s="194" t="str">
        <f t="shared" si="17"/>
        <v>-</v>
      </c>
      <c r="L72" s="692"/>
      <c r="M72" s="483" t="e">
        <f>RANK(K72, K$87:$K$101)</f>
        <v>#VALUE!</v>
      </c>
      <c r="N72" s="640"/>
      <c r="O72" s="640"/>
      <c r="P72" s="490"/>
      <c r="Q72" s="491"/>
      <c r="R72" s="491"/>
      <c r="S72" s="490"/>
      <c r="T72" s="633"/>
      <c r="U72" s="490"/>
      <c r="V72" s="491"/>
      <c r="W72" s="491"/>
      <c r="X72" s="490"/>
      <c r="Y72" s="633"/>
      <c r="Z72" s="490"/>
      <c r="AA72" s="491"/>
      <c r="AB72" s="491"/>
      <c r="AC72" s="490"/>
      <c r="AD72" s="633"/>
      <c r="AE72" s="490"/>
      <c r="AF72" s="491"/>
      <c r="AG72" s="491"/>
      <c r="AH72" s="490"/>
      <c r="AI72" s="633"/>
      <c r="AJ72" s="490"/>
      <c r="AK72" s="491"/>
      <c r="AL72" s="491"/>
      <c r="AM72" s="490"/>
      <c r="AN72" s="633"/>
      <c r="AO72" s="490"/>
      <c r="AP72" s="491"/>
      <c r="AQ72" s="491"/>
      <c r="AR72" s="490"/>
      <c r="AS72" s="633"/>
      <c r="AT72" s="490"/>
      <c r="AU72" s="491"/>
      <c r="AV72" s="491"/>
      <c r="AW72" s="490"/>
      <c r="AX72" s="633"/>
      <c r="AZ72" s="357" t="e">
        <f t="shared" si="18"/>
        <v>#N/A</v>
      </c>
      <c r="BA72" s="633"/>
    </row>
    <row r="73" spans="2:53">
      <c r="B73" s="643"/>
      <c r="C73" s="481">
        <v>7</v>
      </c>
      <c r="D73" s="220"/>
      <c r="E73" s="559"/>
      <c r="F73" s="553"/>
      <c r="G73" s="552"/>
      <c r="H73" s="633"/>
      <c r="I73" s="482" t="str">
        <f t="shared" si="15"/>
        <v>-</v>
      </c>
      <c r="J73" s="482" t="str">
        <f t="shared" si="16"/>
        <v>-</v>
      </c>
      <c r="K73" s="194" t="str">
        <f t="shared" si="17"/>
        <v>-</v>
      </c>
      <c r="L73" s="692"/>
      <c r="M73" s="483" t="e">
        <f>RANK(K73, K$87:$K$101)</f>
        <v>#VALUE!</v>
      </c>
      <c r="N73" s="640"/>
      <c r="O73" s="640"/>
      <c r="P73" s="490"/>
      <c r="Q73" s="491"/>
      <c r="R73" s="491"/>
      <c r="S73" s="490"/>
      <c r="T73" s="633"/>
      <c r="U73" s="490"/>
      <c r="V73" s="491"/>
      <c r="W73" s="491"/>
      <c r="X73" s="490"/>
      <c r="Y73" s="633"/>
      <c r="Z73" s="490"/>
      <c r="AA73" s="491"/>
      <c r="AB73" s="491"/>
      <c r="AC73" s="490"/>
      <c r="AD73" s="633"/>
      <c r="AE73" s="490"/>
      <c r="AF73" s="491"/>
      <c r="AG73" s="491"/>
      <c r="AH73" s="490"/>
      <c r="AI73" s="633"/>
      <c r="AJ73" s="490"/>
      <c r="AK73" s="491"/>
      <c r="AL73" s="491"/>
      <c r="AM73" s="490"/>
      <c r="AN73" s="633"/>
      <c r="AO73" s="490"/>
      <c r="AP73" s="491"/>
      <c r="AQ73" s="491"/>
      <c r="AR73" s="490"/>
      <c r="AS73" s="633"/>
      <c r="AT73" s="490"/>
      <c r="AU73" s="491"/>
      <c r="AV73" s="491"/>
      <c r="AW73" s="490"/>
      <c r="AX73" s="633"/>
      <c r="AZ73" s="357" t="e">
        <f t="shared" si="18"/>
        <v>#N/A</v>
      </c>
      <c r="BA73" s="633"/>
    </row>
    <row r="74" spans="2:53">
      <c r="B74" s="643"/>
      <c r="C74" s="481">
        <v>8</v>
      </c>
      <c r="D74" s="220"/>
      <c r="E74" s="559"/>
      <c r="F74" s="553"/>
      <c r="G74" s="552"/>
      <c r="H74" s="633"/>
      <c r="I74" s="482" t="str">
        <f t="shared" si="15"/>
        <v>-</v>
      </c>
      <c r="J74" s="482" t="str">
        <f t="shared" si="16"/>
        <v>-</v>
      </c>
      <c r="K74" s="194" t="str">
        <f t="shared" si="17"/>
        <v>-</v>
      </c>
      <c r="L74" s="692"/>
      <c r="M74" s="483" t="e">
        <f>RANK(K74, K$87:$K$101)</f>
        <v>#VALUE!</v>
      </c>
      <c r="N74" s="640"/>
      <c r="O74" s="640"/>
      <c r="P74" s="490"/>
      <c r="Q74" s="491"/>
      <c r="R74" s="491"/>
      <c r="S74" s="490"/>
      <c r="T74" s="633"/>
      <c r="U74" s="490"/>
      <c r="V74" s="491"/>
      <c r="W74" s="491"/>
      <c r="X74" s="490"/>
      <c r="Y74" s="633"/>
      <c r="Z74" s="490"/>
      <c r="AA74" s="491"/>
      <c r="AB74" s="491"/>
      <c r="AC74" s="490"/>
      <c r="AD74" s="633"/>
      <c r="AE74" s="490"/>
      <c r="AF74" s="491"/>
      <c r="AG74" s="491"/>
      <c r="AH74" s="490"/>
      <c r="AI74" s="633"/>
      <c r="AJ74" s="490"/>
      <c r="AK74" s="491"/>
      <c r="AL74" s="491"/>
      <c r="AM74" s="490"/>
      <c r="AN74" s="633"/>
      <c r="AO74" s="490"/>
      <c r="AP74" s="491"/>
      <c r="AQ74" s="491"/>
      <c r="AR74" s="490"/>
      <c r="AS74" s="633"/>
      <c r="AT74" s="490"/>
      <c r="AU74" s="491"/>
      <c r="AV74" s="491"/>
      <c r="AW74" s="490"/>
      <c r="AX74" s="633"/>
      <c r="AZ74" s="357" t="e">
        <f t="shared" si="18"/>
        <v>#N/A</v>
      </c>
      <c r="BA74" s="633"/>
    </row>
    <row r="75" spans="2:53">
      <c r="B75" s="643"/>
      <c r="C75" s="481">
        <v>9</v>
      </c>
      <c r="D75" s="220"/>
      <c r="E75" s="559"/>
      <c r="F75" s="553"/>
      <c r="G75" s="552"/>
      <c r="H75" s="633"/>
      <c r="I75" s="482" t="str">
        <f t="shared" si="15"/>
        <v>-</v>
      </c>
      <c r="J75" s="482" t="str">
        <f t="shared" si="16"/>
        <v>-</v>
      </c>
      <c r="K75" s="194" t="str">
        <f t="shared" si="17"/>
        <v>-</v>
      </c>
      <c r="L75" s="692"/>
      <c r="M75" s="483" t="e">
        <f>RANK(K75, K$87:$K$101)</f>
        <v>#VALUE!</v>
      </c>
      <c r="N75" s="640"/>
      <c r="O75" s="640"/>
      <c r="P75" s="490"/>
      <c r="Q75" s="491"/>
      <c r="R75" s="491"/>
      <c r="S75" s="490"/>
      <c r="T75" s="633"/>
      <c r="U75" s="490"/>
      <c r="V75" s="491"/>
      <c r="W75" s="491"/>
      <c r="X75" s="490"/>
      <c r="Y75" s="633"/>
      <c r="Z75" s="490"/>
      <c r="AA75" s="491"/>
      <c r="AB75" s="491"/>
      <c r="AC75" s="490"/>
      <c r="AD75" s="633"/>
      <c r="AE75" s="490"/>
      <c r="AF75" s="491"/>
      <c r="AG75" s="491"/>
      <c r="AH75" s="490"/>
      <c r="AI75" s="633"/>
      <c r="AJ75" s="490"/>
      <c r="AK75" s="491"/>
      <c r="AL75" s="491"/>
      <c r="AM75" s="490"/>
      <c r="AN75" s="633"/>
      <c r="AO75" s="490"/>
      <c r="AP75" s="491"/>
      <c r="AQ75" s="491"/>
      <c r="AR75" s="490"/>
      <c r="AS75" s="633"/>
      <c r="AT75" s="490"/>
      <c r="AU75" s="491"/>
      <c r="AV75" s="491"/>
      <c r="AW75" s="490"/>
      <c r="AX75" s="633"/>
      <c r="AZ75" s="357" t="e">
        <f t="shared" si="18"/>
        <v>#N/A</v>
      </c>
      <c r="BA75" s="633"/>
    </row>
    <row r="76" spans="2:53">
      <c r="B76" s="643"/>
      <c r="C76" s="481">
        <v>10</v>
      </c>
      <c r="D76" s="220"/>
      <c r="E76" s="559"/>
      <c r="F76" s="553"/>
      <c r="G76" s="552"/>
      <c r="H76" s="633"/>
      <c r="I76" s="482" t="str">
        <f t="shared" si="15"/>
        <v>-</v>
      </c>
      <c r="J76" s="482" t="str">
        <f t="shared" si="16"/>
        <v>-</v>
      </c>
      <c r="K76" s="194" t="str">
        <f t="shared" si="17"/>
        <v>-</v>
      </c>
      <c r="L76" s="692"/>
      <c r="M76" s="483" t="e">
        <f>RANK(K76, K$87:$K$101)</f>
        <v>#VALUE!</v>
      </c>
      <c r="N76" s="640"/>
      <c r="O76" s="640"/>
      <c r="P76" s="490"/>
      <c r="Q76" s="491"/>
      <c r="R76" s="491"/>
      <c r="S76" s="490"/>
      <c r="T76" s="633"/>
      <c r="U76" s="490"/>
      <c r="V76" s="491"/>
      <c r="W76" s="491"/>
      <c r="X76" s="490"/>
      <c r="Y76" s="633"/>
      <c r="Z76" s="490"/>
      <c r="AA76" s="491"/>
      <c r="AB76" s="491"/>
      <c r="AC76" s="490"/>
      <c r="AD76" s="633"/>
      <c r="AE76" s="490"/>
      <c r="AF76" s="491"/>
      <c r="AG76" s="491"/>
      <c r="AH76" s="490"/>
      <c r="AI76" s="633"/>
      <c r="AJ76" s="490"/>
      <c r="AK76" s="491"/>
      <c r="AL76" s="491"/>
      <c r="AM76" s="490"/>
      <c r="AN76" s="633"/>
      <c r="AO76" s="490"/>
      <c r="AP76" s="491"/>
      <c r="AQ76" s="491"/>
      <c r="AR76" s="490"/>
      <c r="AS76" s="633"/>
      <c r="AT76" s="490"/>
      <c r="AU76" s="491"/>
      <c r="AV76" s="491"/>
      <c r="AW76" s="490"/>
      <c r="AX76" s="633"/>
      <c r="AZ76" s="357" t="e">
        <f t="shared" si="18"/>
        <v>#N/A</v>
      </c>
      <c r="BA76" s="633"/>
    </row>
    <row r="77" spans="2:53">
      <c r="B77" s="643"/>
      <c r="C77" s="481">
        <v>11</v>
      </c>
      <c r="D77" s="220"/>
      <c r="E77" s="559"/>
      <c r="F77" s="553"/>
      <c r="G77" s="552"/>
      <c r="H77" s="633"/>
      <c r="I77" s="482" t="str">
        <f t="shared" si="15"/>
        <v>-</v>
      </c>
      <c r="J77" s="482" t="str">
        <f t="shared" si="16"/>
        <v>-</v>
      </c>
      <c r="K77" s="194" t="str">
        <f t="shared" si="17"/>
        <v>-</v>
      </c>
      <c r="L77" s="692"/>
      <c r="M77" s="483" t="e">
        <f>RANK(K77, K$87:$K$101)</f>
        <v>#VALUE!</v>
      </c>
      <c r="N77" s="640"/>
      <c r="O77" s="640"/>
      <c r="P77" s="490"/>
      <c r="Q77" s="491"/>
      <c r="R77" s="491"/>
      <c r="S77" s="490"/>
      <c r="T77" s="633"/>
      <c r="U77" s="490"/>
      <c r="V77" s="491"/>
      <c r="W77" s="491"/>
      <c r="X77" s="490"/>
      <c r="Y77" s="633"/>
      <c r="Z77" s="490"/>
      <c r="AA77" s="491"/>
      <c r="AB77" s="491"/>
      <c r="AC77" s="490"/>
      <c r="AD77" s="633"/>
      <c r="AE77" s="490"/>
      <c r="AF77" s="491"/>
      <c r="AG77" s="491"/>
      <c r="AH77" s="490"/>
      <c r="AI77" s="633"/>
      <c r="AJ77" s="490"/>
      <c r="AK77" s="491"/>
      <c r="AL77" s="491"/>
      <c r="AM77" s="490"/>
      <c r="AN77" s="633"/>
      <c r="AO77" s="490"/>
      <c r="AP77" s="491"/>
      <c r="AQ77" s="491"/>
      <c r="AR77" s="490"/>
      <c r="AS77" s="633"/>
      <c r="AT77" s="490"/>
      <c r="AU77" s="491"/>
      <c r="AV77" s="491"/>
      <c r="AW77" s="490"/>
      <c r="AX77" s="633"/>
      <c r="AZ77" s="357" t="e">
        <f t="shared" si="18"/>
        <v>#N/A</v>
      </c>
      <c r="BA77" s="633"/>
    </row>
    <row r="78" spans="2:53">
      <c r="B78" s="643"/>
      <c r="C78" s="481">
        <v>12</v>
      </c>
      <c r="D78" s="220"/>
      <c r="E78" s="559"/>
      <c r="F78" s="553"/>
      <c r="G78" s="552"/>
      <c r="H78" s="633"/>
      <c r="I78" s="482" t="str">
        <f t="shared" si="15"/>
        <v>-</v>
      </c>
      <c r="J78" s="482" t="str">
        <f t="shared" si="16"/>
        <v>-</v>
      </c>
      <c r="K78" s="194" t="str">
        <f t="shared" si="17"/>
        <v>-</v>
      </c>
      <c r="L78" s="692"/>
      <c r="M78" s="483" t="e">
        <f>RANK(K78, K$87:$K$101)</f>
        <v>#VALUE!</v>
      </c>
      <c r="N78" s="640"/>
      <c r="O78" s="640"/>
      <c r="P78" s="490"/>
      <c r="Q78" s="491"/>
      <c r="R78" s="491"/>
      <c r="S78" s="490"/>
      <c r="T78" s="633"/>
      <c r="U78" s="490"/>
      <c r="V78" s="491"/>
      <c r="W78" s="491"/>
      <c r="X78" s="490"/>
      <c r="Y78" s="633"/>
      <c r="Z78" s="490"/>
      <c r="AA78" s="491"/>
      <c r="AB78" s="491"/>
      <c r="AC78" s="490"/>
      <c r="AD78" s="633"/>
      <c r="AE78" s="490"/>
      <c r="AF78" s="491"/>
      <c r="AG78" s="491"/>
      <c r="AH78" s="490"/>
      <c r="AI78" s="633"/>
      <c r="AJ78" s="490"/>
      <c r="AK78" s="491"/>
      <c r="AL78" s="491"/>
      <c r="AM78" s="490"/>
      <c r="AN78" s="633"/>
      <c r="AO78" s="490"/>
      <c r="AP78" s="491"/>
      <c r="AQ78" s="491"/>
      <c r="AR78" s="490"/>
      <c r="AS78" s="633"/>
      <c r="AT78" s="490"/>
      <c r="AU78" s="491"/>
      <c r="AV78" s="491"/>
      <c r="AW78" s="490"/>
      <c r="AX78" s="633"/>
      <c r="AZ78" s="357" t="e">
        <f t="shared" si="18"/>
        <v>#N/A</v>
      </c>
      <c r="BA78" s="633"/>
    </row>
    <row r="79" spans="2:53">
      <c r="B79" s="643"/>
      <c r="C79" s="481">
        <v>13</v>
      </c>
      <c r="D79" s="220"/>
      <c r="E79" s="559"/>
      <c r="F79" s="553"/>
      <c r="G79" s="552"/>
      <c r="H79" s="633"/>
      <c r="I79" s="482" t="str">
        <f t="shared" si="15"/>
        <v>-</v>
      </c>
      <c r="J79" s="482" t="str">
        <f t="shared" si="16"/>
        <v>-</v>
      </c>
      <c r="K79" s="194" t="str">
        <f t="shared" si="17"/>
        <v>-</v>
      </c>
      <c r="L79" s="692"/>
      <c r="M79" s="483" t="e">
        <f>RANK(K79, K$87:$K$101)</f>
        <v>#VALUE!</v>
      </c>
      <c r="N79" s="640"/>
      <c r="O79" s="640"/>
      <c r="P79" s="490"/>
      <c r="Q79" s="491"/>
      <c r="R79" s="491"/>
      <c r="S79" s="490"/>
      <c r="T79" s="633"/>
      <c r="U79" s="490"/>
      <c r="V79" s="491"/>
      <c r="W79" s="491"/>
      <c r="X79" s="490"/>
      <c r="Y79" s="633"/>
      <c r="Z79" s="490"/>
      <c r="AA79" s="491"/>
      <c r="AB79" s="491"/>
      <c r="AC79" s="490"/>
      <c r="AD79" s="633"/>
      <c r="AE79" s="490"/>
      <c r="AF79" s="491"/>
      <c r="AG79" s="491"/>
      <c r="AH79" s="490"/>
      <c r="AI79" s="633"/>
      <c r="AJ79" s="490"/>
      <c r="AK79" s="491"/>
      <c r="AL79" s="491"/>
      <c r="AM79" s="490"/>
      <c r="AN79" s="633"/>
      <c r="AO79" s="490"/>
      <c r="AP79" s="491"/>
      <c r="AQ79" s="491"/>
      <c r="AR79" s="490"/>
      <c r="AS79" s="633"/>
      <c r="AT79" s="490"/>
      <c r="AU79" s="491"/>
      <c r="AV79" s="491"/>
      <c r="AW79" s="490"/>
      <c r="AX79" s="633"/>
      <c r="AZ79" s="357" t="e">
        <f t="shared" si="18"/>
        <v>#N/A</v>
      </c>
      <c r="BA79" s="633"/>
    </row>
    <row r="80" spans="2:53">
      <c r="B80" s="643"/>
      <c r="C80" s="481">
        <v>14</v>
      </c>
      <c r="D80" s="220"/>
      <c r="E80" s="559"/>
      <c r="F80" s="553"/>
      <c r="G80" s="552"/>
      <c r="H80" s="633"/>
      <c r="I80" s="482" t="str">
        <f t="shared" si="15"/>
        <v>-</v>
      </c>
      <c r="J80" s="482" t="str">
        <f t="shared" si="16"/>
        <v>-</v>
      </c>
      <c r="K80" s="194" t="str">
        <f t="shared" si="17"/>
        <v>-</v>
      </c>
      <c r="L80" s="692"/>
      <c r="M80" s="483" t="e">
        <f>RANK(K80, K$87:$K$101)</f>
        <v>#VALUE!</v>
      </c>
      <c r="N80" s="640"/>
      <c r="O80" s="640"/>
      <c r="P80" s="490"/>
      <c r="Q80" s="491"/>
      <c r="R80" s="491"/>
      <c r="S80" s="490"/>
      <c r="T80" s="633"/>
      <c r="U80" s="490"/>
      <c r="V80" s="491"/>
      <c r="W80" s="491"/>
      <c r="X80" s="490"/>
      <c r="Y80" s="633"/>
      <c r="Z80" s="490"/>
      <c r="AA80" s="491"/>
      <c r="AB80" s="491"/>
      <c r="AC80" s="490"/>
      <c r="AD80" s="633"/>
      <c r="AE80" s="490"/>
      <c r="AF80" s="491"/>
      <c r="AG80" s="491"/>
      <c r="AH80" s="490"/>
      <c r="AI80" s="633"/>
      <c r="AJ80" s="490"/>
      <c r="AK80" s="491"/>
      <c r="AL80" s="491"/>
      <c r="AM80" s="490"/>
      <c r="AN80" s="633"/>
      <c r="AO80" s="490"/>
      <c r="AP80" s="491"/>
      <c r="AQ80" s="491"/>
      <c r="AR80" s="490"/>
      <c r="AS80" s="633"/>
      <c r="AT80" s="490"/>
      <c r="AU80" s="491"/>
      <c r="AV80" s="491"/>
      <c r="AW80" s="490"/>
      <c r="AX80" s="633"/>
      <c r="AZ80" s="357" t="e">
        <f t="shared" si="18"/>
        <v>#N/A</v>
      </c>
      <c r="BA80" s="633"/>
    </row>
    <row r="81" spans="2:53">
      <c r="B81" s="643"/>
      <c r="C81" s="481">
        <v>15</v>
      </c>
      <c r="D81" s="220"/>
      <c r="E81" s="559"/>
      <c r="F81" s="553"/>
      <c r="G81" s="552"/>
      <c r="H81" s="634"/>
      <c r="I81" s="482" t="str">
        <f t="shared" ref="I81" si="20">IFERROR(AVERAGE(P81,U81,Z81,AE81,AJ81,AO81,AT81),"-")</f>
        <v>-</v>
      </c>
      <c r="J81" s="482" t="str">
        <f t="shared" ref="J81" si="21">IFERROR(AVERAGE(Q81,V81,AA81,AF81,AK81,AP81,AU81),"-")</f>
        <v>-</v>
      </c>
      <c r="K81" s="194" t="str">
        <f t="shared" ref="K81" si="22">IFERROR(AVERAGE(R81,W81,AB81,AG81,AL81,AQ81,AV81),"-")</f>
        <v>-</v>
      </c>
      <c r="L81" s="693"/>
      <c r="M81" s="482" t="e">
        <f>RANK(K81, K$87:$K$101)</f>
        <v>#VALUE!</v>
      </c>
      <c r="N81" s="641"/>
      <c r="O81" s="641"/>
      <c r="P81" s="490"/>
      <c r="Q81" s="491"/>
      <c r="R81" s="491"/>
      <c r="S81" s="490"/>
      <c r="T81" s="634"/>
      <c r="U81" s="490"/>
      <c r="V81" s="491"/>
      <c r="W81" s="491"/>
      <c r="X81" s="490"/>
      <c r="Y81" s="634"/>
      <c r="Z81" s="490"/>
      <c r="AA81" s="491"/>
      <c r="AB81" s="491"/>
      <c r="AC81" s="490"/>
      <c r="AD81" s="634"/>
      <c r="AE81" s="490"/>
      <c r="AF81" s="491"/>
      <c r="AG81" s="491"/>
      <c r="AH81" s="490"/>
      <c r="AI81" s="634"/>
      <c r="AJ81" s="490"/>
      <c r="AK81" s="491"/>
      <c r="AL81" s="491"/>
      <c r="AM81" s="490"/>
      <c r="AN81" s="634"/>
      <c r="AO81" s="490"/>
      <c r="AP81" s="491"/>
      <c r="AQ81" s="491"/>
      <c r="AR81" s="490"/>
      <c r="AS81" s="634"/>
      <c r="AT81" s="490"/>
      <c r="AU81" s="491"/>
      <c r="AV81" s="491"/>
      <c r="AW81" s="490"/>
      <c r="AX81" s="634"/>
      <c r="AZ81" s="357" t="e">
        <f t="shared" si="18"/>
        <v>#N/A</v>
      </c>
      <c r="BA81" s="634"/>
    </row>
    <row r="82" spans="2:53" ht="15.75">
      <c r="B82" s="665" t="s">
        <v>162</v>
      </c>
      <c r="C82" s="666"/>
      <c r="D82" s="666"/>
      <c r="E82" s="666"/>
      <c r="F82" s="666"/>
      <c r="G82" s="666"/>
      <c r="H82" s="667"/>
      <c r="I82" s="202"/>
      <c r="J82" s="202"/>
      <c r="K82" s="202"/>
      <c r="L82" s="202"/>
      <c r="M82" s="201"/>
      <c r="N82" s="639" t="s">
        <v>156</v>
      </c>
      <c r="O82" s="639" t="s">
        <v>105</v>
      </c>
      <c r="P82" s="664">
        <f>P62+7</f>
        <v>46322</v>
      </c>
      <c r="Q82" s="643"/>
      <c r="R82" s="643"/>
      <c r="S82" s="643"/>
      <c r="T82" s="643"/>
      <c r="U82" s="661">
        <f>P82+1</f>
        <v>46323</v>
      </c>
      <c r="V82" s="662"/>
      <c r="W82" s="662"/>
      <c r="X82" s="662"/>
      <c r="Y82" s="663"/>
      <c r="Z82" s="661">
        <f>U82+1</f>
        <v>46324</v>
      </c>
      <c r="AA82" s="662"/>
      <c r="AB82" s="662"/>
      <c r="AC82" s="662"/>
      <c r="AD82" s="663"/>
      <c r="AE82" s="661">
        <f>Z82+1</f>
        <v>46325</v>
      </c>
      <c r="AF82" s="662"/>
      <c r="AG82" s="662"/>
      <c r="AH82" s="662"/>
      <c r="AI82" s="663"/>
      <c r="AJ82" s="661">
        <f>AE82+1</f>
        <v>46326</v>
      </c>
      <c r="AK82" s="662"/>
      <c r="AL82" s="662"/>
      <c r="AM82" s="662"/>
      <c r="AN82" s="663"/>
      <c r="AO82" s="661">
        <f>AJ82+1</f>
        <v>46327</v>
      </c>
      <c r="AP82" s="662"/>
      <c r="AQ82" s="662"/>
      <c r="AR82" s="662"/>
      <c r="AS82" s="663"/>
      <c r="AT82" s="661">
        <f>AO82+1</f>
        <v>46328</v>
      </c>
      <c r="AU82" s="662"/>
      <c r="AV82" s="662"/>
      <c r="AW82" s="662"/>
      <c r="AX82" s="663"/>
    </row>
    <row r="83" spans="2:53" ht="15.75">
      <c r="B83" s="668"/>
      <c r="C83" s="668"/>
      <c r="D83" s="668"/>
      <c r="E83" s="668"/>
      <c r="F83" s="668"/>
      <c r="G83" s="668"/>
      <c r="H83" s="668"/>
      <c r="I83" s="199"/>
      <c r="J83" s="199"/>
      <c r="K83" s="199"/>
      <c r="L83" s="199"/>
      <c r="M83" s="200"/>
      <c r="N83" s="641"/>
      <c r="O83" s="641"/>
      <c r="P83" s="664" t="s">
        <v>317</v>
      </c>
      <c r="Q83" s="643"/>
      <c r="R83" s="643"/>
      <c r="S83" s="643"/>
      <c r="T83" s="643"/>
      <c r="U83" s="664" t="s">
        <v>318</v>
      </c>
      <c r="V83" s="643"/>
      <c r="W83" s="643"/>
      <c r="X83" s="643"/>
      <c r="Y83" s="643"/>
      <c r="Z83" s="664" t="s">
        <v>319</v>
      </c>
      <c r="AA83" s="643"/>
      <c r="AB83" s="643"/>
      <c r="AC83" s="643"/>
      <c r="AD83" s="643"/>
      <c r="AE83" s="664" t="s">
        <v>320</v>
      </c>
      <c r="AF83" s="643"/>
      <c r="AG83" s="643"/>
      <c r="AH83" s="643"/>
      <c r="AI83" s="643"/>
      <c r="AJ83" s="664" t="s">
        <v>321</v>
      </c>
      <c r="AK83" s="643"/>
      <c r="AL83" s="643"/>
      <c r="AM83" s="643"/>
      <c r="AN83" s="643"/>
      <c r="AO83" s="664" t="s">
        <v>322</v>
      </c>
      <c r="AP83" s="643"/>
      <c r="AQ83" s="643"/>
      <c r="AR83" s="643"/>
      <c r="AS83" s="643"/>
      <c r="AT83" s="664" t="s">
        <v>323</v>
      </c>
      <c r="AU83" s="643"/>
      <c r="AV83" s="643"/>
      <c r="AW83" s="643"/>
      <c r="AX83" s="643"/>
    </row>
    <row r="84" spans="2:53">
      <c r="B84" s="637" t="s">
        <v>743</v>
      </c>
      <c r="C84" s="637" t="s">
        <v>370</v>
      </c>
      <c r="D84" s="637"/>
      <c r="E84" s="637" t="s">
        <v>361</v>
      </c>
      <c r="F84" s="637"/>
      <c r="G84" s="637"/>
      <c r="H84" s="669" t="s">
        <v>357</v>
      </c>
      <c r="I84" s="684" t="s">
        <v>362</v>
      </c>
      <c r="J84" s="684"/>
      <c r="K84" s="684"/>
      <c r="L84" s="685" t="s">
        <v>357</v>
      </c>
      <c r="M84" s="673" t="s">
        <v>358</v>
      </c>
      <c r="N84" s="637"/>
      <c r="O84" s="637" t="s">
        <v>363</v>
      </c>
      <c r="P84" s="655" t="s">
        <v>359</v>
      </c>
      <c r="Q84" s="656"/>
      <c r="R84" s="656"/>
      <c r="S84" s="657"/>
      <c r="T84" s="637" t="s">
        <v>357</v>
      </c>
      <c r="U84" s="655" t="s">
        <v>359</v>
      </c>
      <c r="V84" s="656"/>
      <c r="W84" s="656"/>
      <c r="X84" s="657"/>
      <c r="Y84" s="637" t="s">
        <v>357</v>
      </c>
      <c r="Z84" s="655" t="s">
        <v>359</v>
      </c>
      <c r="AA84" s="656"/>
      <c r="AB84" s="656"/>
      <c r="AC84" s="657"/>
      <c r="AD84" s="637" t="s">
        <v>357</v>
      </c>
      <c r="AE84" s="655" t="s">
        <v>359</v>
      </c>
      <c r="AF84" s="656"/>
      <c r="AG84" s="656"/>
      <c r="AH84" s="657"/>
      <c r="AI84" s="637" t="s">
        <v>357</v>
      </c>
      <c r="AJ84" s="655" t="s">
        <v>359</v>
      </c>
      <c r="AK84" s="656"/>
      <c r="AL84" s="656"/>
      <c r="AM84" s="657"/>
      <c r="AN84" s="637" t="s">
        <v>357</v>
      </c>
      <c r="AO84" s="655" t="s">
        <v>359</v>
      </c>
      <c r="AP84" s="656"/>
      <c r="AQ84" s="656"/>
      <c r="AR84" s="657"/>
      <c r="AS84" s="637" t="s">
        <v>357</v>
      </c>
      <c r="AT84" s="655" t="s">
        <v>359</v>
      </c>
      <c r="AU84" s="656"/>
      <c r="AV84" s="656"/>
      <c r="AW84" s="657"/>
      <c r="AX84" s="637" t="s">
        <v>357</v>
      </c>
      <c r="BA84" s="637" t="s">
        <v>357</v>
      </c>
    </row>
    <row r="85" spans="2:53">
      <c r="B85" s="637"/>
      <c r="C85" s="637"/>
      <c r="D85" s="637"/>
      <c r="E85" s="637" t="s">
        <v>364</v>
      </c>
      <c r="F85" s="637"/>
      <c r="G85" s="637"/>
      <c r="H85" s="670"/>
      <c r="I85" s="684" t="s">
        <v>364</v>
      </c>
      <c r="J85" s="684"/>
      <c r="K85" s="684"/>
      <c r="L85" s="686"/>
      <c r="M85" s="674"/>
      <c r="N85" s="637"/>
      <c r="O85" s="637"/>
      <c r="P85" s="655" t="s">
        <v>365</v>
      </c>
      <c r="Q85" s="656"/>
      <c r="R85" s="656"/>
      <c r="S85" s="657"/>
      <c r="T85" s="637"/>
      <c r="U85" s="655" t="s">
        <v>365</v>
      </c>
      <c r="V85" s="656"/>
      <c r="W85" s="656"/>
      <c r="X85" s="657"/>
      <c r="Y85" s="637"/>
      <c r="Z85" s="655" t="s">
        <v>365</v>
      </c>
      <c r="AA85" s="656"/>
      <c r="AB85" s="656"/>
      <c r="AC85" s="657"/>
      <c r="AD85" s="637"/>
      <c r="AE85" s="655" t="s">
        <v>365</v>
      </c>
      <c r="AF85" s="656"/>
      <c r="AG85" s="656"/>
      <c r="AH85" s="657"/>
      <c r="AI85" s="637"/>
      <c r="AJ85" s="655" t="s">
        <v>365</v>
      </c>
      <c r="AK85" s="656"/>
      <c r="AL85" s="656"/>
      <c r="AM85" s="657"/>
      <c r="AN85" s="637"/>
      <c r="AO85" s="655" t="s">
        <v>365</v>
      </c>
      <c r="AP85" s="656"/>
      <c r="AQ85" s="656"/>
      <c r="AR85" s="657"/>
      <c r="AS85" s="637"/>
      <c r="AT85" s="655" t="s">
        <v>365</v>
      </c>
      <c r="AU85" s="656"/>
      <c r="AV85" s="656"/>
      <c r="AW85" s="657"/>
      <c r="AX85" s="637"/>
      <c r="BA85" s="637"/>
    </row>
    <row r="86" spans="2:53">
      <c r="B86" s="637"/>
      <c r="C86" s="637"/>
      <c r="D86" s="637"/>
      <c r="E86" s="366" t="s">
        <v>366</v>
      </c>
      <c r="F86" s="366" t="s">
        <v>367</v>
      </c>
      <c r="G86" s="366" t="s">
        <v>368</v>
      </c>
      <c r="H86" s="671"/>
      <c r="I86" s="365" t="s">
        <v>366</v>
      </c>
      <c r="J86" s="365" t="s">
        <v>367</v>
      </c>
      <c r="K86" s="365" t="s">
        <v>368</v>
      </c>
      <c r="L86" s="687"/>
      <c r="M86" s="675"/>
      <c r="N86" s="637"/>
      <c r="O86" s="637"/>
      <c r="P86" s="366" t="s">
        <v>366</v>
      </c>
      <c r="Q86" s="366" t="s">
        <v>367</v>
      </c>
      <c r="R86" s="366" t="s">
        <v>368</v>
      </c>
      <c r="S86" s="366" t="s">
        <v>358</v>
      </c>
      <c r="T86" s="637"/>
      <c r="U86" s="366" t="s">
        <v>366</v>
      </c>
      <c r="V86" s="366" t="s">
        <v>367</v>
      </c>
      <c r="W86" s="366" t="s">
        <v>368</v>
      </c>
      <c r="X86" s="366" t="s">
        <v>358</v>
      </c>
      <c r="Y86" s="637"/>
      <c r="Z86" s="366" t="s">
        <v>366</v>
      </c>
      <c r="AA86" s="366" t="s">
        <v>367</v>
      </c>
      <c r="AB86" s="366" t="s">
        <v>368</v>
      </c>
      <c r="AC86" s="366" t="s">
        <v>358</v>
      </c>
      <c r="AD86" s="637"/>
      <c r="AE86" s="366" t="s">
        <v>366</v>
      </c>
      <c r="AF86" s="366" t="s">
        <v>367</v>
      </c>
      <c r="AG86" s="366" t="s">
        <v>368</v>
      </c>
      <c r="AH86" s="366" t="s">
        <v>358</v>
      </c>
      <c r="AI86" s="637"/>
      <c r="AJ86" s="366" t="s">
        <v>366</v>
      </c>
      <c r="AK86" s="366" t="s">
        <v>367</v>
      </c>
      <c r="AL86" s="366" t="s">
        <v>368</v>
      </c>
      <c r="AM86" s="366" t="s">
        <v>358</v>
      </c>
      <c r="AN86" s="637"/>
      <c r="AO86" s="366" t="s">
        <v>366</v>
      </c>
      <c r="AP86" s="366" t="s">
        <v>367</v>
      </c>
      <c r="AQ86" s="366" t="s">
        <v>368</v>
      </c>
      <c r="AR86" s="366" t="s">
        <v>358</v>
      </c>
      <c r="AS86" s="637"/>
      <c r="AT86" s="366" t="s">
        <v>366</v>
      </c>
      <c r="AU86" s="366" t="s">
        <v>367</v>
      </c>
      <c r="AV86" s="366" t="s">
        <v>368</v>
      </c>
      <c r="AW86" s="366" t="s">
        <v>358</v>
      </c>
      <c r="AX86" s="637"/>
      <c r="AZ86" s="356" t="s">
        <v>358</v>
      </c>
      <c r="BA86" s="637"/>
    </row>
    <row r="87" spans="2:53">
      <c r="B87" s="637" t="s">
        <v>395</v>
      </c>
      <c r="C87" s="367">
        <v>1</v>
      </c>
      <c r="D87" s="220"/>
      <c r="E87" s="477"/>
      <c r="F87" s="474"/>
      <c r="G87" s="473"/>
      <c r="H87" s="696" t="e">
        <f>AVERAGE(G87:G101)</f>
        <v>#DIV/0!</v>
      </c>
      <c r="I87" s="369" t="str">
        <f t="shared" ref="I87:I100" si="23">IFERROR(AVERAGE(P87,U87,Z87,AE87,AJ87,AO87,AT87),"-")</f>
        <v>-</v>
      </c>
      <c r="J87" s="369" t="str">
        <f t="shared" ref="J87:J100" si="24">IFERROR(AVERAGE(Q87,V87,AA87,AF87,AK87,AP87,AU87),"-")</f>
        <v>-</v>
      </c>
      <c r="K87" s="194" t="str">
        <f t="shared" ref="K87:K100" si="25">IFERROR(AVERAGE(R87,W87,AB87,AG87,AL87,AQ87,AV87),"-")</f>
        <v>-</v>
      </c>
      <c r="L87" s="652" t="str">
        <f>IFERROR(AVERAGE(K87:K101),"-")</f>
        <v>-</v>
      </c>
      <c r="M87" s="371" t="e">
        <f>RANK(K87, K$87:$K$101)</f>
        <v>#VALUE!</v>
      </c>
      <c r="N87" s="637"/>
      <c r="O87" s="637"/>
      <c r="P87" s="490"/>
      <c r="Q87" s="491"/>
      <c r="R87" s="491"/>
      <c r="S87" s="490"/>
      <c r="T87" s="632"/>
      <c r="U87" s="490"/>
      <c r="V87" s="491"/>
      <c r="W87" s="491"/>
      <c r="X87" s="490"/>
      <c r="Y87" s="632"/>
      <c r="Z87" s="490"/>
      <c r="AA87" s="491"/>
      <c r="AB87" s="491"/>
      <c r="AC87" s="490"/>
      <c r="AD87" s="632"/>
      <c r="AE87" s="490"/>
      <c r="AF87" s="491"/>
      <c r="AG87" s="491"/>
      <c r="AH87" s="490"/>
      <c r="AI87" s="632"/>
      <c r="AJ87" s="490"/>
      <c r="AK87" s="491"/>
      <c r="AL87" s="491"/>
      <c r="AM87" s="490"/>
      <c r="AN87" s="632"/>
      <c r="AO87" s="490"/>
      <c r="AP87" s="491"/>
      <c r="AQ87" s="491"/>
      <c r="AR87" s="490"/>
      <c r="AS87" s="632"/>
      <c r="AT87" s="490"/>
      <c r="AU87" s="491"/>
      <c r="AV87" s="491"/>
      <c r="AW87" s="490"/>
      <c r="AX87" s="632"/>
      <c r="AZ87" s="357" t="e">
        <f t="shared" ref="AZ87:AZ101" si="26">RANK(AY87, AY$87:AY$101)</f>
        <v>#N/A</v>
      </c>
      <c r="BA87" s="638" t="e">
        <f t="shared" ref="BA87" si="27">AVERAGE(AY87:AY101)</f>
        <v>#DIV/0!</v>
      </c>
    </row>
    <row r="88" spans="2:53">
      <c r="B88" s="643"/>
      <c r="C88" s="367">
        <v>2</v>
      </c>
      <c r="D88" s="220"/>
      <c r="E88" s="477"/>
      <c r="F88" s="474"/>
      <c r="G88" s="473"/>
      <c r="H88" s="697"/>
      <c r="I88" s="369" t="str">
        <f t="shared" si="23"/>
        <v>-</v>
      </c>
      <c r="J88" s="369" t="str">
        <f t="shared" si="24"/>
        <v>-</v>
      </c>
      <c r="K88" s="194" t="str">
        <f t="shared" si="25"/>
        <v>-</v>
      </c>
      <c r="L88" s="653"/>
      <c r="M88" s="371" t="e">
        <f>RANK(K88, K$87:$K$101)</f>
        <v>#VALUE!</v>
      </c>
      <c r="N88" s="637"/>
      <c r="O88" s="637"/>
      <c r="P88" s="490"/>
      <c r="Q88" s="491"/>
      <c r="R88" s="491"/>
      <c r="S88" s="490"/>
      <c r="T88" s="633"/>
      <c r="U88" s="490"/>
      <c r="V88" s="491"/>
      <c r="W88" s="491"/>
      <c r="X88" s="490"/>
      <c r="Y88" s="633"/>
      <c r="Z88" s="490"/>
      <c r="AA88" s="491"/>
      <c r="AB88" s="491"/>
      <c r="AC88" s="490"/>
      <c r="AD88" s="633"/>
      <c r="AE88" s="490"/>
      <c r="AF88" s="491"/>
      <c r="AG88" s="491"/>
      <c r="AH88" s="490"/>
      <c r="AI88" s="633"/>
      <c r="AJ88" s="490"/>
      <c r="AK88" s="491"/>
      <c r="AL88" s="491"/>
      <c r="AM88" s="490"/>
      <c r="AN88" s="633"/>
      <c r="AO88" s="490"/>
      <c r="AP88" s="491"/>
      <c r="AQ88" s="491"/>
      <c r="AR88" s="490"/>
      <c r="AS88" s="633"/>
      <c r="AT88" s="490"/>
      <c r="AU88" s="491"/>
      <c r="AV88" s="491"/>
      <c r="AW88" s="490"/>
      <c r="AX88" s="633"/>
      <c r="AZ88" s="357" t="e">
        <f t="shared" si="26"/>
        <v>#N/A</v>
      </c>
      <c r="BA88" s="638"/>
    </row>
    <row r="89" spans="2:53">
      <c r="B89" s="643"/>
      <c r="C89" s="367">
        <v>3</v>
      </c>
      <c r="D89" s="220"/>
      <c r="E89" s="477"/>
      <c r="F89" s="474"/>
      <c r="G89" s="473"/>
      <c r="H89" s="697"/>
      <c r="I89" s="369" t="str">
        <f t="shared" si="23"/>
        <v>-</v>
      </c>
      <c r="J89" s="369" t="str">
        <f t="shared" si="24"/>
        <v>-</v>
      </c>
      <c r="K89" s="194" t="str">
        <f t="shared" si="25"/>
        <v>-</v>
      </c>
      <c r="L89" s="653"/>
      <c r="M89" s="371" t="e">
        <f>RANK(K89, K$87:$K$101)</f>
        <v>#VALUE!</v>
      </c>
      <c r="N89" s="637"/>
      <c r="O89" s="637"/>
      <c r="P89" s="490"/>
      <c r="Q89" s="491"/>
      <c r="R89" s="491"/>
      <c r="S89" s="490"/>
      <c r="T89" s="633"/>
      <c r="U89" s="490"/>
      <c r="V89" s="491"/>
      <c r="W89" s="491"/>
      <c r="X89" s="490"/>
      <c r="Y89" s="633"/>
      <c r="Z89" s="490"/>
      <c r="AA89" s="491"/>
      <c r="AB89" s="491"/>
      <c r="AC89" s="490"/>
      <c r="AD89" s="633"/>
      <c r="AE89" s="490"/>
      <c r="AF89" s="491"/>
      <c r="AG89" s="491"/>
      <c r="AH89" s="490"/>
      <c r="AI89" s="633"/>
      <c r="AJ89" s="490"/>
      <c r="AK89" s="491"/>
      <c r="AL89" s="491"/>
      <c r="AM89" s="490"/>
      <c r="AN89" s="633"/>
      <c r="AO89" s="490"/>
      <c r="AP89" s="491"/>
      <c r="AQ89" s="491"/>
      <c r="AR89" s="490"/>
      <c r="AS89" s="633"/>
      <c r="AT89" s="490"/>
      <c r="AU89" s="491"/>
      <c r="AV89" s="491"/>
      <c r="AW89" s="490"/>
      <c r="AX89" s="633"/>
      <c r="AZ89" s="357" t="e">
        <f t="shared" si="26"/>
        <v>#N/A</v>
      </c>
      <c r="BA89" s="638"/>
    </row>
    <row r="90" spans="2:53">
      <c r="B90" s="643"/>
      <c r="C90" s="367">
        <v>4</v>
      </c>
      <c r="D90" s="220"/>
      <c r="E90" s="477"/>
      <c r="F90" s="474"/>
      <c r="G90" s="473"/>
      <c r="H90" s="697"/>
      <c r="I90" s="369" t="str">
        <f t="shared" si="23"/>
        <v>-</v>
      </c>
      <c r="J90" s="369" t="str">
        <f t="shared" si="24"/>
        <v>-</v>
      </c>
      <c r="K90" s="194" t="str">
        <f t="shared" si="25"/>
        <v>-</v>
      </c>
      <c r="L90" s="653"/>
      <c r="M90" s="371" t="e">
        <f>RANK(K90, K$87:$K$101)</f>
        <v>#VALUE!</v>
      </c>
      <c r="N90" s="637"/>
      <c r="O90" s="637"/>
      <c r="P90" s="490"/>
      <c r="Q90" s="491"/>
      <c r="R90" s="491"/>
      <c r="S90" s="490"/>
      <c r="T90" s="633"/>
      <c r="U90" s="490"/>
      <c r="V90" s="491"/>
      <c r="W90" s="491"/>
      <c r="X90" s="490"/>
      <c r="Y90" s="633"/>
      <c r="Z90" s="490"/>
      <c r="AA90" s="491"/>
      <c r="AB90" s="491"/>
      <c r="AC90" s="490"/>
      <c r="AD90" s="633"/>
      <c r="AE90" s="490"/>
      <c r="AF90" s="491"/>
      <c r="AG90" s="491"/>
      <c r="AH90" s="490"/>
      <c r="AI90" s="633"/>
      <c r="AJ90" s="490"/>
      <c r="AK90" s="491"/>
      <c r="AL90" s="491"/>
      <c r="AM90" s="490"/>
      <c r="AN90" s="633"/>
      <c r="AO90" s="490"/>
      <c r="AP90" s="491"/>
      <c r="AQ90" s="491"/>
      <c r="AR90" s="490"/>
      <c r="AS90" s="633"/>
      <c r="AT90" s="490"/>
      <c r="AU90" s="491"/>
      <c r="AV90" s="491"/>
      <c r="AW90" s="490"/>
      <c r="AX90" s="633"/>
      <c r="AZ90" s="357" t="e">
        <f t="shared" si="26"/>
        <v>#N/A</v>
      </c>
      <c r="BA90" s="638"/>
    </row>
    <row r="91" spans="2:53">
      <c r="B91" s="643"/>
      <c r="C91" s="367">
        <v>5</v>
      </c>
      <c r="D91" s="220"/>
      <c r="E91" s="477"/>
      <c r="F91" s="474"/>
      <c r="G91" s="473"/>
      <c r="H91" s="697"/>
      <c r="I91" s="369" t="str">
        <f t="shared" si="23"/>
        <v>-</v>
      </c>
      <c r="J91" s="369" t="str">
        <f t="shared" si="24"/>
        <v>-</v>
      </c>
      <c r="K91" s="194" t="str">
        <f t="shared" si="25"/>
        <v>-</v>
      </c>
      <c r="L91" s="653"/>
      <c r="M91" s="371" t="e">
        <f>RANK(K91, K$87:$K$101)</f>
        <v>#VALUE!</v>
      </c>
      <c r="N91" s="637"/>
      <c r="O91" s="637"/>
      <c r="P91" s="490"/>
      <c r="Q91" s="491"/>
      <c r="R91" s="491"/>
      <c r="S91" s="490"/>
      <c r="T91" s="633"/>
      <c r="U91" s="490"/>
      <c r="V91" s="491"/>
      <c r="W91" s="491"/>
      <c r="X91" s="490"/>
      <c r="Y91" s="633"/>
      <c r="Z91" s="490"/>
      <c r="AA91" s="491"/>
      <c r="AB91" s="491"/>
      <c r="AC91" s="490"/>
      <c r="AD91" s="633"/>
      <c r="AE91" s="490"/>
      <c r="AF91" s="491"/>
      <c r="AG91" s="491"/>
      <c r="AH91" s="490"/>
      <c r="AI91" s="633"/>
      <c r="AJ91" s="490"/>
      <c r="AK91" s="491"/>
      <c r="AL91" s="491"/>
      <c r="AM91" s="490"/>
      <c r="AN91" s="633"/>
      <c r="AO91" s="490"/>
      <c r="AP91" s="491"/>
      <c r="AQ91" s="491"/>
      <c r="AR91" s="490"/>
      <c r="AS91" s="633"/>
      <c r="AT91" s="490"/>
      <c r="AU91" s="491"/>
      <c r="AV91" s="491"/>
      <c r="AW91" s="490"/>
      <c r="AX91" s="633"/>
      <c r="AZ91" s="357" t="e">
        <f t="shared" si="26"/>
        <v>#N/A</v>
      </c>
      <c r="BA91" s="638"/>
    </row>
    <row r="92" spans="2:53">
      <c r="B92" s="643"/>
      <c r="C92" s="367">
        <v>6</v>
      </c>
      <c r="D92" s="220"/>
      <c r="E92" s="477"/>
      <c r="F92" s="474"/>
      <c r="G92" s="473"/>
      <c r="H92" s="697"/>
      <c r="I92" s="369" t="str">
        <f t="shared" si="23"/>
        <v>-</v>
      </c>
      <c r="J92" s="369" t="str">
        <f t="shared" si="24"/>
        <v>-</v>
      </c>
      <c r="K92" s="194" t="str">
        <f t="shared" si="25"/>
        <v>-</v>
      </c>
      <c r="L92" s="653"/>
      <c r="M92" s="371" t="e">
        <f>RANK(K92, K$87:$K$101)</f>
        <v>#VALUE!</v>
      </c>
      <c r="N92" s="637"/>
      <c r="O92" s="637"/>
      <c r="P92" s="490"/>
      <c r="Q92" s="491"/>
      <c r="R92" s="491"/>
      <c r="S92" s="490"/>
      <c r="T92" s="633"/>
      <c r="U92" s="490"/>
      <c r="V92" s="491"/>
      <c r="W92" s="491"/>
      <c r="X92" s="490"/>
      <c r="Y92" s="633"/>
      <c r="Z92" s="490"/>
      <c r="AA92" s="491"/>
      <c r="AB92" s="491"/>
      <c r="AC92" s="490"/>
      <c r="AD92" s="633"/>
      <c r="AE92" s="490"/>
      <c r="AF92" s="491"/>
      <c r="AG92" s="491"/>
      <c r="AH92" s="490"/>
      <c r="AI92" s="633"/>
      <c r="AJ92" s="490"/>
      <c r="AK92" s="491"/>
      <c r="AL92" s="491"/>
      <c r="AM92" s="490"/>
      <c r="AN92" s="633"/>
      <c r="AO92" s="490"/>
      <c r="AP92" s="491"/>
      <c r="AQ92" s="491"/>
      <c r="AR92" s="490"/>
      <c r="AS92" s="633"/>
      <c r="AT92" s="490"/>
      <c r="AU92" s="491"/>
      <c r="AV92" s="491"/>
      <c r="AW92" s="490"/>
      <c r="AX92" s="633"/>
      <c r="AZ92" s="357" t="e">
        <f t="shared" si="26"/>
        <v>#N/A</v>
      </c>
      <c r="BA92" s="638"/>
    </row>
    <row r="93" spans="2:53">
      <c r="B93" s="643"/>
      <c r="C93" s="367">
        <v>7</v>
      </c>
      <c r="D93" s="220"/>
      <c r="E93" s="477"/>
      <c r="F93" s="474"/>
      <c r="G93" s="473"/>
      <c r="H93" s="697"/>
      <c r="I93" s="369" t="str">
        <f t="shared" si="23"/>
        <v>-</v>
      </c>
      <c r="J93" s="369" t="str">
        <f t="shared" si="24"/>
        <v>-</v>
      </c>
      <c r="K93" s="194" t="str">
        <f t="shared" si="25"/>
        <v>-</v>
      </c>
      <c r="L93" s="653"/>
      <c r="M93" s="371" t="e">
        <f>RANK(K93, K$87:$K$101)</f>
        <v>#VALUE!</v>
      </c>
      <c r="N93" s="637"/>
      <c r="O93" s="637"/>
      <c r="P93" s="490"/>
      <c r="Q93" s="491"/>
      <c r="R93" s="491"/>
      <c r="S93" s="490"/>
      <c r="T93" s="633"/>
      <c r="U93" s="490"/>
      <c r="V93" s="491"/>
      <c r="W93" s="491"/>
      <c r="X93" s="490"/>
      <c r="Y93" s="633"/>
      <c r="Z93" s="490"/>
      <c r="AA93" s="491"/>
      <c r="AB93" s="491"/>
      <c r="AC93" s="490"/>
      <c r="AD93" s="633"/>
      <c r="AE93" s="490"/>
      <c r="AF93" s="491"/>
      <c r="AG93" s="491"/>
      <c r="AH93" s="490"/>
      <c r="AI93" s="633"/>
      <c r="AJ93" s="490"/>
      <c r="AK93" s="491"/>
      <c r="AL93" s="491"/>
      <c r="AM93" s="490"/>
      <c r="AN93" s="633"/>
      <c r="AO93" s="490"/>
      <c r="AP93" s="491"/>
      <c r="AQ93" s="491"/>
      <c r="AR93" s="490"/>
      <c r="AS93" s="633"/>
      <c r="AT93" s="490"/>
      <c r="AU93" s="491"/>
      <c r="AV93" s="491"/>
      <c r="AW93" s="490"/>
      <c r="AX93" s="633"/>
      <c r="AZ93" s="357" t="e">
        <f t="shared" si="26"/>
        <v>#N/A</v>
      </c>
      <c r="BA93" s="638"/>
    </row>
    <row r="94" spans="2:53">
      <c r="B94" s="643"/>
      <c r="C94" s="367">
        <v>8</v>
      </c>
      <c r="D94" s="220"/>
      <c r="E94" s="477"/>
      <c r="F94" s="474"/>
      <c r="G94" s="473"/>
      <c r="H94" s="697"/>
      <c r="I94" s="369" t="str">
        <f t="shared" si="23"/>
        <v>-</v>
      </c>
      <c r="J94" s="369" t="str">
        <f t="shared" si="24"/>
        <v>-</v>
      </c>
      <c r="K94" s="194" t="str">
        <f t="shared" si="25"/>
        <v>-</v>
      </c>
      <c r="L94" s="653"/>
      <c r="M94" s="371" t="e">
        <f>RANK(K94, K$87:$K$101)</f>
        <v>#VALUE!</v>
      </c>
      <c r="N94" s="637"/>
      <c r="O94" s="637"/>
      <c r="P94" s="490"/>
      <c r="Q94" s="491"/>
      <c r="R94" s="491"/>
      <c r="S94" s="490"/>
      <c r="T94" s="633"/>
      <c r="U94" s="490"/>
      <c r="V94" s="491"/>
      <c r="W94" s="491"/>
      <c r="X94" s="490"/>
      <c r="Y94" s="633"/>
      <c r="Z94" s="490"/>
      <c r="AA94" s="491"/>
      <c r="AB94" s="491"/>
      <c r="AC94" s="490"/>
      <c r="AD94" s="633"/>
      <c r="AE94" s="490"/>
      <c r="AF94" s="491"/>
      <c r="AG94" s="491"/>
      <c r="AH94" s="490"/>
      <c r="AI94" s="633"/>
      <c r="AJ94" s="490"/>
      <c r="AK94" s="491"/>
      <c r="AL94" s="491"/>
      <c r="AM94" s="490"/>
      <c r="AN94" s="633"/>
      <c r="AO94" s="490"/>
      <c r="AP94" s="491"/>
      <c r="AQ94" s="491"/>
      <c r="AR94" s="490"/>
      <c r="AS94" s="633"/>
      <c r="AT94" s="490"/>
      <c r="AU94" s="491"/>
      <c r="AV94" s="491"/>
      <c r="AW94" s="490"/>
      <c r="AX94" s="633"/>
      <c r="AZ94" s="357" t="e">
        <f t="shared" si="26"/>
        <v>#N/A</v>
      </c>
      <c r="BA94" s="638"/>
    </row>
    <row r="95" spans="2:53">
      <c r="B95" s="643"/>
      <c r="C95" s="367">
        <v>9</v>
      </c>
      <c r="D95" s="220"/>
      <c r="E95" s="477"/>
      <c r="F95" s="474"/>
      <c r="G95" s="473"/>
      <c r="H95" s="697"/>
      <c r="I95" s="369" t="str">
        <f t="shared" si="23"/>
        <v>-</v>
      </c>
      <c r="J95" s="369" t="str">
        <f t="shared" si="24"/>
        <v>-</v>
      </c>
      <c r="K95" s="194" t="str">
        <f t="shared" si="25"/>
        <v>-</v>
      </c>
      <c r="L95" s="653"/>
      <c r="M95" s="371" t="e">
        <f>RANK(K95, K$87:$K$101)</f>
        <v>#VALUE!</v>
      </c>
      <c r="N95" s="637"/>
      <c r="O95" s="637"/>
      <c r="P95" s="490"/>
      <c r="Q95" s="491"/>
      <c r="R95" s="491"/>
      <c r="S95" s="490"/>
      <c r="T95" s="633"/>
      <c r="U95" s="490"/>
      <c r="V95" s="491"/>
      <c r="W95" s="491"/>
      <c r="X95" s="490"/>
      <c r="Y95" s="633"/>
      <c r="Z95" s="490"/>
      <c r="AA95" s="491"/>
      <c r="AB95" s="491"/>
      <c r="AC95" s="490"/>
      <c r="AD95" s="633"/>
      <c r="AE95" s="490"/>
      <c r="AF95" s="491"/>
      <c r="AG95" s="491"/>
      <c r="AH95" s="490"/>
      <c r="AI95" s="633"/>
      <c r="AJ95" s="490"/>
      <c r="AK95" s="491"/>
      <c r="AL95" s="491"/>
      <c r="AM95" s="490"/>
      <c r="AN95" s="633"/>
      <c r="AO95" s="490"/>
      <c r="AP95" s="491"/>
      <c r="AQ95" s="491"/>
      <c r="AR95" s="490"/>
      <c r="AS95" s="633"/>
      <c r="AT95" s="490"/>
      <c r="AU95" s="491"/>
      <c r="AV95" s="491"/>
      <c r="AW95" s="490"/>
      <c r="AX95" s="633"/>
      <c r="AZ95" s="357" t="e">
        <f t="shared" si="26"/>
        <v>#N/A</v>
      </c>
      <c r="BA95" s="638"/>
    </row>
    <row r="96" spans="2:53">
      <c r="B96" s="643"/>
      <c r="C96" s="367">
        <v>10</v>
      </c>
      <c r="D96" s="220"/>
      <c r="E96" s="477"/>
      <c r="F96" s="474"/>
      <c r="G96" s="473"/>
      <c r="H96" s="697"/>
      <c r="I96" s="369" t="str">
        <f t="shared" si="23"/>
        <v>-</v>
      </c>
      <c r="J96" s="369" t="str">
        <f t="shared" si="24"/>
        <v>-</v>
      </c>
      <c r="K96" s="194" t="str">
        <f t="shared" si="25"/>
        <v>-</v>
      </c>
      <c r="L96" s="653"/>
      <c r="M96" s="371" t="e">
        <f>RANK(K96, K$87:$K$101)</f>
        <v>#VALUE!</v>
      </c>
      <c r="N96" s="637"/>
      <c r="O96" s="637"/>
      <c r="P96" s="490"/>
      <c r="Q96" s="491"/>
      <c r="R96" s="491"/>
      <c r="S96" s="490"/>
      <c r="T96" s="633"/>
      <c r="U96" s="490"/>
      <c r="V96" s="491"/>
      <c r="W96" s="491"/>
      <c r="X96" s="490"/>
      <c r="Y96" s="633"/>
      <c r="Z96" s="490"/>
      <c r="AA96" s="491"/>
      <c r="AB96" s="491"/>
      <c r="AC96" s="490"/>
      <c r="AD96" s="633"/>
      <c r="AE96" s="490"/>
      <c r="AF96" s="491"/>
      <c r="AG96" s="491"/>
      <c r="AH96" s="490"/>
      <c r="AI96" s="633"/>
      <c r="AJ96" s="490"/>
      <c r="AK96" s="491"/>
      <c r="AL96" s="491"/>
      <c r="AM96" s="490"/>
      <c r="AN96" s="633"/>
      <c r="AO96" s="490"/>
      <c r="AP96" s="491"/>
      <c r="AQ96" s="491"/>
      <c r="AR96" s="490"/>
      <c r="AS96" s="633"/>
      <c r="AT96" s="490"/>
      <c r="AU96" s="491"/>
      <c r="AV96" s="491"/>
      <c r="AW96" s="490"/>
      <c r="AX96" s="633"/>
      <c r="AZ96" s="357" t="e">
        <f t="shared" si="26"/>
        <v>#N/A</v>
      </c>
      <c r="BA96" s="638"/>
    </row>
    <row r="97" spans="2:53">
      <c r="B97" s="643"/>
      <c r="C97" s="367">
        <v>11</v>
      </c>
      <c r="D97" s="220"/>
      <c r="E97" s="477"/>
      <c r="F97" s="474"/>
      <c r="G97" s="473"/>
      <c r="H97" s="697"/>
      <c r="I97" s="369" t="str">
        <f t="shared" si="23"/>
        <v>-</v>
      </c>
      <c r="J97" s="369" t="str">
        <f t="shared" si="24"/>
        <v>-</v>
      </c>
      <c r="K97" s="194" t="str">
        <f t="shared" si="25"/>
        <v>-</v>
      </c>
      <c r="L97" s="653"/>
      <c r="M97" s="371" t="e">
        <f>RANK(K97, K$87:$K$101)</f>
        <v>#VALUE!</v>
      </c>
      <c r="N97" s="637"/>
      <c r="O97" s="637"/>
      <c r="P97" s="490"/>
      <c r="Q97" s="491"/>
      <c r="R97" s="491"/>
      <c r="S97" s="490"/>
      <c r="T97" s="633"/>
      <c r="U97" s="490"/>
      <c r="V97" s="491"/>
      <c r="W97" s="491"/>
      <c r="X97" s="490"/>
      <c r="Y97" s="633"/>
      <c r="Z97" s="490"/>
      <c r="AA97" s="491"/>
      <c r="AB97" s="491"/>
      <c r="AC97" s="490"/>
      <c r="AD97" s="633"/>
      <c r="AE97" s="490"/>
      <c r="AF97" s="491"/>
      <c r="AG97" s="491"/>
      <c r="AH97" s="490"/>
      <c r="AI97" s="633"/>
      <c r="AJ97" s="490"/>
      <c r="AK97" s="491"/>
      <c r="AL97" s="491"/>
      <c r="AM97" s="490"/>
      <c r="AN97" s="633"/>
      <c r="AO97" s="490"/>
      <c r="AP97" s="491"/>
      <c r="AQ97" s="491"/>
      <c r="AR97" s="490"/>
      <c r="AS97" s="633"/>
      <c r="AT97" s="490"/>
      <c r="AU97" s="491"/>
      <c r="AV97" s="491"/>
      <c r="AW97" s="490"/>
      <c r="AX97" s="633"/>
      <c r="AZ97" s="357" t="e">
        <f t="shared" si="26"/>
        <v>#N/A</v>
      </c>
      <c r="BA97" s="638"/>
    </row>
    <row r="98" spans="2:53">
      <c r="B98" s="643"/>
      <c r="C98" s="367">
        <v>12</v>
      </c>
      <c r="D98" s="220"/>
      <c r="E98" s="477"/>
      <c r="F98" s="474"/>
      <c r="G98" s="473"/>
      <c r="H98" s="697"/>
      <c r="I98" s="369" t="str">
        <f t="shared" si="23"/>
        <v>-</v>
      </c>
      <c r="J98" s="369" t="str">
        <f t="shared" si="24"/>
        <v>-</v>
      </c>
      <c r="K98" s="194" t="str">
        <f t="shared" si="25"/>
        <v>-</v>
      </c>
      <c r="L98" s="653"/>
      <c r="M98" s="371" t="e">
        <f>RANK(K98, K$87:$K$101)</f>
        <v>#VALUE!</v>
      </c>
      <c r="N98" s="637"/>
      <c r="O98" s="637"/>
      <c r="P98" s="490"/>
      <c r="Q98" s="491"/>
      <c r="R98" s="491"/>
      <c r="S98" s="490"/>
      <c r="T98" s="633"/>
      <c r="U98" s="490"/>
      <c r="V98" s="491"/>
      <c r="W98" s="491"/>
      <c r="X98" s="490"/>
      <c r="Y98" s="633"/>
      <c r="Z98" s="490"/>
      <c r="AA98" s="491"/>
      <c r="AB98" s="491"/>
      <c r="AC98" s="490"/>
      <c r="AD98" s="633"/>
      <c r="AE98" s="490"/>
      <c r="AF98" s="491"/>
      <c r="AG98" s="491"/>
      <c r="AH98" s="490"/>
      <c r="AI98" s="633"/>
      <c r="AJ98" s="490"/>
      <c r="AK98" s="491"/>
      <c r="AL98" s="491"/>
      <c r="AM98" s="490"/>
      <c r="AN98" s="633"/>
      <c r="AO98" s="490"/>
      <c r="AP98" s="491"/>
      <c r="AQ98" s="491"/>
      <c r="AR98" s="490"/>
      <c r="AS98" s="633"/>
      <c r="AT98" s="490"/>
      <c r="AU98" s="491"/>
      <c r="AV98" s="491"/>
      <c r="AW98" s="490"/>
      <c r="AX98" s="633"/>
      <c r="AZ98" s="357" t="e">
        <f t="shared" si="26"/>
        <v>#N/A</v>
      </c>
      <c r="BA98" s="638"/>
    </row>
    <row r="99" spans="2:53">
      <c r="B99" s="643"/>
      <c r="C99" s="367">
        <v>13</v>
      </c>
      <c r="D99" s="220"/>
      <c r="E99" s="477"/>
      <c r="F99" s="474"/>
      <c r="G99" s="473"/>
      <c r="H99" s="697"/>
      <c r="I99" s="369" t="str">
        <f t="shared" si="23"/>
        <v>-</v>
      </c>
      <c r="J99" s="369" t="str">
        <f t="shared" si="24"/>
        <v>-</v>
      </c>
      <c r="K99" s="194" t="str">
        <f t="shared" si="25"/>
        <v>-</v>
      </c>
      <c r="L99" s="653"/>
      <c r="M99" s="371" t="e">
        <f>RANK(K99, K$87:$K$101)</f>
        <v>#VALUE!</v>
      </c>
      <c r="N99" s="637"/>
      <c r="O99" s="637"/>
      <c r="P99" s="490"/>
      <c r="Q99" s="491"/>
      <c r="R99" s="491"/>
      <c r="S99" s="490"/>
      <c r="T99" s="633"/>
      <c r="U99" s="490"/>
      <c r="V99" s="491"/>
      <c r="W99" s="491"/>
      <c r="X99" s="490"/>
      <c r="Y99" s="633"/>
      <c r="Z99" s="490"/>
      <c r="AA99" s="491"/>
      <c r="AB99" s="491"/>
      <c r="AC99" s="490"/>
      <c r="AD99" s="633"/>
      <c r="AE99" s="490"/>
      <c r="AF99" s="491"/>
      <c r="AG99" s="491"/>
      <c r="AH99" s="490"/>
      <c r="AI99" s="633"/>
      <c r="AJ99" s="490"/>
      <c r="AK99" s="491"/>
      <c r="AL99" s="491"/>
      <c r="AM99" s="490"/>
      <c r="AN99" s="633"/>
      <c r="AO99" s="490"/>
      <c r="AP99" s="491"/>
      <c r="AQ99" s="491"/>
      <c r="AR99" s="490"/>
      <c r="AS99" s="633"/>
      <c r="AT99" s="490"/>
      <c r="AU99" s="491"/>
      <c r="AV99" s="491"/>
      <c r="AW99" s="490"/>
      <c r="AX99" s="633"/>
      <c r="AZ99" s="357" t="e">
        <f t="shared" si="26"/>
        <v>#N/A</v>
      </c>
      <c r="BA99" s="638"/>
    </row>
    <row r="100" spans="2:53">
      <c r="B100" s="643"/>
      <c r="C100" s="367">
        <v>14</v>
      </c>
      <c r="D100" s="220"/>
      <c r="E100" s="477"/>
      <c r="F100" s="474"/>
      <c r="G100" s="473"/>
      <c r="H100" s="697"/>
      <c r="I100" s="369" t="str">
        <f t="shared" si="23"/>
        <v>-</v>
      </c>
      <c r="J100" s="369" t="str">
        <f t="shared" si="24"/>
        <v>-</v>
      </c>
      <c r="K100" s="194" t="str">
        <f t="shared" si="25"/>
        <v>-</v>
      </c>
      <c r="L100" s="653"/>
      <c r="M100" s="371" t="e">
        <f>RANK(K100, K$87:$K$101)</f>
        <v>#VALUE!</v>
      </c>
      <c r="N100" s="637"/>
      <c r="O100" s="637"/>
      <c r="P100" s="490"/>
      <c r="Q100" s="491"/>
      <c r="R100" s="491"/>
      <c r="S100" s="490"/>
      <c r="T100" s="633"/>
      <c r="U100" s="490"/>
      <c r="V100" s="491"/>
      <c r="W100" s="491"/>
      <c r="X100" s="490"/>
      <c r="Y100" s="633"/>
      <c r="Z100" s="490"/>
      <c r="AA100" s="491"/>
      <c r="AB100" s="491"/>
      <c r="AC100" s="490"/>
      <c r="AD100" s="633"/>
      <c r="AE100" s="490"/>
      <c r="AF100" s="491"/>
      <c r="AG100" s="491"/>
      <c r="AH100" s="490"/>
      <c r="AI100" s="633"/>
      <c r="AJ100" s="490"/>
      <c r="AK100" s="491"/>
      <c r="AL100" s="491"/>
      <c r="AM100" s="490"/>
      <c r="AN100" s="633"/>
      <c r="AO100" s="490"/>
      <c r="AP100" s="491"/>
      <c r="AQ100" s="491"/>
      <c r="AR100" s="490"/>
      <c r="AS100" s="633"/>
      <c r="AT100" s="490"/>
      <c r="AU100" s="491"/>
      <c r="AV100" s="491"/>
      <c r="AW100" s="490"/>
      <c r="AX100" s="633"/>
      <c r="AZ100" s="357" t="e">
        <f t="shared" si="26"/>
        <v>#N/A</v>
      </c>
      <c r="BA100" s="638"/>
    </row>
    <row r="101" spans="2:53">
      <c r="B101" s="643"/>
      <c r="C101" s="367">
        <v>15</v>
      </c>
      <c r="D101" s="220"/>
      <c r="E101" s="477"/>
      <c r="F101" s="474"/>
      <c r="G101" s="473"/>
      <c r="H101" s="698"/>
      <c r="I101" s="196"/>
      <c r="J101" s="196"/>
      <c r="K101" s="196"/>
      <c r="L101" s="654"/>
      <c r="M101" s="369" t="e">
        <f>RANK(K101, K$87:$K$101)</f>
        <v>#N/A</v>
      </c>
      <c r="N101" s="637"/>
      <c r="O101" s="637"/>
      <c r="P101" s="490"/>
      <c r="Q101" s="491"/>
      <c r="R101" s="491"/>
      <c r="S101" s="490"/>
      <c r="T101" s="634"/>
      <c r="U101" s="490"/>
      <c r="V101" s="491"/>
      <c r="W101" s="491"/>
      <c r="X101" s="490"/>
      <c r="Y101" s="634"/>
      <c r="Z101" s="490"/>
      <c r="AA101" s="491"/>
      <c r="AB101" s="491"/>
      <c r="AC101" s="490"/>
      <c r="AD101" s="634"/>
      <c r="AE101" s="490"/>
      <c r="AF101" s="491"/>
      <c r="AG101" s="491"/>
      <c r="AH101" s="490"/>
      <c r="AI101" s="634"/>
      <c r="AJ101" s="490"/>
      <c r="AK101" s="491"/>
      <c r="AL101" s="491"/>
      <c r="AM101" s="490"/>
      <c r="AN101" s="634"/>
      <c r="AO101" s="490"/>
      <c r="AP101" s="491"/>
      <c r="AQ101" s="491"/>
      <c r="AR101" s="490"/>
      <c r="AS101" s="634"/>
      <c r="AT101" s="490"/>
      <c r="AU101" s="491"/>
      <c r="AV101" s="491"/>
      <c r="AW101" s="490"/>
      <c r="AX101" s="634"/>
      <c r="AZ101" s="357" t="e">
        <f t="shared" si="26"/>
        <v>#N/A</v>
      </c>
      <c r="BA101" s="638"/>
    </row>
    <row r="102" spans="2:53" ht="15.75">
      <c r="B102" s="665" t="s">
        <v>162</v>
      </c>
      <c r="C102" s="666"/>
      <c r="D102" s="666"/>
      <c r="E102" s="666"/>
      <c r="F102" s="666"/>
      <c r="G102" s="666"/>
      <c r="H102" s="667"/>
      <c r="I102" s="202"/>
      <c r="J102" s="202"/>
      <c r="K102" s="202"/>
      <c r="L102" s="202"/>
      <c r="M102" s="201"/>
      <c r="N102" s="639" t="s">
        <v>156</v>
      </c>
      <c r="O102" s="639" t="s">
        <v>105</v>
      </c>
      <c r="P102" s="664">
        <f>P82+7</f>
        <v>46329</v>
      </c>
      <c r="Q102" s="643"/>
      <c r="R102" s="643"/>
      <c r="S102" s="643"/>
      <c r="T102" s="643"/>
      <c r="U102" s="661">
        <f>P102+1</f>
        <v>46330</v>
      </c>
      <c r="V102" s="662"/>
      <c r="W102" s="662"/>
      <c r="X102" s="662"/>
      <c r="Y102" s="663"/>
      <c r="Z102" s="661">
        <f>U102+1</f>
        <v>46331</v>
      </c>
      <c r="AA102" s="662"/>
      <c r="AB102" s="662"/>
      <c r="AC102" s="662"/>
      <c r="AD102" s="663"/>
      <c r="AE102" s="661">
        <f>Z102+1</f>
        <v>46332</v>
      </c>
      <c r="AF102" s="662"/>
      <c r="AG102" s="662"/>
      <c r="AH102" s="662"/>
      <c r="AI102" s="663"/>
      <c r="AJ102" s="661">
        <f>AE102+1</f>
        <v>46333</v>
      </c>
      <c r="AK102" s="662"/>
      <c r="AL102" s="662"/>
      <c r="AM102" s="662"/>
      <c r="AN102" s="663"/>
      <c r="AO102" s="661">
        <f>AJ102+1</f>
        <v>46334</v>
      </c>
      <c r="AP102" s="662"/>
      <c r="AQ102" s="662"/>
      <c r="AR102" s="662"/>
      <c r="AS102" s="663"/>
      <c r="AT102" s="661">
        <f>AO102+1</f>
        <v>46335</v>
      </c>
      <c r="AU102" s="662"/>
      <c r="AV102" s="662"/>
      <c r="AW102" s="662"/>
      <c r="AX102" s="663"/>
    </row>
    <row r="103" spans="2:53" ht="15.75">
      <c r="B103" s="668"/>
      <c r="C103" s="668"/>
      <c r="D103" s="668"/>
      <c r="E103" s="668"/>
      <c r="F103" s="668"/>
      <c r="G103" s="668"/>
      <c r="H103" s="668"/>
      <c r="I103" s="199"/>
      <c r="J103" s="199"/>
      <c r="K103" s="199"/>
      <c r="L103" s="199"/>
      <c r="M103" s="200"/>
      <c r="N103" s="641"/>
      <c r="O103" s="641"/>
      <c r="P103" s="664" t="s">
        <v>158</v>
      </c>
      <c r="Q103" s="643"/>
      <c r="R103" s="643"/>
      <c r="S103" s="643"/>
      <c r="T103" s="643"/>
      <c r="U103" s="664" t="s">
        <v>114</v>
      </c>
      <c r="V103" s="643"/>
      <c r="W103" s="643"/>
      <c r="X103" s="643"/>
      <c r="Y103" s="643"/>
      <c r="Z103" s="664" t="s">
        <v>159</v>
      </c>
      <c r="AA103" s="643"/>
      <c r="AB103" s="643"/>
      <c r="AC103" s="643"/>
      <c r="AD103" s="643"/>
      <c r="AE103" s="664" t="s">
        <v>157</v>
      </c>
      <c r="AF103" s="643"/>
      <c r="AG103" s="643"/>
      <c r="AH103" s="643"/>
      <c r="AI103" s="643"/>
      <c r="AJ103" s="664" t="s">
        <v>160</v>
      </c>
      <c r="AK103" s="643"/>
      <c r="AL103" s="643"/>
      <c r="AM103" s="643"/>
      <c r="AN103" s="643"/>
      <c r="AO103" s="664" t="s">
        <v>115</v>
      </c>
      <c r="AP103" s="643"/>
      <c r="AQ103" s="643"/>
      <c r="AR103" s="643"/>
      <c r="AS103" s="643"/>
      <c r="AT103" s="664" t="s">
        <v>161</v>
      </c>
      <c r="AU103" s="643"/>
      <c r="AV103" s="643"/>
      <c r="AW103" s="643"/>
      <c r="AX103" s="643"/>
    </row>
    <row r="104" spans="2:53">
      <c r="B104" s="637" t="s">
        <v>154</v>
      </c>
      <c r="C104" s="637" t="s">
        <v>370</v>
      </c>
      <c r="D104" s="637"/>
      <c r="E104" s="637" t="s">
        <v>361</v>
      </c>
      <c r="F104" s="637"/>
      <c r="G104" s="637"/>
      <c r="H104" s="669" t="s">
        <v>357</v>
      </c>
      <c r="I104" s="684" t="s">
        <v>362</v>
      </c>
      <c r="J104" s="684"/>
      <c r="K104" s="684"/>
      <c r="L104" s="685" t="s">
        <v>357</v>
      </c>
      <c r="M104" s="673" t="s">
        <v>358</v>
      </c>
      <c r="N104" s="637"/>
      <c r="O104" s="637" t="s">
        <v>363</v>
      </c>
      <c r="P104" s="655" t="s">
        <v>359</v>
      </c>
      <c r="Q104" s="656"/>
      <c r="R104" s="656"/>
      <c r="S104" s="657"/>
      <c r="T104" s="637" t="s">
        <v>357</v>
      </c>
      <c r="U104" s="655" t="s">
        <v>359</v>
      </c>
      <c r="V104" s="656"/>
      <c r="W104" s="656"/>
      <c r="X104" s="657"/>
      <c r="Y104" s="637" t="s">
        <v>357</v>
      </c>
      <c r="Z104" s="655" t="s">
        <v>359</v>
      </c>
      <c r="AA104" s="656"/>
      <c r="AB104" s="656"/>
      <c r="AC104" s="657"/>
      <c r="AD104" s="637" t="s">
        <v>357</v>
      </c>
      <c r="AE104" s="655" t="s">
        <v>359</v>
      </c>
      <c r="AF104" s="656"/>
      <c r="AG104" s="656"/>
      <c r="AH104" s="657"/>
      <c r="AI104" s="637" t="s">
        <v>357</v>
      </c>
      <c r="AJ104" s="655" t="s">
        <v>359</v>
      </c>
      <c r="AK104" s="656"/>
      <c r="AL104" s="656"/>
      <c r="AM104" s="657"/>
      <c r="AN104" s="637" t="s">
        <v>357</v>
      </c>
      <c r="AO104" s="655" t="s">
        <v>359</v>
      </c>
      <c r="AP104" s="656"/>
      <c r="AQ104" s="656"/>
      <c r="AR104" s="657"/>
      <c r="AS104" s="637" t="s">
        <v>357</v>
      </c>
      <c r="AT104" s="655" t="s">
        <v>359</v>
      </c>
      <c r="AU104" s="656"/>
      <c r="AV104" s="656"/>
      <c r="AW104" s="657"/>
      <c r="AX104" s="637" t="s">
        <v>357</v>
      </c>
      <c r="BA104" s="637" t="s">
        <v>357</v>
      </c>
    </row>
    <row r="105" spans="2:53">
      <c r="B105" s="637"/>
      <c r="C105" s="637"/>
      <c r="D105" s="637"/>
      <c r="E105" s="637" t="s">
        <v>364</v>
      </c>
      <c r="F105" s="637"/>
      <c r="G105" s="637"/>
      <c r="H105" s="670"/>
      <c r="I105" s="684" t="s">
        <v>364</v>
      </c>
      <c r="J105" s="684"/>
      <c r="K105" s="684"/>
      <c r="L105" s="686"/>
      <c r="M105" s="674"/>
      <c r="N105" s="637"/>
      <c r="O105" s="637"/>
      <c r="P105" s="655" t="s">
        <v>365</v>
      </c>
      <c r="Q105" s="656"/>
      <c r="R105" s="656"/>
      <c r="S105" s="657"/>
      <c r="T105" s="637"/>
      <c r="U105" s="655" t="s">
        <v>365</v>
      </c>
      <c r="V105" s="656"/>
      <c r="W105" s="656"/>
      <c r="X105" s="657"/>
      <c r="Y105" s="637"/>
      <c r="Z105" s="655" t="s">
        <v>365</v>
      </c>
      <c r="AA105" s="656"/>
      <c r="AB105" s="656"/>
      <c r="AC105" s="657"/>
      <c r="AD105" s="637"/>
      <c r="AE105" s="655" t="s">
        <v>365</v>
      </c>
      <c r="AF105" s="656"/>
      <c r="AG105" s="656"/>
      <c r="AH105" s="657"/>
      <c r="AI105" s="637"/>
      <c r="AJ105" s="655" t="s">
        <v>365</v>
      </c>
      <c r="AK105" s="656"/>
      <c r="AL105" s="656"/>
      <c r="AM105" s="657"/>
      <c r="AN105" s="637"/>
      <c r="AO105" s="655" t="s">
        <v>365</v>
      </c>
      <c r="AP105" s="656"/>
      <c r="AQ105" s="656"/>
      <c r="AR105" s="657"/>
      <c r="AS105" s="637"/>
      <c r="AT105" s="655" t="s">
        <v>365</v>
      </c>
      <c r="AU105" s="656"/>
      <c r="AV105" s="656"/>
      <c r="AW105" s="657"/>
      <c r="AX105" s="637"/>
      <c r="BA105" s="637"/>
    </row>
    <row r="106" spans="2:53">
      <c r="B106" s="637"/>
      <c r="C106" s="637"/>
      <c r="D106" s="637"/>
      <c r="E106" s="296" t="s">
        <v>366</v>
      </c>
      <c r="F106" s="296" t="s">
        <v>367</v>
      </c>
      <c r="G106" s="296" t="s">
        <v>368</v>
      </c>
      <c r="H106" s="671"/>
      <c r="I106" s="297" t="s">
        <v>366</v>
      </c>
      <c r="J106" s="297" t="s">
        <v>367</v>
      </c>
      <c r="K106" s="297" t="s">
        <v>368</v>
      </c>
      <c r="L106" s="687"/>
      <c r="M106" s="675"/>
      <c r="N106" s="637"/>
      <c r="O106" s="637"/>
      <c r="P106" s="296" t="s">
        <v>366</v>
      </c>
      <c r="Q106" s="296" t="s">
        <v>367</v>
      </c>
      <c r="R106" s="296" t="s">
        <v>368</v>
      </c>
      <c r="S106" s="296" t="s">
        <v>358</v>
      </c>
      <c r="T106" s="637"/>
      <c r="U106" s="296" t="s">
        <v>366</v>
      </c>
      <c r="V106" s="296" t="s">
        <v>367</v>
      </c>
      <c r="W106" s="296" t="s">
        <v>368</v>
      </c>
      <c r="X106" s="296" t="s">
        <v>358</v>
      </c>
      <c r="Y106" s="637"/>
      <c r="Z106" s="296" t="s">
        <v>366</v>
      </c>
      <c r="AA106" s="296" t="s">
        <v>367</v>
      </c>
      <c r="AB106" s="296" t="s">
        <v>368</v>
      </c>
      <c r="AC106" s="296" t="s">
        <v>358</v>
      </c>
      <c r="AD106" s="637"/>
      <c r="AE106" s="296" t="s">
        <v>366</v>
      </c>
      <c r="AF106" s="296" t="s">
        <v>367</v>
      </c>
      <c r="AG106" s="296" t="s">
        <v>368</v>
      </c>
      <c r="AH106" s="296" t="s">
        <v>358</v>
      </c>
      <c r="AI106" s="637"/>
      <c r="AJ106" s="296" t="s">
        <v>366</v>
      </c>
      <c r="AK106" s="296" t="s">
        <v>367</v>
      </c>
      <c r="AL106" s="296" t="s">
        <v>368</v>
      </c>
      <c r="AM106" s="296" t="s">
        <v>358</v>
      </c>
      <c r="AN106" s="637"/>
      <c r="AO106" s="296" t="s">
        <v>366</v>
      </c>
      <c r="AP106" s="296" t="s">
        <v>367</v>
      </c>
      <c r="AQ106" s="296" t="s">
        <v>368</v>
      </c>
      <c r="AR106" s="296" t="s">
        <v>358</v>
      </c>
      <c r="AS106" s="637"/>
      <c r="AT106" s="296" t="s">
        <v>366</v>
      </c>
      <c r="AU106" s="296" t="s">
        <v>367</v>
      </c>
      <c r="AV106" s="296" t="s">
        <v>368</v>
      </c>
      <c r="AW106" s="296" t="s">
        <v>358</v>
      </c>
      <c r="AX106" s="637"/>
      <c r="AZ106" s="356" t="s">
        <v>358</v>
      </c>
      <c r="BA106" s="637"/>
    </row>
    <row r="107" spans="2:53">
      <c r="B107" s="637" t="s">
        <v>371</v>
      </c>
      <c r="C107" s="295">
        <v>1</v>
      </c>
      <c r="D107" s="220"/>
      <c r="E107" s="176"/>
      <c r="F107" s="295"/>
      <c r="G107" s="298"/>
      <c r="H107" s="696" t="e">
        <f>AVERAGE(G107:G121)</f>
        <v>#DIV/0!</v>
      </c>
      <c r="I107" s="352" t="str">
        <f t="shared" ref="I107:I120" si="28">IFERROR(AVERAGE(P107,U107,Z107,AE107,AJ107,AO107,AT107),"-")</f>
        <v>-</v>
      </c>
      <c r="J107" s="352" t="str">
        <f t="shared" ref="J107:J120" si="29">IFERROR(AVERAGE(Q107,V107,AA107,AF107,AK107,AP107,AU107),"-")</f>
        <v>-</v>
      </c>
      <c r="K107" s="194" t="str">
        <f t="shared" ref="K107:K120" si="30">IFERROR(AVERAGE(R107,W107,AB107,AG107,AL107,AQ107,AV107),"-")</f>
        <v>-</v>
      </c>
      <c r="L107" s="652" t="str">
        <f>IFERROR(AVERAGE(K107:K121),"-")</f>
        <v>-</v>
      </c>
      <c r="M107" s="471" t="e">
        <f>RANK(K107, K$107:$K$121)</f>
        <v>#VALUE!</v>
      </c>
      <c r="N107" s="637"/>
      <c r="O107" s="637"/>
      <c r="P107" s="490"/>
      <c r="Q107" s="491"/>
      <c r="R107" s="491"/>
      <c r="S107" s="490"/>
      <c r="T107" s="632"/>
      <c r="U107" s="490"/>
      <c r="V107" s="491"/>
      <c r="W107" s="491"/>
      <c r="X107" s="490"/>
      <c r="Y107" s="632"/>
      <c r="Z107" s="490"/>
      <c r="AA107" s="491"/>
      <c r="AB107" s="491"/>
      <c r="AC107" s="490"/>
      <c r="AD107" s="632"/>
      <c r="AE107" s="490"/>
      <c r="AF107" s="491"/>
      <c r="AG107" s="491"/>
      <c r="AH107" s="490"/>
      <c r="AI107" s="632"/>
      <c r="AJ107" s="490"/>
      <c r="AK107" s="491"/>
      <c r="AL107" s="491"/>
      <c r="AM107" s="490"/>
      <c r="AN107" s="632"/>
      <c r="AO107" s="490"/>
      <c r="AP107" s="491"/>
      <c r="AQ107" s="491"/>
      <c r="AR107" s="490"/>
      <c r="AS107" s="632"/>
      <c r="AT107" s="490"/>
      <c r="AU107" s="491"/>
      <c r="AV107" s="491"/>
      <c r="AW107" s="490"/>
      <c r="AX107" s="632"/>
      <c r="AZ107" s="357" t="e">
        <f>RANK(AY107, AY$107:AY$121)</f>
        <v>#N/A</v>
      </c>
      <c r="BA107" s="638" t="e">
        <f>AVERAGE(AY107:AY121)</f>
        <v>#DIV/0!</v>
      </c>
    </row>
    <row r="108" spans="2:53">
      <c r="B108" s="643"/>
      <c r="C108" s="295">
        <v>2</v>
      </c>
      <c r="D108" s="220"/>
      <c r="E108" s="176"/>
      <c r="F108" s="295"/>
      <c r="G108" s="298"/>
      <c r="H108" s="697"/>
      <c r="I108" s="352" t="str">
        <f t="shared" si="28"/>
        <v>-</v>
      </c>
      <c r="J108" s="352" t="str">
        <f t="shared" si="29"/>
        <v>-</v>
      </c>
      <c r="K108" s="194" t="str">
        <f t="shared" si="30"/>
        <v>-</v>
      </c>
      <c r="L108" s="653"/>
      <c r="M108" s="471" t="e">
        <f>RANK(K108, K$107:$K$121)</f>
        <v>#VALUE!</v>
      </c>
      <c r="N108" s="637"/>
      <c r="O108" s="637"/>
      <c r="P108" s="490"/>
      <c r="Q108" s="491"/>
      <c r="R108" s="491"/>
      <c r="S108" s="490"/>
      <c r="T108" s="633"/>
      <c r="U108" s="490"/>
      <c r="V108" s="491"/>
      <c r="W108" s="491"/>
      <c r="X108" s="490"/>
      <c r="Y108" s="633"/>
      <c r="Z108" s="490"/>
      <c r="AA108" s="491"/>
      <c r="AB108" s="491"/>
      <c r="AC108" s="490"/>
      <c r="AD108" s="633"/>
      <c r="AE108" s="490"/>
      <c r="AF108" s="491"/>
      <c r="AG108" s="491"/>
      <c r="AH108" s="490"/>
      <c r="AI108" s="633"/>
      <c r="AJ108" s="490"/>
      <c r="AK108" s="491"/>
      <c r="AL108" s="491"/>
      <c r="AM108" s="490"/>
      <c r="AN108" s="633"/>
      <c r="AO108" s="490"/>
      <c r="AP108" s="491"/>
      <c r="AQ108" s="491"/>
      <c r="AR108" s="490"/>
      <c r="AS108" s="633"/>
      <c r="AT108" s="490"/>
      <c r="AU108" s="491"/>
      <c r="AV108" s="491"/>
      <c r="AW108" s="490"/>
      <c r="AX108" s="633"/>
      <c r="AZ108" s="357" t="e">
        <f t="shared" ref="AZ108:AZ121" si="31">RANK(AY108, AY$107:AY$121)</f>
        <v>#N/A</v>
      </c>
      <c r="BA108" s="638"/>
    </row>
    <row r="109" spans="2:53">
      <c r="B109" s="643"/>
      <c r="C109" s="295">
        <v>3</v>
      </c>
      <c r="D109" s="220"/>
      <c r="E109" s="176"/>
      <c r="F109" s="295"/>
      <c r="G109" s="298"/>
      <c r="H109" s="697"/>
      <c r="I109" s="352" t="str">
        <f t="shared" si="28"/>
        <v>-</v>
      </c>
      <c r="J109" s="352" t="str">
        <f t="shared" si="29"/>
        <v>-</v>
      </c>
      <c r="K109" s="194" t="str">
        <f t="shared" si="30"/>
        <v>-</v>
      </c>
      <c r="L109" s="653"/>
      <c r="M109" s="471" t="e">
        <f>RANK(K109, K$107:$K$121)</f>
        <v>#VALUE!</v>
      </c>
      <c r="N109" s="637"/>
      <c r="O109" s="637"/>
      <c r="P109" s="490"/>
      <c r="Q109" s="491"/>
      <c r="R109" s="491"/>
      <c r="S109" s="490"/>
      <c r="T109" s="633"/>
      <c r="U109" s="490"/>
      <c r="V109" s="491"/>
      <c r="W109" s="491"/>
      <c r="X109" s="490"/>
      <c r="Y109" s="633"/>
      <c r="Z109" s="490"/>
      <c r="AA109" s="491"/>
      <c r="AB109" s="491"/>
      <c r="AC109" s="490"/>
      <c r="AD109" s="633"/>
      <c r="AE109" s="490"/>
      <c r="AF109" s="491"/>
      <c r="AG109" s="491"/>
      <c r="AH109" s="490"/>
      <c r="AI109" s="633"/>
      <c r="AJ109" s="490"/>
      <c r="AK109" s="491"/>
      <c r="AL109" s="491"/>
      <c r="AM109" s="490"/>
      <c r="AN109" s="633"/>
      <c r="AO109" s="490"/>
      <c r="AP109" s="491"/>
      <c r="AQ109" s="491"/>
      <c r="AR109" s="490"/>
      <c r="AS109" s="633"/>
      <c r="AT109" s="490"/>
      <c r="AU109" s="491"/>
      <c r="AV109" s="491"/>
      <c r="AW109" s="490"/>
      <c r="AX109" s="633"/>
      <c r="AZ109" s="357" t="e">
        <f t="shared" si="31"/>
        <v>#N/A</v>
      </c>
      <c r="BA109" s="638"/>
    </row>
    <row r="110" spans="2:53">
      <c r="B110" s="643"/>
      <c r="C110" s="295">
        <v>4</v>
      </c>
      <c r="D110" s="220"/>
      <c r="E110" s="176"/>
      <c r="F110" s="295"/>
      <c r="G110" s="298"/>
      <c r="H110" s="697"/>
      <c r="I110" s="352" t="str">
        <f t="shared" si="28"/>
        <v>-</v>
      </c>
      <c r="J110" s="352" t="str">
        <f t="shared" si="29"/>
        <v>-</v>
      </c>
      <c r="K110" s="194" t="str">
        <f t="shared" si="30"/>
        <v>-</v>
      </c>
      <c r="L110" s="653"/>
      <c r="M110" s="471" t="e">
        <f>RANK(K110, K$107:$K$121)</f>
        <v>#VALUE!</v>
      </c>
      <c r="N110" s="637"/>
      <c r="O110" s="637"/>
      <c r="P110" s="490"/>
      <c r="Q110" s="491"/>
      <c r="R110" s="491"/>
      <c r="S110" s="490"/>
      <c r="T110" s="633"/>
      <c r="U110" s="490"/>
      <c r="V110" s="491"/>
      <c r="W110" s="491"/>
      <c r="X110" s="490"/>
      <c r="Y110" s="633"/>
      <c r="Z110" s="490"/>
      <c r="AA110" s="491"/>
      <c r="AB110" s="491"/>
      <c r="AC110" s="490"/>
      <c r="AD110" s="633"/>
      <c r="AE110" s="490"/>
      <c r="AF110" s="491"/>
      <c r="AG110" s="491"/>
      <c r="AH110" s="490"/>
      <c r="AI110" s="633"/>
      <c r="AJ110" s="490"/>
      <c r="AK110" s="491"/>
      <c r="AL110" s="491"/>
      <c r="AM110" s="490"/>
      <c r="AN110" s="633"/>
      <c r="AO110" s="490"/>
      <c r="AP110" s="491"/>
      <c r="AQ110" s="491"/>
      <c r="AR110" s="490"/>
      <c r="AS110" s="633"/>
      <c r="AT110" s="490"/>
      <c r="AU110" s="491"/>
      <c r="AV110" s="491"/>
      <c r="AW110" s="490"/>
      <c r="AX110" s="633"/>
      <c r="AZ110" s="357" t="e">
        <f t="shared" si="31"/>
        <v>#N/A</v>
      </c>
      <c r="BA110" s="638"/>
    </row>
    <row r="111" spans="2:53">
      <c r="B111" s="643"/>
      <c r="C111" s="295">
        <v>5</v>
      </c>
      <c r="D111" s="220"/>
      <c r="E111" s="176"/>
      <c r="F111" s="295"/>
      <c r="G111" s="298"/>
      <c r="H111" s="697"/>
      <c r="I111" s="352" t="str">
        <f t="shared" si="28"/>
        <v>-</v>
      </c>
      <c r="J111" s="352" t="str">
        <f t="shared" si="29"/>
        <v>-</v>
      </c>
      <c r="K111" s="194" t="str">
        <f t="shared" si="30"/>
        <v>-</v>
      </c>
      <c r="L111" s="653"/>
      <c r="M111" s="471" t="e">
        <f>RANK(K111, K$107:$K$121)</f>
        <v>#VALUE!</v>
      </c>
      <c r="N111" s="637"/>
      <c r="O111" s="637"/>
      <c r="P111" s="490"/>
      <c r="Q111" s="491"/>
      <c r="R111" s="491"/>
      <c r="S111" s="490"/>
      <c r="T111" s="633"/>
      <c r="U111" s="490"/>
      <c r="V111" s="491"/>
      <c r="W111" s="491"/>
      <c r="X111" s="490"/>
      <c r="Y111" s="633"/>
      <c r="Z111" s="490"/>
      <c r="AA111" s="491"/>
      <c r="AB111" s="491"/>
      <c r="AC111" s="490"/>
      <c r="AD111" s="633"/>
      <c r="AE111" s="490"/>
      <c r="AF111" s="491"/>
      <c r="AG111" s="491"/>
      <c r="AH111" s="490"/>
      <c r="AI111" s="633"/>
      <c r="AJ111" s="490"/>
      <c r="AK111" s="491"/>
      <c r="AL111" s="491"/>
      <c r="AM111" s="490"/>
      <c r="AN111" s="633"/>
      <c r="AO111" s="490"/>
      <c r="AP111" s="491"/>
      <c r="AQ111" s="491"/>
      <c r="AR111" s="490"/>
      <c r="AS111" s="633"/>
      <c r="AT111" s="490"/>
      <c r="AU111" s="491"/>
      <c r="AV111" s="491"/>
      <c r="AW111" s="490"/>
      <c r="AX111" s="633"/>
      <c r="AZ111" s="357" t="e">
        <f t="shared" si="31"/>
        <v>#N/A</v>
      </c>
      <c r="BA111" s="638"/>
    </row>
    <row r="112" spans="2:53">
      <c r="B112" s="643"/>
      <c r="C112" s="295">
        <v>6</v>
      </c>
      <c r="D112" s="220"/>
      <c r="E112" s="176"/>
      <c r="F112" s="295"/>
      <c r="G112" s="298"/>
      <c r="H112" s="697"/>
      <c r="I112" s="352" t="str">
        <f t="shared" si="28"/>
        <v>-</v>
      </c>
      <c r="J112" s="352" t="str">
        <f t="shared" si="29"/>
        <v>-</v>
      </c>
      <c r="K112" s="194" t="str">
        <f t="shared" si="30"/>
        <v>-</v>
      </c>
      <c r="L112" s="653"/>
      <c r="M112" s="471" t="e">
        <f>RANK(K112, K$107:$K$121)</f>
        <v>#VALUE!</v>
      </c>
      <c r="N112" s="637"/>
      <c r="O112" s="637"/>
      <c r="P112" s="490"/>
      <c r="Q112" s="491"/>
      <c r="R112" s="491"/>
      <c r="S112" s="490"/>
      <c r="T112" s="633"/>
      <c r="U112" s="490"/>
      <c r="V112" s="491"/>
      <c r="W112" s="491"/>
      <c r="X112" s="490"/>
      <c r="Y112" s="633"/>
      <c r="Z112" s="490"/>
      <c r="AA112" s="491"/>
      <c r="AB112" s="491"/>
      <c r="AC112" s="490"/>
      <c r="AD112" s="633"/>
      <c r="AE112" s="490"/>
      <c r="AF112" s="491"/>
      <c r="AG112" s="491"/>
      <c r="AH112" s="490"/>
      <c r="AI112" s="633"/>
      <c r="AJ112" s="490"/>
      <c r="AK112" s="491"/>
      <c r="AL112" s="491"/>
      <c r="AM112" s="490"/>
      <c r="AN112" s="633"/>
      <c r="AO112" s="490"/>
      <c r="AP112" s="491"/>
      <c r="AQ112" s="491"/>
      <c r="AR112" s="490"/>
      <c r="AS112" s="633"/>
      <c r="AT112" s="490"/>
      <c r="AU112" s="491"/>
      <c r="AV112" s="491"/>
      <c r="AW112" s="490"/>
      <c r="AX112" s="633"/>
      <c r="AZ112" s="357" t="e">
        <f t="shared" si="31"/>
        <v>#N/A</v>
      </c>
      <c r="BA112" s="638"/>
    </row>
    <row r="113" spans="2:53">
      <c r="B113" s="643"/>
      <c r="C113" s="295">
        <v>7</v>
      </c>
      <c r="D113" s="220"/>
      <c r="E113" s="176"/>
      <c r="F113" s="295"/>
      <c r="G113" s="298"/>
      <c r="H113" s="697"/>
      <c r="I113" s="352" t="str">
        <f t="shared" si="28"/>
        <v>-</v>
      </c>
      <c r="J113" s="352" t="str">
        <f t="shared" si="29"/>
        <v>-</v>
      </c>
      <c r="K113" s="194" t="str">
        <f t="shared" si="30"/>
        <v>-</v>
      </c>
      <c r="L113" s="653"/>
      <c r="M113" s="471" t="e">
        <f>RANK(K113, K$107:$K$121)</f>
        <v>#VALUE!</v>
      </c>
      <c r="N113" s="637"/>
      <c r="O113" s="637"/>
      <c r="P113" s="490"/>
      <c r="Q113" s="491"/>
      <c r="R113" s="491"/>
      <c r="S113" s="490"/>
      <c r="T113" s="633"/>
      <c r="U113" s="490"/>
      <c r="V113" s="491"/>
      <c r="W113" s="491"/>
      <c r="X113" s="490"/>
      <c r="Y113" s="633"/>
      <c r="Z113" s="490"/>
      <c r="AA113" s="491"/>
      <c r="AB113" s="491"/>
      <c r="AC113" s="490"/>
      <c r="AD113" s="633"/>
      <c r="AE113" s="490"/>
      <c r="AF113" s="491"/>
      <c r="AG113" s="491"/>
      <c r="AH113" s="490"/>
      <c r="AI113" s="633"/>
      <c r="AJ113" s="490"/>
      <c r="AK113" s="491"/>
      <c r="AL113" s="491"/>
      <c r="AM113" s="490"/>
      <c r="AN113" s="633"/>
      <c r="AO113" s="490"/>
      <c r="AP113" s="491"/>
      <c r="AQ113" s="491"/>
      <c r="AR113" s="490"/>
      <c r="AS113" s="633"/>
      <c r="AT113" s="490"/>
      <c r="AU113" s="491"/>
      <c r="AV113" s="491"/>
      <c r="AW113" s="490"/>
      <c r="AX113" s="633"/>
      <c r="AZ113" s="357" t="e">
        <f t="shared" si="31"/>
        <v>#N/A</v>
      </c>
      <c r="BA113" s="638"/>
    </row>
    <row r="114" spans="2:53">
      <c r="B114" s="643"/>
      <c r="C114" s="295">
        <v>8</v>
      </c>
      <c r="D114" s="220"/>
      <c r="E114" s="176"/>
      <c r="F114" s="295"/>
      <c r="G114" s="298"/>
      <c r="H114" s="697"/>
      <c r="I114" s="352" t="str">
        <f t="shared" si="28"/>
        <v>-</v>
      </c>
      <c r="J114" s="352" t="str">
        <f t="shared" si="29"/>
        <v>-</v>
      </c>
      <c r="K114" s="194" t="str">
        <f t="shared" si="30"/>
        <v>-</v>
      </c>
      <c r="L114" s="653"/>
      <c r="M114" s="471" t="e">
        <f>RANK(K114, K$107:$K$121)</f>
        <v>#VALUE!</v>
      </c>
      <c r="N114" s="637"/>
      <c r="O114" s="637"/>
      <c r="P114" s="490"/>
      <c r="Q114" s="491"/>
      <c r="R114" s="491"/>
      <c r="S114" s="490"/>
      <c r="T114" s="633"/>
      <c r="U114" s="490"/>
      <c r="V114" s="491"/>
      <c r="W114" s="491"/>
      <c r="X114" s="490"/>
      <c r="Y114" s="633"/>
      <c r="Z114" s="490"/>
      <c r="AA114" s="491"/>
      <c r="AB114" s="491"/>
      <c r="AC114" s="490"/>
      <c r="AD114" s="633"/>
      <c r="AE114" s="490"/>
      <c r="AF114" s="491"/>
      <c r="AG114" s="491"/>
      <c r="AH114" s="490"/>
      <c r="AI114" s="633"/>
      <c r="AJ114" s="490"/>
      <c r="AK114" s="491"/>
      <c r="AL114" s="491"/>
      <c r="AM114" s="490"/>
      <c r="AN114" s="633"/>
      <c r="AO114" s="490"/>
      <c r="AP114" s="491"/>
      <c r="AQ114" s="491"/>
      <c r="AR114" s="490"/>
      <c r="AS114" s="633"/>
      <c r="AT114" s="490"/>
      <c r="AU114" s="491"/>
      <c r="AV114" s="491"/>
      <c r="AW114" s="490"/>
      <c r="AX114" s="633"/>
      <c r="AZ114" s="357" t="e">
        <f t="shared" si="31"/>
        <v>#N/A</v>
      </c>
      <c r="BA114" s="638"/>
    </row>
    <row r="115" spans="2:53">
      <c r="B115" s="643"/>
      <c r="C115" s="295">
        <v>9</v>
      </c>
      <c r="D115" s="220"/>
      <c r="E115" s="176"/>
      <c r="F115" s="295"/>
      <c r="G115" s="298"/>
      <c r="H115" s="697"/>
      <c r="I115" s="352" t="str">
        <f t="shared" si="28"/>
        <v>-</v>
      </c>
      <c r="J115" s="352" t="str">
        <f t="shared" si="29"/>
        <v>-</v>
      </c>
      <c r="K115" s="194" t="str">
        <f t="shared" si="30"/>
        <v>-</v>
      </c>
      <c r="L115" s="653"/>
      <c r="M115" s="471" t="e">
        <f>RANK(K115, K$107:$K$121)</f>
        <v>#VALUE!</v>
      </c>
      <c r="N115" s="637"/>
      <c r="O115" s="637"/>
      <c r="P115" s="490"/>
      <c r="Q115" s="491"/>
      <c r="R115" s="491"/>
      <c r="S115" s="490"/>
      <c r="T115" s="633"/>
      <c r="U115" s="490"/>
      <c r="V115" s="491"/>
      <c r="W115" s="491"/>
      <c r="X115" s="490"/>
      <c r="Y115" s="633"/>
      <c r="Z115" s="490"/>
      <c r="AA115" s="491"/>
      <c r="AB115" s="491"/>
      <c r="AC115" s="490"/>
      <c r="AD115" s="633"/>
      <c r="AE115" s="490"/>
      <c r="AF115" s="491"/>
      <c r="AG115" s="491"/>
      <c r="AH115" s="490"/>
      <c r="AI115" s="633"/>
      <c r="AJ115" s="490"/>
      <c r="AK115" s="491"/>
      <c r="AL115" s="491"/>
      <c r="AM115" s="490"/>
      <c r="AN115" s="633"/>
      <c r="AO115" s="490"/>
      <c r="AP115" s="491"/>
      <c r="AQ115" s="491"/>
      <c r="AR115" s="490"/>
      <c r="AS115" s="633"/>
      <c r="AT115" s="490"/>
      <c r="AU115" s="491"/>
      <c r="AV115" s="491"/>
      <c r="AW115" s="490"/>
      <c r="AX115" s="633"/>
      <c r="AZ115" s="357" t="e">
        <f t="shared" si="31"/>
        <v>#N/A</v>
      </c>
      <c r="BA115" s="638"/>
    </row>
    <row r="116" spans="2:53">
      <c r="B116" s="643"/>
      <c r="C116" s="295">
        <v>10</v>
      </c>
      <c r="D116" s="220"/>
      <c r="E116" s="176"/>
      <c r="F116" s="295"/>
      <c r="G116" s="298"/>
      <c r="H116" s="697"/>
      <c r="I116" s="352" t="str">
        <f t="shared" si="28"/>
        <v>-</v>
      </c>
      <c r="J116" s="352" t="str">
        <f t="shared" si="29"/>
        <v>-</v>
      </c>
      <c r="K116" s="194" t="str">
        <f t="shared" si="30"/>
        <v>-</v>
      </c>
      <c r="L116" s="653"/>
      <c r="M116" s="471" t="e">
        <f>RANK(K116, K$107:$K$121)</f>
        <v>#VALUE!</v>
      </c>
      <c r="N116" s="637"/>
      <c r="O116" s="637"/>
      <c r="P116" s="490"/>
      <c r="Q116" s="491"/>
      <c r="R116" s="491"/>
      <c r="S116" s="490"/>
      <c r="T116" s="633"/>
      <c r="U116" s="490"/>
      <c r="V116" s="491"/>
      <c r="W116" s="491"/>
      <c r="X116" s="490"/>
      <c r="Y116" s="633"/>
      <c r="Z116" s="490"/>
      <c r="AA116" s="491"/>
      <c r="AB116" s="491"/>
      <c r="AC116" s="490"/>
      <c r="AD116" s="633"/>
      <c r="AE116" s="490"/>
      <c r="AF116" s="491"/>
      <c r="AG116" s="491"/>
      <c r="AH116" s="490"/>
      <c r="AI116" s="633"/>
      <c r="AJ116" s="490"/>
      <c r="AK116" s="491"/>
      <c r="AL116" s="491"/>
      <c r="AM116" s="490"/>
      <c r="AN116" s="633"/>
      <c r="AO116" s="490"/>
      <c r="AP116" s="491"/>
      <c r="AQ116" s="491"/>
      <c r="AR116" s="490"/>
      <c r="AS116" s="633"/>
      <c r="AT116" s="490"/>
      <c r="AU116" s="491"/>
      <c r="AV116" s="491"/>
      <c r="AW116" s="490"/>
      <c r="AX116" s="633"/>
      <c r="AZ116" s="357" t="e">
        <f t="shared" si="31"/>
        <v>#N/A</v>
      </c>
      <c r="BA116" s="638"/>
    </row>
    <row r="117" spans="2:53">
      <c r="B117" s="643"/>
      <c r="C117" s="295">
        <v>11</v>
      </c>
      <c r="D117" s="220"/>
      <c r="E117" s="176"/>
      <c r="F117" s="295"/>
      <c r="G117" s="298"/>
      <c r="H117" s="697"/>
      <c r="I117" s="352" t="str">
        <f t="shared" si="28"/>
        <v>-</v>
      </c>
      <c r="J117" s="352" t="str">
        <f t="shared" si="29"/>
        <v>-</v>
      </c>
      <c r="K117" s="194" t="str">
        <f t="shared" si="30"/>
        <v>-</v>
      </c>
      <c r="L117" s="653"/>
      <c r="M117" s="471" t="e">
        <f>RANK(K117, K$107:$K$121)</f>
        <v>#VALUE!</v>
      </c>
      <c r="N117" s="637"/>
      <c r="O117" s="637"/>
      <c r="P117" s="490"/>
      <c r="Q117" s="491"/>
      <c r="R117" s="491"/>
      <c r="S117" s="490"/>
      <c r="T117" s="633"/>
      <c r="U117" s="490"/>
      <c r="V117" s="491"/>
      <c r="W117" s="491"/>
      <c r="X117" s="490"/>
      <c r="Y117" s="633"/>
      <c r="Z117" s="490"/>
      <c r="AA117" s="491"/>
      <c r="AB117" s="491"/>
      <c r="AC117" s="490"/>
      <c r="AD117" s="633"/>
      <c r="AE117" s="490"/>
      <c r="AF117" s="491"/>
      <c r="AG117" s="491"/>
      <c r="AH117" s="490"/>
      <c r="AI117" s="633"/>
      <c r="AJ117" s="490"/>
      <c r="AK117" s="491"/>
      <c r="AL117" s="491"/>
      <c r="AM117" s="490"/>
      <c r="AN117" s="633"/>
      <c r="AO117" s="490"/>
      <c r="AP117" s="491"/>
      <c r="AQ117" s="491"/>
      <c r="AR117" s="490"/>
      <c r="AS117" s="633"/>
      <c r="AT117" s="490"/>
      <c r="AU117" s="491"/>
      <c r="AV117" s="491"/>
      <c r="AW117" s="490"/>
      <c r="AX117" s="633"/>
      <c r="AZ117" s="357" t="e">
        <f t="shared" si="31"/>
        <v>#N/A</v>
      </c>
      <c r="BA117" s="638"/>
    </row>
    <row r="118" spans="2:53">
      <c r="B118" s="643"/>
      <c r="C118" s="295">
        <v>12</v>
      </c>
      <c r="D118" s="220"/>
      <c r="E118" s="176"/>
      <c r="F118" s="295"/>
      <c r="G118" s="298"/>
      <c r="H118" s="697"/>
      <c r="I118" s="352" t="str">
        <f t="shared" si="28"/>
        <v>-</v>
      </c>
      <c r="J118" s="352" t="str">
        <f t="shared" si="29"/>
        <v>-</v>
      </c>
      <c r="K118" s="194" t="str">
        <f t="shared" si="30"/>
        <v>-</v>
      </c>
      <c r="L118" s="653"/>
      <c r="M118" s="471" t="e">
        <f>RANK(K118, K$107:$K$121)</f>
        <v>#VALUE!</v>
      </c>
      <c r="N118" s="637"/>
      <c r="O118" s="637"/>
      <c r="P118" s="490"/>
      <c r="Q118" s="491"/>
      <c r="R118" s="491"/>
      <c r="S118" s="490"/>
      <c r="T118" s="633"/>
      <c r="U118" s="490"/>
      <c r="V118" s="491"/>
      <c r="W118" s="491"/>
      <c r="X118" s="490"/>
      <c r="Y118" s="633"/>
      <c r="Z118" s="490"/>
      <c r="AA118" s="491"/>
      <c r="AB118" s="491"/>
      <c r="AC118" s="490"/>
      <c r="AD118" s="633"/>
      <c r="AE118" s="490"/>
      <c r="AF118" s="491"/>
      <c r="AG118" s="491"/>
      <c r="AH118" s="490"/>
      <c r="AI118" s="633"/>
      <c r="AJ118" s="490"/>
      <c r="AK118" s="491"/>
      <c r="AL118" s="491"/>
      <c r="AM118" s="490"/>
      <c r="AN118" s="633"/>
      <c r="AO118" s="490"/>
      <c r="AP118" s="491"/>
      <c r="AQ118" s="491"/>
      <c r="AR118" s="490"/>
      <c r="AS118" s="633"/>
      <c r="AT118" s="490"/>
      <c r="AU118" s="491"/>
      <c r="AV118" s="491"/>
      <c r="AW118" s="490"/>
      <c r="AX118" s="633"/>
      <c r="AZ118" s="357" t="e">
        <f t="shared" si="31"/>
        <v>#N/A</v>
      </c>
      <c r="BA118" s="638"/>
    </row>
    <row r="119" spans="2:53">
      <c r="B119" s="643"/>
      <c r="C119" s="295">
        <v>13</v>
      </c>
      <c r="D119" s="220"/>
      <c r="E119" s="176"/>
      <c r="F119" s="295"/>
      <c r="G119" s="298"/>
      <c r="H119" s="697"/>
      <c r="I119" s="352" t="str">
        <f t="shared" si="28"/>
        <v>-</v>
      </c>
      <c r="J119" s="352" t="str">
        <f t="shared" si="29"/>
        <v>-</v>
      </c>
      <c r="K119" s="194" t="str">
        <f t="shared" si="30"/>
        <v>-</v>
      </c>
      <c r="L119" s="653"/>
      <c r="M119" s="471" t="e">
        <f>RANK(K119, K$107:$K$121)</f>
        <v>#VALUE!</v>
      </c>
      <c r="N119" s="637"/>
      <c r="O119" s="637"/>
      <c r="P119" s="490"/>
      <c r="Q119" s="491"/>
      <c r="R119" s="491"/>
      <c r="S119" s="490"/>
      <c r="T119" s="633"/>
      <c r="U119" s="490"/>
      <c r="V119" s="491"/>
      <c r="W119" s="491"/>
      <c r="X119" s="490"/>
      <c r="Y119" s="633"/>
      <c r="Z119" s="490"/>
      <c r="AA119" s="491"/>
      <c r="AB119" s="491"/>
      <c r="AC119" s="490"/>
      <c r="AD119" s="633"/>
      <c r="AE119" s="490"/>
      <c r="AF119" s="491"/>
      <c r="AG119" s="491"/>
      <c r="AH119" s="490"/>
      <c r="AI119" s="633"/>
      <c r="AJ119" s="490"/>
      <c r="AK119" s="491"/>
      <c r="AL119" s="491"/>
      <c r="AM119" s="490"/>
      <c r="AN119" s="633"/>
      <c r="AO119" s="490"/>
      <c r="AP119" s="491"/>
      <c r="AQ119" s="491"/>
      <c r="AR119" s="490"/>
      <c r="AS119" s="633"/>
      <c r="AT119" s="490"/>
      <c r="AU119" s="491"/>
      <c r="AV119" s="491"/>
      <c r="AW119" s="490"/>
      <c r="AX119" s="633"/>
      <c r="AZ119" s="357" t="e">
        <f t="shared" si="31"/>
        <v>#N/A</v>
      </c>
      <c r="BA119" s="638"/>
    </row>
    <row r="120" spans="2:53">
      <c r="B120" s="643"/>
      <c r="C120" s="295">
        <v>14</v>
      </c>
      <c r="D120" s="220"/>
      <c r="E120" s="176"/>
      <c r="F120" s="295"/>
      <c r="G120" s="298"/>
      <c r="H120" s="697"/>
      <c r="I120" s="352" t="str">
        <f t="shared" si="28"/>
        <v>-</v>
      </c>
      <c r="J120" s="352" t="str">
        <f t="shared" si="29"/>
        <v>-</v>
      </c>
      <c r="K120" s="194" t="str">
        <f t="shared" si="30"/>
        <v>-</v>
      </c>
      <c r="L120" s="653"/>
      <c r="M120" s="471" t="e">
        <f>RANK(K120, K$107:$K$121)</f>
        <v>#VALUE!</v>
      </c>
      <c r="N120" s="637"/>
      <c r="O120" s="637"/>
      <c r="P120" s="490"/>
      <c r="Q120" s="491"/>
      <c r="R120" s="491"/>
      <c r="S120" s="490"/>
      <c r="T120" s="633"/>
      <c r="U120" s="490"/>
      <c r="V120" s="491"/>
      <c r="W120" s="491"/>
      <c r="X120" s="490"/>
      <c r="Y120" s="633"/>
      <c r="Z120" s="490"/>
      <c r="AA120" s="491"/>
      <c r="AB120" s="491"/>
      <c r="AC120" s="490"/>
      <c r="AD120" s="633"/>
      <c r="AE120" s="490"/>
      <c r="AF120" s="491"/>
      <c r="AG120" s="491"/>
      <c r="AH120" s="490"/>
      <c r="AI120" s="633"/>
      <c r="AJ120" s="490"/>
      <c r="AK120" s="491"/>
      <c r="AL120" s="491"/>
      <c r="AM120" s="490"/>
      <c r="AN120" s="633"/>
      <c r="AO120" s="490"/>
      <c r="AP120" s="491"/>
      <c r="AQ120" s="491"/>
      <c r="AR120" s="490"/>
      <c r="AS120" s="633"/>
      <c r="AT120" s="490"/>
      <c r="AU120" s="491"/>
      <c r="AV120" s="491"/>
      <c r="AW120" s="490"/>
      <c r="AX120" s="633"/>
      <c r="AZ120" s="357" t="e">
        <f t="shared" si="31"/>
        <v>#N/A</v>
      </c>
      <c r="BA120" s="638"/>
    </row>
    <row r="121" spans="2:53">
      <c r="B121" s="643"/>
      <c r="C121" s="295">
        <v>15</v>
      </c>
      <c r="D121" s="220"/>
      <c r="E121" s="176"/>
      <c r="F121" s="295"/>
      <c r="G121" s="298"/>
      <c r="H121" s="698"/>
      <c r="I121" s="196"/>
      <c r="J121" s="196"/>
      <c r="K121" s="196"/>
      <c r="L121" s="654"/>
      <c r="M121" s="471" t="e">
        <f>RANK(K121, K$107:$K$121)</f>
        <v>#N/A</v>
      </c>
      <c r="N121" s="637"/>
      <c r="O121" s="637"/>
      <c r="P121" s="490"/>
      <c r="Q121" s="491"/>
      <c r="R121" s="491"/>
      <c r="S121" s="490"/>
      <c r="T121" s="634"/>
      <c r="U121" s="490"/>
      <c r="V121" s="491"/>
      <c r="W121" s="491"/>
      <c r="X121" s="490"/>
      <c r="Y121" s="634"/>
      <c r="Z121" s="490"/>
      <c r="AA121" s="491"/>
      <c r="AB121" s="491"/>
      <c r="AC121" s="490"/>
      <c r="AD121" s="634"/>
      <c r="AE121" s="490"/>
      <c r="AF121" s="491"/>
      <c r="AG121" s="491"/>
      <c r="AH121" s="490"/>
      <c r="AI121" s="634"/>
      <c r="AJ121" s="490"/>
      <c r="AK121" s="491"/>
      <c r="AL121" s="491"/>
      <c r="AM121" s="490"/>
      <c r="AN121" s="634"/>
      <c r="AO121" s="490"/>
      <c r="AP121" s="491"/>
      <c r="AQ121" s="491"/>
      <c r="AR121" s="490"/>
      <c r="AS121" s="634"/>
      <c r="AT121" s="490"/>
      <c r="AU121" s="491"/>
      <c r="AV121" s="491"/>
      <c r="AW121" s="490"/>
      <c r="AX121" s="634"/>
      <c r="AZ121" s="357" t="e">
        <f t="shared" si="31"/>
        <v>#N/A</v>
      </c>
      <c r="BA121" s="638"/>
    </row>
    <row r="123" spans="2:53" ht="15.75">
      <c r="B123" s="645" t="s">
        <v>463</v>
      </c>
      <c r="C123" s="646"/>
      <c r="D123" s="646"/>
      <c r="E123" s="646"/>
      <c r="F123" s="646"/>
      <c r="G123" s="646"/>
      <c r="H123" s="647"/>
      <c r="I123" s="299"/>
      <c r="J123" s="299"/>
      <c r="K123" s="299"/>
      <c r="L123" s="299"/>
      <c r="M123" s="300"/>
    </row>
    <row r="124" spans="2:53" ht="15.75">
      <c r="B124" s="648"/>
      <c r="C124" s="648"/>
      <c r="D124" s="648"/>
      <c r="E124" s="648"/>
      <c r="F124" s="648"/>
      <c r="G124" s="648"/>
      <c r="H124" s="648"/>
      <c r="I124" s="301"/>
      <c r="J124" s="301"/>
      <c r="K124" s="301"/>
      <c r="L124" s="301"/>
      <c r="M124" s="302"/>
    </row>
    <row r="125" spans="2:53">
      <c r="B125" s="637" t="s">
        <v>464</v>
      </c>
      <c r="C125" s="637" t="s">
        <v>465</v>
      </c>
      <c r="D125" s="637"/>
      <c r="E125" s="637" t="s">
        <v>466</v>
      </c>
      <c r="F125" s="637"/>
      <c r="G125" s="637"/>
      <c r="H125" s="669" t="s">
        <v>467</v>
      </c>
      <c r="I125" s="649" t="s">
        <v>468</v>
      </c>
      <c r="J125" s="649"/>
      <c r="K125" s="649"/>
      <c r="L125" s="702" t="s">
        <v>467</v>
      </c>
      <c r="M125" s="705" t="s">
        <v>469</v>
      </c>
    </row>
    <row r="126" spans="2:53">
      <c r="B126" s="637"/>
      <c r="C126" s="637"/>
      <c r="D126" s="637"/>
      <c r="E126" s="637" t="s">
        <v>470</v>
      </c>
      <c r="F126" s="637"/>
      <c r="G126" s="637"/>
      <c r="H126" s="670"/>
      <c r="I126" s="649" t="s">
        <v>470</v>
      </c>
      <c r="J126" s="649"/>
      <c r="K126" s="649"/>
      <c r="L126" s="703"/>
      <c r="M126" s="706"/>
    </row>
    <row r="127" spans="2:53">
      <c r="B127" s="637"/>
      <c r="C127" s="637"/>
      <c r="D127" s="637"/>
      <c r="E127" s="296" t="s">
        <v>471</v>
      </c>
      <c r="F127" s="296" t="s">
        <v>472</v>
      </c>
      <c r="G127" s="296" t="s">
        <v>473</v>
      </c>
      <c r="H127" s="671"/>
      <c r="I127" s="303" t="s">
        <v>471</v>
      </c>
      <c r="J127" s="303" t="s">
        <v>472</v>
      </c>
      <c r="K127" s="303" t="s">
        <v>473</v>
      </c>
      <c r="L127" s="704"/>
      <c r="M127" s="707"/>
    </row>
    <row r="128" spans="2:53">
      <c r="B128" s="637" t="s">
        <v>477</v>
      </c>
      <c r="C128" s="295">
        <v>1</v>
      </c>
      <c r="D128" s="220"/>
      <c r="E128" s="176"/>
      <c r="F128" s="295"/>
      <c r="G128" s="298"/>
      <c r="H128" s="696" t="e">
        <f>AVERAGE(G128:G142)</f>
        <v>#DIV/0!</v>
      </c>
      <c r="I128" s="193" t="e">
        <f t="shared" ref="I128:J128" si="32">AVERAGEIF($D$7:$D$121,$D128,I$7:I$121)</f>
        <v>#DIV/0!</v>
      </c>
      <c r="J128" s="193" t="e">
        <f t="shared" si="32"/>
        <v>#DIV/0!</v>
      </c>
      <c r="K128" s="193" t="e">
        <f>AVERAGEIF($D$7:$D$121,$D128,K$7:K$121)</f>
        <v>#DIV/0!</v>
      </c>
      <c r="L128" s="699" t="e">
        <f>AVERAGE(K128:K142)</f>
        <v>#DIV/0!</v>
      </c>
      <c r="M128" s="193" t="e">
        <f>RANK(K128, K$128:$K$142)</f>
        <v>#DIV/0!</v>
      </c>
    </row>
    <row r="129" spans="2:39">
      <c r="B129" s="643"/>
      <c r="C129" s="295">
        <v>2</v>
      </c>
      <c r="D129" s="220"/>
      <c r="E129" s="176"/>
      <c r="F129" s="295"/>
      <c r="G129" s="298"/>
      <c r="H129" s="697"/>
      <c r="I129" s="193"/>
      <c r="J129" s="193"/>
      <c r="K129" s="193"/>
      <c r="L129" s="700"/>
      <c r="M129" s="193" t="e">
        <f>RANK(K129, K$128:$K$142)</f>
        <v>#DIV/0!</v>
      </c>
      <c r="N129" s="107"/>
      <c r="O129" s="107"/>
      <c r="P129" s="107"/>
      <c r="Q129" s="107"/>
      <c r="R129" s="107"/>
      <c r="S129" s="107"/>
      <c r="T129" s="107"/>
      <c r="X129" s="107"/>
      <c r="AC129" s="107"/>
      <c r="AH129" s="107"/>
      <c r="AM129" s="107"/>
    </row>
    <row r="130" spans="2:39">
      <c r="B130" s="643"/>
      <c r="C130" s="295">
        <v>3</v>
      </c>
      <c r="D130" s="220"/>
      <c r="E130" s="176"/>
      <c r="F130" s="295"/>
      <c r="G130" s="298"/>
      <c r="H130" s="697"/>
      <c r="I130" s="193"/>
      <c r="J130" s="193"/>
      <c r="K130" s="193"/>
      <c r="L130" s="700"/>
      <c r="M130" s="193" t="e">
        <f>RANK(K130, K$128:$K$142)</f>
        <v>#DIV/0!</v>
      </c>
      <c r="N130" s="107"/>
      <c r="O130" s="107"/>
      <c r="P130" s="107"/>
      <c r="Q130" s="107"/>
      <c r="R130" s="107"/>
      <c r="S130" s="107"/>
      <c r="T130" s="107"/>
      <c r="X130" s="107"/>
      <c r="AC130" s="107"/>
      <c r="AH130" s="107"/>
      <c r="AM130" s="107"/>
    </row>
    <row r="131" spans="2:39">
      <c r="B131" s="643"/>
      <c r="C131" s="295">
        <v>4</v>
      </c>
      <c r="D131" s="220"/>
      <c r="E131" s="176"/>
      <c r="F131" s="295"/>
      <c r="G131" s="298"/>
      <c r="H131" s="697"/>
      <c r="I131" s="193"/>
      <c r="J131" s="193"/>
      <c r="K131" s="193"/>
      <c r="L131" s="700"/>
      <c r="M131" s="193" t="e">
        <f>RANK(K131, K$128:$K$142)</f>
        <v>#DIV/0!</v>
      </c>
      <c r="N131" s="107"/>
      <c r="O131" s="107"/>
      <c r="P131" s="107"/>
      <c r="Q131" s="107"/>
      <c r="R131" s="107"/>
      <c r="S131" s="107"/>
      <c r="T131" s="107"/>
      <c r="X131" s="107"/>
      <c r="AC131" s="107"/>
      <c r="AH131" s="107"/>
      <c r="AM131" s="107"/>
    </row>
    <row r="132" spans="2:39">
      <c r="B132" s="643"/>
      <c r="C132" s="295">
        <v>5</v>
      </c>
      <c r="D132" s="220"/>
      <c r="E132" s="176"/>
      <c r="F132" s="295"/>
      <c r="G132" s="298"/>
      <c r="H132" s="697"/>
      <c r="I132" s="193"/>
      <c r="J132" s="193"/>
      <c r="K132" s="193"/>
      <c r="L132" s="700"/>
      <c r="M132" s="193" t="e">
        <f>RANK(K132, K$128:$K$142)</f>
        <v>#DIV/0!</v>
      </c>
      <c r="N132" s="107"/>
      <c r="O132" s="107"/>
      <c r="P132" s="107"/>
      <c r="Q132" s="107"/>
      <c r="R132" s="107"/>
      <c r="S132" s="107"/>
      <c r="T132" s="107"/>
      <c r="X132" s="107"/>
      <c r="AC132" s="107"/>
      <c r="AH132" s="107"/>
      <c r="AM132" s="107"/>
    </row>
    <row r="133" spans="2:39">
      <c r="B133" s="643"/>
      <c r="C133" s="295">
        <v>6</v>
      </c>
      <c r="D133" s="304"/>
      <c r="E133" s="176"/>
      <c r="F133" s="295"/>
      <c r="G133" s="298"/>
      <c r="H133" s="697"/>
      <c r="I133" s="193"/>
      <c r="J133" s="193"/>
      <c r="K133" s="193"/>
      <c r="L133" s="700"/>
      <c r="M133" s="193" t="e">
        <f>RANK(K133, K$128:$K$142)</f>
        <v>#DIV/0!</v>
      </c>
      <c r="N133" s="107"/>
      <c r="O133" s="107"/>
      <c r="P133" s="107"/>
      <c r="Q133" s="107"/>
      <c r="R133" s="107"/>
      <c r="S133" s="107"/>
      <c r="T133" s="107"/>
      <c r="X133" s="107"/>
      <c r="AC133" s="107"/>
      <c r="AH133" s="107"/>
      <c r="AM133" s="107"/>
    </row>
    <row r="134" spans="2:39">
      <c r="B134" s="643"/>
      <c r="C134" s="295">
        <v>7</v>
      </c>
      <c r="D134" s="220"/>
      <c r="E134" s="176"/>
      <c r="F134" s="295"/>
      <c r="G134" s="298"/>
      <c r="H134" s="697"/>
      <c r="I134" s="193"/>
      <c r="J134" s="193"/>
      <c r="K134" s="193"/>
      <c r="L134" s="700"/>
      <c r="M134" s="193" t="e">
        <f>RANK(K134, K$128:$K$142)</f>
        <v>#DIV/0!</v>
      </c>
      <c r="N134" s="107"/>
      <c r="O134" s="107"/>
      <c r="P134" s="107"/>
      <c r="Q134" s="107"/>
      <c r="R134" s="107"/>
      <c r="S134" s="107"/>
      <c r="T134" s="107"/>
      <c r="X134" s="107"/>
      <c r="AC134" s="107"/>
      <c r="AH134" s="107"/>
      <c r="AM134" s="107"/>
    </row>
    <row r="135" spans="2:39">
      <c r="B135" s="643"/>
      <c r="C135" s="295">
        <v>8</v>
      </c>
      <c r="D135" s="220"/>
      <c r="E135" s="176"/>
      <c r="F135" s="295"/>
      <c r="G135" s="298"/>
      <c r="H135" s="697"/>
      <c r="I135" s="193"/>
      <c r="J135" s="193"/>
      <c r="K135" s="193"/>
      <c r="L135" s="700"/>
      <c r="M135" s="193" t="e">
        <f>RANK(K135, K$128:$K$142)</f>
        <v>#DIV/0!</v>
      </c>
      <c r="N135" s="107"/>
      <c r="O135" s="107"/>
      <c r="P135" s="107"/>
      <c r="Q135" s="107"/>
      <c r="R135" s="107"/>
      <c r="S135" s="107"/>
      <c r="T135" s="107"/>
      <c r="X135" s="107"/>
      <c r="AC135" s="107"/>
      <c r="AH135" s="107"/>
      <c r="AM135" s="107"/>
    </row>
    <row r="136" spans="2:39">
      <c r="B136" s="643"/>
      <c r="C136" s="295">
        <v>9</v>
      </c>
      <c r="D136" s="220"/>
      <c r="E136" s="295"/>
      <c r="F136" s="295"/>
      <c r="G136" s="295"/>
      <c r="H136" s="697"/>
      <c r="I136" s="193"/>
      <c r="J136" s="193"/>
      <c r="K136" s="193"/>
      <c r="L136" s="700"/>
      <c r="M136" s="193" t="e">
        <f>RANK(K136, K$128:$K$142)</f>
        <v>#DIV/0!</v>
      </c>
      <c r="N136" s="107"/>
      <c r="O136" s="107"/>
      <c r="P136" s="107"/>
      <c r="Q136" s="107"/>
      <c r="R136" s="107"/>
      <c r="S136" s="107"/>
      <c r="T136" s="107"/>
      <c r="X136" s="107"/>
      <c r="AC136" s="107"/>
      <c r="AH136" s="107"/>
      <c r="AM136" s="107"/>
    </row>
    <row r="137" spans="2:39">
      <c r="B137" s="643"/>
      <c r="C137" s="295">
        <v>10</v>
      </c>
      <c r="D137" s="220"/>
      <c r="E137" s="295"/>
      <c r="F137" s="295"/>
      <c r="G137" s="295"/>
      <c r="H137" s="697"/>
      <c r="I137" s="193"/>
      <c r="J137" s="193"/>
      <c r="K137" s="193"/>
      <c r="L137" s="700"/>
      <c r="M137" s="193" t="e">
        <f>RANK(K137, K$128:$K$142)</f>
        <v>#DIV/0!</v>
      </c>
      <c r="N137" s="107"/>
      <c r="O137" s="107"/>
      <c r="P137" s="107"/>
      <c r="Q137" s="107"/>
      <c r="R137" s="107"/>
      <c r="S137" s="107"/>
      <c r="T137" s="107"/>
      <c r="X137" s="107"/>
      <c r="AC137" s="107"/>
      <c r="AH137" s="107"/>
      <c r="AM137" s="107"/>
    </row>
    <row r="138" spans="2:39">
      <c r="B138" s="643"/>
      <c r="C138" s="295">
        <v>11</v>
      </c>
      <c r="D138" s="220"/>
      <c r="E138" s="295"/>
      <c r="F138" s="295"/>
      <c r="G138" s="295"/>
      <c r="H138" s="697"/>
      <c r="I138" s="193"/>
      <c r="J138" s="193"/>
      <c r="K138" s="193"/>
      <c r="L138" s="700"/>
      <c r="M138" s="193" t="e">
        <f>RANK(K138, K$128:$K$142)</f>
        <v>#DIV/0!</v>
      </c>
      <c r="N138" s="107"/>
      <c r="O138" s="107"/>
      <c r="P138" s="107"/>
      <c r="Q138" s="107"/>
      <c r="R138" s="107"/>
      <c r="S138" s="107"/>
      <c r="T138" s="107"/>
      <c r="X138" s="107"/>
      <c r="AC138" s="107"/>
      <c r="AH138" s="107"/>
      <c r="AM138" s="107"/>
    </row>
    <row r="139" spans="2:39">
      <c r="B139" s="643"/>
      <c r="C139" s="295">
        <v>12</v>
      </c>
      <c r="D139" s="220"/>
      <c r="E139" s="295"/>
      <c r="F139" s="295"/>
      <c r="G139" s="295"/>
      <c r="H139" s="697"/>
      <c r="I139" s="193"/>
      <c r="J139" s="193"/>
      <c r="K139" s="193"/>
      <c r="L139" s="700"/>
      <c r="M139" s="193" t="e">
        <f>RANK(K139, K$128:$K$142)</f>
        <v>#DIV/0!</v>
      </c>
      <c r="N139" s="107"/>
      <c r="O139" s="107"/>
      <c r="P139" s="107"/>
      <c r="Q139" s="107"/>
      <c r="R139" s="107"/>
      <c r="S139" s="107"/>
      <c r="T139" s="107"/>
      <c r="X139" s="107"/>
      <c r="AC139" s="107"/>
      <c r="AH139" s="107"/>
      <c r="AM139" s="107"/>
    </row>
    <row r="140" spans="2:39">
      <c r="B140" s="643"/>
      <c r="C140" s="295">
        <v>13</v>
      </c>
      <c r="D140" s="220"/>
      <c r="E140" s="295"/>
      <c r="F140" s="295"/>
      <c r="G140" s="295"/>
      <c r="H140" s="697"/>
      <c r="I140" s="193"/>
      <c r="J140" s="193"/>
      <c r="K140" s="193"/>
      <c r="L140" s="700"/>
      <c r="M140" s="193" t="e">
        <f>RANK(K140, K$128:$K$142)</f>
        <v>#DIV/0!</v>
      </c>
      <c r="N140" s="107"/>
      <c r="O140" s="107"/>
      <c r="P140" s="107"/>
      <c r="Q140" s="107"/>
      <c r="R140" s="107"/>
      <c r="S140" s="107"/>
      <c r="T140" s="107"/>
      <c r="X140" s="107"/>
      <c r="AC140" s="107"/>
      <c r="AH140" s="107"/>
      <c r="AM140" s="107"/>
    </row>
    <row r="141" spans="2:39">
      <c r="B141" s="643"/>
      <c r="C141" s="295">
        <v>14</v>
      </c>
      <c r="D141" s="220"/>
      <c r="E141" s="295"/>
      <c r="F141" s="295"/>
      <c r="G141" s="295"/>
      <c r="H141" s="697"/>
      <c r="I141" s="193"/>
      <c r="J141" s="193"/>
      <c r="K141" s="193"/>
      <c r="L141" s="700"/>
      <c r="M141" s="193" t="e">
        <f>RANK(K141, K$128:$K$142)</f>
        <v>#DIV/0!</v>
      </c>
      <c r="N141" s="107"/>
      <c r="O141" s="107"/>
      <c r="P141" s="107"/>
      <c r="Q141" s="107"/>
      <c r="R141" s="107"/>
      <c r="S141" s="107"/>
      <c r="T141" s="107"/>
      <c r="X141" s="107"/>
      <c r="AC141" s="107"/>
      <c r="AH141" s="107"/>
      <c r="AM141" s="107"/>
    </row>
    <row r="142" spans="2:39">
      <c r="B142" s="643"/>
      <c r="C142" s="295">
        <v>15</v>
      </c>
      <c r="D142" s="220"/>
      <c r="E142" s="295"/>
      <c r="F142" s="295"/>
      <c r="G142" s="295"/>
      <c r="H142" s="698"/>
      <c r="I142" s="193"/>
      <c r="J142" s="193"/>
      <c r="K142" s="193"/>
      <c r="L142" s="701"/>
      <c r="M142" s="193" t="e">
        <f>RANK(K142, K$128:$K$142)</f>
        <v>#DIV/0!</v>
      </c>
      <c r="N142" s="107"/>
      <c r="O142" s="107"/>
      <c r="P142" s="107"/>
      <c r="Q142" s="107"/>
      <c r="R142" s="107"/>
      <c r="S142" s="107"/>
      <c r="T142" s="107"/>
      <c r="X142" s="107"/>
      <c r="AC142" s="107"/>
      <c r="AH142" s="107"/>
      <c r="AM142" s="107"/>
    </row>
  </sheetData>
  <mergeCells count="379">
    <mergeCell ref="BA87:BA101"/>
    <mergeCell ref="BA104:BA106"/>
    <mergeCell ref="BA107:BA121"/>
    <mergeCell ref="BA4:BA6"/>
    <mergeCell ref="BA7:BA21"/>
    <mergeCell ref="BA24:BA26"/>
    <mergeCell ref="BA27:BA41"/>
    <mergeCell ref="BA44:BA46"/>
    <mergeCell ref="BA47:BA61"/>
    <mergeCell ref="BA64:BA66"/>
    <mergeCell ref="BA67:BA81"/>
    <mergeCell ref="BA84:BA86"/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B128:B142"/>
    <mergeCell ref="H128:H142"/>
    <mergeCell ref="L128:L142"/>
    <mergeCell ref="AX107:AX121"/>
    <mergeCell ref="B123:H124"/>
    <mergeCell ref="B125:B127"/>
    <mergeCell ref="C125:D127"/>
    <mergeCell ref="E125:G125"/>
    <mergeCell ref="H125:H127"/>
    <mergeCell ref="I125:K125"/>
    <mergeCell ref="L125:L127"/>
    <mergeCell ref="M125:M127"/>
    <mergeCell ref="E126:G126"/>
    <mergeCell ref="I126:K126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</mergeCells>
  <phoneticPr fontId="13" type="noConversion"/>
  <pageMargins left="0.7" right="0.7" top="0.75" bottom="0.75" header="0.3" footer="0.3"/>
  <pageSetup paperSize="9" orientation="portrait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FFCC"/>
  </sheetPr>
  <dimension ref="A1:BA247"/>
  <sheetViews>
    <sheetView topLeftCell="A22" zoomScale="55" zoomScaleNormal="55" workbookViewId="0">
      <pane xSplit="15" topLeftCell="AI1" activePane="topRight" state="frozen"/>
      <selection activeCell="H27" sqref="H27:H41"/>
      <selection pane="topRight" activeCell="T42" sqref="T42:T71"/>
    </sheetView>
  </sheetViews>
  <sheetFormatPr defaultColWidth="8.85546875" defaultRowHeight="12.75"/>
  <cols>
    <col min="1" max="1" width="5.5703125" style="107" customWidth="1"/>
    <col min="2" max="2" width="12.42578125" style="107" customWidth="1"/>
    <col min="3" max="3" width="8.85546875" style="106"/>
    <col min="4" max="4" width="26.42578125" style="106" customWidth="1"/>
    <col min="5" max="7" width="8.42578125" style="106" customWidth="1"/>
    <col min="8" max="8" width="11.140625" style="106" bestFit="1" customWidth="1"/>
    <col min="9" max="12" width="11.140625" style="106" customWidth="1"/>
    <col min="13" max="13" width="13.5703125" style="106" customWidth="1"/>
    <col min="14" max="14" width="9.85546875" style="106" customWidth="1"/>
    <col min="15" max="15" width="7.140625" style="106" customWidth="1"/>
    <col min="16" max="18" width="12.85546875" style="106" customWidth="1"/>
    <col min="19" max="19" width="5.42578125" style="106" customWidth="1"/>
    <col min="20" max="20" width="12.85546875" style="106" customWidth="1"/>
    <col min="21" max="23" width="12.85546875" style="107" customWidth="1"/>
    <col min="24" max="24" width="5.42578125" style="106" customWidth="1"/>
    <col min="25" max="28" width="12.85546875" style="107" customWidth="1"/>
    <col min="29" max="29" width="5.42578125" style="106" customWidth="1"/>
    <col min="30" max="30" width="12.85546875" style="107" customWidth="1"/>
    <col min="31" max="33" width="12.5703125" style="107" customWidth="1"/>
    <col min="34" max="34" width="5.42578125" style="106" customWidth="1"/>
    <col min="35" max="35" width="13" style="107" customWidth="1"/>
    <col min="36" max="38" width="12.5703125" style="107" customWidth="1"/>
    <col min="39" max="39" width="5.42578125" style="106" customWidth="1"/>
    <col min="40" max="40" width="13" style="107" customWidth="1"/>
    <col min="41" max="43" width="13.140625" style="107" customWidth="1"/>
    <col min="44" max="44" width="5.42578125" style="107" customWidth="1"/>
    <col min="45" max="48" width="13.140625" style="107" customWidth="1"/>
    <col min="49" max="49" width="5.42578125" style="107" customWidth="1"/>
    <col min="50" max="50" width="13.140625" style="107" customWidth="1"/>
    <col min="51" max="51" width="8.85546875" style="107"/>
    <col min="52" max="52" width="5.42578125" style="107" customWidth="1"/>
    <col min="53" max="53" width="13.140625" style="107" customWidth="1"/>
    <col min="54" max="16384" width="8.85546875" style="107"/>
  </cols>
  <sheetData>
    <row r="1" spans="1:53" ht="24">
      <c r="A1" s="75"/>
      <c r="B1" s="215" t="s">
        <v>313</v>
      </c>
      <c r="C1" s="214">
        <f>AVERAGE(L7,L42,L77,L112,L147,L182)</f>
        <v>91.505453545877714</v>
      </c>
    </row>
    <row r="2" spans="1:53" ht="15.75">
      <c r="A2" s="81"/>
      <c r="B2" s="665" t="s">
        <v>162</v>
      </c>
      <c r="C2" s="666"/>
      <c r="D2" s="666"/>
      <c r="E2" s="666"/>
      <c r="F2" s="666"/>
      <c r="G2" s="666"/>
      <c r="H2" s="667"/>
      <c r="I2" s="202"/>
      <c r="J2" s="202"/>
      <c r="K2" s="202"/>
      <c r="L2" s="202"/>
      <c r="M2" s="201"/>
      <c r="N2" s="639" t="s">
        <v>156</v>
      </c>
      <c r="O2" s="639" t="s">
        <v>105</v>
      </c>
      <c r="P2" s="661">
        <v>46294</v>
      </c>
      <c r="Q2" s="662"/>
      <c r="R2" s="662"/>
      <c r="S2" s="662"/>
      <c r="T2" s="663"/>
      <c r="U2" s="661">
        <f>P2+1</f>
        <v>46295</v>
      </c>
      <c r="V2" s="662"/>
      <c r="W2" s="662"/>
      <c r="X2" s="662"/>
      <c r="Y2" s="663"/>
      <c r="Z2" s="661">
        <f>U2+1</f>
        <v>46296</v>
      </c>
      <c r="AA2" s="662"/>
      <c r="AB2" s="662"/>
      <c r="AC2" s="662"/>
      <c r="AD2" s="663"/>
      <c r="AE2" s="661">
        <f>Z2+1</f>
        <v>46297</v>
      </c>
      <c r="AF2" s="662"/>
      <c r="AG2" s="662"/>
      <c r="AH2" s="662"/>
      <c r="AI2" s="663"/>
      <c r="AJ2" s="661">
        <f>AE2+1</f>
        <v>46298</v>
      </c>
      <c r="AK2" s="662"/>
      <c r="AL2" s="662"/>
      <c r="AM2" s="662"/>
      <c r="AN2" s="663"/>
      <c r="AO2" s="661">
        <f>AJ2+1</f>
        <v>46299</v>
      </c>
      <c r="AP2" s="662"/>
      <c r="AQ2" s="662"/>
      <c r="AR2" s="662"/>
      <c r="AS2" s="663"/>
      <c r="AT2" s="661">
        <f>AO2+1</f>
        <v>46300</v>
      </c>
      <c r="AU2" s="662"/>
      <c r="AV2" s="662"/>
      <c r="AW2" s="662"/>
      <c r="AX2" s="663"/>
    </row>
    <row r="3" spans="1:53" ht="15.75">
      <c r="A3" s="81"/>
      <c r="B3" s="668"/>
      <c r="C3" s="668"/>
      <c r="D3" s="668"/>
      <c r="E3" s="668"/>
      <c r="F3" s="668"/>
      <c r="G3" s="668"/>
      <c r="H3" s="668"/>
      <c r="I3" s="199"/>
      <c r="J3" s="199"/>
      <c r="K3" s="199"/>
      <c r="L3" s="199"/>
      <c r="M3" s="200"/>
      <c r="N3" s="641"/>
      <c r="O3" s="641"/>
      <c r="P3" s="664" t="s">
        <v>158</v>
      </c>
      <c r="Q3" s="643"/>
      <c r="R3" s="643"/>
      <c r="S3" s="643"/>
      <c r="T3" s="643"/>
      <c r="U3" s="664" t="s">
        <v>114</v>
      </c>
      <c r="V3" s="643"/>
      <c r="W3" s="643"/>
      <c r="X3" s="643"/>
      <c r="Y3" s="643"/>
      <c r="Z3" s="664" t="s">
        <v>159</v>
      </c>
      <c r="AA3" s="643"/>
      <c r="AB3" s="643"/>
      <c r="AC3" s="643"/>
      <c r="AD3" s="643"/>
      <c r="AE3" s="664" t="s">
        <v>157</v>
      </c>
      <c r="AF3" s="643"/>
      <c r="AG3" s="643"/>
      <c r="AH3" s="643"/>
      <c r="AI3" s="643"/>
      <c r="AJ3" s="664" t="s">
        <v>160</v>
      </c>
      <c r="AK3" s="643"/>
      <c r="AL3" s="643"/>
      <c r="AM3" s="643"/>
      <c r="AN3" s="643"/>
      <c r="AO3" s="664" t="s">
        <v>115</v>
      </c>
      <c r="AP3" s="643"/>
      <c r="AQ3" s="643"/>
      <c r="AR3" s="643"/>
      <c r="AS3" s="643"/>
      <c r="AT3" s="664" t="s">
        <v>161</v>
      </c>
      <c r="AU3" s="643"/>
      <c r="AV3" s="643"/>
      <c r="AW3" s="643"/>
      <c r="AX3" s="643"/>
    </row>
    <row r="4" spans="1:53" ht="14.25">
      <c r="A4" s="81"/>
      <c r="B4" s="637" t="s">
        <v>154</v>
      </c>
      <c r="C4" s="637" t="s">
        <v>399</v>
      </c>
      <c r="D4" s="637"/>
      <c r="E4" s="637" t="s">
        <v>400</v>
      </c>
      <c r="F4" s="637"/>
      <c r="G4" s="637"/>
      <c r="H4" s="669" t="s">
        <v>357</v>
      </c>
      <c r="I4" s="684" t="s">
        <v>362</v>
      </c>
      <c r="J4" s="684"/>
      <c r="K4" s="684"/>
      <c r="L4" s="685" t="s">
        <v>357</v>
      </c>
      <c r="M4" s="673" t="s">
        <v>385</v>
      </c>
      <c r="N4" s="637"/>
      <c r="O4" s="637" t="s">
        <v>404</v>
      </c>
      <c r="P4" s="655" t="s">
        <v>405</v>
      </c>
      <c r="Q4" s="656"/>
      <c r="R4" s="656"/>
      <c r="S4" s="657"/>
      <c r="T4" s="637" t="s">
        <v>357</v>
      </c>
      <c r="U4" s="655" t="s">
        <v>405</v>
      </c>
      <c r="V4" s="656"/>
      <c r="W4" s="656"/>
      <c r="X4" s="657"/>
      <c r="Y4" s="637" t="s">
        <v>357</v>
      </c>
      <c r="Z4" s="655" t="s">
        <v>405</v>
      </c>
      <c r="AA4" s="656"/>
      <c r="AB4" s="656"/>
      <c r="AC4" s="657"/>
      <c r="AD4" s="637" t="s">
        <v>357</v>
      </c>
      <c r="AE4" s="655" t="s">
        <v>405</v>
      </c>
      <c r="AF4" s="656"/>
      <c r="AG4" s="656"/>
      <c r="AH4" s="657"/>
      <c r="AI4" s="637" t="s">
        <v>357</v>
      </c>
      <c r="AJ4" s="655" t="s">
        <v>405</v>
      </c>
      <c r="AK4" s="656"/>
      <c r="AL4" s="656"/>
      <c r="AM4" s="657"/>
      <c r="AN4" s="637" t="s">
        <v>357</v>
      </c>
      <c r="AO4" s="655" t="s">
        <v>405</v>
      </c>
      <c r="AP4" s="656"/>
      <c r="AQ4" s="656"/>
      <c r="AR4" s="657"/>
      <c r="AS4" s="637" t="s">
        <v>357</v>
      </c>
      <c r="AT4" s="655" t="s">
        <v>405</v>
      </c>
      <c r="AU4" s="656"/>
      <c r="AV4" s="656"/>
      <c r="AW4" s="657"/>
      <c r="AX4" s="637" t="s">
        <v>357</v>
      </c>
      <c r="BA4" s="637" t="s">
        <v>357</v>
      </c>
    </row>
    <row r="5" spans="1:53" ht="14.25">
      <c r="A5" s="81"/>
      <c r="B5" s="637"/>
      <c r="C5" s="637"/>
      <c r="D5" s="637"/>
      <c r="E5" s="637" t="s">
        <v>388</v>
      </c>
      <c r="F5" s="637"/>
      <c r="G5" s="637"/>
      <c r="H5" s="670"/>
      <c r="I5" s="684" t="s">
        <v>388</v>
      </c>
      <c r="J5" s="684"/>
      <c r="K5" s="684"/>
      <c r="L5" s="686"/>
      <c r="M5" s="674"/>
      <c r="N5" s="637"/>
      <c r="O5" s="637"/>
      <c r="P5" s="655" t="s">
        <v>407</v>
      </c>
      <c r="Q5" s="656"/>
      <c r="R5" s="656"/>
      <c r="S5" s="657"/>
      <c r="T5" s="637"/>
      <c r="U5" s="655" t="s">
        <v>407</v>
      </c>
      <c r="V5" s="656"/>
      <c r="W5" s="656"/>
      <c r="X5" s="657"/>
      <c r="Y5" s="637"/>
      <c r="Z5" s="655" t="s">
        <v>407</v>
      </c>
      <c r="AA5" s="656"/>
      <c r="AB5" s="656"/>
      <c r="AC5" s="657"/>
      <c r="AD5" s="637"/>
      <c r="AE5" s="655" t="s">
        <v>407</v>
      </c>
      <c r="AF5" s="656"/>
      <c r="AG5" s="656"/>
      <c r="AH5" s="657"/>
      <c r="AI5" s="637"/>
      <c r="AJ5" s="655" t="s">
        <v>407</v>
      </c>
      <c r="AK5" s="656"/>
      <c r="AL5" s="656"/>
      <c r="AM5" s="657"/>
      <c r="AN5" s="637"/>
      <c r="AO5" s="655" t="s">
        <v>407</v>
      </c>
      <c r="AP5" s="656"/>
      <c r="AQ5" s="656"/>
      <c r="AR5" s="657"/>
      <c r="AS5" s="637"/>
      <c r="AT5" s="655" t="s">
        <v>407</v>
      </c>
      <c r="AU5" s="656"/>
      <c r="AV5" s="656"/>
      <c r="AW5" s="657"/>
      <c r="AX5" s="637"/>
      <c r="BA5" s="637"/>
    </row>
    <row r="6" spans="1:53" ht="14.25">
      <c r="A6" s="79"/>
      <c r="B6" s="637"/>
      <c r="C6" s="637"/>
      <c r="D6" s="637"/>
      <c r="E6" s="551" t="s">
        <v>366</v>
      </c>
      <c r="F6" s="551" t="s">
        <v>409</v>
      </c>
      <c r="G6" s="551" t="s">
        <v>368</v>
      </c>
      <c r="H6" s="671"/>
      <c r="I6" s="556" t="s">
        <v>366</v>
      </c>
      <c r="J6" s="556" t="s">
        <v>409</v>
      </c>
      <c r="K6" s="556" t="s">
        <v>368</v>
      </c>
      <c r="L6" s="687"/>
      <c r="M6" s="675"/>
      <c r="N6" s="637"/>
      <c r="O6" s="637"/>
      <c r="P6" s="551" t="s">
        <v>366</v>
      </c>
      <c r="Q6" s="551" t="s">
        <v>409</v>
      </c>
      <c r="R6" s="551" t="s">
        <v>368</v>
      </c>
      <c r="S6" s="551" t="s">
        <v>385</v>
      </c>
      <c r="T6" s="637"/>
      <c r="U6" s="551" t="s">
        <v>366</v>
      </c>
      <c r="V6" s="551" t="s">
        <v>409</v>
      </c>
      <c r="W6" s="551" t="s">
        <v>368</v>
      </c>
      <c r="X6" s="551" t="s">
        <v>385</v>
      </c>
      <c r="Y6" s="637"/>
      <c r="Z6" s="551" t="s">
        <v>366</v>
      </c>
      <c r="AA6" s="551" t="s">
        <v>409</v>
      </c>
      <c r="AB6" s="551" t="s">
        <v>368</v>
      </c>
      <c r="AC6" s="551" t="s">
        <v>385</v>
      </c>
      <c r="AD6" s="637"/>
      <c r="AE6" s="551" t="s">
        <v>366</v>
      </c>
      <c r="AF6" s="551" t="s">
        <v>409</v>
      </c>
      <c r="AG6" s="551" t="s">
        <v>368</v>
      </c>
      <c r="AH6" s="551" t="s">
        <v>385</v>
      </c>
      <c r="AI6" s="637"/>
      <c r="AJ6" s="551" t="s">
        <v>366</v>
      </c>
      <c r="AK6" s="551" t="s">
        <v>409</v>
      </c>
      <c r="AL6" s="551" t="s">
        <v>368</v>
      </c>
      <c r="AM6" s="551" t="s">
        <v>385</v>
      </c>
      <c r="AN6" s="637"/>
      <c r="AO6" s="551" t="s">
        <v>366</v>
      </c>
      <c r="AP6" s="551" t="s">
        <v>409</v>
      </c>
      <c r="AQ6" s="551" t="s">
        <v>368</v>
      </c>
      <c r="AR6" s="551" t="s">
        <v>385</v>
      </c>
      <c r="AS6" s="637"/>
      <c r="AT6" s="551" t="s">
        <v>366</v>
      </c>
      <c r="AU6" s="551" t="s">
        <v>409</v>
      </c>
      <c r="AV6" s="551" t="s">
        <v>368</v>
      </c>
      <c r="AW6" s="551" t="s">
        <v>385</v>
      </c>
      <c r="AX6" s="637"/>
      <c r="AZ6" s="356" t="s">
        <v>358</v>
      </c>
      <c r="BA6" s="637"/>
    </row>
    <row r="7" spans="1:53" ht="14.25">
      <c r="A7" s="81"/>
      <c r="B7" s="637" t="s">
        <v>134</v>
      </c>
      <c r="C7" s="553">
        <v>1</v>
      </c>
      <c r="D7" s="196" t="s">
        <v>337</v>
      </c>
      <c r="E7" s="554">
        <v>6</v>
      </c>
      <c r="F7" s="196">
        <v>1500</v>
      </c>
      <c r="G7" s="194">
        <v>250</v>
      </c>
      <c r="H7" s="696">
        <f>AVERAGE(G7:G36)</f>
        <v>100.06193486166394</v>
      </c>
      <c r="I7" s="554">
        <f>IFERROR(AVERAGE(P7,U7,Z7,AE7,AJ7,AO7,AT7),"-")</f>
        <v>6</v>
      </c>
      <c r="J7" s="554">
        <f>IFERROR(AVERAGE(Q7,V7,AA7,AF7,AK7,AP7,AU7),"-")</f>
        <v>1465.4452784310492</v>
      </c>
      <c r="K7" s="194">
        <f>IFERROR(AVERAGE(R7,W7,AB7,AG7,AL7,AQ7,AV7),"-")</f>
        <v>244.24087973850823</v>
      </c>
      <c r="L7" s="652">
        <f>IFERROR(AVERAGE(K7:K36),"-")</f>
        <v>91.511170616596161</v>
      </c>
      <c r="M7" s="558" t="e">
        <f>RANK(K7, K$147:$K$176)</f>
        <v>#N/A</v>
      </c>
      <c r="N7" s="637"/>
      <c r="O7" s="637"/>
      <c r="P7" s="553">
        <v>6</v>
      </c>
      <c r="Q7" s="559">
        <v>1448.6392156862742</v>
      </c>
      <c r="R7" s="559">
        <v>241.4398692810457</v>
      </c>
      <c r="S7" s="553" t="e">
        <f>RANK(R7, R$147:R$176)</f>
        <v>#N/A</v>
      </c>
      <c r="T7" s="638">
        <f>AVERAGE(R7:R36)</f>
        <v>92.074911833270363</v>
      </c>
      <c r="U7" s="553">
        <v>6</v>
      </c>
      <c r="V7" s="559">
        <v>1478.7789473684209</v>
      </c>
      <c r="W7" s="559">
        <v>246.46315789473681</v>
      </c>
      <c r="X7" s="553" t="e">
        <f>RANK(W7, W$147:W$176)</f>
        <v>#N/A</v>
      </c>
      <c r="Y7" s="638">
        <f>AVERAGE(W7:W36)</f>
        <v>92.126203057488439</v>
      </c>
      <c r="Z7" s="553">
        <v>6</v>
      </c>
      <c r="AA7" s="559">
        <v>1475.47875</v>
      </c>
      <c r="AB7" s="559">
        <v>245.91312500000001</v>
      </c>
      <c r="AC7" s="553" t="e">
        <f>RANK(AB7, AB$147:AB$176)</f>
        <v>#N/A</v>
      </c>
      <c r="AD7" s="638">
        <f>AVERAGE(AB7:AB36)</f>
        <v>92.172890775713242</v>
      </c>
      <c r="AE7" s="553">
        <v>6</v>
      </c>
      <c r="AF7" s="559">
        <v>1471.616666666667</v>
      </c>
      <c r="AG7" s="559">
        <v>245.2694444444445</v>
      </c>
      <c r="AH7" s="553" t="e">
        <f>RANK(AG7, AG$147:AG$176)</f>
        <v>#N/A</v>
      </c>
      <c r="AI7" s="638">
        <f>AVERAGE(AG7:AG36)</f>
        <v>88.695471613310474</v>
      </c>
      <c r="AJ7" s="553">
        <v>6</v>
      </c>
      <c r="AK7" s="559">
        <v>1454.247887323944</v>
      </c>
      <c r="AL7" s="559">
        <v>242.37464788732402</v>
      </c>
      <c r="AM7" s="553" t="e">
        <f>RANK(AL7, AL$147:AL$176)</f>
        <v>#N/A</v>
      </c>
      <c r="AN7" s="638">
        <f>AVERAGE(AL7:AL36)</f>
        <v>92.278352773060135</v>
      </c>
      <c r="AO7" s="553">
        <v>6</v>
      </c>
      <c r="AP7" s="559">
        <v>1470.2111111111114</v>
      </c>
      <c r="AQ7" s="559">
        <v>245.03518518518524</v>
      </c>
      <c r="AR7" s="553" t="e">
        <f>RANK(AQ7, AQ$147:AQ$176)</f>
        <v>#N/A</v>
      </c>
      <c r="AS7" s="638">
        <f>AVERAGE(AQ7:AQ36)</f>
        <v>91.712197885439707</v>
      </c>
      <c r="AT7" s="553">
        <v>6</v>
      </c>
      <c r="AU7" s="559">
        <v>1459.1443708609277</v>
      </c>
      <c r="AV7" s="559">
        <v>243.19072847682128</v>
      </c>
      <c r="AW7" s="553" t="e">
        <f>RANK(AV7, AV$147:AV$176)</f>
        <v>#N/A</v>
      </c>
      <c r="AX7" s="638">
        <f>AVERAGE(AV7:AV36)</f>
        <v>91.518166377890736</v>
      </c>
      <c r="AZ7" s="357" t="e">
        <f>RANK(AY7, AY$7:AY$36)</f>
        <v>#N/A</v>
      </c>
      <c r="BA7" s="638" t="e">
        <f>AVERAGE(AY7:AY36)</f>
        <v>#DIV/0!</v>
      </c>
    </row>
    <row r="8" spans="1:53" ht="15" customHeight="1">
      <c r="A8" s="81"/>
      <c r="B8" s="643"/>
      <c r="C8" s="553">
        <v>2</v>
      </c>
      <c r="D8" s="196" t="s">
        <v>558</v>
      </c>
      <c r="E8" s="554">
        <v>6</v>
      </c>
      <c r="F8" s="196">
        <v>1636</v>
      </c>
      <c r="G8" s="194">
        <v>272.66666666666669</v>
      </c>
      <c r="H8" s="697"/>
      <c r="I8" s="554">
        <f t="shared" ref="I8:I36" si="0">IFERROR(AVERAGE(P8,U8,Z8,AE8,AJ8,AO8,AT8),"-")</f>
        <v>6</v>
      </c>
      <c r="J8" s="554">
        <f t="shared" ref="J8:J36" si="1">IFERROR(AVERAGE(Q8,V8,AA8,AF8,AK8,AP8,AU8),"-")</f>
        <v>1447.5186618551629</v>
      </c>
      <c r="K8" s="194">
        <f t="shared" ref="K8:K36" si="2">IFERROR(AVERAGE(R8,W8,AB8,AG8,AL8,AQ8,AV8),"-")</f>
        <v>241.25311030919383</v>
      </c>
      <c r="L8" s="653"/>
      <c r="M8" s="558" t="e">
        <f>RANK(K8, K$147:$K$176)</f>
        <v>#N/A</v>
      </c>
      <c r="N8" s="637"/>
      <c r="O8" s="637"/>
      <c r="P8" s="553">
        <v>6</v>
      </c>
      <c r="Q8" s="559">
        <v>1470.9999999999993</v>
      </c>
      <c r="R8" s="559">
        <v>245.16666666666654</v>
      </c>
      <c r="S8" s="553" t="e">
        <f t="shared" ref="S8:S36" si="3">RANK(R8, R$147:R$176)</f>
        <v>#N/A</v>
      </c>
      <c r="T8" s="638"/>
      <c r="U8" s="553">
        <v>6</v>
      </c>
      <c r="V8" s="559">
        <v>1421.4705882352941</v>
      </c>
      <c r="W8" s="559">
        <v>236.91176470588235</v>
      </c>
      <c r="X8" s="553" t="e">
        <f t="shared" ref="X8:X36" si="4">RANK(W8, W$147:W$176)</f>
        <v>#N/A</v>
      </c>
      <c r="Y8" s="638"/>
      <c r="Z8" s="553">
        <v>6</v>
      </c>
      <c r="AA8" s="559">
        <v>1455.9374999999995</v>
      </c>
      <c r="AB8" s="559">
        <v>242.65624999999991</v>
      </c>
      <c r="AC8" s="553" t="e">
        <f t="shared" ref="AC8:AC36" si="5">RANK(AB8, AB$147:AB$176)</f>
        <v>#N/A</v>
      </c>
      <c r="AD8" s="638"/>
      <c r="AE8" s="553">
        <v>6</v>
      </c>
      <c r="AF8" s="559">
        <v>1440.0000000000005</v>
      </c>
      <c r="AG8" s="559">
        <v>240.00000000000009</v>
      </c>
      <c r="AH8" s="553" t="e">
        <f t="shared" ref="AH8:AH36" si="6">RANK(AG8, AG$147:AG$176)</f>
        <v>#N/A</v>
      </c>
      <c r="AI8" s="638"/>
      <c r="AJ8" s="553">
        <v>6</v>
      </c>
      <c r="AK8" s="559">
        <v>1422.6666666666667</v>
      </c>
      <c r="AL8" s="559">
        <v>237.11111111111111</v>
      </c>
      <c r="AM8" s="553" t="e">
        <f t="shared" ref="AM8:AM36" si="7">RANK(AL8, AL$147:AL$176)</f>
        <v>#N/A</v>
      </c>
      <c r="AN8" s="638"/>
      <c r="AO8" s="553">
        <v>6</v>
      </c>
      <c r="AP8" s="559">
        <v>1475.0943396226423</v>
      </c>
      <c r="AQ8" s="559">
        <v>245.84905660377373</v>
      </c>
      <c r="AR8" s="553" t="e">
        <f t="shared" ref="AR8:AR36" si="8">RANK(AQ8, AQ$147:AQ$176)</f>
        <v>#N/A</v>
      </c>
      <c r="AS8" s="638"/>
      <c r="AT8" s="553">
        <v>6</v>
      </c>
      <c r="AU8" s="559">
        <v>1446.4615384615381</v>
      </c>
      <c r="AV8" s="559">
        <v>241.07692307692301</v>
      </c>
      <c r="AW8" s="553" t="e">
        <f t="shared" ref="AW8:AW36" si="9">RANK(AV8, AV$147:AV$176)</f>
        <v>#N/A</v>
      </c>
      <c r="AX8" s="638"/>
      <c r="AZ8" s="357" t="e">
        <f t="shared" ref="AZ8:AZ36" si="10">RANK(AY8, AY$7:AY$36)</f>
        <v>#N/A</v>
      </c>
      <c r="BA8" s="638"/>
    </row>
    <row r="9" spans="1:53" ht="14.25">
      <c r="A9" s="81"/>
      <c r="B9" s="643"/>
      <c r="C9" s="553">
        <v>3</v>
      </c>
      <c r="D9" s="196" t="s">
        <v>552</v>
      </c>
      <c r="E9" s="554">
        <v>16</v>
      </c>
      <c r="F9" s="196">
        <v>1500</v>
      </c>
      <c r="G9" s="194">
        <v>93.75</v>
      </c>
      <c r="H9" s="697"/>
      <c r="I9" s="554">
        <f t="shared" si="0"/>
        <v>16.714285714285715</v>
      </c>
      <c r="J9" s="554">
        <f t="shared" si="1"/>
        <v>1282.8820375897392</v>
      </c>
      <c r="K9" s="194">
        <f t="shared" si="2"/>
        <v>76.803816586911424</v>
      </c>
      <c r="L9" s="653"/>
      <c r="M9" s="558" t="e">
        <f>RANK(K9, K$147:$K$176)</f>
        <v>#N/A</v>
      </c>
      <c r="N9" s="637"/>
      <c r="O9" s="637"/>
      <c r="P9" s="553">
        <v>17</v>
      </c>
      <c r="Q9" s="559">
        <v>1258.4347826086957</v>
      </c>
      <c r="R9" s="559">
        <v>74.025575447570333</v>
      </c>
      <c r="S9" s="553" t="e">
        <f t="shared" si="3"/>
        <v>#N/A</v>
      </c>
      <c r="T9" s="638"/>
      <c r="U9" s="553">
        <v>17</v>
      </c>
      <c r="V9" s="559">
        <v>1293.2727272727275</v>
      </c>
      <c r="W9" s="559">
        <v>76.074866310160445</v>
      </c>
      <c r="X9" s="553" t="e">
        <f t="shared" si="4"/>
        <v>#N/A</v>
      </c>
      <c r="Y9" s="638"/>
      <c r="Z9" s="553">
        <v>16</v>
      </c>
      <c r="AA9" s="559">
        <v>1283.4285714285711</v>
      </c>
      <c r="AB9" s="559">
        <v>80.214285714285694</v>
      </c>
      <c r="AC9" s="553" t="e">
        <f t="shared" si="5"/>
        <v>#N/A</v>
      </c>
      <c r="AD9" s="638"/>
      <c r="AE9" s="553">
        <v>16</v>
      </c>
      <c r="AF9" s="559">
        <v>1268.2499999999984</v>
      </c>
      <c r="AG9" s="559">
        <v>79.265624999999901</v>
      </c>
      <c r="AH9" s="553" t="e">
        <f t="shared" si="6"/>
        <v>#N/A</v>
      </c>
      <c r="AI9" s="638"/>
      <c r="AJ9" s="553">
        <v>17</v>
      </c>
      <c r="AK9" s="559">
        <v>1304.2499999999984</v>
      </c>
      <c r="AL9" s="559">
        <v>76.720588235294031</v>
      </c>
      <c r="AM9" s="553" t="e">
        <f t="shared" si="7"/>
        <v>#N/A</v>
      </c>
      <c r="AN9" s="638"/>
      <c r="AO9" s="553">
        <v>17</v>
      </c>
      <c r="AP9" s="559">
        <v>1305.818181818182</v>
      </c>
      <c r="AQ9" s="559">
        <v>76.812834224598944</v>
      </c>
      <c r="AR9" s="553" t="e">
        <f t="shared" si="8"/>
        <v>#N/A</v>
      </c>
      <c r="AS9" s="638"/>
      <c r="AT9" s="553">
        <v>17</v>
      </c>
      <c r="AU9" s="559">
        <v>1266.7200000000005</v>
      </c>
      <c r="AV9" s="559">
        <v>74.512941176470619</v>
      </c>
      <c r="AW9" s="553" t="e">
        <f t="shared" si="9"/>
        <v>#N/A</v>
      </c>
      <c r="AX9" s="638"/>
      <c r="AZ9" s="357" t="e">
        <f t="shared" si="10"/>
        <v>#N/A</v>
      </c>
      <c r="BA9" s="638"/>
    </row>
    <row r="10" spans="1:53" ht="14.25">
      <c r="A10" s="81"/>
      <c r="B10" s="643"/>
      <c r="C10" s="553">
        <v>4</v>
      </c>
      <c r="D10" s="196" t="s">
        <v>704</v>
      </c>
      <c r="E10" s="554">
        <v>19</v>
      </c>
      <c r="F10" s="196">
        <v>1385</v>
      </c>
      <c r="G10" s="194">
        <v>72.89473684210526</v>
      </c>
      <c r="H10" s="697"/>
      <c r="I10" s="554">
        <f t="shared" si="0"/>
        <v>19</v>
      </c>
      <c r="J10" s="554">
        <f t="shared" si="1"/>
        <v>1281.511978503388</v>
      </c>
      <c r="K10" s="194">
        <f t="shared" si="2"/>
        <v>67.44799886859937</v>
      </c>
      <c r="L10" s="653"/>
      <c r="M10" s="558" t="e">
        <f>RANK(K10, K$147:$K$176)</f>
        <v>#N/A</v>
      </c>
      <c r="N10" s="637"/>
      <c r="O10" s="637"/>
      <c r="P10" s="553">
        <v>19</v>
      </c>
      <c r="Q10" s="559">
        <v>1304.5714285714273</v>
      </c>
      <c r="R10" s="559">
        <v>68.661654135338281</v>
      </c>
      <c r="S10" s="553" t="e">
        <f t="shared" si="3"/>
        <v>#N/A</v>
      </c>
      <c r="T10" s="638"/>
      <c r="U10" s="553">
        <v>19</v>
      </c>
      <c r="V10" s="559">
        <v>1273.0120481927706</v>
      </c>
      <c r="W10" s="559">
        <v>67.000634115408985</v>
      </c>
      <c r="X10" s="553" t="e">
        <f t="shared" si="4"/>
        <v>#N/A</v>
      </c>
      <c r="Y10" s="638"/>
      <c r="Z10" s="553">
        <v>19</v>
      </c>
      <c r="AA10" s="559">
        <v>1278.2926829268288</v>
      </c>
      <c r="AB10" s="559">
        <v>67.278562259306781</v>
      </c>
      <c r="AC10" s="553" t="e">
        <f t="shared" si="5"/>
        <v>#N/A</v>
      </c>
      <c r="AD10" s="638"/>
      <c r="AE10" s="553">
        <v>19</v>
      </c>
      <c r="AF10" s="559">
        <v>1256.5714285714273</v>
      </c>
      <c r="AG10" s="559">
        <v>66.135338345864596</v>
      </c>
      <c r="AH10" s="553" t="e">
        <f t="shared" si="6"/>
        <v>#N/A</v>
      </c>
      <c r="AI10" s="638"/>
      <c r="AJ10" s="553">
        <v>19</v>
      </c>
      <c r="AK10" s="559">
        <v>1306.8750000000016</v>
      </c>
      <c r="AL10" s="559">
        <v>68.782894736842195</v>
      </c>
      <c r="AM10" s="553" t="e">
        <f t="shared" si="7"/>
        <v>#N/A</v>
      </c>
      <c r="AN10" s="638"/>
      <c r="AO10" s="553">
        <v>19</v>
      </c>
      <c r="AP10" s="559">
        <v>1274.5945945945937</v>
      </c>
      <c r="AQ10" s="559">
        <v>67.083926031294411</v>
      </c>
      <c r="AR10" s="553" t="e">
        <f t="shared" si="8"/>
        <v>#N/A</v>
      </c>
      <c r="AS10" s="638"/>
      <c r="AT10" s="553">
        <v>19</v>
      </c>
      <c r="AU10" s="559">
        <v>1276.6666666666656</v>
      </c>
      <c r="AV10" s="559">
        <v>67.1929824561403</v>
      </c>
      <c r="AW10" s="553" t="e">
        <f t="shared" si="9"/>
        <v>#N/A</v>
      </c>
      <c r="AX10" s="638"/>
      <c r="AZ10" s="357" t="e">
        <f t="shared" si="10"/>
        <v>#N/A</v>
      </c>
      <c r="BA10" s="638"/>
    </row>
    <row r="11" spans="1:53" ht="14.25">
      <c r="A11" s="81"/>
      <c r="B11" s="643"/>
      <c r="C11" s="553">
        <v>5</v>
      </c>
      <c r="D11" s="196" t="s">
        <v>682</v>
      </c>
      <c r="E11" s="554">
        <v>16</v>
      </c>
      <c r="F11" s="196">
        <v>1565</v>
      </c>
      <c r="G11" s="194">
        <v>97.8125</v>
      </c>
      <c r="H11" s="697"/>
      <c r="I11" s="554">
        <f t="shared" si="0"/>
        <v>16</v>
      </c>
      <c r="J11" s="554">
        <f t="shared" si="1"/>
        <v>1277.9215047027706</v>
      </c>
      <c r="K11" s="194">
        <f t="shared" si="2"/>
        <v>79.87009404392316</v>
      </c>
      <c r="L11" s="653"/>
      <c r="M11" s="558" t="e">
        <f>RANK(K11, K$147:$K$176)</f>
        <v>#N/A</v>
      </c>
      <c r="N11" s="637"/>
      <c r="O11" s="637"/>
      <c r="P11" s="553">
        <v>16</v>
      </c>
      <c r="Q11" s="559">
        <v>1280.6896551724135</v>
      </c>
      <c r="R11" s="559">
        <v>80.043103448275843</v>
      </c>
      <c r="S11" s="553" t="e">
        <f t="shared" si="3"/>
        <v>#N/A</v>
      </c>
      <c r="T11" s="638"/>
      <c r="U11" s="553">
        <v>16</v>
      </c>
      <c r="V11" s="559">
        <v>1284.2857142857138</v>
      </c>
      <c r="W11" s="559">
        <v>80.26785714285711</v>
      </c>
      <c r="X11" s="553" t="e">
        <f t="shared" si="4"/>
        <v>#N/A</v>
      </c>
      <c r="Y11" s="638"/>
      <c r="Z11" s="553">
        <v>16</v>
      </c>
      <c r="AA11" s="559">
        <v>1281.8181818181811</v>
      </c>
      <c r="AB11" s="559">
        <v>80.113636363636317</v>
      </c>
      <c r="AC11" s="553" t="e">
        <f t="shared" si="5"/>
        <v>#N/A</v>
      </c>
      <c r="AD11" s="638"/>
      <c r="AE11" s="553">
        <v>16</v>
      </c>
      <c r="AF11" s="559">
        <v>1273.2352941176455</v>
      </c>
      <c r="AG11" s="559">
        <v>79.577205882352843</v>
      </c>
      <c r="AH11" s="553" t="e">
        <f t="shared" si="6"/>
        <v>#N/A</v>
      </c>
      <c r="AI11" s="638"/>
      <c r="AJ11" s="553">
        <v>16</v>
      </c>
      <c r="AK11" s="559">
        <v>1279.4594594594585</v>
      </c>
      <c r="AL11" s="559">
        <v>79.966216216216154</v>
      </c>
      <c r="AM11" s="553" t="e">
        <f t="shared" si="7"/>
        <v>#N/A</v>
      </c>
      <c r="AN11" s="638"/>
      <c r="AO11" s="553">
        <v>16</v>
      </c>
      <c r="AP11" s="559">
        <v>1268.0898876404494</v>
      </c>
      <c r="AQ11" s="559">
        <v>79.25561797752809</v>
      </c>
      <c r="AR11" s="553" t="e">
        <f t="shared" si="8"/>
        <v>#N/A</v>
      </c>
      <c r="AS11" s="638"/>
      <c r="AT11" s="553">
        <v>16</v>
      </c>
      <c r="AU11" s="559">
        <v>1277.872340425532</v>
      </c>
      <c r="AV11" s="559">
        <v>79.86702127659575</v>
      </c>
      <c r="AW11" s="553" t="e">
        <f t="shared" si="9"/>
        <v>#N/A</v>
      </c>
      <c r="AX11" s="638"/>
      <c r="AZ11" s="357" t="e">
        <f t="shared" si="10"/>
        <v>#N/A</v>
      </c>
      <c r="BA11" s="638"/>
    </row>
    <row r="12" spans="1:53" ht="14.25">
      <c r="A12" s="81"/>
      <c r="B12" s="643"/>
      <c r="C12" s="553">
        <v>6</v>
      </c>
      <c r="D12" s="196" t="s">
        <v>585</v>
      </c>
      <c r="E12" s="554">
        <v>20</v>
      </c>
      <c r="F12" s="196">
        <v>1440</v>
      </c>
      <c r="G12" s="194">
        <v>72</v>
      </c>
      <c r="H12" s="697"/>
      <c r="I12" s="554">
        <f t="shared" si="0"/>
        <v>20</v>
      </c>
      <c r="J12" s="554">
        <f t="shared" si="1"/>
        <v>1171.2457948564729</v>
      </c>
      <c r="K12" s="194">
        <f t="shared" si="2"/>
        <v>58.562289742823644</v>
      </c>
      <c r="L12" s="653"/>
      <c r="M12" s="558" t="e">
        <f>RANK(K12, K$147:$K$176)</f>
        <v>#N/A</v>
      </c>
      <c r="N12" s="637"/>
      <c r="O12" s="637"/>
      <c r="P12" s="553">
        <v>20</v>
      </c>
      <c r="Q12" s="559">
        <v>1168.4745762711875</v>
      </c>
      <c r="R12" s="559">
        <v>58.423728813559379</v>
      </c>
      <c r="S12" s="553" t="e">
        <f t="shared" si="3"/>
        <v>#N/A</v>
      </c>
      <c r="T12" s="638"/>
      <c r="U12" s="553">
        <v>20</v>
      </c>
      <c r="V12" s="559">
        <v>1157.8947368421061</v>
      </c>
      <c r="W12" s="559">
        <v>57.894736842105303</v>
      </c>
      <c r="X12" s="553" t="e">
        <f t="shared" si="4"/>
        <v>#N/A</v>
      </c>
      <c r="Y12" s="638"/>
      <c r="Z12" s="553">
        <v>20</v>
      </c>
      <c r="AA12" s="559">
        <v>1180.7547169811328</v>
      </c>
      <c r="AB12" s="559">
        <v>59.037735849056638</v>
      </c>
      <c r="AC12" s="553" t="e">
        <f t="shared" si="5"/>
        <v>#N/A</v>
      </c>
      <c r="AD12" s="638"/>
      <c r="AE12" s="553">
        <v>20</v>
      </c>
      <c r="AF12" s="559">
        <v>1163.1818181818182</v>
      </c>
      <c r="AG12" s="559">
        <v>58.159090909090914</v>
      </c>
      <c r="AH12" s="553" t="e">
        <f t="shared" si="6"/>
        <v>#N/A</v>
      </c>
      <c r="AI12" s="638"/>
      <c r="AJ12" s="553">
        <v>20</v>
      </c>
      <c r="AK12" s="559">
        <v>1188.2608695652175</v>
      </c>
      <c r="AL12" s="559">
        <v>59.413043478260875</v>
      </c>
      <c r="AM12" s="553" t="e">
        <f t="shared" si="7"/>
        <v>#N/A</v>
      </c>
      <c r="AN12" s="638"/>
      <c r="AO12" s="553">
        <v>20</v>
      </c>
      <c r="AP12" s="559">
        <v>1166.0000000000011</v>
      </c>
      <c r="AQ12" s="559">
        <v>58.300000000000054</v>
      </c>
      <c r="AR12" s="553" t="e">
        <f t="shared" si="8"/>
        <v>#N/A</v>
      </c>
      <c r="AS12" s="638"/>
      <c r="AT12" s="553">
        <v>20</v>
      </c>
      <c r="AU12" s="559">
        <v>1174.1538461538476</v>
      </c>
      <c r="AV12" s="559">
        <v>58.707692307692376</v>
      </c>
      <c r="AW12" s="553" t="e">
        <f t="shared" si="9"/>
        <v>#N/A</v>
      </c>
      <c r="AX12" s="638"/>
      <c r="AZ12" s="357" t="e">
        <f t="shared" si="10"/>
        <v>#N/A</v>
      </c>
      <c r="BA12" s="638"/>
    </row>
    <row r="13" spans="1:53" ht="14.25">
      <c r="A13" s="81"/>
      <c r="B13" s="643"/>
      <c r="C13" s="553">
        <v>7</v>
      </c>
      <c r="D13" s="196" t="s">
        <v>683</v>
      </c>
      <c r="E13" s="554">
        <v>16</v>
      </c>
      <c r="F13" s="196">
        <v>1500</v>
      </c>
      <c r="G13" s="194">
        <v>93.75</v>
      </c>
      <c r="H13" s="697"/>
      <c r="I13" s="554">
        <f t="shared" si="0"/>
        <v>16</v>
      </c>
      <c r="J13" s="554">
        <f t="shared" si="1"/>
        <v>1286.6290241849256</v>
      </c>
      <c r="K13" s="194">
        <f t="shared" si="2"/>
        <v>80.414314011557849</v>
      </c>
      <c r="L13" s="653"/>
      <c r="M13" s="558" t="e">
        <f>RANK(K13, K$147:$K$176)</f>
        <v>#N/A</v>
      </c>
      <c r="N13" s="637"/>
      <c r="O13" s="637"/>
      <c r="P13" s="553">
        <v>16</v>
      </c>
      <c r="Q13" s="559">
        <v>1303.8095238095252</v>
      </c>
      <c r="R13" s="559">
        <v>81.488095238095326</v>
      </c>
      <c r="S13" s="553" t="e">
        <f t="shared" si="3"/>
        <v>#N/A</v>
      </c>
      <c r="T13" s="638"/>
      <c r="U13" s="553">
        <v>16</v>
      </c>
      <c r="V13" s="559">
        <v>1307.0000000000011</v>
      </c>
      <c r="W13" s="559">
        <v>81.687500000000071</v>
      </c>
      <c r="X13" s="553" t="e">
        <f t="shared" si="4"/>
        <v>#N/A</v>
      </c>
      <c r="Y13" s="638"/>
      <c r="Z13" s="553">
        <v>16</v>
      </c>
      <c r="AA13" s="559">
        <v>1303.9285714285725</v>
      </c>
      <c r="AB13" s="559">
        <v>81.495535714285779</v>
      </c>
      <c r="AC13" s="553" t="e">
        <f t="shared" si="5"/>
        <v>#N/A</v>
      </c>
      <c r="AD13" s="638"/>
      <c r="AE13" s="553">
        <v>16</v>
      </c>
      <c r="AF13" s="559">
        <v>1283.4782608695652</v>
      </c>
      <c r="AG13" s="559">
        <v>80.217391304347828</v>
      </c>
      <c r="AH13" s="553" t="e">
        <f t="shared" si="6"/>
        <v>#N/A</v>
      </c>
      <c r="AI13" s="638"/>
      <c r="AJ13" s="553">
        <v>16</v>
      </c>
      <c r="AK13" s="559">
        <v>1279.6153846153852</v>
      </c>
      <c r="AL13" s="559">
        <v>79.975961538461576</v>
      </c>
      <c r="AM13" s="553" t="e">
        <f t="shared" si="7"/>
        <v>#N/A</v>
      </c>
      <c r="AN13" s="638"/>
      <c r="AO13" s="553">
        <v>16</v>
      </c>
      <c r="AP13" s="559">
        <v>1272.0000000000014</v>
      </c>
      <c r="AQ13" s="559">
        <v>79.500000000000085</v>
      </c>
      <c r="AR13" s="553" t="e">
        <f t="shared" si="8"/>
        <v>#N/A</v>
      </c>
      <c r="AS13" s="638"/>
      <c r="AT13" s="553">
        <v>16</v>
      </c>
      <c r="AU13" s="559">
        <v>1256.5714285714273</v>
      </c>
      <c r="AV13" s="559">
        <v>78.535714285714207</v>
      </c>
      <c r="AW13" s="553" t="e">
        <f t="shared" si="9"/>
        <v>#N/A</v>
      </c>
      <c r="AX13" s="638"/>
      <c r="AZ13" s="357" t="e">
        <f t="shared" si="10"/>
        <v>#N/A</v>
      </c>
      <c r="BA13" s="638"/>
    </row>
    <row r="14" spans="1:53" ht="14.25">
      <c r="A14" s="81"/>
      <c r="B14" s="643"/>
      <c r="C14" s="553">
        <v>8</v>
      </c>
      <c r="D14" s="196" t="s">
        <v>688</v>
      </c>
      <c r="E14" s="554">
        <v>18</v>
      </c>
      <c r="F14" s="196">
        <v>1500</v>
      </c>
      <c r="G14" s="194">
        <v>83.333333333333329</v>
      </c>
      <c r="H14" s="697"/>
      <c r="I14" s="554">
        <f t="shared" si="0"/>
        <v>18</v>
      </c>
      <c r="J14" s="554">
        <f t="shared" si="1"/>
        <v>1296.221807552264</v>
      </c>
      <c r="K14" s="194">
        <f t="shared" si="2"/>
        <v>72.012322641792451</v>
      </c>
      <c r="L14" s="653"/>
      <c r="M14" s="558" t="e">
        <f>RANK(K14, K$147:$K$176)</f>
        <v>#N/A</v>
      </c>
      <c r="N14" s="637"/>
      <c r="O14" s="637"/>
      <c r="P14" s="553">
        <v>18</v>
      </c>
      <c r="Q14" s="559">
        <v>1287.4576271186452</v>
      </c>
      <c r="R14" s="559">
        <v>71.525423728813621</v>
      </c>
      <c r="S14" s="553" t="e">
        <f t="shared" si="3"/>
        <v>#N/A</v>
      </c>
      <c r="T14" s="638"/>
      <c r="U14" s="553">
        <v>18</v>
      </c>
      <c r="V14" s="559">
        <v>1300.0000000000009</v>
      </c>
      <c r="W14" s="559">
        <v>72.222222222222271</v>
      </c>
      <c r="X14" s="553" t="e">
        <f t="shared" si="4"/>
        <v>#N/A</v>
      </c>
      <c r="Y14" s="638"/>
      <c r="Z14" s="553">
        <v>18</v>
      </c>
      <c r="AA14" s="559">
        <v>1317.7777777777785</v>
      </c>
      <c r="AB14" s="559">
        <v>73.209876543209916</v>
      </c>
      <c r="AC14" s="553" t="e">
        <f t="shared" si="5"/>
        <v>#N/A</v>
      </c>
      <c r="AD14" s="638"/>
      <c r="AE14" s="553">
        <v>18</v>
      </c>
      <c r="AF14" s="559">
        <v>1309.3333333333335</v>
      </c>
      <c r="AG14" s="559">
        <v>72.740740740740748</v>
      </c>
      <c r="AH14" s="553" t="e">
        <f t="shared" si="6"/>
        <v>#N/A</v>
      </c>
      <c r="AI14" s="638"/>
      <c r="AJ14" s="553">
        <v>18</v>
      </c>
      <c r="AK14" s="559">
        <v>1299.1304347826085</v>
      </c>
      <c r="AL14" s="559">
        <v>72.173913043478251</v>
      </c>
      <c r="AM14" s="553" t="e">
        <f t="shared" si="7"/>
        <v>#N/A</v>
      </c>
      <c r="AN14" s="638"/>
      <c r="AO14" s="553">
        <v>18</v>
      </c>
      <c r="AP14" s="559">
        <v>1295.2380952380965</v>
      </c>
      <c r="AQ14" s="559">
        <v>71.957671957672034</v>
      </c>
      <c r="AR14" s="553" t="e">
        <f t="shared" si="8"/>
        <v>#N/A</v>
      </c>
      <c r="AS14" s="638"/>
      <c r="AT14" s="553">
        <v>18</v>
      </c>
      <c r="AU14" s="559">
        <v>1264.6153846153861</v>
      </c>
      <c r="AV14" s="559">
        <v>70.256410256410334</v>
      </c>
      <c r="AW14" s="553" t="e">
        <f t="shared" si="9"/>
        <v>#N/A</v>
      </c>
      <c r="AX14" s="638"/>
      <c r="AZ14" s="357" t="e">
        <f t="shared" si="10"/>
        <v>#N/A</v>
      </c>
      <c r="BA14" s="638"/>
    </row>
    <row r="15" spans="1:53" ht="14.25">
      <c r="A15" s="81"/>
      <c r="B15" s="643"/>
      <c r="C15" s="553">
        <v>9</v>
      </c>
      <c r="D15" s="196" t="s">
        <v>684</v>
      </c>
      <c r="E15" s="554">
        <v>18</v>
      </c>
      <c r="F15" s="196">
        <v>1636</v>
      </c>
      <c r="G15" s="194">
        <v>90.888888888888886</v>
      </c>
      <c r="H15" s="697"/>
      <c r="I15" s="554">
        <f t="shared" si="0"/>
        <v>18</v>
      </c>
      <c r="J15" s="554">
        <f t="shared" si="1"/>
        <v>1591.7726077698164</v>
      </c>
      <c r="K15" s="194">
        <f t="shared" si="2"/>
        <v>88.431811542767562</v>
      </c>
      <c r="L15" s="653"/>
      <c r="M15" s="558" t="e">
        <f>RANK(K15, K$147:$K$176)</f>
        <v>#N/A</v>
      </c>
      <c r="N15" s="637"/>
      <c r="O15" s="637"/>
      <c r="P15" s="553">
        <v>18</v>
      </c>
      <c r="Q15" s="559">
        <v>1612.0754716981141</v>
      </c>
      <c r="R15" s="559">
        <v>89.559748427673014</v>
      </c>
      <c r="S15" s="553" t="e">
        <f t="shared" si="3"/>
        <v>#N/A</v>
      </c>
      <c r="T15" s="638"/>
      <c r="U15" s="553">
        <v>18</v>
      </c>
      <c r="V15" s="559">
        <v>1605.8823529411773</v>
      </c>
      <c r="W15" s="559">
        <v>89.215686274509849</v>
      </c>
      <c r="X15" s="553" t="e">
        <f t="shared" si="4"/>
        <v>#N/A</v>
      </c>
      <c r="Y15" s="638"/>
      <c r="Z15" s="553">
        <v>18</v>
      </c>
      <c r="AA15" s="559">
        <v>1604.2105263157882</v>
      </c>
      <c r="AB15" s="559">
        <v>89.122807017543792</v>
      </c>
      <c r="AC15" s="553" t="e">
        <f t="shared" si="5"/>
        <v>#N/A</v>
      </c>
      <c r="AD15" s="638"/>
      <c r="AE15" s="553">
        <v>18</v>
      </c>
      <c r="AF15" s="559">
        <v>1594.2857142857138</v>
      </c>
      <c r="AG15" s="559">
        <v>88.571428571428541</v>
      </c>
      <c r="AH15" s="553" t="e">
        <f t="shared" si="6"/>
        <v>#N/A</v>
      </c>
      <c r="AI15" s="638"/>
      <c r="AJ15" s="553">
        <v>18</v>
      </c>
      <c r="AK15" s="559">
        <v>1563.8297872340427</v>
      </c>
      <c r="AL15" s="559">
        <v>86.879432624113477</v>
      </c>
      <c r="AM15" s="553" t="e">
        <f t="shared" si="7"/>
        <v>#N/A</v>
      </c>
      <c r="AN15" s="638"/>
      <c r="AO15" s="553">
        <v>18</v>
      </c>
      <c r="AP15" s="559">
        <v>1571.5789473684222</v>
      </c>
      <c r="AQ15" s="559">
        <v>87.309941520467902</v>
      </c>
      <c r="AR15" s="553" t="e">
        <f t="shared" si="8"/>
        <v>#N/A</v>
      </c>
      <c r="AS15" s="638"/>
      <c r="AT15" s="553">
        <v>18</v>
      </c>
      <c r="AU15" s="559">
        <v>1590.5454545454556</v>
      </c>
      <c r="AV15" s="559">
        <v>88.363636363636431</v>
      </c>
      <c r="AW15" s="553" t="e">
        <f t="shared" si="9"/>
        <v>#N/A</v>
      </c>
      <c r="AX15" s="638"/>
      <c r="AZ15" s="357" t="e">
        <f t="shared" si="10"/>
        <v>#N/A</v>
      </c>
      <c r="BA15" s="638"/>
    </row>
    <row r="16" spans="1:53" ht="14.25">
      <c r="A16" s="81"/>
      <c r="B16" s="643"/>
      <c r="C16" s="553">
        <v>10</v>
      </c>
      <c r="D16" s="196" t="s">
        <v>685</v>
      </c>
      <c r="E16" s="554">
        <v>18</v>
      </c>
      <c r="F16" s="196">
        <v>1636</v>
      </c>
      <c r="G16" s="194">
        <v>90.888888888888886</v>
      </c>
      <c r="H16" s="697"/>
      <c r="I16" s="554">
        <f t="shared" si="0"/>
        <v>18</v>
      </c>
      <c r="J16" s="554">
        <f t="shared" si="1"/>
        <v>1595.9527179452296</v>
      </c>
      <c r="K16" s="194">
        <f t="shared" si="2"/>
        <v>88.664039885846094</v>
      </c>
      <c r="L16" s="653"/>
      <c r="M16" s="558" t="e">
        <f>RANK(K16, K$147:$K$176)</f>
        <v>#N/A</v>
      </c>
      <c r="N16" s="637"/>
      <c r="O16" s="637"/>
      <c r="P16" s="553">
        <v>18</v>
      </c>
      <c r="Q16" s="559">
        <v>1595.2173913043478</v>
      </c>
      <c r="R16" s="559">
        <v>88.623188405797094</v>
      </c>
      <c r="S16" s="553" t="e">
        <f t="shared" si="3"/>
        <v>#N/A</v>
      </c>
      <c r="T16" s="638"/>
      <c r="U16" s="553">
        <v>18</v>
      </c>
      <c r="V16" s="559">
        <v>1581.3333333333333</v>
      </c>
      <c r="W16" s="559">
        <v>87.851851851851848</v>
      </c>
      <c r="X16" s="553" t="e">
        <f t="shared" si="4"/>
        <v>#N/A</v>
      </c>
      <c r="Y16" s="638"/>
      <c r="Z16" s="553">
        <v>18</v>
      </c>
      <c r="AA16" s="559">
        <v>1595.9999999999984</v>
      </c>
      <c r="AB16" s="559">
        <v>88.666666666666572</v>
      </c>
      <c r="AC16" s="553" t="e">
        <f t="shared" si="5"/>
        <v>#N/A</v>
      </c>
      <c r="AD16" s="638"/>
      <c r="AE16" s="553">
        <v>18</v>
      </c>
      <c r="AF16" s="559">
        <v>1625.1428571428555</v>
      </c>
      <c r="AG16" s="559">
        <v>90.285714285714192</v>
      </c>
      <c r="AH16" s="553" t="e">
        <f t="shared" si="6"/>
        <v>#N/A</v>
      </c>
      <c r="AI16" s="638"/>
      <c r="AJ16" s="553">
        <v>18</v>
      </c>
      <c r="AK16" s="559">
        <v>1612.6829268292677</v>
      </c>
      <c r="AL16" s="559">
        <v>89.593495934959321</v>
      </c>
      <c r="AM16" s="553" t="e">
        <f t="shared" si="7"/>
        <v>#N/A</v>
      </c>
      <c r="AN16" s="638"/>
      <c r="AO16" s="553">
        <v>18</v>
      </c>
      <c r="AP16" s="559">
        <v>1563.3333333333342</v>
      </c>
      <c r="AQ16" s="559">
        <v>86.851851851851904</v>
      </c>
      <c r="AR16" s="553" t="e">
        <f t="shared" si="8"/>
        <v>#N/A</v>
      </c>
      <c r="AS16" s="638"/>
      <c r="AT16" s="553">
        <v>18</v>
      </c>
      <c r="AU16" s="559">
        <v>1597.9591836734699</v>
      </c>
      <c r="AV16" s="559">
        <v>88.775510204081655</v>
      </c>
      <c r="AW16" s="553" t="e">
        <f t="shared" si="9"/>
        <v>#N/A</v>
      </c>
      <c r="AX16" s="638"/>
      <c r="AZ16" s="357" t="e">
        <f t="shared" si="10"/>
        <v>#N/A</v>
      </c>
      <c r="BA16" s="638"/>
    </row>
    <row r="17" spans="2:53">
      <c r="B17" s="643"/>
      <c r="C17" s="553">
        <v>11</v>
      </c>
      <c r="D17" s="196" t="s">
        <v>686</v>
      </c>
      <c r="E17" s="554">
        <v>20</v>
      </c>
      <c r="F17" s="196">
        <v>1440</v>
      </c>
      <c r="G17" s="194">
        <v>72</v>
      </c>
      <c r="H17" s="697"/>
      <c r="I17" s="554">
        <f t="shared" si="0"/>
        <v>20</v>
      </c>
      <c r="J17" s="554">
        <f t="shared" si="1"/>
        <v>1379.4198947118789</v>
      </c>
      <c r="K17" s="194">
        <f t="shared" si="2"/>
        <v>68.970994735593948</v>
      </c>
      <c r="L17" s="653"/>
      <c r="M17" s="558" t="e">
        <f>RANK(K17, K$147:$K$176)</f>
        <v>#N/A</v>
      </c>
      <c r="N17" s="637"/>
      <c r="O17" s="637"/>
      <c r="P17" s="553">
        <v>20</v>
      </c>
      <c r="Q17" s="559">
        <v>1411.1688311688304</v>
      </c>
      <c r="R17" s="559">
        <v>70.558441558441515</v>
      </c>
      <c r="S17" s="553" t="e">
        <f t="shared" si="3"/>
        <v>#N/A</v>
      </c>
      <c r="T17" s="638"/>
      <c r="U17" s="553">
        <v>20</v>
      </c>
      <c r="V17" s="559">
        <v>1415.4929577464775</v>
      </c>
      <c r="W17" s="559">
        <v>70.77464788732388</v>
      </c>
      <c r="X17" s="553" t="e">
        <f t="shared" si="4"/>
        <v>#N/A</v>
      </c>
      <c r="Y17" s="638"/>
      <c r="Z17" s="553">
        <v>20</v>
      </c>
      <c r="AA17" s="559">
        <v>1370.6896551724149</v>
      </c>
      <c r="AB17" s="559">
        <v>68.53448275862074</v>
      </c>
      <c r="AC17" s="553" t="e">
        <f t="shared" si="5"/>
        <v>#N/A</v>
      </c>
      <c r="AD17" s="638"/>
      <c r="AE17" s="553">
        <v>20</v>
      </c>
      <c r="AF17" s="559">
        <v>1373.7931034482767</v>
      </c>
      <c r="AG17" s="559">
        <v>68.689655172413836</v>
      </c>
      <c r="AH17" s="553" t="e">
        <f t="shared" si="6"/>
        <v>#N/A</v>
      </c>
      <c r="AI17" s="638"/>
      <c r="AJ17" s="553">
        <v>20</v>
      </c>
      <c r="AK17" s="559">
        <v>1381.6666666666656</v>
      </c>
      <c r="AL17" s="559">
        <v>69.083333333333286</v>
      </c>
      <c r="AM17" s="553" t="e">
        <f t="shared" si="7"/>
        <v>#N/A</v>
      </c>
      <c r="AN17" s="638"/>
      <c r="AO17" s="553">
        <v>20</v>
      </c>
      <c r="AP17" s="559">
        <v>1344.8780487804875</v>
      </c>
      <c r="AQ17" s="559">
        <v>67.243902439024367</v>
      </c>
      <c r="AR17" s="553" t="e">
        <f t="shared" si="8"/>
        <v>#N/A</v>
      </c>
      <c r="AS17" s="638"/>
      <c r="AT17" s="553">
        <v>20</v>
      </c>
      <c r="AU17" s="559">
        <v>1358.2499999999995</v>
      </c>
      <c r="AV17" s="559">
        <v>67.91249999999998</v>
      </c>
      <c r="AW17" s="553" t="e">
        <f t="shared" si="9"/>
        <v>#N/A</v>
      </c>
      <c r="AX17" s="638"/>
      <c r="AZ17" s="357" t="e">
        <f t="shared" si="10"/>
        <v>#N/A</v>
      </c>
      <c r="BA17" s="638"/>
    </row>
    <row r="18" spans="2:53">
      <c r="B18" s="643"/>
      <c r="C18" s="553">
        <v>12</v>
      </c>
      <c r="D18" s="196" t="s">
        <v>338</v>
      </c>
      <c r="E18" s="554">
        <v>14</v>
      </c>
      <c r="F18" s="196">
        <v>1440</v>
      </c>
      <c r="G18" s="194">
        <v>102.85714285714286</v>
      </c>
      <c r="H18" s="697"/>
      <c r="I18" s="554">
        <f t="shared" si="0"/>
        <v>14.285714285714286</v>
      </c>
      <c r="J18" s="554">
        <f t="shared" si="1"/>
        <v>1367.6937606442175</v>
      </c>
      <c r="K18" s="194">
        <f t="shared" si="2"/>
        <v>95.812176387354796</v>
      </c>
      <c r="L18" s="653"/>
      <c r="M18" s="558" t="e">
        <f>RANK(K18, K$147:$K$176)</f>
        <v>#N/A</v>
      </c>
      <c r="N18" s="637"/>
      <c r="O18" s="637"/>
      <c r="P18" s="553">
        <v>14</v>
      </c>
      <c r="Q18" s="559">
        <v>1395.4838709677433</v>
      </c>
      <c r="R18" s="559">
        <v>99.677419354838804</v>
      </c>
      <c r="S18" s="553" t="e">
        <f t="shared" si="3"/>
        <v>#N/A</v>
      </c>
      <c r="T18" s="638"/>
      <c r="U18" s="553">
        <v>14</v>
      </c>
      <c r="V18" s="559">
        <v>1373.114754098362</v>
      </c>
      <c r="W18" s="559">
        <v>98.079625292740147</v>
      </c>
      <c r="X18" s="553" t="e">
        <f t="shared" si="4"/>
        <v>#N/A</v>
      </c>
      <c r="Y18" s="638"/>
      <c r="Z18" s="553">
        <v>15</v>
      </c>
      <c r="AA18" s="559">
        <v>1367.7551020408168</v>
      </c>
      <c r="AB18" s="559">
        <v>91.183673469387784</v>
      </c>
      <c r="AC18" s="553" t="e">
        <f t="shared" si="5"/>
        <v>#N/A</v>
      </c>
      <c r="AD18" s="638"/>
      <c r="AE18" s="553">
        <v>14</v>
      </c>
      <c r="AF18" s="559">
        <v>1341.6000000000004</v>
      </c>
      <c r="AG18" s="559">
        <v>95.82857142857145</v>
      </c>
      <c r="AH18" s="553" t="e">
        <f t="shared" si="6"/>
        <v>#N/A</v>
      </c>
      <c r="AI18" s="638"/>
      <c r="AJ18" s="553">
        <v>14</v>
      </c>
      <c r="AK18" s="559">
        <v>1356.6666666666672</v>
      </c>
      <c r="AL18" s="559">
        <v>96.904761904761941</v>
      </c>
      <c r="AM18" s="553" t="e">
        <f t="shared" si="7"/>
        <v>#N/A</v>
      </c>
      <c r="AN18" s="638"/>
      <c r="AO18" s="553">
        <v>15</v>
      </c>
      <c r="AP18" s="559">
        <v>1396.1904761904741</v>
      </c>
      <c r="AQ18" s="559">
        <v>93.079365079364933</v>
      </c>
      <c r="AR18" s="553" t="e">
        <f t="shared" si="8"/>
        <v>#N/A</v>
      </c>
      <c r="AS18" s="638"/>
      <c r="AT18" s="553">
        <v>14</v>
      </c>
      <c r="AU18" s="559">
        <v>1343.0454545454593</v>
      </c>
      <c r="AV18" s="559">
        <v>95.931818181818514</v>
      </c>
      <c r="AW18" s="553" t="e">
        <f t="shared" si="9"/>
        <v>#N/A</v>
      </c>
      <c r="AX18" s="638"/>
      <c r="AZ18" s="357" t="e">
        <f t="shared" si="10"/>
        <v>#N/A</v>
      </c>
      <c r="BA18" s="638"/>
    </row>
    <row r="19" spans="2:53">
      <c r="B19" s="643"/>
      <c r="C19" s="553">
        <v>13</v>
      </c>
      <c r="D19" s="196" t="s">
        <v>687</v>
      </c>
      <c r="E19" s="554">
        <v>19</v>
      </c>
      <c r="F19" s="196">
        <v>1440</v>
      </c>
      <c r="G19" s="194">
        <v>75.78947368421052</v>
      </c>
      <c r="H19" s="697"/>
      <c r="I19" s="554">
        <f t="shared" si="0"/>
        <v>19</v>
      </c>
      <c r="J19" s="554">
        <f t="shared" si="1"/>
        <v>1390.3965702470057</v>
      </c>
      <c r="K19" s="194">
        <f t="shared" si="2"/>
        <v>73.178766855105565</v>
      </c>
      <c r="L19" s="653"/>
      <c r="M19" s="558" t="e">
        <f>RANK(K19, K$147:$K$176)</f>
        <v>#N/A</v>
      </c>
      <c r="N19" s="637"/>
      <c r="O19" s="637"/>
      <c r="P19" s="553">
        <v>19</v>
      </c>
      <c r="Q19" s="559">
        <v>1394.1176470588232</v>
      </c>
      <c r="R19" s="559">
        <v>73.374613003095959</v>
      </c>
      <c r="S19" s="553" t="e">
        <f t="shared" si="3"/>
        <v>#N/A</v>
      </c>
      <c r="T19" s="638"/>
      <c r="U19" s="553">
        <v>19</v>
      </c>
      <c r="V19" s="559">
        <v>1399.2307692307684</v>
      </c>
      <c r="W19" s="559">
        <v>73.64372469635623</v>
      </c>
      <c r="X19" s="553" t="e">
        <f t="shared" si="4"/>
        <v>#N/A</v>
      </c>
      <c r="Y19" s="638"/>
      <c r="Z19" s="553">
        <v>19</v>
      </c>
      <c r="AA19" s="559">
        <v>1399.0476190476204</v>
      </c>
      <c r="AB19" s="559">
        <v>73.634085213032648</v>
      </c>
      <c r="AC19" s="553" t="e">
        <f t="shared" si="5"/>
        <v>#N/A</v>
      </c>
      <c r="AD19" s="638"/>
      <c r="AE19" s="553">
        <v>19</v>
      </c>
      <c r="AF19" s="559">
        <v>1403.6065573770506</v>
      </c>
      <c r="AG19" s="559">
        <v>73.874029335634248</v>
      </c>
      <c r="AH19" s="553" t="e">
        <f t="shared" si="6"/>
        <v>#N/A</v>
      </c>
      <c r="AI19" s="638"/>
      <c r="AJ19" s="553">
        <v>19</v>
      </c>
      <c r="AK19" s="559">
        <v>1389.9999999999993</v>
      </c>
      <c r="AL19" s="559">
        <v>73.157894736842067</v>
      </c>
      <c r="AM19" s="553" t="e">
        <f t="shared" si="7"/>
        <v>#N/A</v>
      </c>
      <c r="AN19" s="638"/>
      <c r="AO19" s="553">
        <v>19</v>
      </c>
      <c r="AP19" s="559">
        <v>1376.4285714285709</v>
      </c>
      <c r="AQ19" s="559">
        <v>72.443609022556359</v>
      </c>
      <c r="AR19" s="553" t="e">
        <f t="shared" si="8"/>
        <v>#N/A</v>
      </c>
      <c r="AS19" s="638"/>
      <c r="AT19" s="553">
        <v>19</v>
      </c>
      <c r="AU19" s="559">
        <v>1370.3448275862067</v>
      </c>
      <c r="AV19" s="559">
        <v>72.123411978221412</v>
      </c>
      <c r="AW19" s="553" t="e">
        <f t="shared" si="9"/>
        <v>#N/A</v>
      </c>
      <c r="AX19" s="638"/>
      <c r="AZ19" s="357" t="e">
        <f t="shared" si="10"/>
        <v>#N/A</v>
      </c>
      <c r="BA19" s="638"/>
    </row>
    <row r="20" spans="2:53">
      <c r="B20" s="643"/>
      <c r="C20" s="553">
        <v>14</v>
      </c>
      <c r="D20" s="196" t="s">
        <v>499</v>
      </c>
      <c r="E20" s="554">
        <v>17</v>
      </c>
      <c r="F20" s="196">
        <v>1440</v>
      </c>
      <c r="G20" s="194">
        <v>84.705882352941174</v>
      </c>
      <c r="H20" s="697"/>
      <c r="I20" s="554">
        <f t="shared" si="0"/>
        <v>17</v>
      </c>
      <c r="J20" s="554">
        <f t="shared" si="1"/>
        <v>1376.5896923986984</v>
      </c>
      <c r="K20" s="194">
        <f t="shared" si="2"/>
        <v>80.975864258746952</v>
      </c>
      <c r="L20" s="653"/>
      <c r="M20" s="558" t="e">
        <f>RANK(K20, K$147:$K$176)</f>
        <v>#N/A</v>
      </c>
      <c r="N20" s="637"/>
      <c r="O20" s="637"/>
      <c r="P20" s="553">
        <v>17</v>
      </c>
      <c r="Q20" s="559">
        <v>1364.3478260869565</v>
      </c>
      <c r="R20" s="559">
        <v>80.255754475703327</v>
      </c>
      <c r="S20" s="553" t="e">
        <f t="shared" si="3"/>
        <v>#N/A</v>
      </c>
      <c r="T20" s="638"/>
      <c r="U20" s="553">
        <v>17</v>
      </c>
      <c r="V20" s="559">
        <v>1360.4347826086957</v>
      </c>
      <c r="W20" s="559">
        <v>80.025575447570333</v>
      </c>
      <c r="X20" s="553" t="e">
        <f t="shared" si="4"/>
        <v>#N/A</v>
      </c>
      <c r="Y20" s="638"/>
      <c r="Z20" s="553">
        <v>17</v>
      </c>
      <c r="AA20" s="559">
        <v>1385.1428571428555</v>
      </c>
      <c r="AB20" s="559">
        <v>81.478991596638565</v>
      </c>
      <c r="AC20" s="553" t="e">
        <f t="shared" si="5"/>
        <v>#N/A</v>
      </c>
      <c r="AD20" s="638"/>
      <c r="AE20" s="553">
        <v>17</v>
      </c>
      <c r="AF20" s="559">
        <v>1351.6666666666656</v>
      </c>
      <c r="AG20" s="559">
        <v>79.509803921568562</v>
      </c>
      <c r="AH20" s="553" t="e">
        <f t="shared" si="6"/>
        <v>#N/A</v>
      </c>
      <c r="AI20" s="638"/>
      <c r="AJ20" s="553">
        <v>17</v>
      </c>
      <c r="AK20" s="559">
        <v>1384.2857142857138</v>
      </c>
      <c r="AL20" s="559">
        <v>81.428571428571402</v>
      </c>
      <c r="AM20" s="553" t="e">
        <f t="shared" si="7"/>
        <v>#N/A</v>
      </c>
      <c r="AN20" s="638"/>
      <c r="AO20" s="553">
        <v>17</v>
      </c>
      <c r="AP20" s="559">
        <v>1406.2500000000016</v>
      </c>
      <c r="AQ20" s="559">
        <v>82.720588235294215</v>
      </c>
      <c r="AR20" s="553" t="e">
        <f t="shared" si="8"/>
        <v>#N/A</v>
      </c>
      <c r="AS20" s="638"/>
      <c r="AT20" s="553">
        <v>17</v>
      </c>
      <c r="AU20" s="559">
        <v>1384</v>
      </c>
      <c r="AV20" s="559">
        <v>81.411764705882348</v>
      </c>
      <c r="AW20" s="553" t="e">
        <f t="shared" si="9"/>
        <v>#N/A</v>
      </c>
      <c r="AX20" s="638"/>
      <c r="AZ20" s="357" t="e">
        <f t="shared" si="10"/>
        <v>#N/A</v>
      </c>
      <c r="BA20" s="638"/>
    </row>
    <row r="21" spans="2:53">
      <c r="B21" s="643"/>
      <c r="C21" s="553">
        <v>15</v>
      </c>
      <c r="D21" s="196" t="s">
        <v>572</v>
      </c>
      <c r="E21" s="554">
        <v>16</v>
      </c>
      <c r="F21" s="196">
        <v>1636</v>
      </c>
      <c r="G21" s="194">
        <v>102.25</v>
      </c>
      <c r="H21" s="697"/>
      <c r="I21" s="554">
        <f t="shared" si="0"/>
        <v>16</v>
      </c>
      <c r="J21" s="554">
        <f t="shared" si="1"/>
        <v>1594.4903145802325</v>
      </c>
      <c r="K21" s="194">
        <f t="shared" si="2"/>
        <v>99.655644661264532</v>
      </c>
      <c r="L21" s="653"/>
      <c r="M21" s="554" t="e">
        <f>RANK(K21, K$147:$K$176)</f>
        <v>#N/A</v>
      </c>
      <c r="N21" s="637"/>
      <c r="O21" s="637"/>
      <c r="P21" s="553">
        <v>16</v>
      </c>
      <c r="Q21" s="559">
        <v>1550.2325581395346</v>
      </c>
      <c r="R21" s="559">
        <v>96.889534883720913</v>
      </c>
      <c r="S21" s="553" t="e">
        <f t="shared" si="3"/>
        <v>#N/A</v>
      </c>
      <c r="T21" s="638"/>
      <c r="U21" s="553">
        <v>16</v>
      </c>
      <c r="V21" s="559">
        <v>1579.9999999999995</v>
      </c>
      <c r="W21" s="559">
        <v>98.749999999999972</v>
      </c>
      <c r="X21" s="553" t="e">
        <f t="shared" si="4"/>
        <v>#N/A</v>
      </c>
      <c r="Y21" s="638"/>
      <c r="Z21" s="553">
        <v>16</v>
      </c>
      <c r="AA21" s="559">
        <v>1617.9310344827554</v>
      </c>
      <c r="AB21" s="559">
        <v>101.12068965517221</v>
      </c>
      <c r="AC21" s="553" t="e">
        <f t="shared" si="5"/>
        <v>#N/A</v>
      </c>
      <c r="AD21" s="638"/>
      <c r="AE21" s="553">
        <v>16</v>
      </c>
      <c r="AF21" s="559">
        <v>1611.999999999997</v>
      </c>
      <c r="AG21" s="559">
        <v>100.74999999999982</v>
      </c>
      <c r="AH21" s="553" t="e">
        <f t="shared" si="6"/>
        <v>#N/A</v>
      </c>
      <c r="AI21" s="638"/>
      <c r="AJ21" s="553">
        <v>16</v>
      </c>
      <c r="AK21" s="559">
        <v>1555.7142857142851</v>
      </c>
      <c r="AL21" s="559">
        <v>97.232142857142819</v>
      </c>
      <c r="AM21" s="553" t="e">
        <f t="shared" si="7"/>
        <v>#N/A</v>
      </c>
      <c r="AN21" s="638"/>
      <c r="AO21" s="553">
        <v>16</v>
      </c>
      <c r="AP21" s="559">
        <v>1624.090909090909</v>
      </c>
      <c r="AQ21" s="559">
        <v>101.50568181818181</v>
      </c>
      <c r="AR21" s="553" t="e">
        <f t="shared" si="8"/>
        <v>#N/A</v>
      </c>
      <c r="AS21" s="638"/>
      <c r="AT21" s="553">
        <v>16</v>
      </c>
      <c r="AU21" s="559">
        <v>1621.4634146341459</v>
      </c>
      <c r="AV21" s="559">
        <v>101.34146341463412</v>
      </c>
      <c r="AW21" s="553" t="e">
        <f t="shared" si="9"/>
        <v>#N/A</v>
      </c>
      <c r="AX21" s="638"/>
      <c r="AZ21" s="357" t="e">
        <f t="shared" si="10"/>
        <v>#N/A</v>
      </c>
      <c r="BA21" s="638"/>
    </row>
    <row r="22" spans="2:53">
      <c r="B22" s="643"/>
      <c r="C22" s="553">
        <v>16</v>
      </c>
      <c r="D22" s="196" t="s">
        <v>689</v>
      </c>
      <c r="E22" s="554">
        <v>16</v>
      </c>
      <c r="F22" s="196">
        <v>1500</v>
      </c>
      <c r="G22" s="194">
        <v>93.75</v>
      </c>
      <c r="H22" s="697"/>
      <c r="I22" s="554">
        <f t="shared" si="0"/>
        <v>16.428571428571427</v>
      </c>
      <c r="J22" s="554">
        <f t="shared" si="1"/>
        <v>1225.9665860769396</v>
      </c>
      <c r="K22" s="194">
        <f t="shared" si="2"/>
        <v>75.138898381652311</v>
      </c>
      <c r="L22" s="653"/>
      <c r="M22" s="554" t="e">
        <f>RANK(K22, K$147:$K$176)</f>
        <v>#N/A</v>
      </c>
      <c r="N22" s="637"/>
      <c r="O22" s="637"/>
      <c r="P22" s="553">
        <v>17</v>
      </c>
      <c r="Q22" s="559">
        <v>1413.0612244897964</v>
      </c>
      <c r="R22" s="559">
        <v>83.121248499399783</v>
      </c>
      <c r="S22" s="553" t="e">
        <f t="shared" si="3"/>
        <v>#N/A</v>
      </c>
      <c r="T22" s="638"/>
      <c r="U22" s="553">
        <v>16</v>
      </c>
      <c r="V22" s="559">
        <v>1388.4000000000005</v>
      </c>
      <c r="W22" s="559">
        <v>86.775000000000034</v>
      </c>
      <c r="X22" s="553" t="e">
        <f t="shared" si="4"/>
        <v>#N/A</v>
      </c>
      <c r="Y22" s="638"/>
      <c r="Z22" s="553">
        <v>16</v>
      </c>
      <c r="AA22" s="559">
        <v>1450.588235294116</v>
      </c>
      <c r="AB22" s="559">
        <v>90.661764705882248</v>
      </c>
      <c r="AC22" s="553" t="e">
        <f t="shared" si="5"/>
        <v>#N/A</v>
      </c>
      <c r="AD22" s="638"/>
      <c r="AE22" s="553">
        <v>17</v>
      </c>
      <c r="AF22" s="559">
        <v>0</v>
      </c>
      <c r="AG22" s="559">
        <v>0</v>
      </c>
      <c r="AH22" s="553" t="e">
        <f t="shared" si="6"/>
        <v>#N/A</v>
      </c>
      <c r="AI22" s="638"/>
      <c r="AJ22" s="553">
        <v>16</v>
      </c>
      <c r="AK22" s="559">
        <v>1467.80487804878</v>
      </c>
      <c r="AL22" s="559">
        <v>91.737804878048749</v>
      </c>
      <c r="AM22" s="553" t="e">
        <f t="shared" si="7"/>
        <v>#N/A</v>
      </c>
      <c r="AN22" s="638"/>
      <c r="AO22" s="553">
        <v>16</v>
      </c>
      <c r="AP22" s="559">
        <v>1449.4117647058829</v>
      </c>
      <c r="AQ22" s="559">
        <v>90.58823529411768</v>
      </c>
      <c r="AR22" s="553" t="e">
        <f t="shared" si="8"/>
        <v>#N/A</v>
      </c>
      <c r="AS22" s="638"/>
      <c r="AT22" s="553">
        <v>17</v>
      </c>
      <c r="AU22" s="559">
        <v>1412.5000000000005</v>
      </c>
      <c r="AV22" s="559">
        <v>83.08823529411768</v>
      </c>
      <c r="AW22" s="553" t="e">
        <f t="shared" si="9"/>
        <v>#N/A</v>
      </c>
      <c r="AX22" s="638"/>
      <c r="AZ22" s="357" t="e">
        <f t="shared" si="10"/>
        <v>#N/A</v>
      </c>
      <c r="BA22" s="638"/>
    </row>
    <row r="23" spans="2:53">
      <c r="B23" s="643"/>
      <c r="C23" s="553">
        <v>17</v>
      </c>
      <c r="D23" s="196" t="s">
        <v>690</v>
      </c>
      <c r="E23" s="554">
        <v>16</v>
      </c>
      <c r="F23" s="196">
        <v>1500</v>
      </c>
      <c r="G23" s="194">
        <v>93.75</v>
      </c>
      <c r="H23" s="697"/>
      <c r="I23" s="554">
        <f t="shared" si="0"/>
        <v>16</v>
      </c>
      <c r="J23" s="554">
        <f t="shared" si="1"/>
        <v>1370.9620131028498</v>
      </c>
      <c r="K23" s="194">
        <f t="shared" si="2"/>
        <v>85.685125818928114</v>
      </c>
      <c r="L23" s="653"/>
      <c r="M23" s="554" t="e">
        <f>RANK(K23, K$147:$K$176)</f>
        <v>#N/A</v>
      </c>
      <c r="N23" s="637"/>
      <c r="O23" s="637"/>
      <c r="P23" s="553">
        <v>16</v>
      </c>
      <c r="Q23" s="559">
        <v>1409.0909090909106</v>
      </c>
      <c r="R23" s="559">
        <v>88.068181818181912</v>
      </c>
      <c r="S23" s="553" t="e">
        <f t="shared" si="3"/>
        <v>#N/A</v>
      </c>
      <c r="T23" s="638"/>
      <c r="U23" s="553">
        <v>16</v>
      </c>
      <c r="V23" s="559">
        <v>1364.3478260869551</v>
      </c>
      <c r="W23" s="559">
        <v>85.271739130434696</v>
      </c>
      <c r="X23" s="553" t="e">
        <f t="shared" si="4"/>
        <v>#N/A</v>
      </c>
      <c r="Y23" s="638"/>
      <c r="Z23" s="553">
        <v>16</v>
      </c>
      <c r="AA23" s="559">
        <v>1355.0943396226421</v>
      </c>
      <c r="AB23" s="559">
        <v>84.693396226415132</v>
      </c>
      <c r="AC23" s="553" t="e">
        <f t="shared" si="5"/>
        <v>#N/A</v>
      </c>
      <c r="AD23" s="638"/>
      <c r="AE23" s="553">
        <v>16</v>
      </c>
      <c r="AF23" s="559">
        <v>1390.5882352941182</v>
      </c>
      <c r="AG23" s="559">
        <v>86.911764705882391</v>
      </c>
      <c r="AH23" s="553" t="e">
        <f t="shared" si="6"/>
        <v>#N/A</v>
      </c>
      <c r="AI23" s="638"/>
      <c r="AJ23" s="553">
        <v>16</v>
      </c>
      <c r="AK23" s="559">
        <v>1371.1475409836078</v>
      </c>
      <c r="AL23" s="559">
        <v>85.696721311475486</v>
      </c>
      <c r="AM23" s="553" t="e">
        <f t="shared" si="7"/>
        <v>#N/A</v>
      </c>
      <c r="AN23" s="638"/>
      <c r="AO23" s="553">
        <v>16</v>
      </c>
      <c r="AP23" s="559">
        <v>1337.6470588235277</v>
      </c>
      <c r="AQ23" s="559">
        <v>83.60294117647048</v>
      </c>
      <c r="AR23" s="553" t="e">
        <f t="shared" si="8"/>
        <v>#N/A</v>
      </c>
      <c r="AS23" s="638"/>
      <c r="AT23" s="553">
        <v>16</v>
      </c>
      <c r="AU23" s="559">
        <v>1368.8181818181868</v>
      </c>
      <c r="AV23" s="559">
        <v>85.551136363636672</v>
      </c>
      <c r="AW23" s="553" t="e">
        <f t="shared" si="9"/>
        <v>#N/A</v>
      </c>
      <c r="AX23" s="638"/>
      <c r="AZ23" s="357" t="e">
        <f t="shared" si="10"/>
        <v>#N/A</v>
      </c>
      <c r="BA23" s="638"/>
    </row>
    <row r="24" spans="2:53">
      <c r="B24" s="643"/>
      <c r="C24" s="553">
        <v>18</v>
      </c>
      <c r="D24" s="196" t="s">
        <v>587</v>
      </c>
      <c r="E24" s="554">
        <v>19</v>
      </c>
      <c r="F24" s="196">
        <v>1440</v>
      </c>
      <c r="G24" s="194">
        <v>75.78947368421052</v>
      </c>
      <c r="H24" s="697"/>
      <c r="I24" s="554">
        <f t="shared" si="0"/>
        <v>19</v>
      </c>
      <c r="J24" s="554">
        <f t="shared" si="1"/>
        <v>1389.3457331771783</v>
      </c>
      <c r="K24" s="194">
        <f t="shared" si="2"/>
        <v>73.12345964090413</v>
      </c>
      <c r="L24" s="653"/>
      <c r="M24" s="554" t="e">
        <f>RANK(K24, K$147:$K$176)</f>
        <v>#N/A</v>
      </c>
      <c r="N24" s="637"/>
      <c r="O24" s="637"/>
      <c r="P24" s="553">
        <v>19</v>
      </c>
      <c r="Q24" s="559">
        <v>1371.4285714285711</v>
      </c>
      <c r="R24" s="559">
        <v>72.180451127819538</v>
      </c>
      <c r="S24" s="553" t="e">
        <f t="shared" si="3"/>
        <v>#N/A</v>
      </c>
      <c r="T24" s="638"/>
      <c r="U24" s="553">
        <v>19</v>
      </c>
      <c r="V24" s="559">
        <v>1381.3636363636365</v>
      </c>
      <c r="W24" s="559">
        <v>72.703349282296656</v>
      </c>
      <c r="X24" s="553" t="e">
        <f t="shared" si="4"/>
        <v>#N/A</v>
      </c>
      <c r="Y24" s="638"/>
      <c r="Z24" s="553">
        <v>19</v>
      </c>
      <c r="AA24" s="559">
        <v>1372.4999999999982</v>
      </c>
      <c r="AB24" s="559">
        <v>72.236842105263065</v>
      </c>
      <c r="AC24" s="553" t="e">
        <f t="shared" si="5"/>
        <v>#N/A</v>
      </c>
      <c r="AD24" s="638"/>
      <c r="AE24" s="553">
        <v>19</v>
      </c>
      <c r="AF24" s="559">
        <v>1405.1612903225785</v>
      </c>
      <c r="AG24" s="559">
        <v>73.955857385398872</v>
      </c>
      <c r="AH24" s="553" t="e">
        <f t="shared" si="6"/>
        <v>#N/A</v>
      </c>
      <c r="AI24" s="638"/>
      <c r="AJ24" s="553">
        <v>19</v>
      </c>
      <c r="AK24" s="559">
        <v>1399.4594594594582</v>
      </c>
      <c r="AL24" s="559">
        <v>73.655761024182013</v>
      </c>
      <c r="AM24" s="553" t="e">
        <f t="shared" si="7"/>
        <v>#N/A</v>
      </c>
      <c r="AN24" s="638"/>
      <c r="AO24" s="553">
        <v>19</v>
      </c>
      <c r="AP24" s="559">
        <v>1418.2978723404258</v>
      </c>
      <c r="AQ24" s="559">
        <v>74.647256438969777</v>
      </c>
      <c r="AR24" s="553" t="e">
        <f t="shared" si="8"/>
        <v>#N/A</v>
      </c>
      <c r="AS24" s="638"/>
      <c r="AT24" s="553">
        <v>19</v>
      </c>
      <c r="AU24" s="559">
        <v>1377.2093023255811</v>
      </c>
      <c r="AV24" s="559">
        <v>72.484700122399005</v>
      </c>
      <c r="AW24" s="553" t="e">
        <f t="shared" si="9"/>
        <v>#N/A</v>
      </c>
      <c r="AX24" s="638"/>
      <c r="AZ24" s="357" t="e">
        <f t="shared" si="10"/>
        <v>#N/A</v>
      </c>
      <c r="BA24" s="638"/>
    </row>
    <row r="25" spans="2:53">
      <c r="B25" s="643"/>
      <c r="C25" s="553">
        <v>19</v>
      </c>
      <c r="D25" s="196" t="s">
        <v>633</v>
      </c>
      <c r="E25" s="554">
        <v>21</v>
      </c>
      <c r="F25" s="196">
        <v>1440</v>
      </c>
      <c r="G25" s="194">
        <v>68.571428571428569</v>
      </c>
      <c r="H25" s="697"/>
      <c r="I25" s="554">
        <f t="shared" si="0"/>
        <v>20.428571428571427</v>
      </c>
      <c r="J25" s="554">
        <f t="shared" si="1"/>
        <v>1039.4426330937461</v>
      </c>
      <c r="K25" s="194">
        <f t="shared" si="2"/>
        <v>50.980654604096948</v>
      </c>
      <c r="L25" s="653"/>
      <c r="M25" s="554" t="e">
        <f>RANK(K25, K$147:$K$176)</f>
        <v>#N/A</v>
      </c>
      <c r="N25" s="637"/>
      <c r="O25" s="637"/>
      <c r="P25" s="553">
        <v>20</v>
      </c>
      <c r="Q25" s="559">
        <v>992.30769230768965</v>
      </c>
      <c r="R25" s="559">
        <v>49.615384615384485</v>
      </c>
      <c r="S25" s="553" t="e">
        <f t="shared" si="3"/>
        <v>#N/A</v>
      </c>
      <c r="T25" s="638"/>
      <c r="U25" s="553">
        <v>20</v>
      </c>
      <c r="V25" s="559">
        <v>1086.9230769230739</v>
      </c>
      <c r="W25" s="559">
        <v>54.346153846153697</v>
      </c>
      <c r="X25" s="553" t="e">
        <f t="shared" si="4"/>
        <v>#N/A</v>
      </c>
      <c r="Y25" s="638"/>
      <c r="Z25" s="553">
        <v>21</v>
      </c>
      <c r="AA25" s="559">
        <v>983.33333333333678</v>
      </c>
      <c r="AB25" s="559">
        <v>46.825396825396993</v>
      </c>
      <c r="AC25" s="553" t="e">
        <f t="shared" si="5"/>
        <v>#N/A</v>
      </c>
      <c r="AD25" s="638"/>
      <c r="AE25" s="553">
        <v>21</v>
      </c>
      <c r="AF25" s="559">
        <v>963.3333333333369</v>
      </c>
      <c r="AG25" s="559">
        <v>45.873015873016044</v>
      </c>
      <c r="AH25" s="553" t="e">
        <f t="shared" si="6"/>
        <v>#N/A</v>
      </c>
      <c r="AI25" s="638"/>
      <c r="AJ25" s="553">
        <v>20</v>
      </c>
      <c r="AK25" s="559">
        <v>1196.4705882352871</v>
      </c>
      <c r="AL25" s="559">
        <v>59.823529411764355</v>
      </c>
      <c r="AM25" s="553" t="e">
        <f t="shared" si="7"/>
        <v>#N/A</v>
      </c>
      <c r="AN25" s="638"/>
      <c r="AO25" s="553">
        <v>21</v>
      </c>
      <c r="AP25" s="559">
        <v>968.27586206896353</v>
      </c>
      <c r="AQ25" s="559">
        <v>46.108374384236356</v>
      </c>
      <c r="AR25" s="553" t="e">
        <f t="shared" si="8"/>
        <v>#N/A</v>
      </c>
      <c r="AS25" s="638"/>
      <c r="AT25" s="553">
        <v>20</v>
      </c>
      <c r="AU25" s="559">
        <v>1085.4545454545334</v>
      </c>
      <c r="AV25" s="559">
        <v>54.272727272726669</v>
      </c>
      <c r="AW25" s="553" t="e">
        <f t="shared" si="9"/>
        <v>#N/A</v>
      </c>
      <c r="AX25" s="638"/>
      <c r="AZ25" s="357" t="e">
        <f t="shared" si="10"/>
        <v>#N/A</v>
      </c>
      <c r="BA25" s="638"/>
    </row>
    <row r="26" spans="2:53">
      <c r="B26" s="643"/>
      <c r="C26" s="553">
        <v>20</v>
      </c>
      <c r="D26" s="196" t="s">
        <v>634</v>
      </c>
      <c r="E26" s="554">
        <v>19</v>
      </c>
      <c r="F26" s="196">
        <v>1440</v>
      </c>
      <c r="G26" s="194">
        <v>75.78947368421052</v>
      </c>
      <c r="H26" s="697"/>
      <c r="I26" s="554">
        <f t="shared" si="0"/>
        <v>19</v>
      </c>
      <c r="J26" s="554">
        <f t="shared" si="1"/>
        <v>1366.3807691720235</v>
      </c>
      <c r="K26" s="194">
        <f t="shared" si="2"/>
        <v>71.914777324843357</v>
      </c>
      <c r="L26" s="653"/>
      <c r="M26" s="554" t="e">
        <f>RANK(K26, K$147:$K$176)</f>
        <v>#N/A</v>
      </c>
      <c r="N26" s="637"/>
      <c r="O26" s="637"/>
      <c r="P26" s="553">
        <v>19</v>
      </c>
      <c r="Q26" s="559">
        <v>1386.4285714285725</v>
      </c>
      <c r="R26" s="559">
        <v>72.969924812030129</v>
      </c>
      <c r="S26" s="553" t="e">
        <f t="shared" si="3"/>
        <v>#N/A</v>
      </c>
      <c r="T26" s="638"/>
      <c r="U26" s="553">
        <v>19</v>
      </c>
      <c r="V26" s="559">
        <v>1360.3636363636372</v>
      </c>
      <c r="W26" s="559">
        <v>71.598086124401959</v>
      </c>
      <c r="X26" s="553" t="e">
        <f t="shared" si="4"/>
        <v>#N/A</v>
      </c>
      <c r="Y26" s="638"/>
      <c r="Z26" s="553">
        <v>19</v>
      </c>
      <c r="AA26" s="559">
        <v>1345.909090909091</v>
      </c>
      <c r="AB26" s="559">
        <v>70.837320574162689</v>
      </c>
      <c r="AC26" s="553" t="e">
        <f t="shared" si="5"/>
        <v>#N/A</v>
      </c>
      <c r="AD26" s="638"/>
      <c r="AE26" s="553">
        <v>19</v>
      </c>
      <c r="AF26" s="559">
        <v>1345.7142857142851</v>
      </c>
      <c r="AG26" s="559">
        <v>70.827067669172905</v>
      </c>
      <c r="AH26" s="553" t="e">
        <f t="shared" si="6"/>
        <v>#N/A</v>
      </c>
      <c r="AI26" s="638"/>
      <c r="AJ26" s="553">
        <v>19</v>
      </c>
      <c r="AK26" s="559">
        <v>1390.1886792452838</v>
      </c>
      <c r="AL26" s="559">
        <v>73.167825223435983</v>
      </c>
      <c r="AM26" s="553" t="e">
        <f t="shared" si="7"/>
        <v>#N/A</v>
      </c>
      <c r="AN26" s="638"/>
      <c r="AO26" s="553">
        <v>19</v>
      </c>
      <c r="AP26" s="559">
        <v>1352.9032258064528</v>
      </c>
      <c r="AQ26" s="559">
        <v>71.205432937181726</v>
      </c>
      <c r="AR26" s="553" t="e">
        <f t="shared" si="8"/>
        <v>#N/A</v>
      </c>
      <c r="AS26" s="638"/>
      <c r="AT26" s="553">
        <v>19</v>
      </c>
      <c r="AU26" s="559">
        <v>1383.157894736843</v>
      </c>
      <c r="AV26" s="559">
        <v>72.797783933518048</v>
      </c>
      <c r="AW26" s="553" t="e">
        <f t="shared" si="9"/>
        <v>#N/A</v>
      </c>
      <c r="AX26" s="638"/>
      <c r="AZ26" s="357" t="e">
        <f t="shared" si="10"/>
        <v>#N/A</v>
      </c>
      <c r="BA26" s="638"/>
    </row>
    <row r="27" spans="2:53">
      <c r="B27" s="643"/>
      <c r="C27" s="553">
        <v>21</v>
      </c>
      <c r="D27" s="196" t="s">
        <v>653</v>
      </c>
      <c r="E27" s="554">
        <v>14</v>
      </c>
      <c r="F27" s="196">
        <v>1440</v>
      </c>
      <c r="G27" s="194">
        <v>102.85714285714286</v>
      </c>
      <c r="H27" s="697"/>
      <c r="I27" s="554">
        <f t="shared" si="0"/>
        <v>14</v>
      </c>
      <c r="J27" s="554">
        <f t="shared" si="1"/>
        <v>1374.3285928411792</v>
      </c>
      <c r="K27" s="194">
        <f t="shared" si="2"/>
        <v>98.16632806008424</v>
      </c>
      <c r="L27" s="653"/>
      <c r="M27" s="554" t="e">
        <f>RANK(K27, K$147:$K$176)</f>
        <v>#N/A</v>
      </c>
      <c r="N27" s="637"/>
      <c r="O27" s="637"/>
      <c r="P27" s="553">
        <v>14</v>
      </c>
      <c r="Q27" s="559">
        <v>1371.9230769230776</v>
      </c>
      <c r="R27" s="559">
        <v>97.994505494505546</v>
      </c>
      <c r="S27" s="553" t="e">
        <f t="shared" si="3"/>
        <v>#N/A</v>
      </c>
      <c r="T27" s="638"/>
      <c r="U27" s="553">
        <v>14</v>
      </c>
      <c r="V27" s="559">
        <v>1372.3636363636374</v>
      </c>
      <c r="W27" s="559">
        <v>98.025974025974094</v>
      </c>
      <c r="X27" s="553" t="e">
        <f t="shared" si="4"/>
        <v>#N/A</v>
      </c>
      <c r="Y27" s="638"/>
      <c r="Z27" s="553">
        <v>14</v>
      </c>
      <c r="AA27" s="559">
        <v>1367.6923076923069</v>
      </c>
      <c r="AB27" s="559">
        <v>97.692307692307637</v>
      </c>
      <c r="AC27" s="553" t="e">
        <f t="shared" si="5"/>
        <v>#N/A</v>
      </c>
      <c r="AD27" s="638"/>
      <c r="AE27" s="553">
        <v>14</v>
      </c>
      <c r="AF27" s="559">
        <v>1400.5263157894726</v>
      </c>
      <c r="AG27" s="559">
        <v>100.03759398496233</v>
      </c>
      <c r="AH27" s="553" t="e">
        <f t="shared" si="6"/>
        <v>#N/A</v>
      </c>
      <c r="AI27" s="638"/>
      <c r="AJ27" s="553">
        <v>14</v>
      </c>
      <c r="AK27" s="559">
        <v>1377.391304347826</v>
      </c>
      <c r="AL27" s="559">
        <v>98.385093167701854</v>
      </c>
      <c r="AM27" s="553" t="e">
        <f t="shared" si="7"/>
        <v>#N/A</v>
      </c>
      <c r="AN27" s="638"/>
      <c r="AO27" s="553">
        <v>14</v>
      </c>
      <c r="AP27" s="559">
        <v>1374.7368421052643</v>
      </c>
      <c r="AQ27" s="559">
        <v>98.195488721804594</v>
      </c>
      <c r="AR27" s="553" t="e">
        <f t="shared" si="8"/>
        <v>#N/A</v>
      </c>
      <c r="AS27" s="638"/>
      <c r="AT27" s="553">
        <v>14</v>
      </c>
      <c r="AU27" s="559">
        <v>1355.6666666666713</v>
      </c>
      <c r="AV27" s="559">
        <v>96.83333333333367</v>
      </c>
      <c r="AW27" s="553" t="e">
        <f t="shared" si="9"/>
        <v>#N/A</v>
      </c>
      <c r="AX27" s="638"/>
      <c r="AZ27" s="357" t="e">
        <f t="shared" si="10"/>
        <v>#N/A</v>
      </c>
      <c r="BA27" s="638"/>
    </row>
    <row r="28" spans="2:53">
      <c r="B28" s="643"/>
      <c r="C28" s="553">
        <v>22</v>
      </c>
      <c r="D28" s="196" t="s">
        <v>663</v>
      </c>
      <c r="E28" s="554">
        <v>14</v>
      </c>
      <c r="F28" s="196">
        <v>1440</v>
      </c>
      <c r="G28" s="194">
        <v>102.85714285714286</v>
      </c>
      <c r="H28" s="697"/>
      <c r="I28" s="554">
        <f t="shared" si="0"/>
        <v>14</v>
      </c>
      <c r="J28" s="554">
        <f t="shared" si="1"/>
        <v>1346.6459092501989</v>
      </c>
      <c r="K28" s="194">
        <f t="shared" si="2"/>
        <v>96.188993517871353</v>
      </c>
      <c r="L28" s="653"/>
      <c r="M28" s="554" t="e">
        <f>RANK(K28, K$147:$K$176)</f>
        <v>#N/A</v>
      </c>
      <c r="N28" s="637"/>
      <c r="O28" s="637"/>
      <c r="P28" s="553">
        <v>14</v>
      </c>
      <c r="Q28" s="559">
        <v>1361.1428571428557</v>
      </c>
      <c r="R28" s="559">
        <v>97.224489795918274</v>
      </c>
      <c r="S28" s="553" t="e">
        <f t="shared" si="3"/>
        <v>#N/A</v>
      </c>
      <c r="T28" s="638"/>
      <c r="U28" s="553">
        <v>14</v>
      </c>
      <c r="V28" s="559">
        <v>1366.6666666666656</v>
      </c>
      <c r="W28" s="559">
        <v>97.619047619047549</v>
      </c>
      <c r="X28" s="553" t="e">
        <f t="shared" si="4"/>
        <v>#N/A</v>
      </c>
      <c r="Y28" s="638"/>
      <c r="Z28" s="553">
        <v>14</v>
      </c>
      <c r="AA28" s="559">
        <v>1353.3333333333303</v>
      </c>
      <c r="AB28" s="559">
        <v>96.666666666666444</v>
      </c>
      <c r="AC28" s="553" t="e">
        <f t="shared" si="5"/>
        <v>#N/A</v>
      </c>
      <c r="AD28" s="638"/>
      <c r="AE28" s="553">
        <v>14</v>
      </c>
      <c r="AF28" s="559">
        <v>1398.4615384615347</v>
      </c>
      <c r="AG28" s="559">
        <v>99.890109890109628</v>
      </c>
      <c r="AH28" s="553" t="e">
        <f t="shared" si="6"/>
        <v>#N/A</v>
      </c>
      <c r="AI28" s="638"/>
      <c r="AJ28" s="553">
        <v>14</v>
      </c>
      <c r="AK28" s="559">
        <v>1334.482758620687</v>
      </c>
      <c r="AL28" s="559">
        <v>95.32019704433479</v>
      </c>
      <c r="AM28" s="553" t="e">
        <f t="shared" si="7"/>
        <v>#N/A</v>
      </c>
      <c r="AN28" s="638"/>
      <c r="AO28" s="553">
        <v>14</v>
      </c>
      <c r="AP28" s="559">
        <v>1343.6842105263147</v>
      </c>
      <c r="AQ28" s="559">
        <v>95.977443609022473</v>
      </c>
      <c r="AR28" s="553" t="e">
        <f t="shared" si="8"/>
        <v>#N/A</v>
      </c>
      <c r="AS28" s="638"/>
      <c r="AT28" s="553">
        <v>14</v>
      </c>
      <c r="AU28" s="559">
        <v>1268.7500000000043</v>
      </c>
      <c r="AV28" s="559">
        <v>90.625000000000313</v>
      </c>
      <c r="AW28" s="553" t="e">
        <f t="shared" si="9"/>
        <v>#N/A</v>
      </c>
      <c r="AX28" s="638"/>
      <c r="AZ28" s="357" t="e">
        <f t="shared" si="10"/>
        <v>#N/A</v>
      </c>
      <c r="BA28" s="638"/>
    </row>
    <row r="29" spans="2:53">
      <c r="B29" s="643"/>
      <c r="C29" s="553">
        <v>23</v>
      </c>
      <c r="D29" s="196" t="s">
        <v>703</v>
      </c>
      <c r="E29" s="554">
        <v>21</v>
      </c>
      <c r="F29" s="196">
        <v>1440</v>
      </c>
      <c r="G29" s="194">
        <v>68.571428571428569</v>
      </c>
      <c r="H29" s="697"/>
      <c r="I29" s="554">
        <f t="shared" si="0"/>
        <v>21</v>
      </c>
      <c r="J29" s="554">
        <f t="shared" si="1"/>
        <v>1413.2682676526742</v>
      </c>
      <c r="K29" s="194">
        <f t="shared" si="2"/>
        <v>67.298488935841618</v>
      </c>
      <c r="L29" s="653"/>
      <c r="M29" s="554" t="e">
        <f>RANK(K29, K$147:$K$176)</f>
        <v>#N/A</v>
      </c>
      <c r="N29" s="637"/>
      <c r="O29" s="637"/>
      <c r="P29" s="553">
        <v>21</v>
      </c>
      <c r="Q29" s="559">
        <v>1416.6990291262143</v>
      </c>
      <c r="R29" s="559">
        <v>67.461858529819736</v>
      </c>
      <c r="S29" s="553" t="e">
        <f t="shared" si="3"/>
        <v>#N/A</v>
      </c>
      <c r="T29" s="638"/>
      <c r="U29" s="553">
        <v>21</v>
      </c>
      <c r="V29" s="559">
        <v>1411.5151515151542</v>
      </c>
      <c r="W29" s="559">
        <v>67.215007215007347</v>
      </c>
      <c r="X29" s="553" t="e">
        <f t="shared" si="4"/>
        <v>#N/A</v>
      </c>
      <c r="Y29" s="638"/>
      <c r="Z29" s="553">
        <v>21</v>
      </c>
      <c r="AA29" s="559">
        <v>1378</v>
      </c>
      <c r="AB29" s="559">
        <v>65.61904761904762</v>
      </c>
      <c r="AC29" s="553" t="e">
        <f t="shared" si="5"/>
        <v>#N/A</v>
      </c>
      <c r="AD29" s="638"/>
      <c r="AE29" s="553">
        <v>21</v>
      </c>
      <c r="AF29" s="559">
        <v>1430.8235294117644</v>
      </c>
      <c r="AG29" s="559">
        <v>68.13445378151259</v>
      </c>
      <c r="AH29" s="553" t="e">
        <f t="shared" si="6"/>
        <v>#N/A</v>
      </c>
      <c r="AI29" s="638"/>
      <c r="AJ29" s="553">
        <v>21</v>
      </c>
      <c r="AK29" s="559">
        <v>1436.8421052631579</v>
      </c>
      <c r="AL29" s="559">
        <v>68.421052631578945</v>
      </c>
      <c r="AM29" s="553" t="e">
        <f t="shared" si="7"/>
        <v>#N/A</v>
      </c>
      <c r="AN29" s="638"/>
      <c r="AO29" s="553">
        <v>21</v>
      </c>
      <c r="AP29" s="559">
        <v>1393.3980582524277</v>
      </c>
      <c r="AQ29" s="559">
        <v>66.352288488210846</v>
      </c>
      <c r="AR29" s="553" t="e">
        <f t="shared" si="8"/>
        <v>#N/A</v>
      </c>
      <c r="AS29" s="638"/>
      <c r="AT29" s="553">
        <v>21</v>
      </c>
      <c r="AU29" s="559">
        <v>1425.6000000000004</v>
      </c>
      <c r="AV29" s="559">
        <v>67.8857142857143</v>
      </c>
      <c r="AW29" s="553" t="e">
        <f t="shared" si="9"/>
        <v>#N/A</v>
      </c>
      <c r="AX29" s="638"/>
      <c r="AZ29" s="357" t="e">
        <f t="shared" si="10"/>
        <v>#N/A</v>
      </c>
      <c r="BA29" s="638"/>
    </row>
    <row r="30" spans="2:53">
      <c r="B30" s="643"/>
      <c r="C30" s="553">
        <v>24</v>
      </c>
      <c r="D30" s="196" t="s">
        <v>705</v>
      </c>
      <c r="E30" s="554">
        <v>17</v>
      </c>
      <c r="F30" s="196">
        <v>1500</v>
      </c>
      <c r="G30" s="194">
        <v>88.235294117647058</v>
      </c>
      <c r="H30" s="697"/>
      <c r="I30" s="554">
        <f t="shared" si="0"/>
        <v>17</v>
      </c>
      <c r="J30" s="554">
        <f t="shared" si="1"/>
        <v>1431.960960927029</v>
      </c>
      <c r="K30" s="194">
        <f t="shared" si="2"/>
        <v>84.232997701589966</v>
      </c>
      <c r="L30" s="653"/>
      <c r="M30" s="554" t="e">
        <f>RANK(K30, K$147:$K$176)</f>
        <v>#N/A</v>
      </c>
      <c r="N30" s="637"/>
      <c r="O30" s="637"/>
      <c r="P30" s="553">
        <v>17</v>
      </c>
      <c r="Q30" s="559">
        <v>1431.5384615384608</v>
      </c>
      <c r="R30" s="559">
        <v>84.20814479638004</v>
      </c>
      <c r="S30" s="553" t="e">
        <f t="shared" si="3"/>
        <v>#N/A</v>
      </c>
      <c r="T30" s="638"/>
      <c r="U30" s="553">
        <v>17</v>
      </c>
      <c r="V30" s="559">
        <v>1437.42857142857</v>
      </c>
      <c r="W30" s="559">
        <v>84.554621848739416</v>
      </c>
      <c r="X30" s="553" t="e">
        <f t="shared" si="4"/>
        <v>#N/A</v>
      </c>
      <c r="Y30" s="638"/>
      <c r="Z30" s="553">
        <v>17</v>
      </c>
      <c r="AA30" s="559">
        <v>1463.3898305084758</v>
      </c>
      <c r="AB30" s="559">
        <v>86.0817547357927</v>
      </c>
      <c r="AC30" s="553" t="e">
        <f t="shared" si="5"/>
        <v>#N/A</v>
      </c>
      <c r="AD30" s="638"/>
      <c r="AE30" s="553">
        <v>17</v>
      </c>
      <c r="AF30" s="559">
        <v>1432.5000000000011</v>
      </c>
      <c r="AG30" s="559">
        <v>84.264705882353013</v>
      </c>
      <c r="AH30" s="553" t="e">
        <f t="shared" si="6"/>
        <v>#N/A</v>
      </c>
      <c r="AI30" s="638"/>
      <c r="AJ30" s="553">
        <v>17</v>
      </c>
      <c r="AK30" s="559">
        <v>1391.2499999999982</v>
      </c>
      <c r="AL30" s="559">
        <v>81.838235294117538</v>
      </c>
      <c r="AM30" s="553" t="e">
        <f t="shared" si="7"/>
        <v>#N/A</v>
      </c>
      <c r="AN30" s="638"/>
      <c r="AO30" s="553">
        <v>17</v>
      </c>
      <c r="AP30" s="559">
        <v>1406.2500000000016</v>
      </c>
      <c r="AQ30" s="559">
        <v>82.720588235294215</v>
      </c>
      <c r="AR30" s="553" t="e">
        <f t="shared" si="8"/>
        <v>#N/A</v>
      </c>
      <c r="AS30" s="638"/>
      <c r="AT30" s="553">
        <v>17</v>
      </c>
      <c r="AU30" s="559">
        <v>1461.3698630136976</v>
      </c>
      <c r="AV30" s="559">
        <v>85.962933118452796</v>
      </c>
      <c r="AW30" s="553" t="e">
        <f t="shared" si="9"/>
        <v>#N/A</v>
      </c>
      <c r="AX30" s="638"/>
      <c r="AZ30" s="357" t="e">
        <f t="shared" si="10"/>
        <v>#N/A</v>
      </c>
      <c r="BA30" s="638"/>
    </row>
    <row r="31" spans="2:53">
      <c r="B31" s="643"/>
      <c r="C31" s="553">
        <v>25</v>
      </c>
      <c r="D31" s="196" t="s">
        <v>719</v>
      </c>
      <c r="E31" s="554">
        <v>19</v>
      </c>
      <c r="F31" s="196">
        <v>1440</v>
      </c>
      <c r="G31" s="194">
        <v>75.78947368421052</v>
      </c>
      <c r="H31" s="697"/>
      <c r="I31" s="554">
        <f t="shared" si="0"/>
        <v>19</v>
      </c>
      <c r="J31" s="554">
        <f t="shared" si="1"/>
        <v>1306.3529260229459</v>
      </c>
      <c r="K31" s="194">
        <f t="shared" si="2"/>
        <v>68.755417159102407</v>
      </c>
      <c r="L31" s="653"/>
      <c r="M31" s="554" t="e">
        <f>RANK(K31, K$147:$K$176)</f>
        <v>#N/A</v>
      </c>
      <c r="N31" s="637"/>
      <c r="O31" s="637"/>
      <c r="P31" s="553">
        <v>19</v>
      </c>
      <c r="Q31" s="559">
        <v>1317.0000000000007</v>
      </c>
      <c r="R31" s="559">
        <v>69.315789473684248</v>
      </c>
      <c r="S31" s="553" t="e">
        <f t="shared" si="3"/>
        <v>#N/A</v>
      </c>
      <c r="T31" s="638"/>
      <c r="U31" s="553">
        <v>19</v>
      </c>
      <c r="V31" s="559">
        <v>1295.4626865671657</v>
      </c>
      <c r="W31" s="559">
        <v>68.182246661429772</v>
      </c>
      <c r="X31" s="553" t="e">
        <f t="shared" si="4"/>
        <v>#N/A</v>
      </c>
      <c r="Y31" s="638"/>
      <c r="Z31" s="553">
        <v>19</v>
      </c>
      <c r="AA31" s="559">
        <v>1317.6000000000004</v>
      </c>
      <c r="AB31" s="559">
        <v>69.34736842105265</v>
      </c>
      <c r="AC31" s="553" t="e">
        <f t="shared" si="5"/>
        <v>#N/A</v>
      </c>
      <c r="AD31" s="638"/>
      <c r="AE31" s="553">
        <v>19</v>
      </c>
      <c r="AF31" s="559">
        <v>1303.7454545454552</v>
      </c>
      <c r="AG31" s="559">
        <v>68.618181818181853</v>
      </c>
      <c r="AH31" s="553" t="e">
        <f t="shared" si="6"/>
        <v>#N/A</v>
      </c>
      <c r="AI31" s="638"/>
      <c r="AJ31" s="553">
        <v>19</v>
      </c>
      <c r="AK31" s="559">
        <v>1294.1772151898726</v>
      </c>
      <c r="AL31" s="559">
        <v>68.114590273151194</v>
      </c>
      <c r="AM31" s="553" t="e">
        <f t="shared" si="7"/>
        <v>#N/A</v>
      </c>
      <c r="AN31" s="638"/>
      <c r="AO31" s="553">
        <v>19</v>
      </c>
      <c r="AP31" s="559">
        <v>1300.6956521739139</v>
      </c>
      <c r="AQ31" s="559">
        <v>68.457665903890202</v>
      </c>
      <c r="AR31" s="553" t="e">
        <f t="shared" si="8"/>
        <v>#N/A</v>
      </c>
      <c r="AS31" s="638"/>
      <c r="AT31" s="553">
        <v>19</v>
      </c>
      <c r="AU31" s="559">
        <v>1315.7894736842115</v>
      </c>
      <c r="AV31" s="559">
        <v>69.252077562326917</v>
      </c>
      <c r="AW31" s="553" t="e">
        <f t="shared" si="9"/>
        <v>#N/A</v>
      </c>
      <c r="AX31" s="638"/>
      <c r="AZ31" s="357" t="e">
        <f t="shared" si="10"/>
        <v>#N/A</v>
      </c>
      <c r="BA31" s="638"/>
    </row>
    <row r="32" spans="2:53">
      <c r="B32" s="643"/>
      <c r="C32" s="553">
        <v>26</v>
      </c>
      <c r="D32" s="196"/>
      <c r="E32" s="554"/>
      <c r="F32" s="196"/>
      <c r="G32" s="194"/>
      <c r="H32" s="697"/>
      <c r="I32" s="554" t="str">
        <f t="shared" si="0"/>
        <v>-</v>
      </c>
      <c r="J32" s="554" t="str">
        <f t="shared" si="1"/>
        <v>-</v>
      </c>
      <c r="K32" s="194" t="str">
        <f t="shared" si="2"/>
        <v>-</v>
      </c>
      <c r="L32" s="653"/>
      <c r="M32" s="554" t="e">
        <f>RANK(K32, K$147:$K$176)</f>
        <v>#VALUE!</v>
      </c>
      <c r="N32" s="637"/>
      <c r="O32" s="637"/>
      <c r="P32" s="553" t="s">
        <v>557</v>
      </c>
      <c r="Q32" s="559" t="s">
        <v>557</v>
      </c>
      <c r="R32" s="559" t="s">
        <v>557</v>
      </c>
      <c r="S32" s="553" t="e">
        <f t="shared" si="3"/>
        <v>#VALUE!</v>
      </c>
      <c r="T32" s="638"/>
      <c r="U32" s="553" t="s">
        <v>557</v>
      </c>
      <c r="V32" s="559" t="s">
        <v>557</v>
      </c>
      <c r="W32" s="559" t="s">
        <v>557</v>
      </c>
      <c r="X32" s="553" t="e">
        <f t="shared" si="4"/>
        <v>#VALUE!</v>
      </c>
      <c r="Y32" s="638"/>
      <c r="Z32" s="553" t="s">
        <v>557</v>
      </c>
      <c r="AA32" s="559" t="s">
        <v>557</v>
      </c>
      <c r="AB32" s="559" t="s">
        <v>557</v>
      </c>
      <c r="AC32" s="553" t="e">
        <f t="shared" si="5"/>
        <v>#VALUE!</v>
      </c>
      <c r="AD32" s="638"/>
      <c r="AE32" s="553" t="s">
        <v>557</v>
      </c>
      <c r="AF32" s="559" t="s">
        <v>557</v>
      </c>
      <c r="AG32" s="559" t="s">
        <v>557</v>
      </c>
      <c r="AH32" s="553" t="e">
        <f t="shared" si="6"/>
        <v>#VALUE!</v>
      </c>
      <c r="AI32" s="638"/>
      <c r="AJ32" s="553" t="s">
        <v>557</v>
      </c>
      <c r="AK32" s="559" t="s">
        <v>557</v>
      </c>
      <c r="AL32" s="559" t="s">
        <v>557</v>
      </c>
      <c r="AM32" s="553" t="e">
        <f t="shared" si="7"/>
        <v>#VALUE!</v>
      </c>
      <c r="AN32" s="638"/>
      <c r="AO32" s="553" t="s">
        <v>557</v>
      </c>
      <c r="AP32" s="559" t="s">
        <v>557</v>
      </c>
      <c r="AQ32" s="559" t="s">
        <v>557</v>
      </c>
      <c r="AR32" s="553" t="e">
        <f t="shared" si="8"/>
        <v>#VALUE!</v>
      </c>
      <c r="AS32" s="638"/>
      <c r="AT32" s="553" t="s">
        <v>557</v>
      </c>
      <c r="AU32" s="559" t="s">
        <v>557</v>
      </c>
      <c r="AV32" s="559" t="s">
        <v>557</v>
      </c>
      <c r="AW32" s="553" t="e">
        <f t="shared" si="9"/>
        <v>#VALUE!</v>
      </c>
      <c r="AX32" s="638"/>
      <c r="AZ32" s="357" t="e">
        <f t="shared" si="10"/>
        <v>#N/A</v>
      </c>
      <c r="BA32" s="638"/>
    </row>
    <row r="33" spans="2:53">
      <c r="B33" s="643"/>
      <c r="C33" s="553">
        <v>27</v>
      </c>
      <c r="D33" s="196"/>
      <c r="E33" s="554"/>
      <c r="F33" s="196"/>
      <c r="G33" s="194"/>
      <c r="H33" s="697"/>
      <c r="I33" s="554" t="str">
        <f t="shared" si="0"/>
        <v>-</v>
      </c>
      <c r="J33" s="554" t="str">
        <f t="shared" si="1"/>
        <v>-</v>
      </c>
      <c r="K33" s="194" t="str">
        <f t="shared" si="2"/>
        <v>-</v>
      </c>
      <c r="L33" s="653"/>
      <c r="M33" s="554" t="e">
        <f>RANK(K33, K$147:$K$176)</f>
        <v>#VALUE!</v>
      </c>
      <c r="N33" s="637"/>
      <c r="O33" s="637"/>
      <c r="P33" s="553" t="s">
        <v>557</v>
      </c>
      <c r="Q33" s="559" t="s">
        <v>557</v>
      </c>
      <c r="R33" s="559" t="s">
        <v>557</v>
      </c>
      <c r="S33" s="553" t="e">
        <f t="shared" si="3"/>
        <v>#VALUE!</v>
      </c>
      <c r="T33" s="638"/>
      <c r="U33" s="553" t="s">
        <v>557</v>
      </c>
      <c r="V33" s="559" t="s">
        <v>557</v>
      </c>
      <c r="W33" s="559" t="s">
        <v>557</v>
      </c>
      <c r="X33" s="553" t="e">
        <f t="shared" si="4"/>
        <v>#VALUE!</v>
      </c>
      <c r="Y33" s="638"/>
      <c r="Z33" s="553" t="s">
        <v>557</v>
      </c>
      <c r="AA33" s="559" t="s">
        <v>557</v>
      </c>
      <c r="AB33" s="559" t="s">
        <v>557</v>
      </c>
      <c r="AC33" s="553" t="e">
        <f t="shared" si="5"/>
        <v>#VALUE!</v>
      </c>
      <c r="AD33" s="638"/>
      <c r="AE33" s="553" t="s">
        <v>557</v>
      </c>
      <c r="AF33" s="559" t="s">
        <v>557</v>
      </c>
      <c r="AG33" s="559" t="s">
        <v>557</v>
      </c>
      <c r="AH33" s="553" t="e">
        <f t="shared" si="6"/>
        <v>#VALUE!</v>
      </c>
      <c r="AI33" s="638"/>
      <c r="AJ33" s="553" t="s">
        <v>557</v>
      </c>
      <c r="AK33" s="559" t="s">
        <v>557</v>
      </c>
      <c r="AL33" s="559" t="s">
        <v>557</v>
      </c>
      <c r="AM33" s="553" t="e">
        <f t="shared" si="7"/>
        <v>#VALUE!</v>
      </c>
      <c r="AN33" s="638"/>
      <c r="AO33" s="553" t="s">
        <v>557</v>
      </c>
      <c r="AP33" s="559" t="s">
        <v>557</v>
      </c>
      <c r="AQ33" s="559" t="s">
        <v>557</v>
      </c>
      <c r="AR33" s="553" t="e">
        <f t="shared" si="8"/>
        <v>#VALUE!</v>
      </c>
      <c r="AS33" s="638"/>
      <c r="AT33" s="553" t="s">
        <v>557</v>
      </c>
      <c r="AU33" s="559" t="s">
        <v>557</v>
      </c>
      <c r="AV33" s="559" t="s">
        <v>557</v>
      </c>
      <c r="AW33" s="553" t="e">
        <f t="shared" si="9"/>
        <v>#VALUE!</v>
      </c>
      <c r="AX33" s="638"/>
      <c r="AZ33" s="357" t="e">
        <f t="shared" si="10"/>
        <v>#N/A</v>
      </c>
      <c r="BA33" s="638"/>
    </row>
    <row r="34" spans="2:53">
      <c r="B34" s="643"/>
      <c r="C34" s="553">
        <v>28</v>
      </c>
      <c r="D34" s="196"/>
      <c r="E34" s="554"/>
      <c r="F34" s="196"/>
      <c r="G34" s="194"/>
      <c r="H34" s="697"/>
      <c r="I34" s="554" t="str">
        <f t="shared" si="0"/>
        <v>-</v>
      </c>
      <c r="J34" s="554" t="str">
        <f t="shared" si="1"/>
        <v>-</v>
      </c>
      <c r="K34" s="194" t="str">
        <f t="shared" si="2"/>
        <v>-</v>
      </c>
      <c r="L34" s="653"/>
      <c r="M34" s="554" t="e">
        <f>RANK(K34, K$147:$K$176)</f>
        <v>#VALUE!</v>
      </c>
      <c r="N34" s="637"/>
      <c r="O34" s="637"/>
      <c r="P34" s="553" t="s">
        <v>557</v>
      </c>
      <c r="Q34" s="559" t="s">
        <v>557</v>
      </c>
      <c r="R34" s="559" t="s">
        <v>557</v>
      </c>
      <c r="S34" s="553" t="e">
        <f t="shared" si="3"/>
        <v>#VALUE!</v>
      </c>
      <c r="T34" s="638"/>
      <c r="U34" s="553" t="s">
        <v>557</v>
      </c>
      <c r="V34" s="559" t="s">
        <v>557</v>
      </c>
      <c r="W34" s="559" t="s">
        <v>557</v>
      </c>
      <c r="X34" s="553" t="e">
        <f t="shared" si="4"/>
        <v>#VALUE!</v>
      </c>
      <c r="Y34" s="638"/>
      <c r="Z34" s="553" t="s">
        <v>557</v>
      </c>
      <c r="AA34" s="559" t="s">
        <v>557</v>
      </c>
      <c r="AB34" s="559" t="s">
        <v>557</v>
      </c>
      <c r="AC34" s="553" t="e">
        <f t="shared" si="5"/>
        <v>#VALUE!</v>
      </c>
      <c r="AD34" s="638"/>
      <c r="AE34" s="553" t="s">
        <v>557</v>
      </c>
      <c r="AF34" s="559" t="s">
        <v>557</v>
      </c>
      <c r="AG34" s="559" t="s">
        <v>557</v>
      </c>
      <c r="AH34" s="553" t="e">
        <f t="shared" si="6"/>
        <v>#VALUE!</v>
      </c>
      <c r="AI34" s="638"/>
      <c r="AJ34" s="553" t="s">
        <v>557</v>
      </c>
      <c r="AK34" s="559" t="s">
        <v>557</v>
      </c>
      <c r="AL34" s="559" t="s">
        <v>557</v>
      </c>
      <c r="AM34" s="553" t="e">
        <f t="shared" si="7"/>
        <v>#VALUE!</v>
      </c>
      <c r="AN34" s="638"/>
      <c r="AO34" s="553" t="s">
        <v>557</v>
      </c>
      <c r="AP34" s="559" t="s">
        <v>557</v>
      </c>
      <c r="AQ34" s="559" t="s">
        <v>557</v>
      </c>
      <c r="AR34" s="553" t="e">
        <f t="shared" si="8"/>
        <v>#VALUE!</v>
      </c>
      <c r="AS34" s="638"/>
      <c r="AT34" s="553" t="s">
        <v>557</v>
      </c>
      <c r="AU34" s="559" t="s">
        <v>557</v>
      </c>
      <c r="AV34" s="559" t="s">
        <v>557</v>
      </c>
      <c r="AW34" s="553" t="e">
        <f t="shared" si="9"/>
        <v>#VALUE!</v>
      </c>
      <c r="AX34" s="638"/>
      <c r="AZ34" s="357" t="e">
        <f t="shared" si="10"/>
        <v>#N/A</v>
      </c>
      <c r="BA34" s="638"/>
    </row>
    <row r="35" spans="2:53">
      <c r="B35" s="643"/>
      <c r="C35" s="553">
        <v>29</v>
      </c>
      <c r="D35" s="196"/>
      <c r="E35" s="554"/>
      <c r="F35" s="196"/>
      <c r="G35" s="194"/>
      <c r="H35" s="697"/>
      <c r="I35" s="554" t="str">
        <f t="shared" si="0"/>
        <v>-</v>
      </c>
      <c r="J35" s="554" t="str">
        <f t="shared" si="1"/>
        <v>-</v>
      </c>
      <c r="K35" s="194" t="str">
        <f t="shared" si="2"/>
        <v>-</v>
      </c>
      <c r="L35" s="653"/>
      <c r="M35" s="554" t="e">
        <f>RANK(K35, K$147:$K$176)</f>
        <v>#VALUE!</v>
      </c>
      <c r="N35" s="637"/>
      <c r="O35" s="637"/>
      <c r="P35" s="553" t="s">
        <v>557</v>
      </c>
      <c r="Q35" s="559" t="s">
        <v>557</v>
      </c>
      <c r="R35" s="559" t="s">
        <v>557</v>
      </c>
      <c r="S35" s="553" t="e">
        <f t="shared" si="3"/>
        <v>#VALUE!</v>
      </c>
      <c r="T35" s="638"/>
      <c r="U35" s="553" t="s">
        <v>557</v>
      </c>
      <c r="V35" s="559" t="s">
        <v>557</v>
      </c>
      <c r="W35" s="559" t="s">
        <v>557</v>
      </c>
      <c r="X35" s="553" t="e">
        <f t="shared" si="4"/>
        <v>#VALUE!</v>
      </c>
      <c r="Y35" s="638"/>
      <c r="Z35" s="553" t="s">
        <v>557</v>
      </c>
      <c r="AA35" s="559" t="s">
        <v>557</v>
      </c>
      <c r="AB35" s="559" t="s">
        <v>557</v>
      </c>
      <c r="AC35" s="553" t="e">
        <f t="shared" si="5"/>
        <v>#VALUE!</v>
      </c>
      <c r="AD35" s="638"/>
      <c r="AE35" s="553" t="s">
        <v>557</v>
      </c>
      <c r="AF35" s="559" t="s">
        <v>557</v>
      </c>
      <c r="AG35" s="559" t="s">
        <v>557</v>
      </c>
      <c r="AH35" s="553" t="e">
        <f t="shared" si="6"/>
        <v>#VALUE!</v>
      </c>
      <c r="AI35" s="638"/>
      <c r="AJ35" s="553" t="s">
        <v>557</v>
      </c>
      <c r="AK35" s="559" t="s">
        <v>557</v>
      </c>
      <c r="AL35" s="559" t="s">
        <v>557</v>
      </c>
      <c r="AM35" s="553" t="e">
        <f t="shared" si="7"/>
        <v>#VALUE!</v>
      </c>
      <c r="AN35" s="638"/>
      <c r="AO35" s="553" t="s">
        <v>557</v>
      </c>
      <c r="AP35" s="559" t="s">
        <v>557</v>
      </c>
      <c r="AQ35" s="559" t="s">
        <v>557</v>
      </c>
      <c r="AR35" s="553" t="e">
        <f t="shared" si="8"/>
        <v>#VALUE!</v>
      </c>
      <c r="AS35" s="638"/>
      <c r="AT35" s="553" t="s">
        <v>557</v>
      </c>
      <c r="AU35" s="559" t="s">
        <v>557</v>
      </c>
      <c r="AV35" s="559" t="s">
        <v>557</v>
      </c>
      <c r="AW35" s="553" t="e">
        <f t="shared" si="9"/>
        <v>#VALUE!</v>
      </c>
      <c r="AX35" s="638"/>
      <c r="AZ35" s="357" t="e">
        <f t="shared" si="10"/>
        <v>#N/A</v>
      </c>
      <c r="BA35" s="638"/>
    </row>
    <row r="36" spans="2:53">
      <c r="B36" s="643"/>
      <c r="C36" s="553">
        <v>30</v>
      </c>
      <c r="D36" s="196"/>
      <c r="E36" s="554"/>
      <c r="F36" s="196"/>
      <c r="G36" s="194"/>
      <c r="H36" s="698"/>
      <c r="I36" s="554" t="str">
        <f t="shared" si="0"/>
        <v>-</v>
      </c>
      <c r="J36" s="554" t="str">
        <f t="shared" si="1"/>
        <v>-</v>
      </c>
      <c r="K36" s="194" t="str">
        <f t="shared" si="2"/>
        <v>-</v>
      </c>
      <c r="L36" s="654"/>
      <c r="M36" s="554" t="e">
        <f>RANK(K36, K$147:$K$176)</f>
        <v>#VALUE!</v>
      </c>
      <c r="N36" s="637"/>
      <c r="O36" s="637"/>
      <c r="P36" s="553" t="s">
        <v>557</v>
      </c>
      <c r="Q36" s="559" t="s">
        <v>557</v>
      </c>
      <c r="R36" s="559" t="s">
        <v>557</v>
      </c>
      <c r="S36" s="553" t="e">
        <f t="shared" si="3"/>
        <v>#VALUE!</v>
      </c>
      <c r="T36" s="638"/>
      <c r="U36" s="553" t="s">
        <v>557</v>
      </c>
      <c r="V36" s="559" t="s">
        <v>557</v>
      </c>
      <c r="W36" s="559" t="s">
        <v>557</v>
      </c>
      <c r="X36" s="553" t="e">
        <f t="shared" si="4"/>
        <v>#VALUE!</v>
      </c>
      <c r="Y36" s="638"/>
      <c r="Z36" s="553" t="s">
        <v>557</v>
      </c>
      <c r="AA36" s="559" t="s">
        <v>557</v>
      </c>
      <c r="AB36" s="559" t="s">
        <v>557</v>
      </c>
      <c r="AC36" s="553" t="e">
        <f t="shared" si="5"/>
        <v>#VALUE!</v>
      </c>
      <c r="AD36" s="638"/>
      <c r="AE36" s="553" t="s">
        <v>557</v>
      </c>
      <c r="AF36" s="559" t="s">
        <v>557</v>
      </c>
      <c r="AG36" s="559" t="s">
        <v>557</v>
      </c>
      <c r="AH36" s="553" t="e">
        <f t="shared" si="6"/>
        <v>#VALUE!</v>
      </c>
      <c r="AI36" s="638"/>
      <c r="AJ36" s="553" t="s">
        <v>557</v>
      </c>
      <c r="AK36" s="559" t="s">
        <v>557</v>
      </c>
      <c r="AL36" s="559" t="s">
        <v>557</v>
      </c>
      <c r="AM36" s="553" t="e">
        <f t="shared" si="7"/>
        <v>#VALUE!</v>
      </c>
      <c r="AN36" s="638"/>
      <c r="AO36" s="553" t="s">
        <v>557</v>
      </c>
      <c r="AP36" s="559" t="s">
        <v>557</v>
      </c>
      <c r="AQ36" s="559" t="s">
        <v>557</v>
      </c>
      <c r="AR36" s="553" t="e">
        <f t="shared" si="8"/>
        <v>#VALUE!</v>
      </c>
      <c r="AS36" s="638"/>
      <c r="AT36" s="553" t="s">
        <v>557</v>
      </c>
      <c r="AU36" s="559" t="s">
        <v>557</v>
      </c>
      <c r="AV36" s="559" t="s">
        <v>557</v>
      </c>
      <c r="AW36" s="553" t="e">
        <f t="shared" si="9"/>
        <v>#VALUE!</v>
      </c>
      <c r="AX36" s="638"/>
      <c r="AZ36" s="357" t="e">
        <f t="shared" si="10"/>
        <v>#N/A</v>
      </c>
      <c r="BA36" s="638"/>
    </row>
    <row r="37" spans="2:53" ht="15.75">
      <c r="B37" s="676" t="s">
        <v>162</v>
      </c>
      <c r="C37" s="677"/>
      <c r="D37" s="677"/>
      <c r="E37" s="677"/>
      <c r="F37" s="677"/>
      <c r="G37" s="677"/>
      <c r="H37" s="677"/>
      <c r="I37" s="197"/>
      <c r="J37" s="197"/>
      <c r="K37" s="197"/>
      <c r="L37" s="197"/>
      <c r="M37" s="198"/>
      <c r="N37" s="639" t="s">
        <v>156</v>
      </c>
      <c r="O37" s="639" t="s">
        <v>105</v>
      </c>
      <c r="P37" s="664">
        <f>AT2+1</f>
        <v>46301</v>
      </c>
      <c r="Q37" s="643"/>
      <c r="R37" s="643"/>
      <c r="S37" s="643"/>
      <c r="T37" s="643"/>
      <c r="U37" s="664">
        <f>P37+1</f>
        <v>46302</v>
      </c>
      <c r="V37" s="643"/>
      <c r="W37" s="643"/>
      <c r="X37" s="643"/>
      <c r="Y37" s="643"/>
      <c r="Z37" s="664">
        <f>U37+1</f>
        <v>46303</v>
      </c>
      <c r="AA37" s="643"/>
      <c r="AB37" s="643"/>
      <c r="AC37" s="643"/>
      <c r="AD37" s="643"/>
      <c r="AE37" s="664">
        <f>Z37+1</f>
        <v>46304</v>
      </c>
      <c r="AF37" s="643"/>
      <c r="AG37" s="643"/>
      <c r="AH37" s="643"/>
      <c r="AI37" s="643"/>
      <c r="AJ37" s="664">
        <f>AE37+1</f>
        <v>46305</v>
      </c>
      <c r="AK37" s="643"/>
      <c r="AL37" s="643"/>
      <c r="AM37" s="643"/>
      <c r="AN37" s="643"/>
      <c r="AO37" s="664">
        <f>AJ37+1</f>
        <v>46306</v>
      </c>
      <c r="AP37" s="643"/>
      <c r="AQ37" s="643"/>
      <c r="AR37" s="643"/>
      <c r="AS37" s="643"/>
      <c r="AT37" s="664">
        <f>AO37+1</f>
        <v>46307</v>
      </c>
      <c r="AU37" s="643"/>
      <c r="AV37" s="643"/>
      <c r="AW37" s="643"/>
      <c r="AX37" s="643"/>
    </row>
    <row r="38" spans="2:53" ht="15.75">
      <c r="B38" s="668"/>
      <c r="C38" s="668"/>
      <c r="D38" s="668"/>
      <c r="E38" s="668"/>
      <c r="F38" s="668"/>
      <c r="G38" s="668"/>
      <c r="H38" s="668"/>
      <c r="I38" s="199"/>
      <c r="J38" s="199"/>
      <c r="K38" s="199"/>
      <c r="L38" s="199"/>
      <c r="M38" s="200"/>
      <c r="N38" s="641"/>
      <c r="O38" s="641"/>
      <c r="P38" s="664" t="s">
        <v>317</v>
      </c>
      <c r="Q38" s="643"/>
      <c r="R38" s="643"/>
      <c r="S38" s="643"/>
      <c r="T38" s="643"/>
      <c r="U38" s="664" t="s">
        <v>318</v>
      </c>
      <c r="V38" s="643"/>
      <c r="W38" s="643"/>
      <c r="X38" s="643"/>
      <c r="Y38" s="643"/>
      <c r="Z38" s="664" t="s">
        <v>319</v>
      </c>
      <c r="AA38" s="643"/>
      <c r="AB38" s="643"/>
      <c r="AC38" s="643"/>
      <c r="AD38" s="643"/>
      <c r="AE38" s="664" t="s">
        <v>320</v>
      </c>
      <c r="AF38" s="643"/>
      <c r="AG38" s="643"/>
      <c r="AH38" s="643"/>
      <c r="AI38" s="643"/>
      <c r="AJ38" s="664" t="s">
        <v>321</v>
      </c>
      <c r="AK38" s="643"/>
      <c r="AL38" s="643"/>
      <c r="AM38" s="643"/>
      <c r="AN38" s="643"/>
      <c r="AO38" s="664" t="s">
        <v>322</v>
      </c>
      <c r="AP38" s="643"/>
      <c r="AQ38" s="643"/>
      <c r="AR38" s="643"/>
      <c r="AS38" s="643"/>
      <c r="AT38" s="664" t="s">
        <v>323</v>
      </c>
      <c r="AU38" s="643"/>
      <c r="AV38" s="643"/>
      <c r="AW38" s="643"/>
      <c r="AX38" s="643"/>
    </row>
    <row r="39" spans="2:53">
      <c r="B39" s="637" t="s">
        <v>398</v>
      </c>
      <c r="C39" s="637" t="s">
        <v>399</v>
      </c>
      <c r="D39" s="637"/>
      <c r="E39" s="637" t="s">
        <v>400</v>
      </c>
      <c r="F39" s="637"/>
      <c r="G39" s="637"/>
      <c r="H39" s="669" t="s">
        <v>401</v>
      </c>
      <c r="I39" s="684" t="s">
        <v>402</v>
      </c>
      <c r="J39" s="684"/>
      <c r="K39" s="684"/>
      <c r="L39" s="685" t="s">
        <v>401</v>
      </c>
      <c r="M39" s="673" t="s">
        <v>403</v>
      </c>
      <c r="N39" s="637"/>
      <c r="O39" s="637" t="s">
        <v>404</v>
      </c>
      <c r="P39" s="655" t="s">
        <v>405</v>
      </c>
      <c r="Q39" s="656"/>
      <c r="R39" s="656"/>
      <c r="S39" s="657"/>
      <c r="T39" s="637" t="s">
        <v>401</v>
      </c>
      <c r="U39" s="655" t="s">
        <v>405</v>
      </c>
      <c r="V39" s="656"/>
      <c r="W39" s="656"/>
      <c r="X39" s="657"/>
      <c r="Y39" s="637" t="s">
        <v>401</v>
      </c>
      <c r="Z39" s="655" t="s">
        <v>405</v>
      </c>
      <c r="AA39" s="656"/>
      <c r="AB39" s="656"/>
      <c r="AC39" s="657"/>
      <c r="AD39" s="637" t="s">
        <v>401</v>
      </c>
      <c r="AE39" s="655" t="s">
        <v>405</v>
      </c>
      <c r="AF39" s="656"/>
      <c r="AG39" s="656"/>
      <c r="AH39" s="657"/>
      <c r="AI39" s="637" t="s">
        <v>401</v>
      </c>
      <c r="AJ39" s="655" t="s">
        <v>405</v>
      </c>
      <c r="AK39" s="656"/>
      <c r="AL39" s="656"/>
      <c r="AM39" s="657"/>
      <c r="AN39" s="637" t="s">
        <v>401</v>
      </c>
      <c r="AO39" s="655" t="s">
        <v>405</v>
      </c>
      <c r="AP39" s="656"/>
      <c r="AQ39" s="656"/>
      <c r="AR39" s="657"/>
      <c r="AS39" s="637" t="s">
        <v>401</v>
      </c>
      <c r="AT39" s="655" t="s">
        <v>405</v>
      </c>
      <c r="AU39" s="656"/>
      <c r="AV39" s="656"/>
      <c r="AW39" s="657"/>
      <c r="AX39" s="637" t="s">
        <v>401</v>
      </c>
      <c r="BA39" s="637" t="s">
        <v>357</v>
      </c>
    </row>
    <row r="40" spans="2:53">
      <c r="B40" s="637"/>
      <c r="C40" s="637"/>
      <c r="D40" s="637"/>
      <c r="E40" s="637" t="s">
        <v>406</v>
      </c>
      <c r="F40" s="637"/>
      <c r="G40" s="637"/>
      <c r="H40" s="670"/>
      <c r="I40" s="684" t="s">
        <v>406</v>
      </c>
      <c r="J40" s="684"/>
      <c r="K40" s="684"/>
      <c r="L40" s="686"/>
      <c r="M40" s="674"/>
      <c r="N40" s="637"/>
      <c r="O40" s="637"/>
      <c r="P40" s="655" t="s">
        <v>407</v>
      </c>
      <c r="Q40" s="656"/>
      <c r="R40" s="656"/>
      <c r="S40" s="657"/>
      <c r="T40" s="637"/>
      <c r="U40" s="655" t="s">
        <v>407</v>
      </c>
      <c r="V40" s="656"/>
      <c r="W40" s="656"/>
      <c r="X40" s="657"/>
      <c r="Y40" s="637"/>
      <c r="Z40" s="655" t="s">
        <v>407</v>
      </c>
      <c r="AA40" s="656"/>
      <c r="AB40" s="656"/>
      <c r="AC40" s="657"/>
      <c r="AD40" s="637"/>
      <c r="AE40" s="655" t="s">
        <v>407</v>
      </c>
      <c r="AF40" s="656"/>
      <c r="AG40" s="656"/>
      <c r="AH40" s="657"/>
      <c r="AI40" s="637"/>
      <c r="AJ40" s="655" t="s">
        <v>407</v>
      </c>
      <c r="AK40" s="656"/>
      <c r="AL40" s="656"/>
      <c r="AM40" s="657"/>
      <c r="AN40" s="637"/>
      <c r="AO40" s="655" t="s">
        <v>407</v>
      </c>
      <c r="AP40" s="656"/>
      <c r="AQ40" s="656"/>
      <c r="AR40" s="657"/>
      <c r="AS40" s="637"/>
      <c r="AT40" s="655" t="s">
        <v>407</v>
      </c>
      <c r="AU40" s="656"/>
      <c r="AV40" s="656"/>
      <c r="AW40" s="657"/>
      <c r="AX40" s="637"/>
      <c r="BA40" s="637"/>
    </row>
    <row r="41" spans="2:53">
      <c r="B41" s="637"/>
      <c r="C41" s="637"/>
      <c r="D41" s="637"/>
      <c r="E41" s="274" t="s">
        <v>408</v>
      </c>
      <c r="F41" s="274" t="s">
        <v>409</v>
      </c>
      <c r="G41" s="274" t="s">
        <v>410</v>
      </c>
      <c r="H41" s="671"/>
      <c r="I41" s="273" t="s">
        <v>408</v>
      </c>
      <c r="J41" s="273" t="s">
        <v>409</v>
      </c>
      <c r="K41" s="273" t="s">
        <v>410</v>
      </c>
      <c r="L41" s="687"/>
      <c r="M41" s="675"/>
      <c r="N41" s="637"/>
      <c r="O41" s="637"/>
      <c r="P41" s="274" t="s">
        <v>408</v>
      </c>
      <c r="Q41" s="274" t="s">
        <v>409</v>
      </c>
      <c r="R41" s="274" t="s">
        <v>410</v>
      </c>
      <c r="S41" s="274" t="s">
        <v>403</v>
      </c>
      <c r="T41" s="637"/>
      <c r="U41" s="274" t="s">
        <v>408</v>
      </c>
      <c r="V41" s="274" t="s">
        <v>409</v>
      </c>
      <c r="W41" s="274" t="s">
        <v>410</v>
      </c>
      <c r="X41" s="274" t="s">
        <v>403</v>
      </c>
      <c r="Y41" s="637"/>
      <c r="Z41" s="274" t="s">
        <v>408</v>
      </c>
      <c r="AA41" s="274" t="s">
        <v>409</v>
      </c>
      <c r="AB41" s="274" t="s">
        <v>410</v>
      </c>
      <c r="AC41" s="274" t="s">
        <v>403</v>
      </c>
      <c r="AD41" s="637"/>
      <c r="AE41" s="274" t="s">
        <v>408</v>
      </c>
      <c r="AF41" s="274" t="s">
        <v>409</v>
      </c>
      <c r="AG41" s="274" t="s">
        <v>410</v>
      </c>
      <c r="AH41" s="274" t="s">
        <v>403</v>
      </c>
      <c r="AI41" s="637"/>
      <c r="AJ41" s="274" t="s">
        <v>408</v>
      </c>
      <c r="AK41" s="274" t="s">
        <v>409</v>
      </c>
      <c r="AL41" s="274" t="s">
        <v>410</v>
      </c>
      <c r="AM41" s="274" t="s">
        <v>403</v>
      </c>
      <c r="AN41" s="637"/>
      <c r="AO41" s="274" t="s">
        <v>408</v>
      </c>
      <c r="AP41" s="274" t="s">
        <v>409</v>
      </c>
      <c r="AQ41" s="274" t="s">
        <v>410</v>
      </c>
      <c r="AR41" s="274" t="s">
        <v>403</v>
      </c>
      <c r="AS41" s="637"/>
      <c r="AT41" s="274" t="s">
        <v>408</v>
      </c>
      <c r="AU41" s="274" t="s">
        <v>409</v>
      </c>
      <c r="AV41" s="274" t="s">
        <v>410</v>
      </c>
      <c r="AW41" s="274" t="s">
        <v>403</v>
      </c>
      <c r="AX41" s="637"/>
      <c r="AZ41" s="356" t="s">
        <v>358</v>
      </c>
      <c r="BA41" s="637"/>
    </row>
    <row r="42" spans="2:53">
      <c r="B42" s="637" t="s">
        <v>411</v>
      </c>
      <c r="C42" s="275">
        <v>1</v>
      </c>
      <c r="D42" s="196" t="s">
        <v>337</v>
      </c>
      <c r="E42" s="554">
        <v>6</v>
      </c>
      <c r="F42" s="196">
        <v>1500</v>
      </c>
      <c r="G42" s="194">
        <v>250</v>
      </c>
      <c r="H42" s="696">
        <f>AVERAGE(G42:G71)</f>
        <v>100.06193486166394</v>
      </c>
      <c r="I42" s="352">
        <f>IFERROR(AVERAGE(P42,U42,Z42,AE42,AJ42,AO42,AT42),"-")</f>
        <v>6</v>
      </c>
      <c r="J42" s="352">
        <f>IFERROR(AVERAGE(Q42,V42,AA42,AF42,AK42,AP42,AU42),"-")</f>
        <v>1481.4436879667326</v>
      </c>
      <c r="K42" s="194">
        <f>IFERROR(AVERAGE(R42,W42,AB42,AG42,AL42,AQ42,AV42),"-")</f>
        <v>246.90728132778881</v>
      </c>
      <c r="L42" s="652">
        <f>IFERROR(AVERAGE(K42:K71),"-")</f>
        <v>91.499736475159281</v>
      </c>
      <c r="M42" s="195">
        <f>RANK(K42, K$42:$K$71)</f>
        <v>1</v>
      </c>
      <c r="N42" s="637"/>
      <c r="O42" s="637"/>
      <c r="P42" s="560">
        <v>6</v>
      </c>
      <c r="Q42" s="562">
        <v>1478.0942675159238</v>
      </c>
      <c r="R42" s="562">
        <v>246.34904458598729</v>
      </c>
      <c r="S42" s="560">
        <f t="shared" ref="S42:S71" si="11">RANK(R42, R$42:R$71)</f>
        <v>1</v>
      </c>
      <c r="T42" s="638">
        <f>AVERAGE(R42:R71)</f>
        <v>92.008179518001214</v>
      </c>
      <c r="U42" s="560">
        <v>6</v>
      </c>
      <c r="V42" s="562">
        <v>1462.3687500000001</v>
      </c>
      <c r="W42" s="562">
        <v>243.72812500000001</v>
      </c>
      <c r="X42" s="560">
        <f t="shared" ref="X42:X71" si="12">RANK(W42, W$42:W$71)</f>
        <v>1</v>
      </c>
      <c r="Y42" s="638">
        <f>AVERAGE(W42:W71)</f>
        <v>91.435342894068484</v>
      </c>
      <c r="Z42" s="560">
        <v>6</v>
      </c>
      <c r="AA42" s="562">
        <v>1483.1270270270281</v>
      </c>
      <c r="AB42" s="562">
        <v>247.18783783783803</v>
      </c>
      <c r="AC42" s="560">
        <f t="shared" ref="AC42:AC71" si="13">RANK(AB42, AB$42:AB$71)</f>
        <v>1</v>
      </c>
      <c r="AD42" s="638">
        <f>AVERAGE(AB42:AB71)</f>
        <v>91.179242081881924</v>
      </c>
      <c r="AE42" s="560">
        <v>6</v>
      </c>
      <c r="AF42" s="562">
        <v>1487.2488188976374</v>
      </c>
      <c r="AG42" s="562">
        <v>247.87480314960624</v>
      </c>
      <c r="AH42" s="560">
        <f t="shared" ref="AH42:AH71" si="14">RANK(AG42, AG$42:AG$71)</f>
        <v>1</v>
      </c>
      <c r="AI42" s="638">
        <f>AVERAGE(AG42:AG71)</f>
        <v>91.01381690704649</v>
      </c>
      <c r="AJ42" s="560">
        <v>6</v>
      </c>
      <c r="AK42" s="562">
        <v>1483.8508474576274</v>
      </c>
      <c r="AL42" s="562">
        <v>247.30847457627124</v>
      </c>
      <c r="AM42" s="560">
        <f t="shared" ref="AM42:AM71" si="15">RANK(AL42, AL$42:AL$71)</f>
        <v>1</v>
      </c>
      <c r="AN42" s="638">
        <f>AVERAGE(AL42:AL71)</f>
        <v>90.582532083893724</v>
      </c>
      <c r="AO42" s="560">
        <v>6</v>
      </c>
      <c r="AP42" s="562">
        <v>1481.9494382022472</v>
      </c>
      <c r="AQ42" s="562">
        <v>246.99157303370785</v>
      </c>
      <c r="AR42" s="560">
        <f t="shared" ref="AR42:AR71" si="16">RANK(AQ42, AQ$42:AQ$71)</f>
        <v>1</v>
      </c>
      <c r="AS42" s="638">
        <f>AVERAGE(AQ42:AQ71)</f>
        <v>91.642977724886649</v>
      </c>
      <c r="AT42" s="560">
        <v>6</v>
      </c>
      <c r="AU42" s="562">
        <v>1493.4666666666662</v>
      </c>
      <c r="AV42" s="562">
        <v>248.91111111111104</v>
      </c>
      <c r="AW42" s="560">
        <f t="shared" ref="AW42:AW71" si="17">RANK(AV42, AV$42:AV$71)</f>
        <v>1</v>
      </c>
      <c r="AX42" s="638">
        <f>AVERAGE(AV42:AV71)</f>
        <v>91.890928877304802</v>
      </c>
      <c r="AZ42" s="357" t="e">
        <f t="shared" ref="AZ42:AZ71" si="18">RANK(AY42, AY$42:AY$71)</f>
        <v>#N/A</v>
      </c>
      <c r="BA42" s="638" t="e">
        <f>AVERAGE(AY42:AY71)</f>
        <v>#DIV/0!</v>
      </c>
    </row>
    <row r="43" spans="2:53">
      <c r="B43" s="643"/>
      <c r="C43" s="275">
        <v>2</v>
      </c>
      <c r="D43" s="196" t="s">
        <v>558</v>
      </c>
      <c r="E43" s="554">
        <v>6</v>
      </c>
      <c r="F43" s="196">
        <v>1636</v>
      </c>
      <c r="G43" s="194">
        <v>272.66666666666669</v>
      </c>
      <c r="H43" s="697"/>
      <c r="I43" s="352">
        <f t="shared" ref="I43:I71" si="19">IFERROR(AVERAGE(P43,U43,Z43,AE43,AJ43,AO43,AT43),"-")</f>
        <v>6</v>
      </c>
      <c r="J43" s="352">
        <f t="shared" ref="J43:J71" si="20">IFERROR(AVERAGE(Q43,V43,AA43,AF43,AK43,AP43,AU43),"-")</f>
        <v>1453.4733504723079</v>
      </c>
      <c r="K43" s="194">
        <f t="shared" ref="K43:K71" si="21">IFERROR(AVERAGE(R43,W43,AB43,AG43,AL43,AQ43,AV43),"-")</f>
        <v>242.24555841205134</v>
      </c>
      <c r="L43" s="653"/>
      <c r="M43" s="195">
        <f>RANK(K43, K$42:$K$71)</f>
        <v>2</v>
      </c>
      <c r="N43" s="637"/>
      <c r="O43" s="637"/>
      <c r="P43" s="560">
        <v>6</v>
      </c>
      <c r="Q43" s="562">
        <v>1474.7368421052643</v>
      </c>
      <c r="R43" s="562">
        <v>245.78947368421072</v>
      </c>
      <c r="S43" s="560">
        <f t="shared" si="11"/>
        <v>2</v>
      </c>
      <c r="T43" s="638"/>
      <c r="U43" s="560">
        <v>6</v>
      </c>
      <c r="V43" s="562">
        <v>1450.3124999999995</v>
      </c>
      <c r="W43" s="562">
        <v>241.71874999999991</v>
      </c>
      <c r="X43" s="560">
        <f t="shared" si="12"/>
        <v>2</v>
      </c>
      <c r="Y43" s="638"/>
      <c r="Z43" s="560">
        <v>6</v>
      </c>
      <c r="AA43" s="562">
        <v>1470.5263157894728</v>
      </c>
      <c r="AB43" s="562">
        <v>245.08771929824547</v>
      </c>
      <c r="AC43" s="560">
        <f t="shared" si="13"/>
        <v>2</v>
      </c>
      <c r="AD43" s="638"/>
      <c r="AE43" s="560">
        <v>6</v>
      </c>
      <c r="AF43" s="562">
        <v>1470.5882352941182</v>
      </c>
      <c r="AG43" s="562">
        <v>245.09803921568638</v>
      </c>
      <c r="AH43" s="560">
        <f t="shared" si="14"/>
        <v>2</v>
      </c>
      <c r="AI43" s="638"/>
      <c r="AJ43" s="560">
        <v>6</v>
      </c>
      <c r="AK43" s="562">
        <v>1414.090909090909</v>
      </c>
      <c r="AL43" s="562">
        <v>235.68181818181816</v>
      </c>
      <c r="AM43" s="560">
        <f t="shared" si="15"/>
        <v>2</v>
      </c>
      <c r="AN43" s="638"/>
      <c r="AO43" s="560">
        <v>6</v>
      </c>
      <c r="AP43" s="562">
        <v>1453.0909090909081</v>
      </c>
      <c r="AQ43" s="562">
        <v>242.18181818181802</v>
      </c>
      <c r="AR43" s="560">
        <f t="shared" si="16"/>
        <v>2</v>
      </c>
      <c r="AS43" s="638"/>
      <c r="AT43" s="560">
        <v>6</v>
      </c>
      <c r="AU43" s="562">
        <v>1440.9677419354834</v>
      </c>
      <c r="AV43" s="562">
        <v>240.16129032258058</v>
      </c>
      <c r="AW43" s="560">
        <f t="shared" si="17"/>
        <v>2</v>
      </c>
      <c r="AX43" s="638"/>
      <c r="AZ43" s="357" t="e">
        <f t="shared" si="18"/>
        <v>#N/A</v>
      </c>
      <c r="BA43" s="638"/>
    </row>
    <row r="44" spans="2:53">
      <c r="B44" s="643"/>
      <c r="C44" s="275">
        <v>3</v>
      </c>
      <c r="D44" s="196" t="s">
        <v>552</v>
      </c>
      <c r="E44" s="554">
        <v>16</v>
      </c>
      <c r="F44" s="196">
        <v>1500</v>
      </c>
      <c r="G44" s="194">
        <v>93.75</v>
      </c>
      <c r="H44" s="697"/>
      <c r="I44" s="352">
        <f t="shared" si="19"/>
        <v>16.142857142857142</v>
      </c>
      <c r="J44" s="352">
        <f t="shared" si="20"/>
        <v>1288.1931255015004</v>
      </c>
      <c r="K44" s="194">
        <f t="shared" si="21"/>
        <v>79.833689900757449</v>
      </c>
      <c r="L44" s="653"/>
      <c r="M44" s="195">
        <f>RANK(K44, K$42:$K$71)</f>
        <v>14</v>
      </c>
      <c r="N44" s="637"/>
      <c r="O44" s="637"/>
      <c r="P44" s="560">
        <v>17</v>
      </c>
      <c r="Q44" s="562">
        <v>1291.6363636363637</v>
      </c>
      <c r="R44" s="562">
        <v>75.978609625668454</v>
      </c>
      <c r="S44" s="560">
        <f t="shared" si="11"/>
        <v>15</v>
      </c>
      <c r="T44" s="638"/>
      <c r="U44" s="560">
        <v>16</v>
      </c>
      <c r="V44" s="562">
        <v>1288.7999999999995</v>
      </c>
      <c r="W44" s="562">
        <v>80.549999999999969</v>
      </c>
      <c r="X44" s="560">
        <f t="shared" si="12"/>
        <v>14</v>
      </c>
      <c r="Y44" s="638"/>
      <c r="Z44" s="560">
        <v>16</v>
      </c>
      <c r="AA44" s="562">
        <v>1253.6842105263147</v>
      </c>
      <c r="AB44" s="562">
        <v>78.355263157894669</v>
      </c>
      <c r="AC44" s="560">
        <f t="shared" si="13"/>
        <v>15</v>
      </c>
      <c r="AD44" s="638"/>
      <c r="AE44" s="560">
        <v>16</v>
      </c>
      <c r="AF44" s="562">
        <v>1286.6400000000003</v>
      </c>
      <c r="AG44" s="562">
        <v>80.41500000000002</v>
      </c>
      <c r="AH44" s="560">
        <f t="shared" si="14"/>
        <v>13</v>
      </c>
      <c r="AI44" s="638"/>
      <c r="AJ44" s="560">
        <v>16</v>
      </c>
      <c r="AK44" s="562">
        <v>1319.1999999999978</v>
      </c>
      <c r="AL44" s="562">
        <v>82.449999999999861</v>
      </c>
      <c r="AM44" s="560">
        <f t="shared" si="15"/>
        <v>11</v>
      </c>
      <c r="AN44" s="638"/>
      <c r="AO44" s="560">
        <v>16</v>
      </c>
      <c r="AP44" s="562">
        <v>1294.9565217391305</v>
      </c>
      <c r="AQ44" s="562">
        <v>80.934782608695656</v>
      </c>
      <c r="AR44" s="560">
        <f t="shared" si="16"/>
        <v>11</v>
      </c>
      <c r="AS44" s="638"/>
      <c r="AT44" s="560">
        <v>16</v>
      </c>
      <c r="AU44" s="562">
        <v>1282.4347826086957</v>
      </c>
      <c r="AV44" s="562">
        <v>80.152173913043484</v>
      </c>
      <c r="AW44" s="560">
        <f t="shared" si="17"/>
        <v>10</v>
      </c>
      <c r="AX44" s="638"/>
      <c r="AZ44" s="357" t="e">
        <f t="shared" si="18"/>
        <v>#N/A</v>
      </c>
      <c r="BA44" s="638"/>
    </row>
    <row r="45" spans="2:53">
      <c r="B45" s="643"/>
      <c r="C45" s="275">
        <v>4</v>
      </c>
      <c r="D45" s="196" t="s">
        <v>704</v>
      </c>
      <c r="E45" s="554">
        <v>19</v>
      </c>
      <c r="F45" s="196">
        <v>1385</v>
      </c>
      <c r="G45" s="194">
        <v>72.89473684210526</v>
      </c>
      <c r="H45" s="697"/>
      <c r="I45" s="352">
        <f t="shared" si="19"/>
        <v>19</v>
      </c>
      <c r="J45" s="352">
        <f t="shared" si="20"/>
        <v>1278.1908074316368</v>
      </c>
      <c r="K45" s="194">
        <f t="shared" si="21"/>
        <v>67.273200391138786</v>
      </c>
      <c r="L45" s="653"/>
      <c r="M45" s="195">
        <f>RANK(K45, K$42:$K$71)</f>
        <v>22</v>
      </c>
      <c r="N45" s="637"/>
      <c r="O45" s="637"/>
      <c r="P45" s="560">
        <v>19</v>
      </c>
      <c r="Q45" s="562">
        <v>1290.0000000000016</v>
      </c>
      <c r="R45" s="562">
        <v>67.894736842105345</v>
      </c>
      <c r="S45" s="560">
        <f t="shared" si="11"/>
        <v>21</v>
      </c>
      <c r="T45" s="638"/>
      <c r="U45" s="560">
        <v>19</v>
      </c>
      <c r="V45" s="562">
        <v>1243.2786885245946</v>
      </c>
      <c r="W45" s="562">
        <v>65.435720448662877</v>
      </c>
      <c r="X45" s="560">
        <f t="shared" si="12"/>
        <v>22</v>
      </c>
      <c r="Y45" s="638"/>
      <c r="Z45" s="560">
        <v>19</v>
      </c>
      <c r="AA45" s="562">
        <v>1275.2941176470595</v>
      </c>
      <c r="AB45" s="562">
        <v>67.120743034055764</v>
      </c>
      <c r="AC45" s="560">
        <f t="shared" si="13"/>
        <v>22</v>
      </c>
      <c r="AD45" s="638"/>
      <c r="AE45" s="560">
        <v>19</v>
      </c>
      <c r="AF45" s="562">
        <v>1265.2173913043478</v>
      </c>
      <c r="AG45" s="562">
        <v>66.590389016018307</v>
      </c>
      <c r="AH45" s="560">
        <f t="shared" si="14"/>
        <v>22</v>
      </c>
      <c r="AI45" s="638"/>
      <c r="AJ45" s="560">
        <v>19</v>
      </c>
      <c r="AK45" s="562">
        <v>1284.0000000000005</v>
      </c>
      <c r="AL45" s="562">
        <v>67.578947368421083</v>
      </c>
      <c r="AM45" s="560">
        <f t="shared" si="15"/>
        <v>21</v>
      </c>
      <c r="AN45" s="638"/>
      <c r="AO45" s="560">
        <v>19</v>
      </c>
      <c r="AP45" s="562">
        <v>1294.9999999999991</v>
      </c>
      <c r="AQ45" s="562">
        <v>68.157894736842053</v>
      </c>
      <c r="AR45" s="560">
        <f t="shared" si="16"/>
        <v>18</v>
      </c>
      <c r="AS45" s="638"/>
      <c r="AT45" s="560">
        <v>19</v>
      </c>
      <c r="AU45" s="562">
        <v>1294.5454545454559</v>
      </c>
      <c r="AV45" s="562">
        <v>68.133971291866104</v>
      </c>
      <c r="AW45" s="560">
        <f t="shared" si="17"/>
        <v>19</v>
      </c>
      <c r="AX45" s="638"/>
      <c r="AZ45" s="357" t="e">
        <f t="shared" si="18"/>
        <v>#N/A</v>
      </c>
      <c r="BA45" s="638"/>
    </row>
    <row r="46" spans="2:53">
      <c r="B46" s="643"/>
      <c r="C46" s="275">
        <v>5</v>
      </c>
      <c r="D46" s="196" t="s">
        <v>682</v>
      </c>
      <c r="E46" s="554">
        <v>16</v>
      </c>
      <c r="F46" s="196">
        <v>1565</v>
      </c>
      <c r="G46" s="194">
        <v>97.8125</v>
      </c>
      <c r="H46" s="697"/>
      <c r="I46" s="352">
        <f t="shared" si="19"/>
        <v>16</v>
      </c>
      <c r="J46" s="352">
        <f t="shared" si="20"/>
        <v>1284.3378983041769</v>
      </c>
      <c r="K46" s="194">
        <f t="shared" si="21"/>
        <v>80.271118644011054</v>
      </c>
      <c r="L46" s="653"/>
      <c r="M46" s="195">
        <f>RANK(K46, K$42:$K$71)</f>
        <v>12</v>
      </c>
      <c r="N46" s="637"/>
      <c r="O46" s="637"/>
      <c r="P46" s="560">
        <v>16</v>
      </c>
      <c r="Q46" s="562">
        <v>1268.8636363636365</v>
      </c>
      <c r="R46" s="562">
        <v>79.30397727272728</v>
      </c>
      <c r="S46" s="560">
        <f t="shared" si="11"/>
        <v>13</v>
      </c>
      <c r="T46" s="638"/>
      <c r="U46" s="560">
        <v>16</v>
      </c>
      <c r="V46" s="562">
        <v>1303.6363636363631</v>
      </c>
      <c r="W46" s="562">
        <v>81.477272727272691</v>
      </c>
      <c r="X46" s="560">
        <f t="shared" si="12"/>
        <v>12</v>
      </c>
      <c r="Y46" s="638"/>
      <c r="Z46" s="560">
        <v>16</v>
      </c>
      <c r="AA46" s="562">
        <v>1261.6438356164374</v>
      </c>
      <c r="AB46" s="562">
        <v>78.852739726027337</v>
      </c>
      <c r="AC46" s="560">
        <f t="shared" si="13"/>
        <v>14</v>
      </c>
      <c r="AD46" s="638"/>
      <c r="AE46" s="560">
        <v>16</v>
      </c>
      <c r="AF46" s="562">
        <v>1311.4285714285702</v>
      </c>
      <c r="AG46" s="562">
        <v>81.964285714285637</v>
      </c>
      <c r="AH46" s="560">
        <f t="shared" si="14"/>
        <v>11</v>
      </c>
      <c r="AI46" s="638"/>
      <c r="AJ46" s="560">
        <v>16</v>
      </c>
      <c r="AK46" s="562">
        <v>1262.4657534246567</v>
      </c>
      <c r="AL46" s="562">
        <v>78.904109589041042</v>
      </c>
      <c r="AM46" s="560">
        <f t="shared" si="15"/>
        <v>14</v>
      </c>
      <c r="AN46" s="638"/>
      <c r="AO46" s="560">
        <v>16</v>
      </c>
      <c r="AP46" s="562">
        <v>1300.6250000000005</v>
      </c>
      <c r="AQ46" s="562">
        <v>81.289062500000028</v>
      </c>
      <c r="AR46" s="560">
        <f t="shared" si="16"/>
        <v>10</v>
      </c>
      <c r="AS46" s="638"/>
      <c r="AT46" s="560">
        <v>16</v>
      </c>
      <c r="AU46" s="562">
        <v>1281.7021276595747</v>
      </c>
      <c r="AV46" s="562">
        <v>80.106382978723417</v>
      </c>
      <c r="AW46" s="560">
        <f t="shared" si="17"/>
        <v>11</v>
      </c>
      <c r="AX46" s="638"/>
      <c r="AZ46" s="357" t="e">
        <f t="shared" si="18"/>
        <v>#N/A</v>
      </c>
      <c r="BA46" s="638"/>
    </row>
    <row r="47" spans="2:53">
      <c r="B47" s="643"/>
      <c r="C47" s="275">
        <v>6</v>
      </c>
      <c r="D47" s="196" t="s">
        <v>585</v>
      </c>
      <c r="E47" s="554">
        <v>20</v>
      </c>
      <c r="F47" s="196">
        <v>1440</v>
      </c>
      <c r="G47" s="194">
        <v>72</v>
      </c>
      <c r="H47" s="697"/>
      <c r="I47" s="352">
        <f t="shared" si="19"/>
        <v>20</v>
      </c>
      <c r="J47" s="352">
        <f t="shared" si="20"/>
        <v>1176.954433211898</v>
      </c>
      <c r="K47" s="194">
        <f t="shared" si="21"/>
        <v>58.847721660594893</v>
      </c>
      <c r="L47" s="653"/>
      <c r="M47" s="195">
        <f>RANK(K47, K$42:$K$71)</f>
        <v>24</v>
      </c>
      <c r="N47" s="637"/>
      <c r="O47" s="637"/>
      <c r="P47" s="560">
        <v>20</v>
      </c>
      <c r="Q47" s="562">
        <v>1179.0000000000011</v>
      </c>
      <c r="R47" s="562">
        <v>58.95000000000006</v>
      </c>
      <c r="S47" s="560">
        <f t="shared" si="11"/>
        <v>24</v>
      </c>
      <c r="T47" s="638"/>
      <c r="U47" s="560">
        <v>20</v>
      </c>
      <c r="V47" s="562">
        <v>1180.7547169811328</v>
      </c>
      <c r="W47" s="562">
        <v>59.037735849056638</v>
      </c>
      <c r="X47" s="560">
        <f t="shared" si="12"/>
        <v>24</v>
      </c>
      <c r="Y47" s="638"/>
      <c r="Z47" s="560">
        <v>20</v>
      </c>
      <c r="AA47" s="562">
        <v>1163.5714285714278</v>
      </c>
      <c r="AB47" s="562">
        <v>58.178571428571388</v>
      </c>
      <c r="AC47" s="560">
        <f t="shared" si="13"/>
        <v>24</v>
      </c>
      <c r="AD47" s="638"/>
      <c r="AE47" s="560">
        <v>20</v>
      </c>
      <c r="AF47" s="562">
        <v>1157.3076923076931</v>
      </c>
      <c r="AG47" s="562">
        <v>57.865384615384656</v>
      </c>
      <c r="AH47" s="560">
        <f t="shared" si="14"/>
        <v>23</v>
      </c>
      <c r="AI47" s="638"/>
      <c r="AJ47" s="560">
        <v>20</v>
      </c>
      <c r="AK47" s="562">
        <v>1171.2500000000005</v>
      </c>
      <c r="AL47" s="562">
        <v>58.562500000000021</v>
      </c>
      <c r="AM47" s="560">
        <f t="shared" si="15"/>
        <v>23</v>
      </c>
      <c r="AN47" s="638"/>
      <c r="AO47" s="560">
        <v>20</v>
      </c>
      <c r="AP47" s="562">
        <v>1185.7627118644077</v>
      </c>
      <c r="AQ47" s="562">
        <v>59.288135593220389</v>
      </c>
      <c r="AR47" s="560">
        <f t="shared" si="16"/>
        <v>22</v>
      </c>
      <c r="AS47" s="638"/>
      <c r="AT47" s="560">
        <v>20</v>
      </c>
      <c r="AU47" s="562">
        <v>1201.0344827586216</v>
      </c>
      <c r="AV47" s="562">
        <v>60.051724137931082</v>
      </c>
      <c r="AW47" s="560">
        <f t="shared" si="17"/>
        <v>22</v>
      </c>
      <c r="AX47" s="638"/>
      <c r="AZ47" s="357" t="e">
        <f t="shared" si="18"/>
        <v>#N/A</v>
      </c>
      <c r="BA47" s="638"/>
    </row>
    <row r="48" spans="2:53">
      <c r="B48" s="643"/>
      <c r="C48" s="275">
        <v>7</v>
      </c>
      <c r="D48" s="196" t="s">
        <v>683</v>
      </c>
      <c r="E48" s="554">
        <v>16</v>
      </c>
      <c r="F48" s="196">
        <v>1500</v>
      </c>
      <c r="G48" s="194">
        <v>93.75</v>
      </c>
      <c r="H48" s="697"/>
      <c r="I48" s="352">
        <f t="shared" si="19"/>
        <v>16</v>
      </c>
      <c r="J48" s="352">
        <f t="shared" si="20"/>
        <v>1279.2502489848819</v>
      </c>
      <c r="K48" s="194">
        <f t="shared" si="21"/>
        <v>79.953140561555117</v>
      </c>
      <c r="L48" s="653"/>
      <c r="M48" s="195">
        <f>RANK(K48, K$42:$K$71)</f>
        <v>13</v>
      </c>
      <c r="N48" s="637"/>
      <c r="O48" s="637"/>
      <c r="P48" s="560">
        <v>16</v>
      </c>
      <c r="Q48" s="562">
        <v>1264.6153846153861</v>
      </c>
      <c r="R48" s="562">
        <v>79.038461538461632</v>
      </c>
      <c r="S48" s="560">
        <f t="shared" si="11"/>
        <v>14</v>
      </c>
      <c r="T48" s="638"/>
      <c r="U48" s="560">
        <v>16</v>
      </c>
      <c r="V48" s="562">
        <v>1290.5454545454554</v>
      </c>
      <c r="W48" s="562">
        <v>80.659090909090963</v>
      </c>
      <c r="X48" s="560">
        <f t="shared" si="12"/>
        <v>13</v>
      </c>
      <c r="Y48" s="638"/>
      <c r="Z48" s="560">
        <v>16</v>
      </c>
      <c r="AA48" s="562">
        <v>1291.2000000000005</v>
      </c>
      <c r="AB48" s="562">
        <v>80.700000000000031</v>
      </c>
      <c r="AC48" s="560">
        <f t="shared" si="13"/>
        <v>12</v>
      </c>
      <c r="AD48" s="638"/>
      <c r="AE48" s="560">
        <v>16</v>
      </c>
      <c r="AF48" s="562">
        <v>1293.7500000000005</v>
      </c>
      <c r="AG48" s="562">
        <v>80.859375000000028</v>
      </c>
      <c r="AH48" s="560">
        <f t="shared" si="14"/>
        <v>12</v>
      </c>
      <c r="AI48" s="638"/>
      <c r="AJ48" s="560">
        <v>16</v>
      </c>
      <c r="AK48" s="562">
        <v>1267.3469387755106</v>
      </c>
      <c r="AL48" s="562">
        <v>79.209183673469411</v>
      </c>
      <c r="AM48" s="560">
        <f t="shared" si="15"/>
        <v>13</v>
      </c>
      <c r="AN48" s="638"/>
      <c r="AO48" s="560">
        <v>16</v>
      </c>
      <c r="AP48" s="562">
        <v>1271.6417910447778</v>
      </c>
      <c r="AQ48" s="562">
        <v>79.477611940298615</v>
      </c>
      <c r="AR48" s="560">
        <f t="shared" si="16"/>
        <v>12</v>
      </c>
      <c r="AS48" s="638"/>
      <c r="AT48" s="560">
        <v>16</v>
      </c>
      <c r="AU48" s="562">
        <v>1275.6521739130421</v>
      </c>
      <c r="AV48" s="562">
        <v>79.728260869565133</v>
      </c>
      <c r="AW48" s="560">
        <f t="shared" si="17"/>
        <v>12</v>
      </c>
      <c r="AX48" s="638"/>
      <c r="AZ48" s="357" t="e">
        <f t="shared" si="18"/>
        <v>#N/A</v>
      </c>
      <c r="BA48" s="638"/>
    </row>
    <row r="49" spans="2:53">
      <c r="B49" s="643"/>
      <c r="C49" s="275">
        <v>8</v>
      </c>
      <c r="D49" s="196" t="s">
        <v>688</v>
      </c>
      <c r="E49" s="554">
        <v>18</v>
      </c>
      <c r="F49" s="196">
        <v>1500</v>
      </c>
      <c r="G49" s="194">
        <v>83.333333333333329</v>
      </c>
      <c r="H49" s="697"/>
      <c r="I49" s="352">
        <f t="shared" si="19"/>
        <v>18</v>
      </c>
      <c r="J49" s="352">
        <f t="shared" si="20"/>
        <v>1267.2578115096981</v>
      </c>
      <c r="K49" s="194">
        <f t="shared" si="21"/>
        <v>70.403211750538773</v>
      </c>
      <c r="L49" s="653"/>
      <c r="M49" s="195">
        <f>RANK(K49, K$42:$K$71)</f>
        <v>19</v>
      </c>
      <c r="N49" s="637"/>
      <c r="O49" s="637"/>
      <c r="P49" s="560">
        <v>18</v>
      </c>
      <c r="Q49" s="562">
        <v>1275.0000000000014</v>
      </c>
      <c r="R49" s="562">
        <v>70.833333333333414</v>
      </c>
      <c r="S49" s="560">
        <f t="shared" si="11"/>
        <v>19</v>
      </c>
      <c r="T49" s="638"/>
      <c r="U49" s="560">
        <v>18</v>
      </c>
      <c r="V49" s="562">
        <v>1236.4285714285722</v>
      </c>
      <c r="W49" s="562">
        <v>68.690476190476232</v>
      </c>
      <c r="X49" s="560">
        <f t="shared" si="12"/>
        <v>19</v>
      </c>
      <c r="Y49" s="638"/>
      <c r="Z49" s="560">
        <v>18</v>
      </c>
      <c r="AA49" s="562">
        <v>1280.8163265306125</v>
      </c>
      <c r="AB49" s="562">
        <v>71.156462585034035</v>
      </c>
      <c r="AC49" s="560">
        <f t="shared" si="13"/>
        <v>18</v>
      </c>
      <c r="AD49" s="638"/>
      <c r="AE49" s="560">
        <v>18</v>
      </c>
      <c r="AF49" s="562">
        <v>1260.0000000000002</v>
      </c>
      <c r="AG49" s="562">
        <v>70.000000000000014</v>
      </c>
      <c r="AH49" s="560">
        <f t="shared" si="14"/>
        <v>18</v>
      </c>
      <c r="AI49" s="638"/>
      <c r="AJ49" s="560">
        <v>18</v>
      </c>
      <c r="AK49" s="562">
        <v>1270.4347826086957</v>
      </c>
      <c r="AL49" s="562">
        <v>70.579710144927546</v>
      </c>
      <c r="AM49" s="560">
        <f t="shared" si="15"/>
        <v>18</v>
      </c>
      <c r="AN49" s="638"/>
      <c r="AO49" s="560">
        <v>18</v>
      </c>
      <c r="AP49" s="562">
        <v>1288.1250000000016</v>
      </c>
      <c r="AQ49" s="562">
        <v>71.562500000000085</v>
      </c>
      <c r="AR49" s="560">
        <f t="shared" si="16"/>
        <v>17</v>
      </c>
      <c r="AS49" s="638"/>
      <c r="AT49" s="560">
        <v>18</v>
      </c>
      <c r="AU49" s="562">
        <v>1260.0000000000014</v>
      </c>
      <c r="AV49" s="562">
        <v>70.000000000000071</v>
      </c>
      <c r="AW49" s="560">
        <f t="shared" si="17"/>
        <v>17</v>
      </c>
      <c r="AX49" s="638"/>
      <c r="AZ49" s="357" t="e">
        <f t="shared" si="18"/>
        <v>#N/A</v>
      </c>
      <c r="BA49" s="638"/>
    </row>
    <row r="50" spans="2:53">
      <c r="B50" s="643"/>
      <c r="C50" s="275">
        <v>9</v>
      </c>
      <c r="D50" s="196" t="s">
        <v>684</v>
      </c>
      <c r="E50" s="554">
        <v>18</v>
      </c>
      <c r="F50" s="196">
        <v>1636</v>
      </c>
      <c r="G50" s="194">
        <v>90.888888888888886</v>
      </c>
      <c r="H50" s="697"/>
      <c r="I50" s="352">
        <f t="shared" si="19"/>
        <v>18</v>
      </c>
      <c r="J50" s="352">
        <f t="shared" si="20"/>
        <v>1576.6002090797731</v>
      </c>
      <c r="K50" s="194">
        <f t="shared" si="21"/>
        <v>87.588900504431834</v>
      </c>
      <c r="L50" s="653"/>
      <c r="M50" s="195">
        <f>RANK(K50, K$42:$K$71)</f>
        <v>8</v>
      </c>
      <c r="N50" s="637"/>
      <c r="O50" s="637"/>
      <c r="P50" s="560">
        <v>18</v>
      </c>
      <c r="Q50" s="562">
        <v>1599.23076923077</v>
      </c>
      <c r="R50" s="562">
        <v>88.846153846153882</v>
      </c>
      <c r="S50" s="560">
        <f t="shared" si="11"/>
        <v>8</v>
      </c>
      <c r="T50" s="638"/>
      <c r="U50" s="560">
        <v>18</v>
      </c>
      <c r="V50" s="562">
        <v>1550.0000000000055</v>
      </c>
      <c r="W50" s="562">
        <v>86.111111111111413</v>
      </c>
      <c r="X50" s="560">
        <f t="shared" si="12"/>
        <v>8</v>
      </c>
      <c r="Y50" s="638"/>
      <c r="Z50" s="560">
        <v>18</v>
      </c>
      <c r="AA50" s="562">
        <v>1561.4634146341459</v>
      </c>
      <c r="AB50" s="562">
        <v>86.74796747967477</v>
      </c>
      <c r="AC50" s="560">
        <f t="shared" si="13"/>
        <v>8</v>
      </c>
      <c r="AD50" s="638"/>
      <c r="AE50" s="560">
        <v>18</v>
      </c>
      <c r="AF50" s="562">
        <v>1545</v>
      </c>
      <c r="AG50" s="562">
        <v>85.833333333333329</v>
      </c>
      <c r="AH50" s="560">
        <f t="shared" si="14"/>
        <v>6</v>
      </c>
      <c r="AI50" s="638"/>
      <c r="AJ50" s="560">
        <v>18</v>
      </c>
      <c r="AK50" s="562">
        <v>1568.4000000000005</v>
      </c>
      <c r="AL50" s="562">
        <v>87.133333333333368</v>
      </c>
      <c r="AM50" s="560">
        <f t="shared" si="15"/>
        <v>6</v>
      </c>
      <c r="AN50" s="638"/>
      <c r="AO50" s="560">
        <v>18</v>
      </c>
      <c r="AP50" s="562">
        <v>1606.5517241379323</v>
      </c>
      <c r="AQ50" s="562">
        <v>89.252873563218458</v>
      </c>
      <c r="AR50" s="560">
        <f t="shared" si="16"/>
        <v>6</v>
      </c>
      <c r="AS50" s="638"/>
      <c r="AT50" s="560">
        <v>18</v>
      </c>
      <c r="AU50" s="562">
        <v>1605.5555555555563</v>
      </c>
      <c r="AV50" s="562">
        <v>89.197530864197574</v>
      </c>
      <c r="AW50" s="560">
        <f t="shared" si="17"/>
        <v>6</v>
      </c>
      <c r="AX50" s="638"/>
      <c r="AZ50" s="357" t="e">
        <f t="shared" si="18"/>
        <v>#N/A</v>
      </c>
      <c r="BA50" s="638"/>
    </row>
    <row r="51" spans="2:53">
      <c r="B51" s="643"/>
      <c r="C51" s="275">
        <v>10</v>
      </c>
      <c r="D51" s="196" t="s">
        <v>685</v>
      </c>
      <c r="E51" s="554">
        <v>18</v>
      </c>
      <c r="F51" s="196">
        <v>1636</v>
      </c>
      <c r="G51" s="194">
        <v>90.888888888888886</v>
      </c>
      <c r="H51" s="697"/>
      <c r="I51" s="352">
        <f t="shared" si="19"/>
        <v>18</v>
      </c>
      <c r="J51" s="352">
        <f t="shared" si="20"/>
        <v>1572.773572586929</v>
      </c>
      <c r="K51" s="194">
        <f t="shared" si="21"/>
        <v>87.376309588162727</v>
      </c>
      <c r="L51" s="653"/>
      <c r="M51" s="195">
        <f>RANK(K51, K$42:$K$71)</f>
        <v>9</v>
      </c>
      <c r="N51" s="637"/>
      <c r="O51" s="637"/>
      <c r="P51" s="560">
        <v>18</v>
      </c>
      <c r="Q51" s="562">
        <v>1558.6666666666667</v>
      </c>
      <c r="R51" s="562">
        <v>86.592592592592595</v>
      </c>
      <c r="S51" s="560">
        <f t="shared" si="11"/>
        <v>10</v>
      </c>
      <c r="T51" s="638"/>
      <c r="U51" s="560">
        <v>18</v>
      </c>
      <c r="V51" s="562">
        <v>1596.315789473683</v>
      </c>
      <c r="W51" s="562">
        <v>88.684210526315724</v>
      </c>
      <c r="X51" s="560">
        <f t="shared" si="12"/>
        <v>7</v>
      </c>
      <c r="Y51" s="638"/>
      <c r="Z51" s="560">
        <v>18</v>
      </c>
      <c r="AA51" s="562">
        <v>1561.7142857142842</v>
      </c>
      <c r="AB51" s="562">
        <v>86.761904761904674</v>
      </c>
      <c r="AC51" s="560">
        <f t="shared" si="13"/>
        <v>7</v>
      </c>
      <c r="AD51" s="638"/>
      <c r="AE51" s="560">
        <v>18</v>
      </c>
      <c r="AF51" s="562">
        <v>1537.8947368421043</v>
      </c>
      <c r="AG51" s="562">
        <v>85.438596491228012</v>
      </c>
      <c r="AH51" s="560">
        <f t="shared" si="14"/>
        <v>7</v>
      </c>
      <c r="AI51" s="638"/>
      <c r="AJ51" s="560">
        <v>18</v>
      </c>
      <c r="AK51" s="562">
        <v>1556</v>
      </c>
      <c r="AL51" s="562">
        <v>86.444444444444443</v>
      </c>
      <c r="AM51" s="560">
        <f t="shared" si="15"/>
        <v>8</v>
      </c>
      <c r="AN51" s="638"/>
      <c r="AO51" s="560">
        <v>18</v>
      </c>
      <c r="AP51" s="562">
        <v>1578.8235294117653</v>
      </c>
      <c r="AQ51" s="562">
        <v>87.712418300653624</v>
      </c>
      <c r="AR51" s="560">
        <f t="shared" si="16"/>
        <v>7</v>
      </c>
      <c r="AS51" s="638"/>
      <c r="AT51" s="560">
        <v>18</v>
      </c>
      <c r="AU51" s="562">
        <v>1620</v>
      </c>
      <c r="AV51" s="562">
        <v>90</v>
      </c>
      <c r="AW51" s="560">
        <f t="shared" si="17"/>
        <v>5</v>
      </c>
      <c r="AX51" s="638"/>
      <c r="AZ51" s="357" t="e">
        <f t="shared" si="18"/>
        <v>#N/A</v>
      </c>
      <c r="BA51" s="638"/>
    </row>
    <row r="52" spans="2:53">
      <c r="B52" s="643"/>
      <c r="C52" s="275">
        <v>11</v>
      </c>
      <c r="D52" s="196" t="s">
        <v>686</v>
      </c>
      <c r="E52" s="554">
        <v>20</v>
      </c>
      <c r="F52" s="196">
        <v>1440</v>
      </c>
      <c r="G52" s="194">
        <v>72</v>
      </c>
      <c r="H52" s="697"/>
      <c r="I52" s="352">
        <f t="shared" si="19"/>
        <v>20</v>
      </c>
      <c r="J52" s="352">
        <f t="shared" si="20"/>
        <v>1370.7784556406148</v>
      </c>
      <c r="K52" s="194">
        <f t="shared" si="21"/>
        <v>68.538922782030738</v>
      </c>
      <c r="L52" s="653"/>
      <c r="M52" s="195">
        <f>RANK(K52, K$42:$K$71)</f>
        <v>20</v>
      </c>
      <c r="N52" s="637"/>
      <c r="O52" s="637"/>
      <c r="P52" s="560">
        <v>20</v>
      </c>
      <c r="Q52" s="562">
        <v>1391.6883116883109</v>
      </c>
      <c r="R52" s="562">
        <v>69.584415584415552</v>
      </c>
      <c r="S52" s="560">
        <f t="shared" si="11"/>
        <v>20</v>
      </c>
      <c r="T52" s="638"/>
      <c r="U52" s="560">
        <v>20</v>
      </c>
      <c r="V52" s="562">
        <v>1341.8181818181833</v>
      </c>
      <c r="W52" s="562">
        <v>67.090909090909165</v>
      </c>
      <c r="X52" s="560">
        <f t="shared" si="12"/>
        <v>21</v>
      </c>
      <c r="Y52" s="638"/>
      <c r="Z52" s="560">
        <v>20</v>
      </c>
      <c r="AA52" s="562">
        <v>1386.1016949152554</v>
      </c>
      <c r="AB52" s="562">
        <v>69.30508474576277</v>
      </c>
      <c r="AC52" s="560">
        <f t="shared" si="13"/>
        <v>20</v>
      </c>
      <c r="AD52" s="638"/>
      <c r="AE52" s="560">
        <v>20</v>
      </c>
      <c r="AF52" s="562">
        <v>1391.4285714285729</v>
      </c>
      <c r="AG52" s="562">
        <v>69.57142857142864</v>
      </c>
      <c r="AH52" s="560">
        <f t="shared" si="14"/>
        <v>19</v>
      </c>
      <c r="AI52" s="638"/>
      <c r="AJ52" s="560">
        <v>20</v>
      </c>
      <c r="AK52" s="562">
        <v>1362.2535211267593</v>
      </c>
      <c r="AL52" s="562">
        <v>68.112676056337961</v>
      </c>
      <c r="AM52" s="560">
        <f t="shared" si="15"/>
        <v>19</v>
      </c>
      <c r="AN52" s="638"/>
      <c r="AO52" s="560">
        <v>20</v>
      </c>
      <c r="AP52" s="562">
        <v>1355.7303370786517</v>
      </c>
      <c r="AQ52" s="562">
        <v>67.786516853932582</v>
      </c>
      <c r="AR52" s="560">
        <f t="shared" si="16"/>
        <v>20</v>
      </c>
      <c r="AS52" s="638"/>
      <c r="AT52" s="560">
        <v>20</v>
      </c>
      <c r="AU52" s="562">
        <v>1366.4285714285709</v>
      </c>
      <c r="AV52" s="562">
        <v>68.321428571428541</v>
      </c>
      <c r="AW52" s="560">
        <f t="shared" si="17"/>
        <v>18</v>
      </c>
      <c r="AX52" s="638"/>
      <c r="AZ52" s="357" t="e">
        <f t="shared" si="18"/>
        <v>#N/A</v>
      </c>
      <c r="BA52" s="638"/>
    </row>
    <row r="53" spans="2:53">
      <c r="B53" s="643"/>
      <c r="C53" s="275">
        <v>12</v>
      </c>
      <c r="D53" s="196" t="s">
        <v>338</v>
      </c>
      <c r="E53" s="554">
        <v>14</v>
      </c>
      <c r="F53" s="196">
        <v>1440</v>
      </c>
      <c r="G53" s="194">
        <v>102.85714285714286</v>
      </c>
      <c r="H53" s="697"/>
      <c r="I53" s="352">
        <f t="shared" si="19"/>
        <v>14</v>
      </c>
      <c r="J53" s="352">
        <f t="shared" si="20"/>
        <v>1367.361635991912</v>
      </c>
      <c r="K53" s="194">
        <f t="shared" si="21"/>
        <v>97.668688285136568</v>
      </c>
      <c r="L53" s="653"/>
      <c r="M53" s="195">
        <f>RANK(K53, K$42:$K$71)</f>
        <v>3</v>
      </c>
      <c r="N53" s="637"/>
      <c r="O53" s="637"/>
      <c r="P53" s="560">
        <v>14</v>
      </c>
      <c r="Q53" s="562">
        <v>1356.7741935483884</v>
      </c>
      <c r="R53" s="562">
        <v>96.912442396313466</v>
      </c>
      <c r="S53" s="560">
        <f t="shared" si="11"/>
        <v>5</v>
      </c>
      <c r="T53" s="638"/>
      <c r="U53" s="560">
        <v>14</v>
      </c>
      <c r="V53" s="562">
        <v>1375.2941176470595</v>
      </c>
      <c r="W53" s="562">
        <v>98.235294117647101</v>
      </c>
      <c r="X53" s="560">
        <f t="shared" si="12"/>
        <v>4</v>
      </c>
      <c r="Y53" s="638"/>
      <c r="Z53" s="560">
        <v>14</v>
      </c>
      <c r="AA53" s="562">
        <v>1368.8372093023254</v>
      </c>
      <c r="AB53" s="562">
        <v>97.774086378737522</v>
      </c>
      <c r="AC53" s="560">
        <f t="shared" si="13"/>
        <v>3</v>
      </c>
      <c r="AD53" s="638"/>
      <c r="AE53" s="560">
        <v>14</v>
      </c>
      <c r="AF53" s="562">
        <v>1378.6363636363635</v>
      </c>
      <c r="AG53" s="562">
        <v>98.474025974025963</v>
      </c>
      <c r="AH53" s="560">
        <f t="shared" si="14"/>
        <v>4</v>
      </c>
      <c r="AI53" s="638"/>
      <c r="AJ53" s="560">
        <v>14</v>
      </c>
      <c r="AK53" s="562">
        <v>1335.0000000000048</v>
      </c>
      <c r="AL53" s="562">
        <v>95.357142857143202</v>
      </c>
      <c r="AM53" s="560">
        <f t="shared" si="15"/>
        <v>4</v>
      </c>
      <c r="AN53" s="638"/>
      <c r="AO53" s="560">
        <v>14</v>
      </c>
      <c r="AP53" s="562">
        <v>1392.7272727272741</v>
      </c>
      <c r="AQ53" s="562">
        <v>99.480519480519575</v>
      </c>
      <c r="AR53" s="560">
        <f t="shared" si="16"/>
        <v>3</v>
      </c>
      <c r="AS53" s="638"/>
      <c r="AT53" s="560">
        <v>14</v>
      </c>
      <c r="AU53" s="562">
        <v>1364.2622950819684</v>
      </c>
      <c r="AV53" s="562">
        <v>97.447306791569176</v>
      </c>
      <c r="AW53" s="560">
        <f t="shared" si="17"/>
        <v>4</v>
      </c>
      <c r="AX53" s="638"/>
      <c r="AZ53" s="357" t="e">
        <f t="shared" si="18"/>
        <v>#N/A</v>
      </c>
      <c r="BA53" s="638"/>
    </row>
    <row r="54" spans="2:53">
      <c r="B54" s="643"/>
      <c r="C54" s="275">
        <v>13</v>
      </c>
      <c r="D54" s="196" t="s">
        <v>687</v>
      </c>
      <c r="E54" s="554">
        <v>19</v>
      </c>
      <c r="F54" s="196">
        <v>1440</v>
      </c>
      <c r="G54" s="194">
        <v>75.78947368421052</v>
      </c>
      <c r="H54" s="697"/>
      <c r="I54" s="352">
        <f t="shared" si="19"/>
        <v>19</v>
      </c>
      <c r="J54" s="352">
        <f t="shared" si="20"/>
        <v>1378.6848733629472</v>
      </c>
      <c r="K54" s="194">
        <f t="shared" si="21"/>
        <v>72.562361755944593</v>
      </c>
      <c r="L54" s="653"/>
      <c r="M54" s="195">
        <f>RANK(K54, K$42:$K$71)</f>
        <v>17</v>
      </c>
      <c r="N54" s="637"/>
      <c r="O54" s="637"/>
      <c r="P54" s="560">
        <v>19</v>
      </c>
      <c r="Q54" s="562">
        <v>1388.5714285714282</v>
      </c>
      <c r="R54" s="562">
        <v>73.082706766917269</v>
      </c>
      <c r="S54" s="560">
        <f t="shared" si="11"/>
        <v>16</v>
      </c>
      <c r="T54" s="638"/>
      <c r="U54" s="560">
        <v>19</v>
      </c>
      <c r="V54" s="562">
        <v>1374.0845070422522</v>
      </c>
      <c r="W54" s="562">
        <v>72.320237212750115</v>
      </c>
      <c r="X54" s="560">
        <f t="shared" si="12"/>
        <v>17</v>
      </c>
      <c r="Y54" s="638"/>
      <c r="Z54" s="560">
        <v>19</v>
      </c>
      <c r="AA54" s="562">
        <v>1380.0000000000014</v>
      </c>
      <c r="AB54" s="562">
        <v>72.631578947368496</v>
      </c>
      <c r="AC54" s="560">
        <f t="shared" si="13"/>
        <v>16</v>
      </c>
      <c r="AD54" s="638"/>
      <c r="AE54" s="560">
        <v>19</v>
      </c>
      <c r="AF54" s="562">
        <v>1349.523809523811</v>
      </c>
      <c r="AG54" s="562">
        <v>71.027568922305846</v>
      </c>
      <c r="AH54" s="560">
        <f t="shared" si="14"/>
        <v>17</v>
      </c>
      <c r="AI54" s="638"/>
      <c r="AJ54" s="560">
        <v>19</v>
      </c>
      <c r="AK54" s="562">
        <v>1399.1999999999989</v>
      </c>
      <c r="AL54" s="562">
        <v>73.642105263157831</v>
      </c>
      <c r="AM54" s="560">
        <f t="shared" si="15"/>
        <v>15</v>
      </c>
      <c r="AN54" s="638"/>
      <c r="AO54" s="560">
        <v>19</v>
      </c>
      <c r="AP54" s="562">
        <v>1361.2121212121283</v>
      </c>
      <c r="AQ54" s="562">
        <v>71.642743221690964</v>
      </c>
      <c r="AR54" s="560">
        <f t="shared" si="16"/>
        <v>16</v>
      </c>
      <c r="AS54" s="638"/>
      <c r="AT54" s="560">
        <v>19</v>
      </c>
      <c r="AU54" s="562">
        <v>1398.2022471910113</v>
      </c>
      <c r="AV54" s="562">
        <v>73.589591957421646</v>
      </c>
      <c r="AW54" s="560">
        <f t="shared" si="17"/>
        <v>15</v>
      </c>
      <c r="AX54" s="638"/>
      <c r="AZ54" s="357" t="e">
        <f t="shared" si="18"/>
        <v>#N/A</v>
      </c>
      <c r="BA54" s="638"/>
    </row>
    <row r="55" spans="2:53">
      <c r="B55" s="643"/>
      <c r="C55" s="275">
        <v>14</v>
      </c>
      <c r="D55" s="196" t="s">
        <v>499</v>
      </c>
      <c r="E55" s="554">
        <v>17</v>
      </c>
      <c r="F55" s="196">
        <v>1440</v>
      </c>
      <c r="G55" s="194">
        <v>84.705882352941174</v>
      </c>
      <c r="H55" s="697"/>
      <c r="I55" s="352">
        <f t="shared" si="19"/>
        <v>17</v>
      </c>
      <c r="J55" s="352">
        <f t="shared" si="20"/>
        <v>1341.3157391413224</v>
      </c>
      <c r="K55" s="194">
        <f t="shared" si="21"/>
        <v>78.900925831842486</v>
      </c>
      <c r="L55" s="653"/>
      <c r="M55" s="195">
        <f>RANK(K55, K$42:$K$71)</f>
        <v>15</v>
      </c>
      <c r="N55" s="637"/>
      <c r="O55" s="637"/>
      <c r="P55" s="560">
        <v>17</v>
      </c>
      <c r="Q55" s="562">
        <v>1375.7142857142851</v>
      </c>
      <c r="R55" s="562">
        <v>80.924369747899121</v>
      </c>
      <c r="S55" s="560">
        <f t="shared" si="11"/>
        <v>12</v>
      </c>
      <c r="T55" s="638"/>
      <c r="U55" s="560">
        <v>17</v>
      </c>
      <c r="V55" s="562">
        <v>1344.3243243243232</v>
      </c>
      <c r="W55" s="562">
        <v>79.077901430842545</v>
      </c>
      <c r="X55" s="560">
        <f t="shared" si="12"/>
        <v>15</v>
      </c>
      <c r="Y55" s="638"/>
      <c r="Z55" s="560">
        <v>17</v>
      </c>
      <c r="AA55" s="562">
        <v>1369.6551724137903</v>
      </c>
      <c r="AB55" s="562">
        <v>80.567951318458256</v>
      </c>
      <c r="AC55" s="560">
        <f t="shared" si="13"/>
        <v>13</v>
      </c>
      <c r="AD55" s="638"/>
      <c r="AE55" s="560">
        <v>17</v>
      </c>
      <c r="AF55" s="562">
        <v>1251.1764705882397</v>
      </c>
      <c r="AG55" s="562">
        <v>73.598615916955282</v>
      </c>
      <c r="AH55" s="560">
        <f t="shared" si="14"/>
        <v>15</v>
      </c>
      <c r="AI55" s="638"/>
      <c r="AJ55" s="560">
        <v>17</v>
      </c>
      <c r="AK55" s="562">
        <v>1371.8181818181818</v>
      </c>
      <c r="AL55" s="562">
        <v>80.695187165775394</v>
      </c>
      <c r="AM55" s="560">
        <f t="shared" si="15"/>
        <v>12</v>
      </c>
      <c r="AN55" s="638"/>
      <c r="AO55" s="560">
        <v>17</v>
      </c>
      <c r="AP55" s="562">
        <v>1322.6086956521754</v>
      </c>
      <c r="AQ55" s="562">
        <v>77.800511508951487</v>
      </c>
      <c r="AR55" s="560">
        <f t="shared" si="16"/>
        <v>13</v>
      </c>
      <c r="AS55" s="638"/>
      <c r="AT55" s="560">
        <v>17</v>
      </c>
      <c r="AU55" s="562">
        <v>1353.9130434782608</v>
      </c>
      <c r="AV55" s="562">
        <v>79.641943734015342</v>
      </c>
      <c r="AW55" s="560">
        <f t="shared" si="17"/>
        <v>13</v>
      </c>
      <c r="AX55" s="638"/>
      <c r="AZ55" s="357" t="e">
        <f t="shared" si="18"/>
        <v>#N/A</v>
      </c>
      <c r="BA55" s="638"/>
    </row>
    <row r="56" spans="2:53">
      <c r="B56" s="643"/>
      <c r="C56" s="275">
        <v>15</v>
      </c>
      <c r="D56" s="196" t="s">
        <v>572</v>
      </c>
      <c r="E56" s="554">
        <v>16</v>
      </c>
      <c r="F56" s="196">
        <v>1636</v>
      </c>
      <c r="G56" s="194">
        <v>102.25</v>
      </c>
      <c r="H56" s="697"/>
      <c r="I56" s="352">
        <f t="shared" si="19"/>
        <v>16</v>
      </c>
      <c r="J56" s="352">
        <f t="shared" si="20"/>
        <v>1559.6153846153859</v>
      </c>
      <c r="K56" s="194">
        <f t="shared" si="21"/>
        <v>97.475961538461618</v>
      </c>
      <c r="L56" s="653"/>
      <c r="M56" s="193">
        <f>RANK(K56, K$42:$K$71)</f>
        <v>4</v>
      </c>
      <c r="N56" s="637"/>
      <c r="O56" s="637"/>
      <c r="P56" s="560">
        <v>16</v>
      </c>
      <c r="Q56" s="562">
        <v>1599.9999999999995</v>
      </c>
      <c r="R56" s="562">
        <v>99.999999999999972</v>
      </c>
      <c r="S56" s="560">
        <f t="shared" si="11"/>
        <v>3</v>
      </c>
      <c r="T56" s="638"/>
      <c r="U56" s="560">
        <v>16</v>
      </c>
      <c r="V56" s="562">
        <v>1553.8461538461529</v>
      </c>
      <c r="W56" s="562">
        <v>97.115384615384556</v>
      </c>
      <c r="X56" s="560">
        <f t="shared" si="12"/>
        <v>5</v>
      </c>
      <c r="Y56" s="638"/>
      <c r="Z56" s="560">
        <v>16</v>
      </c>
      <c r="AA56" s="562">
        <v>1525.0000000000055</v>
      </c>
      <c r="AB56" s="562">
        <v>95.312500000000341</v>
      </c>
      <c r="AC56" s="560">
        <f t="shared" si="13"/>
        <v>4</v>
      </c>
      <c r="AD56" s="638"/>
      <c r="AE56" s="560" t="s">
        <v>557</v>
      </c>
      <c r="AF56" s="562" t="s">
        <v>557</v>
      </c>
      <c r="AG56" s="562" t="s">
        <v>557</v>
      </c>
      <c r="AH56" s="560" t="e">
        <f t="shared" si="14"/>
        <v>#VALUE!</v>
      </c>
      <c r="AI56" s="638"/>
      <c r="AJ56" s="560" t="s">
        <v>557</v>
      </c>
      <c r="AK56" s="562" t="s">
        <v>557</v>
      </c>
      <c r="AL56" s="562" t="s">
        <v>557</v>
      </c>
      <c r="AM56" s="560" t="e">
        <f t="shared" si="15"/>
        <v>#VALUE!</v>
      </c>
      <c r="AN56" s="638"/>
      <c r="AO56" s="560" t="s">
        <v>557</v>
      </c>
      <c r="AP56" s="562" t="s">
        <v>557</v>
      </c>
      <c r="AQ56" s="562" t="s">
        <v>557</v>
      </c>
      <c r="AR56" s="560" t="e">
        <f t="shared" si="16"/>
        <v>#VALUE!</v>
      </c>
      <c r="AS56" s="638"/>
      <c r="AT56" s="560" t="s">
        <v>557</v>
      </c>
      <c r="AU56" s="562" t="s">
        <v>557</v>
      </c>
      <c r="AV56" s="562" t="s">
        <v>557</v>
      </c>
      <c r="AW56" s="560" t="e">
        <f t="shared" si="17"/>
        <v>#VALUE!</v>
      </c>
      <c r="AX56" s="638"/>
      <c r="AZ56" s="357" t="e">
        <f t="shared" si="18"/>
        <v>#N/A</v>
      </c>
      <c r="BA56" s="638"/>
    </row>
    <row r="57" spans="2:53">
      <c r="B57" s="643"/>
      <c r="C57" s="275">
        <v>16</v>
      </c>
      <c r="D57" s="196" t="s">
        <v>689</v>
      </c>
      <c r="E57" s="554">
        <v>16</v>
      </c>
      <c r="F57" s="196">
        <v>1500</v>
      </c>
      <c r="G57" s="194">
        <v>93.75</v>
      </c>
      <c r="H57" s="697"/>
      <c r="I57" s="352">
        <f t="shared" si="19"/>
        <v>16</v>
      </c>
      <c r="J57" s="352">
        <f t="shared" si="20"/>
        <v>1412.5976376381825</v>
      </c>
      <c r="K57" s="194">
        <f t="shared" si="21"/>
        <v>88.287352352386407</v>
      </c>
      <c r="L57" s="653"/>
      <c r="M57" s="193">
        <f>RANK(K57, K$42:$K$71)</f>
        <v>7</v>
      </c>
      <c r="N57" s="637"/>
      <c r="O57" s="637"/>
      <c r="P57" s="560">
        <v>16</v>
      </c>
      <c r="Q57" s="562">
        <v>1438.6363636363635</v>
      </c>
      <c r="R57" s="562">
        <v>89.91477272727272</v>
      </c>
      <c r="S57" s="560">
        <f t="shared" si="11"/>
        <v>7</v>
      </c>
      <c r="T57" s="638"/>
      <c r="U57" s="560">
        <v>16</v>
      </c>
      <c r="V57" s="562">
        <v>1336.0975609756094</v>
      </c>
      <c r="W57" s="562">
        <v>83.50609756097559</v>
      </c>
      <c r="X57" s="560">
        <f t="shared" si="12"/>
        <v>11</v>
      </c>
      <c r="Y57" s="638"/>
      <c r="Z57" s="560">
        <v>16</v>
      </c>
      <c r="AA57" s="562">
        <v>1393.5483870967792</v>
      </c>
      <c r="AB57" s="562">
        <v>87.096774193548697</v>
      </c>
      <c r="AC57" s="560">
        <f t="shared" si="13"/>
        <v>6</v>
      </c>
      <c r="AD57" s="638"/>
      <c r="AE57" s="560">
        <v>16</v>
      </c>
      <c r="AF57" s="562">
        <v>1407.096774193546</v>
      </c>
      <c r="AG57" s="562">
        <v>87.943548387096627</v>
      </c>
      <c r="AH57" s="560">
        <f t="shared" si="14"/>
        <v>5</v>
      </c>
      <c r="AI57" s="638"/>
      <c r="AJ57" s="560">
        <v>16</v>
      </c>
      <c r="AK57" s="562">
        <v>1431.627906976744</v>
      </c>
      <c r="AL57" s="562">
        <v>89.476744186046503</v>
      </c>
      <c r="AM57" s="560">
        <f t="shared" si="15"/>
        <v>5</v>
      </c>
      <c r="AN57" s="638"/>
      <c r="AO57" s="560">
        <v>16</v>
      </c>
      <c r="AP57" s="562">
        <v>1461.1764705882358</v>
      </c>
      <c r="AQ57" s="562">
        <v>91.323529411764738</v>
      </c>
      <c r="AR57" s="560">
        <f t="shared" si="16"/>
        <v>5</v>
      </c>
      <c r="AS57" s="638"/>
      <c r="AT57" s="560">
        <v>16</v>
      </c>
      <c r="AU57" s="562">
        <v>1420</v>
      </c>
      <c r="AV57" s="562">
        <v>88.75</v>
      </c>
      <c r="AW57" s="560">
        <f t="shared" si="17"/>
        <v>7</v>
      </c>
      <c r="AX57" s="638"/>
      <c r="AZ57" s="357" t="e">
        <f t="shared" si="18"/>
        <v>#N/A</v>
      </c>
      <c r="BA57" s="638"/>
    </row>
    <row r="58" spans="2:53">
      <c r="B58" s="643"/>
      <c r="C58" s="275">
        <v>17</v>
      </c>
      <c r="D58" s="196" t="s">
        <v>690</v>
      </c>
      <c r="E58" s="554">
        <v>16</v>
      </c>
      <c r="F58" s="196">
        <v>1500</v>
      </c>
      <c r="G58" s="194">
        <v>93.75</v>
      </c>
      <c r="H58" s="697"/>
      <c r="I58" s="352">
        <f t="shared" si="19"/>
        <v>16</v>
      </c>
      <c r="J58" s="352">
        <f t="shared" si="20"/>
        <v>1378.4868139272407</v>
      </c>
      <c r="K58" s="194">
        <f t="shared" si="21"/>
        <v>86.155425870452547</v>
      </c>
      <c r="L58" s="653"/>
      <c r="M58" s="193">
        <f>RANK(K58, K$42:$K$71)</f>
        <v>10</v>
      </c>
      <c r="N58" s="637"/>
      <c r="O58" s="637"/>
      <c r="P58" s="560">
        <v>16</v>
      </c>
      <c r="Q58" s="562">
        <v>1405.1612903225819</v>
      </c>
      <c r="R58" s="562">
        <v>87.822580645161366</v>
      </c>
      <c r="S58" s="560">
        <f t="shared" si="11"/>
        <v>9</v>
      </c>
      <c r="T58" s="638"/>
      <c r="U58" s="560">
        <v>16</v>
      </c>
      <c r="V58" s="562">
        <v>1340.6557377049194</v>
      </c>
      <c r="W58" s="562">
        <v>83.790983606557461</v>
      </c>
      <c r="X58" s="560">
        <f t="shared" si="12"/>
        <v>10</v>
      </c>
      <c r="Y58" s="638"/>
      <c r="Z58" s="560">
        <v>16</v>
      </c>
      <c r="AA58" s="562">
        <v>1375.0000000000005</v>
      </c>
      <c r="AB58" s="562">
        <v>85.937500000000028</v>
      </c>
      <c r="AC58" s="560">
        <f t="shared" si="13"/>
        <v>9</v>
      </c>
      <c r="AD58" s="638"/>
      <c r="AE58" s="560">
        <v>16</v>
      </c>
      <c r="AF58" s="562">
        <v>1359.1304347826085</v>
      </c>
      <c r="AG58" s="562">
        <v>84.945652173913032</v>
      </c>
      <c r="AH58" s="560">
        <f t="shared" si="14"/>
        <v>8</v>
      </c>
      <c r="AI58" s="638"/>
      <c r="AJ58" s="560">
        <v>16</v>
      </c>
      <c r="AK58" s="562">
        <v>1389.1525423728824</v>
      </c>
      <c r="AL58" s="562">
        <v>86.822033898305151</v>
      </c>
      <c r="AM58" s="560">
        <f t="shared" si="15"/>
        <v>7</v>
      </c>
      <c r="AN58" s="638"/>
      <c r="AO58" s="560">
        <v>16</v>
      </c>
      <c r="AP58" s="562">
        <v>1379.9999999999984</v>
      </c>
      <c r="AQ58" s="562">
        <v>86.249999999999901</v>
      </c>
      <c r="AR58" s="560">
        <f t="shared" si="16"/>
        <v>8</v>
      </c>
      <c r="AS58" s="638"/>
      <c r="AT58" s="560">
        <v>16</v>
      </c>
      <c r="AU58" s="562">
        <v>1400.307692307694</v>
      </c>
      <c r="AV58" s="562">
        <v>87.519230769230873</v>
      </c>
      <c r="AW58" s="560">
        <f t="shared" si="17"/>
        <v>8</v>
      </c>
      <c r="AX58" s="638"/>
      <c r="AZ58" s="357" t="e">
        <f t="shared" si="18"/>
        <v>#N/A</v>
      </c>
      <c r="BA58" s="638"/>
    </row>
    <row r="59" spans="2:53">
      <c r="B59" s="643"/>
      <c r="C59" s="275">
        <v>18</v>
      </c>
      <c r="D59" s="196" t="s">
        <v>587</v>
      </c>
      <c r="E59" s="554">
        <v>19</v>
      </c>
      <c r="F59" s="196">
        <v>1440</v>
      </c>
      <c r="G59" s="194">
        <v>75.78947368421052</v>
      </c>
      <c r="H59" s="697"/>
      <c r="I59" s="352">
        <f t="shared" si="19"/>
        <v>19</v>
      </c>
      <c r="J59" s="352">
        <f t="shared" si="20"/>
        <v>1381.0693520680727</v>
      </c>
      <c r="K59" s="194">
        <f t="shared" si="21"/>
        <v>72.687860635161712</v>
      </c>
      <c r="L59" s="653"/>
      <c r="M59" s="193">
        <f>RANK(K59, K$42:$K$71)</f>
        <v>16</v>
      </c>
      <c r="N59" s="637"/>
      <c r="O59" s="637"/>
      <c r="P59" s="560">
        <v>19</v>
      </c>
      <c r="Q59" s="562">
        <v>1387.6923076923069</v>
      </c>
      <c r="R59" s="562">
        <v>73.03643724696353</v>
      </c>
      <c r="S59" s="560">
        <f t="shared" si="11"/>
        <v>17</v>
      </c>
      <c r="T59" s="638"/>
      <c r="U59" s="560">
        <v>19</v>
      </c>
      <c r="V59" s="562">
        <v>1384.9999999999989</v>
      </c>
      <c r="W59" s="562">
        <v>72.894736842105203</v>
      </c>
      <c r="X59" s="560">
        <f t="shared" si="12"/>
        <v>16</v>
      </c>
      <c r="Y59" s="638"/>
      <c r="Z59" s="560">
        <v>19</v>
      </c>
      <c r="AA59" s="562">
        <v>1351.8749999999982</v>
      </c>
      <c r="AB59" s="562">
        <v>71.151315789473585</v>
      </c>
      <c r="AC59" s="560">
        <f t="shared" si="13"/>
        <v>19</v>
      </c>
      <c r="AD59" s="638"/>
      <c r="AE59" s="560">
        <v>19</v>
      </c>
      <c r="AF59" s="562">
        <v>1403.2258064516107</v>
      </c>
      <c r="AG59" s="562">
        <v>73.853989813242663</v>
      </c>
      <c r="AH59" s="560">
        <f t="shared" si="14"/>
        <v>14</v>
      </c>
      <c r="AI59" s="638"/>
      <c r="AJ59" s="560">
        <v>19</v>
      </c>
      <c r="AK59" s="562">
        <v>1370.4545454545455</v>
      </c>
      <c r="AL59" s="562">
        <v>72.129186602870817</v>
      </c>
      <c r="AM59" s="560">
        <f t="shared" si="15"/>
        <v>17</v>
      </c>
      <c r="AN59" s="638"/>
      <c r="AO59" s="560">
        <v>19</v>
      </c>
      <c r="AP59" s="562">
        <v>1368.7500000000005</v>
      </c>
      <c r="AQ59" s="562">
        <v>72.039473684210549</v>
      </c>
      <c r="AR59" s="560">
        <f t="shared" si="16"/>
        <v>15</v>
      </c>
      <c r="AS59" s="638"/>
      <c r="AT59" s="560">
        <v>19</v>
      </c>
      <c r="AU59" s="562">
        <v>1400.4878048780483</v>
      </c>
      <c r="AV59" s="562">
        <v>73.709884467265695</v>
      </c>
      <c r="AW59" s="560">
        <f t="shared" si="17"/>
        <v>14</v>
      </c>
      <c r="AX59" s="638"/>
      <c r="AZ59" s="357" t="e">
        <f t="shared" si="18"/>
        <v>#N/A</v>
      </c>
      <c r="BA59" s="638"/>
    </row>
    <row r="60" spans="2:53">
      <c r="B60" s="643"/>
      <c r="C60" s="275">
        <v>19</v>
      </c>
      <c r="D60" s="196" t="s">
        <v>633</v>
      </c>
      <c r="E60" s="554">
        <v>21</v>
      </c>
      <c r="F60" s="196">
        <v>1440</v>
      </c>
      <c r="G60" s="194">
        <v>68.571428571428569</v>
      </c>
      <c r="H60" s="697"/>
      <c r="I60" s="352">
        <f t="shared" si="19"/>
        <v>20.857142857142858</v>
      </c>
      <c r="J60" s="352">
        <f t="shared" si="20"/>
        <v>1043.626937768106</v>
      </c>
      <c r="K60" s="194">
        <f t="shared" si="21"/>
        <v>50.062940141091005</v>
      </c>
      <c r="L60" s="653"/>
      <c r="M60" s="193">
        <f>RANK(K60, K$42:$K$71)</f>
        <v>25</v>
      </c>
      <c r="N60" s="637"/>
      <c r="O60" s="637"/>
      <c r="P60" s="560">
        <v>21</v>
      </c>
      <c r="Q60" s="562">
        <v>945.59999999999729</v>
      </c>
      <c r="R60" s="562">
        <v>45.028571428571297</v>
      </c>
      <c r="S60" s="560">
        <f t="shared" si="11"/>
        <v>25</v>
      </c>
      <c r="T60" s="638"/>
      <c r="U60" s="560">
        <v>21</v>
      </c>
      <c r="V60" s="562">
        <v>1130.0000000000041</v>
      </c>
      <c r="W60" s="562">
        <v>53.809523809524002</v>
      </c>
      <c r="X60" s="560">
        <f t="shared" si="12"/>
        <v>25</v>
      </c>
      <c r="Y60" s="638"/>
      <c r="Z60" s="560">
        <v>21</v>
      </c>
      <c r="AA60" s="562">
        <v>1115.9999999999684</v>
      </c>
      <c r="AB60" s="562">
        <v>53.14285714285564</v>
      </c>
      <c r="AC60" s="560">
        <f t="shared" si="13"/>
        <v>25</v>
      </c>
      <c r="AD60" s="638"/>
      <c r="AE60" s="560">
        <v>21</v>
      </c>
      <c r="AF60" s="562">
        <v>1058.8235294117485</v>
      </c>
      <c r="AG60" s="562">
        <v>50.420168067226122</v>
      </c>
      <c r="AH60" s="560">
        <f t="shared" si="14"/>
        <v>24</v>
      </c>
      <c r="AI60" s="638"/>
      <c r="AJ60" s="560">
        <v>21</v>
      </c>
      <c r="AK60" s="562">
        <v>948.46153846153607</v>
      </c>
      <c r="AL60" s="562">
        <v>45.164835164835054</v>
      </c>
      <c r="AM60" s="560">
        <f t="shared" si="15"/>
        <v>24</v>
      </c>
      <c r="AN60" s="638"/>
      <c r="AO60" s="560">
        <v>21</v>
      </c>
      <c r="AP60" s="562">
        <v>1029.2307692307729</v>
      </c>
      <c r="AQ60" s="562">
        <v>49.010989010989185</v>
      </c>
      <c r="AR60" s="560">
        <f t="shared" si="16"/>
        <v>23</v>
      </c>
      <c r="AS60" s="638"/>
      <c r="AT60" s="560">
        <v>20</v>
      </c>
      <c r="AU60" s="562">
        <v>1077.2727272727154</v>
      </c>
      <c r="AV60" s="562">
        <v>53.86363636363577</v>
      </c>
      <c r="AW60" s="560">
        <f t="shared" si="17"/>
        <v>23</v>
      </c>
      <c r="AX60" s="638"/>
      <c r="AZ60" s="357" t="e">
        <f t="shared" si="18"/>
        <v>#N/A</v>
      </c>
      <c r="BA60" s="638"/>
    </row>
    <row r="61" spans="2:53">
      <c r="B61" s="643"/>
      <c r="C61" s="275">
        <v>20</v>
      </c>
      <c r="D61" s="196" t="s">
        <v>634</v>
      </c>
      <c r="E61" s="554">
        <v>19</v>
      </c>
      <c r="F61" s="196">
        <v>1440</v>
      </c>
      <c r="G61" s="194">
        <v>75.78947368421052</v>
      </c>
      <c r="H61" s="697"/>
      <c r="I61" s="352">
        <f t="shared" si="19"/>
        <v>19</v>
      </c>
      <c r="J61" s="352">
        <f t="shared" si="20"/>
        <v>1359.9704899313067</v>
      </c>
      <c r="K61" s="194">
        <f t="shared" si="21"/>
        <v>71.577394206910881</v>
      </c>
      <c r="L61" s="653"/>
      <c r="M61" s="193">
        <f>RANK(K61, K$42:$K$71)</f>
        <v>18</v>
      </c>
      <c r="N61" s="637"/>
      <c r="O61" s="637"/>
      <c r="P61" s="560">
        <v>19</v>
      </c>
      <c r="Q61" s="562">
        <v>1356.6666666666672</v>
      </c>
      <c r="R61" s="562">
        <v>71.40350877192985</v>
      </c>
      <c r="S61" s="560">
        <f t="shared" si="11"/>
        <v>18</v>
      </c>
      <c r="T61" s="638"/>
      <c r="U61" s="560">
        <v>19</v>
      </c>
      <c r="V61" s="562">
        <v>1331.7647058823536</v>
      </c>
      <c r="W61" s="562">
        <v>70.092879256965986</v>
      </c>
      <c r="X61" s="560">
        <f t="shared" si="12"/>
        <v>18</v>
      </c>
      <c r="Y61" s="638"/>
      <c r="Z61" s="560">
        <v>19</v>
      </c>
      <c r="AA61" s="562">
        <v>1375.7142857142851</v>
      </c>
      <c r="AB61" s="562">
        <v>72.406015037593946</v>
      </c>
      <c r="AC61" s="560">
        <f t="shared" si="13"/>
        <v>17</v>
      </c>
      <c r="AD61" s="638"/>
      <c r="AE61" s="560">
        <v>19</v>
      </c>
      <c r="AF61" s="562">
        <v>1362.2727272727273</v>
      </c>
      <c r="AG61" s="562">
        <v>71.698564593301441</v>
      </c>
      <c r="AH61" s="560">
        <f t="shared" si="14"/>
        <v>16</v>
      </c>
      <c r="AI61" s="638"/>
      <c r="AJ61" s="560">
        <v>19</v>
      </c>
      <c r="AK61" s="562">
        <v>1372.6530612244901</v>
      </c>
      <c r="AL61" s="562">
        <v>72.244897959183689</v>
      </c>
      <c r="AM61" s="560">
        <f t="shared" si="15"/>
        <v>16</v>
      </c>
      <c r="AN61" s="638"/>
      <c r="AO61" s="560">
        <v>19</v>
      </c>
      <c r="AP61" s="562">
        <v>1369.6875000000016</v>
      </c>
      <c r="AQ61" s="562">
        <v>72.08881578947377</v>
      </c>
      <c r="AR61" s="560">
        <f t="shared" si="16"/>
        <v>14</v>
      </c>
      <c r="AS61" s="638"/>
      <c r="AT61" s="560">
        <v>19</v>
      </c>
      <c r="AU61" s="562">
        <v>1351.0344827586218</v>
      </c>
      <c r="AV61" s="562">
        <v>71.107078039927458</v>
      </c>
      <c r="AW61" s="560">
        <f t="shared" si="17"/>
        <v>16</v>
      </c>
      <c r="AX61" s="638"/>
      <c r="AZ61" s="357" t="e">
        <f t="shared" si="18"/>
        <v>#N/A</v>
      </c>
      <c r="BA61" s="638"/>
    </row>
    <row r="62" spans="2:53">
      <c r="B62" s="643"/>
      <c r="C62" s="275">
        <v>21</v>
      </c>
      <c r="D62" s="196" t="s">
        <v>653</v>
      </c>
      <c r="E62" s="554">
        <v>14</v>
      </c>
      <c r="F62" s="196">
        <v>1440</v>
      </c>
      <c r="G62" s="194">
        <v>102.85714285714286</v>
      </c>
      <c r="H62" s="697"/>
      <c r="I62" s="352">
        <f t="shared" si="19"/>
        <v>14</v>
      </c>
      <c r="J62" s="352">
        <f t="shared" si="20"/>
        <v>1355.2636220921934</v>
      </c>
      <c r="K62" s="194">
        <f t="shared" si="21"/>
        <v>96.804544435156672</v>
      </c>
      <c r="L62" s="653"/>
      <c r="M62" s="193">
        <f>RANK(K62, K$42:$K$71)</f>
        <v>5</v>
      </c>
      <c r="N62" s="637"/>
      <c r="O62" s="637"/>
      <c r="P62" s="560">
        <v>14</v>
      </c>
      <c r="Q62" s="562">
        <v>1381.2000000000005</v>
      </c>
      <c r="R62" s="562">
        <v>98.657142857142887</v>
      </c>
      <c r="S62" s="560">
        <f t="shared" si="11"/>
        <v>4</v>
      </c>
      <c r="T62" s="638"/>
      <c r="U62" s="560">
        <v>14</v>
      </c>
      <c r="V62" s="562">
        <v>1347.1428571428567</v>
      </c>
      <c r="W62" s="562">
        <v>96.224489795918331</v>
      </c>
      <c r="X62" s="560">
        <f t="shared" si="12"/>
        <v>6</v>
      </c>
      <c r="Y62" s="638"/>
      <c r="Z62" s="560">
        <v>14</v>
      </c>
      <c r="AA62" s="562">
        <v>1282.2857142857129</v>
      </c>
      <c r="AB62" s="562">
        <v>91.591836734693771</v>
      </c>
      <c r="AC62" s="560">
        <f t="shared" si="13"/>
        <v>5</v>
      </c>
      <c r="AD62" s="638"/>
      <c r="AE62" s="560">
        <v>14</v>
      </c>
      <c r="AF62" s="562">
        <v>1379.9999999999982</v>
      </c>
      <c r="AG62" s="562">
        <v>98.571428571428442</v>
      </c>
      <c r="AH62" s="560">
        <f t="shared" si="14"/>
        <v>3</v>
      </c>
      <c r="AI62" s="638"/>
      <c r="AJ62" s="560">
        <v>14</v>
      </c>
      <c r="AK62" s="562">
        <v>1339.090909090909</v>
      </c>
      <c r="AL62" s="562">
        <v>95.649350649350637</v>
      </c>
      <c r="AM62" s="560">
        <f t="shared" si="15"/>
        <v>3</v>
      </c>
      <c r="AN62" s="638"/>
      <c r="AO62" s="560">
        <v>14</v>
      </c>
      <c r="AP62" s="562">
        <v>1389.8181818181827</v>
      </c>
      <c r="AQ62" s="562">
        <v>99.272727272727337</v>
      </c>
      <c r="AR62" s="560">
        <f t="shared" si="16"/>
        <v>4</v>
      </c>
      <c r="AS62" s="638"/>
      <c r="AT62" s="560">
        <v>14</v>
      </c>
      <c r="AU62" s="562">
        <v>1367.3076923076931</v>
      </c>
      <c r="AV62" s="562">
        <v>97.664835164835225</v>
      </c>
      <c r="AW62" s="560">
        <f t="shared" si="17"/>
        <v>3</v>
      </c>
      <c r="AX62" s="638"/>
      <c r="AZ62" s="357" t="e">
        <f t="shared" si="18"/>
        <v>#N/A</v>
      </c>
      <c r="BA62" s="638"/>
    </row>
    <row r="63" spans="2:53">
      <c r="B63" s="643"/>
      <c r="C63" s="275">
        <v>22</v>
      </c>
      <c r="D63" s="196" t="s">
        <v>663</v>
      </c>
      <c r="E63" s="554">
        <v>14</v>
      </c>
      <c r="F63" s="196">
        <v>1440</v>
      </c>
      <c r="G63" s="194">
        <v>102.85714285714286</v>
      </c>
      <c r="H63" s="697"/>
      <c r="I63" s="352">
        <f t="shared" si="19"/>
        <v>14</v>
      </c>
      <c r="J63" s="352">
        <f t="shared" si="20"/>
        <v>1241.7208791208764</v>
      </c>
      <c r="K63" s="194">
        <f t="shared" si="21"/>
        <v>88.694348508634022</v>
      </c>
      <c r="L63" s="653"/>
      <c r="M63" s="193">
        <f>RANK(K63, K$42:$K$71)</f>
        <v>6</v>
      </c>
      <c r="N63" s="637"/>
      <c r="O63" s="637"/>
      <c r="P63" s="560">
        <v>14</v>
      </c>
      <c r="Q63" s="562">
        <v>1341.9999999999977</v>
      </c>
      <c r="R63" s="562">
        <v>95.857142857142691</v>
      </c>
      <c r="S63" s="560">
        <f t="shared" si="11"/>
        <v>6</v>
      </c>
      <c r="T63" s="638"/>
      <c r="U63" s="560">
        <v>14</v>
      </c>
      <c r="V63" s="562">
        <v>1384.6153846153809</v>
      </c>
      <c r="W63" s="562">
        <v>98.901098901098635</v>
      </c>
      <c r="X63" s="560">
        <f t="shared" si="12"/>
        <v>3</v>
      </c>
      <c r="Y63" s="638"/>
      <c r="Z63" s="560">
        <v>14</v>
      </c>
      <c r="AA63" s="562">
        <v>1172.1428571428546</v>
      </c>
      <c r="AB63" s="562">
        <v>83.724489795918188</v>
      </c>
      <c r="AC63" s="560">
        <f t="shared" si="13"/>
        <v>11</v>
      </c>
      <c r="AD63" s="638"/>
      <c r="AE63" s="560">
        <v>14</v>
      </c>
      <c r="AF63" s="562">
        <v>1153.8461538461509</v>
      </c>
      <c r="AG63" s="562">
        <v>82.41758241758221</v>
      </c>
      <c r="AH63" s="560">
        <f t="shared" si="14"/>
        <v>10</v>
      </c>
      <c r="AI63" s="638"/>
      <c r="AJ63" s="560">
        <v>14</v>
      </c>
      <c r="AK63" s="562">
        <v>1155.999999999998</v>
      </c>
      <c r="AL63" s="562">
        <v>82.571428571428427</v>
      </c>
      <c r="AM63" s="560">
        <f t="shared" si="15"/>
        <v>10</v>
      </c>
      <c r="AN63" s="638"/>
      <c r="AO63" s="560" t="s">
        <v>557</v>
      </c>
      <c r="AP63" s="562" t="s">
        <v>557</v>
      </c>
      <c r="AQ63" s="562" t="s">
        <v>557</v>
      </c>
      <c r="AR63" s="560" t="e">
        <f t="shared" si="16"/>
        <v>#VALUE!</v>
      </c>
      <c r="AS63" s="638"/>
      <c r="AT63" s="560" t="s">
        <v>557</v>
      </c>
      <c r="AU63" s="562" t="s">
        <v>557</v>
      </c>
      <c r="AV63" s="562" t="s">
        <v>557</v>
      </c>
      <c r="AW63" s="560" t="e">
        <f t="shared" si="17"/>
        <v>#VALUE!</v>
      </c>
      <c r="AX63" s="638"/>
      <c r="AZ63" s="357" t="e">
        <f t="shared" si="18"/>
        <v>#N/A</v>
      </c>
      <c r="BA63" s="638"/>
    </row>
    <row r="64" spans="2:53">
      <c r="B64" s="643"/>
      <c r="C64" s="275">
        <v>23</v>
      </c>
      <c r="D64" s="196" t="s">
        <v>703</v>
      </c>
      <c r="E64" s="554">
        <v>21</v>
      </c>
      <c r="F64" s="196">
        <v>1440</v>
      </c>
      <c r="G64" s="194">
        <v>68.571428571428569</v>
      </c>
      <c r="H64" s="697"/>
      <c r="I64" s="352">
        <f t="shared" si="19"/>
        <v>20.857142857142858</v>
      </c>
      <c r="J64" s="352">
        <f t="shared" si="20"/>
        <v>1366.8962793753265</v>
      </c>
      <c r="K64" s="194">
        <f t="shared" si="21"/>
        <v>65.514385135836349</v>
      </c>
      <c r="L64" s="653"/>
      <c r="M64" s="193">
        <f>RANK(K64, K$42:$K$71)</f>
        <v>23</v>
      </c>
      <c r="N64" s="637"/>
      <c r="O64" s="637"/>
      <c r="P64" s="560">
        <v>21</v>
      </c>
      <c r="Q64" s="562">
        <v>1393.9393939393944</v>
      </c>
      <c r="R64" s="562">
        <v>66.378066378066407</v>
      </c>
      <c r="S64" s="560">
        <f t="shared" si="11"/>
        <v>23</v>
      </c>
      <c r="T64" s="638"/>
      <c r="U64" s="560">
        <v>21</v>
      </c>
      <c r="V64" s="562">
        <v>1409.2682926829264</v>
      </c>
      <c r="W64" s="562">
        <v>67.108013937282209</v>
      </c>
      <c r="X64" s="560">
        <f t="shared" si="12"/>
        <v>20</v>
      </c>
      <c r="Y64" s="638"/>
      <c r="Z64" s="560">
        <v>21</v>
      </c>
      <c r="AA64" s="562">
        <v>1379.1780821917798</v>
      </c>
      <c r="AB64" s="562">
        <v>65.675146771037134</v>
      </c>
      <c r="AC64" s="560">
        <f t="shared" si="13"/>
        <v>23</v>
      </c>
      <c r="AD64" s="638"/>
      <c r="AE64" s="560">
        <v>21</v>
      </c>
      <c r="AF64" s="562">
        <v>1407.1999999999989</v>
      </c>
      <c r="AG64" s="562">
        <v>67.009523809523756</v>
      </c>
      <c r="AH64" s="560">
        <f t="shared" si="14"/>
        <v>21</v>
      </c>
      <c r="AI64" s="638"/>
      <c r="AJ64" s="560">
        <v>21</v>
      </c>
      <c r="AK64" s="562">
        <v>1374.3750000000005</v>
      </c>
      <c r="AL64" s="562">
        <v>65.446428571428598</v>
      </c>
      <c r="AM64" s="560">
        <f t="shared" si="15"/>
        <v>22</v>
      </c>
      <c r="AN64" s="638"/>
      <c r="AO64" s="560">
        <v>20</v>
      </c>
      <c r="AP64" s="562">
        <v>1246.8131868131848</v>
      </c>
      <c r="AQ64" s="562">
        <v>62.340659340659236</v>
      </c>
      <c r="AR64" s="560">
        <f t="shared" si="16"/>
        <v>21</v>
      </c>
      <c r="AS64" s="638"/>
      <c r="AT64" s="560">
        <v>21</v>
      </c>
      <c r="AU64" s="562">
        <v>1357.5000000000007</v>
      </c>
      <c r="AV64" s="562">
        <v>64.642857142857181</v>
      </c>
      <c r="AW64" s="560">
        <f t="shared" si="17"/>
        <v>21</v>
      </c>
      <c r="AX64" s="638"/>
      <c r="AZ64" s="357" t="e">
        <f t="shared" si="18"/>
        <v>#N/A</v>
      </c>
      <c r="BA64" s="638"/>
    </row>
    <row r="65" spans="2:53">
      <c r="B65" s="643"/>
      <c r="C65" s="275">
        <v>24</v>
      </c>
      <c r="D65" s="196" t="s">
        <v>705</v>
      </c>
      <c r="E65" s="554">
        <v>17</v>
      </c>
      <c r="F65" s="196">
        <v>1500</v>
      </c>
      <c r="G65" s="194">
        <v>88.235294117647058</v>
      </c>
      <c r="H65" s="697"/>
      <c r="I65" s="352">
        <f t="shared" si="19"/>
        <v>17</v>
      </c>
      <c r="J65" s="352">
        <f t="shared" si="20"/>
        <v>1436.4413677285736</v>
      </c>
      <c r="K65" s="194">
        <f t="shared" si="21"/>
        <v>84.496551042857263</v>
      </c>
      <c r="L65" s="653"/>
      <c r="M65" s="193">
        <f>RANK(K65, K$42:$K$71)</f>
        <v>11</v>
      </c>
      <c r="N65" s="637"/>
      <c r="O65" s="637"/>
      <c r="P65" s="560">
        <v>17</v>
      </c>
      <c r="Q65" s="562">
        <v>1445.1428571428555</v>
      </c>
      <c r="R65" s="562">
        <v>85.008403361344449</v>
      </c>
      <c r="S65" s="560">
        <f t="shared" si="11"/>
        <v>11</v>
      </c>
      <c r="T65" s="638"/>
      <c r="U65" s="560">
        <v>17</v>
      </c>
      <c r="V65" s="562">
        <v>1447.3684210526326</v>
      </c>
      <c r="W65" s="562">
        <v>85.139318885448972</v>
      </c>
      <c r="X65" s="560">
        <f t="shared" si="12"/>
        <v>9</v>
      </c>
      <c r="Y65" s="638"/>
      <c r="Z65" s="560">
        <v>17</v>
      </c>
      <c r="AA65" s="562">
        <v>1432.5000000000005</v>
      </c>
      <c r="AB65" s="562">
        <v>84.26470588235297</v>
      </c>
      <c r="AC65" s="560">
        <f t="shared" si="13"/>
        <v>10</v>
      </c>
      <c r="AD65" s="638"/>
      <c r="AE65" s="560">
        <v>17</v>
      </c>
      <c r="AF65" s="562">
        <v>1435.102040816327</v>
      </c>
      <c r="AG65" s="562">
        <v>84.41776710684276</v>
      </c>
      <c r="AH65" s="560">
        <f t="shared" si="14"/>
        <v>9</v>
      </c>
      <c r="AI65" s="638"/>
      <c r="AJ65" s="560">
        <v>17</v>
      </c>
      <c r="AK65" s="562">
        <v>1447.5000000000011</v>
      </c>
      <c r="AL65" s="562">
        <v>85.147058823529477</v>
      </c>
      <c r="AM65" s="560">
        <f t="shared" si="15"/>
        <v>9</v>
      </c>
      <c r="AN65" s="638"/>
      <c r="AO65" s="560">
        <v>17</v>
      </c>
      <c r="AP65" s="562">
        <v>1426.5671641791064</v>
      </c>
      <c r="AQ65" s="562">
        <v>83.915715539947428</v>
      </c>
      <c r="AR65" s="560">
        <f t="shared" si="16"/>
        <v>9</v>
      </c>
      <c r="AS65" s="638"/>
      <c r="AT65" s="560">
        <v>17</v>
      </c>
      <c r="AU65" s="562">
        <v>1420.9090909090926</v>
      </c>
      <c r="AV65" s="562">
        <v>83.582887700534855</v>
      </c>
      <c r="AW65" s="560">
        <f t="shared" si="17"/>
        <v>9</v>
      </c>
      <c r="AX65" s="638"/>
      <c r="AZ65" s="357" t="e">
        <f t="shared" si="18"/>
        <v>#N/A</v>
      </c>
      <c r="BA65" s="638"/>
    </row>
    <row r="66" spans="2:53">
      <c r="B66" s="643"/>
      <c r="C66" s="275">
        <v>25</v>
      </c>
      <c r="D66" s="196" t="s">
        <v>719</v>
      </c>
      <c r="E66" s="554">
        <v>19</v>
      </c>
      <c r="F66" s="196">
        <v>1440</v>
      </c>
      <c r="G66" s="194">
        <v>75.78947368421052</v>
      </c>
      <c r="H66" s="697"/>
      <c r="I66" s="352">
        <f t="shared" si="19"/>
        <v>19</v>
      </c>
      <c r="J66" s="352">
        <f t="shared" si="20"/>
        <v>1279.9467157049155</v>
      </c>
      <c r="K66" s="194">
        <f t="shared" si="21"/>
        <v>67.365616616048186</v>
      </c>
      <c r="L66" s="653"/>
      <c r="M66" s="193">
        <f>RANK(K66, K$42:$K$71)</f>
        <v>21</v>
      </c>
      <c r="N66" s="637"/>
      <c r="O66" s="637"/>
      <c r="P66" s="560">
        <v>19</v>
      </c>
      <c r="Q66" s="562">
        <v>1273.3333333333339</v>
      </c>
      <c r="R66" s="562">
        <v>67.017543859649152</v>
      </c>
      <c r="S66" s="560">
        <f t="shared" si="11"/>
        <v>22</v>
      </c>
      <c r="T66" s="638"/>
      <c r="U66" s="560">
        <v>19</v>
      </c>
      <c r="V66" s="562">
        <v>1225.2000000000003</v>
      </c>
      <c r="W66" s="562">
        <v>64.484210526315806</v>
      </c>
      <c r="X66" s="560">
        <f t="shared" si="12"/>
        <v>23</v>
      </c>
      <c r="Y66" s="638"/>
      <c r="Z66" s="560">
        <v>19</v>
      </c>
      <c r="AA66" s="562">
        <v>1306.2500000000005</v>
      </c>
      <c r="AB66" s="562">
        <v>68.750000000000028</v>
      </c>
      <c r="AC66" s="560">
        <f t="shared" si="13"/>
        <v>21</v>
      </c>
      <c r="AD66" s="638"/>
      <c r="AE66" s="560">
        <v>19</v>
      </c>
      <c r="AF66" s="562">
        <v>1300.4081632653065</v>
      </c>
      <c r="AG66" s="562">
        <v>68.442534908700338</v>
      </c>
      <c r="AH66" s="560">
        <f t="shared" si="14"/>
        <v>20</v>
      </c>
      <c r="AI66" s="638"/>
      <c r="AJ66" s="560">
        <v>19</v>
      </c>
      <c r="AK66" s="562">
        <v>1285.7142857142844</v>
      </c>
      <c r="AL66" s="562">
        <v>67.669172932330753</v>
      </c>
      <c r="AM66" s="560">
        <f t="shared" si="15"/>
        <v>20</v>
      </c>
      <c r="AN66" s="638"/>
      <c r="AO66" s="560">
        <v>19</v>
      </c>
      <c r="AP66" s="562">
        <v>1291.7647058823534</v>
      </c>
      <c r="AQ66" s="562">
        <v>67.987616099071232</v>
      </c>
      <c r="AR66" s="560">
        <f t="shared" si="16"/>
        <v>19</v>
      </c>
      <c r="AS66" s="638"/>
      <c r="AT66" s="560">
        <v>19</v>
      </c>
      <c r="AU66" s="562">
        <v>1276.9565217391305</v>
      </c>
      <c r="AV66" s="562">
        <v>67.208237986270021</v>
      </c>
      <c r="AW66" s="560">
        <f t="shared" si="17"/>
        <v>20</v>
      </c>
      <c r="AX66" s="638"/>
      <c r="AZ66" s="357" t="e">
        <f t="shared" si="18"/>
        <v>#N/A</v>
      </c>
      <c r="BA66" s="638"/>
    </row>
    <row r="67" spans="2:53">
      <c r="B67" s="643"/>
      <c r="C67" s="275">
        <v>26</v>
      </c>
      <c r="D67" s="196"/>
      <c r="E67" s="554"/>
      <c r="F67" s="196"/>
      <c r="G67" s="194"/>
      <c r="H67" s="697"/>
      <c r="I67" s="352" t="str">
        <f t="shared" si="19"/>
        <v>-</v>
      </c>
      <c r="J67" s="352" t="str">
        <f t="shared" si="20"/>
        <v>-</v>
      </c>
      <c r="K67" s="194" t="str">
        <f t="shared" si="21"/>
        <v>-</v>
      </c>
      <c r="L67" s="653"/>
      <c r="M67" s="193" t="e">
        <f>RANK(K67, K$42:$K$71)</f>
        <v>#VALUE!</v>
      </c>
      <c r="N67" s="637"/>
      <c r="O67" s="637"/>
      <c r="P67" s="560" t="s">
        <v>557</v>
      </c>
      <c r="Q67" s="562" t="s">
        <v>557</v>
      </c>
      <c r="R67" s="562" t="s">
        <v>557</v>
      </c>
      <c r="S67" s="560" t="e">
        <f t="shared" si="11"/>
        <v>#VALUE!</v>
      </c>
      <c r="T67" s="638"/>
      <c r="U67" s="560" t="s">
        <v>557</v>
      </c>
      <c r="V67" s="562" t="s">
        <v>557</v>
      </c>
      <c r="W67" s="562" t="s">
        <v>557</v>
      </c>
      <c r="X67" s="560" t="e">
        <f t="shared" si="12"/>
        <v>#VALUE!</v>
      </c>
      <c r="Y67" s="638"/>
      <c r="Z67" s="560" t="s">
        <v>557</v>
      </c>
      <c r="AA67" s="562" t="s">
        <v>557</v>
      </c>
      <c r="AB67" s="562" t="s">
        <v>557</v>
      </c>
      <c r="AC67" s="560" t="e">
        <f t="shared" si="13"/>
        <v>#VALUE!</v>
      </c>
      <c r="AD67" s="638"/>
      <c r="AE67" s="560" t="s">
        <v>557</v>
      </c>
      <c r="AF67" s="562" t="s">
        <v>557</v>
      </c>
      <c r="AG67" s="562" t="s">
        <v>557</v>
      </c>
      <c r="AH67" s="560" t="e">
        <f t="shared" si="14"/>
        <v>#VALUE!</v>
      </c>
      <c r="AI67" s="638"/>
      <c r="AJ67" s="560" t="s">
        <v>557</v>
      </c>
      <c r="AK67" s="562" t="s">
        <v>557</v>
      </c>
      <c r="AL67" s="562" t="s">
        <v>557</v>
      </c>
      <c r="AM67" s="560" t="e">
        <f t="shared" si="15"/>
        <v>#VALUE!</v>
      </c>
      <c r="AN67" s="638"/>
      <c r="AO67" s="560" t="s">
        <v>557</v>
      </c>
      <c r="AP67" s="562" t="s">
        <v>557</v>
      </c>
      <c r="AQ67" s="562" t="s">
        <v>557</v>
      </c>
      <c r="AR67" s="560" t="e">
        <f t="shared" si="16"/>
        <v>#VALUE!</v>
      </c>
      <c r="AS67" s="638"/>
      <c r="AT67" s="560" t="s">
        <v>557</v>
      </c>
      <c r="AU67" s="562" t="s">
        <v>557</v>
      </c>
      <c r="AV67" s="562" t="s">
        <v>557</v>
      </c>
      <c r="AW67" s="560" t="e">
        <f t="shared" si="17"/>
        <v>#VALUE!</v>
      </c>
      <c r="AX67" s="638"/>
      <c r="AZ67" s="357" t="e">
        <f t="shared" si="18"/>
        <v>#N/A</v>
      </c>
      <c r="BA67" s="638"/>
    </row>
    <row r="68" spans="2:53">
      <c r="B68" s="643"/>
      <c r="C68" s="275">
        <v>27</v>
      </c>
      <c r="D68" s="196"/>
      <c r="E68" s="554"/>
      <c r="F68" s="196"/>
      <c r="G68" s="194"/>
      <c r="H68" s="697"/>
      <c r="I68" s="352" t="str">
        <f t="shared" si="19"/>
        <v>-</v>
      </c>
      <c r="J68" s="352" t="str">
        <f t="shared" si="20"/>
        <v>-</v>
      </c>
      <c r="K68" s="194" t="str">
        <f t="shared" si="21"/>
        <v>-</v>
      </c>
      <c r="L68" s="653"/>
      <c r="M68" s="193" t="e">
        <f>RANK(K68, K$42:$K$71)</f>
        <v>#VALUE!</v>
      </c>
      <c r="N68" s="637"/>
      <c r="O68" s="637"/>
      <c r="P68" s="560" t="s">
        <v>557</v>
      </c>
      <c r="Q68" s="562" t="s">
        <v>557</v>
      </c>
      <c r="R68" s="562" t="s">
        <v>557</v>
      </c>
      <c r="S68" s="560" t="e">
        <f t="shared" si="11"/>
        <v>#VALUE!</v>
      </c>
      <c r="T68" s="638"/>
      <c r="U68" s="560" t="s">
        <v>557</v>
      </c>
      <c r="V68" s="562" t="s">
        <v>557</v>
      </c>
      <c r="W68" s="562" t="s">
        <v>557</v>
      </c>
      <c r="X68" s="560" t="e">
        <f t="shared" si="12"/>
        <v>#VALUE!</v>
      </c>
      <c r="Y68" s="638"/>
      <c r="Z68" s="560" t="s">
        <v>557</v>
      </c>
      <c r="AA68" s="562" t="s">
        <v>557</v>
      </c>
      <c r="AB68" s="562" t="s">
        <v>557</v>
      </c>
      <c r="AC68" s="560" t="e">
        <f t="shared" si="13"/>
        <v>#VALUE!</v>
      </c>
      <c r="AD68" s="638"/>
      <c r="AE68" s="560" t="s">
        <v>557</v>
      </c>
      <c r="AF68" s="562" t="s">
        <v>557</v>
      </c>
      <c r="AG68" s="562" t="s">
        <v>557</v>
      </c>
      <c r="AH68" s="560" t="e">
        <f t="shared" si="14"/>
        <v>#VALUE!</v>
      </c>
      <c r="AI68" s="638"/>
      <c r="AJ68" s="560" t="s">
        <v>557</v>
      </c>
      <c r="AK68" s="562" t="s">
        <v>557</v>
      </c>
      <c r="AL68" s="562" t="s">
        <v>557</v>
      </c>
      <c r="AM68" s="560" t="e">
        <f t="shared" si="15"/>
        <v>#VALUE!</v>
      </c>
      <c r="AN68" s="638"/>
      <c r="AO68" s="560" t="s">
        <v>557</v>
      </c>
      <c r="AP68" s="562" t="s">
        <v>557</v>
      </c>
      <c r="AQ68" s="562" t="s">
        <v>557</v>
      </c>
      <c r="AR68" s="560" t="e">
        <f t="shared" si="16"/>
        <v>#VALUE!</v>
      </c>
      <c r="AS68" s="638"/>
      <c r="AT68" s="560" t="s">
        <v>557</v>
      </c>
      <c r="AU68" s="562" t="s">
        <v>557</v>
      </c>
      <c r="AV68" s="562" t="s">
        <v>557</v>
      </c>
      <c r="AW68" s="560" t="e">
        <f t="shared" si="17"/>
        <v>#VALUE!</v>
      </c>
      <c r="AX68" s="638"/>
      <c r="AZ68" s="357" t="e">
        <f t="shared" si="18"/>
        <v>#N/A</v>
      </c>
      <c r="BA68" s="638"/>
    </row>
    <row r="69" spans="2:53">
      <c r="B69" s="643"/>
      <c r="C69" s="275">
        <v>28</v>
      </c>
      <c r="D69" s="196"/>
      <c r="E69" s="554"/>
      <c r="F69" s="196"/>
      <c r="G69" s="194"/>
      <c r="H69" s="697"/>
      <c r="I69" s="352" t="str">
        <f t="shared" si="19"/>
        <v>-</v>
      </c>
      <c r="J69" s="352" t="str">
        <f t="shared" si="20"/>
        <v>-</v>
      </c>
      <c r="K69" s="194" t="str">
        <f t="shared" si="21"/>
        <v>-</v>
      </c>
      <c r="L69" s="653"/>
      <c r="M69" s="193" t="e">
        <f>RANK(K69, K$42:$K$71)</f>
        <v>#VALUE!</v>
      </c>
      <c r="N69" s="637"/>
      <c r="O69" s="637"/>
      <c r="P69" s="560" t="s">
        <v>557</v>
      </c>
      <c r="Q69" s="562" t="s">
        <v>557</v>
      </c>
      <c r="R69" s="562" t="s">
        <v>557</v>
      </c>
      <c r="S69" s="560" t="e">
        <f t="shared" si="11"/>
        <v>#VALUE!</v>
      </c>
      <c r="T69" s="638"/>
      <c r="U69" s="560" t="s">
        <v>557</v>
      </c>
      <c r="V69" s="562" t="s">
        <v>557</v>
      </c>
      <c r="W69" s="562" t="s">
        <v>557</v>
      </c>
      <c r="X69" s="560" t="e">
        <f t="shared" si="12"/>
        <v>#VALUE!</v>
      </c>
      <c r="Y69" s="638"/>
      <c r="Z69" s="560" t="s">
        <v>557</v>
      </c>
      <c r="AA69" s="562" t="s">
        <v>557</v>
      </c>
      <c r="AB69" s="562" t="s">
        <v>557</v>
      </c>
      <c r="AC69" s="560" t="e">
        <f t="shared" si="13"/>
        <v>#VALUE!</v>
      </c>
      <c r="AD69" s="638"/>
      <c r="AE69" s="560" t="s">
        <v>557</v>
      </c>
      <c r="AF69" s="562" t="s">
        <v>557</v>
      </c>
      <c r="AG69" s="562" t="s">
        <v>557</v>
      </c>
      <c r="AH69" s="560" t="e">
        <f t="shared" si="14"/>
        <v>#VALUE!</v>
      </c>
      <c r="AI69" s="638"/>
      <c r="AJ69" s="560" t="s">
        <v>557</v>
      </c>
      <c r="AK69" s="562" t="s">
        <v>557</v>
      </c>
      <c r="AL69" s="562" t="s">
        <v>557</v>
      </c>
      <c r="AM69" s="560" t="e">
        <f t="shared" si="15"/>
        <v>#VALUE!</v>
      </c>
      <c r="AN69" s="638"/>
      <c r="AO69" s="560" t="s">
        <v>557</v>
      </c>
      <c r="AP69" s="562" t="s">
        <v>557</v>
      </c>
      <c r="AQ69" s="562" t="s">
        <v>557</v>
      </c>
      <c r="AR69" s="560" t="e">
        <f t="shared" si="16"/>
        <v>#VALUE!</v>
      </c>
      <c r="AS69" s="638"/>
      <c r="AT69" s="560" t="s">
        <v>557</v>
      </c>
      <c r="AU69" s="562" t="s">
        <v>557</v>
      </c>
      <c r="AV69" s="562" t="s">
        <v>557</v>
      </c>
      <c r="AW69" s="560" t="e">
        <f t="shared" si="17"/>
        <v>#VALUE!</v>
      </c>
      <c r="AX69" s="638"/>
      <c r="AZ69" s="357" t="e">
        <f t="shared" si="18"/>
        <v>#N/A</v>
      </c>
      <c r="BA69" s="638"/>
    </row>
    <row r="70" spans="2:53">
      <c r="B70" s="643"/>
      <c r="C70" s="275">
        <v>29</v>
      </c>
      <c r="D70" s="196"/>
      <c r="E70" s="554"/>
      <c r="F70" s="196"/>
      <c r="G70" s="194"/>
      <c r="H70" s="697"/>
      <c r="I70" s="352" t="str">
        <f t="shared" si="19"/>
        <v>-</v>
      </c>
      <c r="J70" s="352" t="str">
        <f t="shared" si="20"/>
        <v>-</v>
      </c>
      <c r="K70" s="194" t="str">
        <f t="shared" si="21"/>
        <v>-</v>
      </c>
      <c r="L70" s="653"/>
      <c r="M70" s="193" t="e">
        <f>RANK(K70, K$42:$K$71)</f>
        <v>#VALUE!</v>
      </c>
      <c r="N70" s="637"/>
      <c r="O70" s="637"/>
      <c r="P70" s="560" t="s">
        <v>557</v>
      </c>
      <c r="Q70" s="562" t="s">
        <v>557</v>
      </c>
      <c r="R70" s="562" t="s">
        <v>557</v>
      </c>
      <c r="S70" s="560" t="e">
        <f t="shared" si="11"/>
        <v>#VALUE!</v>
      </c>
      <c r="T70" s="638"/>
      <c r="U70" s="560" t="s">
        <v>557</v>
      </c>
      <c r="V70" s="562" t="s">
        <v>557</v>
      </c>
      <c r="W70" s="562" t="s">
        <v>557</v>
      </c>
      <c r="X70" s="560" t="e">
        <f t="shared" si="12"/>
        <v>#VALUE!</v>
      </c>
      <c r="Y70" s="638"/>
      <c r="Z70" s="560" t="s">
        <v>557</v>
      </c>
      <c r="AA70" s="562" t="s">
        <v>557</v>
      </c>
      <c r="AB70" s="562" t="s">
        <v>557</v>
      </c>
      <c r="AC70" s="560" t="e">
        <f t="shared" si="13"/>
        <v>#VALUE!</v>
      </c>
      <c r="AD70" s="638"/>
      <c r="AE70" s="560" t="s">
        <v>557</v>
      </c>
      <c r="AF70" s="562" t="s">
        <v>557</v>
      </c>
      <c r="AG70" s="562" t="s">
        <v>557</v>
      </c>
      <c r="AH70" s="560" t="e">
        <f t="shared" si="14"/>
        <v>#VALUE!</v>
      </c>
      <c r="AI70" s="638"/>
      <c r="AJ70" s="560" t="s">
        <v>557</v>
      </c>
      <c r="AK70" s="562" t="s">
        <v>557</v>
      </c>
      <c r="AL70" s="562" t="s">
        <v>557</v>
      </c>
      <c r="AM70" s="560" t="e">
        <f t="shared" si="15"/>
        <v>#VALUE!</v>
      </c>
      <c r="AN70" s="638"/>
      <c r="AO70" s="560" t="s">
        <v>557</v>
      </c>
      <c r="AP70" s="562" t="s">
        <v>557</v>
      </c>
      <c r="AQ70" s="562" t="s">
        <v>557</v>
      </c>
      <c r="AR70" s="560" t="e">
        <f t="shared" si="16"/>
        <v>#VALUE!</v>
      </c>
      <c r="AS70" s="638"/>
      <c r="AT70" s="560" t="s">
        <v>557</v>
      </c>
      <c r="AU70" s="562" t="s">
        <v>557</v>
      </c>
      <c r="AV70" s="562" t="s">
        <v>557</v>
      </c>
      <c r="AW70" s="560" t="e">
        <f t="shared" si="17"/>
        <v>#VALUE!</v>
      </c>
      <c r="AX70" s="638"/>
      <c r="AZ70" s="357" t="e">
        <f t="shared" si="18"/>
        <v>#N/A</v>
      </c>
      <c r="BA70" s="638"/>
    </row>
    <row r="71" spans="2:53">
      <c r="B71" s="643"/>
      <c r="C71" s="275">
        <v>30</v>
      </c>
      <c r="D71" s="196"/>
      <c r="E71" s="554"/>
      <c r="F71" s="196"/>
      <c r="G71" s="194"/>
      <c r="H71" s="698"/>
      <c r="I71" s="352" t="str">
        <f t="shared" si="19"/>
        <v>-</v>
      </c>
      <c r="J71" s="352" t="str">
        <f t="shared" si="20"/>
        <v>-</v>
      </c>
      <c r="K71" s="194" t="str">
        <f t="shared" si="21"/>
        <v>-</v>
      </c>
      <c r="L71" s="654"/>
      <c r="M71" s="193" t="e">
        <f>RANK(K71, K$42:$K$71)</f>
        <v>#VALUE!</v>
      </c>
      <c r="N71" s="637"/>
      <c r="O71" s="637"/>
      <c r="P71" s="560" t="s">
        <v>557</v>
      </c>
      <c r="Q71" s="562" t="s">
        <v>557</v>
      </c>
      <c r="R71" s="562" t="s">
        <v>557</v>
      </c>
      <c r="S71" s="560" t="e">
        <f t="shared" si="11"/>
        <v>#VALUE!</v>
      </c>
      <c r="T71" s="638"/>
      <c r="U71" s="560" t="s">
        <v>557</v>
      </c>
      <c r="V71" s="562" t="s">
        <v>557</v>
      </c>
      <c r="W71" s="562" t="s">
        <v>557</v>
      </c>
      <c r="X71" s="560" t="e">
        <f t="shared" si="12"/>
        <v>#VALUE!</v>
      </c>
      <c r="Y71" s="638"/>
      <c r="Z71" s="560" t="s">
        <v>557</v>
      </c>
      <c r="AA71" s="562" t="s">
        <v>557</v>
      </c>
      <c r="AB71" s="562" t="s">
        <v>557</v>
      </c>
      <c r="AC71" s="560" t="e">
        <f t="shared" si="13"/>
        <v>#VALUE!</v>
      </c>
      <c r="AD71" s="638"/>
      <c r="AE71" s="560" t="s">
        <v>557</v>
      </c>
      <c r="AF71" s="562" t="s">
        <v>557</v>
      </c>
      <c r="AG71" s="562" t="s">
        <v>557</v>
      </c>
      <c r="AH71" s="560" t="e">
        <f t="shared" si="14"/>
        <v>#VALUE!</v>
      </c>
      <c r="AI71" s="638"/>
      <c r="AJ71" s="560" t="s">
        <v>557</v>
      </c>
      <c r="AK71" s="562" t="s">
        <v>557</v>
      </c>
      <c r="AL71" s="562" t="s">
        <v>557</v>
      </c>
      <c r="AM71" s="560" t="e">
        <f t="shared" si="15"/>
        <v>#VALUE!</v>
      </c>
      <c r="AN71" s="638"/>
      <c r="AO71" s="560" t="s">
        <v>557</v>
      </c>
      <c r="AP71" s="562" t="s">
        <v>557</v>
      </c>
      <c r="AQ71" s="562" t="s">
        <v>557</v>
      </c>
      <c r="AR71" s="560" t="e">
        <f t="shared" si="16"/>
        <v>#VALUE!</v>
      </c>
      <c r="AS71" s="638"/>
      <c r="AT71" s="560" t="s">
        <v>557</v>
      </c>
      <c r="AU71" s="562" t="s">
        <v>557</v>
      </c>
      <c r="AV71" s="562" t="s">
        <v>557</v>
      </c>
      <c r="AW71" s="560" t="e">
        <f t="shared" si="17"/>
        <v>#VALUE!</v>
      </c>
      <c r="AX71" s="638"/>
      <c r="AZ71" s="357" t="e">
        <f t="shared" si="18"/>
        <v>#N/A</v>
      </c>
      <c r="BA71" s="638"/>
    </row>
    <row r="72" spans="2:53" ht="15.75">
      <c r="B72" s="676" t="s">
        <v>162</v>
      </c>
      <c r="C72" s="677"/>
      <c r="D72" s="677"/>
      <c r="E72" s="677"/>
      <c r="F72" s="677"/>
      <c r="G72" s="677"/>
      <c r="H72" s="677"/>
      <c r="I72" s="202"/>
      <c r="J72" s="197"/>
      <c r="K72" s="202"/>
      <c r="L72" s="202"/>
      <c r="M72" s="198"/>
      <c r="N72" s="639" t="s">
        <v>156</v>
      </c>
      <c r="O72" s="639" t="s">
        <v>105</v>
      </c>
      <c r="P72" s="661">
        <f>P37+7</f>
        <v>46308</v>
      </c>
      <c r="Q72" s="662"/>
      <c r="R72" s="662"/>
      <c r="S72" s="662"/>
      <c r="T72" s="663"/>
      <c r="U72" s="661">
        <f>P72+1</f>
        <v>46309</v>
      </c>
      <c r="V72" s="662"/>
      <c r="W72" s="662"/>
      <c r="X72" s="662"/>
      <c r="Y72" s="663"/>
      <c r="Z72" s="661">
        <f>U72+1</f>
        <v>46310</v>
      </c>
      <c r="AA72" s="662"/>
      <c r="AB72" s="662"/>
      <c r="AC72" s="662"/>
      <c r="AD72" s="663"/>
      <c r="AE72" s="661">
        <f>Z72+1</f>
        <v>46311</v>
      </c>
      <c r="AF72" s="662"/>
      <c r="AG72" s="662"/>
      <c r="AH72" s="662"/>
      <c r="AI72" s="663"/>
      <c r="AJ72" s="661">
        <f>AE72+1</f>
        <v>46312</v>
      </c>
      <c r="AK72" s="662"/>
      <c r="AL72" s="662"/>
      <c r="AM72" s="662"/>
      <c r="AN72" s="663"/>
      <c r="AO72" s="661">
        <f>AJ72+1</f>
        <v>46313</v>
      </c>
      <c r="AP72" s="662"/>
      <c r="AQ72" s="662"/>
      <c r="AR72" s="662"/>
      <c r="AS72" s="663"/>
      <c r="AT72" s="661">
        <f>AO72+1</f>
        <v>46314</v>
      </c>
      <c r="AU72" s="662"/>
      <c r="AV72" s="662"/>
      <c r="AW72" s="662"/>
      <c r="AX72" s="663"/>
    </row>
    <row r="73" spans="2:53" ht="15.75">
      <c r="B73" s="668"/>
      <c r="C73" s="668"/>
      <c r="D73" s="668"/>
      <c r="E73" s="668"/>
      <c r="F73" s="668"/>
      <c r="G73" s="668"/>
      <c r="H73" s="668"/>
      <c r="I73" s="199"/>
      <c r="J73" s="199"/>
      <c r="K73" s="199"/>
      <c r="L73" s="199"/>
      <c r="M73" s="200"/>
      <c r="N73" s="641"/>
      <c r="O73" s="641"/>
      <c r="P73" s="661" t="s">
        <v>317</v>
      </c>
      <c r="Q73" s="662"/>
      <c r="R73" s="662"/>
      <c r="S73" s="662"/>
      <c r="T73" s="663"/>
      <c r="U73" s="661" t="s">
        <v>318</v>
      </c>
      <c r="V73" s="662"/>
      <c r="W73" s="662"/>
      <c r="X73" s="662"/>
      <c r="Y73" s="663"/>
      <c r="Z73" s="661" t="s">
        <v>319</v>
      </c>
      <c r="AA73" s="662"/>
      <c r="AB73" s="662"/>
      <c r="AC73" s="662"/>
      <c r="AD73" s="663"/>
      <c r="AE73" s="661" t="s">
        <v>320</v>
      </c>
      <c r="AF73" s="662"/>
      <c r="AG73" s="662"/>
      <c r="AH73" s="662"/>
      <c r="AI73" s="663"/>
      <c r="AJ73" s="661" t="s">
        <v>321</v>
      </c>
      <c r="AK73" s="662"/>
      <c r="AL73" s="662"/>
      <c r="AM73" s="662"/>
      <c r="AN73" s="663"/>
      <c r="AO73" s="661" t="s">
        <v>322</v>
      </c>
      <c r="AP73" s="662"/>
      <c r="AQ73" s="662"/>
      <c r="AR73" s="662"/>
      <c r="AS73" s="663"/>
      <c r="AT73" s="661" t="s">
        <v>323</v>
      </c>
      <c r="AU73" s="662"/>
      <c r="AV73" s="662"/>
      <c r="AW73" s="662"/>
      <c r="AX73" s="663"/>
    </row>
    <row r="74" spans="2:53">
      <c r="B74" s="637" t="s">
        <v>398</v>
      </c>
      <c r="C74" s="637" t="s">
        <v>399</v>
      </c>
      <c r="D74" s="637"/>
      <c r="E74" s="637" t="s">
        <v>400</v>
      </c>
      <c r="F74" s="637"/>
      <c r="G74" s="637"/>
      <c r="H74" s="669" t="s">
        <v>401</v>
      </c>
      <c r="I74" s="684" t="s">
        <v>402</v>
      </c>
      <c r="J74" s="684"/>
      <c r="K74" s="684"/>
      <c r="L74" s="685" t="s">
        <v>401</v>
      </c>
      <c r="M74" s="673" t="s">
        <v>403</v>
      </c>
      <c r="N74" s="637"/>
      <c r="O74" s="637" t="s">
        <v>404</v>
      </c>
      <c r="P74" s="655" t="s">
        <v>405</v>
      </c>
      <c r="Q74" s="656"/>
      <c r="R74" s="656"/>
      <c r="S74" s="657"/>
      <c r="T74" s="637" t="s">
        <v>401</v>
      </c>
      <c r="U74" s="655" t="s">
        <v>405</v>
      </c>
      <c r="V74" s="656"/>
      <c r="W74" s="656"/>
      <c r="X74" s="657"/>
      <c r="Y74" s="637" t="s">
        <v>401</v>
      </c>
      <c r="Z74" s="655" t="s">
        <v>405</v>
      </c>
      <c r="AA74" s="656"/>
      <c r="AB74" s="656"/>
      <c r="AC74" s="657"/>
      <c r="AD74" s="637" t="s">
        <v>401</v>
      </c>
      <c r="AE74" s="655" t="s">
        <v>405</v>
      </c>
      <c r="AF74" s="656"/>
      <c r="AG74" s="656"/>
      <c r="AH74" s="657"/>
      <c r="AI74" s="637" t="s">
        <v>401</v>
      </c>
      <c r="AJ74" s="655" t="s">
        <v>405</v>
      </c>
      <c r="AK74" s="656"/>
      <c r="AL74" s="656"/>
      <c r="AM74" s="657"/>
      <c r="AN74" s="637" t="s">
        <v>401</v>
      </c>
      <c r="AO74" s="655" t="s">
        <v>405</v>
      </c>
      <c r="AP74" s="656"/>
      <c r="AQ74" s="656"/>
      <c r="AR74" s="657"/>
      <c r="AS74" s="637" t="s">
        <v>401</v>
      </c>
      <c r="AT74" s="655" t="s">
        <v>405</v>
      </c>
      <c r="AU74" s="656"/>
      <c r="AV74" s="656"/>
      <c r="AW74" s="657"/>
      <c r="AX74" s="637" t="s">
        <v>401</v>
      </c>
      <c r="BA74" s="637" t="s">
        <v>357</v>
      </c>
    </row>
    <row r="75" spans="2:53">
      <c r="B75" s="637"/>
      <c r="C75" s="637"/>
      <c r="D75" s="637"/>
      <c r="E75" s="637" t="s">
        <v>406</v>
      </c>
      <c r="F75" s="637"/>
      <c r="G75" s="637"/>
      <c r="H75" s="670"/>
      <c r="I75" s="684" t="s">
        <v>406</v>
      </c>
      <c r="J75" s="684"/>
      <c r="K75" s="684"/>
      <c r="L75" s="686"/>
      <c r="M75" s="674"/>
      <c r="N75" s="637"/>
      <c r="O75" s="637"/>
      <c r="P75" s="655" t="s">
        <v>407</v>
      </c>
      <c r="Q75" s="656"/>
      <c r="R75" s="656"/>
      <c r="S75" s="657"/>
      <c r="T75" s="637"/>
      <c r="U75" s="655" t="s">
        <v>407</v>
      </c>
      <c r="V75" s="656"/>
      <c r="W75" s="656"/>
      <c r="X75" s="657"/>
      <c r="Y75" s="637"/>
      <c r="Z75" s="655" t="s">
        <v>407</v>
      </c>
      <c r="AA75" s="656"/>
      <c r="AB75" s="656"/>
      <c r="AC75" s="657"/>
      <c r="AD75" s="637"/>
      <c r="AE75" s="655" t="s">
        <v>407</v>
      </c>
      <c r="AF75" s="656"/>
      <c r="AG75" s="656"/>
      <c r="AH75" s="657"/>
      <c r="AI75" s="637"/>
      <c r="AJ75" s="655" t="s">
        <v>407</v>
      </c>
      <c r="AK75" s="656"/>
      <c r="AL75" s="656"/>
      <c r="AM75" s="657"/>
      <c r="AN75" s="637"/>
      <c r="AO75" s="655" t="s">
        <v>407</v>
      </c>
      <c r="AP75" s="656"/>
      <c r="AQ75" s="656"/>
      <c r="AR75" s="657"/>
      <c r="AS75" s="637"/>
      <c r="AT75" s="655" t="s">
        <v>407</v>
      </c>
      <c r="AU75" s="656"/>
      <c r="AV75" s="656"/>
      <c r="AW75" s="657"/>
      <c r="AX75" s="637"/>
      <c r="BA75" s="637"/>
    </row>
    <row r="76" spans="2:53">
      <c r="B76" s="637"/>
      <c r="C76" s="637"/>
      <c r="D76" s="637"/>
      <c r="E76" s="274" t="s">
        <v>408</v>
      </c>
      <c r="F76" s="274" t="s">
        <v>409</v>
      </c>
      <c r="G76" s="274" t="s">
        <v>410</v>
      </c>
      <c r="H76" s="671"/>
      <c r="I76" s="273" t="s">
        <v>408</v>
      </c>
      <c r="J76" s="273" t="s">
        <v>409</v>
      </c>
      <c r="K76" s="273" t="s">
        <v>410</v>
      </c>
      <c r="L76" s="687"/>
      <c r="M76" s="675"/>
      <c r="N76" s="637"/>
      <c r="O76" s="637"/>
      <c r="P76" s="274" t="s">
        <v>408</v>
      </c>
      <c r="Q76" s="274" t="s">
        <v>409</v>
      </c>
      <c r="R76" s="274" t="s">
        <v>410</v>
      </c>
      <c r="S76" s="274" t="s">
        <v>403</v>
      </c>
      <c r="T76" s="637"/>
      <c r="U76" s="274" t="s">
        <v>408</v>
      </c>
      <c r="V76" s="274" t="s">
        <v>409</v>
      </c>
      <c r="W76" s="274" t="s">
        <v>410</v>
      </c>
      <c r="X76" s="274" t="s">
        <v>403</v>
      </c>
      <c r="Y76" s="637"/>
      <c r="Z76" s="274" t="s">
        <v>408</v>
      </c>
      <c r="AA76" s="274" t="s">
        <v>409</v>
      </c>
      <c r="AB76" s="274" t="s">
        <v>410</v>
      </c>
      <c r="AC76" s="274" t="s">
        <v>403</v>
      </c>
      <c r="AD76" s="637"/>
      <c r="AE76" s="274" t="s">
        <v>408</v>
      </c>
      <c r="AF76" s="274" t="s">
        <v>409</v>
      </c>
      <c r="AG76" s="274" t="s">
        <v>410</v>
      </c>
      <c r="AH76" s="274" t="s">
        <v>403</v>
      </c>
      <c r="AI76" s="637"/>
      <c r="AJ76" s="274" t="s">
        <v>408</v>
      </c>
      <c r="AK76" s="274" t="s">
        <v>409</v>
      </c>
      <c r="AL76" s="274" t="s">
        <v>410</v>
      </c>
      <c r="AM76" s="274" t="s">
        <v>403</v>
      </c>
      <c r="AN76" s="637"/>
      <c r="AO76" s="274" t="s">
        <v>408</v>
      </c>
      <c r="AP76" s="274" t="s">
        <v>409</v>
      </c>
      <c r="AQ76" s="274" t="s">
        <v>410</v>
      </c>
      <c r="AR76" s="274" t="s">
        <v>403</v>
      </c>
      <c r="AS76" s="637"/>
      <c r="AT76" s="274" t="s">
        <v>408</v>
      </c>
      <c r="AU76" s="274" t="s">
        <v>409</v>
      </c>
      <c r="AV76" s="274" t="s">
        <v>410</v>
      </c>
      <c r="AW76" s="274" t="s">
        <v>403</v>
      </c>
      <c r="AX76" s="637"/>
      <c r="AZ76" s="356" t="s">
        <v>358</v>
      </c>
      <c r="BA76" s="637"/>
    </row>
    <row r="77" spans="2:53">
      <c r="B77" s="637" t="s">
        <v>411</v>
      </c>
      <c r="C77" s="275">
        <v>1</v>
      </c>
      <c r="D77" s="196"/>
      <c r="E77" s="554"/>
      <c r="F77" s="196"/>
      <c r="G77" s="194"/>
      <c r="H77" s="696" t="e">
        <f>AVERAGE(G77:G106)</f>
        <v>#DIV/0!</v>
      </c>
      <c r="I77" s="352" t="str">
        <f>IFERROR(AVERAGE(P77,U77,Z77,AE77,AJ77,AO77,AT77),"-")</f>
        <v>-</v>
      </c>
      <c r="J77" s="352" t="str">
        <f>IFERROR(AVERAGE(Q77,V77,AA77,AF77,AK77,AP77,AU77),"-")</f>
        <v>-</v>
      </c>
      <c r="K77" s="194" t="str">
        <f>IFERROR(AVERAGE(R77,W77,AB77,AG77,AL77,AQ77,AV77),"-")</f>
        <v>-</v>
      </c>
      <c r="L77" s="652" t="str">
        <f>IFERROR(AVERAGE(K77:K106),"-")</f>
        <v>-</v>
      </c>
      <c r="M77" s="195" t="e">
        <f>RANK(K77, K$77:$K$106)</f>
        <v>#VALUE!</v>
      </c>
      <c r="N77" s="637"/>
      <c r="O77" s="637"/>
      <c r="P77" s="538"/>
      <c r="Q77" s="540"/>
      <c r="R77" s="540"/>
      <c r="S77" s="538"/>
      <c r="T77" s="638"/>
      <c r="U77" s="538"/>
      <c r="V77" s="540"/>
      <c r="W77" s="540"/>
      <c r="X77" s="538"/>
      <c r="Y77" s="638"/>
      <c r="Z77" s="538"/>
      <c r="AA77" s="540"/>
      <c r="AB77" s="540"/>
      <c r="AC77" s="538"/>
      <c r="AD77" s="638"/>
      <c r="AE77" s="538"/>
      <c r="AF77" s="540"/>
      <c r="AG77" s="540"/>
      <c r="AH77" s="538"/>
      <c r="AI77" s="638"/>
      <c r="AJ77" s="538"/>
      <c r="AK77" s="540"/>
      <c r="AL77" s="540"/>
      <c r="AM77" s="538"/>
      <c r="AN77" s="638"/>
      <c r="AO77" s="538"/>
      <c r="AP77" s="540"/>
      <c r="AQ77" s="540"/>
      <c r="AR77" s="538"/>
      <c r="AS77" s="638"/>
      <c r="AT77" s="538"/>
      <c r="AU77" s="540"/>
      <c r="AV77" s="540"/>
      <c r="AW77" s="538"/>
      <c r="AX77" s="638"/>
      <c r="AZ77" s="357" t="e">
        <f>RANK(AY77, AY$77:AY$106)</f>
        <v>#N/A</v>
      </c>
      <c r="BA77" s="638" t="e">
        <f>AVERAGE(AY77:AY106)</f>
        <v>#DIV/0!</v>
      </c>
    </row>
    <row r="78" spans="2:53">
      <c r="B78" s="643"/>
      <c r="C78" s="275">
        <v>2</v>
      </c>
      <c r="D78" s="196"/>
      <c r="E78" s="554"/>
      <c r="F78" s="196"/>
      <c r="G78" s="194"/>
      <c r="H78" s="697"/>
      <c r="I78" s="352" t="str">
        <f t="shared" ref="I78:I106" si="22">IFERROR(AVERAGE(P78,U78,Z78,AE78,AJ78,AO78,AT78),"-")</f>
        <v>-</v>
      </c>
      <c r="J78" s="352" t="str">
        <f t="shared" ref="J78:J106" si="23">IFERROR(AVERAGE(Q78,V78,AA78,AF78,AK78,AP78,AU78),"-")</f>
        <v>-</v>
      </c>
      <c r="K78" s="194" t="str">
        <f t="shared" ref="K78:K106" si="24">IFERROR(AVERAGE(R78,W78,AB78,AG78,AL78,AQ78,AV78),"-")</f>
        <v>-</v>
      </c>
      <c r="L78" s="653"/>
      <c r="M78" s="195" t="e">
        <f>RANK(K78, K$77:$K$106)</f>
        <v>#VALUE!</v>
      </c>
      <c r="N78" s="637"/>
      <c r="O78" s="637"/>
      <c r="P78" s="538"/>
      <c r="Q78" s="540"/>
      <c r="R78" s="540"/>
      <c r="S78" s="538"/>
      <c r="T78" s="638"/>
      <c r="U78" s="538"/>
      <c r="V78" s="540"/>
      <c r="W78" s="540"/>
      <c r="X78" s="538"/>
      <c r="Y78" s="638"/>
      <c r="Z78" s="538"/>
      <c r="AA78" s="540"/>
      <c r="AB78" s="540"/>
      <c r="AC78" s="538"/>
      <c r="AD78" s="638"/>
      <c r="AE78" s="538"/>
      <c r="AF78" s="540"/>
      <c r="AG78" s="540"/>
      <c r="AH78" s="538"/>
      <c r="AI78" s="638"/>
      <c r="AJ78" s="538"/>
      <c r="AK78" s="540"/>
      <c r="AL78" s="540"/>
      <c r="AM78" s="538"/>
      <c r="AN78" s="638"/>
      <c r="AO78" s="538"/>
      <c r="AP78" s="540"/>
      <c r="AQ78" s="540"/>
      <c r="AR78" s="538"/>
      <c r="AS78" s="638"/>
      <c r="AT78" s="538"/>
      <c r="AU78" s="540"/>
      <c r="AV78" s="540"/>
      <c r="AW78" s="538"/>
      <c r="AX78" s="638"/>
      <c r="AZ78" s="357" t="e">
        <f t="shared" ref="AZ78:AZ106" si="25">RANK(AY78, AY$77:AY$106)</f>
        <v>#N/A</v>
      </c>
      <c r="BA78" s="638"/>
    </row>
    <row r="79" spans="2:53">
      <c r="B79" s="643"/>
      <c r="C79" s="275">
        <v>3</v>
      </c>
      <c r="D79" s="196"/>
      <c r="E79" s="554"/>
      <c r="F79" s="196"/>
      <c r="G79" s="194"/>
      <c r="H79" s="697"/>
      <c r="I79" s="352" t="str">
        <f t="shared" si="22"/>
        <v>-</v>
      </c>
      <c r="J79" s="352" t="str">
        <f t="shared" si="23"/>
        <v>-</v>
      </c>
      <c r="K79" s="194" t="str">
        <f t="shared" si="24"/>
        <v>-</v>
      </c>
      <c r="L79" s="653"/>
      <c r="M79" s="195" t="e">
        <f>RANK(K79, K$77:$K$106)</f>
        <v>#VALUE!</v>
      </c>
      <c r="N79" s="637"/>
      <c r="O79" s="637"/>
      <c r="P79" s="538"/>
      <c r="Q79" s="540"/>
      <c r="R79" s="540"/>
      <c r="S79" s="538"/>
      <c r="T79" s="638"/>
      <c r="U79" s="538"/>
      <c r="V79" s="540"/>
      <c r="W79" s="540"/>
      <c r="X79" s="538"/>
      <c r="Y79" s="638"/>
      <c r="Z79" s="538"/>
      <c r="AA79" s="540"/>
      <c r="AB79" s="540"/>
      <c r="AC79" s="538"/>
      <c r="AD79" s="638"/>
      <c r="AE79" s="538"/>
      <c r="AF79" s="540"/>
      <c r="AG79" s="540"/>
      <c r="AH79" s="538"/>
      <c r="AI79" s="638"/>
      <c r="AJ79" s="538"/>
      <c r="AK79" s="540"/>
      <c r="AL79" s="540"/>
      <c r="AM79" s="538"/>
      <c r="AN79" s="638"/>
      <c r="AO79" s="538"/>
      <c r="AP79" s="540"/>
      <c r="AQ79" s="540"/>
      <c r="AR79" s="538"/>
      <c r="AS79" s="638"/>
      <c r="AT79" s="538"/>
      <c r="AU79" s="540"/>
      <c r="AV79" s="540"/>
      <c r="AW79" s="538"/>
      <c r="AX79" s="638"/>
      <c r="AZ79" s="357" t="e">
        <f t="shared" si="25"/>
        <v>#N/A</v>
      </c>
      <c r="BA79" s="638"/>
    </row>
    <row r="80" spans="2:53">
      <c r="B80" s="643"/>
      <c r="C80" s="275">
        <v>4</v>
      </c>
      <c r="D80" s="196"/>
      <c r="E80" s="554"/>
      <c r="F80" s="196"/>
      <c r="G80" s="194"/>
      <c r="H80" s="697"/>
      <c r="I80" s="352" t="str">
        <f t="shared" si="22"/>
        <v>-</v>
      </c>
      <c r="J80" s="352" t="str">
        <f t="shared" si="23"/>
        <v>-</v>
      </c>
      <c r="K80" s="194" t="str">
        <f t="shared" si="24"/>
        <v>-</v>
      </c>
      <c r="L80" s="653"/>
      <c r="M80" s="195" t="e">
        <f>RANK(K80, K$77:$K$106)</f>
        <v>#VALUE!</v>
      </c>
      <c r="N80" s="637"/>
      <c r="O80" s="637"/>
      <c r="P80" s="538"/>
      <c r="Q80" s="540"/>
      <c r="R80" s="540"/>
      <c r="S80" s="538"/>
      <c r="T80" s="638"/>
      <c r="U80" s="538"/>
      <c r="V80" s="540"/>
      <c r="W80" s="540"/>
      <c r="X80" s="538"/>
      <c r="Y80" s="638"/>
      <c r="Z80" s="538"/>
      <c r="AA80" s="540"/>
      <c r="AB80" s="540"/>
      <c r="AC80" s="538"/>
      <c r="AD80" s="638"/>
      <c r="AE80" s="538"/>
      <c r="AF80" s="540"/>
      <c r="AG80" s="540"/>
      <c r="AH80" s="538"/>
      <c r="AI80" s="638"/>
      <c r="AJ80" s="538"/>
      <c r="AK80" s="540"/>
      <c r="AL80" s="540"/>
      <c r="AM80" s="538"/>
      <c r="AN80" s="638"/>
      <c r="AO80" s="538"/>
      <c r="AP80" s="540"/>
      <c r="AQ80" s="540"/>
      <c r="AR80" s="538"/>
      <c r="AS80" s="638"/>
      <c r="AT80" s="538"/>
      <c r="AU80" s="540"/>
      <c r="AV80" s="540"/>
      <c r="AW80" s="538"/>
      <c r="AX80" s="638"/>
      <c r="AZ80" s="357" t="e">
        <f t="shared" si="25"/>
        <v>#N/A</v>
      </c>
      <c r="BA80" s="638"/>
    </row>
    <row r="81" spans="2:53">
      <c r="B81" s="643"/>
      <c r="C81" s="275">
        <v>5</v>
      </c>
      <c r="D81" s="196"/>
      <c r="E81" s="554"/>
      <c r="F81" s="196"/>
      <c r="G81" s="194"/>
      <c r="H81" s="697"/>
      <c r="I81" s="352" t="str">
        <f t="shared" si="22"/>
        <v>-</v>
      </c>
      <c r="J81" s="352" t="str">
        <f t="shared" si="23"/>
        <v>-</v>
      </c>
      <c r="K81" s="194" t="str">
        <f t="shared" si="24"/>
        <v>-</v>
      </c>
      <c r="L81" s="653"/>
      <c r="M81" s="195" t="e">
        <f>RANK(K81, K$77:$K$106)</f>
        <v>#VALUE!</v>
      </c>
      <c r="N81" s="637"/>
      <c r="O81" s="637"/>
      <c r="P81" s="538"/>
      <c r="Q81" s="540"/>
      <c r="R81" s="540"/>
      <c r="S81" s="538"/>
      <c r="T81" s="638"/>
      <c r="U81" s="538"/>
      <c r="V81" s="540"/>
      <c r="W81" s="540"/>
      <c r="X81" s="538"/>
      <c r="Y81" s="638"/>
      <c r="Z81" s="538"/>
      <c r="AA81" s="540"/>
      <c r="AB81" s="540"/>
      <c r="AC81" s="538"/>
      <c r="AD81" s="638"/>
      <c r="AE81" s="538"/>
      <c r="AF81" s="540"/>
      <c r="AG81" s="540"/>
      <c r="AH81" s="538"/>
      <c r="AI81" s="638"/>
      <c r="AJ81" s="538"/>
      <c r="AK81" s="540"/>
      <c r="AL81" s="540"/>
      <c r="AM81" s="538"/>
      <c r="AN81" s="638"/>
      <c r="AO81" s="538"/>
      <c r="AP81" s="540"/>
      <c r="AQ81" s="540"/>
      <c r="AR81" s="538"/>
      <c r="AS81" s="638"/>
      <c r="AT81" s="538"/>
      <c r="AU81" s="540"/>
      <c r="AV81" s="540"/>
      <c r="AW81" s="538"/>
      <c r="AX81" s="638"/>
      <c r="AZ81" s="357" t="e">
        <f t="shared" si="25"/>
        <v>#N/A</v>
      </c>
      <c r="BA81" s="638"/>
    </row>
    <row r="82" spans="2:53">
      <c r="B82" s="643"/>
      <c r="C82" s="275">
        <v>6</v>
      </c>
      <c r="D82" s="196"/>
      <c r="E82" s="554"/>
      <c r="F82" s="196"/>
      <c r="G82" s="194"/>
      <c r="H82" s="697"/>
      <c r="I82" s="352" t="str">
        <f t="shared" si="22"/>
        <v>-</v>
      </c>
      <c r="J82" s="352" t="str">
        <f t="shared" si="23"/>
        <v>-</v>
      </c>
      <c r="K82" s="194" t="str">
        <f t="shared" si="24"/>
        <v>-</v>
      </c>
      <c r="L82" s="653"/>
      <c r="M82" s="195" t="e">
        <f>RANK(K82, K$77:$K$106)</f>
        <v>#VALUE!</v>
      </c>
      <c r="N82" s="637"/>
      <c r="O82" s="637"/>
      <c r="P82" s="538"/>
      <c r="Q82" s="540"/>
      <c r="R82" s="540"/>
      <c r="S82" s="538"/>
      <c r="T82" s="638"/>
      <c r="U82" s="538"/>
      <c r="V82" s="540"/>
      <c r="W82" s="540"/>
      <c r="X82" s="538"/>
      <c r="Y82" s="638"/>
      <c r="Z82" s="538"/>
      <c r="AA82" s="540"/>
      <c r="AB82" s="540"/>
      <c r="AC82" s="538"/>
      <c r="AD82" s="638"/>
      <c r="AE82" s="538"/>
      <c r="AF82" s="540"/>
      <c r="AG82" s="540"/>
      <c r="AH82" s="538"/>
      <c r="AI82" s="638"/>
      <c r="AJ82" s="538"/>
      <c r="AK82" s="540"/>
      <c r="AL82" s="540"/>
      <c r="AM82" s="538"/>
      <c r="AN82" s="638"/>
      <c r="AO82" s="538"/>
      <c r="AP82" s="540"/>
      <c r="AQ82" s="540"/>
      <c r="AR82" s="538"/>
      <c r="AS82" s="638"/>
      <c r="AT82" s="538"/>
      <c r="AU82" s="540"/>
      <c r="AV82" s="540"/>
      <c r="AW82" s="538"/>
      <c r="AX82" s="638"/>
      <c r="AZ82" s="357" t="e">
        <f t="shared" si="25"/>
        <v>#N/A</v>
      </c>
      <c r="BA82" s="638"/>
    </row>
    <row r="83" spans="2:53">
      <c r="B83" s="643"/>
      <c r="C83" s="275">
        <v>7</v>
      </c>
      <c r="D83" s="196"/>
      <c r="E83" s="554"/>
      <c r="F83" s="196"/>
      <c r="G83" s="194"/>
      <c r="H83" s="697"/>
      <c r="I83" s="352" t="str">
        <f t="shared" si="22"/>
        <v>-</v>
      </c>
      <c r="J83" s="352" t="str">
        <f t="shared" si="23"/>
        <v>-</v>
      </c>
      <c r="K83" s="194" t="str">
        <f t="shared" si="24"/>
        <v>-</v>
      </c>
      <c r="L83" s="653"/>
      <c r="M83" s="195" t="e">
        <f>RANK(K83, K$77:$K$106)</f>
        <v>#VALUE!</v>
      </c>
      <c r="N83" s="637"/>
      <c r="O83" s="637"/>
      <c r="P83" s="538"/>
      <c r="Q83" s="540"/>
      <c r="R83" s="540"/>
      <c r="S83" s="538"/>
      <c r="T83" s="638"/>
      <c r="U83" s="538"/>
      <c r="V83" s="540"/>
      <c r="W83" s="540"/>
      <c r="X83" s="538"/>
      <c r="Y83" s="638"/>
      <c r="Z83" s="538"/>
      <c r="AA83" s="540"/>
      <c r="AB83" s="540"/>
      <c r="AC83" s="538"/>
      <c r="AD83" s="638"/>
      <c r="AE83" s="538"/>
      <c r="AF83" s="540"/>
      <c r="AG83" s="540"/>
      <c r="AH83" s="538"/>
      <c r="AI83" s="638"/>
      <c r="AJ83" s="538"/>
      <c r="AK83" s="540"/>
      <c r="AL83" s="540"/>
      <c r="AM83" s="538"/>
      <c r="AN83" s="638"/>
      <c r="AO83" s="538"/>
      <c r="AP83" s="540"/>
      <c r="AQ83" s="540"/>
      <c r="AR83" s="538"/>
      <c r="AS83" s="638"/>
      <c r="AT83" s="538"/>
      <c r="AU83" s="540"/>
      <c r="AV83" s="540"/>
      <c r="AW83" s="538"/>
      <c r="AX83" s="638"/>
      <c r="AZ83" s="357" t="e">
        <f t="shared" si="25"/>
        <v>#N/A</v>
      </c>
      <c r="BA83" s="638"/>
    </row>
    <row r="84" spans="2:53">
      <c r="B84" s="643"/>
      <c r="C84" s="275">
        <v>8</v>
      </c>
      <c r="D84" s="196"/>
      <c r="E84" s="554"/>
      <c r="F84" s="196"/>
      <c r="G84" s="194"/>
      <c r="H84" s="697"/>
      <c r="I84" s="352" t="str">
        <f t="shared" si="22"/>
        <v>-</v>
      </c>
      <c r="J84" s="352" t="str">
        <f t="shared" si="23"/>
        <v>-</v>
      </c>
      <c r="K84" s="194" t="str">
        <f t="shared" si="24"/>
        <v>-</v>
      </c>
      <c r="L84" s="653"/>
      <c r="M84" s="195" t="e">
        <f>RANK(K84, K$77:$K$106)</f>
        <v>#VALUE!</v>
      </c>
      <c r="N84" s="637"/>
      <c r="O84" s="637"/>
      <c r="P84" s="538"/>
      <c r="Q84" s="540"/>
      <c r="R84" s="540"/>
      <c r="S84" s="538"/>
      <c r="T84" s="638"/>
      <c r="U84" s="538"/>
      <c r="V84" s="540"/>
      <c r="W84" s="540"/>
      <c r="X84" s="538"/>
      <c r="Y84" s="638"/>
      <c r="Z84" s="538"/>
      <c r="AA84" s="540"/>
      <c r="AB84" s="540"/>
      <c r="AC84" s="538"/>
      <c r="AD84" s="638"/>
      <c r="AE84" s="538"/>
      <c r="AF84" s="540"/>
      <c r="AG84" s="540"/>
      <c r="AH84" s="538"/>
      <c r="AI84" s="638"/>
      <c r="AJ84" s="538"/>
      <c r="AK84" s="540"/>
      <c r="AL84" s="540"/>
      <c r="AM84" s="538"/>
      <c r="AN84" s="638"/>
      <c r="AO84" s="538"/>
      <c r="AP84" s="540"/>
      <c r="AQ84" s="540"/>
      <c r="AR84" s="538"/>
      <c r="AS84" s="638"/>
      <c r="AT84" s="538"/>
      <c r="AU84" s="540"/>
      <c r="AV84" s="540"/>
      <c r="AW84" s="538"/>
      <c r="AX84" s="638"/>
      <c r="AZ84" s="357" t="e">
        <f t="shared" si="25"/>
        <v>#N/A</v>
      </c>
      <c r="BA84" s="638"/>
    </row>
    <row r="85" spans="2:53">
      <c r="B85" s="643"/>
      <c r="C85" s="275">
        <v>9</v>
      </c>
      <c r="D85" s="196"/>
      <c r="E85" s="554"/>
      <c r="F85" s="196"/>
      <c r="G85" s="194"/>
      <c r="H85" s="697"/>
      <c r="I85" s="352" t="str">
        <f t="shared" si="22"/>
        <v>-</v>
      </c>
      <c r="J85" s="352" t="str">
        <f t="shared" si="23"/>
        <v>-</v>
      </c>
      <c r="K85" s="194" t="str">
        <f t="shared" si="24"/>
        <v>-</v>
      </c>
      <c r="L85" s="653"/>
      <c r="M85" s="195" t="e">
        <f>RANK(K85, K$77:$K$106)</f>
        <v>#VALUE!</v>
      </c>
      <c r="N85" s="637"/>
      <c r="O85" s="637"/>
      <c r="P85" s="538"/>
      <c r="Q85" s="540"/>
      <c r="R85" s="540"/>
      <c r="S85" s="538"/>
      <c r="T85" s="638"/>
      <c r="U85" s="538"/>
      <c r="V85" s="540"/>
      <c r="W85" s="540"/>
      <c r="X85" s="538"/>
      <c r="Y85" s="638"/>
      <c r="Z85" s="538"/>
      <c r="AA85" s="540"/>
      <c r="AB85" s="540"/>
      <c r="AC85" s="538"/>
      <c r="AD85" s="638"/>
      <c r="AE85" s="538"/>
      <c r="AF85" s="540"/>
      <c r="AG85" s="540"/>
      <c r="AH85" s="538"/>
      <c r="AI85" s="638"/>
      <c r="AJ85" s="538"/>
      <c r="AK85" s="540"/>
      <c r="AL85" s="540"/>
      <c r="AM85" s="538"/>
      <c r="AN85" s="638"/>
      <c r="AO85" s="538"/>
      <c r="AP85" s="540"/>
      <c r="AQ85" s="540"/>
      <c r="AR85" s="538"/>
      <c r="AS85" s="638"/>
      <c r="AT85" s="538"/>
      <c r="AU85" s="540"/>
      <c r="AV85" s="540"/>
      <c r="AW85" s="538"/>
      <c r="AX85" s="638"/>
      <c r="AZ85" s="357" t="e">
        <f t="shared" si="25"/>
        <v>#N/A</v>
      </c>
      <c r="BA85" s="638"/>
    </row>
    <row r="86" spans="2:53">
      <c r="B86" s="643"/>
      <c r="C86" s="275">
        <v>10</v>
      </c>
      <c r="D86" s="196"/>
      <c r="E86" s="554"/>
      <c r="F86" s="196"/>
      <c r="G86" s="194"/>
      <c r="H86" s="697"/>
      <c r="I86" s="352" t="str">
        <f t="shared" si="22"/>
        <v>-</v>
      </c>
      <c r="J86" s="352" t="str">
        <f t="shared" si="23"/>
        <v>-</v>
      </c>
      <c r="K86" s="194" t="str">
        <f t="shared" si="24"/>
        <v>-</v>
      </c>
      <c r="L86" s="653"/>
      <c r="M86" s="195" t="e">
        <f>RANK(K86, K$77:$K$106)</f>
        <v>#VALUE!</v>
      </c>
      <c r="N86" s="637"/>
      <c r="O86" s="637"/>
      <c r="P86" s="538"/>
      <c r="Q86" s="540"/>
      <c r="R86" s="540"/>
      <c r="S86" s="538"/>
      <c r="T86" s="638"/>
      <c r="U86" s="538"/>
      <c r="V86" s="540"/>
      <c r="W86" s="540"/>
      <c r="X86" s="538"/>
      <c r="Y86" s="638"/>
      <c r="Z86" s="538"/>
      <c r="AA86" s="540"/>
      <c r="AB86" s="540"/>
      <c r="AC86" s="538"/>
      <c r="AD86" s="638"/>
      <c r="AE86" s="538"/>
      <c r="AF86" s="540"/>
      <c r="AG86" s="540"/>
      <c r="AH86" s="538"/>
      <c r="AI86" s="638"/>
      <c r="AJ86" s="538"/>
      <c r="AK86" s="540"/>
      <c r="AL86" s="540"/>
      <c r="AM86" s="538"/>
      <c r="AN86" s="638"/>
      <c r="AO86" s="538"/>
      <c r="AP86" s="540"/>
      <c r="AQ86" s="540"/>
      <c r="AR86" s="538"/>
      <c r="AS86" s="638"/>
      <c r="AT86" s="538"/>
      <c r="AU86" s="540"/>
      <c r="AV86" s="540"/>
      <c r="AW86" s="538"/>
      <c r="AX86" s="638"/>
      <c r="AZ86" s="357" t="e">
        <f t="shared" si="25"/>
        <v>#N/A</v>
      </c>
      <c r="BA86" s="638"/>
    </row>
    <row r="87" spans="2:53">
      <c r="B87" s="643"/>
      <c r="C87" s="275">
        <v>11</v>
      </c>
      <c r="D87" s="196"/>
      <c r="E87" s="554"/>
      <c r="F87" s="196"/>
      <c r="G87" s="194"/>
      <c r="H87" s="697"/>
      <c r="I87" s="352" t="str">
        <f t="shared" si="22"/>
        <v>-</v>
      </c>
      <c r="J87" s="352" t="str">
        <f t="shared" si="23"/>
        <v>-</v>
      </c>
      <c r="K87" s="194" t="str">
        <f t="shared" si="24"/>
        <v>-</v>
      </c>
      <c r="L87" s="653"/>
      <c r="M87" s="195" t="e">
        <f>RANK(K87, K$77:$K$106)</f>
        <v>#VALUE!</v>
      </c>
      <c r="N87" s="637"/>
      <c r="O87" s="637"/>
      <c r="P87" s="538"/>
      <c r="Q87" s="540"/>
      <c r="R87" s="540"/>
      <c r="S87" s="538"/>
      <c r="T87" s="638"/>
      <c r="U87" s="538"/>
      <c r="V87" s="540"/>
      <c r="W87" s="540"/>
      <c r="X87" s="538"/>
      <c r="Y87" s="638"/>
      <c r="Z87" s="538"/>
      <c r="AA87" s="540"/>
      <c r="AB87" s="540"/>
      <c r="AC87" s="538"/>
      <c r="AD87" s="638"/>
      <c r="AE87" s="538"/>
      <c r="AF87" s="540"/>
      <c r="AG87" s="540"/>
      <c r="AH87" s="538"/>
      <c r="AI87" s="638"/>
      <c r="AJ87" s="538"/>
      <c r="AK87" s="540"/>
      <c r="AL87" s="540"/>
      <c r="AM87" s="538"/>
      <c r="AN87" s="638"/>
      <c r="AO87" s="538"/>
      <c r="AP87" s="540"/>
      <c r="AQ87" s="540"/>
      <c r="AR87" s="538"/>
      <c r="AS87" s="638"/>
      <c r="AT87" s="538"/>
      <c r="AU87" s="540"/>
      <c r="AV87" s="540"/>
      <c r="AW87" s="538"/>
      <c r="AX87" s="638"/>
      <c r="AZ87" s="357" t="e">
        <f t="shared" si="25"/>
        <v>#N/A</v>
      </c>
      <c r="BA87" s="638"/>
    </row>
    <row r="88" spans="2:53">
      <c r="B88" s="643"/>
      <c r="C88" s="275">
        <v>12</v>
      </c>
      <c r="D88" s="196"/>
      <c r="E88" s="554"/>
      <c r="F88" s="196"/>
      <c r="G88" s="194"/>
      <c r="H88" s="697"/>
      <c r="I88" s="352" t="str">
        <f t="shared" si="22"/>
        <v>-</v>
      </c>
      <c r="J88" s="352" t="str">
        <f t="shared" si="23"/>
        <v>-</v>
      </c>
      <c r="K88" s="194" t="str">
        <f t="shared" si="24"/>
        <v>-</v>
      </c>
      <c r="L88" s="653"/>
      <c r="M88" s="195" t="e">
        <f>RANK(K88, K$77:$K$106)</f>
        <v>#VALUE!</v>
      </c>
      <c r="N88" s="637"/>
      <c r="O88" s="637"/>
      <c r="P88" s="538"/>
      <c r="Q88" s="540"/>
      <c r="R88" s="540"/>
      <c r="S88" s="538"/>
      <c r="T88" s="638"/>
      <c r="U88" s="538"/>
      <c r="V88" s="540"/>
      <c r="W88" s="540"/>
      <c r="X88" s="538"/>
      <c r="Y88" s="638"/>
      <c r="Z88" s="538"/>
      <c r="AA88" s="540"/>
      <c r="AB88" s="540"/>
      <c r="AC88" s="538"/>
      <c r="AD88" s="638"/>
      <c r="AE88" s="538"/>
      <c r="AF88" s="540"/>
      <c r="AG88" s="540"/>
      <c r="AH88" s="538"/>
      <c r="AI88" s="638"/>
      <c r="AJ88" s="538"/>
      <c r="AK88" s="540"/>
      <c r="AL88" s="540"/>
      <c r="AM88" s="538"/>
      <c r="AN88" s="638"/>
      <c r="AO88" s="538"/>
      <c r="AP88" s="540"/>
      <c r="AQ88" s="540"/>
      <c r="AR88" s="538"/>
      <c r="AS88" s="638"/>
      <c r="AT88" s="538"/>
      <c r="AU88" s="540"/>
      <c r="AV88" s="540"/>
      <c r="AW88" s="538"/>
      <c r="AX88" s="638"/>
      <c r="AZ88" s="357" t="e">
        <f t="shared" si="25"/>
        <v>#N/A</v>
      </c>
      <c r="BA88" s="638"/>
    </row>
    <row r="89" spans="2:53">
      <c r="B89" s="643"/>
      <c r="C89" s="275">
        <v>13</v>
      </c>
      <c r="D89" s="196"/>
      <c r="E89" s="554"/>
      <c r="F89" s="196"/>
      <c r="G89" s="194"/>
      <c r="H89" s="697"/>
      <c r="I89" s="352" t="str">
        <f t="shared" si="22"/>
        <v>-</v>
      </c>
      <c r="J89" s="352" t="str">
        <f t="shared" si="23"/>
        <v>-</v>
      </c>
      <c r="K89" s="194" t="str">
        <f t="shared" si="24"/>
        <v>-</v>
      </c>
      <c r="L89" s="653"/>
      <c r="M89" s="195" t="e">
        <f>RANK(K89, K$77:$K$106)</f>
        <v>#VALUE!</v>
      </c>
      <c r="N89" s="637"/>
      <c r="O89" s="637"/>
      <c r="P89" s="538"/>
      <c r="Q89" s="540"/>
      <c r="R89" s="540"/>
      <c r="S89" s="538"/>
      <c r="T89" s="638"/>
      <c r="U89" s="538"/>
      <c r="V89" s="540"/>
      <c r="W89" s="540"/>
      <c r="X89" s="538"/>
      <c r="Y89" s="638"/>
      <c r="Z89" s="538"/>
      <c r="AA89" s="540"/>
      <c r="AB89" s="540"/>
      <c r="AC89" s="538"/>
      <c r="AD89" s="638"/>
      <c r="AE89" s="538"/>
      <c r="AF89" s="540"/>
      <c r="AG89" s="540"/>
      <c r="AH89" s="538"/>
      <c r="AI89" s="638"/>
      <c r="AJ89" s="538"/>
      <c r="AK89" s="540"/>
      <c r="AL89" s="540"/>
      <c r="AM89" s="538"/>
      <c r="AN89" s="638"/>
      <c r="AO89" s="538"/>
      <c r="AP89" s="540"/>
      <c r="AQ89" s="540"/>
      <c r="AR89" s="538"/>
      <c r="AS89" s="638"/>
      <c r="AT89" s="538"/>
      <c r="AU89" s="540"/>
      <c r="AV89" s="540"/>
      <c r="AW89" s="538"/>
      <c r="AX89" s="638"/>
      <c r="AZ89" s="357" t="e">
        <f t="shared" si="25"/>
        <v>#N/A</v>
      </c>
      <c r="BA89" s="638"/>
    </row>
    <row r="90" spans="2:53">
      <c r="B90" s="643"/>
      <c r="C90" s="275">
        <v>14</v>
      </c>
      <c r="D90" s="196"/>
      <c r="E90" s="554"/>
      <c r="F90" s="196"/>
      <c r="G90" s="194"/>
      <c r="H90" s="697"/>
      <c r="I90" s="352" t="str">
        <f t="shared" si="22"/>
        <v>-</v>
      </c>
      <c r="J90" s="352" t="str">
        <f t="shared" si="23"/>
        <v>-</v>
      </c>
      <c r="K90" s="194" t="str">
        <f t="shared" si="24"/>
        <v>-</v>
      </c>
      <c r="L90" s="653"/>
      <c r="M90" s="195" t="e">
        <f>RANK(K90, K$77:$K$106)</f>
        <v>#VALUE!</v>
      </c>
      <c r="N90" s="637"/>
      <c r="O90" s="637"/>
      <c r="P90" s="538"/>
      <c r="Q90" s="540"/>
      <c r="R90" s="540"/>
      <c r="S90" s="538"/>
      <c r="T90" s="638"/>
      <c r="U90" s="538"/>
      <c r="V90" s="540"/>
      <c r="W90" s="540"/>
      <c r="X90" s="538"/>
      <c r="Y90" s="638"/>
      <c r="Z90" s="538"/>
      <c r="AA90" s="540"/>
      <c r="AB90" s="540"/>
      <c r="AC90" s="538"/>
      <c r="AD90" s="638"/>
      <c r="AE90" s="538"/>
      <c r="AF90" s="540"/>
      <c r="AG90" s="540"/>
      <c r="AH90" s="538"/>
      <c r="AI90" s="638"/>
      <c r="AJ90" s="538"/>
      <c r="AK90" s="540"/>
      <c r="AL90" s="540"/>
      <c r="AM90" s="538"/>
      <c r="AN90" s="638"/>
      <c r="AO90" s="538"/>
      <c r="AP90" s="540"/>
      <c r="AQ90" s="540"/>
      <c r="AR90" s="538"/>
      <c r="AS90" s="638"/>
      <c r="AT90" s="538"/>
      <c r="AU90" s="540"/>
      <c r="AV90" s="540"/>
      <c r="AW90" s="538"/>
      <c r="AX90" s="638"/>
      <c r="AZ90" s="357" t="e">
        <f t="shared" si="25"/>
        <v>#N/A</v>
      </c>
      <c r="BA90" s="638"/>
    </row>
    <row r="91" spans="2:53">
      <c r="B91" s="643"/>
      <c r="C91" s="275">
        <v>15</v>
      </c>
      <c r="D91" s="196"/>
      <c r="E91" s="554"/>
      <c r="F91" s="196"/>
      <c r="G91" s="194"/>
      <c r="H91" s="697"/>
      <c r="I91" s="352" t="str">
        <f t="shared" si="22"/>
        <v>-</v>
      </c>
      <c r="J91" s="352" t="str">
        <f t="shared" si="23"/>
        <v>-</v>
      </c>
      <c r="K91" s="194" t="str">
        <f t="shared" si="24"/>
        <v>-</v>
      </c>
      <c r="L91" s="653"/>
      <c r="M91" s="195" t="e">
        <f>RANK(K91, K$77:$K$106)</f>
        <v>#VALUE!</v>
      </c>
      <c r="N91" s="637"/>
      <c r="O91" s="637"/>
      <c r="P91" s="538"/>
      <c r="Q91" s="540"/>
      <c r="R91" s="540"/>
      <c r="S91" s="538"/>
      <c r="T91" s="638"/>
      <c r="U91" s="538"/>
      <c r="V91" s="540"/>
      <c r="W91" s="540"/>
      <c r="X91" s="538"/>
      <c r="Y91" s="638"/>
      <c r="Z91" s="538"/>
      <c r="AA91" s="540"/>
      <c r="AB91" s="540"/>
      <c r="AC91" s="538"/>
      <c r="AD91" s="638"/>
      <c r="AE91" s="538"/>
      <c r="AF91" s="540"/>
      <c r="AG91" s="540"/>
      <c r="AH91" s="538"/>
      <c r="AI91" s="638"/>
      <c r="AJ91" s="538"/>
      <c r="AK91" s="540"/>
      <c r="AL91" s="540"/>
      <c r="AM91" s="538"/>
      <c r="AN91" s="638"/>
      <c r="AO91" s="538"/>
      <c r="AP91" s="540"/>
      <c r="AQ91" s="540"/>
      <c r="AR91" s="538"/>
      <c r="AS91" s="638"/>
      <c r="AT91" s="538"/>
      <c r="AU91" s="540"/>
      <c r="AV91" s="540"/>
      <c r="AW91" s="538"/>
      <c r="AX91" s="638"/>
      <c r="AZ91" s="357" t="e">
        <f t="shared" si="25"/>
        <v>#N/A</v>
      </c>
      <c r="BA91" s="638"/>
    </row>
    <row r="92" spans="2:53">
      <c r="B92" s="643"/>
      <c r="C92" s="275">
        <v>16</v>
      </c>
      <c r="D92" s="196"/>
      <c r="E92" s="554"/>
      <c r="F92" s="196"/>
      <c r="G92" s="194"/>
      <c r="H92" s="697"/>
      <c r="I92" s="352" t="str">
        <f t="shared" si="22"/>
        <v>-</v>
      </c>
      <c r="J92" s="352" t="str">
        <f t="shared" si="23"/>
        <v>-</v>
      </c>
      <c r="K92" s="194" t="str">
        <f t="shared" si="24"/>
        <v>-</v>
      </c>
      <c r="L92" s="653"/>
      <c r="M92" s="195" t="e">
        <f>RANK(K92, K$77:$K$106)</f>
        <v>#VALUE!</v>
      </c>
      <c r="N92" s="637"/>
      <c r="O92" s="637"/>
      <c r="P92" s="538"/>
      <c r="Q92" s="540"/>
      <c r="R92" s="540"/>
      <c r="S92" s="538"/>
      <c r="T92" s="638"/>
      <c r="U92" s="538"/>
      <c r="V92" s="540"/>
      <c r="W92" s="540"/>
      <c r="X92" s="538"/>
      <c r="Y92" s="638"/>
      <c r="Z92" s="538"/>
      <c r="AA92" s="540"/>
      <c r="AB92" s="540"/>
      <c r="AC92" s="538"/>
      <c r="AD92" s="638"/>
      <c r="AE92" s="538"/>
      <c r="AF92" s="540"/>
      <c r="AG92" s="540"/>
      <c r="AH92" s="538"/>
      <c r="AI92" s="638"/>
      <c r="AJ92" s="538"/>
      <c r="AK92" s="540"/>
      <c r="AL92" s="540"/>
      <c r="AM92" s="538"/>
      <c r="AN92" s="638"/>
      <c r="AO92" s="538"/>
      <c r="AP92" s="540"/>
      <c r="AQ92" s="540"/>
      <c r="AR92" s="538"/>
      <c r="AS92" s="638"/>
      <c r="AT92" s="538"/>
      <c r="AU92" s="540"/>
      <c r="AV92" s="540"/>
      <c r="AW92" s="538"/>
      <c r="AX92" s="638"/>
      <c r="AZ92" s="357" t="e">
        <f t="shared" si="25"/>
        <v>#N/A</v>
      </c>
      <c r="BA92" s="638"/>
    </row>
    <row r="93" spans="2:53">
      <c r="B93" s="643"/>
      <c r="C93" s="275">
        <v>17</v>
      </c>
      <c r="D93" s="196"/>
      <c r="E93" s="554"/>
      <c r="F93" s="196"/>
      <c r="G93" s="194"/>
      <c r="H93" s="697"/>
      <c r="I93" s="352" t="str">
        <f t="shared" si="22"/>
        <v>-</v>
      </c>
      <c r="J93" s="352" t="str">
        <f t="shared" si="23"/>
        <v>-</v>
      </c>
      <c r="K93" s="194" t="str">
        <f t="shared" si="24"/>
        <v>-</v>
      </c>
      <c r="L93" s="653"/>
      <c r="M93" s="195" t="e">
        <f>RANK(K93, K$77:$K$106)</f>
        <v>#VALUE!</v>
      </c>
      <c r="N93" s="637"/>
      <c r="O93" s="637"/>
      <c r="P93" s="538"/>
      <c r="Q93" s="540"/>
      <c r="R93" s="540"/>
      <c r="S93" s="538"/>
      <c r="T93" s="638"/>
      <c r="U93" s="538"/>
      <c r="V93" s="540"/>
      <c r="W93" s="540"/>
      <c r="X93" s="538"/>
      <c r="Y93" s="638"/>
      <c r="Z93" s="538"/>
      <c r="AA93" s="540"/>
      <c r="AB93" s="540"/>
      <c r="AC93" s="538"/>
      <c r="AD93" s="638"/>
      <c r="AE93" s="538"/>
      <c r="AF93" s="540"/>
      <c r="AG93" s="540"/>
      <c r="AH93" s="538"/>
      <c r="AI93" s="638"/>
      <c r="AJ93" s="538"/>
      <c r="AK93" s="540"/>
      <c r="AL93" s="540"/>
      <c r="AM93" s="538"/>
      <c r="AN93" s="638"/>
      <c r="AO93" s="538"/>
      <c r="AP93" s="540"/>
      <c r="AQ93" s="540"/>
      <c r="AR93" s="538"/>
      <c r="AS93" s="638"/>
      <c r="AT93" s="538"/>
      <c r="AU93" s="540"/>
      <c r="AV93" s="540"/>
      <c r="AW93" s="538"/>
      <c r="AX93" s="638"/>
      <c r="AZ93" s="357" t="e">
        <f t="shared" si="25"/>
        <v>#N/A</v>
      </c>
      <c r="BA93" s="638"/>
    </row>
    <row r="94" spans="2:53">
      <c r="B94" s="643"/>
      <c r="C94" s="275">
        <v>18</v>
      </c>
      <c r="D94" s="196"/>
      <c r="E94" s="554"/>
      <c r="F94" s="196"/>
      <c r="G94" s="194"/>
      <c r="H94" s="697"/>
      <c r="I94" s="352" t="str">
        <f t="shared" si="22"/>
        <v>-</v>
      </c>
      <c r="J94" s="352" t="str">
        <f t="shared" si="23"/>
        <v>-</v>
      </c>
      <c r="K94" s="194" t="str">
        <f t="shared" si="24"/>
        <v>-</v>
      </c>
      <c r="L94" s="653"/>
      <c r="M94" s="195" t="e">
        <f>RANK(K94, K$77:$K$106)</f>
        <v>#VALUE!</v>
      </c>
      <c r="N94" s="637"/>
      <c r="O94" s="637"/>
      <c r="P94" s="538"/>
      <c r="Q94" s="540"/>
      <c r="R94" s="540"/>
      <c r="S94" s="538"/>
      <c r="T94" s="638"/>
      <c r="U94" s="538"/>
      <c r="V94" s="540"/>
      <c r="W94" s="540"/>
      <c r="X94" s="538"/>
      <c r="Y94" s="638"/>
      <c r="Z94" s="538"/>
      <c r="AA94" s="540"/>
      <c r="AB94" s="540"/>
      <c r="AC94" s="538"/>
      <c r="AD94" s="638"/>
      <c r="AE94" s="538"/>
      <c r="AF94" s="540"/>
      <c r="AG94" s="540"/>
      <c r="AH94" s="538"/>
      <c r="AI94" s="638"/>
      <c r="AJ94" s="538"/>
      <c r="AK94" s="540"/>
      <c r="AL94" s="540"/>
      <c r="AM94" s="538"/>
      <c r="AN94" s="638"/>
      <c r="AO94" s="538"/>
      <c r="AP94" s="540"/>
      <c r="AQ94" s="540"/>
      <c r="AR94" s="538"/>
      <c r="AS94" s="638"/>
      <c r="AT94" s="538"/>
      <c r="AU94" s="540"/>
      <c r="AV94" s="540"/>
      <c r="AW94" s="538"/>
      <c r="AX94" s="638"/>
      <c r="AZ94" s="357" t="e">
        <f t="shared" si="25"/>
        <v>#N/A</v>
      </c>
      <c r="BA94" s="638"/>
    </row>
    <row r="95" spans="2:53">
      <c r="B95" s="643"/>
      <c r="C95" s="275">
        <v>19</v>
      </c>
      <c r="D95" s="196"/>
      <c r="E95" s="554"/>
      <c r="F95" s="196"/>
      <c r="G95" s="194"/>
      <c r="H95" s="697"/>
      <c r="I95" s="352" t="str">
        <f t="shared" si="22"/>
        <v>-</v>
      </c>
      <c r="J95" s="352" t="str">
        <f t="shared" si="23"/>
        <v>-</v>
      </c>
      <c r="K95" s="194" t="str">
        <f t="shared" si="24"/>
        <v>-</v>
      </c>
      <c r="L95" s="653"/>
      <c r="M95" s="195" t="e">
        <f>RANK(K95, K$77:$K$106)</f>
        <v>#VALUE!</v>
      </c>
      <c r="N95" s="637"/>
      <c r="O95" s="637"/>
      <c r="P95" s="538"/>
      <c r="Q95" s="540"/>
      <c r="R95" s="540"/>
      <c r="S95" s="538"/>
      <c r="T95" s="638"/>
      <c r="U95" s="538"/>
      <c r="V95" s="540"/>
      <c r="W95" s="540"/>
      <c r="X95" s="538"/>
      <c r="Y95" s="638"/>
      <c r="Z95" s="538"/>
      <c r="AA95" s="540"/>
      <c r="AB95" s="540"/>
      <c r="AC95" s="538"/>
      <c r="AD95" s="638"/>
      <c r="AE95" s="538"/>
      <c r="AF95" s="540"/>
      <c r="AG95" s="540"/>
      <c r="AH95" s="538"/>
      <c r="AI95" s="638"/>
      <c r="AJ95" s="538"/>
      <c r="AK95" s="540"/>
      <c r="AL95" s="540"/>
      <c r="AM95" s="538"/>
      <c r="AN95" s="638"/>
      <c r="AO95" s="538"/>
      <c r="AP95" s="540"/>
      <c r="AQ95" s="540"/>
      <c r="AR95" s="538"/>
      <c r="AS95" s="638"/>
      <c r="AT95" s="538"/>
      <c r="AU95" s="540"/>
      <c r="AV95" s="540"/>
      <c r="AW95" s="538"/>
      <c r="AX95" s="638"/>
      <c r="AZ95" s="357" t="e">
        <f t="shared" si="25"/>
        <v>#N/A</v>
      </c>
      <c r="BA95" s="638"/>
    </row>
    <row r="96" spans="2:53">
      <c r="B96" s="643"/>
      <c r="C96" s="275">
        <v>20</v>
      </c>
      <c r="D96" s="196"/>
      <c r="E96" s="554"/>
      <c r="F96" s="196"/>
      <c r="G96" s="194"/>
      <c r="H96" s="697"/>
      <c r="I96" s="352" t="str">
        <f t="shared" si="22"/>
        <v>-</v>
      </c>
      <c r="J96" s="352" t="str">
        <f t="shared" si="23"/>
        <v>-</v>
      </c>
      <c r="K96" s="194" t="str">
        <f t="shared" si="24"/>
        <v>-</v>
      </c>
      <c r="L96" s="653"/>
      <c r="M96" s="195" t="e">
        <f>RANK(K96, K$77:$K$106)</f>
        <v>#VALUE!</v>
      </c>
      <c r="N96" s="637"/>
      <c r="O96" s="637"/>
      <c r="P96" s="538"/>
      <c r="Q96" s="540"/>
      <c r="R96" s="540"/>
      <c r="S96" s="538"/>
      <c r="T96" s="638"/>
      <c r="U96" s="538"/>
      <c r="V96" s="540"/>
      <c r="W96" s="540"/>
      <c r="X96" s="538"/>
      <c r="Y96" s="638"/>
      <c r="Z96" s="538"/>
      <c r="AA96" s="540"/>
      <c r="AB96" s="540"/>
      <c r="AC96" s="538"/>
      <c r="AD96" s="638"/>
      <c r="AE96" s="538"/>
      <c r="AF96" s="540"/>
      <c r="AG96" s="540"/>
      <c r="AH96" s="538"/>
      <c r="AI96" s="638"/>
      <c r="AJ96" s="538"/>
      <c r="AK96" s="540"/>
      <c r="AL96" s="540"/>
      <c r="AM96" s="538"/>
      <c r="AN96" s="638"/>
      <c r="AO96" s="538"/>
      <c r="AP96" s="540"/>
      <c r="AQ96" s="540"/>
      <c r="AR96" s="538"/>
      <c r="AS96" s="638"/>
      <c r="AT96" s="538"/>
      <c r="AU96" s="540"/>
      <c r="AV96" s="540"/>
      <c r="AW96" s="538"/>
      <c r="AX96" s="638"/>
      <c r="AZ96" s="357" t="e">
        <f t="shared" si="25"/>
        <v>#N/A</v>
      </c>
      <c r="BA96" s="638"/>
    </row>
    <row r="97" spans="2:53">
      <c r="B97" s="643"/>
      <c r="C97" s="275">
        <v>21</v>
      </c>
      <c r="D97" s="196"/>
      <c r="E97" s="554"/>
      <c r="F97" s="196"/>
      <c r="G97" s="194"/>
      <c r="H97" s="697"/>
      <c r="I97" s="352" t="str">
        <f t="shared" si="22"/>
        <v>-</v>
      </c>
      <c r="J97" s="352" t="str">
        <f t="shared" si="23"/>
        <v>-</v>
      </c>
      <c r="K97" s="194" t="str">
        <f t="shared" si="24"/>
        <v>-</v>
      </c>
      <c r="L97" s="653"/>
      <c r="M97" s="195" t="e">
        <f>RANK(K97, K$77:$K$106)</f>
        <v>#VALUE!</v>
      </c>
      <c r="N97" s="637"/>
      <c r="O97" s="637"/>
      <c r="P97" s="538"/>
      <c r="Q97" s="540"/>
      <c r="R97" s="540"/>
      <c r="S97" s="538"/>
      <c r="T97" s="638"/>
      <c r="U97" s="538"/>
      <c r="V97" s="540"/>
      <c r="W97" s="540"/>
      <c r="X97" s="538"/>
      <c r="Y97" s="638"/>
      <c r="Z97" s="538"/>
      <c r="AA97" s="540"/>
      <c r="AB97" s="540"/>
      <c r="AC97" s="538"/>
      <c r="AD97" s="638"/>
      <c r="AE97" s="538"/>
      <c r="AF97" s="540"/>
      <c r="AG97" s="540"/>
      <c r="AH97" s="538"/>
      <c r="AI97" s="638"/>
      <c r="AJ97" s="538"/>
      <c r="AK97" s="540"/>
      <c r="AL97" s="540"/>
      <c r="AM97" s="538"/>
      <c r="AN97" s="638"/>
      <c r="AO97" s="538"/>
      <c r="AP97" s="540"/>
      <c r="AQ97" s="540"/>
      <c r="AR97" s="538"/>
      <c r="AS97" s="638"/>
      <c r="AT97" s="538"/>
      <c r="AU97" s="540"/>
      <c r="AV97" s="540"/>
      <c r="AW97" s="538"/>
      <c r="AX97" s="638"/>
      <c r="AZ97" s="357" t="e">
        <f t="shared" si="25"/>
        <v>#N/A</v>
      </c>
      <c r="BA97" s="638"/>
    </row>
    <row r="98" spans="2:53">
      <c r="B98" s="643"/>
      <c r="C98" s="275">
        <v>22</v>
      </c>
      <c r="D98" s="196"/>
      <c r="E98" s="554"/>
      <c r="F98" s="196"/>
      <c r="G98" s="194"/>
      <c r="H98" s="697"/>
      <c r="I98" s="352" t="str">
        <f t="shared" si="22"/>
        <v>-</v>
      </c>
      <c r="J98" s="352" t="str">
        <f t="shared" si="23"/>
        <v>-</v>
      </c>
      <c r="K98" s="194" t="str">
        <f t="shared" si="24"/>
        <v>-</v>
      </c>
      <c r="L98" s="653"/>
      <c r="M98" s="195" t="e">
        <f>RANK(K98, K$77:$K$106)</f>
        <v>#VALUE!</v>
      </c>
      <c r="N98" s="637"/>
      <c r="O98" s="637"/>
      <c r="P98" s="538"/>
      <c r="Q98" s="540"/>
      <c r="R98" s="540"/>
      <c r="S98" s="538"/>
      <c r="T98" s="638"/>
      <c r="U98" s="538"/>
      <c r="V98" s="540"/>
      <c r="W98" s="540"/>
      <c r="X98" s="538"/>
      <c r="Y98" s="638"/>
      <c r="Z98" s="538"/>
      <c r="AA98" s="540"/>
      <c r="AB98" s="540"/>
      <c r="AC98" s="538"/>
      <c r="AD98" s="638"/>
      <c r="AE98" s="538"/>
      <c r="AF98" s="540"/>
      <c r="AG98" s="540"/>
      <c r="AH98" s="538"/>
      <c r="AI98" s="638"/>
      <c r="AJ98" s="538"/>
      <c r="AK98" s="540"/>
      <c r="AL98" s="540"/>
      <c r="AM98" s="538"/>
      <c r="AN98" s="638"/>
      <c r="AO98" s="538"/>
      <c r="AP98" s="540"/>
      <c r="AQ98" s="540"/>
      <c r="AR98" s="538"/>
      <c r="AS98" s="638"/>
      <c r="AT98" s="538"/>
      <c r="AU98" s="540"/>
      <c r="AV98" s="540"/>
      <c r="AW98" s="538"/>
      <c r="AX98" s="638"/>
      <c r="AZ98" s="357" t="e">
        <f t="shared" si="25"/>
        <v>#N/A</v>
      </c>
      <c r="BA98" s="638"/>
    </row>
    <row r="99" spans="2:53">
      <c r="B99" s="643"/>
      <c r="C99" s="275">
        <v>23</v>
      </c>
      <c r="D99" s="196"/>
      <c r="E99" s="554"/>
      <c r="F99" s="196"/>
      <c r="G99" s="194"/>
      <c r="H99" s="697"/>
      <c r="I99" s="352" t="str">
        <f t="shared" si="22"/>
        <v>-</v>
      </c>
      <c r="J99" s="352" t="str">
        <f t="shared" si="23"/>
        <v>-</v>
      </c>
      <c r="K99" s="194" t="str">
        <f t="shared" si="24"/>
        <v>-</v>
      </c>
      <c r="L99" s="653"/>
      <c r="M99" s="195" t="e">
        <f>RANK(K99, K$77:$K$106)</f>
        <v>#VALUE!</v>
      </c>
      <c r="N99" s="637"/>
      <c r="O99" s="637"/>
      <c r="P99" s="538"/>
      <c r="Q99" s="540"/>
      <c r="R99" s="540"/>
      <c r="S99" s="538"/>
      <c r="T99" s="638"/>
      <c r="U99" s="538"/>
      <c r="V99" s="540"/>
      <c r="W99" s="540"/>
      <c r="X99" s="538"/>
      <c r="Y99" s="638"/>
      <c r="Z99" s="538"/>
      <c r="AA99" s="540"/>
      <c r="AB99" s="540"/>
      <c r="AC99" s="538"/>
      <c r="AD99" s="638"/>
      <c r="AE99" s="538"/>
      <c r="AF99" s="540"/>
      <c r="AG99" s="540"/>
      <c r="AH99" s="538"/>
      <c r="AI99" s="638"/>
      <c r="AJ99" s="538"/>
      <c r="AK99" s="540"/>
      <c r="AL99" s="540"/>
      <c r="AM99" s="538"/>
      <c r="AN99" s="638"/>
      <c r="AO99" s="538"/>
      <c r="AP99" s="540"/>
      <c r="AQ99" s="540"/>
      <c r="AR99" s="538"/>
      <c r="AS99" s="638"/>
      <c r="AT99" s="538"/>
      <c r="AU99" s="540"/>
      <c r="AV99" s="540"/>
      <c r="AW99" s="538"/>
      <c r="AX99" s="638"/>
      <c r="AZ99" s="357" t="e">
        <f t="shared" si="25"/>
        <v>#N/A</v>
      </c>
      <c r="BA99" s="638"/>
    </row>
    <row r="100" spans="2:53">
      <c r="B100" s="643"/>
      <c r="C100" s="275">
        <v>24</v>
      </c>
      <c r="D100" s="196"/>
      <c r="E100" s="554"/>
      <c r="F100" s="196"/>
      <c r="G100" s="194"/>
      <c r="H100" s="697"/>
      <c r="I100" s="352" t="str">
        <f t="shared" si="22"/>
        <v>-</v>
      </c>
      <c r="J100" s="352" t="str">
        <f t="shared" si="23"/>
        <v>-</v>
      </c>
      <c r="K100" s="194" t="str">
        <f t="shared" si="24"/>
        <v>-</v>
      </c>
      <c r="L100" s="653"/>
      <c r="M100" s="195" t="e">
        <f>RANK(K100, K$77:$K$106)</f>
        <v>#VALUE!</v>
      </c>
      <c r="N100" s="637"/>
      <c r="O100" s="637"/>
      <c r="P100" s="538"/>
      <c r="Q100" s="540"/>
      <c r="R100" s="540"/>
      <c r="S100" s="538"/>
      <c r="T100" s="638"/>
      <c r="U100" s="538"/>
      <c r="V100" s="540"/>
      <c r="W100" s="540"/>
      <c r="X100" s="538"/>
      <c r="Y100" s="638"/>
      <c r="Z100" s="538"/>
      <c r="AA100" s="540"/>
      <c r="AB100" s="540"/>
      <c r="AC100" s="538"/>
      <c r="AD100" s="638"/>
      <c r="AE100" s="538"/>
      <c r="AF100" s="540"/>
      <c r="AG100" s="540"/>
      <c r="AH100" s="538"/>
      <c r="AI100" s="638"/>
      <c r="AJ100" s="538"/>
      <c r="AK100" s="540"/>
      <c r="AL100" s="540"/>
      <c r="AM100" s="538"/>
      <c r="AN100" s="638"/>
      <c r="AO100" s="538"/>
      <c r="AP100" s="540"/>
      <c r="AQ100" s="540"/>
      <c r="AR100" s="538"/>
      <c r="AS100" s="638"/>
      <c r="AT100" s="538"/>
      <c r="AU100" s="540"/>
      <c r="AV100" s="540"/>
      <c r="AW100" s="538"/>
      <c r="AX100" s="638"/>
      <c r="AZ100" s="357" t="e">
        <f t="shared" si="25"/>
        <v>#N/A</v>
      </c>
      <c r="BA100" s="638"/>
    </row>
    <row r="101" spans="2:53">
      <c r="B101" s="643"/>
      <c r="C101" s="275">
        <v>25</v>
      </c>
      <c r="D101" s="196"/>
      <c r="E101" s="554"/>
      <c r="F101" s="196"/>
      <c r="G101" s="194"/>
      <c r="H101" s="697"/>
      <c r="I101" s="352" t="str">
        <f t="shared" si="22"/>
        <v>-</v>
      </c>
      <c r="J101" s="352" t="str">
        <f t="shared" si="23"/>
        <v>-</v>
      </c>
      <c r="K101" s="194" t="str">
        <f t="shared" si="24"/>
        <v>-</v>
      </c>
      <c r="L101" s="653"/>
      <c r="M101" s="195" t="e">
        <f>RANK(K101, K$77:$K$106)</f>
        <v>#VALUE!</v>
      </c>
      <c r="N101" s="637"/>
      <c r="O101" s="637"/>
      <c r="P101" s="538"/>
      <c r="Q101" s="540"/>
      <c r="R101" s="540"/>
      <c r="S101" s="538"/>
      <c r="T101" s="638"/>
      <c r="U101" s="538"/>
      <c r="V101" s="540"/>
      <c r="W101" s="540"/>
      <c r="X101" s="538"/>
      <c r="Y101" s="638"/>
      <c r="Z101" s="538"/>
      <c r="AA101" s="540"/>
      <c r="AB101" s="540"/>
      <c r="AC101" s="538"/>
      <c r="AD101" s="638"/>
      <c r="AE101" s="538"/>
      <c r="AF101" s="540"/>
      <c r="AG101" s="540"/>
      <c r="AH101" s="538"/>
      <c r="AI101" s="638"/>
      <c r="AJ101" s="538"/>
      <c r="AK101" s="540"/>
      <c r="AL101" s="540"/>
      <c r="AM101" s="538"/>
      <c r="AN101" s="638"/>
      <c r="AO101" s="538"/>
      <c r="AP101" s="540"/>
      <c r="AQ101" s="540"/>
      <c r="AR101" s="538"/>
      <c r="AS101" s="638"/>
      <c r="AT101" s="538"/>
      <c r="AU101" s="540"/>
      <c r="AV101" s="540"/>
      <c r="AW101" s="538"/>
      <c r="AX101" s="638"/>
      <c r="AZ101" s="357" t="e">
        <f t="shared" si="25"/>
        <v>#N/A</v>
      </c>
      <c r="BA101" s="638"/>
    </row>
    <row r="102" spans="2:53">
      <c r="B102" s="643"/>
      <c r="C102" s="275">
        <v>26</v>
      </c>
      <c r="D102" s="196"/>
      <c r="E102" s="554"/>
      <c r="F102" s="196"/>
      <c r="G102" s="194"/>
      <c r="H102" s="697"/>
      <c r="I102" s="352" t="str">
        <f t="shared" si="22"/>
        <v>-</v>
      </c>
      <c r="J102" s="352" t="str">
        <f t="shared" si="23"/>
        <v>-</v>
      </c>
      <c r="K102" s="194" t="str">
        <f t="shared" si="24"/>
        <v>-</v>
      </c>
      <c r="L102" s="653"/>
      <c r="M102" s="195" t="e">
        <f>RANK(K102, K$77:$K$106)</f>
        <v>#VALUE!</v>
      </c>
      <c r="N102" s="637"/>
      <c r="O102" s="637"/>
      <c r="P102" s="538"/>
      <c r="Q102" s="540"/>
      <c r="R102" s="540"/>
      <c r="S102" s="538"/>
      <c r="T102" s="638"/>
      <c r="U102" s="538"/>
      <c r="V102" s="540"/>
      <c r="W102" s="540"/>
      <c r="X102" s="538"/>
      <c r="Y102" s="638"/>
      <c r="Z102" s="538"/>
      <c r="AA102" s="540"/>
      <c r="AB102" s="540"/>
      <c r="AC102" s="538"/>
      <c r="AD102" s="638"/>
      <c r="AE102" s="538"/>
      <c r="AF102" s="540"/>
      <c r="AG102" s="540"/>
      <c r="AH102" s="538"/>
      <c r="AI102" s="638"/>
      <c r="AJ102" s="538"/>
      <c r="AK102" s="540"/>
      <c r="AL102" s="540"/>
      <c r="AM102" s="538"/>
      <c r="AN102" s="638"/>
      <c r="AO102" s="538"/>
      <c r="AP102" s="540"/>
      <c r="AQ102" s="540"/>
      <c r="AR102" s="538"/>
      <c r="AS102" s="638"/>
      <c r="AT102" s="538"/>
      <c r="AU102" s="540"/>
      <c r="AV102" s="540"/>
      <c r="AW102" s="538"/>
      <c r="AX102" s="638"/>
      <c r="AZ102" s="357" t="e">
        <f t="shared" si="25"/>
        <v>#N/A</v>
      </c>
      <c r="BA102" s="638"/>
    </row>
    <row r="103" spans="2:53">
      <c r="B103" s="643"/>
      <c r="C103" s="275">
        <v>27</v>
      </c>
      <c r="D103" s="196"/>
      <c r="E103" s="554"/>
      <c r="F103" s="196"/>
      <c r="G103" s="194"/>
      <c r="H103" s="697"/>
      <c r="I103" s="352" t="str">
        <f t="shared" si="22"/>
        <v>-</v>
      </c>
      <c r="J103" s="352" t="str">
        <f t="shared" si="23"/>
        <v>-</v>
      </c>
      <c r="K103" s="194" t="str">
        <f t="shared" si="24"/>
        <v>-</v>
      </c>
      <c r="L103" s="653"/>
      <c r="M103" s="195" t="e">
        <f>RANK(K103, K$77:$K$106)</f>
        <v>#VALUE!</v>
      </c>
      <c r="N103" s="637"/>
      <c r="O103" s="637"/>
      <c r="P103" s="538"/>
      <c r="Q103" s="540"/>
      <c r="R103" s="540"/>
      <c r="S103" s="538"/>
      <c r="T103" s="638"/>
      <c r="U103" s="538"/>
      <c r="V103" s="540"/>
      <c r="W103" s="540"/>
      <c r="X103" s="538"/>
      <c r="Y103" s="638"/>
      <c r="Z103" s="538"/>
      <c r="AA103" s="540"/>
      <c r="AB103" s="540"/>
      <c r="AC103" s="538"/>
      <c r="AD103" s="638"/>
      <c r="AE103" s="538"/>
      <c r="AF103" s="540"/>
      <c r="AG103" s="540"/>
      <c r="AH103" s="538"/>
      <c r="AI103" s="638"/>
      <c r="AJ103" s="538"/>
      <c r="AK103" s="540"/>
      <c r="AL103" s="540"/>
      <c r="AM103" s="538"/>
      <c r="AN103" s="638"/>
      <c r="AO103" s="538"/>
      <c r="AP103" s="540"/>
      <c r="AQ103" s="540"/>
      <c r="AR103" s="538"/>
      <c r="AS103" s="638"/>
      <c r="AT103" s="538"/>
      <c r="AU103" s="540"/>
      <c r="AV103" s="540"/>
      <c r="AW103" s="538"/>
      <c r="AX103" s="638"/>
      <c r="AZ103" s="357" t="e">
        <f t="shared" si="25"/>
        <v>#N/A</v>
      </c>
      <c r="BA103" s="638"/>
    </row>
    <row r="104" spans="2:53">
      <c r="B104" s="643"/>
      <c r="C104" s="275">
        <v>28</v>
      </c>
      <c r="D104" s="196"/>
      <c r="E104" s="554"/>
      <c r="F104" s="196"/>
      <c r="G104" s="194"/>
      <c r="H104" s="697"/>
      <c r="I104" s="352" t="str">
        <f t="shared" si="22"/>
        <v>-</v>
      </c>
      <c r="J104" s="352" t="str">
        <f t="shared" si="23"/>
        <v>-</v>
      </c>
      <c r="K104" s="194" t="str">
        <f t="shared" si="24"/>
        <v>-</v>
      </c>
      <c r="L104" s="653"/>
      <c r="M104" s="195" t="e">
        <f>RANK(K104, K$77:$K$106)</f>
        <v>#VALUE!</v>
      </c>
      <c r="N104" s="637"/>
      <c r="O104" s="637"/>
      <c r="P104" s="538"/>
      <c r="Q104" s="540"/>
      <c r="R104" s="540"/>
      <c r="S104" s="538"/>
      <c r="T104" s="638"/>
      <c r="U104" s="538"/>
      <c r="V104" s="540"/>
      <c r="W104" s="540"/>
      <c r="X104" s="538"/>
      <c r="Y104" s="638"/>
      <c r="Z104" s="538"/>
      <c r="AA104" s="540"/>
      <c r="AB104" s="540"/>
      <c r="AC104" s="538"/>
      <c r="AD104" s="638"/>
      <c r="AE104" s="538"/>
      <c r="AF104" s="540"/>
      <c r="AG104" s="540"/>
      <c r="AH104" s="538"/>
      <c r="AI104" s="638"/>
      <c r="AJ104" s="538"/>
      <c r="AK104" s="540"/>
      <c r="AL104" s="540"/>
      <c r="AM104" s="538"/>
      <c r="AN104" s="638"/>
      <c r="AO104" s="538"/>
      <c r="AP104" s="540"/>
      <c r="AQ104" s="540"/>
      <c r="AR104" s="538"/>
      <c r="AS104" s="638"/>
      <c r="AT104" s="538"/>
      <c r="AU104" s="540"/>
      <c r="AV104" s="540"/>
      <c r="AW104" s="538"/>
      <c r="AX104" s="638"/>
      <c r="AZ104" s="357" t="e">
        <f t="shared" si="25"/>
        <v>#N/A</v>
      </c>
      <c r="BA104" s="638"/>
    </row>
    <row r="105" spans="2:53">
      <c r="B105" s="643"/>
      <c r="C105" s="275">
        <v>29</v>
      </c>
      <c r="D105" s="196"/>
      <c r="E105" s="554"/>
      <c r="F105" s="196"/>
      <c r="G105" s="194"/>
      <c r="H105" s="697"/>
      <c r="I105" s="352" t="str">
        <f t="shared" si="22"/>
        <v>-</v>
      </c>
      <c r="J105" s="352" t="str">
        <f t="shared" si="23"/>
        <v>-</v>
      </c>
      <c r="K105" s="194" t="str">
        <f t="shared" si="24"/>
        <v>-</v>
      </c>
      <c r="L105" s="653"/>
      <c r="M105" s="195" t="e">
        <f>RANK(K105, K$77:$K$106)</f>
        <v>#VALUE!</v>
      </c>
      <c r="N105" s="637"/>
      <c r="O105" s="637"/>
      <c r="P105" s="538"/>
      <c r="Q105" s="540"/>
      <c r="R105" s="540"/>
      <c r="S105" s="538"/>
      <c r="T105" s="638"/>
      <c r="U105" s="538"/>
      <c r="V105" s="540"/>
      <c r="W105" s="540"/>
      <c r="X105" s="538"/>
      <c r="Y105" s="638"/>
      <c r="Z105" s="538"/>
      <c r="AA105" s="540"/>
      <c r="AB105" s="540"/>
      <c r="AC105" s="538"/>
      <c r="AD105" s="638"/>
      <c r="AE105" s="538"/>
      <c r="AF105" s="540"/>
      <c r="AG105" s="540"/>
      <c r="AH105" s="538"/>
      <c r="AI105" s="638"/>
      <c r="AJ105" s="538"/>
      <c r="AK105" s="540"/>
      <c r="AL105" s="540"/>
      <c r="AM105" s="538"/>
      <c r="AN105" s="638"/>
      <c r="AO105" s="538"/>
      <c r="AP105" s="540"/>
      <c r="AQ105" s="540"/>
      <c r="AR105" s="538"/>
      <c r="AS105" s="638"/>
      <c r="AT105" s="538"/>
      <c r="AU105" s="540"/>
      <c r="AV105" s="540"/>
      <c r="AW105" s="538"/>
      <c r="AX105" s="638"/>
      <c r="AZ105" s="357" t="e">
        <f t="shared" si="25"/>
        <v>#N/A</v>
      </c>
      <c r="BA105" s="638"/>
    </row>
    <row r="106" spans="2:53">
      <c r="B106" s="643"/>
      <c r="C106" s="275">
        <v>30</v>
      </c>
      <c r="D106" s="196"/>
      <c r="E106" s="554"/>
      <c r="F106" s="196"/>
      <c r="G106" s="194"/>
      <c r="H106" s="698"/>
      <c r="I106" s="352" t="str">
        <f t="shared" si="22"/>
        <v>-</v>
      </c>
      <c r="J106" s="352" t="str">
        <f t="shared" si="23"/>
        <v>-</v>
      </c>
      <c r="K106" s="194" t="str">
        <f t="shared" si="24"/>
        <v>-</v>
      </c>
      <c r="L106" s="654"/>
      <c r="M106" s="195" t="e">
        <f>RANK(K106, K$77:$K$106)</f>
        <v>#VALUE!</v>
      </c>
      <c r="N106" s="637"/>
      <c r="O106" s="637"/>
      <c r="P106" s="538"/>
      <c r="Q106" s="540"/>
      <c r="R106" s="540"/>
      <c r="S106" s="538"/>
      <c r="T106" s="638"/>
      <c r="U106" s="538"/>
      <c r="V106" s="540"/>
      <c r="W106" s="540"/>
      <c r="X106" s="538"/>
      <c r="Y106" s="638"/>
      <c r="Z106" s="538"/>
      <c r="AA106" s="540"/>
      <c r="AB106" s="540"/>
      <c r="AC106" s="538"/>
      <c r="AD106" s="638"/>
      <c r="AE106" s="538"/>
      <c r="AF106" s="540"/>
      <c r="AG106" s="540"/>
      <c r="AH106" s="538"/>
      <c r="AI106" s="638"/>
      <c r="AJ106" s="538"/>
      <c r="AK106" s="540"/>
      <c r="AL106" s="540"/>
      <c r="AM106" s="538"/>
      <c r="AN106" s="638"/>
      <c r="AO106" s="538"/>
      <c r="AP106" s="540"/>
      <c r="AQ106" s="540"/>
      <c r="AR106" s="538"/>
      <c r="AS106" s="638"/>
      <c r="AT106" s="538"/>
      <c r="AU106" s="540"/>
      <c r="AV106" s="540"/>
      <c r="AW106" s="538"/>
      <c r="AX106" s="638"/>
      <c r="AZ106" s="357" t="e">
        <f t="shared" si="25"/>
        <v>#N/A</v>
      </c>
      <c r="BA106" s="638"/>
    </row>
    <row r="107" spans="2:53" ht="15.75">
      <c r="B107" s="665" t="s">
        <v>162</v>
      </c>
      <c r="C107" s="666"/>
      <c r="D107" s="666"/>
      <c r="E107" s="666"/>
      <c r="F107" s="666"/>
      <c r="G107" s="666"/>
      <c r="H107" s="667"/>
      <c r="I107" s="202"/>
      <c r="J107" s="202"/>
      <c r="K107" s="202"/>
      <c r="L107" s="202"/>
      <c r="M107" s="201"/>
      <c r="N107" s="639" t="s">
        <v>156</v>
      </c>
      <c r="O107" s="639" t="s">
        <v>105</v>
      </c>
      <c r="P107" s="661">
        <f>P72+7</f>
        <v>46315</v>
      </c>
      <c r="Q107" s="662"/>
      <c r="R107" s="662"/>
      <c r="S107" s="662"/>
      <c r="T107" s="663"/>
      <c r="U107" s="661">
        <f>P107+1</f>
        <v>46316</v>
      </c>
      <c r="V107" s="662"/>
      <c r="W107" s="662"/>
      <c r="X107" s="662"/>
      <c r="Y107" s="663"/>
      <c r="Z107" s="661">
        <f>U107+1</f>
        <v>46317</v>
      </c>
      <c r="AA107" s="662"/>
      <c r="AB107" s="662"/>
      <c r="AC107" s="662"/>
      <c r="AD107" s="663"/>
      <c r="AE107" s="661">
        <f>Z107+1</f>
        <v>46318</v>
      </c>
      <c r="AF107" s="662"/>
      <c r="AG107" s="662"/>
      <c r="AH107" s="662"/>
      <c r="AI107" s="663"/>
      <c r="AJ107" s="661">
        <f>AE107+1</f>
        <v>46319</v>
      </c>
      <c r="AK107" s="662"/>
      <c r="AL107" s="662"/>
      <c r="AM107" s="662"/>
      <c r="AN107" s="663"/>
      <c r="AO107" s="661">
        <f>AJ107+1</f>
        <v>46320</v>
      </c>
      <c r="AP107" s="662"/>
      <c r="AQ107" s="662"/>
      <c r="AR107" s="662"/>
      <c r="AS107" s="663"/>
      <c r="AT107" s="661">
        <f>AO107+1</f>
        <v>46321</v>
      </c>
      <c r="AU107" s="662"/>
      <c r="AV107" s="662"/>
      <c r="AW107" s="662"/>
      <c r="AX107" s="663"/>
    </row>
    <row r="108" spans="2:53" ht="15.75">
      <c r="B108" s="668"/>
      <c r="C108" s="668"/>
      <c r="D108" s="668"/>
      <c r="E108" s="668"/>
      <c r="F108" s="668"/>
      <c r="G108" s="668"/>
      <c r="H108" s="668"/>
      <c r="I108" s="199"/>
      <c r="J108" s="199"/>
      <c r="K108" s="199"/>
      <c r="L108" s="199"/>
      <c r="M108" s="200"/>
      <c r="N108" s="641"/>
      <c r="O108" s="641"/>
      <c r="P108" s="661" t="s">
        <v>317</v>
      </c>
      <c r="Q108" s="662"/>
      <c r="R108" s="662"/>
      <c r="S108" s="662"/>
      <c r="T108" s="663"/>
      <c r="U108" s="661" t="s">
        <v>318</v>
      </c>
      <c r="V108" s="662"/>
      <c r="W108" s="662"/>
      <c r="X108" s="662"/>
      <c r="Y108" s="663"/>
      <c r="Z108" s="661" t="s">
        <v>319</v>
      </c>
      <c r="AA108" s="662"/>
      <c r="AB108" s="662"/>
      <c r="AC108" s="662"/>
      <c r="AD108" s="663"/>
      <c r="AE108" s="661" t="s">
        <v>320</v>
      </c>
      <c r="AF108" s="662"/>
      <c r="AG108" s="662"/>
      <c r="AH108" s="662"/>
      <c r="AI108" s="663"/>
      <c r="AJ108" s="661" t="s">
        <v>321</v>
      </c>
      <c r="AK108" s="662"/>
      <c r="AL108" s="662"/>
      <c r="AM108" s="662"/>
      <c r="AN108" s="663"/>
      <c r="AO108" s="661" t="s">
        <v>322</v>
      </c>
      <c r="AP108" s="662"/>
      <c r="AQ108" s="662"/>
      <c r="AR108" s="662"/>
      <c r="AS108" s="663"/>
      <c r="AT108" s="661" t="s">
        <v>323</v>
      </c>
      <c r="AU108" s="662"/>
      <c r="AV108" s="662"/>
      <c r="AW108" s="662"/>
      <c r="AX108" s="663"/>
    </row>
    <row r="109" spans="2:53">
      <c r="B109" s="637" t="s">
        <v>398</v>
      </c>
      <c r="C109" s="637" t="s">
        <v>399</v>
      </c>
      <c r="D109" s="637"/>
      <c r="E109" s="637" t="s">
        <v>400</v>
      </c>
      <c r="F109" s="637"/>
      <c r="G109" s="637"/>
      <c r="H109" s="669" t="s">
        <v>401</v>
      </c>
      <c r="I109" s="684" t="s">
        <v>402</v>
      </c>
      <c r="J109" s="684"/>
      <c r="K109" s="684"/>
      <c r="L109" s="685" t="s">
        <v>401</v>
      </c>
      <c r="M109" s="673" t="s">
        <v>403</v>
      </c>
      <c r="N109" s="637"/>
      <c r="O109" s="637" t="s">
        <v>404</v>
      </c>
      <c r="P109" s="655" t="s">
        <v>405</v>
      </c>
      <c r="Q109" s="656"/>
      <c r="R109" s="656"/>
      <c r="S109" s="657"/>
      <c r="T109" s="639" t="s">
        <v>401</v>
      </c>
      <c r="U109" s="655" t="s">
        <v>405</v>
      </c>
      <c r="V109" s="656"/>
      <c r="W109" s="656"/>
      <c r="X109" s="657"/>
      <c r="Y109" s="639" t="s">
        <v>401</v>
      </c>
      <c r="Z109" s="655" t="s">
        <v>405</v>
      </c>
      <c r="AA109" s="656"/>
      <c r="AB109" s="656"/>
      <c r="AC109" s="657"/>
      <c r="AD109" s="639" t="s">
        <v>401</v>
      </c>
      <c r="AE109" s="655" t="s">
        <v>405</v>
      </c>
      <c r="AF109" s="656"/>
      <c r="AG109" s="656"/>
      <c r="AH109" s="657"/>
      <c r="AI109" s="639" t="s">
        <v>401</v>
      </c>
      <c r="AJ109" s="655" t="s">
        <v>405</v>
      </c>
      <c r="AK109" s="656"/>
      <c r="AL109" s="656"/>
      <c r="AM109" s="657"/>
      <c r="AN109" s="639" t="s">
        <v>401</v>
      </c>
      <c r="AO109" s="655" t="s">
        <v>405</v>
      </c>
      <c r="AP109" s="656"/>
      <c r="AQ109" s="656"/>
      <c r="AR109" s="657"/>
      <c r="AS109" s="639" t="s">
        <v>401</v>
      </c>
      <c r="AT109" s="655" t="s">
        <v>405</v>
      </c>
      <c r="AU109" s="656"/>
      <c r="AV109" s="656"/>
      <c r="AW109" s="657"/>
      <c r="AX109" s="637" t="s">
        <v>401</v>
      </c>
      <c r="BA109" s="637" t="s">
        <v>357</v>
      </c>
    </row>
    <row r="110" spans="2:53">
      <c r="B110" s="637"/>
      <c r="C110" s="637"/>
      <c r="D110" s="637"/>
      <c r="E110" s="637" t="s">
        <v>406</v>
      </c>
      <c r="F110" s="637"/>
      <c r="G110" s="637"/>
      <c r="H110" s="670"/>
      <c r="I110" s="684" t="s">
        <v>406</v>
      </c>
      <c r="J110" s="684"/>
      <c r="K110" s="684"/>
      <c r="L110" s="686"/>
      <c r="M110" s="674"/>
      <c r="N110" s="637"/>
      <c r="O110" s="637"/>
      <c r="P110" s="655" t="s">
        <v>407</v>
      </c>
      <c r="Q110" s="656"/>
      <c r="R110" s="656"/>
      <c r="S110" s="657"/>
      <c r="T110" s="640"/>
      <c r="U110" s="655" t="s">
        <v>407</v>
      </c>
      <c r="V110" s="656"/>
      <c r="W110" s="656"/>
      <c r="X110" s="657"/>
      <c r="Y110" s="640"/>
      <c r="Z110" s="655" t="s">
        <v>407</v>
      </c>
      <c r="AA110" s="656"/>
      <c r="AB110" s="656"/>
      <c r="AC110" s="657"/>
      <c r="AD110" s="640"/>
      <c r="AE110" s="655" t="s">
        <v>407</v>
      </c>
      <c r="AF110" s="656"/>
      <c r="AG110" s="656"/>
      <c r="AH110" s="657"/>
      <c r="AI110" s="640"/>
      <c r="AJ110" s="655" t="s">
        <v>407</v>
      </c>
      <c r="AK110" s="656"/>
      <c r="AL110" s="656"/>
      <c r="AM110" s="657"/>
      <c r="AN110" s="640"/>
      <c r="AO110" s="655" t="s">
        <v>407</v>
      </c>
      <c r="AP110" s="656"/>
      <c r="AQ110" s="656"/>
      <c r="AR110" s="657"/>
      <c r="AS110" s="640"/>
      <c r="AT110" s="655" t="s">
        <v>407</v>
      </c>
      <c r="AU110" s="656"/>
      <c r="AV110" s="656"/>
      <c r="AW110" s="657"/>
      <c r="AX110" s="637"/>
      <c r="BA110" s="637"/>
    </row>
    <row r="111" spans="2:53">
      <c r="B111" s="637"/>
      <c r="C111" s="637"/>
      <c r="D111" s="637"/>
      <c r="E111" s="274" t="s">
        <v>408</v>
      </c>
      <c r="F111" s="274" t="s">
        <v>409</v>
      </c>
      <c r="G111" s="274" t="s">
        <v>410</v>
      </c>
      <c r="H111" s="671"/>
      <c r="I111" s="273" t="s">
        <v>408</v>
      </c>
      <c r="J111" s="273" t="s">
        <v>409</v>
      </c>
      <c r="K111" s="273" t="s">
        <v>410</v>
      </c>
      <c r="L111" s="687"/>
      <c r="M111" s="675"/>
      <c r="N111" s="637"/>
      <c r="O111" s="637"/>
      <c r="P111" s="430" t="s">
        <v>408</v>
      </c>
      <c r="Q111" s="430" t="s">
        <v>409</v>
      </c>
      <c r="R111" s="430" t="s">
        <v>410</v>
      </c>
      <c r="S111" s="430" t="s">
        <v>403</v>
      </c>
      <c r="T111" s="641"/>
      <c r="U111" s="430" t="s">
        <v>408</v>
      </c>
      <c r="V111" s="430" t="s">
        <v>409</v>
      </c>
      <c r="W111" s="430" t="s">
        <v>410</v>
      </c>
      <c r="X111" s="430" t="s">
        <v>403</v>
      </c>
      <c r="Y111" s="641"/>
      <c r="Z111" s="430" t="s">
        <v>408</v>
      </c>
      <c r="AA111" s="430" t="s">
        <v>409</v>
      </c>
      <c r="AB111" s="430" t="s">
        <v>410</v>
      </c>
      <c r="AC111" s="430" t="s">
        <v>403</v>
      </c>
      <c r="AD111" s="641"/>
      <c r="AE111" s="430" t="s">
        <v>408</v>
      </c>
      <c r="AF111" s="430" t="s">
        <v>409</v>
      </c>
      <c r="AG111" s="430" t="s">
        <v>410</v>
      </c>
      <c r="AH111" s="430" t="s">
        <v>403</v>
      </c>
      <c r="AI111" s="641"/>
      <c r="AJ111" s="430" t="s">
        <v>408</v>
      </c>
      <c r="AK111" s="430" t="s">
        <v>409</v>
      </c>
      <c r="AL111" s="430" t="s">
        <v>410</v>
      </c>
      <c r="AM111" s="430" t="s">
        <v>403</v>
      </c>
      <c r="AN111" s="641"/>
      <c r="AO111" s="430" t="s">
        <v>408</v>
      </c>
      <c r="AP111" s="430" t="s">
        <v>409</v>
      </c>
      <c r="AQ111" s="430" t="s">
        <v>410</v>
      </c>
      <c r="AR111" s="430" t="s">
        <v>403</v>
      </c>
      <c r="AS111" s="641"/>
      <c r="AT111" s="274" t="s">
        <v>408</v>
      </c>
      <c r="AU111" s="274" t="s">
        <v>409</v>
      </c>
      <c r="AV111" s="274" t="s">
        <v>410</v>
      </c>
      <c r="AW111" s="274" t="s">
        <v>403</v>
      </c>
      <c r="AX111" s="637"/>
      <c r="AZ111" s="356" t="s">
        <v>358</v>
      </c>
      <c r="BA111" s="637"/>
    </row>
    <row r="112" spans="2:53">
      <c r="B112" s="637" t="s">
        <v>411</v>
      </c>
      <c r="C112" s="275">
        <v>1</v>
      </c>
      <c r="D112" s="196"/>
      <c r="E112" s="554"/>
      <c r="F112" s="196"/>
      <c r="G112" s="194"/>
      <c r="H112" s="696" t="e">
        <f>AVERAGE(G112:G141)</f>
        <v>#DIV/0!</v>
      </c>
      <c r="I112" s="352" t="str">
        <f>IFERROR(AVERAGE(P112,U112,Z112,AE112,AJ112,AO112,AT112),"-")</f>
        <v>-</v>
      </c>
      <c r="J112" s="352" t="str">
        <f>IFERROR(AVERAGE(Q112,V112,AA112,AF112,AK112,AP112,AU112),"-")</f>
        <v>-</v>
      </c>
      <c r="K112" s="194" t="str">
        <f>IFERROR(AVERAGE(R112,W112,AB112,AG112,AL112,AQ112,AV112),"-")</f>
        <v>-</v>
      </c>
      <c r="L112" s="652" t="str">
        <f>IFERROR(AVERAGE(K112:K141),"-")</f>
        <v>-</v>
      </c>
      <c r="M112" s="195" t="e">
        <f>RANK(K112, K$112:$K$141)</f>
        <v>#VALUE!</v>
      </c>
      <c r="N112" s="637"/>
      <c r="O112" s="637"/>
      <c r="P112" s="542"/>
      <c r="Q112" s="544"/>
      <c r="R112" s="544"/>
      <c r="S112" s="542"/>
      <c r="T112" s="638"/>
      <c r="U112" s="542"/>
      <c r="V112" s="544"/>
      <c r="W112" s="544"/>
      <c r="X112" s="542"/>
      <c r="Y112" s="638"/>
      <c r="Z112" s="542"/>
      <c r="AA112" s="544"/>
      <c r="AB112" s="544"/>
      <c r="AC112" s="542"/>
      <c r="AD112" s="638"/>
      <c r="AE112" s="542"/>
      <c r="AF112" s="544"/>
      <c r="AG112" s="544"/>
      <c r="AH112" s="542"/>
      <c r="AI112" s="638"/>
      <c r="AJ112" s="542"/>
      <c r="AK112" s="544"/>
      <c r="AL112" s="544"/>
      <c r="AM112" s="542"/>
      <c r="AN112" s="638"/>
      <c r="AO112" s="542"/>
      <c r="AP112" s="544"/>
      <c r="AQ112" s="544"/>
      <c r="AR112" s="542"/>
      <c r="AS112" s="638"/>
      <c r="AT112" s="542"/>
      <c r="AU112" s="544"/>
      <c r="AV112" s="544"/>
      <c r="AW112" s="542"/>
      <c r="AX112" s="638"/>
      <c r="AZ112" s="357" t="e">
        <f>RANK(AY112, AY$112:AY$141)</f>
        <v>#N/A</v>
      </c>
      <c r="BA112" s="638" t="e">
        <f>AVERAGE(AY112:AY141)</f>
        <v>#DIV/0!</v>
      </c>
    </row>
    <row r="113" spans="2:53">
      <c r="B113" s="643"/>
      <c r="C113" s="275">
        <v>2</v>
      </c>
      <c r="D113" s="196"/>
      <c r="E113" s="554"/>
      <c r="F113" s="196"/>
      <c r="G113" s="194"/>
      <c r="H113" s="697"/>
      <c r="I113" s="352" t="str">
        <f t="shared" ref="I113:I141" si="26">IFERROR(AVERAGE(P113,U113,Z113,AE113,AJ113,AO113,AT113),"-")</f>
        <v>-</v>
      </c>
      <c r="J113" s="352" t="str">
        <f t="shared" ref="J113:J141" si="27">IFERROR(AVERAGE(Q113,V113,AA113,AF113,AK113,AP113,AU113),"-")</f>
        <v>-</v>
      </c>
      <c r="K113" s="194" t="str">
        <f t="shared" ref="K113:K141" si="28">IFERROR(AVERAGE(R113,W113,AB113,AG113,AL113,AQ113,AV113),"-")</f>
        <v>-</v>
      </c>
      <c r="L113" s="653"/>
      <c r="M113" s="195" t="e">
        <f>RANK(K113, K$112:$K$141)</f>
        <v>#VALUE!</v>
      </c>
      <c r="N113" s="637"/>
      <c r="O113" s="637"/>
      <c r="P113" s="542"/>
      <c r="Q113" s="544"/>
      <c r="R113" s="544"/>
      <c r="S113" s="542"/>
      <c r="T113" s="638"/>
      <c r="U113" s="542"/>
      <c r="V113" s="544"/>
      <c r="W113" s="544"/>
      <c r="X113" s="542"/>
      <c r="Y113" s="638"/>
      <c r="Z113" s="542"/>
      <c r="AA113" s="544"/>
      <c r="AB113" s="544"/>
      <c r="AC113" s="542"/>
      <c r="AD113" s="638"/>
      <c r="AE113" s="542"/>
      <c r="AF113" s="544"/>
      <c r="AG113" s="544"/>
      <c r="AH113" s="542"/>
      <c r="AI113" s="638"/>
      <c r="AJ113" s="542"/>
      <c r="AK113" s="544"/>
      <c r="AL113" s="544"/>
      <c r="AM113" s="542"/>
      <c r="AN113" s="638"/>
      <c r="AO113" s="542"/>
      <c r="AP113" s="544"/>
      <c r="AQ113" s="544"/>
      <c r="AR113" s="542"/>
      <c r="AS113" s="638"/>
      <c r="AT113" s="542"/>
      <c r="AU113" s="544"/>
      <c r="AV113" s="544"/>
      <c r="AW113" s="542"/>
      <c r="AX113" s="638"/>
      <c r="AZ113" s="357" t="e">
        <f t="shared" ref="AZ113:AZ141" si="29">RANK(AY113, AY$112:AY$141)</f>
        <v>#N/A</v>
      </c>
      <c r="BA113" s="638"/>
    </row>
    <row r="114" spans="2:53">
      <c r="B114" s="643"/>
      <c r="C114" s="275">
        <v>3</v>
      </c>
      <c r="D114" s="196"/>
      <c r="E114" s="554"/>
      <c r="F114" s="196"/>
      <c r="G114" s="194"/>
      <c r="H114" s="697"/>
      <c r="I114" s="352" t="str">
        <f t="shared" si="26"/>
        <v>-</v>
      </c>
      <c r="J114" s="352" t="str">
        <f t="shared" si="27"/>
        <v>-</v>
      </c>
      <c r="K114" s="194" t="str">
        <f t="shared" si="28"/>
        <v>-</v>
      </c>
      <c r="L114" s="653"/>
      <c r="M114" s="195" t="e">
        <f>RANK(K114, K$112:$K$141)</f>
        <v>#VALUE!</v>
      </c>
      <c r="N114" s="637"/>
      <c r="O114" s="637"/>
      <c r="P114" s="542"/>
      <c r="Q114" s="544"/>
      <c r="R114" s="544"/>
      <c r="S114" s="542"/>
      <c r="T114" s="638"/>
      <c r="U114" s="542"/>
      <c r="V114" s="544"/>
      <c r="W114" s="544"/>
      <c r="X114" s="542"/>
      <c r="Y114" s="638"/>
      <c r="Z114" s="542"/>
      <c r="AA114" s="544"/>
      <c r="AB114" s="544"/>
      <c r="AC114" s="542"/>
      <c r="AD114" s="638"/>
      <c r="AE114" s="542"/>
      <c r="AF114" s="544"/>
      <c r="AG114" s="544"/>
      <c r="AH114" s="542"/>
      <c r="AI114" s="638"/>
      <c r="AJ114" s="542"/>
      <c r="AK114" s="544"/>
      <c r="AL114" s="544"/>
      <c r="AM114" s="542"/>
      <c r="AN114" s="638"/>
      <c r="AO114" s="542"/>
      <c r="AP114" s="544"/>
      <c r="AQ114" s="544"/>
      <c r="AR114" s="542"/>
      <c r="AS114" s="638"/>
      <c r="AT114" s="542"/>
      <c r="AU114" s="544"/>
      <c r="AV114" s="544"/>
      <c r="AW114" s="542"/>
      <c r="AX114" s="638"/>
      <c r="AZ114" s="357" t="e">
        <f t="shared" si="29"/>
        <v>#N/A</v>
      </c>
      <c r="BA114" s="638"/>
    </row>
    <row r="115" spans="2:53">
      <c r="B115" s="643"/>
      <c r="C115" s="275">
        <v>4</v>
      </c>
      <c r="D115" s="196"/>
      <c r="E115" s="554"/>
      <c r="F115" s="196"/>
      <c r="G115" s="194"/>
      <c r="H115" s="697"/>
      <c r="I115" s="352" t="str">
        <f t="shared" si="26"/>
        <v>-</v>
      </c>
      <c r="J115" s="352" t="str">
        <f t="shared" si="27"/>
        <v>-</v>
      </c>
      <c r="K115" s="194" t="str">
        <f t="shared" si="28"/>
        <v>-</v>
      </c>
      <c r="L115" s="653"/>
      <c r="M115" s="195" t="e">
        <f>RANK(K115, K$112:$K$141)</f>
        <v>#VALUE!</v>
      </c>
      <c r="N115" s="637"/>
      <c r="O115" s="637"/>
      <c r="P115" s="542"/>
      <c r="Q115" s="544"/>
      <c r="R115" s="544"/>
      <c r="S115" s="542"/>
      <c r="T115" s="638"/>
      <c r="U115" s="542"/>
      <c r="V115" s="544"/>
      <c r="W115" s="544"/>
      <c r="X115" s="542"/>
      <c r="Y115" s="638"/>
      <c r="Z115" s="542"/>
      <c r="AA115" s="544"/>
      <c r="AB115" s="544"/>
      <c r="AC115" s="542"/>
      <c r="AD115" s="638"/>
      <c r="AE115" s="542"/>
      <c r="AF115" s="544"/>
      <c r="AG115" s="544"/>
      <c r="AH115" s="542"/>
      <c r="AI115" s="638"/>
      <c r="AJ115" s="542"/>
      <c r="AK115" s="544"/>
      <c r="AL115" s="544"/>
      <c r="AM115" s="542"/>
      <c r="AN115" s="638"/>
      <c r="AO115" s="542"/>
      <c r="AP115" s="544"/>
      <c r="AQ115" s="544"/>
      <c r="AR115" s="542"/>
      <c r="AS115" s="638"/>
      <c r="AT115" s="542"/>
      <c r="AU115" s="544"/>
      <c r="AV115" s="544"/>
      <c r="AW115" s="542"/>
      <c r="AX115" s="638"/>
      <c r="AZ115" s="357" t="e">
        <f t="shared" si="29"/>
        <v>#N/A</v>
      </c>
      <c r="BA115" s="638"/>
    </row>
    <row r="116" spans="2:53">
      <c r="B116" s="643"/>
      <c r="C116" s="275">
        <v>5</v>
      </c>
      <c r="D116" s="196"/>
      <c r="E116" s="554"/>
      <c r="F116" s="196"/>
      <c r="G116" s="194"/>
      <c r="H116" s="697"/>
      <c r="I116" s="352" t="str">
        <f t="shared" si="26"/>
        <v>-</v>
      </c>
      <c r="J116" s="352" t="str">
        <f t="shared" si="27"/>
        <v>-</v>
      </c>
      <c r="K116" s="194" t="str">
        <f t="shared" si="28"/>
        <v>-</v>
      </c>
      <c r="L116" s="653"/>
      <c r="M116" s="195" t="e">
        <f>RANK(K116, K$112:$K$141)</f>
        <v>#VALUE!</v>
      </c>
      <c r="N116" s="637"/>
      <c r="O116" s="637"/>
      <c r="P116" s="542"/>
      <c r="Q116" s="544"/>
      <c r="R116" s="544"/>
      <c r="S116" s="542"/>
      <c r="T116" s="638"/>
      <c r="U116" s="542"/>
      <c r="V116" s="544"/>
      <c r="W116" s="544"/>
      <c r="X116" s="542"/>
      <c r="Y116" s="638"/>
      <c r="Z116" s="542"/>
      <c r="AA116" s="544"/>
      <c r="AB116" s="544"/>
      <c r="AC116" s="542"/>
      <c r="AD116" s="638"/>
      <c r="AE116" s="542"/>
      <c r="AF116" s="544"/>
      <c r="AG116" s="544"/>
      <c r="AH116" s="542"/>
      <c r="AI116" s="638"/>
      <c r="AJ116" s="542"/>
      <c r="AK116" s="544"/>
      <c r="AL116" s="544"/>
      <c r="AM116" s="542"/>
      <c r="AN116" s="638"/>
      <c r="AO116" s="542"/>
      <c r="AP116" s="544"/>
      <c r="AQ116" s="544"/>
      <c r="AR116" s="542"/>
      <c r="AS116" s="638"/>
      <c r="AT116" s="542"/>
      <c r="AU116" s="544"/>
      <c r="AV116" s="544"/>
      <c r="AW116" s="542"/>
      <c r="AX116" s="638"/>
      <c r="AZ116" s="357" t="e">
        <f t="shared" si="29"/>
        <v>#N/A</v>
      </c>
      <c r="BA116" s="638"/>
    </row>
    <row r="117" spans="2:53">
      <c r="B117" s="643"/>
      <c r="C117" s="275">
        <v>6</v>
      </c>
      <c r="D117" s="196"/>
      <c r="E117" s="554"/>
      <c r="F117" s="196"/>
      <c r="G117" s="194"/>
      <c r="H117" s="697"/>
      <c r="I117" s="352" t="str">
        <f t="shared" si="26"/>
        <v>-</v>
      </c>
      <c r="J117" s="352" t="str">
        <f t="shared" si="27"/>
        <v>-</v>
      </c>
      <c r="K117" s="194" t="str">
        <f t="shared" si="28"/>
        <v>-</v>
      </c>
      <c r="L117" s="653"/>
      <c r="M117" s="195" t="e">
        <f>RANK(K117, K$112:$K$141)</f>
        <v>#VALUE!</v>
      </c>
      <c r="N117" s="637"/>
      <c r="O117" s="637"/>
      <c r="P117" s="542"/>
      <c r="Q117" s="544"/>
      <c r="R117" s="544"/>
      <c r="S117" s="542"/>
      <c r="T117" s="638"/>
      <c r="U117" s="542"/>
      <c r="V117" s="544"/>
      <c r="W117" s="544"/>
      <c r="X117" s="542"/>
      <c r="Y117" s="638"/>
      <c r="Z117" s="542"/>
      <c r="AA117" s="544"/>
      <c r="AB117" s="544"/>
      <c r="AC117" s="542"/>
      <c r="AD117" s="638"/>
      <c r="AE117" s="542"/>
      <c r="AF117" s="544"/>
      <c r="AG117" s="544"/>
      <c r="AH117" s="542"/>
      <c r="AI117" s="638"/>
      <c r="AJ117" s="542"/>
      <c r="AK117" s="544"/>
      <c r="AL117" s="544"/>
      <c r="AM117" s="542"/>
      <c r="AN117" s="638"/>
      <c r="AO117" s="542"/>
      <c r="AP117" s="544"/>
      <c r="AQ117" s="544"/>
      <c r="AR117" s="542"/>
      <c r="AS117" s="638"/>
      <c r="AT117" s="542"/>
      <c r="AU117" s="544"/>
      <c r="AV117" s="544"/>
      <c r="AW117" s="542"/>
      <c r="AX117" s="638"/>
      <c r="AZ117" s="357" t="e">
        <f t="shared" si="29"/>
        <v>#N/A</v>
      </c>
      <c r="BA117" s="638"/>
    </row>
    <row r="118" spans="2:53">
      <c r="B118" s="643"/>
      <c r="C118" s="275">
        <v>7</v>
      </c>
      <c r="D118" s="196"/>
      <c r="E118" s="554"/>
      <c r="F118" s="196"/>
      <c r="G118" s="194"/>
      <c r="H118" s="697"/>
      <c r="I118" s="352" t="str">
        <f t="shared" si="26"/>
        <v>-</v>
      </c>
      <c r="J118" s="352" t="str">
        <f t="shared" si="27"/>
        <v>-</v>
      </c>
      <c r="K118" s="194" t="str">
        <f t="shared" si="28"/>
        <v>-</v>
      </c>
      <c r="L118" s="653"/>
      <c r="M118" s="195" t="e">
        <f>RANK(K118, K$112:$K$141)</f>
        <v>#VALUE!</v>
      </c>
      <c r="N118" s="637"/>
      <c r="O118" s="637"/>
      <c r="P118" s="542"/>
      <c r="Q118" s="544"/>
      <c r="R118" s="544"/>
      <c r="S118" s="542"/>
      <c r="T118" s="638"/>
      <c r="U118" s="542"/>
      <c r="V118" s="544"/>
      <c r="W118" s="544"/>
      <c r="X118" s="542"/>
      <c r="Y118" s="638"/>
      <c r="Z118" s="542"/>
      <c r="AA118" s="544"/>
      <c r="AB118" s="544"/>
      <c r="AC118" s="542"/>
      <c r="AD118" s="638"/>
      <c r="AE118" s="542"/>
      <c r="AF118" s="544"/>
      <c r="AG118" s="544"/>
      <c r="AH118" s="542"/>
      <c r="AI118" s="638"/>
      <c r="AJ118" s="542"/>
      <c r="AK118" s="544"/>
      <c r="AL118" s="544"/>
      <c r="AM118" s="542"/>
      <c r="AN118" s="638"/>
      <c r="AO118" s="542"/>
      <c r="AP118" s="544"/>
      <c r="AQ118" s="544"/>
      <c r="AR118" s="542"/>
      <c r="AS118" s="638"/>
      <c r="AT118" s="542"/>
      <c r="AU118" s="544"/>
      <c r="AV118" s="544"/>
      <c r="AW118" s="542"/>
      <c r="AX118" s="638"/>
      <c r="AZ118" s="357" t="e">
        <f t="shared" si="29"/>
        <v>#N/A</v>
      </c>
      <c r="BA118" s="638"/>
    </row>
    <row r="119" spans="2:53">
      <c r="B119" s="643"/>
      <c r="C119" s="275">
        <v>8</v>
      </c>
      <c r="D119" s="196"/>
      <c r="E119" s="554"/>
      <c r="F119" s="196"/>
      <c r="G119" s="194"/>
      <c r="H119" s="697"/>
      <c r="I119" s="352" t="str">
        <f t="shared" si="26"/>
        <v>-</v>
      </c>
      <c r="J119" s="352" t="str">
        <f t="shared" si="27"/>
        <v>-</v>
      </c>
      <c r="K119" s="194" t="str">
        <f t="shared" si="28"/>
        <v>-</v>
      </c>
      <c r="L119" s="653"/>
      <c r="M119" s="195" t="e">
        <f>RANK(K119, K$112:$K$141)</f>
        <v>#VALUE!</v>
      </c>
      <c r="N119" s="637"/>
      <c r="O119" s="637"/>
      <c r="P119" s="542"/>
      <c r="Q119" s="544"/>
      <c r="R119" s="544"/>
      <c r="S119" s="542"/>
      <c r="T119" s="638"/>
      <c r="U119" s="542"/>
      <c r="V119" s="544"/>
      <c r="W119" s="544"/>
      <c r="X119" s="542"/>
      <c r="Y119" s="638"/>
      <c r="Z119" s="542"/>
      <c r="AA119" s="544"/>
      <c r="AB119" s="544"/>
      <c r="AC119" s="542"/>
      <c r="AD119" s="638"/>
      <c r="AE119" s="542"/>
      <c r="AF119" s="544"/>
      <c r="AG119" s="544"/>
      <c r="AH119" s="542"/>
      <c r="AI119" s="638"/>
      <c r="AJ119" s="542"/>
      <c r="AK119" s="544"/>
      <c r="AL119" s="544"/>
      <c r="AM119" s="542"/>
      <c r="AN119" s="638"/>
      <c r="AO119" s="542"/>
      <c r="AP119" s="544"/>
      <c r="AQ119" s="544"/>
      <c r="AR119" s="542"/>
      <c r="AS119" s="638"/>
      <c r="AT119" s="542"/>
      <c r="AU119" s="544"/>
      <c r="AV119" s="544"/>
      <c r="AW119" s="542"/>
      <c r="AX119" s="638"/>
      <c r="AZ119" s="357" t="e">
        <f t="shared" si="29"/>
        <v>#N/A</v>
      </c>
      <c r="BA119" s="638"/>
    </row>
    <row r="120" spans="2:53">
      <c r="B120" s="643"/>
      <c r="C120" s="275">
        <v>9</v>
      </c>
      <c r="D120" s="196"/>
      <c r="E120" s="554"/>
      <c r="F120" s="196"/>
      <c r="G120" s="194"/>
      <c r="H120" s="697"/>
      <c r="I120" s="352" t="str">
        <f t="shared" si="26"/>
        <v>-</v>
      </c>
      <c r="J120" s="352" t="str">
        <f t="shared" si="27"/>
        <v>-</v>
      </c>
      <c r="K120" s="194" t="str">
        <f t="shared" si="28"/>
        <v>-</v>
      </c>
      <c r="L120" s="653"/>
      <c r="M120" s="195" t="e">
        <f>RANK(K120, K$112:$K$141)</f>
        <v>#VALUE!</v>
      </c>
      <c r="N120" s="637"/>
      <c r="O120" s="637"/>
      <c r="P120" s="542"/>
      <c r="Q120" s="544"/>
      <c r="R120" s="544"/>
      <c r="S120" s="542"/>
      <c r="T120" s="638"/>
      <c r="U120" s="542"/>
      <c r="V120" s="544"/>
      <c r="W120" s="544"/>
      <c r="X120" s="542"/>
      <c r="Y120" s="638"/>
      <c r="Z120" s="542"/>
      <c r="AA120" s="544"/>
      <c r="AB120" s="544"/>
      <c r="AC120" s="542"/>
      <c r="AD120" s="638"/>
      <c r="AE120" s="542"/>
      <c r="AF120" s="544"/>
      <c r="AG120" s="544"/>
      <c r="AH120" s="542"/>
      <c r="AI120" s="638"/>
      <c r="AJ120" s="542"/>
      <c r="AK120" s="544"/>
      <c r="AL120" s="544"/>
      <c r="AM120" s="542"/>
      <c r="AN120" s="638"/>
      <c r="AO120" s="542"/>
      <c r="AP120" s="544"/>
      <c r="AQ120" s="544"/>
      <c r="AR120" s="542"/>
      <c r="AS120" s="638"/>
      <c r="AT120" s="542"/>
      <c r="AU120" s="544"/>
      <c r="AV120" s="544"/>
      <c r="AW120" s="542"/>
      <c r="AX120" s="638"/>
      <c r="AZ120" s="357" t="e">
        <f t="shared" si="29"/>
        <v>#N/A</v>
      </c>
      <c r="BA120" s="638"/>
    </row>
    <row r="121" spans="2:53">
      <c r="B121" s="643"/>
      <c r="C121" s="275">
        <v>10</v>
      </c>
      <c r="D121" s="196"/>
      <c r="E121" s="554"/>
      <c r="F121" s="196"/>
      <c r="G121" s="194"/>
      <c r="H121" s="697"/>
      <c r="I121" s="352" t="str">
        <f t="shared" si="26"/>
        <v>-</v>
      </c>
      <c r="J121" s="352" t="str">
        <f t="shared" si="27"/>
        <v>-</v>
      </c>
      <c r="K121" s="194" t="str">
        <f t="shared" si="28"/>
        <v>-</v>
      </c>
      <c r="L121" s="653"/>
      <c r="M121" s="195" t="e">
        <f>RANK(K121, K$112:$K$141)</f>
        <v>#VALUE!</v>
      </c>
      <c r="N121" s="637"/>
      <c r="O121" s="637"/>
      <c r="P121" s="542"/>
      <c r="Q121" s="544"/>
      <c r="R121" s="544"/>
      <c r="S121" s="542"/>
      <c r="T121" s="638"/>
      <c r="U121" s="542"/>
      <c r="V121" s="544"/>
      <c r="W121" s="544"/>
      <c r="X121" s="542"/>
      <c r="Y121" s="638"/>
      <c r="Z121" s="542"/>
      <c r="AA121" s="544"/>
      <c r="AB121" s="544"/>
      <c r="AC121" s="542"/>
      <c r="AD121" s="638"/>
      <c r="AE121" s="542"/>
      <c r="AF121" s="544"/>
      <c r="AG121" s="544"/>
      <c r="AH121" s="542"/>
      <c r="AI121" s="638"/>
      <c r="AJ121" s="542"/>
      <c r="AK121" s="544"/>
      <c r="AL121" s="544"/>
      <c r="AM121" s="542"/>
      <c r="AN121" s="638"/>
      <c r="AO121" s="542"/>
      <c r="AP121" s="544"/>
      <c r="AQ121" s="544"/>
      <c r="AR121" s="542"/>
      <c r="AS121" s="638"/>
      <c r="AT121" s="542"/>
      <c r="AU121" s="544"/>
      <c r="AV121" s="544"/>
      <c r="AW121" s="542"/>
      <c r="AX121" s="638"/>
      <c r="AZ121" s="357" t="e">
        <f t="shared" si="29"/>
        <v>#N/A</v>
      </c>
      <c r="BA121" s="638"/>
    </row>
    <row r="122" spans="2:53">
      <c r="B122" s="643"/>
      <c r="C122" s="275">
        <v>11</v>
      </c>
      <c r="D122" s="196"/>
      <c r="E122" s="554"/>
      <c r="F122" s="196"/>
      <c r="G122" s="194"/>
      <c r="H122" s="697"/>
      <c r="I122" s="352" t="str">
        <f t="shared" si="26"/>
        <v>-</v>
      </c>
      <c r="J122" s="352" t="str">
        <f t="shared" si="27"/>
        <v>-</v>
      </c>
      <c r="K122" s="194" t="str">
        <f t="shared" si="28"/>
        <v>-</v>
      </c>
      <c r="L122" s="653"/>
      <c r="M122" s="195" t="e">
        <f>RANK(K122, K$112:$K$141)</f>
        <v>#VALUE!</v>
      </c>
      <c r="N122" s="637"/>
      <c r="O122" s="637"/>
      <c r="P122" s="542"/>
      <c r="Q122" s="544"/>
      <c r="R122" s="544"/>
      <c r="S122" s="542"/>
      <c r="T122" s="638"/>
      <c r="U122" s="542"/>
      <c r="V122" s="544"/>
      <c r="W122" s="544"/>
      <c r="X122" s="542"/>
      <c r="Y122" s="638"/>
      <c r="Z122" s="542"/>
      <c r="AA122" s="544"/>
      <c r="AB122" s="544"/>
      <c r="AC122" s="542"/>
      <c r="AD122" s="638"/>
      <c r="AE122" s="542"/>
      <c r="AF122" s="544"/>
      <c r="AG122" s="544"/>
      <c r="AH122" s="542"/>
      <c r="AI122" s="638"/>
      <c r="AJ122" s="542"/>
      <c r="AK122" s="544"/>
      <c r="AL122" s="544"/>
      <c r="AM122" s="542"/>
      <c r="AN122" s="638"/>
      <c r="AO122" s="542"/>
      <c r="AP122" s="544"/>
      <c r="AQ122" s="544"/>
      <c r="AR122" s="542"/>
      <c r="AS122" s="638"/>
      <c r="AT122" s="542"/>
      <c r="AU122" s="544"/>
      <c r="AV122" s="544"/>
      <c r="AW122" s="542"/>
      <c r="AX122" s="638"/>
      <c r="AZ122" s="357" t="e">
        <f t="shared" si="29"/>
        <v>#N/A</v>
      </c>
      <c r="BA122" s="638"/>
    </row>
    <row r="123" spans="2:53">
      <c r="B123" s="643"/>
      <c r="C123" s="275">
        <v>12</v>
      </c>
      <c r="D123" s="196"/>
      <c r="E123" s="554"/>
      <c r="F123" s="196"/>
      <c r="G123" s="194"/>
      <c r="H123" s="697"/>
      <c r="I123" s="352" t="str">
        <f t="shared" si="26"/>
        <v>-</v>
      </c>
      <c r="J123" s="352" t="str">
        <f t="shared" si="27"/>
        <v>-</v>
      </c>
      <c r="K123" s="194" t="str">
        <f t="shared" si="28"/>
        <v>-</v>
      </c>
      <c r="L123" s="653"/>
      <c r="M123" s="195" t="e">
        <f>RANK(K123, K$112:$K$141)</f>
        <v>#VALUE!</v>
      </c>
      <c r="N123" s="637"/>
      <c r="O123" s="637"/>
      <c r="P123" s="542"/>
      <c r="Q123" s="544"/>
      <c r="R123" s="544"/>
      <c r="S123" s="542"/>
      <c r="T123" s="638"/>
      <c r="U123" s="542"/>
      <c r="V123" s="544"/>
      <c r="W123" s="544"/>
      <c r="X123" s="542"/>
      <c r="Y123" s="638"/>
      <c r="Z123" s="542"/>
      <c r="AA123" s="544"/>
      <c r="AB123" s="544"/>
      <c r="AC123" s="542"/>
      <c r="AD123" s="638"/>
      <c r="AE123" s="542"/>
      <c r="AF123" s="544"/>
      <c r="AG123" s="544"/>
      <c r="AH123" s="542"/>
      <c r="AI123" s="638"/>
      <c r="AJ123" s="542"/>
      <c r="AK123" s="544"/>
      <c r="AL123" s="544"/>
      <c r="AM123" s="542"/>
      <c r="AN123" s="638"/>
      <c r="AO123" s="542"/>
      <c r="AP123" s="544"/>
      <c r="AQ123" s="544"/>
      <c r="AR123" s="542"/>
      <c r="AS123" s="638"/>
      <c r="AT123" s="542"/>
      <c r="AU123" s="544"/>
      <c r="AV123" s="544"/>
      <c r="AW123" s="542"/>
      <c r="AX123" s="638"/>
      <c r="AZ123" s="357" t="e">
        <f t="shared" si="29"/>
        <v>#N/A</v>
      </c>
      <c r="BA123" s="638"/>
    </row>
    <row r="124" spans="2:53">
      <c r="B124" s="643"/>
      <c r="C124" s="275">
        <v>13</v>
      </c>
      <c r="D124" s="196"/>
      <c r="E124" s="554"/>
      <c r="F124" s="196"/>
      <c r="G124" s="194"/>
      <c r="H124" s="697"/>
      <c r="I124" s="352" t="str">
        <f t="shared" si="26"/>
        <v>-</v>
      </c>
      <c r="J124" s="352" t="str">
        <f t="shared" si="27"/>
        <v>-</v>
      </c>
      <c r="K124" s="194" t="str">
        <f t="shared" si="28"/>
        <v>-</v>
      </c>
      <c r="L124" s="653"/>
      <c r="M124" s="195" t="e">
        <f>RANK(K124, K$112:$K$141)</f>
        <v>#VALUE!</v>
      </c>
      <c r="N124" s="637"/>
      <c r="O124" s="637"/>
      <c r="P124" s="542"/>
      <c r="Q124" s="544"/>
      <c r="R124" s="544"/>
      <c r="S124" s="542"/>
      <c r="T124" s="638"/>
      <c r="U124" s="542"/>
      <c r="V124" s="544"/>
      <c r="W124" s="544"/>
      <c r="X124" s="542"/>
      <c r="Y124" s="638"/>
      <c r="Z124" s="542"/>
      <c r="AA124" s="544"/>
      <c r="AB124" s="544"/>
      <c r="AC124" s="542"/>
      <c r="AD124" s="638"/>
      <c r="AE124" s="542"/>
      <c r="AF124" s="544"/>
      <c r="AG124" s="544"/>
      <c r="AH124" s="542"/>
      <c r="AI124" s="638"/>
      <c r="AJ124" s="542"/>
      <c r="AK124" s="544"/>
      <c r="AL124" s="544"/>
      <c r="AM124" s="542"/>
      <c r="AN124" s="638"/>
      <c r="AO124" s="542"/>
      <c r="AP124" s="544"/>
      <c r="AQ124" s="544"/>
      <c r="AR124" s="542"/>
      <c r="AS124" s="638"/>
      <c r="AT124" s="542"/>
      <c r="AU124" s="544"/>
      <c r="AV124" s="544"/>
      <c r="AW124" s="542"/>
      <c r="AX124" s="638"/>
      <c r="AZ124" s="357" t="e">
        <f t="shared" si="29"/>
        <v>#N/A</v>
      </c>
      <c r="BA124" s="638"/>
    </row>
    <row r="125" spans="2:53">
      <c r="B125" s="643"/>
      <c r="C125" s="275">
        <v>14</v>
      </c>
      <c r="D125" s="196"/>
      <c r="E125" s="554"/>
      <c r="F125" s="196"/>
      <c r="G125" s="194"/>
      <c r="H125" s="697"/>
      <c r="I125" s="352" t="str">
        <f t="shared" si="26"/>
        <v>-</v>
      </c>
      <c r="J125" s="352" t="str">
        <f t="shared" si="27"/>
        <v>-</v>
      </c>
      <c r="K125" s="194" t="str">
        <f t="shared" si="28"/>
        <v>-</v>
      </c>
      <c r="L125" s="653"/>
      <c r="M125" s="195" t="e">
        <f>RANK(K125, K$112:$K$141)</f>
        <v>#VALUE!</v>
      </c>
      <c r="N125" s="637"/>
      <c r="O125" s="637"/>
      <c r="P125" s="542"/>
      <c r="Q125" s="544"/>
      <c r="R125" s="544"/>
      <c r="S125" s="542"/>
      <c r="T125" s="638"/>
      <c r="U125" s="542"/>
      <c r="V125" s="544"/>
      <c r="W125" s="544"/>
      <c r="X125" s="542"/>
      <c r="Y125" s="638"/>
      <c r="Z125" s="542"/>
      <c r="AA125" s="544"/>
      <c r="AB125" s="544"/>
      <c r="AC125" s="542"/>
      <c r="AD125" s="638"/>
      <c r="AE125" s="542"/>
      <c r="AF125" s="544"/>
      <c r="AG125" s="544"/>
      <c r="AH125" s="542"/>
      <c r="AI125" s="638"/>
      <c r="AJ125" s="542"/>
      <c r="AK125" s="544"/>
      <c r="AL125" s="544"/>
      <c r="AM125" s="542"/>
      <c r="AN125" s="638"/>
      <c r="AO125" s="542"/>
      <c r="AP125" s="544"/>
      <c r="AQ125" s="544"/>
      <c r="AR125" s="542"/>
      <c r="AS125" s="638"/>
      <c r="AT125" s="542"/>
      <c r="AU125" s="544"/>
      <c r="AV125" s="544"/>
      <c r="AW125" s="542"/>
      <c r="AX125" s="638"/>
      <c r="AZ125" s="357" t="e">
        <f t="shared" si="29"/>
        <v>#N/A</v>
      </c>
      <c r="BA125" s="638"/>
    </row>
    <row r="126" spans="2:53">
      <c r="B126" s="643"/>
      <c r="C126" s="275">
        <v>15</v>
      </c>
      <c r="D126" s="196"/>
      <c r="E126" s="554"/>
      <c r="F126" s="196"/>
      <c r="G126" s="194"/>
      <c r="H126" s="697"/>
      <c r="I126" s="352" t="str">
        <f t="shared" si="26"/>
        <v>-</v>
      </c>
      <c r="J126" s="352" t="str">
        <f t="shared" si="27"/>
        <v>-</v>
      </c>
      <c r="K126" s="194" t="str">
        <f t="shared" si="28"/>
        <v>-</v>
      </c>
      <c r="L126" s="653"/>
      <c r="M126" s="195" t="e">
        <f>RANK(K126, K$112:$K$141)</f>
        <v>#VALUE!</v>
      </c>
      <c r="N126" s="637"/>
      <c r="O126" s="637"/>
      <c r="P126" s="542"/>
      <c r="Q126" s="544"/>
      <c r="R126" s="544"/>
      <c r="S126" s="542"/>
      <c r="T126" s="638"/>
      <c r="U126" s="542"/>
      <c r="V126" s="544"/>
      <c r="W126" s="544"/>
      <c r="X126" s="542"/>
      <c r="Y126" s="638"/>
      <c r="Z126" s="542"/>
      <c r="AA126" s="544"/>
      <c r="AB126" s="544"/>
      <c r="AC126" s="542"/>
      <c r="AD126" s="638"/>
      <c r="AE126" s="542"/>
      <c r="AF126" s="544"/>
      <c r="AG126" s="544"/>
      <c r="AH126" s="542"/>
      <c r="AI126" s="638"/>
      <c r="AJ126" s="542"/>
      <c r="AK126" s="544"/>
      <c r="AL126" s="544"/>
      <c r="AM126" s="542"/>
      <c r="AN126" s="638"/>
      <c r="AO126" s="542"/>
      <c r="AP126" s="544"/>
      <c r="AQ126" s="544"/>
      <c r="AR126" s="542"/>
      <c r="AS126" s="638"/>
      <c r="AT126" s="542"/>
      <c r="AU126" s="544"/>
      <c r="AV126" s="544"/>
      <c r="AW126" s="542"/>
      <c r="AX126" s="638"/>
      <c r="AZ126" s="357" t="e">
        <f t="shared" si="29"/>
        <v>#N/A</v>
      </c>
      <c r="BA126" s="638"/>
    </row>
    <row r="127" spans="2:53">
      <c r="B127" s="643"/>
      <c r="C127" s="275">
        <v>16</v>
      </c>
      <c r="D127" s="196"/>
      <c r="E127" s="554"/>
      <c r="F127" s="196"/>
      <c r="G127" s="194"/>
      <c r="H127" s="697"/>
      <c r="I127" s="352" t="str">
        <f t="shared" si="26"/>
        <v>-</v>
      </c>
      <c r="J127" s="352" t="str">
        <f t="shared" si="27"/>
        <v>-</v>
      </c>
      <c r="K127" s="194" t="str">
        <f t="shared" si="28"/>
        <v>-</v>
      </c>
      <c r="L127" s="653"/>
      <c r="M127" s="195" t="e">
        <f>RANK(K127, K$112:$K$141)</f>
        <v>#VALUE!</v>
      </c>
      <c r="N127" s="637"/>
      <c r="O127" s="637"/>
      <c r="P127" s="542"/>
      <c r="Q127" s="544"/>
      <c r="R127" s="544"/>
      <c r="S127" s="542"/>
      <c r="T127" s="638"/>
      <c r="U127" s="542"/>
      <c r="V127" s="544"/>
      <c r="W127" s="544"/>
      <c r="X127" s="542"/>
      <c r="Y127" s="638"/>
      <c r="Z127" s="542"/>
      <c r="AA127" s="544"/>
      <c r="AB127" s="544"/>
      <c r="AC127" s="542"/>
      <c r="AD127" s="638"/>
      <c r="AE127" s="542"/>
      <c r="AF127" s="544"/>
      <c r="AG127" s="544"/>
      <c r="AH127" s="542"/>
      <c r="AI127" s="638"/>
      <c r="AJ127" s="542"/>
      <c r="AK127" s="544"/>
      <c r="AL127" s="544"/>
      <c r="AM127" s="542"/>
      <c r="AN127" s="638"/>
      <c r="AO127" s="542"/>
      <c r="AP127" s="544"/>
      <c r="AQ127" s="544"/>
      <c r="AR127" s="542"/>
      <c r="AS127" s="638"/>
      <c r="AT127" s="542"/>
      <c r="AU127" s="544"/>
      <c r="AV127" s="544"/>
      <c r="AW127" s="542"/>
      <c r="AX127" s="638"/>
      <c r="AZ127" s="357" t="e">
        <f t="shared" si="29"/>
        <v>#N/A</v>
      </c>
      <c r="BA127" s="638"/>
    </row>
    <row r="128" spans="2:53">
      <c r="B128" s="643"/>
      <c r="C128" s="275">
        <v>17</v>
      </c>
      <c r="D128" s="196"/>
      <c r="E128" s="554"/>
      <c r="F128" s="196"/>
      <c r="G128" s="194"/>
      <c r="H128" s="697"/>
      <c r="I128" s="352" t="str">
        <f t="shared" si="26"/>
        <v>-</v>
      </c>
      <c r="J128" s="352" t="str">
        <f t="shared" si="27"/>
        <v>-</v>
      </c>
      <c r="K128" s="194" t="str">
        <f t="shared" si="28"/>
        <v>-</v>
      </c>
      <c r="L128" s="653"/>
      <c r="M128" s="195" t="e">
        <f>RANK(K128, K$112:$K$141)</f>
        <v>#VALUE!</v>
      </c>
      <c r="N128" s="637"/>
      <c r="O128" s="637"/>
      <c r="P128" s="542"/>
      <c r="Q128" s="544"/>
      <c r="R128" s="544"/>
      <c r="S128" s="542"/>
      <c r="T128" s="638"/>
      <c r="U128" s="542"/>
      <c r="V128" s="544"/>
      <c r="W128" s="544"/>
      <c r="X128" s="542"/>
      <c r="Y128" s="638"/>
      <c r="Z128" s="542"/>
      <c r="AA128" s="544"/>
      <c r="AB128" s="544"/>
      <c r="AC128" s="542"/>
      <c r="AD128" s="638"/>
      <c r="AE128" s="542"/>
      <c r="AF128" s="544"/>
      <c r="AG128" s="544"/>
      <c r="AH128" s="542"/>
      <c r="AI128" s="638"/>
      <c r="AJ128" s="542"/>
      <c r="AK128" s="544"/>
      <c r="AL128" s="544"/>
      <c r="AM128" s="542"/>
      <c r="AN128" s="638"/>
      <c r="AO128" s="542"/>
      <c r="AP128" s="544"/>
      <c r="AQ128" s="544"/>
      <c r="AR128" s="542"/>
      <c r="AS128" s="638"/>
      <c r="AT128" s="542"/>
      <c r="AU128" s="544"/>
      <c r="AV128" s="544"/>
      <c r="AW128" s="542"/>
      <c r="AX128" s="638"/>
      <c r="AZ128" s="357" t="e">
        <f t="shared" si="29"/>
        <v>#N/A</v>
      </c>
      <c r="BA128" s="638"/>
    </row>
    <row r="129" spans="2:53">
      <c r="B129" s="643"/>
      <c r="C129" s="275">
        <v>18</v>
      </c>
      <c r="D129" s="196"/>
      <c r="E129" s="554"/>
      <c r="F129" s="196"/>
      <c r="G129" s="194"/>
      <c r="H129" s="697"/>
      <c r="I129" s="352" t="str">
        <f t="shared" si="26"/>
        <v>-</v>
      </c>
      <c r="J129" s="352" t="str">
        <f t="shared" si="27"/>
        <v>-</v>
      </c>
      <c r="K129" s="194" t="str">
        <f t="shared" si="28"/>
        <v>-</v>
      </c>
      <c r="L129" s="653"/>
      <c r="M129" s="195" t="e">
        <f>RANK(K129, K$112:$K$141)</f>
        <v>#VALUE!</v>
      </c>
      <c r="N129" s="637"/>
      <c r="O129" s="637"/>
      <c r="P129" s="542"/>
      <c r="Q129" s="544"/>
      <c r="R129" s="544"/>
      <c r="S129" s="542"/>
      <c r="T129" s="638"/>
      <c r="U129" s="542"/>
      <c r="V129" s="544"/>
      <c r="W129" s="544"/>
      <c r="X129" s="542"/>
      <c r="Y129" s="638"/>
      <c r="Z129" s="542"/>
      <c r="AA129" s="544"/>
      <c r="AB129" s="544"/>
      <c r="AC129" s="542"/>
      <c r="AD129" s="638"/>
      <c r="AE129" s="542"/>
      <c r="AF129" s="544"/>
      <c r="AG129" s="544"/>
      <c r="AH129" s="542"/>
      <c r="AI129" s="638"/>
      <c r="AJ129" s="542"/>
      <c r="AK129" s="544"/>
      <c r="AL129" s="544"/>
      <c r="AM129" s="542"/>
      <c r="AN129" s="638"/>
      <c r="AO129" s="542"/>
      <c r="AP129" s="544"/>
      <c r="AQ129" s="544"/>
      <c r="AR129" s="542"/>
      <c r="AS129" s="638"/>
      <c r="AT129" s="542"/>
      <c r="AU129" s="544"/>
      <c r="AV129" s="544"/>
      <c r="AW129" s="542"/>
      <c r="AX129" s="638"/>
      <c r="AZ129" s="357" t="e">
        <f t="shared" si="29"/>
        <v>#N/A</v>
      </c>
      <c r="BA129" s="638"/>
    </row>
    <row r="130" spans="2:53">
      <c r="B130" s="643"/>
      <c r="C130" s="275">
        <v>19</v>
      </c>
      <c r="D130" s="196"/>
      <c r="E130" s="554"/>
      <c r="F130" s="196"/>
      <c r="G130" s="194"/>
      <c r="H130" s="697"/>
      <c r="I130" s="352" t="str">
        <f t="shared" si="26"/>
        <v>-</v>
      </c>
      <c r="J130" s="352" t="str">
        <f t="shared" si="27"/>
        <v>-</v>
      </c>
      <c r="K130" s="194" t="str">
        <f t="shared" si="28"/>
        <v>-</v>
      </c>
      <c r="L130" s="653"/>
      <c r="M130" s="195" t="e">
        <f>RANK(K130, K$112:$K$141)</f>
        <v>#VALUE!</v>
      </c>
      <c r="N130" s="637"/>
      <c r="O130" s="637"/>
      <c r="P130" s="542"/>
      <c r="Q130" s="544"/>
      <c r="R130" s="544"/>
      <c r="S130" s="542"/>
      <c r="T130" s="638"/>
      <c r="U130" s="542"/>
      <c r="V130" s="544"/>
      <c r="W130" s="544"/>
      <c r="X130" s="542"/>
      <c r="Y130" s="638"/>
      <c r="Z130" s="542"/>
      <c r="AA130" s="544"/>
      <c r="AB130" s="544"/>
      <c r="AC130" s="542"/>
      <c r="AD130" s="638"/>
      <c r="AE130" s="542"/>
      <c r="AF130" s="544"/>
      <c r="AG130" s="544"/>
      <c r="AH130" s="542"/>
      <c r="AI130" s="638"/>
      <c r="AJ130" s="542"/>
      <c r="AK130" s="544"/>
      <c r="AL130" s="544"/>
      <c r="AM130" s="542"/>
      <c r="AN130" s="638"/>
      <c r="AO130" s="542"/>
      <c r="AP130" s="544"/>
      <c r="AQ130" s="544"/>
      <c r="AR130" s="542"/>
      <c r="AS130" s="638"/>
      <c r="AT130" s="542"/>
      <c r="AU130" s="544"/>
      <c r="AV130" s="544"/>
      <c r="AW130" s="542"/>
      <c r="AX130" s="638"/>
      <c r="AZ130" s="357" t="e">
        <f t="shared" si="29"/>
        <v>#N/A</v>
      </c>
      <c r="BA130" s="638"/>
    </row>
    <row r="131" spans="2:53">
      <c r="B131" s="643"/>
      <c r="C131" s="275">
        <v>20</v>
      </c>
      <c r="D131" s="196"/>
      <c r="E131" s="554"/>
      <c r="F131" s="196"/>
      <c r="G131" s="194"/>
      <c r="H131" s="697"/>
      <c r="I131" s="352" t="str">
        <f t="shared" si="26"/>
        <v>-</v>
      </c>
      <c r="J131" s="352" t="str">
        <f t="shared" si="27"/>
        <v>-</v>
      </c>
      <c r="K131" s="194" t="str">
        <f t="shared" si="28"/>
        <v>-</v>
      </c>
      <c r="L131" s="653"/>
      <c r="M131" s="195" t="e">
        <f>RANK(K131, K$112:$K$141)</f>
        <v>#VALUE!</v>
      </c>
      <c r="N131" s="637"/>
      <c r="O131" s="637"/>
      <c r="P131" s="542"/>
      <c r="Q131" s="544"/>
      <c r="R131" s="544"/>
      <c r="S131" s="542"/>
      <c r="T131" s="638"/>
      <c r="U131" s="542"/>
      <c r="V131" s="544"/>
      <c r="W131" s="544"/>
      <c r="X131" s="542"/>
      <c r="Y131" s="638"/>
      <c r="Z131" s="542"/>
      <c r="AA131" s="544"/>
      <c r="AB131" s="544"/>
      <c r="AC131" s="542"/>
      <c r="AD131" s="638"/>
      <c r="AE131" s="542"/>
      <c r="AF131" s="544"/>
      <c r="AG131" s="544"/>
      <c r="AH131" s="542"/>
      <c r="AI131" s="638"/>
      <c r="AJ131" s="542"/>
      <c r="AK131" s="544"/>
      <c r="AL131" s="544"/>
      <c r="AM131" s="542"/>
      <c r="AN131" s="638"/>
      <c r="AO131" s="542"/>
      <c r="AP131" s="544"/>
      <c r="AQ131" s="544"/>
      <c r="AR131" s="542"/>
      <c r="AS131" s="638"/>
      <c r="AT131" s="542"/>
      <c r="AU131" s="544"/>
      <c r="AV131" s="544"/>
      <c r="AW131" s="542"/>
      <c r="AX131" s="638"/>
      <c r="AZ131" s="357" t="e">
        <f t="shared" si="29"/>
        <v>#N/A</v>
      </c>
      <c r="BA131" s="638"/>
    </row>
    <row r="132" spans="2:53">
      <c r="B132" s="643"/>
      <c r="C132" s="275">
        <v>21</v>
      </c>
      <c r="D132" s="196"/>
      <c r="E132" s="554"/>
      <c r="F132" s="196"/>
      <c r="G132" s="194"/>
      <c r="H132" s="697"/>
      <c r="I132" s="352" t="str">
        <f t="shared" si="26"/>
        <v>-</v>
      </c>
      <c r="J132" s="352" t="str">
        <f t="shared" si="27"/>
        <v>-</v>
      </c>
      <c r="K132" s="194" t="str">
        <f t="shared" si="28"/>
        <v>-</v>
      </c>
      <c r="L132" s="653"/>
      <c r="M132" s="195" t="e">
        <f>RANK(K132, K$112:$K$141)</f>
        <v>#VALUE!</v>
      </c>
      <c r="N132" s="637"/>
      <c r="O132" s="637"/>
      <c r="P132" s="542"/>
      <c r="Q132" s="544"/>
      <c r="R132" s="544"/>
      <c r="S132" s="542"/>
      <c r="T132" s="638"/>
      <c r="U132" s="542"/>
      <c r="V132" s="544"/>
      <c r="W132" s="544"/>
      <c r="X132" s="542"/>
      <c r="Y132" s="638"/>
      <c r="Z132" s="542"/>
      <c r="AA132" s="544"/>
      <c r="AB132" s="544"/>
      <c r="AC132" s="542"/>
      <c r="AD132" s="638"/>
      <c r="AE132" s="542"/>
      <c r="AF132" s="544"/>
      <c r="AG132" s="544"/>
      <c r="AH132" s="542"/>
      <c r="AI132" s="638"/>
      <c r="AJ132" s="542"/>
      <c r="AK132" s="544"/>
      <c r="AL132" s="544"/>
      <c r="AM132" s="542"/>
      <c r="AN132" s="638"/>
      <c r="AO132" s="542"/>
      <c r="AP132" s="544"/>
      <c r="AQ132" s="544"/>
      <c r="AR132" s="542"/>
      <c r="AS132" s="638"/>
      <c r="AT132" s="542"/>
      <c r="AU132" s="544"/>
      <c r="AV132" s="544"/>
      <c r="AW132" s="542"/>
      <c r="AX132" s="638"/>
      <c r="AZ132" s="357" t="e">
        <f t="shared" si="29"/>
        <v>#N/A</v>
      </c>
      <c r="BA132" s="638"/>
    </row>
    <row r="133" spans="2:53">
      <c r="B133" s="643"/>
      <c r="C133" s="275">
        <v>22</v>
      </c>
      <c r="D133" s="196"/>
      <c r="E133" s="554"/>
      <c r="F133" s="196"/>
      <c r="G133" s="194"/>
      <c r="H133" s="697"/>
      <c r="I133" s="352" t="str">
        <f t="shared" si="26"/>
        <v>-</v>
      </c>
      <c r="J133" s="352" t="str">
        <f t="shared" si="27"/>
        <v>-</v>
      </c>
      <c r="K133" s="194" t="str">
        <f t="shared" si="28"/>
        <v>-</v>
      </c>
      <c r="L133" s="653"/>
      <c r="M133" s="195" t="e">
        <f>RANK(K133, K$112:$K$141)</f>
        <v>#VALUE!</v>
      </c>
      <c r="N133" s="637"/>
      <c r="O133" s="637"/>
      <c r="P133" s="542"/>
      <c r="Q133" s="544"/>
      <c r="R133" s="544"/>
      <c r="S133" s="542"/>
      <c r="T133" s="638"/>
      <c r="U133" s="542"/>
      <c r="V133" s="544"/>
      <c r="W133" s="544"/>
      <c r="X133" s="542"/>
      <c r="Y133" s="638"/>
      <c r="Z133" s="542"/>
      <c r="AA133" s="544"/>
      <c r="AB133" s="544"/>
      <c r="AC133" s="542"/>
      <c r="AD133" s="638"/>
      <c r="AE133" s="542"/>
      <c r="AF133" s="544"/>
      <c r="AG133" s="544"/>
      <c r="AH133" s="542"/>
      <c r="AI133" s="638"/>
      <c r="AJ133" s="542"/>
      <c r="AK133" s="544"/>
      <c r="AL133" s="544"/>
      <c r="AM133" s="542"/>
      <c r="AN133" s="638"/>
      <c r="AO133" s="542"/>
      <c r="AP133" s="544"/>
      <c r="AQ133" s="544"/>
      <c r="AR133" s="542"/>
      <c r="AS133" s="638"/>
      <c r="AT133" s="542"/>
      <c r="AU133" s="544"/>
      <c r="AV133" s="544"/>
      <c r="AW133" s="542"/>
      <c r="AX133" s="638"/>
      <c r="AZ133" s="357" t="e">
        <f t="shared" si="29"/>
        <v>#N/A</v>
      </c>
      <c r="BA133" s="638"/>
    </row>
    <row r="134" spans="2:53">
      <c r="B134" s="643"/>
      <c r="C134" s="275">
        <v>23</v>
      </c>
      <c r="D134" s="196"/>
      <c r="E134" s="554"/>
      <c r="F134" s="196"/>
      <c r="G134" s="194"/>
      <c r="H134" s="697"/>
      <c r="I134" s="352" t="str">
        <f t="shared" si="26"/>
        <v>-</v>
      </c>
      <c r="J134" s="352" t="str">
        <f t="shared" si="27"/>
        <v>-</v>
      </c>
      <c r="K134" s="194" t="str">
        <f t="shared" si="28"/>
        <v>-</v>
      </c>
      <c r="L134" s="653"/>
      <c r="M134" s="195" t="e">
        <f>RANK(K134, K$112:$K$141)</f>
        <v>#VALUE!</v>
      </c>
      <c r="N134" s="637"/>
      <c r="O134" s="637"/>
      <c r="P134" s="542"/>
      <c r="Q134" s="544"/>
      <c r="R134" s="544"/>
      <c r="S134" s="542"/>
      <c r="T134" s="638"/>
      <c r="U134" s="542"/>
      <c r="V134" s="544"/>
      <c r="W134" s="544"/>
      <c r="X134" s="542"/>
      <c r="Y134" s="638"/>
      <c r="Z134" s="542"/>
      <c r="AA134" s="544"/>
      <c r="AB134" s="544"/>
      <c r="AC134" s="542"/>
      <c r="AD134" s="638"/>
      <c r="AE134" s="542"/>
      <c r="AF134" s="544"/>
      <c r="AG134" s="544"/>
      <c r="AH134" s="542"/>
      <c r="AI134" s="638"/>
      <c r="AJ134" s="542"/>
      <c r="AK134" s="544"/>
      <c r="AL134" s="544"/>
      <c r="AM134" s="542"/>
      <c r="AN134" s="638"/>
      <c r="AO134" s="542"/>
      <c r="AP134" s="544"/>
      <c r="AQ134" s="544"/>
      <c r="AR134" s="542"/>
      <c r="AS134" s="638"/>
      <c r="AT134" s="542"/>
      <c r="AU134" s="544"/>
      <c r="AV134" s="544"/>
      <c r="AW134" s="542"/>
      <c r="AX134" s="638"/>
      <c r="AZ134" s="357" t="e">
        <f t="shared" si="29"/>
        <v>#N/A</v>
      </c>
      <c r="BA134" s="638"/>
    </row>
    <row r="135" spans="2:53">
      <c r="B135" s="643"/>
      <c r="C135" s="275">
        <v>24</v>
      </c>
      <c r="D135" s="196"/>
      <c r="E135" s="554"/>
      <c r="F135" s="196"/>
      <c r="G135" s="194"/>
      <c r="H135" s="697"/>
      <c r="I135" s="352" t="str">
        <f t="shared" si="26"/>
        <v>-</v>
      </c>
      <c r="J135" s="352" t="str">
        <f t="shared" si="27"/>
        <v>-</v>
      </c>
      <c r="K135" s="194" t="str">
        <f t="shared" si="28"/>
        <v>-</v>
      </c>
      <c r="L135" s="653"/>
      <c r="M135" s="195" t="e">
        <f>RANK(K135, K$112:$K$141)</f>
        <v>#VALUE!</v>
      </c>
      <c r="N135" s="637"/>
      <c r="O135" s="637"/>
      <c r="P135" s="542"/>
      <c r="Q135" s="544"/>
      <c r="R135" s="544"/>
      <c r="S135" s="542"/>
      <c r="T135" s="638"/>
      <c r="U135" s="542"/>
      <c r="V135" s="544"/>
      <c r="W135" s="544"/>
      <c r="X135" s="542"/>
      <c r="Y135" s="638"/>
      <c r="Z135" s="542"/>
      <c r="AA135" s="544"/>
      <c r="AB135" s="544"/>
      <c r="AC135" s="542"/>
      <c r="AD135" s="638"/>
      <c r="AE135" s="542"/>
      <c r="AF135" s="544"/>
      <c r="AG135" s="544"/>
      <c r="AH135" s="542"/>
      <c r="AI135" s="638"/>
      <c r="AJ135" s="542"/>
      <c r="AK135" s="544"/>
      <c r="AL135" s="544"/>
      <c r="AM135" s="542"/>
      <c r="AN135" s="638"/>
      <c r="AO135" s="542"/>
      <c r="AP135" s="544"/>
      <c r="AQ135" s="544"/>
      <c r="AR135" s="542"/>
      <c r="AS135" s="638"/>
      <c r="AT135" s="542"/>
      <c r="AU135" s="544"/>
      <c r="AV135" s="544"/>
      <c r="AW135" s="542"/>
      <c r="AX135" s="638"/>
      <c r="AZ135" s="357" t="e">
        <f t="shared" si="29"/>
        <v>#N/A</v>
      </c>
      <c r="BA135" s="638"/>
    </row>
    <row r="136" spans="2:53">
      <c r="B136" s="643"/>
      <c r="C136" s="275">
        <v>25</v>
      </c>
      <c r="D136" s="196"/>
      <c r="E136" s="554"/>
      <c r="F136" s="196"/>
      <c r="G136" s="194"/>
      <c r="H136" s="697"/>
      <c r="I136" s="352" t="str">
        <f t="shared" si="26"/>
        <v>-</v>
      </c>
      <c r="J136" s="352" t="str">
        <f t="shared" si="27"/>
        <v>-</v>
      </c>
      <c r="K136" s="194" t="str">
        <f t="shared" si="28"/>
        <v>-</v>
      </c>
      <c r="L136" s="653"/>
      <c r="M136" s="195" t="e">
        <f>RANK(K136, K$112:$K$141)</f>
        <v>#VALUE!</v>
      </c>
      <c r="N136" s="637"/>
      <c r="O136" s="637"/>
      <c r="P136" s="542"/>
      <c r="Q136" s="544"/>
      <c r="R136" s="544"/>
      <c r="S136" s="542"/>
      <c r="T136" s="638"/>
      <c r="U136" s="542"/>
      <c r="V136" s="544"/>
      <c r="W136" s="544"/>
      <c r="X136" s="542"/>
      <c r="Y136" s="638"/>
      <c r="Z136" s="542"/>
      <c r="AA136" s="544"/>
      <c r="AB136" s="544"/>
      <c r="AC136" s="542"/>
      <c r="AD136" s="638"/>
      <c r="AE136" s="542"/>
      <c r="AF136" s="544"/>
      <c r="AG136" s="544"/>
      <c r="AH136" s="542"/>
      <c r="AI136" s="638"/>
      <c r="AJ136" s="542"/>
      <c r="AK136" s="544"/>
      <c r="AL136" s="544"/>
      <c r="AM136" s="542"/>
      <c r="AN136" s="638"/>
      <c r="AO136" s="542"/>
      <c r="AP136" s="544"/>
      <c r="AQ136" s="544"/>
      <c r="AR136" s="542"/>
      <c r="AS136" s="638"/>
      <c r="AT136" s="542"/>
      <c r="AU136" s="544"/>
      <c r="AV136" s="544"/>
      <c r="AW136" s="542"/>
      <c r="AX136" s="638"/>
      <c r="AZ136" s="357" t="e">
        <f t="shared" si="29"/>
        <v>#N/A</v>
      </c>
      <c r="BA136" s="638"/>
    </row>
    <row r="137" spans="2:53">
      <c r="B137" s="643"/>
      <c r="C137" s="275">
        <v>26</v>
      </c>
      <c r="D137" s="196"/>
      <c r="E137" s="554"/>
      <c r="F137" s="196"/>
      <c r="G137" s="194"/>
      <c r="H137" s="697"/>
      <c r="I137" s="352" t="str">
        <f t="shared" si="26"/>
        <v>-</v>
      </c>
      <c r="J137" s="352" t="str">
        <f t="shared" si="27"/>
        <v>-</v>
      </c>
      <c r="K137" s="194" t="str">
        <f t="shared" si="28"/>
        <v>-</v>
      </c>
      <c r="L137" s="653"/>
      <c r="M137" s="195" t="e">
        <f>RANK(K137, K$112:$K$141)</f>
        <v>#VALUE!</v>
      </c>
      <c r="N137" s="637"/>
      <c r="O137" s="637"/>
      <c r="P137" s="542"/>
      <c r="Q137" s="544"/>
      <c r="R137" s="544"/>
      <c r="S137" s="542"/>
      <c r="T137" s="638"/>
      <c r="U137" s="542"/>
      <c r="V137" s="544"/>
      <c r="W137" s="544"/>
      <c r="X137" s="542"/>
      <c r="Y137" s="638"/>
      <c r="Z137" s="542"/>
      <c r="AA137" s="544"/>
      <c r="AB137" s="544"/>
      <c r="AC137" s="542"/>
      <c r="AD137" s="638"/>
      <c r="AE137" s="542"/>
      <c r="AF137" s="544"/>
      <c r="AG137" s="544"/>
      <c r="AH137" s="542"/>
      <c r="AI137" s="638"/>
      <c r="AJ137" s="542"/>
      <c r="AK137" s="544"/>
      <c r="AL137" s="544"/>
      <c r="AM137" s="542"/>
      <c r="AN137" s="638"/>
      <c r="AO137" s="542"/>
      <c r="AP137" s="544"/>
      <c r="AQ137" s="544"/>
      <c r="AR137" s="542"/>
      <c r="AS137" s="638"/>
      <c r="AT137" s="542"/>
      <c r="AU137" s="544"/>
      <c r="AV137" s="544"/>
      <c r="AW137" s="542"/>
      <c r="AX137" s="638"/>
      <c r="AZ137" s="357" t="e">
        <f t="shared" si="29"/>
        <v>#N/A</v>
      </c>
      <c r="BA137" s="638"/>
    </row>
    <row r="138" spans="2:53">
      <c r="B138" s="643"/>
      <c r="C138" s="275">
        <v>27</v>
      </c>
      <c r="D138" s="196"/>
      <c r="E138" s="554"/>
      <c r="F138" s="196"/>
      <c r="G138" s="194"/>
      <c r="H138" s="697"/>
      <c r="I138" s="352" t="str">
        <f t="shared" si="26"/>
        <v>-</v>
      </c>
      <c r="J138" s="352" t="str">
        <f t="shared" si="27"/>
        <v>-</v>
      </c>
      <c r="K138" s="194" t="str">
        <f t="shared" si="28"/>
        <v>-</v>
      </c>
      <c r="L138" s="653"/>
      <c r="M138" s="195" t="e">
        <f>RANK(K138, K$112:$K$141)</f>
        <v>#VALUE!</v>
      </c>
      <c r="N138" s="637"/>
      <c r="O138" s="637"/>
      <c r="P138" s="542"/>
      <c r="Q138" s="544"/>
      <c r="R138" s="544"/>
      <c r="S138" s="542"/>
      <c r="T138" s="638"/>
      <c r="U138" s="542"/>
      <c r="V138" s="544"/>
      <c r="W138" s="544"/>
      <c r="X138" s="542"/>
      <c r="Y138" s="638"/>
      <c r="Z138" s="542"/>
      <c r="AA138" s="544"/>
      <c r="AB138" s="544"/>
      <c r="AC138" s="542"/>
      <c r="AD138" s="638"/>
      <c r="AE138" s="542"/>
      <c r="AF138" s="544"/>
      <c r="AG138" s="544"/>
      <c r="AH138" s="542"/>
      <c r="AI138" s="638"/>
      <c r="AJ138" s="542"/>
      <c r="AK138" s="544"/>
      <c r="AL138" s="544"/>
      <c r="AM138" s="542"/>
      <c r="AN138" s="638"/>
      <c r="AO138" s="542"/>
      <c r="AP138" s="544"/>
      <c r="AQ138" s="544"/>
      <c r="AR138" s="542"/>
      <c r="AS138" s="638"/>
      <c r="AT138" s="542"/>
      <c r="AU138" s="544"/>
      <c r="AV138" s="544"/>
      <c r="AW138" s="542"/>
      <c r="AX138" s="638"/>
      <c r="AZ138" s="357" t="e">
        <f t="shared" si="29"/>
        <v>#N/A</v>
      </c>
      <c r="BA138" s="638"/>
    </row>
    <row r="139" spans="2:53">
      <c r="B139" s="643"/>
      <c r="C139" s="275">
        <v>28</v>
      </c>
      <c r="D139" s="196"/>
      <c r="E139" s="554"/>
      <c r="F139" s="196"/>
      <c r="G139" s="194"/>
      <c r="H139" s="697"/>
      <c r="I139" s="352" t="str">
        <f t="shared" si="26"/>
        <v>-</v>
      </c>
      <c r="J139" s="352" t="str">
        <f t="shared" si="27"/>
        <v>-</v>
      </c>
      <c r="K139" s="194" t="str">
        <f t="shared" si="28"/>
        <v>-</v>
      </c>
      <c r="L139" s="653"/>
      <c r="M139" s="195" t="e">
        <f>RANK(K139, K$112:$K$141)</f>
        <v>#VALUE!</v>
      </c>
      <c r="N139" s="637"/>
      <c r="O139" s="637"/>
      <c r="P139" s="542"/>
      <c r="Q139" s="544"/>
      <c r="R139" s="544"/>
      <c r="S139" s="542"/>
      <c r="T139" s="638"/>
      <c r="U139" s="542"/>
      <c r="V139" s="544"/>
      <c r="W139" s="544"/>
      <c r="X139" s="542"/>
      <c r="Y139" s="638"/>
      <c r="Z139" s="542"/>
      <c r="AA139" s="544"/>
      <c r="AB139" s="544"/>
      <c r="AC139" s="542"/>
      <c r="AD139" s="638"/>
      <c r="AE139" s="542"/>
      <c r="AF139" s="544"/>
      <c r="AG139" s="544"/>
      <c r="AH139" s="542"/>
      <c r="AI139" s="638"/>
      <c r="AJ139" s="542"/>
      <c r="AK139" s="544"/>
      <c r="AL139" s="544"/>
      <c r="AM139" s="542"/>
      <c r="AN139" s="638"/>
      <c r="AO139" s="542"/>
      <c r="AP139" s="544"/>
      <c r="AQ139" s="544"/>
      <c r="AR139" s="542"/>
      <c r="AS139" s="638"/>
      <c r="AT139" s="542"/>
      <c r="AU139" s="544"/>
      <c r="AV139" s="544"/>
      <c r="AW139" s="542"/>
      <c r="AX139" s="638"/>
      <c r="AZ139" s="357" t="e">
        <f t="shared" si="29"/>
        <v>#N/A</v>
      </c>
      <c r="BA139" s="638"/>
    </row>
    <row r="140" spans="2:53">
      <c r="B140" s="643"/>
      <c r="C140" s="275">
        <v>29</v>
      </c>
      <c r="D140" s="196"/>
      <c r="E140" s="554"/>
      <c r="F140" s="196"/>
      <c r="G140" s="194"/>
      <c r="H140" s="697"/>
      <c r="I140" s="352" t="str">
        <f t="shared" si="26"/>
        <v>-</v>
      </c>
      <c r="J140" s="352" t="str">
        <f t="shared" si="27"/>
        <v>-</v>
      </c>
      <c r="K140" s="194" t="str">
        <f t="shared" si="28"/>
        <v>-</v>
      </c>
      <c r="L140" s="653"/>
      <c r="M140" s="195" t="e">
        <f>RANK(K140, K$112:$K$141)</f>
        <v>#VALUE!</v>
      </c>
      <c r="N140" s="637"/>
      <c r="O140" s="637"/>
      <c r="P140" s="542"/>
      <c r="Q140" s="544"/>
      <c r="R140" s="544"/>
      <c r="S140" s="542"/>
      <c r="T140" s="638"/>
      <c r="U140" s="542"/>
      <c r="V140" s="544"/>
      <c r="W140" s="544"/>
      <c r="X140" s="542"/>
      <c r="Y140" s="638"/>
      <c r="Z140" s="542"/>
      <c r="AA140" s="544"/>
      <c r="AB140" s="544"/>
      <c r="AC140" s="542"/>
      <c r="AD140" s="638"/>
      <c r="AE140" s="542"/>
      <c r="AF140" s="544"/>
      <c r="AG140" s="544"/>
      <c r="AH140" s="542"/>
      <c r="AI140" s="638"/>
      <c r="AJ140" s="542"/>
      <c r="AK140" s="544"/>
      <c r="AL140" s="544"/>
      <c r="AM140" s="542"/>
      <c r="AN140" s="638"/>
      <c r="AO140" s="542"/>
      <c r="AP140" s="544"/>
      <c r="AQ140" s="544"/>
      <c r="AR140" s="542"/>
      <c r="AS140" s="638"/>
      <c r="AT140" s="542"/>
      <c r="AU140" s="544"/>
      <c r="AV140" s="544"/>
      <c r="AW140" s="542"/>
      <c r="AX140" s="638"/>
      <c r="AZ140" s="357" t="e">
        <f t="shared" si="29"/>
        <v>#N/A</v>
      </c>
      <c r="BA140" s="638"/>
    </row>
    <row r="141" spans="2:53">
      <c r="B141" s="643"/>
      <c r="C141" s="275">
        <v>30</v>
      </c>
      <c r="D141" s="196"/>
      <c r="E141" s="554"/>
      <c r="F141" s="196"/>
      <c r="G141" s="194"/>
      <c r="H141" s="698"/>
      <c r="I141" s="352" t="str">
        <f t="shared" si="26"/>
        <v>-</v>
      </c>
      <c r="J141" s="352" t="str">
        <f t="shared" si="27"/>
        <v>-</v>
      </c>
      <c r="K141" s="194" t="str">
        <f t="shared" si="28"/>
        <v>-</v>
      </c>
      <c r="L141" s="654"/>
      <c r="M141" s="195" t="e">
        <f>RANK(K141, K$112:$K$141)</f>
        <v>#VALUE!</v>
      </c>
      <c r="N141" s="637"/>
      <c r="O141" s="637"/>
      <c r="P141" s="542"/>
      <c r="Q141" s="544"/>
      <c r="R141" s="544"/>
      <c r="S141" s="542"/>
      <c r="T141" s="638"/>
      <c r="U141" s="542"/>
      <c r="V141" s="544"/>
      <c r="W141" s="544"/>
      <c r="X141" s="542"/>
      <c r="Y141" s="638"/>
      <c r="Z141" s="542"/>
      <c r="AA141" s="544"/>
      <c r="AB141" s="544"/>
      <c r="AC141" s="542"/>
      <c r="AD141" s="638"/>
      <c r="AE141" s="542"/>
      <c r="AF141" s="544"/>
      <c r="AG141" s="544"/>
      <c r="AH141" s="542"/>
      <c r="AI141" s="638"/>
      <c r="AJ141" s="542"/>
      <c r="AK141" s="544"/>
      <c r="AL141" s="544"/>
      <c r="AM141" s="542"/>
      <c r="AN141" s="638"/>
      <c r="AO141" s="542"/>
      <c r="AP141" s="544"/>
      <c r="AQ141" s="544"/>
      <c r="AR141" s="542"/>
      <c r="AS141" s="638"/>
      <c r="AT141" s="542"/>
      <c r="AU141" s="544"/>
      <c r="AV141" s="544"/>
      <c r="AW141" s="542"/>
      <c r="AX141" s="638"/>
      <c r="AZ141" s="357" t="e">
        <f t="shared" si="29"/>
        <v>#N/A</v>
      </c>
      <c r="BA141" s="638"/>
    </row>
    <row r="142" spans="2:53" ht="15.75">
      <c r="B142" s="665" t="s">
        <v>162</v>
      </c>
      <c r="C142" s="666"/>
      <c r="D142" s="666"/>
      <c r="E142" s="666"/>
      <c r="F142" s="666"/>
      <c r="G142" s="666"/>
      <c r="H142" s="667"/>
      <c r="I142" s="202"/>
      <c r="J142" s="202"/>
      <c r="K142" s="202"/>
      <c r="L142" s="202"/>
      <c r="M142" s="201"/>
      <c r="N142" s="639" t="s">
        <v>156</v>
      </c>
      <c r="O142" s="639" t="s">
        <v>105</v>
      </c>
      <c r="P142" s="661">
        <f>P107+7</f>
        <v>46322</v>
      </c>
      <c r="Q142" s="662"/>
      <c r="R142" s="662"/>
      <c r="S142" s="662"/>
      <c r="T142" s="663"/>
      <c r="U142" s="661">
        <f>P142+1</f>
        <v>46323</v>
      </c>
      <c r="V142" s="662"/>
      <c r="W142" s="662"/>
      <c r="X142" s="662"/>
      <c r="Y142" s="663"/>
      <c r="Z142" s="661">
        <f>U142+1</f>
        <v>46324</v>
      </c>
      <c r="AA142" s="662"/>
      <c r="AB142" s="662"/>
      <c r="AC142" s="662"/>
      <c r="AD142" s="663"/>
      <c r="AE142" s="661">
        <f>Z142+1</f>
        <v>46325</v>
      </c>
      <c r="AF142" s="662"/>
      <c r="AG142" s="662"/>
      <c r="AH142" s="662"/>
      <c r="AI142" s="663"/>
      <c r="AJ142" s="661">
        <f>AE142+1</f>
        <v>46326</v>
      </c>
      <c r="AK142" s="662"/>
      <c r="AL142" s="662"/>
      <c r="AM142" s="662"/>
      <c r="AN142" s="663"/>
      <c r="AO142" s="661">
        <f>AJ142+1</f>
        <v>46327</v>
      </c>
      <c r="AP142" s="662"/>
      <c r="AQ142" s="662"/>
      <c r="AR142" s="662"/>
      <c r="AS142" s="663"/>
      <c r="AT142" s="661">
        <f>AO142+1</f>
        <v>46328</v>
      </c>
      <c r="AU142" s="662"/>
      <c r="AV142" s="662"/>
      <c r="AW142" s="662"/>
      <c r="AX142" s="663"/>
    </row>
    <row r="143" spans="2:53" ht="15.75">
      <c r="B143" s="668"/>
      <c r="C143" s="668"/>
      <c r="D143" s="668"/>
      <c r="E143" s="668"/>
      <c r="F143" s="668"/>
      <c r="G143" s="668"/>
      <c r="H143" s="668"/>
      <c r="I143" s="199"/>
      <c r="J143" s="199"/>
      <c r="K143" s="199"/>
      <c r="L143" s="199"/>
      <c r="M143" s="200"/>
      <c r="N143" s="641"/>
      <c r="O143" s="641"/>
      <c r="P143" s="661" t="s">
        <v>317</v>
      </c>
      <c r="Q143" s="662"/>
      <c r="R143" s="662"/>
      <c r="S143" s="662"/>
      <c r="T143" s="663"/>
      <c r="U143" s="661" t="s">
        <v>318</v>
      </c>
      <c r="V143" s="662"/>
      <c r="W143" s="662"/>
      <c r="X143" s="662"/>
      <c r="Y143" s="663"/>
      <c r="Z143" s="661" t="s">
        <v>319</v>
      </c>
      <c r="AA143" s="662"/>
      <c r="AB143" s="662"/>
      <c r="AC143" s="662"/>
      <c r="AD143" s="663"/>
      <c r="AE143" s="661" t="s">
        <v>320</v>
      </c>
      <c r="AF143" s="662"/>
      <c r="AG143" s="662"/>
      <c r="AH143" s="662"/>
      <c r="AI143" s="663"/>
      <c r="AJ143" s="661" t="s">
        <v>321</v>
      </c>
      <c r="AK143" s="662"/>
      <c r="AL143" s="662"/>
      <c r="AM143" s="662"/>
      <c r="AN143" s="663"/>
      <c r="AO143" s="661" t="s">
        <v>322</v>
      </c>
      <c r="AP143" s="662"/>
      <c r="AQ143" s="662"/>
      <c r="AR143" s="662"/>
      <c r="AS143" s="663"/>
      <c r="AT143" s="661" t="s">
        <v>323</v>
      </c>
      <c r="AU143" s="662"/>
      <c r="AV143" s="662"/>
      <c r="AW143" s="662"/>
      <c r="AX143" s="663"/>
    </row>
    <row r="144" spans="2:53">
      <c r="B144" s="637" t="s">
        <v>398</v>
      </c>
      <c r="C144" s="637" t="s">
        <v>399</v>
      </c>
      <c r="D144" s="637"/>
      <c r="E144" s="637" t="s">
        <v>400</v>
      </c>
      <c r="F144" s="637"/>
      <c r="G144" s="637"/>
      <c r="H144" s="669" t="s">
        <v>401</v>
      </c>
      <c r="I144" s="684" t="s">
        <v>402</v>
      </c>
      <c r="J144" s="684"/>
      <c r="K144" s="684"/>
      <c r="L144" s="685" t="s">
        <v>401</v>
      </c>
      <c r="M144" s="673" t="s">
        <v>403</v>
      </c>
      <c r="N144" s="637"/>
      <c r="O144" s="637" t="s">
        <v>404</v>
      </c>
      <c r="P144" s="655" t="s">
        <v>405</v>
      </c>
      <c r="Q144" s="656"/>
      <c r="R144" s="656"/>
      <c r="S144" s="657"/>
      <c r="T144" s="637" t="s">
        <v>401</v>
      </c>
      <c r="U144" s="655" t="s">
        <v>405</v>
      </c>
      <c r="V144" s="656"/>
      <c r="W144" s="656"/>
      <c r="X144" s="657"/>
      <c r="Y144" s="637" t="s">
        <v>401</v>
      </c>
      <c r="Z144" s="655" t="s">
        <v>405</v>
      </c>
      <c r="AA144" s="656"/>
      <c r="AB144" s="656"/>
      <c r="AC144" s="657"/>
      <c r="AD144" s="637" t="s">
        <v>401</v>
      </c>
      <c r="AE144" s="655" t="s">
        <v>405</v>
      </c>
      <c r="AF144" s="656"/>
      <c r="AG144" s="656"/>
      <c r="AH144" s="657"/>
      <c r="AI144" s="637" t="s">
        <v>401</v>
      </c>
      <c r="AJ144" s="655" t="s">
        <v>405</v>
      </c>
      <c r="AK144" s="656"/>
      <c r="AL144" s="656"/>
      <c r="AM144" s="657"/>
      <c r="AN144" s="637" t="s">
        <v>401</v>
      </c>
      <c r="AO144" s="655" t="s">
        <v>405</v>
      </c>
      <c r="AP144" s="656"/>
      <c r="AQ144" s="656"/>
      <c r="AR144" s="657"/>
      <c r="AS144" s="637" t="s">
        <v>401</v>
      </c>
      <c r="AT144" s="655" t="s">
        <v>405</v>
      </c>
      <c r="AU144" s="656"/>
      <c r="AV144" s="656"/>
      <c r="AW144" s="657"/>
      <c r="AX144" s="637" t="s">
        <v>401</v>
      </c>
      <c r="BA144" s="637" t="s">
        <v>357</v>
      </c>
    </row>
    <row r="145" spans="2:53">
      <c r="B145" s="637"/>
      <c r="C145" s="637"/>
      <c r="D145" s="637"/>
      <c r="E145" s="637" t="s">
        <v>406</v>
      </c>
      <c r="F145" s="637"/>
      <c r="G145" s="637"/>
      <c r="H145" s="670"/>
      <c r="I145" s="684" t="s">
        <v>406</v>
      </c>
      <c r="J145" s="684"/>
      <c r="K145" s="684"/>
      <c r="L145" s="686"/>
      <c r="M145" s="674"/>
      <c r="N145" s="637"/>
      <c r="O145" s="637"/>
      <c r="P145" s="655" t="s">
        <v>407</v>
      </c>
      <c r="Q145" s="656"/>
      <c r="R145" s="656"/>
      <c r="S145" s="657"/>
      <c r="T145" s="637"/>
      <c r="U145" s="655" t="s">
        <v>407</v>
      </c>
      <c r="V145" s="656"/>
      <c r="W145" s="656"/>
      <c r="X145" s="657"/>
      <c r="Y145" s="637"/>
      <c r="Z145" s="655" t="s">
        <v>407</v>
      </c>
      <c r="AA145" s="656"/>
      <c r="AB145" s="656"/>
      <c r="AC145" s="657"/>
      <c r="AD145" s="637"/>
      <c r="AE145" s="655" t="s">
        <v>407</v>
      </c>
      <c r="AF145" s="656"/>
      <c r="AG145" s="656"/>
      <c r="AH145" s="657"/>
      <c r="AI145" s="637"/>
      <c r="AJ145" s="655" t="s">
        <v>407</v>
      </c>
      <c r="AK145" s="656"/>
      <c r="AL145" s="656"/>
      <c r="AM145" s="657"/>
      <c r="AN145" s="637"/>
      <c r="AO145" s="655" t="s">
        <v>407</v>
      </c>
      <c r="AP145" s="656"/>
      <c r="AQ145" s="656"/>
      <c r="AR145" s="657"/>
      <c r="AS145" s="637"/>
      <c r="AT145" s="655" t="s">
        <v>407</v>
      </c>
      <c r="AU145" s="656"/>
      <c r="AV145" s="656"/>
      <c r="AW145" s="657"/>
      <c r="AX145" s="637"/>
      <c r="BA145" s="637"/>
    </row>
    <row r="146" spans="2:53">
      <c r="B146" s="637"/>
      <c r="C146" s="637"/>
      <c r="D146" s="637"/>
      <c r="E146" s="271" t="s">
        <v>408</v>
      </c>
      <c r="F146" s="271" t="s">
        <v>409</v>
      </c>
      <c r="G146" s="271" t="s">
        <v>410</v>
      </c>
      <c r="H146" s="671"/>
      <c r="I146" s="272" t="s">
        <v>408</v>
      </c>
      <c r="J146" s="272" t="s">
        <v>409</v>
      </c>
      <c r="K146" s="272" t="s">
        <v>410</v>
      </c>
      <c r="L146" s="687"/>
      <c r="M146" s="675"/>
      <c r="N146" s="637"/>
      <c r="O146" s="637"/>
      <c r="P146" s="271" t="s">
        <v>408</v>
      </c>
      <c r="Q146" s="271" t="s">
        <v>409</v>
      </c>
      <c r="R146" s="271" t="s">
        <v>410</v>
      </c>
      <c r="S146" s="271" t="s">
        <v>403</v>
      </c>
      <c r="T146" s="637"/>
      <c r="U146" s="271" t="s">
        <v>408</v>
      </c>
      <c r="V146" s="271" t="s">
        <v>409</v>
      </c>
      <c r="W146" s="271" t="s">
        <v>410</v>
      </c>
      <c r="X146" s="271" t="s">
        <v>403</v>
      </c>
      <c r="Y146" s="637"/>
      <c r="Z146" s="271" t="s">
        <v>408</v>
      </c>
      <c r="AA146" s="271" t="s">
        <v>409</v>
      </c>
      <c r="AB146" s="271" t="s">
        <v>410</v>
      </c>
      <c r="AC146" s="271" t="s">
        <v>403</v>
      </c>
      <c r="AD146" s="637"/>
      <c r="AE146" s="271" t="s">
        <v>408</v>
      </c>
      <c r="AF146" s="271" t="s">
        <v>409</v>
      </c>
      <c r="AG146" s="271" t="s">
        <v>410</v>
      </c>
      <c r="AH146" s="271" t="s">
        <v>403</v>
      </c>
      <c r="AI146" s="637"/>
      <c r="AJ146" s="271" t="s">
        <v>408</v>
      </c>
      <c r="AK146" s="271" t="s">
        <v>409</v>
      </c>
      <c r="AL146" s="271" t="s">
        <v>410</v>
      </c>
      <c r="AM146" s="271" t="s">
        <v>403</v>
      </c>
      <c r="AN146" s="637"/>
      <c r="AO146" s="271" t="s">
        <v>408</v>
      </c>
      <c r="AP146" s="271" t="s">
        <v>409</v>
      </c>
      <c r="AQ146" s="271" t="s">
        <v>410</v>
      </c>
      <c r="AR146" s="271" t="s">
        <v>403</v>
      </c>
      <c r="AS146" s="637"/>
      <c r="AT146" s="271" t="s">
        <v>408</v>
      </c>
      <c r="AU146" s="271" t="s">
        <v>409</v>
      </c>
      <c r="AV146" s="271" t="s">
        <v>410</v>
      </c>
      <c r="AW146" s="271" t="s">
        <v>403</v>
      </c>
      <c r="AX146" s="637"/>
      <c r="AZ146" s="356" t="s">
        <v>358</v>
      </c>
      <c r="BA146" s="637"/>
    </row>
    <row r="147" spans="2:53">
      <c r="B147" s="637" t="s">
        <v>411</v>
      </c>
      <c r="C147" s="270">
        <v>1</v>
      </c>
      <c r="D147" s="196"/>
      <c r="E147" s="475"/>
      <c r="F147" s="196"/>
      <c r="G147" s="194"/>
      <c r="H147" s="696" t="e">
        <f>AVERAGE(G147:G176)</f>
        <v>#DIV/0!</v>
      </c>
      <c r="I147" s="352" t="str">
        <f>IFERROR(AVERAGE(P147,U147,Z147,AE147,AJ147,AO147,AT147),"-")</f>
        <v>-</v>
      </c>
      <c r="J147" s="352" t="str">
        <f>IFERROR(AVERAGE(Q147,V147,AA147,AF147,AK147,AP147,AU147),"-")</f>
        <v>-</v>
      </c>
      <c r="K147" s="194" t="str">
        <f>IFERROR(AVERAGE(R147,W147,AB147,AG147,AL147,AQ147,AV147),"-")</f>
        <v>-</v>
      </c>
      <c r="L147" s="652" t="str">
        <f>IFERROR(AVERAGE(K147:K176),"-")</f>
        <v>-</v>
      </c>
      <c r="M147" s="195" t="e">
        <f>RANK(K147, K$147:$K$176)</f>
        <v>#VALUE!</v>
      </c>
      <c r="N147" s="637"/>
      <c r="O147" s="637"/>
      <c r="P147" s="546"/>
      <c r="Q147" s="547"/>
      <c r="R147" s="547"/>
      <c r="S147" s="546"/>
      <c r="T147" s="638"/>
      <c r="U147" s="546"/>
      <c r="V147" s="547"/>
      <c r="W147" s="547"/>
      <c r="X147" s="546"/>
      <c r="Y147" s="638"/>
      <c r="Z147" s="546"/>
      <c r="AA147" s="547"/>
      <c r="AB147" s="547"/>
      <c r="AC147" s="546"/>
      <c r="AD147" s="638"/>
      <c r="AE147" s="546"/>
      <c r="AF147" s="547"/>
      <c r="AG147" s="547"/>
      <c r="AH147" s="546"/>
      <c r="AI147" s="638"/>
      <c r="AJ147" s="546"/>
      <c r="AK147" s="547"/>
      <c r="AL147" s="547"/>
      <c r="AM147" s="546"/>
      <c r="AN147" s="638"/>
      <c r="AO147" s="546"/>
      <c r="AP147" s="547"/>
      <c r="AQ147" s="547"/>
      <c r="AR147" s="546"/>
      <c r="AS147" s="638"/>
      <c r="AT147" s="546"/>
      <c r="AU147" s="547"/>
      <c r="AV147" s="547"/>
      <c r="AW147" s="546"/>
      <c r="AX147" s="638"/>
      <c r="AZ147" s="357" t="e">
        <f>RANK(AY147, AY$147:AY$176)</f>
        <v>#N/A</v>
      </c>
      <c r="BA147" s="638" t="e">
        <f>AVERAGE(AY147:AY176)</f>
        <v>#DIV/0!</v>
      </c>
    </row>
    <row r="148" spans="2:53">
      <c r="B148" s="643"/>
      <c r="C148" s="270">
        <v>2</v>
      </c>
      <c r="D148" s="196"/>
      <c r="E148" s="475"/>
      <c r="F148" s="196"/>
      <c r="G148" s="194"/>
      <c r="H148" s="697"/>
      <c r="I148" s="352" t="str">
        <f t="shared" ref="I148:I176" si="30">IFERROR(AVERAGE(P148,U148,Z148,AE148,AJ148,AO148,AT148),"-")</f>
        <v>-</v>
      </c>
      <c r="J148" s="352" t="str">
        <f t="shared" ref="J148:J176" si="31">IFERROR(AVERAGE(Q148,V148,AA148,AF148,AK148,AP148,AU148),"-")</f>
        <v>-</v>
      </c>
      <c r="K148" s="194" t="str">
        <f t="shared" ref="K148:K176" si="32">IFERROR(AVERAGE(R148,W148,AB148,AG148,AL148,AQ148,AV148),"-")</f>
        <v>-</v>
      </c>
      <c r="L148" s="653"/>
      <c r="M148" s="195" t="e">
        <f>RANK(K148, K$147:$K$176)</f>
        <v>#VALUE!</v>
      </c>
      <c r="N148" s="637"/>
      <c r="O148" s="637"/>
      <c r="P148" s="546"/>
      <c r="Q148" s="547"/>
      <c r="R148" s="547"/>
      <c r="S148" s="546"/>
      <c r="T148" s="638"/>
      <c r="U148" s="546"/>
      <c r="V148" s="547"/>
      <c r="W148" s="547"/>
      <c r="X148" s="546"/>
      <c r="Y148" s="638"/>
      <c r="Z148" s="546"/>
      <c r="AA148" s="547"/>
      <c r="AB148" s="547"/>
      <c r="AC148" s="546"/>
      <c r="AD148" s="638"/>
      <c r="AE148" s="546"/>
      <c r="AF148" s="547"/>
      <c r="AG148" s="547"/>
      <c r="AH148" s="546"/>
      <c r="AI148" s="638"/>
      <c r="AJ148" s="546"/>
      <c r="AK148" s="547"/>
      <c r="AL148" s="547"/>
      <c r="AM148" s="546"/>
      <c r="AN148" s="638"/>
      <c r="AO148" s="546"/>
      <c r="AP148" s="547"/>
      <c r="AQ148" s="547"/>
      <c r="AR148" s="546"/>
      <c r="AS148" s="638"/>
      <c r="AT148" s="546"/>
      <c r="AU148" s="547"/>
      <c r="AV148" s="547"/>
      <c r="AW148" s="546"/>
      <c r="AX148" s="638"/>
      <c r="AZ148" s="357" t="e">
        <f t="shared" ref="AZ148:AZ176" si="33">RANK(AY148, AY$147:AY$176)</f>
        <v>#N/A</v>
      </c>
      <c r="BA148" s="638"/>
    </row>
    <row r="149" spans="2:53">
      <c r="B149" s="643"/>
      <c r="C149" s="270">
        <v>3</v>
      </c>
      <c r="D149" s="196"/>
      <c r="E149" s="475"/>
      <c r="F149" s="196"/>
      <c r="G149" s="194"/>
      <c r="H149" s="697"/>
      <c r="I149" s="352" t="str">
        <f t="shared" si="30"/>
        <v>-</v>
      </c>
      <c r="J149" s="352" t="str">
        <f t="shared" si="31"/>
        <v>-</v>
      </c>
      <c r="K149" s="194" t="str">
        <f t="shared" si="32"/>
        <v>-</v>
      </c>
      <c r="L149" s="653"/>
      <c r="M149" s="195" t="e">
        <f>RANK(K149, K$147:$K$176)</f>
        <v>#VALUE!</v>
      </c>
      <c r="N149" s="637"/>
      <c r="O149" s="637"/>
      <c r="P149" s="546"/>
      <c r="Q149" s="547"/>
      <c r="R149" s="547"/>
      <c r="S149" s="546"/>
      <c r="T149" s="638"/>
      <c r="U149" s="546"/>
      <c r="V149" s="547"/>
      <c r="W149" s="547"/>
      <c r="X149" s="546"/>
      <c r="Y149" s="638"/>
      <c r="Z149" s="546"/>
      <c r="AA149" s="547"/>
      <c r="AB149" s="547"/>
      <c r="AC149" s="546"/>
      <c r="AD149" s="638"/>
      <c r="AE149" s="546"/>
      <c r="AF149" s="547"/>
      <c r="AG149" s="547"/>
      <c r="AH149" s="546"/>
      <c r="AI149" s="638"/>
      <c r="AJ149" s="546"/>
      <c r="AK149" s="547"/>
      <c r="AL149" s="547"/>
      <c r="AM149" s="546"/>
      <c r="AN149" s="638"/>
      <c r="AO149" s="546"/>
      <c r="AP149" s="547"/>
      <c r="AQ149" s="547"/>
      <c r="AR149" s="546"/>
      <c r="AS149" s="638"/>
      <c r="AT149" s="546"/>
      <c r="AU149" s="547"/>
      <c r="AV149" s="547"/>
      <c r="AW149" s="546"/>
      <c r="AX149" s="638"/>
      <c r="AZ149" s="357" t="e">
        <f t="shared" si="33"/>
        <v>#N/A</v>
      </c>
      <c r="BA149" s="638"/>
    </row>
    <row r="150" spans="2:53">
      <c r="B150" s="643"/>
      <c r="C150" s="270">
        <v>4</v>
      </c>
      <c r="D150" s="196"/>
      <c r="E150" s="475"/>
      <c r="F150" s="196"/>
      <c r="G150" s="194"/>
      <c r="H150" s="697"/>
      <c r="I150" s="352" t="str">
        <f t="shared" si="30"/>
        <v>-</v>
      </c>
      <c r="J150" s="352" t="str">
        <f t="shared" si="31"/>
        <v>-</v>
      </c>
      <c r="K150" s="194" t="str">
        <f t="shared" si="32"/>
        <v>-</v>
      </c>
      <c r="L150" s="653"/>
      <c r="M150" s="195" t="e">
        <f>RANK(K150, K$147:$K$176)</f>
        <v>#VALUE!</v>
      </c>
      <c r="N150" s="637"/>
      <c r="O150" s="637"/>
      <c r="P150" s="546"/>
      <c r="Q150" s="547"/>
      <c r="R150" s="547"/>
      <c r="S150" s="546"/>
      <c r="T150" s="638"/>
      <c r="U150" s="546"/>
      <c r="V150" s="547"/>
      <c r="W150" s="547"/>
      <c r="X150" s="546"/>
      <c r="Y150" s="638"/>
      <c r="Z150" s="546"/>
      <c r="AA150" s="547"/>
      <c r="AB150" s="547"/>
      <c r="AC150" s="546"/>
      <c r="AD150" s="638"/>
      <c r="AE150" s="546"/>
      <c r="AF150" s="547"/>
      <c r="AG150" s="547"/>
      <c r="AH150" s="546"/>
      <c r="AI150" s="638"/>
      <c r="AJ150" s="546"/>
      <c r="AK150" s="547"/>
      <c r="AL150" s="547"/>
      <c r="AM150" s="546"/>
      <c r="AN150" s="638"/>
      <c r="AO150" s="546"/>
      <c r="AP150" s="547"/>
      <c r="AQ150" s="547"/>
      <c r="AR150" s="546"/>
      <c r="AS150" s="638"/>
      <c r="AT150" s="546"/>
      <c r="AU150" s="547"/>
      <c r="AV150" s="547"/>
      <c r="AW150" s="546"/>
      <c r="AX150" s="638"/>
      <c r="AZ150" s="357" t="e">
        <f t="shared" si="33"/>
        <v>#N/A</v>
      </c>
      <c r="BA150" s="638"/>
    </row>
    <row r="151" spans="2:53">
      <c r="B151" s="643"/>
      <c r="C151" s="270">
        <v>5</v>
      </c>
      <c r="D151" s="196"/>
      <c r="E151" s="475"/>
      <c r="F151" s="196"/>
      <c r="G151" s="194"/>
      <c r="H151" s="697"/>
      <c r="I151" s="352" t="str">
        <f t="shared" si="30"/>
        <v>-</v>
      </c>
      <c r="J151" s="352" t="str">
        <f t="shared" si="31"/>
        <v>-</v>
      </c>
      <c r="K151" s="194" t="str">
        <f t="shared" si="32"/>
        <v>-</v>
      </c>
      <c r="L151" s="653"/>
      <c r="M151" s="195" t="e">
        <f>RANK(K151, K$147:$K$176)</f>
        <v>#VALUE!</v>
      </c>
      <c r="N151" s="637"/>
      <c r="O151" s="637"/>
      <c r="P151" s="546"/>
      <c r="Q151" s="547"/>
      <c r="R151" s="547"/>
      <c r="S151" s="546"/>
      <c r="T151" s="638"/>
      <c r="U151" s="546"/>
      <c r="V151" s="547"/>
      <c r="W151" s="547"/>
      <c r="X151" s="546"/>
      <c r="Y151" s="638"/>
      <c r="Z151" s="546"/>
      <c r="AA151" s="547"/>
      <c r="AB151" s="547"/>
      <c r="AC151" s="546"/>
      <c r="AD151" s="638"/>
      <c r="AE151" s="546"/>
      <c r="AF151" s="547"/>
      <c r="AG151" s="547"/>
      <c r="AH151" s="546"/>
      <c r="AI151" s="638"/>
      <c r="AJ151" s="546"/>
      <c r="AK151" s="547"/>
      <c r="AL151" s="547"/>
      <c r="AM151" s="546"/>
      <c r="AN151" s="638"/>
      <c r="AO151" s="546"/>
      <c r="AP151" s="547"/>
      <c r="AQ151" s="547"/>
      <c r="AR151" s="546"/>
      <c r="AS151" s="638"/>
      <c r="AT151" s="546"/>
      <c r="AU151" s="547"/>
      <c r="AV151" s="547"/>
      <c r="AW151" s="546"/>
      <c r="AX151" s="638"/>
      <c r="AZ151" s="357" t="e">
        <f t="shared" si="33"/>
        <v>#N/A</v>
      </c>
      <c r="BA151" s="638"/>
    </row>
    <row r="152" spans="2:53">
      <c r="B152" s="643"/>
      <c r="C152" s="270">
        <v>6</v>
      </c>
      <c r="D152" s="196"/>
      <c r="E152" s="475"/>
      <c r="F152" s="196"/>
      <c r="G152" s="194"/>
      <c r="H152" s="697"/>
      <c r="I152" s="352" t="str">
        <f t="shared" si="30"/>
        <v>-</v>
      </c>
      <c r="J152" s="352" t="str">
        <f t="shared" si="31"/>
        <v>-</v>
      </c>
      <c r="K152" s="194" t="str">
        <f t="shared" si="32"/>
        <v>-</v>
      </c>
      <c r="L152" s="653"/>
      <c r="M152" s="195" t="e">
        <f>RANK(K152, K$147:$K$176)</f>
        <v>#VALUE!</v>
      </c>
      <c r="N152" s="637"/>
      <c r="O152" s="637"/>
      <c r="P152" s="546"/>
      <c r="Q152" s="547"/>
      <c r="R152" s="547"/>
      <c r="S152" s="546"/>
      <c r="T152" s="638"/>
      <c r="U152" s="546"/>
      <c r="V152" s="547"/>
      <c r="W152" s="547"/>
      <c r="X152" s="546"/>
      <c r="Y152" s="638"/>
      <c r="Z152" s="546"/>
      <c r="AA152" s="547"/>
      <c r="AB152" s="547"/>
      <c r="AC152" s="546"/>
      <c r="AD152" s="638"/>
      <c r="AE152" s="546"/>
      <c r="AF152" s="547"/>
      <c r="AG152" s="547"/>
      <c r="AH152" s="546"/>
      <c r="AI152" s="638"/>
      <c r="AJ152" s="546"/>
      <c r="AK152" s="547"/>
      <c r="AL152" s="547"/>
      <c r="AM152" s="546"/>
      <c r="AN152" s="638"/>
      <c r="AO152" s="546"/>
      <c r="AP152" s="547"/>
      <c r="AQ152" s="547"/>
      <c r="AR152" s="546"/>
      <c r="AS152" s="638"/>
      <c r="AT152" s="546"/>
      <c r="AU152" s="547"/>
      <c r="AV152" s="547"/>
      <c r="AW152" s="546"/>
      <c r="AX152" s="638"/>
      <c r="AZ152" s="357" t="e">
        <f t="shared" si="33"/>
        <v>#N/A</v>
      </c>
      <c r="BA152" s="638"/>
    </row>
    <row r="153" spans="2:53">
      <c r="B153" s="643"/>
      <c r="C153" s="270">
        <v>7</v>
      </c>
      <c r="D153" s="196"/>
      <c r="E153" s="475"/>
      <c r="F153" s="196"/>
      <c r="G153" s="194"/>
      <c r="H153" s="697"/>
      <c r="I153" s="352" t="str">
        <f t="shared" si="30"/>
        <v>-</v>
      </c>
      <c r="J153" s="352" t="str">
        <f t="shared" si="31"/>
        <v>-</v>
      </c>
      <c r="K153" s="194" t="str">
        <f t="shared" si="32"/>
        <v>-</v>
      </c>
      <c r="L153" s="653"/>
      <c r="M153" s="195" t="e">
        <f>RANK(K153, K$147:$K$176)</f>
        <v>#VALUE!</v>
      </c>
      <c r="N153" s="637"/>
      <c r="O153" s="637"/>
      <c r="P153" s="546"/>
      <c r="Q153" s="547"/>
      <c r="R153" s="547"/>
      <c r="S153" s="546"/>
      <c r="T153" s="638"/>
      <c r="U153" s="546"/>
      <c r="V153" s="547"/>
      <c r="W153" s="547"/>
      <c r="X153" s="546"/>
      <c r="Y153" s="638"/>
      <c r="Z153" s="546"/>
      <c r="AA153" s="547"/>
      <c r="AB153" s="547"/>
      <c r="AC153" s="546"/>
      <c r="AD153" s="638"/>
      <c r="AE153" s="546"/>
      <c r="AF153" s="547"/>
      <c r="AG153" s="547"/>
      <c r="AH153" s="546"/>
      <c r="AI153" s="638"/>
      <c r="AJ153" s="546"/>
      <c r="AK153" s="547"/>
      <c r="AL153" s="547"/>
      <c r="AM153" s="546"/>
      <c r="AN153" s="638"/>
      <c r="AO153" s="546"/>
      <c r="AP153" s="547"/>
      <c r="AQ153" s="547"/>
      <c r="AR153" s="546"/>
      <c r="AS153" s="638"/>
      <c r="AT153" s="546"/>
      <c r="AU153" s="547"/>
      <c r="AV153" s="547"/>
      <c r="AW153" s="546"/>
      <c r="AX153" s="638"/>
      <c r="AZ153" s="357" t="e">
        <f t="shared" si="33"/>
        <v>#N/A</v>
      </c>
      <c r="BA153" s="638"/>
    </row>
    <row r="154" spans="2:53">
      <c r="B154" s="643"/>
      <c r="C154" s="270">
        <v>8</v>
      </c>
      <c r="D154" s="196"/>
      <c r="E154" s="475"/>
      <c r="F154" s="196"/>
      <c r="G154" s="194"/>
      <c r="H154" s="697"/>
      <c r="I154" s="352" t="str">
        <f t="shared" si="30"/>
        <v>-</v>
      </c>
      <c r="J154" s="352" t="str">
        <f t="shared" si="31"/>
        <v>-</v>
      </c>
      <c r="K154" s="194" t="str">
        <f t="shared" si="32"/>
        <v>-</v>
      </c>
      <c r="L154" s="653"/>
      <c r="M154" s="195" t="e">
        <f>RANK(K154, K$147:$K$176)</f>
        <v>#VALUE!</v>
      </c>
      <c r="N154" s="637"/>
      <c r="O154" s="637"/>
      <c r="P154" s="546"/>
      <c r="Q154" s="547"/>
      <c r="R154" s="547"/>
      <c r="S154" s="546"/>
      <c r="T154" s="638"/>
      <c r="U154" s="546"/>
      <c r="V154" s="547"/>
      <c r="W154" s="547"/>
      <c r="X154" s="546"/>
      <c r="Y154" s="638"/>
      <c r="Z154" s="546"/>
      <c r="AA154" s="547"/>
      <c r="AB154" s="547"/>
      <c r="AC154" s="546"/>
      <c r="AD154" s="638"/>
      <c r="AE154" s="546"/>
      <c r="AF154" s="547"/>
      <c r="AG154" s="547"/>
      <c r="AH154" s="546"/>
      <c r="AI154" s="638"/>
      <c r="AJ154" s="546"/>
      <c r="AK154" s="547"/>
      <c r="AL154" s="547"/>
      <c r="AM154" s="546"/>
      <c r="AN154" s="638"/>
      <c r="AO154" s="546"/>
      <c r="AP154" s="547"/>
      <c r="AQ154" s="547"/>
      <c r="AR154" s="546"/>
      <c r="AS154" s="638"/>
      <c r="AT154" s="546"/>
      <c r="AU154" s="547"/>
      <c r="AV154" s="547"/>
      <c r="AW154" s="546"/>
      <c r="AX154" s="638"/>
      <c r="AZ154" s="357" t="e">
        <f t="shared" si="33"/>
        <v>#N/A</v>
      </c>
      <c r="BA154" s="638"/>
    </row>
    <row r="155" spans="2:53">
      <c r="B155" s="643"/>
      <c r="C155" s="270">
        <v>9</v>
      </c>
      <c r="D155" s="196"/>
      <c r="E155" s="475"/>
      <c r="F155" s="196"/>
      <c r="G155" s="194"/>
      <c r="H155" s="697"/>
      <c r="I155" s="352" t="str">
        <f t="shared" si="30"/>
        <v>-</v>
      </c>
      <c r="J155" s="352" t="str">
        <f t="shared" si="31"/>
        <v>-</v>
      </c>
      <c r="K155" s="194" t="str">
        <f t="shared" si="32"/>
        <v>-</v>
      </c>
      <c r="L155" s="653"/>
      <c r="M155" s="195" t="e">
        <f>RANK(K155, K$147:$K$176)</f>
        <v>#VALUE!</v>
      </c>
      <c r="N155" s="637"/>
      <c r="O155" s="637"/>
      <c r="P155" s="546"/>
      <c r="Q155" s="547"/>
      <c r="R155" s="547"/>
      <c r="S155" s="546"/>
      <c r="T155" s="638"/>
      <c r="U155" s="546"/>
      <c r="V155" s="547"/>
      <c r="W155" s="547"/>
      <c r="X155" s="546"/>
      <c r="Y155" s="638"/>
      <c r="Z155" s="546"/>
      <c r="AA155" s="547"/>
      <c r="AB155" s="547"/>
      <c r="AC155" s="546"/>
      <c r="AD155" s="638"/>
      <c r="AE155" s="546"/>
      <c r="AF155" s="547"/>
      <c r="AG155" s="547"/>
      <c r="AH155" s="546"/>
      <c r="AI155" s="638"/>
      <c r="AJ155" s="546"/>
      <c r="AK155" s="547"/>
      <c r="AL155" s="547"/>
      <c r="AM155" s="546"/>
      <c r="AN155" s="638"/>
      <c r="AO155" s="546"/>
      <c r="AP155" s="547"/>
      <c r="AQ155" s="547"/>
      <c r="AR155" s="546"/>
      <c r="AS155" s="638"/>
      <c r="AT155" s="546"/>
      <c r="AU155" s="547"/>
      <c r="AV155" s="547"/>
      <c r="AW155" s="546"/>
      <c r="AX155" s="638"/>
      <c r="AZ155" s="357" t="e">
        <f t="shared" si="33"/>
        <v>#N/A</v>
      </c>
      <c r="BA155" s="638"/>
    </row>
    <row r="156" spans="2:53">
      <c r="B156" s="643"/>
      <c r="C156" s="270">
        <v>10</v>
      </c>
      <c r="D156" s="196"/>
      <c r="E156" s="475"/>
      <c r="F156" s="196"/>
      <c r="G156" s="194"/>
      <c r="H156" s="697"/>
      <c r="I156" s="352" t="str">
        <f t="shared" si="30"/>
        <v>-</v>
      </c>
      <c r="J156" s="352" t="str">
        <f t="shared" si="31"/>
        <v>-</v>
      </c>
      <c r="K156" s="194" t="str">
        <f t="shared" si="32"/>
        <v>-</v>
      </c>
      <c r="L156" s="653"/>
      <c r="M156" s="195" t="e">
        <f>RANK(K156, K$147:$K$176)</f>
        <v>#VALUE!</v>
      </c>
      <c r="N156" s="637"/>
      <c r="O156" s="637"/>
      <c r="P156" s="546"/>
      <c r="Q156" s="547"/>
      <c r="R156" s="547"/>
      <c r="S156" s="546"/>
      <c r="T156" s="638"/>
      <c r="U156" s="546"/>
      <c r="V156" s="547"/>
      <c r="W156" s="547"/>
      <c r="X156" s="546"/>
      <c r="Y156" s="638"/>
      <c r="Z156" s="546"/>
      <c r="AA156" s="547"/>
      <c r="AB156" s="547"/>
      <c r="AC156" s="546"/>
      <c r="AD156" s="638"/>
      <c r="AE156" s="546"/>
      <c r="AF156" s="547"/>
      <c r="AG156" s="547"/>
      <c r="AH156" s="546"/>
      <c r="AI156" s="638"/>
      <c r="AJ156" s="546"/>
      <c r="AK156" s="547"/>
      <c r="AL156" s="547"/>
      <c r="AM156" s="546"/>
      <c r="AN156" s="638"/>
      <c r="AO156" s="546"/>
      <c r="AP156" s="547"/>
      <c r="AQ156" s="547"/>
      <c r="AR156" s="546"/>
      <c r="AS156" s="638"/>
      <c r="AT156" s="546"/>
      <c r="AU156" s="547"/>
      <c r="AV156" s="547"/>
      <c r="AW156" s="546"/>
      <c r="AX156" s="638"/>
      <c r="AZ156" s="357" t="e">
        <f t="shared" si="33"/>
        <v>#N/A</v>
      </c>
      <c r="BA156" s="638"/>
    </row>
    <row r="157" spans="2:53">
      <c r="B157" s="643"/>
      <c r="C157" s="270">
        <v>11</v>
      </c>
      <c r="D157" s="196"/>
      <c r="E157" s="475"/>
      <c r="F157" s="196"/>
      <c r="G157" s="194"/>
      <c r="H157" s="697"/>
      <c r="I157" s="352" t="str">
        <f t="shared" si="30"/>
        <v>-</v>
      </c>
      <c r="J157" s="352" t="str">
        <f t="shared" si="31"/>
        <v>-</v>
      </c>
      <c r="K157" s="194" t="str">
        <f t="shared" si="32"/>
        <v>-</v>
      </c>
      <c r="L157" s="653"/>
      <c r="M157" s="195" t="e">
        <f>RANK(K157, K$147:$K$176)</f>
        <v>#VALUE!</v>
      </c>
      <c r="N157" s="637"/>
      <c r="O157" s="637"/>
      <c r="P157" s="546"/>
      <c r="Q157" s="547"/>
      <c r="R157" s="547"/>
      <c r="S157" s="546"/>
      <c r="T157" s="638"/>
      <c r="U157" s="546"/>
      <c r="V157" s="547"/>
      <c r="W157" s="547"/>
      <c r="X157" s="546"/>
      <c r="Y157" s="638"/>
      <c r="Z157" s="546"/>
      <c r="AA157" s="547"/>
      <c r="AB157" s="547"/>
      <c r="AC157" s="546"/>
      <c r="AD157" s="638"/>
      <c r="AE157" s="546"/>
      <c r="AF157" s="547"/>
      <c r="AG157" s="547"/>
      <c r="AH157" s="546"/>
      <c r="AI157" s="638"/>
      <c r="AJ157" s="546"/>
      <c r="AK157" s="547"/>
      <c r="AL157" s="547"/>
      <c r="AM157" s="546"/>
      <c r="AN157" s="638"/>
      <c r="AO157" s="546"/>
      <c r="AP157" s="547"/>
      <c r="AQ157" s="547"/>
      <c r="AR157" s="546"/>
      <c r="AS157" s="638"/>
      <c r="AT157" s="546"/>
      <c r="AU157" s="547"/>
      <c r="AV157" s="547"/>
      <c r="AW157" s="546"/>
      <c r="AX157" s="638"/>
      <c r="AZ157" s="357" t="e">
        <f t="shared" si="33"/>
        <v>#N/A</v>
      </c>
      <c r="BA157" s="638"/>
    </row>
    <row r="158" spans="2:53">
      <c r="B158" s="643"/>
      <c r="C158" s="270">
        <v>12</v>
      </c>
      <c r="D158" s="196"/>
      <c r="E158" s="475"/>
      <c r="F158" s="196"/>
      <c r="G158" s="194"/>
      <c r="H158" s="697"/>
      <c r="I158" s="352" t="str">
        <f t="shared" si="30"/>
        <v>-</v>
      </c>
      <c r="J158" s="352" t="str">
        <f t="shared" si="31"/>
        <v>-</v>
      </c>
      <c r="K158" s="194" t="str">
        <f t="shared" si="32"/>
        <v>-</v>
      </c>
      <c r="L158" s="653"/>
      <c r="M158" s="195" t="e">
        <f>RANK(K158, K$147:$K$176)</f>
        <v>#VALUE!</v>
      </c>
      <c r="N158" s="637"/>
      <c r="O158" s="637"/>
      <c r="P158" s="546"/>
      <c r="Q158" s="547"/>
      <c r="R158" s="547"/>
      <c r="S158" s="546"/>
      <c r="T158" s="638"/>
      <c r="U158" s="546"/>
      <c r="V158" s="547"/>
      <c r="W158" s="547"/>
      <c r="X158" s="546"/>
      <c r="Y158" s="638"/>
      <c r="Z158" s="546"/>
      <c r="AA158" s="547"/>
      <c r="AB158" s="547"/>
      <c r="AC158" s="546"/>
      <c r="AD158" s="638"/>
      <c r="AE158" s="546"/>
      <c r="AF158" s="547"/>
      <c r="AG158" s="547"/>
      <c r="AH158" s="546"/>
      <c r="AI158" s="638"/>
      <c r="AJ158" s="546"/>
      <c r="AK158" s="547"/>
      <c r="AL158" s="547"/>
      <c r="AM158" s="546"/>
      <c r="AN158" s="638"/>
      <c r="AO158" s="546"/>
      <c r="AP158" s="547"/>
      <c r="AQ158" s="547"/>
      <c r="AR158" s="546"/>
      <c r="AS158" s="638"/>
      <c r="AT158" s="546"/>
      <c r="AU158" s="547"/>
      <c r="AV158" s="547"/>
      <c r="AW158" s="546"/>
      <c r="AX158" s="638"/>
      <c r="AZ158" s="357" t="e">
        <f t="shared" si="33"/>
        <v>#N/A</v>
      </c>
      <c r="BA158" s="638"/>
    </row>
    <row r="159" spans="2:53">
      <c r="B159" s="643"/>
      <c r="C159" s="270">
        <v>13</v>
      </c>
      <c r="D159" s="196"/>
      <c r="E159" s="475"/>
      <c r="F159" s="196"/>
      <c r="G159" s="194"/>
      <c r="H159" s="697"/>
      <c r="I159" s="352" t="str">
        <f t="shared" si="30"/>
        <v>-</v>
      </c>
      <c r="J159" s="352" t="str">
        <f t="shared" si="31"/>
        <v>-</v>
      </c>
      <c r="K159" s="194" t="str">
        <f t="shared" si="32"/>
        <v>-</v>
      </c>
      <c r="L159" s="653"/>
      <c r="M159" s="195" t="e">
        <f>RANK(K159, K$147:$K$176)</f>
        <v>#VALUE!</v>
      </c>
      <c r="N159" s="637"/>
      <c r="O159" s="637"/>
      <c r="P159" s="546"/>
      <c r="Q159" s="547"/>
      <c r="R159" s="547"/>
      <c r="S159" s="546"/>
      <c r="T159" s="638"/>
      <c r="U159" s="546"/>
      <c r="V159" s="547"/>
      <c r="W159" s="547"/>
      <c r="X159" s="546"/>
      <c r="Y159" s="638"/>
      <c r="Z159" s="546"/>
      <c r="AA159" s="547"/>
      <c r="AB159" s="547"/>
      <c r="AC159" s="546"/>
      <c r="AD159" s="638"/>
      <c r="AE159" s="546"/>
      <c r="AF159" s="547"/>
      <c r="AG159" s="547"/>
      <c r="AH159" s="546"/>
      <c r="AI159" s="638"/>
      <c r="AJ159" s="546"/>
      <c r="AK159" s="547"/>
      <c r="AL159" s="547"/>
      <c r="AM159" s="546"/>
      <c r="AN159" s="638"/>
      <c r="AO159" s="546"/>
      <c r="AP159" s="547"/>
      <c r="AQ159" s="547"/>
      <c r="AR159" s="546"/>
      <c r="AS159" s="638"/>
      <c r="AT159" s="546"/>
      <c r="AU159" s="547"/>
      <c r="AV159" s="547"/>
      <c r="AW159" s="546"/>
      <c r="AX159" s="638"/>
      <c r="AZ159" s="357" t="e">
        <f t="shared" si="33"/>
        <v>#N/A</v>
      </c>
      <c r="BA159" s="638"/>
    </row>
    <row r="160" spans="2:53">
      <c r="B160" s="643"/>
      <c r="C160" s="270">
        <v>14</v>
      </c>
      <c r="D160" s="196"/>
      <c r="E160" s="475"/>
      <c r="F160" s="196"/>
      <c r="G160" s="194"/>
      <c r="H160" s="697"/>
      <c r="I160" s="352" t="str">
        <f t="shared" si="30"/>
        <v>-</v>
      </c>
      <c r="J160" s="352" t="str">
        <f t="shared" si="31"/>
        <v>-</v>
      </c>
      <c r="K160" s="194" t="str">
        <f t="shared" si="32"/>
        <v>-</v>
      </c>
      <c r="L160" s="653"/>
      <c r="M160" s="195" t="e">
        <f>RANK(K160, K$147:$K$176)</f>
        <v>#VALUE!</v>
      </c>
      <c r="N160" s="637"/>
      <c r="O160" s="637"/>
      <c r="P160" s="546"/>
      <c r="Q160" s="547"/>
      <c r="R160" s="547"/>
      <c r="S160" s="546"/>
      <c r="T160" s="638"/>
      <c r="U160" s="546"/>
      <c r="V160" s="547"/>
      <c r="W160" s="547"/>
      <c r="X160" s="546"/>
      <c r="Y160" s="638"/>
      <c r="Z160" s="546"/>
      <c r="AA160" s="547"/>
      <c r="AB160" s="547"/>
      <c r="AC160" s="546"/>
      <c r="AD160" s="638"/>
      <c r="AE160" s="546"/>
      <c r="AF160" s="547"/>
      <c r="AG160" s="547"/>
      <c r="AH160" s="546"/>
      <c r="AI160" s="638"/>
      <c r="AJ160" s="546"/>
      <c r="AK160" s="547"/>
      <c r="AL160" s="547"/>
      <c r="AM160" s="546"/>
      <c r="AN160" s="638"/>
      <c r="AO160" s="546"/>
      <c r="AP160" s="547"/>
      <c r="AQ160" s="547"/>
      <c r="AR160" s="546"/>
      <c r="AS160" s="638"/>
      <c r="AT160" s="546"/>
      <c r="AU160" s="547"/>
      <c r="AV160" s="547"/>
      <c r="AW160" s="546"/>
      <c r="AX160" s="638"/>
      <c r="AZ160" s="357" t="e">
        <f t="shared" si="33"/>
        <v>#N/A</v>
      </c>
      <c r="BA160" s="638"/>
    </row>
    <row r="161" spans="2:53">
      <c r="B161" s="643"/>
      <c r="C161" s="270">
        <v>15</v>
      </c>
      <c r="D161" s="196"/>
      <c r="E161" s="475"/>
      <c r="F161" s="196"/>
      <c r="G161" s="194"/>
      <c r="H161" s="697"/>
      <c r="I161" s="352" t="str">
        <f t="shared" si="30"/>
        <v>-</v>
      </c>
      <c r="J161" s="352" t="str">
        <f t="shared" si="31"/>
        <v>-</v>
      </c>
      <c r="K161" s="194" t="str">
        <f t="shared" si="32"/>
        <v>-</v>
      </c>
      <c r="L161" s="653"/>
      <c r="M161" s="193" t="e">
        <f>RANK(K161, K$147:$K$176)</f>
        <v>#VALUE!</v>
      </c>
      <c r="N161" s="637"/>
      <c r="O161" s="637"/>
      <c r="P161" s="546"/>
      <c r="Q161" s="547"/>
      <c r="R161" s="547"/>
      <c r="S161" s="546"/>
      <c r="T161" s="638"/>
      <c r="U161" s="546"/>
      <c r="V161" s="547"/>
      <c r="W161" s="547"/>
      <c r="X161" s="546"/>
      <c r="Y161" s="638"/>
      <c r="Z161" s="546"/>
      <c r="AA161" s="547"/>
      <c r="AB161" s="547"/>
      <c r="AC161" s="546"/>
      <c r="AD161" s="638"/>
      <c r="AE161" s="546"/>
      <c r="AF161" s="547"/>
      <c r="AG161" s="547"/>
      <c r="AH161" s="546"/>
      <c r="AI161" s="638"/>
      <c r="AJ161" s="546"/>
      <c r="AK161" s="547"/>
      <c r="AL161" s="547"/>
      <c r="AM161" s="546"/>
      <c r="AN161" s="638"/>
      <c r="AO161" s="546"/>
      <c r="AP161" s="547"/>
      <c r="AQ161" s="547"/>
      <c r="AR161" s="546"/>
      <c r="AS161" s="638"/>
      <c r="AT161" s="546"/>
      <c r="AU161" s="547"/>
      <c r="AV161" s="547"/>
      <c r="AW161" s="546"/>
      <c r="AX161" s="638"/>
      <c r="AZ161" s="357" t="e">
        <f t="shared" si="33"/>
        <v>#N/A</v>
      </c>
      <c r="BA161" s="638"/>
    </row>
    <row r="162" spans="2:53">
      <c r="B162" s="643"/>
      <c r="C162" s="270">
        <v>16</v>
      </c>
      <c r="D162" s="196"/>
      <c r="E162" s="475"/>
      <c r="F162" s="196"/>
      <c r="G162" s="194"/>
      <c r="H162" s="697"/>
      <c r="I162" s="352" t="str">
        <f t="shared" si="30"/>
        <v>-</v>
      </c>
      <c r="J162" s="352" t="str">
        <f t="shared" si="31"/>
        <v>-</v>
      </c>
      <c r="K162" s="194" t="str">
        <f t="shared" si="32"/>
        <v>-</v>
      </c>
      <c r="L162" s="653"/>
      <c r="M162" s="193" t="e">
        <f>RANK(K162, K$147:$K$176)</f>
        <v>#VALUE!</v>
      </c>
      <c r="N162" s="637"/>
      <c r="O162" s="637"/>
      <c r="P162" s="546"/>
      <c r="Q162" s="547"/>
      <c r="R162" s="547"/>
      <c r="S162" s="546"/>
      <c r="T162" s="638"/>
      <c r="U162" s="546"/>
      <c r="V162" s="547"/>
      <c r="W162" s="547"/>
      <c r="X162" s="546"/>
      <c r="Y162" s="638"/>
      <c r="Z162" s="546"/>
      <c r="AA162" s="547"/>
      <c r="AB162" s="547"/>
      <c r="AC162" s="546"/>
      <c r="AD162" s="638"/>
      <c r="AE162" s="546"/>
      <c r="AF162" s="547"/>
      <c r="AG162" s="547"/>
      <c r="AH162" s="546"/>
      <c r="AI162" s="638"/>
      <c r="AJ162" s="546"/>
      <c r="AK162" s="547"/>
      <c r="AL162" s="547"/>
      <c r="AM162" s="546"/>
      <c r="AN162" s="638"/>
      <c r="AO162" s="546"/>
      <c r="AP162" s="547"/>
      <c r="AQ162" s="547"/>
      <c r="AR162" s="546"/>
      <c r="AS162" s="638"/>
      <c r="AT162" s="546"/>
      <c r="AU162" s="547"/>
      <c r="AV162" s="547"/>
      <c r="AW162" s="546"/>
      <c r="AX162" s="638"/>
      <c r="AZ162" s="357" t="e">
        <f t="shared" si="33"/>
        <v>#N/A</v>
      </c>
      <c r="BA162" s="638"/>
    </row>
    <row r="163" spans="2:53">
      <c r="B163" s="643"/>
      <c r="C163" s="270">
        <v>17</v>
      </c>
      <c r="D163" s="196"/>
      <c r="E163" s="475"/>
      <c r="F163" s="196"/>
      <c r="G163" s="194"/>
      <c r="H163" s="697"/>
      <c r="I163" s="352" t="str">
        <f t="shared" si="30"/>
        <v>-</v>
      </c>
      <c r="J163" s="352" t="str">
        <f t="shared" si="31"/>
        <v>-</v>
      </c>
      <c r="K163" s="194" t="str">
        <f t="shared" si="32"/>
        <v>-</v>
      </c>
      <c r="L163" s="653"/>
      <c r="M163" s="193" t="e">
        <f>RANK(K163, K$147:$K$176)</f>
        <v>#VALUE!</v>
      </c>
      <c r="N163" s="637"/>
      <c r="O163" s="637"/>
      <c r="P163" s="546"/>
      <c r="Q163" s="547"/>
      <c r="R163" s="547"/>
      <c r="S163" s="546"/>
      <c r="T163" s="638"/>
      <c r="U163" s="546"/>
      <c r="V163" s="547"/>
      <c r="W163" s="547"/>
      <c r="X163" s="546"/>
      <c r="Y163" s="638"/>
      <c r="Z163" s="546"/>
      <c r="AA163" s="547"/>
      <c r="AB163" s="547"/>
      <c r="AC163" s="546"/>
      <c r="AD163" s="638"/>
      <c r="AE163" s="546"/>
      <c r="AF163" s="547"/>
      <c r="AG163" s="547"/>
      <c r="AH163" s="546"/>
      <c r="AI163" s="638"/>
      <c r="AJ163" s="546"/>
      <c r="AK163" s="547"/>
      <c r="AL163" s="547"/>
      <c r="AM163" s="546"/>
      <c r="AN163" s="638"/>
      <c r="AO163" s="546"/>
      <c r="AP163" s="547"/>
      <c r="AQ163" s="547"/>
      <c r="AR163" s="546"/>
      <c r="AS163" s="638"/>
      <c r="AT163" s="546"/>
      <c r="AU163" s="547"/>
      <c r="AV163" s="547"/>
      <c r="AW163" s="546"/>
      <c r="AX163" s="638"/>
      <c r="AZ163" s="357" t="e">
        <f t="shared" si="33"/>
        <v>#N/A</v>
      </c>
      <c r="BA163" s="638"/>
    </row>
    <row r="164" spans="2:53">
      <c r="B164" s="643"/>
      <c r="C164" s="270">
        <v>18</v>
      </c>
      <c r="D164" s="196"/>
      <c r="E164" s="475"/>
      <c r="F164" s="196"/>
      <c r="G164" s="194"/>
      <c r="H164" s="697"/>
      <c r="I164" s="352" t="str">
        <f t="shared" si="30"/>
        <v>-</v>
      </c>
      <c r="J164" s="352" t="str">
        <f t="shared" si="31"/>
        <v>-</v>
      </c>
      <c r="K164" s="194" t="str">
        <f t="shared" si="32"/>
        <v>-</v>
      </c>
      <c r="L164" s="653"/>
      <c r="M164" s="193" t="e">
        <f>RANK(K164, K$147:$K$176)</f>
        <v>#VALUE!</v>
      </c>
      <c r="N164" s="637"/>
      <c r="O164" s="637"/>
      <c r="P164" s="546"/>
      <c r="Q164" s="547"/>
      <c r="R164" s="547"/>
      <c r="S164" s="546"/>
      <c r="T164" s="638"/>
      <c r="U164" s="546"/>
      <c r="V164" s="547"/>
      <c r="W164" s="547"/>
      <c r="X164" s="546"/>
      <c r="Y164" s="638"/>
      <c r="Z164" s="546"/>
      <c r="AA164" s="547"/>
      <c r="AB164" s="547"/>
      <c r="AC164" s="546"/>
      <c r="AD164" s="638"/>
      <c r="AE164" s="546"/>
      <c r="AF164" s="547"/>
      <c r="AG164" s="547"/>
      <c r="AH164" s="546"/>
      <c r="AI164" s="638"/>
      <c r="AJ164" s="546"/>
      <c r="AK164" s="547"/>
      <c r="AL164" s="547"/>
      <c r="AM164" s="546"/>
      <c r="AN164" s="638"/>
      <c r="AO164" s="546"/>
      <c r="AP164" s="547"/>
      <c r="AQ164" s="547"/>
      <c r="AR164" s="546"/>
      <c r="AS164" s="638"/>
      <c r="AT164" s="546"/>
      <c r="AU164" s="547"/>
      <c r="AV164" s="547"/>
      <c r="AW164" s="546"/>
      <c r="AX164" s="638"/>
      <c r="AZ164" s="357" t="e">
        <f t="shared" si="33"/>
        <v>#N/A</v>
      </c>
      <c r="BA164" s="638"/>
    </row>
    <row r="165" spans="2:53">
      <c r="B165" s="643"/>
      <c r="C165" s="270">
        <v>19</v>
      </c>
      <c r="D165" s="196"/>
      <c r="E165" s="475"/>
      <c r="F165" s="196"/>
      <c r="G165" s="194"/>
      <c r="H165" s="697"/>
      <c r="I165" s="352" t="str">
        <f t="shared" si="30"/>
        <v>-</v>
      </c>
      <c r="J165" s="352" t="str">
        <f t="shared" si="31"/>
        <v>-</v>
      </c>
      <c r="K165" s="194" t="str">
        <f t="shared" si="32"/>
        <v>-</v>
      </c>
      <c r="L165" s="653"/>
      <c r="M165" s="193" t="e">
        <f>RANK(K165, K$147:$K$176)</f>
        <v>#VALUE!</v>
      </c>
      <c r="N165" s="637"/>
      <c r="O165" s="637"/>
      <c r="P165" s="546"/>
      <c r="Q165" s="547"/>
      <c r="R165" s="547"/>
      <c r="S165" s="546"/>
      <c r="T165" s="638"/>
      <c r="U165" s="546"/>
      <c r="V165" s="547"/>
      <c r="W165" s="547"/>
      <c r="X165" s="546"/>
      <c r="Y165" s="638"/>
      <c r="Z165" s="546"/>
      <c r="AA165" s="547"/>
      <c r="AB165" s="547"/>
      <c r="AC165" s="546"/>
      <c r="AD165" s="638"/>
      <c r="AE165" s="546"/>
      <c r="AF165" s="547"/>
      <c r="AG165" s="547"/>
      <c r="AH165" s="546"/>
      <c r="AI165" s="638"/>
      <c r="AJ165" s="546"/>
      <c r="AK165" s="547"/>
      <c r="AL165" s="547"/>
      <c r="AM165" s="546"/>
      <c r="AN165" s="638"/>
      <c r="AO165" s="546"/>
      <c r="AP165" s="547"/>
      <c r="AQ165" s="547"/>
      <c r="AR165" s="546"/>
      <c r="AS165" s="638"/>
      <c r="AT165" s="546"/>
      <c r="AU165" s="547"/>
      <c r="AV165" s="547"/>
      <c r="AW165" s="546"/>
      <c r="AX165" s="638"/>
      <c r="AZ165" s="357" t="e">
        <f t="shared" si="33"/>
        <v>#N/A</v>
      </c>
      <c r="BA165" s="638"/>
    </row>
    <row r="166" spans="2:53">
      <c r="B166" s="643"/>
      <c r="C166" s="270">
        <v>20</v>
      </c>
      <c r="D166" s="196"/>
      <c r="E166" s="475"/>
      <c r="F166" s="196"/>
      <c r="G166" s="194"/>
      <c r="H166" s="697"/>
      <c r="I166" s="352" t="str">
        <f t="shared" si="30"/>
        <v>-</v>
      </c>
      <c r="J166" s="352" t="str">
        <f t="shared" si="31"/>
        <v>-</v>
      </c>
      <c r="K166" s="194" t="str">
        <f t="shared" si="32"/>
        <v>-</v>
      </c>
      <c r="L166" s="653"/>
      <c r="M166" s="193" t="e">
        <f>RANK(K166, K$147:$K$176)</f>
        <v>#VALUE!</v>
      </c>
      <c r="N166" s="637"/>
      <c r="O166" s="637"/>
      <c r="P166" s="546"/>
      <c r="Q166" s="547"/>
      <c r="R166" s="547"/>
      <c r="S166" s="546"/>
      <c r="T166" s="638"/>
      <c r="U166" s="546"/>
      <c r="V166" s="547"/>
      <c r="W166" s="547"/>
      <c r="X166" s="546"/>
      <c r="Y166" s="638"/>
      <c r="Z166" s="546"/>
      <c r="AA166" s="547"/>
      <c r="AB166" s="547"/>
      <c r="AC166" s="546"/>
      <c r="AD166" s="638"/>
      <c r="AE166" s="546"/>
      <c r="AF166" s="547"/>
      <c r="AG166" s="547"/>
      <c r="AH166" s="546"/>
      <c r="AI166" s="638"/>
      <c r="AJ166" s="546"/>
      <c r="AK166" s="547"/>
      <c r="AL166" s="547"/>
      <c r="AM166" s="546"/>
      <c r="AN166" s="638"/>
      <c r="AO166" s="546"/>
      <c r="AP166" s="547"/>
      <c r="AQ166" s="547"/>
      <c r="AR166" s="546"/>
      <c r="AS166" s="638"/>
      <c r="AT166" s="546"/>
      <c r="AU166" s="547"/>
      <c r="AV166" s="547"/>
      <c r="AW166" s="546"/>
      <c r="AX166" s="638"/>
      <c r="AZ166" s="357" t="e">
        <f t="shared" si="33"/>
        <v>#N/A</v>
      </c>
      <c r="BA166" s="638"/>
    </row>
    <row r="167" spans="2:53">
      <c r="B167" s="643"/>
      <c r="C167" s="270">
        <v>21</v>
      </c>
      <c r="D167" s="196"/>
      <c r="E167" s="475"/>
      <c r="F167" s="196"/>
      <c r="G167" s="194"/>
      <c r="H167" s="697"/>
      <c r="I167" s="352" t="str">
        <f t="shared" si="30"/>
        <v>-</v>
      </c>
      <c r="J167" s="352" t="str">
        <f t="shared" si="31"/>
        <v>-</v>
      </c>
      <c r="K167" s="194" t="str">
        <f t="shared" si="32"/>
        <v>-</v>
      </c>
      <c r="L167" s="653"/>
      <c r="M167" s="193" t="e">
        <f>RANK(K167, K$147:$K$176)</f>
        <v>#VALUE!</v>
      </c>
      <c r="N167" s="637"/>
      <c r="O167" s="637"/>
      <c r="P167" s="546"/>
      <c r="Q167" s="547"/>
      <c r="R167" s="547"/>
      <c r="S167" s="546"/>
      <c r="T167" s="638"/>
      <c r="U167" s="546"/>
      <c r="V167" s="547"/>
      <c r="W167" s="547"/>
      <c r="X167" s="546"/>
      <c r="Y167" s="638"/>
      <c r="Z167" s="546"/>
      <c r="AA167" s="547"/>
      <c r="AB167" s="547"/>
      <c r="AC167" s="546"/>
      <c r="AD167" s="638"/>
      <c r="AE167" s="546"/>
      <c r="AF167" s="547"/>
      <c r="AG167" s="547"/>
      <c r="AH167" s="546"/>
      <c r="AI167" s="638"/>
      <c r="AJ167" s="546"/>
      <c r="AK167" s="547"/>
      <c r="AL167" s="547"/>
      <c r="AM167" s="546"/>
      <c r="AN167" s="638"/>
      <c r="AO167" s="546"/>
      <c r="AP167" s="547"/>
      <c r="AQ167" s="547"/>
      <c r="AR167" s="546"/>
      <c r="AS167" s="638"/>
      <c r="AT167" s="546"/>
      <c r="AU167" s="547"/>
      <c r="AV167" s="547"/>
      <c r="AW167" s="546"/>
      <c r="AX167" s="638"/>
      <c r="AZ167" s="357" t="e">
        <f t="shared" si="33"/>
        <v>#N/A</v>
      </c>
      <c r="BA167" s="638"/>
    </row>
    <row r="168" spans="2:53">
      <c r="B168" s="643"/>
      <c r="C168" s="270">
        <v>22</v>
      </c>
      <c r="D168" s="196"/>
      <c r="E168" s="475"/>
      <c r="F168" s="196"/>
      <c r="G168" s="194"/>
      <c r="H168" s="697"/>
      <c r="I168" s="352" t="str">
        <f t="shared" si="30"/>
        <v>-</v>
      </c>
      <c r="J168" s="352" t="str">
        <f t="shared" si="31"/>
        <v>-</v>
      </c>
      <c r="K168" s="194" t="str">
        <f t="shared" si="32"/>
        <v>-</v>
      </c>
      <c r="L168" s="653"/>
      <c r="M168" s="193" t="e">
        <f>RANK(K168, K$147:$K$176)</f>
        <v>#VALUE!</v>
      </c>
      <c r="N168" s="637"/>
      <c r="O168" s="637"/>
      <c r="P168" s="546"/>
      <c r="Q168" s="547"/>
      <c r="R168" s="547"/>
      <c r="S168" s="546"/>
      <c r="T168" s="638"/>
      <c r="U168" s="546"/>
      <c r="V168" s="547"/>
      <c r="W168" s="547"/>
      <c r="X168" s="546"/>
      <c r="Y168" s="638"/>
      <c r="Z168" s="546"/>
      <c r="AA168" s="547"/>
      <c r="AB168" s="547"/>
      <c r="AC168" s="546"/>
      <c r="AD168" s="638"/>
      <c r="AE168" s="546"/>
      <c r="AF168" s="547"/>
      <c r="AG168" s="547"/>
      <c r="AH168" s="546"/>
      <c r="AI168" s="638"/>
      <c r="AJ168" s="546"/>
      <c r="AK168" s="547"/>
      <c r="AL168" s="547"/>
      <c r="AM168" s="546"/>
      <c r="AN168" s="638"/>
      <c r="AO168" s="546"/>
      <c r="AP168" s="547"/>
      <c r="AQ168" s="547"/>
      <c r="AR168" s="546"/>
      <c r="AS168" s="638"/>
      <c r="AT168" s="546"/>
      <c r="AU168" s="547"/>
      <c r="AV168" s="547"/>
      <c r="AW168" s="546"/>
      <c r="AX168" s="638"/>
      <c r="AZ168" s="357" t="e">
        <f t="shared" si="33"/>
        <v>#N/A</v>
      </c>
      <c r="BA168" s="638"/>
    </row>
    <row r="169" spans="2:53">
      <c r="B169" s="643"/>
      <c r="C169" s="270">
        <v>23</v>
      </c>
      <c r="D169" s="196"/>
      <c r="E169" s="475"/>
      <c r="F169" s="196"/>
      <c r="G169" s="194"/>
      <c r="H169" s="697"/>
      <c r="I169" s="352" t="str">
        <f t="shared" si="30"/>
        <v>-</v>
      </c>
      <c r="J169" s="352" t="str">
        <f t="shared" si="31"/>
        <v>-</v>
      </c>
      <c r="K169" s="194" t="str">
        <f t="shared" si="32"/>
        <v>-</v>
      </c>
      <c r="L169" s="653"/>
      <c r="M169" s="193" t="e">
        <f>RANK(K169, K$147:$K$176)</f>
        <v>#VALUE!</v>
      </c>
      <c r="N169" s="637"/>
      <c r="O169" s="637"/>
      <c r="P169" s="546"/>
      <c r="Q169" s="547"/>
      <c r="R169" s="547"/>
      <c r="S169" s="546"/>
      <c r="T169" s="638"/>
      <c r="U169" s="546"/>
      <c r="V169" s="547"/>
      <c r="W169" s="547"/>
      <c r="X169" s="546"/>
      <c r="Y169" s="638"/>
      <c r="Z169" s="546"/>
      <c r="AA169" s="547"/>
      <c r="AB169" s="547"/>
      <c r="AC169" s="546"/>
      <c r="AD169" s="638"/>
      <c r="AE169" s="546"/>
      <c r="AF169" s="547"/>
      <c r="AG169" s="547"/>
      <c r="AH169" s="546"/>
      <c r="AI169" s="638"/>
      <c r="AJ169" s="546"/>
      <c r="AK169" s="547"/>
      <c r="AL169" s="547"/>
      <c r="AM169" s="546"/>
      <c r="AN169" s="638"/>
      <c r="AO169" s="546"/>
      <c r="AP169" s="547"/>
      <c r="AQ169" s="547"/>
      <c r="AR169" s="546"/>
      <c r="AS169" s="638"/>
      <c r="AT169" s="546"/>
      <c r="AU169" s="547"/>
      <c r="AV169" s="547"/>
      <c r="AW169" s="546"/>
      <c r="AX169" s="638"/>
      <c r="AZ169" s="357" t="e">
        <f t="shared" si="33"/>
        <v>#N/A</v>
      </c>
      <c r="BA169" s="638"/>
    </row>
    <row r="170" spans="2:53">
      <c r="B170" s="643"/>
      <c r="C170" s="270">
        <v>24</v>
      </c>
      <c r="D170" s="196"/>
      <c r="E170" s="475"/>
      <c r="F170" s="196"/>
      <c r="G170" s="194"/>
      <c r="H170" s="697"/>
      <c r="I170" s="352" t="str">
        <f t="shared" si="30"/>
        <v>-</v>
      </c>
      <c r="J170" s="352" t="str">
        <f t="shared" si="31"/>
        <v>-</v>
      </c>
      <c r="K170" s="194" t="str">
        <f t="shared" si="32"/>
        <v>-</v>
      </c>
      <c r="L170" s="653"/>
      <c r="M170" s="193" t="e">
        <f>RANK(K170, K$147:$K$176)</f>
        <v>#VALUE!</v>
      </c>
      <c r="N170" s="637"/>
      <c r="O170" s="637"/>
      <c r="P170" s="546"/>
      <c r="Q170" s="547"/>
      <c r="R170" s="547"/>
      <c r="S170" s="546"/>
      <c r="T170" s="638"/>
      <c r="U170" s="546"/>
      <c r="V170" s="547"/>
      <c r="W170" s="547"/>
      <c r="X170" s="546"/>
      <c r="Y170" s="638"/>
      <c r="Z170" s="546"/>
      <c r="AA170" s="547"/>
      <c r="AB170" s="547"/>
      <c r="AC170" s="546"/>
      <c r="AD170" s="638"/>
      <c r="AE170" s="546"/>
      <c r="AF170" s="547"/>
      <c r="AG170" s="547"/>
      <c r="AH170" s="546"/>
      <c r="AI170" s="638"/>
      <c r="AJ170" s="546"/>
      <c r="AK170" s="547"/>
      <c r="AL170" s="547"/>
      <c r="AM170" s="546"/>
      <c r="AN170" s="638"/>
      <c r="AO170" s="546"/>
      <c r="AP170" s="547"/>
      <c r="AQ170" s="547"/>
      <c r="AR170" s="546"/>
      <c r="AS170" s="638"/>
      <c r="AT170" s="546"/>
      <c r="AU170" s="547"/>
      <c r="AV170" s="547"/>
      <c r="AW170" s="546"/>
      <c r="AX170" s="638"/>
      <c r="AZ170" s="357" t="e">
        <f t="shared" si="33"/>
        <v>#N/A</v>
      </c>
      <c r="BA170" s="638"/>
    </row>
    <row r="171" spans="2:53">
      <c r="B171" s="643"/>
      <c r="C171" s="270">
        <v>25</v>
      </c>
      <c r="D171" s="196"/>
      <c r="E171" s="475"/>
      <c r="F171" s="196"/>
      <c r="G171" s="194"/>
      <c r="H171" s="697"/>
      <c r="I171" s="352" t="str">
        <f t="shared" si="30"/>
        <v>-</v>
      </c>
      <c r="J171" s="352" t="str">
        <f t="shared" si="31"/>
        <v>-</v>
      </c>
      <c r="K171" s="194" t="str">
        <f t="shared" si="32"/>
        <v>-</v>
      </c>
      <c r="L171" s="653"/>
      <c r="M171" s="193" t="e">
        <f>RANK(K171, K$147:$K$176)</f>
        <v>#VALUE!</v>
      </c>
      <c r="N171" s="637"/>
      <c r="O171" s="637"/>
      <c r="P171" s="546"/>
      <c r="Q171" s="547"/>
      <c r="R171" s="547"/>
      <c r="S171" s="546"/>
      <c r="T171" s="638"/>
      <c r="U171" s="546"/>
      <c r="V171" s="547"/>
      <c r="W171" s="547"/>
      <c r="X171" s="546"/>
      <c r="Y171" s="638"/>
      <c r="Z171" s="546"/>
      <c r="AA171" s="547"/>
      <c r="AB171" s="547"/>
      <c r="AC171" s="546"/>
      <c r="AD171" s="638"/>
      <c r="AE171" s="546"/>
      <c r="AF171" s="547"/>
      <c r="AG171" s="547"/>
      <c r="AH171" s="546"/>
      <c r="AI171" s="638"/>
      <c r="AJ171" s="546"/>
      <c r="AK171" s="547"/>
      <c r="AL171" s="547"/>
      <c r="AM171" s="546"/>
      <c r="AN171" s="638"/>
      <c r="AO171" s="546"/>
      <c r="AP171" s="547"/>
      <c r="AQ171" s="547"/>
      <c r="AR171" s="546"/>
      <c r="AS171" s="638"/>
      <c r="AT171" s="546"/>
      <c r="AU171" s="547"/>
      <c r="AV171" s="547"/>
      <c r="AW171" s="546"/>
      <c r="AX171" s="638"/>
      <c r="AZ171" s="357" t="e">
        <f t="shared" si="33"/>
        <v>#N/A</v>
      </c>
      <c r="BA171" s="638"/>
    </row>
    <row r="172" spans="2:53">
      <c r="B172" s="643"/>
      <c r="C172" s="270">
        <v>26</v>
      </c>
      <c r="D172" s="196"/>
      <c r="E172" s="475"/>
      <c r="F172" s="196"/>
      <c r="G172" s="194"/>
      <c r="H172" s="697"/>
      <c r="I172" s="352" t="str">
        <f t="shared" si="30"/>
        <v>-</v>
      </c>
      <c r="J172" s="352" t="str">
        <f t="shared" si="31"/>
        <v>-</v>
      </c>
      <c r="K172" s="194" t="str">
        <f t="shared" si="32"/>
        <v>-</v>
      </c>
      <c r="L172" s="653"/>
      <c r="M172" s="193" t="e">
        <f>RANK(K172, K$147:$K$176)</f>
        <v>#VALUE!</v>
      </c>
      <c r="N172" s="637"/>
      <c r="O172" s="637"/>
      <c r="P172" s="546"/>
      <c r="Q172" s="547"/>
      <c r="R172" s="547"/>
      <c r="S172" s="546"/>
      <c r="T172" s="638"/>
      <c r="U172" s="546"/>
      <c r="V172" s="547"/>
      <c r="W172" s="547"/>
      <c r="X172" s="546"/>
      <c r="Y172" s="638"/>
      <c r="Z172" s="546"/>
      <c r="AA172" s="547"/>
      <c r="AB172" s="547"/>
      <c r="AC172" s="546"/>
      <c r="AD172" s="638"/>
      <c r="AE172" s="546"/>
      <c r="AF172" s="547"/>
      <c r="AG172" s="547"/>
      <c r="AH172" s="546"/>
      <c r="AI172" s="638"/>
      <c r="AJ172" s="546"/>
      <c r="AK172" s="547"/>
      <c r="AL172" s="547"/>
      <c r="AM172" s="546"/>
      <c r="AN172" s="638"/>
      <c r="AO172" s="546"/>
      <c r="AP172" s="547"/>
      <c r="AQ172" s="547"/>
      <c r="AR172" s="546"/>
      <c r="AS172" s="638"/>
      <c r="AT172" s="546"/>
      <c r="AU172" s="547"/>
      <c r="AV172" s="547"/>
      <c r="AW172" s="546"/>
      <c r="AX172" s="638"/>
      <c r="AZ172" s="357" t="e">
        <f t="shared" si="33"/>
        <v>#N/A</v>
      </c>
      <c r="BA172" s="638"/>
    </row>
    <row r="173" spans="2:53">
      <c r="B173" s="643"/>
      <c r="C173" s="270">
        <v>27</v>
      </c>
      <c r="D173" s="196"/>
      <c r="E173" s="475"/>
      <c r="F173" s="196"/>
      <c r="G173" s="194"/>
      <c r="H173" s="697"/>
      <c r="I173" s="352" t="str">
        <f t="shared" si="30"/>
        <v>-</v>
      </c>
      <c r="J173" s="352" t="str">
        <f t="shared" si="31"/>
        <v>-</v>
      </c>
      <c r="K173" s="194" t="str">
        <f t="shared" si="32"/>
        <v>-</v>
      </c>
      <c r="L173" s="653"/>
      <c r="M173" s="193" t="e">
        <f>RANK(K173, K$147:$K$176)</f>
        <v>#VALUE!</v>
      </c>
      <c r="N173" s="637"/>
      <c r="O173" s="637"/>
      <c r="P173" s="546"/>
      <c r="Q173" s="547"/>
      <c r="R173" s="547"/>
      <c r="S173" s="546"/>
      <c r="T173" s="638"/>
      <c r="U173" s="546"/>
      <c r="V173" s="547"/>
      <c r="W173" s="547"/>
      <c r="X173" s="546"/>
      <c r="Y173" s="638"/>
      <c r="Z173" s="546"/>
      <c r="AA173" s="547"/>
      <c r="AB173" s="547"/>
      <c r="AC173" s="546"/>
      <c r="AD173" s="638"/>
      <c r="AE173" s="546"/>
      <c r="AF173" s="547"/>
      <c r="AG173" s="547"/>
      <c r="AH173" s="546"/>
      <c r="AI173" s="638"/>
      <c r="AJ173" s="546"/>
      <c r="AK173" s="547"/>
      <c r="AL173" s="547"/>
      <c r="AM173" s="546"/>
      <c r="AN173" s="638"/>
      <c r="AO173" s="546"/>
      <c r="AP173" s="547"/>
      <c r="AQ173" s="547"/>
      <c r="AR173" s="546"/>
      <c r="AS173" s="638"/>
      <c r="AT173" s="546"/>
      <c r="AU173" s="547"/>
      <c r="AV173" s="547"/>
      <c r="AW173" s="546"/>
      <c r="AX173" s="638"/>
      <c r="AZ173" s="357" t="e">
        <f t="shared" si="33"/>
        <v>#N/A</v>
      </c>
      <c r="BA173" s="638"/>
    </row>
    <row r="174" spans="2:53">
      <c r="B174" s="643"/>
      <c r="C174" s="270">
        <v>28</v>
      </c>
      <c r="D174" s="196"/>
      <c r="E174" s="475"/>
      <c r="F174" s="196"/>
      <c r="G174" s="194"/>
      <c r="H174" s="697"/>
      <c r="I174" s="352" t="str">
        <f t="shared" si="30"/>
        <v>-</v>
      </c>
      <c r="J174" s="352" t="str">
        <f t="shared" si="31"/>
        <v>-</v>
      </c>
      <c r="K174" s="194" t="str">
        <f t="shared" si="32"/>
        <v>-</v>
      </c>
      <c r="L174" s="653"/>
      <c r="M174" s="193" t="e">
        <f>RANK(K174, K$147:$K$176)</f>
        <v>#VALUE!</v>
      </c>
      <c r="N174" s="637"/>
      <c r="O174" s="637"/>
      <c r="P174" s="546"/>
      <c r="Q174" s="547"/>
      <c r="R174" s="547"/>
      <c r="S174" s="546"/>
      <c r="T174" s="638"/>
      <c r="U174" s="546"/>
      <c r="V174" s="547"/>
      <c r="W174" s="547"/>
      <c r="X174" s="546"/>
      <c r="Y174" s="638"/>
      <c r="Z174" s="546"/>
      <c r="AA174" s="547"/>
      <c r="AB174" s="547"/>
      <c r="AC174" s="546"/>
      <c r="AD174" s="638"/>
      <c r="AE174" s="546"/>
      <c r="AF174" s="547"/>
      <c r="AG174" s="547"/>
      <c r="AH174" s="546"/>
      <c r="AI174" s="638"/>
      <c r="AJ174" s="546"/>
      <c r="AK174" s="547"/>
      <c r="AL174" s="547"/>
      <c r="AM174" s="546"/>
      <c r="AN174" s="638"/>
      <c r="AO174" s="546"/>
      <c r="AP174" s="547"/>
      <c r="AQ174" s="547"/>
      <c r="AR174" s="546"/>
      <c r="AS174" s="638"/>
      <c r="AT174" s="546"/>
      <c r="AU174" s="547"/>
      <c r="AV174" s="547"/>
      <c r="AW174" s="546"/>
      <c r="AX174" s="638"/>
      <c r="AZ174" s="357" t="e">
        <f t="shared" si="33"/>
        <v>#N/A</v>
      </c>
      <c r="BA174" s="638"/>
    </row>
    <row r="175" spans="2:53">
      <c r="B175" s="643"/>
      <c r="C175" s="270">
        <v>29</v>
      </c>
      <c r="D175" s="196"/>
      <c r="E175" s="475"/>
      <c r="F175" s="196"/>
      <c r="G175" s="194"/>
      <c r="H175" s="697"/>
      <c r="I175" s="352" t="str">
        <f t="shared" si="30"/>
        <v>-</v>
      </c>
      <c r="J175" s="352" t="str">
        <f t="shared" si="31"/>
        <v>-</v>
      </c>
      <c r="K175" s="194" t="str">
        <f t="shared" si="32"/>
        <v>-</v>
      </c>
      <c r="L175" s="653"/>
      <c r="M175" s="193" t="e">
        <f>RANK(K175, K$147:$K$176)</f>
        <v>#VALUE!</v>
      </c>
      <c r="N175" s="637"/>
      <c r="O175" s="637"/>
      <c r="P175" s="546"/>
      <c r="Q175" s="547"/>
      <c r="R175" s="547"/>
      <c r="S175" s="546"/>
      <c r="T175" s="638"/>
      <c r="U175" s="546"/>
      <c r="V175" s="547"/>
      <c r="W175" s="547"/>
      <c r="X175" s="546"/>
      <c r="Y175" s="638"/>
      <c r="Z175" s="546"/>
      <c r="AA175" s="547"/>
      <c r="AB175" s="547"/>
      <c r="AC175" s="546"/>
      <c r="AD175" s="638"/>
      <c r="AE175" s="546"/>
      <c r="AF175" s="547"/>
      <c r="AG175" s="547"/>
      <c r="AH175" s="546"/>
      <c r="AI175" s="638"/>
      <c r="AJ175" s="546"/>
      <c r="AK175" s="547"/>
      <c r="AL175" s="547"/>
      <c r="AM175" s="546"/>
      <c r="AN175" s="638"/>
      <c r="AO175" s="546"/>
      <c r="AP175" s="547"/>
      <c r="AQ175" s="547"/>
      <c r="AR175" s="546"/>
      <c r="AS175" s="638"/>
      <c r="AT175" s="546"/>
      <c r="AU175" s="547"/>
      <c r="AV175" s="547"/>
      <c r="AW175" s="546"/>
      <c r="AX175" s="638"/>
      <c r="AZ175" s="357" t="e">
        <f t="shared" si="33"/>
        <v>#N/A</v>
      </c>
      <c r="BA175" s="638"/>
    </row>
    <row r="176" spans="2:53">
      <c r="B176" s="643"/>
      <c r="C176" s="270">
        <v>30</v>
      </c>
      <c r="D176" s="196"/>
      <c r="E176" s="475"/>
      <c r="F176" s="196"/>
      <c r="G176" s="194"/>
      <c r="H176" s="698"/>
      <c r="I176" s="352" t="str">
        <f t="shared" si="30"/>
        <v>-</v>
      </c>
      <c r="J176" s="352" t="str">
        <f t="shared" si="31"/>
        <v>-</v>
      </c>
      <c r="K176" s="194" t="str">
        <f t="shared" si="32"/>
        <v>-</v>
      </c>
      <c r="L176" s="654"/>
      <c r="M176" s="193" t="e">
        <f>RANK(K176, K$147:$K$176)</f>
        <v>#VALUE!</v>
      </c>
      <c r="N176" s="637"/>
      <c r="O176" s="637"/>
      <c r="P176" s="546"/>
      <c r="Q176" s="547"/>
      <c r="R176" s="547"/>
      <c r="S176" s="546"/>
      <c r="T176" s="638"/>
      <c r="U176" s="546"/>
      <c r="V176" s="547"/>
      <c r="W176" s="547"/>
      <c r="X176" s="546"/>
      <c r="Y176" s="638"/>
      <c r="Z176" s="546"/>
      <c r="AA176" s="547"/>
      <c r="AB176" s="547"/>
      <c r="AC176" s="546"/>
      <c r="AD176" s="638"/>
      <c r="AE176" s="546"/>
      <c r="AF176" s="547"/>
      <c r="AG176" s="547"/>
      <c r="AH176" s="546"/>
      <c r="AI176" s="638"/>
      <c r="AJ176" s="546"/>
      <c r="AK176" s="547"/>
      <c r="AL176" s="547"/>
      <c r="AM176" s="546"/>
      <c r="AN176" s="638"/>
      <c r="AO176" s="546"/>
      <c r="AP176" s="547"/>
      <c r="AQ176" s="547"/>
      <c r="AR176" s="546"/>
      <c r="AS176" s="638"/>
      <c r="AT176" s="546"/>
      <c r="AU176" s="547"/>
      <c r="AV176" s="547"/>
      <c r="AW176" s="546"/>
      <c r="AX176" s="638"/>
      <c r="AZ176" s="357" t="e">
        <f t="shared" si="33"/>
        <v>#N/A</v>
      </c>
      <c r="BA176" s="638"/>
    </row>
    <row r="177" spans="2:53" ht="15.75">
      <c r="B177" s="665" t="s">
        <v>162</v>
      </c>
      <c r="C177" s="666"/>
      <c r="D177" s="666"/>
      <c r="E177" s="666"/>
      <c r="F177" s="666"/>
      <c r="G177" s="666"/>
      <c r="H177" s="667"/>
      <c r="I177" s="202"/>
      <c r="J177" s="202"/>
      <c r="K177" s="202"/>
      <c r="L177" s="202"/>
      <c r="M177" s="201"/>
      <c r="N177" s="639" t="s">
        <v>156</v>
      </c>
      <c r="O177" s="639" t="s">
        <v>105</v>
      </c>
      <c r="P177" s="637" t="s">
        <v>557</v>
      </c>
      <c r="Q177" s="710" t="s">
        <v>557</v>
      </c>
      <c r="R177" s="710" t="s">
        <v>557</v>
      </c>
      <c r="S177" s="643"/>
      <c r="T177" s="638"/>
      <c r="U177" s="655" t="s">
        <v>557</v>
      </c>
      <c r="V177" s="711" t="s">
        <v>557</v>
      </c>
      <c r="W177" s="711" t="s">
        <v>557</v>
      </c>
      <c r="X177" s="656"/>
      <c r="Y177" s="712"/>
      <c r="Z177" s="655" t="s">
        <v>557</v>
      </c>
      <c r="AA177" s="711" t="s">
        <v>557</v>
      </c>
      <c r="AB177" s="711" t="s">
        <v>557</v>
      </c>
      <c r="AC177" s="656"/>
      <c r="AD177" s="712"/>
      <c r="AE177" s="655" t="s">
        <v>557</v>
      </c>
      <c r="AF177" s="711" t="s">
        <v>557</v>
      </c>
      <c r="AG177" s="711" t="s">
        <v>557</v>
      </c>
      <c r="AH177" s="656"/>
      <c r="AI177" s="712"/>
      <c r="AJ177" s="655" t="s">
        <v>557</v>
      </c>
      <c r="AK177" s="711" t="s">
        <v>557</v>
      </c>
      <c r="AL177" s="711" t="s">
        <v>557</v>
      </c>
      <c r="AM177" s="656"/>
      <c r="AN177" s="712"/>
      <c r="AO177" s="655" t="s">
        <v>557</v>
      </c>
      <c r="AP177" s="711" t="s">
        <v>557</v>
      </c>
      <c r="AQ177" s="711" t="s">
        <v>557</v>
      </c>
      <c r="AR177" s="656"/>
      <c r="AS177" s="712"/>
      <c r="AT177" s="655" t="s">
        <v>557</v>
      </c>
      <c r="AU177" s="711" t="s">
        <v>557</v>
      </c>
      <c r="AV177" s="711" t="s">
        <v>557</v>
      </c>
      <c r="AW177" s="656"/>
      <c r="AX177" s="712"/>
    </row>
    <row r="178" spans="2:53" ht="15.75">
      <c r="B178" s="668"/>
      <c r="C178" s="668"/>
      <c r="D178" s="668"/>
      <c r="E178" s="668"/>
      <c r="F178" s="668"/>
      <c r="G178" s="668"/>
      <c r="H178" s="668"/>
      <c r="I178" s="199"/>
      <c r="J178" s="199"/>
      <c r="K178" s="199"/>
      <c r="L178" s="199"/>
      <c r="M178" s="200"/>
      <c r="N178" s="641"/>
      <c r="O178" s="641"/>
      <c r="P178" s="637" t="s">
        <v>557</v>
      </c>
      <c r="Q178" s="710" t="s">
        <v>557</v>
      </c>
      <c r="R178" s="710" t="s">
        <v>557</v>
      </c>
      <c r="S178" s="643"/>
      <c r="T178" s="638"/>
      <c r="U178" s="637" t="s">
        <v>557</v>
      </c>
      <c r="V178" s="710" t="s">
        <v>557</v>
      </c>
      <c r="W178" s="710" t="s">
        <v>557</v>
      </c>
      <c r="X178" s="643"/>
      <c r="Y178" s="638"/>
      <c r="Z178" s="637" t="s">
        <v>557</v>
      </c>
      <c r="AA178" s="710" t="s">
        <v>557</v>
      </c>
      <c r="AB178" s="710" t="s">
        <v>557</v>
      </c>
      <c r="AC178" s="643"/>
      <c r="AD178" s="638"/>
      <c r="AE178" s="637" t="s">
        <v>557</v>
      </c>
      <c r="AF178" s="710" t="s">
        <v>557</v>
      </c>
      <c r="AG178" s="710" t="s">
        <v>557</v>
      </c>
      <c r="AH178" s="643"/>
      <c r="AI178" s="638"/>
      <c r="AJ178" s="637" t="s">
        <v>557</v>
      </c>
      <c r="AK178" s="710" t="s">
        <v>557</v>
      </c>
      <c r="AL178" s="710" t="s">
        <v>557</v>
      </c>
      <c r="AM178" s="643"/>
      <c r="AN178" s="638"/>
      <c r="AO178" s="637" t="s">
        <v>557</v>
      </c>
      <c r="AP178" s="710" t="s">
        <v>557</v>
      </c>
      <c r="AQ178" s="710" t="s">
        <v>557</v>
      </c>
      <c r="AR178" s="643"/>
      <c r="AS178" s="638"/>
      <c r="AT178" s="637" t="s">
        <v>557</v>
      </c>
      <c r="AU178" s="710" t="s">
        <v>557</v>
      </c>
      <c r="AV178" s="710" t="s">
        <v>557</v>
      </c>
      <c r="AW178" s="643"/>
      <c r="AX178" s="638"/>
    </row>
    <row r="179" spans="2:53">
      <c r="B179" s="637" t="s">
        <v>154</v>
      </c>
      <c r="C179" s="637" t="s">
        <v>370</v>
      </c>
      <c r="D179" s="637"/>
      <c r="E179" s="637" t="s">
        <v>361</v>
      </c>
      <c r="F179" s="637"/>
      <c r="G179" s="637"/>
      <c r="H179" s="669" t="s">
        <v>357</v>
      </c>
      <c r="I179" s="684" t="s">
        <v>362</v>
      </c>
      <c r="J179" s="684"/>
      <c r="K179" s="684"/>
      <c r="L179" s="685" t="s">
        <v>357</v>
      </c>
      <c r="M179" s="673" t="s">
        <v>358</v>
      </c>
      <c r="N179" s="637"/>
      <c r="O179" s="637" t="s">
        <v>363</v>
      </c>
      <c r="P179" s="655" t="s">
        <v>359</v>
      </c>
      <c r="Q179" s="656"/>
      <c r="R179" s="656"/>
      <c r="S179" s="657"/>
      <c r="T179" s="637" t="s">
        <v>357</v>
      </c>
      <c r="U179" s="655" t="s">
        <v>359</v>
      </c>
      <c r="V179" s="656"/>
      <c r="W179" s="656"/>
      <c r="X179" s="657"/>
      <c r="Y179" s="637" t="s">
        <v>357</v>
      </c>
      <c r="Z179" s="655" t="s">
        <v>359</v>
      </c>
      <c r="AA179" s="656"/>
      <c r="AB179" s="656"/>
      <c r="AC179" s="657"/>
      <c r="AD179" s="637" t="s">
        <v>357</v>
      </c>
      <c r="AE179" s="655" t="s">
        <v>359</v>
      </c>
      <c r="AF179" s="656"/>
      <c r="AG179" s="656"/>
      <c r="AH179" s="657"/>
      <c r="AI179" s="637" t="s">
        <v>357</v>
      </c>
      <c r="AJ179" s="655" t="s">
        <v>359</v>
      </c>
      <c r="AK179" s="656"/>
      <c r="AL179" s="656"/>
      <c r="AM179" s="657"/>
      <c r="AN179" s="637" t="s">
        <v>357</v>
      </c>
      <c r="AO179" s="655" t="s">
        <v>359</v>
      </c>
      <c r="AP179" s="656"/>
      <c r="AQ179" s="656"/>
      <c r="AR179" s="657"/>
      <c r="AS179" s="637" t="s">
        <v>357</v>
      </c>
      <c r="AT179" s="655" t="s">
        <v>359</v>
      </c>
      <c r="AU179" s="656"/>
      <c r="AV179" s="656"/>
      <c r="AW179" s="657"/>
      <c r="AX179" s="637" t="s">
        <v>357</v>
      </c>
      <c r="BA179" s="637" t="s">
        <v>357</v>
      </c>
    </row>
    <row r="180" spans="2:53">
      <c r="B180" s="637"/>
      <c r="C180" s="637"/>
      <c r="D180" s="637"/>
      <c r="E180" s="637" t="s">
        <v>364</v>
      </c>
      <c r="F180" s="637"/>
      <c r="G180" s="637"/>
      <c r="H180" s="670"/>
      <c r="I180" s="684" t="s">
        <v>364</v>
      </c>
      <c r="J180" s="684"/>
      <c r="K180" s="684"/>
      <c r="L180" s="686"/>
      <c r="M180" s="674"/>
      <c r="N180" s="637"/>
      <c r="O180" s="637"/>
      <c r="P180" s="655" t="s">
        <v>365</v>
      </c>
      <c r="Q180" s="656"/>
      <c r="R180" s="656"/>
      <c r="S180" s="657"/>
      <c r="T180" s="637"/>
      <c r="U180" s="655" t="s">
        <v>365</v>
      </c>
      <c r="V180" s="656"/>
      <c r="W180" s="656"/>
      <c r="X180" s="657"/>
      <c r="Y180" s="637"/>
      <c r="Z180" s="655" t="s">
        <v>365</v>
      </c>
      <c r="AA180" s="656"/>
      <c r="AB180" s="656"/>
      <c r="AC180" s="657"/>
      <c r="AD180" s="637"/>
      <c r="AE180" s="655" t="s">
        <v>365</v>
      </c>
      <c r="AF180" s="656"/>
      <c r="AG180" s="656"/>
      <c r="AH180" s="657"/>
      <c r="AI180" s="637"/>
      <c r="AJ180" s="655" t="s">
        <v>365</v>
      </c>
      <c r="AK180" s="656"/>
      <c r="AL180" s="656"/>
      <c r="AM180" s="657"/>
      <c r="AN180" s="637"/>
      <c r="AO180" s="655" t="s">
        <v>365</v>
      </c>
      <c r="AP180" s="656"/>
      <c r="AQ180" s="656"/>
      <c r="AR180" s="657"/>
      <c r="AS180" s="637"/>
      <c r="AT180" s="655" t="s">
        <v>365</v>
      </c>
      <c r="AU180" s="656"/>
      <c r="AV180" s="656"/>
      <c r="AW180" s="657"/>
      <c r="AX180" s="637"/>
      <c r="BA180" s="637"/>
    </row>
    <row r="181" spans="2:53">
      <c r="B181" s="637"/>
      <c r="C181" s="637"/>
      <c r="D181" s="637"/>
      <c r="E181" s="296" t="s">
        <v>366</v>
      </c>
      <c r="F181" s="296" t="s">
        <v>367</v>
      </c>
      <c r="G181" s="296" t="s">
        <v>368</v>
      </c>
      <c r="H181" s="671"/>
      <c r="I181" s="297" t="s">
        <v>366</v>
      </c>
      <c r="J181" s="297" t="s">
        <v>367</v>
      </c>
      <c r="K181" s="297" t="s">
        <v>368</v>
      </c>
      <c r="L181" s="687"/>
      <c r="M181" s="675"/>
      <c r="N181" s="637"/>
      <c r="O181" s="637"/>
      <c r="P181" s="296" t="s">
        <v>366</v>
      </c>
      <c r="Q181" s="296" t="s">
        <v>367</v>
      </c>
      <c r="R181" s="296" t="s">
        <v>368</v>
      </c>
      <c r="S181" s="296" t="s">
        <v>358</v>
      </c>
      <c r="T181" s="637"/>
      <c r="U181" s="296" t="s">
        <v>366</v>
      </c>
      <c r="V181" s="296" t="s">
        <v>367</v>
      </c>
      <c r="W181" s="296" t="s">
        <v>368</v>
      </c>
      <c r="X181" s="296" t="s">
        <v>358</v>
      </c>
      <c r="Y181" s="637"/>
      <c r="Z181" s="296" t="s">
        <v>366</v>
      </c>
      <c r="AA181" s="296" t="s">
        <v>367</v>
      </c>
      <c r="AB181" s="296" t="s">
        <v>368</v>
      </c>
      <c r="AC181" s="296" t="s">
        <v>358</v>
      </c>
      <c r="AD181" s="637"/>
      <c r="AE181" s="296" t="s">
        <v>366</v>
      </c>
      <c r="AF181" s="296" t="s">
        <v>367</v>
      </c>
      <c r="AG181" s="296" t="s">
        <v>368</v>
      </c>
      <c r="AH181" s="296" t="s">
        <v>358</v>
      </c>
      <c r="AI181" s="637"/>
      <c r="AJ181" s="296" t="s">
        <v>366</v>
      </c>
      <c r="AK181" s="296" t="s">
        <v>367</v>
      </c>
      <c r="AL181" s="296" t="s">
        <v>368</v>
      </c>
      <c r="AM181" s="296" t="s">
        <v>358</v>
      </c>
      <c r="AN181" s="637"/>
      <c r="AO181" s="296" t="s">
        <v>366</v>
      </c>
      <c r="AP181" s="296" t="s">
        <v>367</v>
      </c>
      <c r="AQ181" s="296" t="s">
        <v>368</v>
      </c>
      <c r="AR181" s="296" t="s">
        <v>358</v>
      </c>
      <c r="AS181" s="637"/>
      <c r="AT181" s="296" t="s">
        <v>366</v>
      </c>
      <c r="AU181" s="296" t="s">
        <v>367</v>
      </c>
      <c r="AV181" s="296" t="s">
        <v>368</v>
      </c>
      <c r="AW181" s="296" t="s">
        <v>358</v>
      </c>
      <c r="AX181" s="637"/>
      <c r="AZ181" s="356" t="s">
        <v>358</v>
      </c>
      <c r="BA181" s="637"/>
    </row>
    <row r="182" spans="2:53">
      <c r="B182" s="637" t="s">
        <v>134</v>
      </c>
      <c r="C182" s="295">
        <v>1</v>
      </c>
      <c r="D182" s="196"/>
      <c r="E182" s="475"/>
      <c r="F182" s="196"/>
      <c r="G182" s="194"/>
      <c r="H182" s="696" t="e">
        <f>AVERAGE(G182:G211)</f>
        <v>#DIV/0!</v>
      </c>
      <c r="I182" s="352" t="str">
        <f>IFERROR(AVERAGE(P182,U182,Z182,AE182,AJ182,AO182,AT182),"-")</f>
        <v>-</v>
      </c>
      <c r="J182" s="352" t="str">
        <f>IFERROR(AVERAGE(Q182,V182,AA182,AF182,AK182,AP182,AU182),"-")</f>
        <v>-</v>
      </c>
      <c r="K182" s="194" t="str">
        <f>IFERROR(AVERAGE(R182,W182,AB182,AG182,AL182,AQ182,AV182),"-")</f>
        <v>-</v>
      </c>
      <c r="L182" s="652" t="str">
        <f>IFERROR(AVERAGE(K182:K211),"-")</f>
        <v>-</v>
      </c>
      <c r="M182" s="195" t="e">
        <f>RANK(K182, K$147:$K$176)</f>
        <v>#VALUE!</v>
      </c>
      <c r="N182" s="637"/>
      <c r="O182" s="637"/>
      <c r="P182" s="468"/>
      <c r="Q182" s="470"/>
      <c r="R182" s="470"/>
      <c r="S182" s="468"/>
      <c r="T182" s="638"/>
      <c r="U182" s="468"/>
      <c r="V182" s="470"/>
      <c r="W182" s="470"/>
      <c r="X182" s="468"/>
      <c r="Y182" s="638"/>
      <c r="Z182" s="468"/>
      <c r="AA182" s="470"/>
      <c r="AB182" s="470"/>
      <c r="AC182" s="468"/>
      <c r="AD182" s="638"/>
      <c r="AE182" s="468"/>
      <c r="AF182" s="470"/>
      <c r="AG182" s="470"/>
      <c r="AH182" s="468"/>
      <c r="AI182" s="638"/>
      <c r="AJ182" s="468"/>
      <c r="AK182" s="470"/>
      <c r="AL182" s="470"/>
      <c r="AM182" s="468"/>
      <c r="AN182" s="638"/>
      <c r="AO182" s="468"/>
      <c r="AP182" s="470"/>
      <c r="AQ182" s="470"/>
      <c r="AR182" s="468"/>
      <c r="AS182" s="638"/>
      <c r="AT182" s="468"/>
      <c r="AU182" s="470"/>
      <c r="AV182" s="470"/>
      <c r="AW182" s="468"/>
      <c r="AX182" s="638"/>
      <c r="AZ182" s="357" t="e">
        <f>RANK(AY182, AY$182:AY$211)</f>
        <v>#N/A</v>
      </c>
      <c r="BA182" s="638" t="e">
        <f>AVERAGE(AY182:AY211)</f>
        <v>#DIV/0!</v>
      </c>
    </row>
    <row r="183" spans="2:53">
      <c r="B183" s="643"/>
      <c r="C183" s="295">
        <v>2</v>
      </c>
      <c r="D183" s="196"/>
      <c r="E183" s="475"/>
      <c r="F183" s="196"/>
      <c r="G183" s="194"/>
      <c r="H183" s="697"/>
      <c r="I183" s="352" t="str">
        <f t="shared" ref="I183:I211" si="34">IFERROR(AVERAGE(P183,U183,Z183,AE183,AJ183,AO183,AT183),"-")</f>
        <v>-</v>
      </c>
      <c r="J183" s="352" t="str">
        <f t="shared" ref="J183:J211" si="35">IFERROR(AVERAGE(Q183,V183,AA183,AF183,AK183,AP183,AU183),"-")</f>
        <v>-</v>
      </c>
      <c r="K183" s="194" t="str">
        <f t="shared" ref="K183:K211" si="36">IFERROR(AVERAGE(R183,W183,AB183,AG183,AL183,AQ183,AV183),"-")</f>
        <v>-</v>
      </c>
      <c r="L183" s="653"/>
      <c r="M183" s="195" t="e">
        <f>RANK(K183, K$147:$K$176)</f>
        <v>#VALUE!</v>
      </c>
      <c r="N183" s="637"/>
      <c r="O183" s="637"/>
      <c r="P183" s="468"/>
      <c r="Q183" s="470"/>
      <c r="R183" s="470"/>
      <c r="S183" s="468"/>
      <c r="T183" s="638"/>
      <c r="U183" s="468"/>
      <c r="V183" s="470"/>
      <c r="W183" s="470"/>
      <c r="X183" s="468"/>
      <c r="Y183" s="638"/>
      <c r="Z183" s="468"/>
      <c r="AA183" s="470"/>
      <c r="AB183" s="470"/>
      <c r="AC183" s="468"/>
      <c r="AD183" s="638"/>
      <c r="AE183" s="468"/>
      <c r="AF183" s="470"/>
      <c r="AG183" s="470"/>
      <c r="AH183" s="468"/>
      <c r="AI183" s="638"/>
      <c r="AJ183" s="468"/>
      <c r="AK183" s="470"/>
      <c r="AL183" s="470"/>
      <c r="AM183" s="468"/>
      <c r="AN183" s="638"/>
      <c r="AO183" s="468"/>
      <c r="AP183" s="470"/>
      <c r="AQ183" s="470"/>
      <c r="AR183" s="468"/>
      <c r="AS183" s="638"/>
      <c r="AT183" s="468"/>
      <c r="AU183" s="470"/>
      <c r="AV183" s="470"/>
      <c r="AW183" s="468"/>
      <c r="AX183" s="638"/>
      <c r="AZ183" s="357" t="e">
        <f t="shared" ref="AZ183:AZ211" si="37">RANK(AY183, AY$182:AY$211)</f>
        <v>#N/A</v>
      </c>
      <c r="BA183" s="638"/>
    </row>
    <row r="184" spans="2:53">
      <c r="B184" s="643"/>
      <c r="C184" s="295">
        <v>3</v>
      </c>
      <c r="D184" s="196"/>
      <c r="E184" s="475"/>
      <c r="F184" s="196"/>
      <c r="G184" s="194"/>
      <c r="H184" s="697"/>
      <c r="I184" s="352" t="str">
        <f t="shared" si="34"/>
        <v>-</v>
      </c>
      <c r="J184" s="352" t="str">
        <f t="shared" si="35"/>
        <v>-</v>
      </c>
      <c r="K184" s="194" t="str">
        <f t="shared" si="36"/>
        <v>-</v>
      </c>
      <c r="L184" s="653"/>
      <c r="M184" s="195" t="e">
        <f>RANK(K184, K$147:$K$176)</f>
        <v>#VALUE!</v>
      </c>
      <c r="N184" s="637"/>
      <c r="O184" s="637"/>
      <c r="P184" s="468"/>
      <c r="Q184" s="470"/>
      <c r="R184" s="470"/>
      <c r="S184" s="468"/>
      <c r="T184" s="638"/>
      <c r="U184" s="468"/>
      <c r="V184" s="470"/>
      <c r="W184" s="470"/>
      <c r="X184" s="468"/>
      <c r="Y184" s="638"/>
      <c r="Z184" s="468"/>
      <c r="AA184" s="470"/>
      <c r="AB184" s="470"/>
      <c r="AC184" s="468"/>
      <c r="AD184" s="638"/>
      <c r="AE184" s="468"/>
      <c r="AF184" s="470"/>
      <c r="AG184" s="470"/>
      <c r="AH184" s="468"/>
      <c r="AI184" s="638"/>
      <c r="AJ184" s="468"/>
      <c r="AK184" s="470"/>
      <c r="AL184" s="470"/>
      <c r="AM184" s="468"/>
      <c r="AN184" s="638"/>
      <c r="AO184" s="468"/>
      <c r="AP184" s="470"/>
      <c r="AQ184" s="470"/>
      <c r="AR184" s="468"/>
      <c r="AS184" s="638"/>
      <c r="AT184" s="468"/>
      <c r="AU184" s="470"/>
      <c r="AV184" s="470"/>
      <c r="AW184" s="468"/>
      <c r="AX184" s="638"/>
      <c r="AZ184" s="357" t="e">
        <f t="shared" si="37"/>
        <v>#N/A</v>
      </c>
      <c r="BA184" s="638"/>
    </row>
    <row r="185" spans="2:53">
      <c r="B185" s="643"/>
      <c r="C185" s="295">
        <v>4</v>
      </c>
      <c r="D185" s="196"/>
      <c r="E185" s="475"/>
      <c r="F185" s="196"/>
      <c r="G185" s="194"/>
      <c r="H185" s="697"/>
      <c r="I185" s="352" t="str">
        <f t="shared" si="34"/>
        <v>-</v>
      </c>
      <c r="J185" s="352" t="str">
        <f t="shared" si="35"/>
        <v>-</v>
      </c>
      <c r="K185" s="194" t="str">
        <f t="shared" si="36"/>
        <v>-</v>
      </c>
      <c r="L185" s="653"/>
      <c r="M185" s="195" t="e">
        <f>RANK(K185, K$147:$K$176)</f>
        <v>#VALUE!</v>
      </c>
      <c r="N185" s="637"/>
      <c r="O185" s="637"/>
      <c r="P185" s="468"/>
      <c r="Q185" s="470"/>
      <c r="R185" s="470"/>
      <c r="S185" s="468"/>
      <c r="T185" s="638"/>
      <c r="U185" s="468"/>
      <c r="V185" s="470"/>
      <c r="W185" s="470"/>
      <c r="X185" s="468"/>
      <c r="Y185" s="638"/>
      <c r="Z185" s="468"/>
      <c r="AA185" s="470"/>
      <c r="AB185" s="470"/>
      <c r="AC185" s="468"/>
      <c r="AD185" s="638"/>
      <c r="AE185" s="468"/>
      <c r="AF185" s="470"/>
      <c r="AG185" s="470"/>
      <c r="AH185" s="468"/>
      <c r="AI185" s="638"/>
      <c r="AJ185" s="468"/>
      <c r="AK185" s="470"/>
      <c r="AL185" s="470"/>
      <c r="AM185" s="468"/>
      <c r="AN185" s="638"/>
      <c r="AO185" s="468"/>
      <c r="AP185" s="470"/>
      <c r="AQ185" s="470"/>
      <c r="AR185" s="468"/>
      <c r="AS185" s="638"/>
      <c r="AT185" s="468"/>
      <c r="AU185" s="470"/>
      <c r="AV185" s="470"/>
      <c r="AW185" s="468"/>
      <c r="AX185" s="638"/>
      <c r="AZ185" s="357" t="e">
        <f t="shared" si="37"/>
        <v>#N/A</v>
      </c>
      <c r="BA185" s="638"/>
    </row>
    <row r="186" spans="2:53">
      <c r="B186" s="643"/>
      <c r="C186" s="295">
        <v>5</v>
      </c>
      <c r="D186" s="196"/>
      <c r="E186" s="475"/>
      <c r="F186" s="196"/>
      <c r="G186" s="194"/>
      <c r="H186" s="697"/>
      <c r="I186" s="352" t="str">
        <f t="shared" si="34"/>
        <v>-</v>
      </c>
      <c r="J186" s="352" t="str">
        <f t="shared" si="35"/>
        <v>-</v>
      </c>
      <c r="K186" s="194" t="str">
        <f t="shared" si="36"/>
        <v>-</v>
      </c>
      <c r="L186" s="653"/>
      <c r="M186" s="195" t="e">
        <f>RANK(K186, K$147:$K$176)</f>
        <v>#VALUE!</v>
      </c>
      <c r="N186" s="637"/>
      <c r="O186" s="637"/>
      <c r="P186" s="468"/>
      <c r="Q186" s="470"/>
      <c r="R186" s="470"/>
      <c r="S186" s="468"/>
      <c r="T186" s="638"/>
      <c r="U186" s="468"/>
      <c r="V186" s="470"/>
      <c r="W186" s="470"/>
      <c r="X186" s="468"/>
      <c r="Y186" s="638"/>
      <c r="Z186" s="468"/>
      <c r="AA186" s="470"/>
      <c r="AB186" s="470"/>
      <c r="AC186" s="468"/>
      <c r="AD186" s="638"/>
      <c r="AE186" s="468"/>
      <c r="AF186" s="470"/>
      <c r="AG186" s="470"/>
      <c r="AH186" s="468"/>
      <c r="AI186" s="638"/>
      <c r="AJ186" s="468"/>
      <c r="AK186" s="470"/>
      <c r="AL186" s="470"/>
      <c r="AM186" s="468"/>
      <c r="AN186" s="638"/>
      <c r="AO186" s="468"/>
      <c r="AP186" s="470"/>
      <c r="AQ186" s="470"/>
      <c r="AR186" s="468"/>
      <c r="AS186" s="638"/>
      <c r="AT186" s="468"/>
      <c r="AU186" s="470"/>
      <c r="AV186" s="470"/>
      <c r="AW186" s="468"/>
      <c r="AX186" s="638"/>
      <c r="AZ186" s="357" t="e">
        <f t="shared" si="37"/>
        <v>#N/A</v>
      </c>
      <c r="BA186" s="638"/>
    </row>
    <row r="187" spans="2:53">
      <c r="B187" s="643"/>
      <c r="C187" s="295">
        <v>6</v>
      </c>
      <c r="D187" s="196"/>
      <c r="E187" s="475"/>
      <c r="F187" s="196"/>
      <c r="G187" s="194"/>
      <c r="H187" s="697"/>
      <c r="I187" s="352" t="str">
        <f t="shared" si="34"/>
        <v>-</v>
      </c>
      <c r="J187" s="352" t="str">
        <f t="shared" si="35"/>
        <v>-</v>
      </c>
      <c r="K187" s="194" t="str">
        <f t="shared" si="36"/>
        <v>-</v>
      </c>
      <c r="L187" s="653"/>
      <c r="M187" s="195" t="e">
        <f>RANK(K187, K$147:$K$176)</f>
        <v>#VALUE!</v>
      </c>
      <c r="N187" s="637"/>
      <c r="O187" s="637"/>
      <c r="P187" s="468"/>
      <c r="Q187" s="470"/>
      <c r="R187" s="470"/>
      <c r="S187" s="468"/>
      <c r="T187" s="638"/>
      <c r="U187" s="468"/>
      <c r="V187" s="470"/>
      <c r="W187" s="470"/>
      <c r="X187" s="468"/>
      <c r="Y187" s="638"/>
      <c r="Z187" s="468"/>
      <c r="AA187" s="470"/>
      <c r="AB187" s="470"/>
      <c r="AC187" s="468"/>
      <c r="AD187" s="638"/>
      <c r="AE187" s="468"/>
      <c r="AF187" s="470"/>
      <c r="AG187" s="470"/>
      <c r="AH187" s="468"/>
      <c r="AI187" s="638"/>
      <c r="AJ187" s="468"/>
      <c r="AK187" s="470"/>
      <c r="AL187" s="470"/>
      <c r="AM187" s="468"/>
      <c r="AN187" s="638"/>
      <c r="AO187" s="468"/>
      <c r="AP187" s="470"/>
      <c r="AQ187" s="470"/>
      <c r="AR187" s="468"/>
      <c r="AS187" s="638"/>
      <c r="AT187" s="468"/>
      <c r="AU187" s="470"/>
      <c r="AV187" s="470"/>
      <c r="AW187" s="468"/>
      <c r="AX187" s="638"/>
      <c r="AZ187" s="357" t="e">
        <f t="shared" si="37"/>
        <v>#N/A</v>
      </c>
      <c r="BA187" s="638"/>
    </row>
    <row r="188" spans="2:53">
      <c r="B188" s="643"/>
      <c r="C188" s="295">
        <v>7</v>
      </c>
      <c r="D188" s="196"/>
      <c r="E188" s="475"/>
      <c r="F188" s="196"/>
      <c r="G188" s="194"/>
      <c r="H188" s="697"/>
      <c r="I188" s="352" t="str">
        <f t="shared" si="34"/>
        <v>-</v>
      </c>
      <c r="J188" s="352" t="str">
        <f t="shared" si="35"/>
        <v>-</v>
      </c>
      <c r="K188" s="194" t="str">
        <f t="shared" si="36"/>
        <v>-</v>
      </c>
      <c r="L188" s="653"/>
      <c r="M188" s="195" t="e">
        <f>RANK(K188, K$147:$K$176)</f>
        <v>#VALUE!</v>
      </c>
      <c r="N188" s="637"/>
      <c r="O188" s="637"/>
      <c r="P188" s="468"/>
      <c r="Q188" s="470"/>
      <c r="R188" s="470"/>
      <c r="S188" s="468"/>
      <c r="T188" s="638"/>
      <c r="U188" s="468"/>
      <c r="V188" s="470"/>
      <c r="W188" s="470"/>
      <c r="X188" s="468"/>
      <c r="Y188" s="638"/>
      <c r="Z188" s="468"/>
      <c r="AA188" s="470"/>
      <c r="AB188" s="470"/>
      <c r="AC188" s="468"/>
      <c r="AD188" s="638"/>
      <c r="AE188" s="468"/>
      <c r="AF188" s="470"/>
      <c r="AG188" s="470"/>
      <c r="AH188" s="468"/>
      <c r="AI188" s="638"/>
      <c r="AJ188" s="468"/>
      <c r="AK188" s="470"/>
      <c r="AL188" s="470"/>
      <c r="AM188" s="468"/>
      <c r="AN188" s="638"/>
      <c r="AO188" s="468"/>
      <c r="AP188" s="470"/>
      <c r="AQ188" s="470"/>
      <c r="AR188" s="468"/>
      <c r="AS188" s="638"/>
      <c r="AT188" s="468"/>
      <c r="AU188" s="470"/>
      <c r="AV188" s="470"/>
      <c r="AW188" s="468"/>
      <c r="AX188" s="638"/>
      <c r="AZ188" s="357" t="e">
        <f t="shared" si="37"/>
        <v>#N/A</v>
      </c>
      <c r="BA188" s="638"/>
    </row>
    <row r="189" spans="2:53">
      <c r="B189" s="643"/>
      <c r="C189" s="295">
        <v>8</v>
      </c>
      <c r="D189" s="196"/>
      <c r="E189" s="475"/>
      <c r="F189" s="196"/>
      <c r="G189" s="194"/>
      <c r="H189" s="697"/>
      <c r="I189" s="352" t="str">
        <f t="shared" si="34"/>
        <v>-</v>
      </c>
      <c r="J189" s="352" t="str">
        <f t="shared" si="35"/>
        <v>-</v>
      </c>
      <c r="K189" s="194" t="str">
        <f t="shared" si="36"/>
        <v>-</v>
      </c>
      <c r="L189" s="653"/>
      <c r="M189" s="195" t="e">
        <f>RANK(K189, K$147:$K$176)</f>
        <v>#VALUE!</v>
      </c>
      <c r="N189" s="637"/>
      <c r="O189" s="637"/>
      <c r="P189" s="468"/>
      <c r="Q189" s="470"/>
      <c r="R189" s="470"/>
      <c r="S189" s="468"/>
      <c r="T189" s="638"/>
      <c r="U189" s="468"/>
      <c r="V189" s="470"/>
      <c r="W189" s="470"/>
      <c r="X189" s="468"/>
      <c r="Y189" s="638"/>
      <c r="Z189" s="468"/>
      <c r="AA189" s="470"/>
      <c r="AB189" s="470"/>
      <c r="AC189" s="468"/>
      <c r="AD189" s="638"/>
      <c r="AE189" s="468"/>
      <c r="AF189" s="470"/>
      <c r="AG189" s="470"/>
      <c r="AH189" s="468"/>
      <c r="AI189" s="638"/>
      <c r="AJ189" s="468"/>
      <c r="AK189" s="470"/>
      <c r="AL189" s="470"/>
      <c r="AM189" s="468"/>
      <c r="AN189" s="638"/>
      <c r="AO189" s="468"/>
      <c r="AP189" s="470"/>
      <c r="AQ189" s="470"/>
      <c r="AR189" s="468"/>
      <c r="AS189" s="638"/>
      <c r="AT189" s="468"/>
      <c r="AU189" s="470"/>
      <c r="AV189" s="470"/>
      <c r="AW189" s="468"/>
      <c r="AX189" s="638"/>
      <c r="AZ189" s="357" t="e">
        <f t="shared" si="37"/>
        <v>#N/A</v>
      </c>
      <c r="BA189" s="638"/>
    </row>
    <row r="190" spans="2:53">
      <c r="B190" s="643"/>
      <c r="C190" s="295">
        <v>9</v>
      </c>
      <c r="D190" s="196"/>
      <c r="E190" s="475"/>
      <c r="F190" s="196"/>
      <c r="G190" s="194"/>
      <c r="H190" s="697"/>
      <c r="I190" s="352" t="str">
        <f t="shared" si="34"/>
        <v>-</v>
      </c>
      <c r="J190" s="352" t="str">
        <f t="shared" si="35"/>
        <v>-</v>
      </c>
      <c r="K190" s="194" t="str">
        <f t="shared" si="36"/>
        <v>-</v>
      </c>
      <c r="L190" s="653"/>
      <c r="M190" s="195" t="e">
        <f>RANK(K190, K$147:$K$176)</f>
        <v>#VALUE!</v>
      </c>
      <c r="N190" s="637"/>
      <c r="O190" s="637"/>
      <c r="P190" s="468"/>
      <c r="Q190" s="470"/>
      <c r="R190" s="470"/>
      <c r="S190" s="468"/>
      <c r="T190" s="638"/>
      <c r="U190" s="468"/>
      <c r="V190" s="470"/>
      <c r="W190" s="470"/>
      <c r="X190" s="468"/>
      <c r="Y190" s="638"/>
      <c r="Z190" s="468"/>
      <c r="AA190" s="470"/>
      <c r="AB190" s="470"/>
      <c r="AC190" s="468"/>
      <c r="AD190" s="638"/>
      <c r="AE190" s="468"/>
      <c r="AF190" s="470"/>
      <c r="AG190" s="470"/>
      <c r="AH190" s="468"/>
      <c r="AI190" s="638"/>
      <c r="AJ190" s="468"/>
      <c r="AK190" s="470"/>
      <c r="AL190" s="470"/>
      <c r="AM190" s="468"/>
      <c r="AN190" s="638"/>
      <c r="AO190" s="468"/>
      <c r="AP190" s="470"/>
      <c r="AQ190" s="470"/>
      <c r="AR190" s="468"/>
      <c r="AS190" s="638"/>
      <c r="AT190" s="468"/>
      <c r="AU190" s="470"/>
      <c r="AV190" s="470"/>
      <c r="AW190" s="468"/>
      <c r="AX190" s="638"/>
      <c r="AZ190" s="357" t="e">
        <f t="shared" si="37"/>
        <v>#N/A</v>
      </c>
      <c r="BA190" s="638"/>
    </row>
    <row r="191" spans="2:53">
      <c r="B191" s="643"/>
      <c r="C191" s="295">
        <v>10</v>
      </c>
      <c r="D191" s="196"/>
      <c r="E191" s="475"/>
      <c r="F191" s="196"/>
      <c r="G191" s="194"/>
      <c r="H191" s="697"/>
      <c r="I191" s="352" t="str">
        <f t="shared" si="34"/>
        <v>-</v>
      </c>
      <c r="J191" s="352" t="str">
        <f t="shared" si="35"/>
        <v>-</v>
      </c>
      <c r="K191" s="194" t="str">
        <f t="shared" si="36"/>
        <v>-</v>
      </c>
      <c r="L191" s="653"/>
      <c r="M191" s="195" t="e">
        <f>RANK(K191, K$147:$K$176)</f>
        <v>#VALUE!</v>
      </c>
      <c r="N191" s="637"/>
      <c r="O191" s="637"/>
      <c r="P191" s="468"/>
      <c r="Q191" s="470"/>
      <c r="R191" s="470"/>
      <c r="S191" s="468"/>
      <c r="T191" s="638"/>
      <c r="U191" s="468"/>
      <c r="V191" s="470"/>
      <c r="W191" s="470"/>
      <c r="X191" s="468"/>
      <c r="Y191" s="638"/>
      <c r="Z191" s="468"/>
      <c r="AA191" s="470"/>
      <c r="AB191" s="470"/>
      <c r="AC191" s="468"/>
      <c r="AD191" s="638"/>
      <c r="AE191" s="468"/>
      <c r="AF191" s="470"/>
      <c r="AG191" s="470"/>
      <c r="AH191" s="468"/>
      <c r="AI191" s="638"/>
      <c r="AJ191" s="468"/>
      <c r="AK191" s="470"/>
      <c r="AL191" s="470"/>
      <c r="AM191" s="468"/>
      <c r="AN191" s="638"/>
      <c r="AO191" s="468"/>
      <c r="AP191" s="470"/>
      <c r="AQ191" s="470"/>
      <c r="AR191" s="468"/>
      <c r="AS191" s="638"/>
      <c r="AT191" s="468"/>
      <c r="AU191" s="470"/>
      <c r="AV191" s="470"/>
      <c r="AW191" s="468"/>
      <c r="AX191" s="638"/>
      <c r="AZ191" s="357" t="e">
        <f t="shared" si="37"/>
        <v>#N/A</v>
      </c>
      <c r="BA191" s="638"/>
    </row>
    <row r="192" spans="2:53">
      <c r="B192" s="643"/>
      <c r="C192" s="295">
        <v>11</v>
      </c>
      <c r="D192" s="196"/>
      <c r="E192" s="475"/>
      <c r="F192" s="196"/>
      <c r="G192" s="194"/>
      <c r="H192" s="697"/>
      <c r="I192" s="352" t="str">
        <f t="shared" si="34"/>
        <v>-</v>
      </c>
      <c r="J192" s="352" t="str">
        <f t="shared" si="35"/>
        <v>-</v>
      </c>
      <c r="K192" s="194" t="str">
        <f t="shared" si="36"/>
        <v>-</v>
      </c>
      <c r="L192" s="653"/>
      <c r="M192" s="195" t="e">
        <f>RANK(K192, K$147:$K$176)</f>
        <v>#VALUE!</v>
      </c>
      <c r="N192" s="637"/>
      <c r="O192" s="637"/>
      <c r="P192" s="468"/>
      <c r="Q192" s="470"/>
      <c r="R192" s="470"/>
      <c r="S192" s="468"/>
      <c r="T192" s="638"/>
      <c r="U192" s="468"/>
      <c r="V192" s="470"/>
      <c r="W192" s="470"/>
      <c r="X192" s="468"/>
      <c r="Y192" s="638"/>
      <c r="Z192" s="468"/>
      <c r="AA192" s="470"/>
      <c r="AB192" s="470"/>
      <c r="AC192" s="468"/>
      <c r="AD192" s="638"/>
      <c r="AE192" s="468"/>
      <c r="AF192" s="470"/>
      <c r="AG192" s="470"/>
      <c r="AH192" s="468"/>
      <c r="AI192" s="638"/>
      <c r="AJ192" s="468"/>
      <c r="AK192" s="470"/>
      <c r="AL192" s="470"/>
      <c r="AM192" s="468"/>
      <c r="AN192" s="638"/>
      <c r="AO192" s="468"/>
      <c r="AP192" s="470"/>
      <c r="AQ192" s="470"/>
      <c r="AR192" s="468"/>
      <c r="AS192" s="638"/>
      <c r="AT192" s="468"/>
      <c r="AU192" s="470"/>
      <c r="AV192" s="470"/>
      <c r="AW192" s="468"/>
      <c r="AX192" s="638"/>
      <c r="AZ192" s="357" t="e">
        <f t="shared" si="37"/>
        <v>#N/A</v>
      </c>
      <c r="BA192" s="638"/>
    </row>
    <row r="193" spans="2:53">
      <c r="B193" s="643"/>
      <c r="C193" s="295">
        <v>12</v>
      </c>
      <c r="D193" s="196"/>
      <c r="E193" s="475"/>
      <c r="F193" s="196"/>
      <c r="G193" s="194"/>
      <c r="H193" s="697"/>
      <c r="I193" s="352" t="str">
        <f t="shared" si="34"/>
        <v>-</v>
      </c>
      <c r="J193" s="352" t="str">
        <f t="shared" si="35"/>
        <v>-</v>
      </c>
      <c r="K193" s="194" t="str">
        <f t="shared" si="36"/>
        <v>-</v>
      </c>
      <c r="L193" s="653"/>
      <c r="M193" s="195" t="e">
        <f>RANK(K193, K$147:$K$176)</f>
        <v>#VALUE!</v>
      </c>
      <c r="N193" s="637"/>
      <c r="O193" s="637"/>
      <c r="P193" s="468"/>
      <c r="Q193" s="470"/>
      <c r="R193" s="470"/>
      <c r="S193" s="468"/>
      <c r="T193" s="638"/>
      <c r="U193" s="468"/>
      <c r="V193" s="470"/>
      <c r="W193" s="470"/>
      <c r="X193" s="468"/>
      <c r="Y193" s="638"/>
      <c r="Z193" s="468"/>
      <c r="AA193" s="470"/>
      <c r="AB193" s="470"/>
      <c r="AC193" s="468"/>
      <c r="AD193" s="638"/>
      <c r="AE193" s="468"/>
      <c r="AF193" s="470"/>
      <c r="AG193" s="470"/>
      <c r="AH193" s="468"/>
      <c r="AI193" s="638"/>
      <c r="AJ193" s="468"/>
      <c r="AK193" s="470"/>
      <c r="AL193" s="470"/>
      <c r="AM193" s="468"/>
      <c r="AN193" s="638"/>
      <c r="AO193" s="468"/>
      <c r="AP193" s="470"/>
      <c r="AQ193" s="470"/>
      <c r="AR193" s="468"/>
      <c r="AS193" s="638"/>
      <c r="AT193" s="468"/>
      <c r="AU193" s="470"/>
      <c r="AV193" s="470"/>
      <c r="AW193" s="468"/>
      <c r="AX193" s="638"/>
      <c r="AZ193" s="357" t="e">
        <f t="shared" si="37"/>
        <v>#N/A</v>
      </c>
      <c r="BA193" s="638"/>
    </row>
    <row r="194" spans="2:53">
      <c r="B194" s="643"/>
      <c r="C194" s="295">
        <v>13</v>
      </c>
      <c r="D194" s="196"/>
      <c r="E194" s="475"/>
      <c r="F194" s="196"/>
      <c r="G194" s="194"/>
      <c r="H194" s="697"/>
      <c r="I194" s="352" t="str">
        <f t="shared" si="34"/>
        <v>-</v>
      </c>
      <c r="J194" s="352" t="str">
        <f t="shared" si="35"/>
        <v>-</v>
      </c>
      <c r="K194" s="194" t="str">
        <f t="shared" si="36"/>
        <v>-</v>
      </c>
      <c r="L194" s="653"/>
      <c r="M194" s="195" t="e">
        <f>RANK(K194, K$147:$K$176)</f>
        <v>#VALUE!</v>
      </c>
      <c r="N194" s="637"/>
      <c r="O194" s="637"/>
      <c r="P194" s="468"/>
      <c r="Q194" s="470"/>
      <c r="R194" s="470"/>
      <c r="S194" s="468"/>
      <c r="T194" s="638"/>
      <c r="U194" s="468"/>
      <c r="V194" s="470"/>
      <c r="W194" s="470"/>
      <c r="X194" s="468"/>
      <c r="Y194" s="638"/>
      <c r="Z194" s="468"/>
      <c r="AA194" s="470"/>
      <c r="AB194" s="470"/>
      <c r="AC194" s="468"/>
      <c r="AD194" s="638"/>
      <c r="AE194" s="468"/>
      <c r="AF194" s="470"/>
      <c r="AG194" s="470"/>
      <c r="AH194" s="468"/>
      <c r="AI194" s="638"/>
      <c r="AJ194" s="468"/>
      <c r="AK194" s="470"/>
      <c r="AL194" s="470"/>
      <c r="AM194" s="468"/>
      <c r="AN194" s="638"/>
      <c r="AO194" s="468"/>
      <c r="AP194" s="470"/>
      <c r="AQ194" s="470"/>
      <c r="AR194" s="468"/>
      <c r="AS194" s="638"/>
      <c r="AT194" s="468"/>
      <c r="AU194" s="470"/>
      <c r="AV194" s="470"/>
      <c r="AW194" s="468"/>
      <c r="AX194" s="638"/>
      <c r="AZ194" s="357" t="e">
        <f t="shared" si="37"/>
        <v>#N/A</v>
      </c>
      <c r="BA194" s="638"/>
    </row>
    <row r="195" spans="2:53">
      <c r="B195" s="643"/>
      <c r="C195" s="295">
        <v>14</v>
      </c>
      <c r="D195" s="196"/>
      <c r="E195" s="475"/>
      <c r="F195" s="196"/>
      <c r="G195" s="194"/>
      <c r="H195" s="697"/>
      <c r="I195" s="352" t="str">
        <f t="shared" si="34"/>
        <v>-</v>
      </c>
      <c r="J195" s="352" t="str">
        <f t="shared" si="35"/>
        <v>-</v>
      </c>
      <c r="K195" s="194" t="str">
        <f t="shared" si="36"/>
        <v>-</v>
      </c>
      <c r="L195" s="653"/>
      <c r="M195" s="195" t="e">
        <f>RANK(K195, K$147:$K$176)</f>
        <v>#VALUE!</v>
      </c>
      <c r="N195" s="637"/>
      <c r="O195" s="637"/>
      <c r="P195" s="468"/>
      <c r="Q195" s="470"/>
      <c r="R195" s="470"/>
      <c r="S195" s="468"/>
      <c r="T195" s="638"/>
      <c r="U195" s="468"/>
      <c r="V195" s="470"/>
      <c r="W195" s="470"/>
      <c r="X195" s="468"/>
      <c r="Y195" s="638"/>
      <c r="Z195" s="468"/>
      <c r="AA195" s="470"/>
      <c r="AB195" s="470"/>
      <c r="AC195" s="468"/>
      <c r="AD195" s="638"/>
      <c r="AE195" s="468"/>
      <c r="AF195" s="470"/>
      <c r="AG195" s="470"/>
      <c r="AH195" s="468"/>
      <c r="AI195" s="638"/>
      <c r="AJ195" s="468"/>
      <c r="AK195" s="470"/>
      <c r="AL195" s="470"/>
      <c r="AM195" s="468"/>
      <c r="AN195" s="638"/>
      <c r="AO195" s="468"/>
      <c r="AP195" s="470"/>
      <c r="AQ195" s="470"/>
      <c r="AR195" s="468"/>
      <c r="AS195" s="638"/>
      <c r="AT195" s="468"/>
      <c r="AU195" s="470"/>
      <c r="AV195" s="470"/>
      <c r="AW195" s="468"/>
      <c r="AX195" s="638"/>
      <c r="AZ195" s="357" t="e">
        <f t="shared" si="37"/>
        <v>#N/A</v>
      </c>
      <c r="BA195" s="638"/>
    </row>
    <row r="196" spans="2:53">
      <c r="B196" s="643"/>
      <c r="C196" s="295">
        <v>15</v>
      </c>
      <c r="D196" s="196"/>
      <c r="E196" s="475"/>
      <c r="F196" s="196"/>
      <c r="G196" s="194"/>
      <c r="H196" s="697"/>
      <c r="I196" s="352" t="str">
        <f t="shared" si="34"/>
        <v>-</v>
      </c>
      <c r="J196" s="352" t="str">
        <f t="shared" si="35"/>
        <v>-</v>
      </c>
      <c r="K196" s="194" t="str">
        <f t="shared" si="36"/>
        <v>-</v>
      </c>
      <c r="L196" s="653"/>
      <c r="M196" s="193" t="e">
        <f>RANK(K196, K$147:$K$176)</f>
        <v>#VALUE!</v>
      </c>
      <c r="N196" s="637"/>
      <c r="O196" s="637"/>
      <c r="P196" s="468"/>
      <c r="Q196" s="470"/>
      <c r="R196" s="470"/>
      <c r="S196" s="468"/>
      <c r="T196" s="638"/>
      <c r="U196" s="468"/>
      <c r="V196" s="470"/>
      <c r="W196" s="470"/>
      <c r="X196" s="468"/>
      <c r="Y196" s="638"/>
      <c r="Z196" s="468"/>
      <c r="AA196" s="470"/>
      <c r="AB196" s="470"/>
      <c r="AC196" s="468"/>
      <c r="AD196" s="638"/>
      <c r="AE196" s="468"/>
      <c r="AF196" s="470"/>
      <c r="AG196" s="470"/>
      <c r="AH196" s="468"/>
      <c r="AI196" s="638"/>
      <c r="AJ196" s="468"/>
      <c r="AK196" s="470"/>
      <c r="AL196" s="470"/>
      <c r="AM196" s="468"/>
      <c r="AN196" s="638"/>
      <c r="AO196" s="468"/>
      <c r="AP196" s="470"/>
      <c r="AQ196" s="470"/>
      <c r="AR196" s="468"/>
      <c r="AS196" s="638"/>
      <c r="AT196" s="468"/>
      <c r="AU196" s="470"/>
      <c r="AV196" s="470"/>
      <c r="AW196" s="468"/>
      <c r="AX196" s="638"/>
      <c r="AZ196" s="357" t="e">
        <f t="shared" si="37"/>
        <v>#N/A</v>
      </c>
      <c r="BA196" s="638"/>
    </row>
    <row r="197" spans="2:53">
      <c r="B197" s="643"/>
      <c r="C197" s="295">
        <v>16</v>
      </c>
      <c r="D197" s="196"/>
      <c r="E197" s="475"/>
      <c r="F197" s="196"/>
      <c r="G197" s="194"/>
      <c r="H197" s="697"/>
      <c r="I197" s="352" t="str">
        <f t="shared" si="34"/>
        <v>-</v>
      </c>
      <c r="J197" s="352" t="str">
        <f t="shared" si="35"/>
        <v>-</v>
      </c>
      <c r="K197" s="194" t="str">
        <f t="shared" si="36"/>
        <v>-</v>
      </c>
      <c r="L197" s="653"/>
      <c r="M197" s="193" t="e">
        <f>RANK(K197, K$147:$K$176)</f>
        <v>#VALUE!</v>
      </c>
      <c r="N197" s="637"/>
      <c r="O197" s="637"/>
      <c r="P197" s="468"/>
      <c r="Q197" s="470"/>
      <c r="R197" s="470"/>
      <c r="S197" s="468"/>
      <c r="T197" s="638"/>
      <c r="U197" s="468"/>
      <c r="V197" s="470"/>
      <c r="W197" s="470"/>
      <c r="X197" s="468"/>
      <c r="Y197" s="638"/>
      <c r="Z197" s="468"/>
      <c r="AA197" s="470"/>
      <c r="AB197" s="470"/>
      <c r="AC197" s="468"/>
      <c r="AD197" s="638"/>
      <c r="AE197" s="468"/>
      <c r="AF197" s="470"/>
      <c r="AG197" s="470"/>
      <c r="AH197" s="468"/>
      <c r="AI197" s="638"/>
      <c r="AJ197" s="468"/>
      <c r="AK197" s="470"/>
      <c r="AL197" s="470"/>
      <c r="AM197" s="468"/>
      <c r="AN197" s="638"/>
      <c r="AO197" s="468"/>
      <c r="AP197" s="470"/>
      <c r="AQ197" s="470"/>
      <c r="AR197" s="468"/>
      <c r="AS197" s="638"/>
      <c r="AT197" s="468"/>
      <c r="AU197" s="470"/>
      <c r="AV197" s="470"/>
      <c r="AW197" s="468"/>
      <c r="AX197" s="638"/>
      <c r="AZ197" s="357" t="e">
        <f t="shared" si="37"/>
        <v>#N/A</v>
      </c>
      <c r="BA197" s="638"/>
    </row>
    <row r="198" spans="2:53">
      <c r="B198" s="643"/>
      <c r="C198" s="295">
        <v>17</v>
      </c>
      <c r="D198" s="196"/>
      <c r="E198" s="475"/>
      <c r="F198" s="196"/>
      <c r="G198" s="194"/>
      <c r="H198" s="697"/>
      <c r="I198" s="352" t="str">
        <f t="shared" si="34"/>
        <v>-</v>
      </c>
      <c r="J198" s="352" t="str">
        <f t="shared" si="35"/>
        <v>-</v>
      </c>
      <c r="K198" s="194" t="str">
        <f t="shared" si="36"/>
        <v>-</v>
      </c>
      <c r="L198" s="653"/>
      <c r="M198" s="193" t="e">
        <f>RANK(K198, K$147:$K$176)</f>
        <v>#VALUE!</v>
      </c>
      <c r="N198" s="637"/>
      <c r="O198" s="637"/>
      <c r="P198" s="468"/>
      <c r="Q198" s="470"/>
      <c r="R198" s="470"/>
      <c r="S198" s="468"/>
      <c r="T198" s="638"/>
      <c r="U198" s="468"/>
      <c r="V198" s="470"/>
      <c r="W198" s="470"/>
      <c r="X198" s="468"/>
      <c r="Y198" s="638"/>
      <c r="Z198" s="468"/>
      <c r="AA198" s="470"/>
      <c r="AB198" s="470"/>
      <c r="AC198" s="468"/>
      <c r="AD198" s="638"/>
      <c r="AE198" s="468"/>
      <c r="AF198" s="470"/>
      <c r="AG198" s="470"/>
      <c r="AH198" s="468"/>
      <c r="AI198" s="638"/>
      <c r="AJ198" s="468"/>
      <c r="AK198" s="470"/>
      <c r="AL198" s="470"/>
      <c r="AM198" s="468"/>
      <c r="AN198" s="638"/>
      <c r="AO198" s="468"/>
      <c r="AP198" s="470"/>
      <c r="AQ198" s="470"/>
      <c r="AR198" s="468"/>
      <c r="AS198" s="638"/>
      <c r="AT198" s="468"/>
      <c r="AU198" s="470"/>
      <c r="AV198" s="470"/>
      <c r="AW198" s="468"/>
      <c r="AX198" s="638"/>
      <c r="AZ198" s="357" t="e">
        <f t="shared" si="37"/>
        <v>#N/A</v>
      </c>
      <c r="BA198" s="638"/>
    </row>
    <row r="199" spans="2:53">
      <c r="B199" s="643"/>
      <c r="C199" s="295">
        <v>18</v>
      </c>
      <c r="D199" s="196"/>
      <c r="E199" s="475"/>
      <c r="F199" s="196"/>
      <c r="G199" s="194"/>
      <c r="H199" s="697"/>
      <c r="I199" s="352" t="str">
        <f t="shared" si="34"/>
        <v>-</v>
      </c>
      <c r="J199" s="352" t="str">
        <f t="shared" si="35"/>
        <v>-</v>
      </c>
      <c r="K199" s="194" t="str">
        <f t="shared" si="36"/>
        <v>-</v>
      </c>
      <c r="L199" s="653"/>
      <c r="M199" s="193" t="e">
        <f>RANK(K199, K$147:$K$176)</f>
        <v>#VALUE!</v>
      </c>
      <c r="N199" s="637"/>
      <c r="O199" s="637"/>
      <c r="P199" s="468"/>
      <c r="Q199" s="470"/>
      <c r="R199" s="470"/>
      <c r="S199" s="468"/>
      <c r="T199" s="638"/>
      <c r="U199" s="468"/>
      <c r="V199" s="470"/>
      <c r="W199" s="470"/>
      <c r="X199" s="468"/>
      <c r="Y199" s="638"/>
      <c r="Z199" s="468"/>
      <c r="AA199" s="470"/>
      <c r="AB199" s="470"/>
      <c r="AC199" s="468"/>
      <c r="AD199" s="638"/>
      <c r="AE199" s="468"/>
      <c r="AF199" s="470"/>
      <c r="AG199" s="470"/>
      <c r="AH199" s="468"/>
      <c r="AI199" s="638"/>
      <c r="AJ199" s="468"/>
      <c r="AK199" s="470"/>
      <c r="AL199" s="470"/>
      <c r="AM199" s="468"/>
      <c r="AN199" s="638"/>
      <c r="AO199" s="468"/>
      <c r="AP199" s="470"/>
      <c r="AQ199" s="470"/>
      <c r="AR199" s="468"/>
      <c r="AS199" s="638"/>
      <c r="AT199" s="468"/>
      <c r="AU199" s="470"/>
      <c r="AV199" s="470"/>
      <c r="AW199" s="468"/>
      <c r="AX199" s="638"/>
      <c r="AZ199" s="357" t="e">
        <f t="shared" si="37"/>
        <v>#N/A</v>
      </c>
      <c r="BA199" s="638"/>
    </row>
    <row r="200" spans="2:53">
      <c r="B200" s="643"/>
      <c r="C200" s="295">
        <v>19</v>
      </c>
      <c r="D200" s="196"/>
      <c r="E200" s="475"/>
      <c r="F200" s="196"/>
      <c r="G200" s="194"/>
      <c r="H200" s="697"/>
      <c r="I200" s="352" t="str">
        <f t="shared" si="34"/>
        <v>-</v>
      </c>
      <c r="J200" s="352" t="str">
        <f t="shared" si="35"/>
        <v>-</v>
      </c>
      <c r="K200" s="194" t="str">
        <f t="shared" si="36"/>
        <v>-</v>
      </c>
      <c r="L200" s="653"/>
      <c r="M200" s="193" t="e">
        <f>RANK(K200, K$147:$K$176)</f>
        <v>#VALUE!</v>
      </c>
      <c r="N200" s="637"/>
      <c r="O200" s="637"/>
      <c r="P200" s="468"/>
      <c r="Q200" s="470"/>
      <c r="R200" s="470"/>
      <c r="S200" s="468"/>
      <c r="T200" s="638"/>
      <c r="U200" s="468"/>
      <c r="V200" s="470"/>
      <c r="W200" s="470"/>
      <c r="X200" s="468"/>
      <c r="Y200" s="638"/>
      <c r="Z200" s="468"/>
      <c r="AA200" s="470"/>
      <c r="AB200" s="470"/>
      <c r="AC200" s="468"/>
      <c r="AD200" s="638"/>
      <c r="AE200" s="468"/>
      <c r="AF200" s="470"/>
      <c r="AG200" s="470"/>
      <c r="AH200" s="468"/>
      <c r="AI200" s="638"/>
      <c r="AJ200" s="468"/>
      <c r="AK200" s="470"/>
      <c r="AL200" s="470"/>
      <c r="AM200" s="468"/>
      <c r="AN200" s="638"/>
      <c r="AO200" s="468"/>
      <c r="AP200" s="470"/>
      <c r="AQ200" s="470"/>
      <c r="AR200" s="468"/>
      <c r="AS200" s="638"/>
      <c r="AT200" s="468"/>
      <c r="AU200" s="470"/>
      <c r="AV200" s="470"/>
      <c r="AW200" s="468"/>
      <c r="AX200" s="638"/>
      <c r="AZ200" s="357" t="e">
        <f t="shared" si="37"/>
        <v>#N/A</v>
      </c>
      <c r="BA200" s="638"/>
    </row>
    <row r="201" spans="2:53">
      <c r="B201" s="643"/>
      <c r="C201" s="295">
        <v>20</v>
      </c>
      <c r="D201" s="196"/>
      <c r="E201" s="475"/>
      <c r="F201" s="196"/>
      <c r="G201" s="194"/>
      <c r="H201" s="697"/>
      <c r="I201" s="352" t="str">
        <f t="shared" si="34"/>
        <v>-</v>
      </c>
      <c r="J201" s="352" t="str">
        <f t="shared" si="35"/>
        <v>-</v>
      </c>
      <c r="K201" s="194" t="str">
        <f t="shared" si="36"/>
        <v>-</v>
      </c>
      <c r="L201" s="653"/>
      <c r="M201" s="193" t="e">
        <f>RANK(K201, K$147:$K$176)</f>
        <v>#VALUE!</v>
      </c>
      <c r="N201" s="637"/>
      <c r="O201" s="637"/>
      <c r="P201" s="468"/>
      <c r="Q201" s="470"/>
      <c r="R201" s="470"/>
      <c r="S201" s="468"/>
      <c r="T201" s="638"/>
      <c r="U201" s="468"/>
      <c r="V201" s="470"/>
      <c r="W201" s="470"/>
      <c r="X201" s="468"/>
      <c r="Y201" s="638"/>
      <c r="Z201" s="468"/>
      <c r="AA201" s="470"/>
      <c r="AB201" s="470"/>
      <c r="AC201" s="468"/>
      <c r="AD201" s="638"/>
      <c r="AE201" s="468"/>
      <c r="AF201" s="470"/>
      <c r="AG201" s="470"/>
      <c r="AH201" s="468"/>
      <c r="AI201" s="638"/>
      <c r="AJ201" s="468"/>
      <c r="AK201" s="470"/>
      <c r="AL201" s="470"/>
      <c r="AM201" s="468"/>
      <c r="AN201" s="638"/>
      <c r="AO201" s="468"/>
      <c r="AP201" s="470"/>
      <c r="AQ201" s="470"/>
      <c r="AR201" s="468"/>
      <c r="AS201" s="638"/>
      <c r="AT201" s="468"/>
      <c r="AU201" s="470"/>
      <c r="AV201" s="470"/>
      <c r="AW201" s="468"/>
      <c r="AX201" s="638"/>
      <c r="AZ201" s="357" t="e">
        <f t="shared" si="37"/>
        <v>#N/A</v>
      </c>
      <c r="BA201" s="638"/>
    </row>
    <row r="202" spans="2:53">
      <c r="B202" s="643"/>
      <c r="C202" s="295">
        <v>21</v>
      </c>
      <c r="D202" s="196"/>
      <c r="E202" s="475"/>
      <c r="F202" s="196"/>
      <c r="G202" s="194"/>
      <c r="H202" s="697"/>
      <c r="I202" s="352" t="str">
        <f t="shared" si="34"/>
        <v>-</v>
      </c>
      <c r="J202" s="352" t="str">
        <f t="shared" si="35"/>
        <v>-</v>
      </c>
      <c r="K202" s="194" t="str">
        <f t="shared" si="36"/>
        <v>-</v>
      </c>
      <c r="L202" s="653"/>
      <c r="M202" s="193" t="e">
        <f>RANK(K202, K$147:$K$176)</f>
        <v>#VALUE!</v>
      </c>
      <c r="N202" s="637"/>
      <c r="O202" s="637"/>
      <c r="P202" s="468"/>
      <c r="Q202" s="470"/>
      <c r="R202" s="470"/>
      <c r="S202" s="468"/>
      <c r="T202" s="638"/>
      <c r="U202" s="468"/>
      <c r="V202" s="470"/>
      <c r="W202" s="470"/>
      <c r="X202" s="468"/>
      <c r="Y202" s="638"/>
      <c r="Z202" s="468"/>
      <c r="AA202" s="470"/>
      <c r="AB202" s="470"/>
      <c r="AC202" s="468"/>
      <c r="AD202" s="638"/>
      <c r="AE202" s="468"/>
      <c r="AF202" s="470"/>
      <c r="AG202" s="470"/>
      <c r="AH202" s="468"/>
      <c r="AI202" s="638"/>
      <c r="AJ202" s="468"/>
      <c r="AK202" s="470"/>
      <c r="AL202" s="470"/>
      <c r="AM202" s="468"/>
      <c r="AN202" s="638"/>
      <c r="AO202" s="468"/>
      <c r="AP202" s="470"/>
      <c r="AQ202" s="470"/>
      <c r="AR202" s="468"/>
      <c r="AS202" s="638"/>
      <c r="AT202" s="468"/>
      <c r="AU202" s="470"/>
      <c r="AV202" s="470"/>
      <c r="AW202" s="468"/>
      <c r="AX202" s="638"/>
      <c r="AZ202" s="357" t="e">
        <f t="shared" si="37"/>
        <v>#N/A</v>
      </c>
      <c r="BA202" s="638"/>
    </row>
    <row r="203" spans="2:53">
      <c r="B203" s="643"/>
      <c r="C203" s="295">
        <v>22</v>
      </c>
      <c r="D203" s="196"/>
      <c r="E203" s="475"/>
      <c r="F203" s="196"/>
      <c r="G203" s="194"/>
      <c r="H203" s="697"/>
      <c r="I203" s="352" t="str">
        <f t="shared" si="34"/>
        <v>-</v>
      </c>
      <c r="J203" s="352" t="str">
        <f t="shared" si="35"/>
        <v>-</v>
      </c>
      <c r="K203" s="194" t="str">
        <f t="shared" si="36"/>
        <v>-</v>
      </c>
      <c r="L203" s="653"/>
      <c r="M203" s="193" t="e">
        <f>RANK(K203, K$147:$K$176)</f>
        <v>#VALUE!</v>
      </c>
      <c r="N203" s="637"/>
      <c r="O203" s="637"/>
      <c r="P203" s="468"/>
      <c r="Q203" s="470"/>
      <c r="R203" s="470"/>
      <c r="S203" s="468"/>
      <c r="T203" s="638"/>
      <c r="U203" s="468"/>
      <c r="V203" s="470"/>
      <c r="W203" s="470"/>
      <c r="X203" s="468"/>
      <c r="Y203" s="638"/>
      <c r="Z203" s="468"/>
      <c r="AA203" s="470"/>
      <c r="AB203" s="470"/>
      <c r="AC203" s="468"/>
      <c r="AD203" s="638"/>
      <c r="AE203" s="468"/>
      <c r="AF203" s="470"/>
      <c r="AG203" s="470"/>
      <c r="AH203" s="468"/>
      <c r="AI203" s="638"/>
      <c r="AJ203" s="468"/>
      <c r="AK203" s="470"/>
      <c r="AL203" s="470"/>
      <c r="AM203" s="468"/>
      <c r="AN203" s="638"/>
      <c r="AO203" s="468"/>
      <c r="AP203" s="470"/>
      <c r="AQ203" s="470"/>
      <c r="AR203" s="468"/>
      <c r="AS203" s="638"/>
      <c r="AT203" s="468"/>
      <c r="AU203" s="470"/>
      <c r="AV203" s="470"/>
      <c r="AW203" s="468"/>
      <c r="AX203" s="638"/>
      <c r="AZ203" s="357" t="e">
        <f t="shared" si="37"/>
        <v>#N/A</v>
      </c>
      <c r="BA203" s="638"/>
    </row>
    <row r="204" spans="2:53">
      <c r="B204" s="643"/>
      <c r="C204" s="295">
        <v>23</v>
      </c>
      <c r="D204" s="196"/>
      <c r="E204" s="475"/>
      <c r="F204" s="196"/>
      <c r="G204" s="194"/>
      <c r="H204" s="697"/>
      <c r="I204" s="352" t="str">
        <f t="shared" si="34"/>
        <v>-</v>
      </c>
      <c r="J204" s="352" t="str">
        <f t="shared" si="35"/>
        <v>-</v>
      </c>
      <c r="K204" s="194" t="str">
        <f t="shared" si="36"/>
        <v>-</v>
      </c>
      <c r="L204" s="653"/>
      <c r="M204" s="193" t="e">
        <f>RANK(K204, K$147:$K$176)</f>
        <v>#VALUE!</v>
      </c>
      <c r="N204" s="637"/>
      <c r="O204" s="637"/>
      <c r="P204" s="468"/>
      <c r="Q204" s="470"/>
      <c r="R204" s="470"/>
      <c r="S204" s="468"/>
      <c r="T204" s="638"/>
      <c r="U204" s="468"/>
      <c r="V204" s="470"/>
      <c r="W204" s="470"/>
      <c r="X204" s="468"/>
      <c r="Y204" s="638"/>
      <c r="Z204" s="468"/>
      <c r="AA204" s="470"/>
      <c r="AB204" s="470"/>
      <c r="AC204" s="468"/>
      <c r="AD204" s="638"/>
      <c r="AE204" s="468"/>
      <c r="AF204" s="470"/>
      <c r="AG204" s="470"/>
      <c r="AH204" s="468"/>
      <c r="AI204" s="638"/>
      <c r="AJ204" s="468"/>
      <c r="AK204" s="470"/>
      <c r="AL204" s="470"/>
      <c r="AM204" s="468"/>
      <c r="AN204" s="638"/>
      <c r="AO204" s="468"/>
      <c r="AP204" s="470"/>
      <c r="AQ204" s="470"/>
      <c r="AR204" s="468"/>
      <c r="AS204" s="638"/>
      <c r="AT204" s="468"/>
      <c r="AU204" s="470"/>
      <c r="AV204" s="470"/>
      <c r="AW204" s="468"/>
      <c r="AX204" s="638"/>
      <c r="AZ204" s="357" t="e">
        <f t="shared" si="37"/>
        <v>#N/A</v>
      </c>
      <c r="BA204" s="638"/>
    </row>
    <row r="205" spans="2:53">
      <c r="B205" s="643"/>
      <c r="C205" s="295">
        <v>24</v>
      </c>
      <c r="D205" s="196"/>
      <c r="E205" s="475"/>
      <c r="F205" s="196"/>
      <c r="G205" s="194"/>
      <c r="H205" s="697"/>
      <c r="I205" s="352" t="str">
        <f t="shared" si="34"/>
        <v>-</v>
      </c>
      <c r="J205" s="352" t="str">
        <f t="shared" si="35"/>
        <v>-</v>
      </c>
      <c r="K205" s="194" t="str">
        <f t="shared" si="36"/>
        <v>-</v>
      </c>
      <c r="L205" s="653"/>
      <c r="M205" s="193" t="e">
        <f>RANK(K205, K$147:$K$176)</f>
        <v>#VALUE!</v>
      </c>
      <c r="N205" s="637"/>
      <c r="O205" s="637"/>
      <c r="P205" s="468"/>
      <c r="Q205" s="470"/>
      <c r="R205" s="470"/>
      <c r="S205" s="468"/>
      <c r="T205" s="638"/>
      <c r="U205" s="468"/>
      <c r="V205" s="470"/>
      <c r="W205" s="470"/>
      <c r="X205" s="468"/>
      <c r="Y205" s="638"/>
      <c r="Z205" s="468"/>
      <c r="AA205" s="470"/>
      <c r="AB205" s="470"/>
      <c r="AC205" s="468"/>
      <c r="AD205" s="638"/>
      <c r="AE205" s="468"/>
      <c r="AF205" s="470"/>
      <c r="AG205" s="470"/>
      <c r="AH205" s="468"/>
      <c r="AI205" s="638"/>
      <c r="AJ205" s="468"/>
      <c r="AK205" s="470"/>
      <c r="AL205" s="470"/>
      <c r="AM205" s="468"/>
      <c r="AN205" s="638"/>
      <c r="AO205" s="468"/>
      <c r="AP205" s="470"/>
      <c r="AQ205" s="470"/>
      <c r="AR205" s="468"/>
      <c r="AS205" s="638"/>
      <c r="AT205" s="468"/>
      <c r="AU205" s="470"/>
      <c r="AV205" s="470"/>
      <c r="AW205" s="468"/>
      <c r="AX205" s="638"/>
      <c r="AZ205" s="357" t="e">
        <f t="shared" si="37"/>
        <v>#N/A</v>
      </c>
      <c r="BA205" s="638"/>
    </row>
    <row r="206" spans="2:53">
      <c r="B206" s="643"/>
      <c r="C206" s="295">
        <v>25</v>
      </c>
      <c r="D206" s="196"/>
      <c r="E206" s="475"/>
      <c r="F206" s="196"/>
      <c r="G206" s="194"/>
      <c r="H206" s="697"/>
      <c r="I206" s="352" t="str">
        <f t="shared" si="34"/>
        <v>-</v>
      </c>
      <c r="J206" s="352" t="str">
        <f t="shared" si="35"/>
        <v>-</v>
      </c>
      <c r="K206" s="194" t="str">
        <f t="shared" si="36"/>
        <v>-</v>
      </c>
      <c r="L206" s="653"/>
      <c r="M206" s="193" t="e">
        <f>RANK(K206, K$147:$K$176)</f>
        <v>#VALUE!</v>
      </c>
      <c r="N206" s="637"/>
      <c r="O206" s="637"/>
      <c r="P206" s="468"/>
      <c r="Q206" s="470"/>
      <c r="R206" s="470"/>
      <c r="S206" s="468"/>
      <c r="T206" s="638"/>
      <c r="U206" s="468"/>
      <c r="V206" s="470"/>
      <c r="W206" s="470"/>
      <c r="X206" s="468"/>
      <c r="Y206" s="638"/>
      <c r="Z206" s="468"/>
      <c r="AA206" s="470"/>
      <c r="AB206" s="470"/>
      <c r="AC206" s="468"/>
      <c r="AD206" s="638"/>
      <c r="AE206" s="468"/>
      <c r="AF206" s="470"/>
      <c r="AG206" s="470"/>
      <c r="AH206" s="468"/>
      <c r="AI206" s="638"/>
      <c r="AJ206" s="468"/>
      <c r="AK206" s="470"/>
      <c r="AL206" s="470"/>
      <c r="AM206" s="468"/>
      <c r="AN206" s="638"/>
      <c r="AO206" s="468"/>
      <c r="AP206" s="470"/>
      <c r="AQ206" s="470"/>
      <c r="AR206" s="468"/>
      <c r="AS206" s="638"/>
      <c r="AT206" s="468"/>
      <c r="AU206" s="470"/>
      <c r="AV206" s="470"/>
      <c r="AW206" s="468"/>
      <c r="AX206" s="638"/>
      <c r="AZ206" s="357" t="e">
        <f t="shared" si="37"/>
        <v>#N/A</v>
      </c>
      <c r="BA206" s="638"/>
    </row>
    <row r="207" spans="2:53">
      <c r="B207" s="643"/>
      <c r="C207" s="295">
        <v>26</v>
      </c>
      <c r="D207" s="196"/>
      <c r="E207" s="475"/>
      <c r="F207" s="196"/>
      <c r="G207" s="194"/>
      <c r="H207" s="697"/>
      <c r="I207" s="352" t="str">
        <f t="shared" si="34"/>
        <v>-</v>
      </c>
      <c r="J207" s="352" t="str">
        <f t="shared" si="35"/>
        <v>-</v>
      </c>
      <c r="K207" s="194" t="str">
        <f t="shared" si="36"/>
        <v>-</v>
      </c>
      <c r="L207" s="653"/>
      <c r="M207" s="193" t="e">
        <f>RANK(K207, K$147:$K$176)</f>
        <v>#VALUE!</v>
      </c>
      <c r="N207" s="637"/>
      <c r="O207" s="637"/>
      <c r="P207" s="468"/>
      <c r="Q207" s="470"/>
      <c r="R207" s="470"/>
      <c r="S207" s="468"/>
      <c r="T207" s="638"/>
      <c r="U207" s="468"/>
      <c r="V207" s="470"/>
      <c r="W207" s="470"/>
      <c r="X207" s="468"/>
      <c r="Y207" s="638"/>
      <c r="Z207" s="468"/>
      <c r="AA207" s="470"/>
      <c r="AB207" s="470"/>
      <c r="AC207" s="468"/>
      <c r="AD207" s="638"/>
      <c r="AE207" s="468"/>
      <c r="AF207" s="470"/>
      <c r="AG207" s="470"/>
      <c r="AH207" s="468"/>
      <c r="AI207" s="638"/>
      <c r="AJ207" s="468"/>
      <c r="AK207" s="470"/>
      <c r="AL207" s="470"/>
      <c r="AM207" s="468"/>
      <c r="AN207" s="638"/>
      <c r="AO207" s="468"/>
      <c r="AP207" s="470"/>
      <c r="AQ207" s="470"/>
      <c r="AR207" s="468"/>
      <c r="AS207" s="638"/>
      <c r="AT207" s="468"/>
      <c r="AU207" s="470"/>
      <c r="AV207" s="470"/>
      <c r="AW207" s="468"/>
      <c r="AX207" s="638"/>
      <c r="AZ207" s="357" t="e">
        <f t="shared" si="37"/>
        <v>#N/A</v>
      </c>
      <c r="BA207" s="638"/>
    </row>
    <row r="208" spans="2:53">
      <c r="B208" s="643"/>
      <c r="C208" s="295">
        <v>27</v>
      </c>
      <c r="D208" s="196"/>
      <c r="E208" s="475"/>
      <c r="F208" s="196"/>
      <c r="G208" s="194"/>
      <c r="H208" s="697"/>
      <c r="I208" s="352" t="str">
        <f t="shared" si="34"/>
        <v>-</v>
      </c>
      <c r="J208" s="352" t="str">
        <f t="shared" si="35"/>
        <v>-</v>
      </c>
      <c r="K208" s="194" t="str">
        <f t="shared" si="36"/>
        <v>-</v>
      </c>
      <c r="L208" s="653"/>
      <c r="M208" s="193" t="e">
        <f>RANK(K208, K$147:$K$176)</f>
        <v>#VALUE!</v>
      </c>
      <c r="N208" s="637"/>
      <c r="O208" s="637"/>
      <c r="P208" s="468"/>
      <c r="Q208" s="470"/>
      <c r="R208" s="470"/>
      <c r="S208" s="468"/>
      <c r="T208" s="638"/>
      <c r="U208" s="468"/>
      <c r="V208" s="470"/>
      <c r="W208" s="470"/>
      <c r="X208" s="468"/>
      <c r="Y208" s="638"/>
      <c r="Z208" s="468"/>
      <c r="AA208" s="470"/>
      <c r="AB208" s="470"/>
      <c r="AC208" s="468"/>
      <c r="AD208" s="638"/>
      <c r="AE208" s="468"/>
      <c r="AF208" s="470"/>
      <c r="AG208" s="470"/>
      <c r="AH208" s="468"/>
      <c r="AI208" s="638"/>
      <c r="AJ208" s="468"/>
      <c r="AK208" s="470"/>
      <c r="AL208" s="470"/>
      <c r="AM208" s="468"/>
      <c r="AN208" s="638"/>
      <c r="AO208" s="468"/>
      <c r="AP208" s="470"/>
      <c r="AQ208" s="470"/>
      <c r="AR208" s="468"/>
      <c r="AS208" s="638"/>
      <c r="AT208" s="468"/>
      <c r="AU208" s="470"/>
      <c r="AV208" s="470"/>
      <c r="AW208" s="468"/>
      <c r="AX208" s="638"/>
      <c r="AZ208" s="357" t="e">
        <f t="shared" si="37"/>
        <v>#N/A</v>
      </c>
      <c r="BA208" s="638"/>
    </row>
    <row r="209" spans="2:53">
      <c r="B209" s="643"/>
      <c r="C209" s="295">
        <v>28</v>
      </c>
      <c r="D209" s="196"/>
      <c r="E209" s="475"/>
      <c r="F209" s="196"/>
      <c r="G209" s="194"/>
      <c r="H209" s="697"/>
      <c r="I209" s="352" t="str">
        <f t="shared" si="34"/>
        <v>-</v>
      </c>
      <c r="J209" s="352" t="str">
        <f t="shared" si="35"/>
        <v>-</v>
      </c>
      <c r="K209" s="194" t="str">
        <f t="shared" si="36"/>
        <v>-</v>
      </c>
      <c r="L209" s="653"/>
      <c r="M209" s="193" t="e">
        <f>RANK(K209, K$147:$K$176)</f>
        <v>#VALUE!</v>
      </c>
      <c r="N209" s="637"/>
      <c r="O209" s="637"/>
      <c r="P209" s="468"/>
      <c r="Q209" s="470"/>
      <c r="R209" s="470"/>
      <c r="S209" s="468"/>
      <c r="T209" s="638"/>
      <c r="U209" s="468"/>
      <c r="V209" s="470"/>
      <c r="W209" s="470"/>
      <c r="X209" s="468"/>
      <c r="Y209" s="638"/>
      <c r="Z209" s="468"/>
      <c r="AA209" s="470"/>
      <c r="AB209" s="470"/>
      <c r="AC209" s="468"/>
      <c r="AD209" s="638"/>
      <c r="AE209" s="468"/>
      <c r="AF209" s="470"/>
      <c r="AG209" s="470"/>
      <c r="AH209" s="468"/>
      <c r="AI209" s="638"/>
      <c r="AJ209" s="468"/>
      <c r="AK209" s="470"/>
      <c r="AL209" s="470"/>
      <c r="AM209" s="468"/>
      <c r="AN209" s="638"/>
      <c r="AO209" s="468"/>
      <c r="AP209" s="470"/>
      <c r="AQ209" s="470"/>
      <c r="AR209" s="468"/>
      <c r="AS209" s="638"/>
      <c r="AT209" s="468"/>
      <c r="AU209" s="470"/>
      <c r="AV209" s="470"/>
      <c r="AW209" s="468"/>
      <c r="AX209" s="638"/>
      <c r="AZ209" s="357" t="e">
        <f t="shared" si="37"/>
        <v>#N/A</v>
      </c>
      <c r="BA209" s="638"/>
    </row>
    <row r="210" spans="2:53">
      <c r="B210" s="643"/>
      <c r="C210" s="295">
        <v>29</v>
      </c>
      <c r="D210" s="196"/>
      <c r="E210" s="475"/>
      <c r="F210" s="196"/>
      <c r="G210" s="194"/>
      <c r="H210" s="697"/>
      <c r="I210" s="352" t="str">
        <f t="shared" si="34"/>
        <v>-</v>
      </c>
      <c r="J210" s="352" t="str">
        <f t="shared" si="35"/>
        <v>-</v>
      </c>
      <c r="K210" s="194" t="str">
        <f t="shared" si="36"/>
        <v>-</v>
      </c>
      <c r="L210" s="653"/>
      <c r="M210" s="193" t="e">
        <f>RANK(K210, K$147:$K$176)</f>
        <v>#VALUE!</v>
      </c>
      <c r="N210" s="637"/>
      <c r="O210" s="637"/>
      <c r="P210" s="468"/>
      <c r="Q210" s="470"/>
      <c r="R210" s="470"/>
      <c r="S210" s="468"/>
      <c r="T210" s="638"/>
      <c r="U210" s="468"/>
      <c r="V210" s="470"/>
      <c r="W210" s="470"/>
      <c r="X210" s="468"/>
      <c r="Y210" s="638"/>
      <c r="Z210" s="468"/>
      <c r="AA210" s="470"/>
      <c r="AB210" s="470"/>
      <c r="AC210" s="468"/>
      <c r="AD210" s="638"/>
      <c r="AE210" s="468"/>
      <c r="AF210" s="470"/>
      <c r="AG210" s="470"/>
      <c r="AH210" s="468"/>
      <c r="AI210" s="638"/>
      <c r="AJ210" s="468"/>
      <c r="AK210" s="470"/>
      <c r="AL210" s="470"/>
      <c r="AM210" s="468"/>
      <c r="AN210" s="638"/>
      <c r="AO210" s="468"/>
      <c r="AP210" s="470"/>
      <c r="AQ210" s="470"/>
      <c r="AR210" s="468"/>
      <c r="AS210" s="638"/>
      <c r="AT210" s="468"/>
      <c r="AU210" s="470"/>
      <c r="AV210" s="470"/>
      <c r="AW210" s="468"/>
      <c r="AX210" s="638"/>
      <c r="AZ210" s="357" t="e">
        <f t="shared" si="37"/>
        <v>#N/A</v>
      </c>
      <c r="BA210" s="638"/>
    </row>
    <row r="211" spans="2:53">
      <c r="B211" s="643"/>
      <c r="C211" s="295">
        <v>30</v>
      </c>
      <c r="D211" s="196"/>
      <c r="E211" s="475"/>
      <c r="F211" s="196"/>
      <c r="G211" s="194"/>
      <c r="H211" s="698"/>
      <c r="I211" s="352" t="str">
        <f t="shared" si="34"/>
        <v>-</v>
      </c>
      <c r="J211" s="352" t="str">
        <f t="shared" si="35"/>
        <v>-</v>
      </c>
      <c r="K211" s="194" t="str">
        <f t="shared" si="36"/>
        <v>-</v>
      </c>
      <c r="L211" s="654"/>
      <c r="M211" s="193" t="e">
        <f>RANK(K211, K$147:$K$176)</f>
        <v>#VALUE!</v>
      </c>
      <c r="N211" s="637"/>
      <c r="O211" s="637"/>
      <c r="P211" s="468"/>
      <c r="Q211" s="470"/>
      <c r="R211" s="470"/>
      <c r="S211" s="468"/>
      <c r="T211" s="638"/>
      <c r="U211" s="468"/>
      <c r="V211" s="470"/>
      <c r="W211" s="470"/>
      <c r="X211" s="468"/>
      <c r="Y211" s="638"/>
      <c r="Z211" s="468"/>
      <c r="AA211" s="470"/>
      <c r="AB211" s="470"/>
      <c r="AC211" s="468"/>
      <c r="AD211" s="638"/>
      <c r="AE211" s="468"/>
      <c r="AF211" s="470"/>
      <c r="AG211" s="470"/>
      <c r="AH211" s="468"/>
      <c r="AI211" s="638"/>
      <c r="AJ211" s="468"/>
      <c r="AK211" s="470"/>
      <c r="AL211" s="470"/>
      <c r="AM211" s="468"/>
      <c r="AN211" s="638"/>
      <c r="AO211" s="468"/>
      <c r="AP211" s="470"/>
      <c r="AQ211" s="470"/>
      <c r="AR211" s="468"/>
      <c r="AS211" s="638"/>
      <c r="AT211" s="468"/>
      <c r="AU211" s="470"/>
      <c r="AV211" s="470"/>
      <c r="AW211" s="468"/>
      <c r="AX211" s="638"/>
      <c r="AZ211" s="357" t="e">
        <f t="shared" si="37"/>
        <v>#N/A</v>
      </c>
      <c r="BA211" s="638"/>
    </row>
    <row r="213" spans="2:53" ht="15.75">
      <c r="B213" s="645" t="s">
        <v>463</v>
      </c>
      <c r="C213" s="646"/>
      <c r="D213" s="646"/>
      <c r="E213" s="646"/>
      <c r="F213" s="646"/>
      <c r="G213" s="646"/>
      <c r="H213" s="647"/>
      <c r="I213" s="299"/>
      <c r="J213" s="299"/>
      <c r="K213" s="299"/>
      <c r="L213" s="299"/>
      <c r="M213" s="300"/>
    </row>
    <row r="214" spans="2:53" ht="15.75">
      <c r="B214" s="648"/>
      <c r="C214" s="648"/>
      <c r="D214" s="648"/>
      <c r="E214" s="648"/>
      <c r="F214" s="648"/>
      <c r="G214" s="648"/>
      <c r="H214" s="648"/>
      <c r="I214" s="301"/>
      <c r="J214" s="301"/>
      <c r="K214" s="301"/>
      <c r="L214" s="301"/>
      <c r="M214" s="302"/>
    </row>
    <row r="215" spans="2:53">
      <c r="B215" s="637" t="s">
        <v>464</v>
      </c>
      <c r="C215" s="637" t="s">
        <v>465</v>
      </c>
      <c r="D215" s="637"/>
      <c r="E215" s="637" t="s">
        <v>466</v>
      </c>
      <c r="F215" s="637"/>
      <c r="G215" s="637"/>
      <c r="H215" s="637" t="s">
        <v>467</v>
      </c>
      <c r="I215" s="649" t="s">
        <v>468</v>
      </c>
      <c r="J215" s="649"/>
      <c r="K215" s="649"/>
      <c r="L215" s="649" t="s">
        <v>467</v>
      </c>
      <c r="M215" s="649" t="s">
        <v>469</v>
      </c>
    </row>
    <row r="216" spans="2:53">
      <c r="B216" s="637"/>
      <c r="C216" s="637"/>
      <c r="D216" s="637"/>
      <c r="E216" s="637" t="s">
        <v>470</v>
      </c>
      <c r="F216" s="637"/>
      <c r="G216" s="637"/>
      <c r="H216" s="637"/>
      <c r="I216" s="649" t="s">
        <v>470</v>
      </c>
      <c r="J216" s="649"/>
      <c r="K216" s="649"/>
      <c r="L216" s="649"/>
      <c r="M216" s="649"/>
    </row>
    <row r="217" spans="2:53">
      <c r="B217" s="637"/>
      <c r="C217" s="637"/>
      <c r="D217" s="637"/>
      <c r="E217" s="296" t="s">
        <v>471</v>
      </c>
      <c r="F217" s="296" t="s">
        <v>472</v>
      </c>
      <c r="G217" s="296" t="s">
        <v>473</v>
      </c>
      <c r="H217" s="637"/>
      <c r="I217" s="303" t="s">
        <v>471</v>
      </c>
      <c r="J217" s="303" t="s">
        <v>472</v>
      </c>
      <c r="K217" s="303" t="s">
        <v>473</v>
      </c>
      <c r="L217" s="649"/>
      <c r="M217" s="649"/>
    </row>
    <row r="218" spans="2:53">
      <c r="B218" s="637" t="s">
        <v>478</v>
      </c>
      <c r="C218" s="295">
        <v>1</v>
      </c>
      <c r="D218" s="295"/>
      <c r="E218" s="176"/>
      <c r="F218" s="295"/>
      <c r="G218" s="298"/>
      <c r="H218" s="638" t="e">
        <f>AVERAGE(G218:G247)</f>
        <v>#DIV/0!</v>
      </c>
      <c r="I218" s="193" t="e">
        <f t="shared" ref="I218:J241" si="38">AVERAGEIF($D$7:$D$211,$D218,I$7:I$211)</f>
        <v>#DIV/0!</v>
      </c>
      <c r="J218" s="193" t="e">
        <f t="shared" si="38"/>
        <v>#DIV/0!</v>
      </c>
      <c r="K218" s="193" t="e">
        <f t="shared" ref="K218:K241" si="39">AVERAGEIF($D$7:$D$211,$D218,K$7:K$211)</f>
        <v>#DIV/0!</v>
      </c>
      <c r="L218" s="644" t="e">
        <f>AVERAGE(K218:K247)</f>
        <v>#DIV/0!</v>
      </c>
      <c r="M218" s="193" t="e">
        <f>RANK(K218, K$218:$K$247)</f>
        <v>#DIV/0!</v>
      </c>
    </row>
    <row r="219" spans="2:53">
      <c r="B219" s="643"/>
      <c r="C219" s="295">
        <v>2</v>
      </c>
      <c r="D219" s="295"/>
      <c r="E219" s="176"/>
      <c r="F219" s="295"/>
      <c r="G219" s="298"/>
      <c r="H219" s="638"/>
      <c r="I219" s="193" t="e">
        <f t="shared" si="38"/>
        <v>#DIV/0!</v>
      </c>
      <c r="J219" s="193" t="e">
        <f t="shared" si="38"/>
        <v>#DIV/0!</v>
      </c>
      <c r="K219" s="193" t="e">
        <f t="shared" si="39"/>
        <v>#DIV/0!</v>
      </c>
      <c r="L219" s="644"/>
      <c r="M219" s="193" t="e">
        <f>RANK(K219, K$218:$K$247)</f>
        <v>#DIV/0!</v>
      </c>
    </row>
    <row r="220" spans="2:53">
      <c r="B220" s="643"/>
      <c r="C220" s="295">
        <v>3</v>
      </c>
      <c r="D220" s="295"/>
      <c r="E220" s="176"/>
      <c r="F220" s="295"/>
      <c r="G220" s="298"/>
      <c r="H220" s="638"/>
      <c r="I220" s="193" t="e">
        <f t="shared" si="38"/>
        <v>#DIV/0!</v>
      </c>
      <c r="J220" s="193" t="e">
        <f t="shared" si="38"/>
        <v>#DIV/0!</v>
      </c>
      <c r="K220" s="193" t="e">
        <f t="shared" si="39"/>
        <v>#DIV/0!</v>
      </c>
      <c r="L220" s="644"/>
      <c r="M220" s="193" t="e">
        <f>RANK(K220, K$218:$K$247)</f>
        <v>#DIV/0!</v>
      </c>
    </row>
    <row r="221" spans="2:53">
      <c r="B221" s="643"/>
      <c r="C221" s="295">
        <v>4</v>
      </c>
      <c r="D221" s="295"/>
      <c r="E221" s="176"/>
      <c r="F221" s="295"/>
      <c r="G221" s="298"/>
      <c r="H221" s="638"/>
      <c r="I221" s="193" t="e">
        <f t="shared" si="38"/>
        <v>#DIV/0!</v>
      </c>
      <c r="J221" s="193" t="e">
        <f t="shared" si="38"/>
        <v>#DIV/0!</v>
      </c>
      <c r="K221" s="193" t="e">
        <f t="shared" si="39"/>
        <v>#DIV/0!</v>
      </c>
      <c r="L221" s="644"/>
      <c r="M221" s="193" t="e">
        <f>RANK(K221, K$218:$K$247)</f>
        <v>#DIV/0!</v>
      </c>
    </row>
    <row r="222" spans="2:53">
      <c r="B222" s="643"/>
      <c r="C222" s="295">
        <v>5</v>
      </c>
      <c r="D222" s="295"/>
      <c r="E222" s="176"/>
      <c r="F222" s="295"/>
      <c r="G222" s="298"/>
      <c r="H222" s="638"/>
      <c r="I222" s="193" t="e">
        <f t="shared" si="38"/>
        <v>#DIV/0!</v>
      </c>
      <c r="J222" s="193" t="e">
        <f t="shared" si="38"/>
        <v>#DIV/0!</v>
      </c>
      <c r="K222" s="193" t="e">
        <f t="shared" si="39"/>
        <v>#DIV/0!</v>
      </c>
      <c r="L222" s="644"/>
      <c r="M222" s="193" t="e">
        <f>RANK(K222, K$218:$K$247)</f>
        <v>#DIV/0!</v>
      </c>
    </row>
    <row r="223" spans="2:53">
      <c r="B223" s="643"/>
      <c r="C223" s="295">
        <v>6</v>
      </c>
      <c r="D223" s="295"/>
      <c r="E223" s="176"/>
      <c r="F223" s="295"/>
      <c r="G223" s="298"/>
      <c r="H223" s="638"/>
      <c r="I223" s="193" t="e">
        <f t="shared" si="38"/>
        <v>#DIV/0!</v>
      </c>
      <c r="J223" s="193" t="e">
        <f t="shared" si="38"/>
        <v>#DIV/0!</v>
      </c>
      <c r="K223" s="193" t="e">
        <f t="shared" si="39"/>
        <v>#DIV/0!</v>
      </c>
      <c r="L223" s="644"/>
      <c r="M223" s="193" t="e">
        <f>RANK(K223, K$218:$K$247)</f>
        <v>#DIV/0!</v>
      </c>
    </row>
    <row r="224" spans="2:53">
      <c r="B224" s="643"/>
      <c r="C224" s="295">
        <v>7</v>
      </c>
      <c r="D224" s="295"/>
      <c r="E224" s="176"/>
      <c r="F224" s="295"/>
      <c r="G224" s="298"/>
      <c r="H224" s="638"/>
      <c r="I224" s="193" t="e">
        <f t="shared" si="38"/>
        <v>#DIV/0!</v>
      </c>
      <c r="J224" s="193" t="e">
        <f t="shared" si="38"/>
        <v>#DIV/0!</v>
      </c>
      <c r="K224" s="193" t="e">
        <f t="shared" si="39"/>
        <v>#DIV/0!</v>
      </c>
      <c r="L224" s="644"/>
      <c r="M224" s="193" t="e">
        <f>RANK(K224, K$218:$K$247)</f>
        <v>#DIV/0!</v>
      </c>
    </row>
    <row r="225" spans="2:39">
      <c r="B225" s="643"/>
      <c r="C225" s="295">
        <v>8</v>
      </c>
      <c r="D225" s="295"/>
      <c r="E225" s="176"/>
      <c r="F225" s="295"/>
      <c r="G225" s="298"/>
      <c r="H225" s="638"/>
      <c r="I225" s="193" t="e">
        <f t="shared" si="38"/>
        <v>#DIV/0!</v>
      </c>
      <c r="J225" s="193" t="e">
        <f t="shared" si="38"/>
        <v>#DIV/0!</v>
      </c>
      <c r="K225" s="193" t="e">
        <f t="shared" si="39"/>
        <v>#DIV/0!</v>
      </c>
      <c r="L225" s="644"/>
      <c r="M225" s="193" t="e">
        <f>RANK(K225, K$218:$K$247)</f>
        <v>#DIV/0!</v>
      </c>
      <c r="N225" s="107"/>
      <c r="O225" s="107"/>
      <c r="P225" s="107"/>
      <c r="Q225" s="107"/>
      <c r="R225" s="107"/>
      <c r="S225" s="107"/>
      <c r="T225" s="107"/>
      <c r="X225" s="107"/>
      <c r="AC225" s="107"/>
      <c r="AH225" s="107"/>
      <c r="AM225" s="107"/>
    </row>
    <row r="226" spans="2:39">
      <c r="B226" s="643"/>
      <c r="C226" s="295">
        <v>9</v>
      </c>
      <c r="D226" s="295"/>
      <c r="E226" s="176"/>
      <c r="F226" s="295"/>
      <c r="G226" s="298"/>
      <c r="H226" s="638"/>
      <c r="I226" s="193" t="e">
        <f t="shared" si="38"/>
        <v>#DIV/0!</v>
      </c>
      <c r="J226" s="193" t="e">
        <f t="shared" si="38"/>
        <v>#DIV/0!</v>
      </c>
      <c r="K226" s="193" t="e">
        <f t="shared" si="39"/>
        <v>#DIV/0!</v>
      </c>
      <c r="L226" s="644"/>
      <c r="M226" s="193" t="e">
        <f>RANK(K226, K$218:$K$247)</f>
        <v>#DIV/0!</v>
      </c>
      <c r="N226" s="107"/>
      <c r="O226" s="107"/>
      <c r="P226" s="107"/>
      <c r="Q226" s="107"/>
      <c r="R226" s="107"/>
      <c r="S226" s="107"/>
      <c r="T226" s="107"/>
      <c r="X226" s="107"/>
      <c r="AC226" s="107"/>
      <c r="AH226" s="107"/>
      <c r="AM226" s="107"/>
    </row>
    <row r="227" spans="2:39">
      <c r="B227" s="643"/>
      <c r="C227" s="295">
        <v>10</v>
      </c>
      <c r="D227" s="295"/>
      <c r="E227" s="176"/>
      <c r="F227" s="295"/>
      <c r="G227" s="298"/>
      <c r="H227" s="638"/>
      <c r="I227" s="193" t="e">
        <f t="shared" si="38"/>
        <v>#DIV/0!</v>
      </c>
      <c r="J227" s="193" t="e">
        <f t="shared" si="38"/>
        <v>#DIV/0!</v>
      </c>
      <c r="K227" s="193" t="e">
        <f t="shared" si="39"/>
        <v>#DIV/0!</v>
      </c>
      <c r="L227" s="644"/>
      <c r="M227" s="193" t="e">
        <f>RANK(K227, K$218:$K$247)</f>
        <v>#DIV/0!</v>
      </c>
      <c r="N227" s="107"/>
      <c r="O227" s="107"/>
      <c r="P227" s="107"/>
      <c r="Q227" s="107"/>
      <c r="R227" s="107"/>
      <c r="S227" s="107"/>
      <c r="T227" s="107"/>
      <c r="X227" s="107"/>
      <c r="AC227" s="107"/>
      <c r="AH227" s="107"/>
      <c r="AM227" s="107"/>
    </row>
    <row r="228" spans="2:39">
      <c r="B228" s="643"/>
      <c r="C228" s="295">
        <v>11</v>
      </c>
      <c r="D228" s="295"/>
      <c r="E228" s="176"/>
      <c r="F228" s="295"/>
      <c r="G228" s="298"/>
      <c r="H228" s="638"/>
      <c r="I228" s="193" t="e">
        <f t="shared" si="38"/>
        <v>#DIV/0!</v>
      </c>
      <c r="J228" s="193" t="e">
        <f t="shared" si="38"/>
        <v>#DIV/0!</v>
      </c>
      <c r="K228" s="193" t="e">
        <f t="shared" si="39"/>
        <v>#DIV/0!</v>
      </c>
      <c r="L228" s="644"/>
      <c r="M228" s="193" t="e">
        <f>RANK(K228, K$218:$K$247)</f>
        <v>#DIV/0!</v>
      </c>
      <c r="N228" s="107"/>
      <c r="O228" s="107"/>
      <c r="P228" s="107"/>
      <c r="Q228" s="107"/>
      <c r="R228" s="107"/>
      <c r="S228" s="107"/>
      <c r="T228" s="107"/>
      <c r="X228" s="107"/>
      <c r="AC228" s="107"/>
      <c r="AH228" s="107"/>
      <c r="AM228" s="107"/>
    </row>
    <row r="229" spans="2:39">
      <c r="B229" s="643"/>
      <c r="C229" s="295">
        <v>12</v>
      </c>
      <c r="D229" s="295"/>
      <c r="E229" s="176"/>
      <c r="F229" s="295"/>
      <c r="G229" s="298"/>
      <c r="H229" s="638"/>
      <c r="I229" s="193" t="e">
        <f t="shared" si="38"/>
        <v>#DIV/0!</v>
      </c>
      <c r="J229" s="193" t="e">
        <f t="shared" si="38"/>
        <v>#DIV/0!</v>
      </c>
      <c r="K229" s="193" t="e">
        <f t="shared" si="39"/>
        <v>#DIV/0!</v>
      </c>
      <c r="L229" s="644"/>
      <c r="M229" s="193" t="e">
        <f>RANK(K229, K$218:$K$247)</f>
        <v>#DIV/0!</v>
      </c>
      <c r="N229" s="107"/>
      <c r="O229" s="107"/>
      <c r="P229" s="107"/>
      <c r="Q229" s="107"/>
      <c r="R229" s="107"/>
      <c r="S229" s="107"/>
      <c r="T229" s="107"/>
      <c r="X229" s="107"/>
      <c r="AC229" s="107"/>
      <c r="AH229" s="107"/>
      <c r="AM229" s="107"/>
    </row>
    <row r="230" spans="2:39">
      <c r="B230" s="643"/>
      <c r="C230" s="295">
        <v>13</v>
      </c>
      <c r="D230" s="295"/>
      <c r="E230" s="176"/>
      <c r="F230" s="295"/>
      <c r="G230" s="298"/>
      <c r="H230" s="638"/>
      <c r="I230" s="193" t="e">
        <f t="shared" si="38"/>
        <v>#DIV/0!</v>
      </c>
      <c r="J230" s="193" t="e">
        <f t="shared" si="38"/>
        <v>#DIV/0!</v>
      </c>
      <c r="K230" s="193" t="e">
        <f t="shared" si="39"/>
        <v>#DIV/0!</v>
      </c>
      <c r="L230" s="644"/>
      <c r="M230" s="193" t="e">
        <f>RANK(K230, K$218:$K$247)</f>
        <v>#DIV/0!</v>
      </c>
      <c r="N230" s="107"/>
      <c r="O230" s="107"/>
      <c r="P230" s="107"/>
      <c r="Q230" s="107"/>
      <c r="R230" s="107"/>
      <c r="S230" s="107"/>
      <c r="T230" s="107"/>
      <c r="X230" s="107"/>
      <c r="AC230" s="107"/>
      <c r="AH230" s="107"/>
      <c r="AM230" s="107"/>
    </row>
    <row r="231" spans="2:39">
      <c r="B231" s="643"/>
      <c r="C231" s="295">
        <v>14</v>
      </c>
      <c r="D231" s="295"/>
      <c r="E231" s="176"/>
      <c r="F231" s="295"/>
      <c r="G231" s="298"/>
      <c r="H231" s="638"/>
      <c r="I231" s="193" t="e">
        <f t="shared" si="38"/>
        <v>#DIV/0!</v>
      </c>
      <c r="J231" s="193" t="e">
        <f t="shared" si="38"/>
        <v>#DIV/0!</v>
      </c>
      <c r="K231" s="193" t="e">
        <f t="shared" si="39"/>
        <v>#DIV/0!</v>
      </c>
      <c r="L231" s="644"/>
      <c r="M231" s="193" t="e">
        <f>RANK(K231, K$218:$K$247)</f>
        <v>#DIV/0!</v>
      </c>
      <c r="N231" s="107"/>
      <c r="O231" s="107"/>
      <c r="P231" s="107"/>
      <c r="Q231" s="107"/>
      <c r="R231" s="107"/>
      <c r="S231" s="107"/>
      <c r="T231" s="107"/>
      <c r="X231" s="107"/>
      <c r="AC231" s="107"/>
      <c r="AH231" s="107"/>
      <c r="AM231" s="107"/>
    </row>
    <row r="232" spans="2:39">
      <c r="B232" s="643"/>
      <c r="C232" s="295">
        <v>15</v>
      </c>
      <c r="D232" s="295"/>
      <c r="E232" s="176"/>
      <c r="F232" s="295"/>
      <c r="G232" s="298"/>
      <c r="H232" s="638"/>
      <c r="I232" s="193" t="e">
        <f t="shared" si="38"/>
        <v>#DIV/0!</v>
      </c>
      <c r="J232" s="193" t="e">
        <f t="shared" si="38"/>
        <v>#DIV/0!</v>
      </c>
      <c r="K232" s="193" t="e">
        <f t="shared" si="39"/>
        <v>#DIV/0!</v>
      </c>
      <c r="L232" s="644"/>
      <c r="M232" s="193" t="e">
        <f>RANK(K232, K$218:$K$247)</f>
        <v>#DIV/0!</v>
      </c>
      <c r="N232" s="107"/>
      <c r="O232" s="107"/>
      <c r="P232" s="107"/>
      <c r="Q232" s="107"/>
      <c r="R232" s="107"/>
      <c r="S232" s="107"/>
      <c r="T232" s="107"/>
      <c r="X232" s="107"/>
      <c r="AC232" s="107"/>
      <c r="AH232" s="107"/>
      <c r="AM232" s="107"/>
    </row>
    <row r="233" spans="2:39">
      <c r="B233" s="643"/>
      <c r="C233" s="295">
        <v>16</v>
      </c>
      <c r="D233" s="295"/>
      <c r="E233" s="176"/>
      <c r="F233" s="295"/>
      <c r="G233" s="298"/>
      <c r="H233" s="638"/>
      <c r="I233" s="193" t="e">
        <f t="shared" si="38"/>
        <v>#DIV/0!</v>
      </c>
      <c r="J233" s="193" t="e">
        <f t="shared" si="38"/>
        <v>#DIV/0!</v>
      </c>
      <c r="K233" s="193" t="e">
        <f t="shared" si="39"/>
        <v>#DIV/0!</v>
      </c>
      <c r="L233" s="644"/>
      <c r="M233" s="193" t="e">
        <f>RANK(K233, K$218:$K$247)</f>
        <v>#DIV/0!</v>
      </c>
      <c r="N233" s="107"/>
      <c r="O233" s="107"/>
      <c r="P233" s="107"/>
      <c r="Q233" s="107"/>
      <c r="R233" s="107"/>
      <c r="S233" s="107"/>
      <c r="T233" s="107"/>
      <c r="X233" s="107"/>
      <c r="AC233" s="107"/>
      <c r="AH233" s="107"/>
      <c r="AM233" s="107"/>
    </row>
    <row r="234" spans="2:39">
      <c r="B234" s="643"/>
      <c r="C234" s="295">
        <v>17</v>
      </c>
      <c r="D234" s="295"/>
      <c r="E234" s="176"/>
      <c r="F234" s="295"/>
      <c r="G234" s="298"/>
      <c r="H234" s="638"/>
      <c r="I234" s="193" t="e">
        <f t="shared" si="38"/>
        <v>#DIV/0!</v>
      </c>
      <c r="J234" s="193" t="e">
        <f t="shared" si="38"/>
        <v>#DIV/0!</v>
      </c>
      <c r="K234" s="193" t="e">
        <f t="shared" si="39"/>
        <v>#DIV/0!</v>
      </c>
      <c r="L234" s="644"/>
      <c r="M234" s="193" t="e">
        <f>RANK(K234, K$218:$K$247)</f>
        <v>#DIV/0!</v>
      </c>
      <c r="N234" s="107"/>
      <c r="O234" s="107"/>
      <c r="P234" s="107"/>
      <c r="Q234" s="107"/>
      <c r="R234" s="107"/>
      <c r="S234" s="107"/>
      <c r="T234" s="107"/>
      <c r="X234" s="107"/>
      <c r="AC234" s="107"/>
      <c r="AH234" s="107"/>
      <c r="AM234" s="107"/>
    </row>
    <row r="235" spans="2:39">
      <c r="B235" s="643"/>
      <c r="C235" s="295">
        <v>18</v>
      </c>
      <c r="D235" s="295"/>
      <c r="E235" s="176"/>
      <c r="F235" s="295"/>
      <c r="G235" s="298"/>
      <c r="H235" s="638"/>
      <c r="I235" s="193" t="e">
        <f t="shared" si="38"/>
        <v>#DIV/0!</v>
      </c>
      <c r="J235" s="193" t="e">
        <f t="shared" si="38"/>
        <v>#DIV/0!</v>
      </c>
      <c r="K235" s="193" t="e">
        <f t="shared" si="39"/>
        <v>#DIV/0!</v>
      </c>
      <c r="L235" s="644"/>
      <c r="M235" s="193" t="e">
        <f>RANK(K235, K$218:$K$247)</f>
        <v>#DIV/0!</v>
      </c>
      <c r="N235" s="107"/>
      <c r="O235" s="107"/>
      <c r="P235" s="107"/>
      <c r="Q235" s="107"/>
      <c r="R235" s="107"/>
      <c r="S235" s="107"/>
      <c r="T235" s="107"/>
      <c r="X235" s="107"/>
      <c r="AC235" s="107"/>
      <c r="AH235" s="107"/>
      <c r="AM235" s="107"/>
    </row>
    <row r="236" spans="2:39">
      <c r="B236" s="643"/>
      <c r="C236" s="295">
        <v>19</v>
      </c>
      <c r="D236" s="295"/>
      <c r="E236" s="176"/>
      <c r="F236" s="295"/>
      <c r="G236" s="298"/>
      <c r="H236" s="638"/>
      <c r="I236" s="193" t="e">
        <f t="shared" si="38"/>
        <v>#DIV/0!</v>
      </c>
      <c r="J236" s="193" t="e">
        <f t="shared" si="38"/>
        <v>#DIV/0!</v>
      </c>
      <c r="K236" s="193" t="e">
        <f t="shared" si="39"/>
        <v>#DIV/0!</v>
      </c>
      <c r="L236" s="644"/>
      <c r="M236" s="193" t="e">
        <f>RANK(K236, K$218:$K$247)</f>
        <v>#DIV/0!</v>
      </c>
      <c r="N236" s="107"/>
      <c r="O236" s="107"/>
      <c r="P236" s="107"/>
      <c r="Q236" s="107"/>
      <c r="R236" s="107"/>
      <c r="S236" s="107"/>
      <c r="T236" s="107"/>
      <c r="X236" s="107"/>
      <c r="AC236" s="107"/>
      <c r="AH236" s="107"/>
      <c r="AM236" s="107"/>
    </row>
    <row r="237" spans="2:39">
      <c r="B237" s="643"/>
      <c r="C237" s="295">
        <v>20</v>
      </c>
      <c r="D237" s="295"/>
      <c r="E237" s="176"/>
      <c r="F237" s="295"/>
      <c r="G237" s="298"/>
      <c r="H237" s="638"/>
      <c r="I237" s="193" t="e">
        <f t="shared" si="38"/>
        <v>#DIV/0!</v>
      </c>
      <c r="J237" s="193" t="e">
        <f t="shared" si="38"/>
        <v>#DIV/0!</v>
      </c>
      <c r="K237" s="193" t="e">
        <f t="shared" si="39"/>
        <v>#DIV/0!</v>
      </c>
      <c r="L237" s="644"/>
      <c r="M237" s="193" t="e">
        <f>RANK(K237, K$218:$K$247)</f>
        <v>#DIV/0!</v>
      </c>
      <c r="N237" s="107"/>
      <c r="O237" s="107"/>
      <c r="P237" s="107"/>
      <c r="Q237" s="107"/>
      <c r="R237" s="107"/>
      <c r="S237" s="107"/>
      <c r="T237" s="107"/>
      <c r="X237" s="107"/>
      <c r="AC237" s="107"/>
      <c r="AH237" s="107"/>
      <c r="AM237" s="107"/>
    </row>
    <row r="238" spans="2:39">
      <c r="B238" s="643"/>
      <c r="C238" s="295">
        <v>21</v>
      </c>
      <c r="D238" s="295"/>
      <c r="E238" s="176"/>
      <c r="F238" s="295"/>
      <c r="G238" s="298"/>
      <c r="H238" s="638"/>
      <c r="I238" s="193" t="e">
        <f t="shared" si="38"/>
        <v>#DIV/0!</v>
      </c>
      <c r="J238" s="193" t="e">
        <f t="shared" si="38"/>
        <v>#DIV/0!</v>
      </c>
      <c r="K238" s="193" t="e">
        <f t="shared" si="39"/>
        <v>#DIV/0!</v>
      </c>
      <c r="L238" s="644"/>
      <c r="M238" s="193" t="e">
        <f>RANK(K238, K$218:$K$247)</f>
        <v>#DIV/0!</v>
      </c>
      <c r="N238" s="107"/>
      <c r="O238" s="107"/>
      <c r="P238" s="107"/>
      <c r="Q238" s="107"/>
      <c r="R238" s="107"/>
      <c r="S238" s="107"/>
      <c r="T238" s="107"/>
      <c r="X238" s="107"/>
      <c r="AC238" s="107"/>
      <c r="AH238" s="107"/>
      <c r="AM238" s="107"/>
    </row>
    <row r="239" spans="2:39">
      <c r="B239" s="643"/>
      <c r="C239" s="295">
        <v>22</v>
      </c>
      <c r="D239" s="295"/>
      <c r="E239" s="176"/>
      <c r="F239" s="295"/>
      <c r="G239" s="298"/>
      <c r="H239" s="638"/>
      <c r="I239" s="193" t="e">
        <f t="shared" si="38"/>
        <v>#DIV/0!</v>
      </c>
      <c r="J239" s="193" t="e">
        <f t="shared" si="38"/>
        <v>#DIV/0!</v>
      </c>
      <c r="K239" s="193" t="e">
        <f t="shared" si="39"/>
        <v>#DIV/0!</v>
      </c>
      <c r="L239" s="644"/>
      <c r="M239" s="193" t="e">
        <f>RANK(K239, K$218:$K$247)</f>
        <v>#DIV/0!</v>
      </c>
      <c r="N239" s="107"/>
      <c r="O239" s="107"/>
      <c r="P239" s="107"/>
      <c r="Q239" s="107"/>
      <c r="R239" s="107"/>
      <c r="S239" s="107"/>
      <c r="T239" s="107"/>
      <c r="X239" s="107"/>
      <c r="AC239" s="107"/>
      <c r="AH239" s="107"/>
      <c r="AM239" s="107"/>
    </row>
    <row r="240" spans="2:39">
      <c r="B240" s="643"/>
      <c r="C240" s="295">
        <v>23</v>
      </c>
      <c r="D240" s="295"/>
      <c r="E240" s="176"/>
      <c r="F240" s="295"/>
      <c r="G240" s="298"/>
      <c r="H240" s="638"/>
      <c r="I240" s="193" t="e">
        <f t="shared" si="38"/>
        <v>#DIV/0!</v>
      </c>
      <c r="J240" s="193" t="e">
        <f t="shared" si="38"/>
        <v>#DIV/0!</v>
      </c>
      <c r="K240" s="193" t="e">
        <f t="shared" si="39"/>
        <v>#DIV/0!</v>
      </c>
      <c r="L240" s="644"/>
      <c r="M240" s="193" t="e">
        <f>RANK(K240, K$218:$K$247)</f>
        <v>#DIV/0!</v>
      </c>
      <c r="N240" s="107"/>
      <c r="O240" s="107"/>
      <c r="P240" s="107"/>
      <c r="Q240" s="107"/>
      <c r="R240" s="107"/>
      <c r="S240" s="107"/>
      <c r="T240" s="107"/>
      <c r="X240" s="107"/>
      <c r="AC240" s="107"/>
      <c r="AH240" s="107"/>
      <c r="AM240" s="107"/>
    </row>
    <row r="241" spans="2:39">
      <c r="B241" s="643"/>
      <c r="C241" s="295">
        <v>24</v>
      </c>
      <c r="D241" s="295"/>
      <c r="E241" s="176"/>
      <c r="F241" s="295"/>
      <c r="G241" s="298"/>
      <c r="H241" s="638"/>
      <c r="I241" s="193" t="e">
        <f t="shared" si="38"/>
        <v>#DIV/0!</v>
      </c>
      <c r="J241" s="193" t="e">
        <f t="shared" si="38"/>
        <v>#DIV/0!</v>
      </c>
      <c r="K241" s="193" t="e">
        <f t="shared" si="39"/>
        <v>#DIV/0!</v>
      </c>
      <c r="L241" s="644"/>
      <c r="M241" s="193" t="e">
        <f>RANK(K241, K$218:$K$247)</f>
        <v>#DIV/0!</v>
      </c>
      <c r="N241" s="107"/>
      <c r="O241" s="107"/>
      <c r="P241" s="107"/>
      <c r="Q241" s="107"/>
      <c r="R241" s="107"/>
      <c r="S241" s="107"/>
      <c r="T241" s="107"/>
      <c r="X241" s="107"/>
      <c r="AC241" s="107"/>
      <c r="AH241" s="107"/>
      <c r="AM241" s="107"/>
    </row>
    <row r="242" spans="2:39">
      <c r="B242" s="643"/>
      <c r="C242" s="295">
        <v>25</v>
      </c>
      <c r="D242" s="295"/>
      <c r="E242" s="176"/>
      <c r="F242" s="295"/>
      <c r="G242" s="298"/>
      <c r="H242" s="638"/>
      <c r="I242" s="193"/>
      <c r="J242" s="193"/>
      <c r="K242" s="193"/>
      <c r="L242" s="644"/>
      <c r="M242" s="193" t="e">
        <f>RANK(K242, K$218:$K$247)</f>
        <v>#DIV/0!</v>
      </c>
      <c r="N242" s="107"/>
      <c r="O242" s="107"/>
      <c r="P242" s="107"/>
      <c r="Q242" s="107"/>
      <c r="R242" s="107"/>
      <c r="S242" s="107"/>
      <c r="T242" s="107"/>
      <c r="X242" s="107"/>
      <c r="AC242" s="107"/>
      <c r="AH242" s="107"/>
      <c r="AM242" s="107"/>
    </row>
    <row r="243" spans="2:39">
      <c r="B243" s="643"/>
      <c r="C243" s="295">
        <v>26</v>
      </c>
      <c r="D243" s="295"/>
      <c r="E243" s="176"/>
      <c r="F243" s="295"/>
      <c r="G243" s="298"/>
      <c r="H243" s="638"/>
      <c r="I243" s="193"/>
      <c r="J243" s="193"/>
      <c r="K243" s="193"/>
      <c r="L243" s="644"/>
      <c r="M243" s="193" t="e">
        <f>RANK(K243, K$218:$K$247)</f>
        <v>#DIV/0!</v>
      </c>
      <c r="N243" s="107"/>
      <c r="O243" s="107"/>
      <c r="P243" s="107"/>
      <c r="Q243" s="107"/>
      <c r="R243" s="107"/>
      <c r="S243" s="107"/>
      <c r="T243" s="107"/>
      <c r="X243" s="107"/>
      <c r="AC243" s="107"/>
      <c r="AH243" s="107"/>
      <c r="AM243" s="107"/>
    </row>
    <row r="244" spans="2:39">
      <c r="B244" s="643"/>
      <c r="C244" s="295">
        <v>27</v>
      </c>
      <c r="D244" s="295"/>
      <c r="E244" s="176"/>
      <c r="F244" s="295"/>
      <c r="G244" s="298"/>
      <c r="H244" s="638"/>
      <c r="I244" s="193"/>
      <c r="J244" s="193"/>
      <c r="K244" s="193"/>
      <c r="L244" s="644"/>
      <c r="M244" s="193" t="e">
        <f>RANK(K244, K$218:$K$247)</f>
        <v>#DIV/0!</v>
      </c>
      <c r="N244" s="107"/>
      <c r="O244" s="107"/>
      <c r="P244" s="107"/>
      <c r="Q244" s="107"/>
      <c r="R244" s="107"/>
      <c r="S244" s="107"/>
      <c r="T244" s="107"/>
      <c r="X244" s="107"/>
      <c r="AC244" s="107"/>
      <c r="AH244" s="107"/>
      <c r="AM244" s="107"/>
    </row>
    <row r="245" spans="2:39">
      <c r="B245" s="643"/>
      <c r="C245" s="295">
        <v>28</v>
      </c>
      <c r="D245" s="295"/>
      <c r="E245" s="176"/>
      <c r="F245" s="295"/>
      <c r="G245" s="298"/>
      <c r="H245" s="638"/>
      <c r="I245" s="193"/>
      <c r="J245" s="193"/>
      <c r="K245" s="193"/>
      <c r="L245" s="644"/>
      <c r="M245" s="193" t="e">
        <f>RANK(K245, K$218:$K$247)</f>
        <v>#DIV/0!</v>
      </c>
      <c r="N245" s="107"/>
      <c r="O245" s="107"/>
      <c r="P245" s="107"/>
      <c r="Q245" s="107"/>
      <c r="R245" s="107"/>
      <c r="S245" s="107"/>
      <c r="T245" s="107"/>
      <c r="X245" s="107"/>
      <c r="AC245" s="107"/>
      <c r="AH245" s="107"/>
      <c r="AM245" s="107"/>
    </row>
    <row r="246" spans="2:39">
      <c r="B246" s="643"/>
      <c r="C246" s="295">
        <v>29</v>
      </c>
      <c r="D246" s="295"/>
      <c r="E246" s="176"/>
      <c r="F246" s="295"/>
      <c r="G246" s="298"/>
      <c r="H246" s="638"/>
      <c r="I246" s="193"/>
      <c r="J246" s="193"/>
      <c r="K246" s="193"/>
      <c r="L246" s="644"/>
      <c r="M246" s="193" t="e">
        <f>RANK(K246, K$218:$K$247)</f>
        <v>#DIV/0!</v>
      </c>
      <c r="N246" s="107"/>
      <c r="O246" s="107"/>
      <c r="P246" s="107"/>
      <c r="Q246" s="107"/>
      <c r="R246" s="107"/>
      <c r="S246" s="107"/>
      <c r="T246" s="107"/>
      <c r="X246" s="107"/>
      <c r="AC246" s="107"/>
      <c r="AH246" s="107"/>
      <c r="AM246" s="107"/>
    </row>
    <row r="247" spans="2:39">
      <c r="B247" s="643"/>
      <c r="C247" s="295">
        <v>30</v>
      </c>
      <c r="D247" s="295"/>
      <c r="E247" s="176"/>
      <c r="F247" s="295"/>
      <c r="G247" s="298"/>
      <c r="H247" s="638"/>
      <c r="I247" s="193"/>
      <c r="J247" s="193"/>
      <c r="K247" s="193"/>
      <c r="L247" s="644"/>
      <c r="M247" s="193" t="e">
        <f>RANK(K247, K$218:$K$247)</f>
        <v>#DIV/0!</v>
      </c>
      <c r="N247" s="107"/>
      <c r="O247" s="107"/>
      <c r="P247" s="107"/>
      <c r="Q247" s="107"/>
      <c r="R247" s="107"/>
      <c r="S247" s="107"/>
      <c r="T247" s="107"/>
      <c r="X247" s="107"/>
      <c r="AC247" s="107"/>
      <c r="AH247" s="107"/>
      <c r="AM247" s="107"/>
    </row>
  </sheetData>
  <mergeCells count="379">
    <mergeCell ref="BA147:BA176"/>
    <mergeCell ref="BA179:BA181"/>
    <mergeCell ref="BA182:BA211"/>
    <mergeCell ref="BA4:BA6"/>
    <mergeCell ref="BA7:BA36"/>
    <mergeCell ref="BA39:BA41"/>
    <mergeCell ref="BA42:BA71"/>
    <mergeCell ref="BA74:BA76"/>
    <mergeCell ref="BA77:BA106"/>
    <mergeCell ref="BA109:BA111"/>
    <mergeCell ref="BA112:BA141"/>
    <mergeCell ref="BA144:BA146"/>
    <mergeCell ref="B147:B176"/>
    <mergeCell ref="AS147:AS176"/>
    <mergeCell ref="AX147:AX176"/>
    <mergeCell ref="AO145:AR145"/>
    <mergeCell ref="AT145:AW145"/>
    <mergeCell ref="AO144:AR144"/>
    <mergeCell ref="AS144:AS146"/>
    <mergeCell ref="AT144:AW144"/>
    <mergeCell ref="AX144:AX146"/>
    <mergeCell ref="AJ145:AM145"/>
    <mergeCell ref="AN147:AN176"/>
    <mergeCell ref="AN144:AN146"/>
    <mergeCell ref="AJ144:AM144"/>
    <mergeCell ref="C144:D146"/>
    <mergeCell ref="E144:G144"/>
    <mergeCell ref="H144:H146"/>
    <mergeCell ref="I144:K144"/>
    <mergeCell ref="L144:L146"/>
    <mergeCell ref="AD144:AD146"/>
    <mergeCell ref="AE144:AH144"/>
    <mergeCell ref="AI144:AI146"/>
    <mergeCell ref="AE145:AH145"/>
    <mergeCell ref="Z145:AC145"/>
    <mergeCell ref="Y144:Y146"/>
    <mergeCell ref="Z144:AC144"/>
    <mergeCell ref="P144:S144"/>
    <mergeCell ref="T144:T146"/>
    <mergeCell ref="U144:X144"/>
    <mergeCell ref="E145:G145"/>
    <mergeCell ref="I145:K145"/>
    <mergeCell ref="P145:S145"/>
    <mergeCell ref="U145:X145"/>
    <mergeCell ref="M144:M146"/>
    <mergeCell ref="N144:N176"/>
    <mergeCell ref="O144:O176"/>
    <mergeCell ref="H147:H176"/>
    <mergeCell ref="L147:L176"/>
    <mergeCell ref="T147:T176"/>
    <mergeCell ref="Y147:Y176"/>
    <mergeCell ref="AX112:AX141"/>
    <mergeCell ref="B142:H143"/>
    <mergeCell ref="N142:N143"/>
    <mergeCell ref="O142:O143"/>
    <mergeCell ref="P142:T142"/>
    <mergeCell ref="U142:Y142"/>
    <mergeCell ref="Z142:AD142"/>
    <mergeCell ref="AE142:AI142"/>
    <mergeCell ref="AJ142:AN142"/>
    <mergeCell ref="AO142:AS142"/>
    <mergeCell ref="AT142:AX142"/>
    <mergeCell ref="P143:T143"/>
    <mergeCell ref="U143:Y143"/>
    <mergeCell ref="Z143:AD143"/>
    <mergeCell ref="AE143:AI143"/>
    <mergeCell ref="AJ143:AN143"/>
    <mergeCell ref="AO143:AS143"/>
    <mergeCell ref="AT143:AX143"/>
    <mergeCell ref="AO110:AR110"/>
    <mergeCell ref="AT110:AW110"/>
    <mergeCell ref="B112:B141"/>
    <mergeCell ref="H112:H141"/>
    <mergeCell ref="L112:L141"/>
    <mergeCell ref="T112:T141"/>
    <mergeCell ref="Y112:Y141"/>
    <mergeCell ref="AD112:AD141"/>
    <mergeCell ref="AI112:AI141"/>
    <mergeCell ref="AN112:AN141"/>
    <mergeCell ref="AN109:AN111"/>
    <mergeCell ref="AO109:AR109"/>
    <mergeCell ref="AS109:AS111"/>
    <mergeCell ref="AT109:AW109"/>
    <mergeCell ref="B109:B111"/>
    <mergeCell ref="C109:D111"/>
    <mergeCell ref="AS112:AS141"/>
    <mergeCell ref="H109:H111"/>
    <mergeCell ref="I109:K109"/>
    <mergeCell ref="L109:L111"/>
    <mergeCell ref="AD147:AD176"/>
    <mergeCell ref="AI147:AI176"/>
    <mergeCell ref="B144:B146"/>
    <mergeCell ref="AX109:AX111"/>
    <mergeCell ref="E110:G110"/>
    <mergeCell ref="I110:K110"/>
    <mergeCell ref="P110:S110"/>
    <mergeCell ref="U110:X110"/>
    <mergeCell ref="Z110:AC110"/>
    <mergeCell ref="Y109:Y111"/>
    <mergeCell ref="Z109:AC109"/>
    <mergeCell ref="AD109:AD111"/>
    <mergeCell ref="AE109:AH109"/>
    <mergeCell ref="AI109:AI111"/>
    <mergeCell ref="AJ109:AM109"/>
    <mergeCell ref="AE110:AH110"/>
    <mergeCell ref="AJ110:AM110"/>
    <mergeCell ref="M109:M111"/>
    <mergeCell ref="N109:N141"/>
    <mergeCell ref="O109:O141"/>
    <mergeCell ref="P109:S109"/>
    <mergeCell ref="T109:T111"/>
    <mergeCell ref="U109:X109"/>
    <mergeCell ref="E109:G109"/>
    <mergeCell ref="AX77:AX106"/>
    <mergeCell ref="B107:H108"/>
    <mergeCell ref="N107:N108"/>
    <mergeCell ref="O107:O108"/>
    <mergeCell ref="P107:T107"/>
    <mergeCell ref="U107:Y107"/>
    <mergeCell ref="Z107:AD107"/>
    <mergeCell ref="AE107:AI107"/>
    <mergeCell ref="AJ107:AN107"/>
    <mergeCell ref="AO107:AS107"/>
    <mergeCell ref="AT107:AX107"/>
    <mergeCell ref="P108:T108"/>
    <mergeCell ref="U108:Y108"/>
    <mergeCell ref="Z108:AD108"/>
    <mergeCell ref="AE108:AI108"/>
    <mergeCell ref="AJ108:AN108"/>
    <mergeCell ref="AO108:AS108"/>
    <mergeCell ref="AT108:AX108"/>
    <mergeCell ref="AO75:AR75"/>
    <mergeCell ref="AT75:AW75"/>
    <mergeCell ref="B77:B106"/>
    <mergeCell ref="H77:H106"/>
    <mergeCell ref="L77:L106"/>
    <mergeCell ref="T77:T106"/>
    <mergeCell ref="Y77:Y106"/>
    <mergeCell ref="AD77:AD106"/>
    <mergeCell ref="AI77:AI106"/>
    <mergeCell ref="AN77:AN106"/>
    <mergeCell ref="AN74:AN76"/>
    <mergeCell ref="AO74:AR74"/>
    <mergeCell ref="AS74:AS76"/>
    <mergeCell ref="AT74:AW74"/>
    <mergeCell ref="B74:B76"/>
    <mergeCell ref="C74:D76"/>
    <mergeCell ref="AS77:AS106"/>
    <mergeCell ref="AX74:AX76"/>
    <mergeCell ref="E75:G75"/>
    <mergeCell ref="I75:K75"/>
    <mergeCell ref="P75:S75"/>
    <mergeCell ref="U75:X75"/>
    <mergeCell ref="Z75:AC75"/>
    <mergeCell ref="Y74:Y76"/>
    <mergeCell ref="Z74:AC74"/>
    <mergeCell ref="AD74:AD76"/>
    <mergeCell ref="AE74:AH74"/>
    <mergeCell ref="AI74:AI76"/>
    <mergeCell ref="AJ74:AM74"/>
    <mergeCell ref="AE75:AH75"/>
    <mergeCell ref="AJ75:AM75"/>
    <mergeCell ref="M74:M76"/>
    <mergeCell ref="N74:N106"/>
    <mergeCell ref="O74:O106"/>
    <mergeCell ref="P74:S74"/>
    <mergeCell ref="T74:T76"/>
    <mergeCell ref="U74:X74"/>
    <mergeCell ref="E74:G74"/>
    <mergeCell ref="H74:H76"/>
    <mergeCell ref="I74:K74"/>
    <mergeCell ref="L74:L76"/>
    <mergeCell ref="AX42:AX71"/>
    <mergeCell ref="B72:H73"/>
    <mergeCell ref="N72:N73"/>
    <mergeCell ref="O72:O73"/>
    <mergeCell ref="P72:T72"/>
    <mergeCell ref="U72:Y72"/>
    <mergeCell ref="Z72:AD72"/>
    <mergeCell ref="AE72:AI72"/>
    <mergeCell ref="AJ72:AN72"/>
    <mergeCell ref="AO72:AS72"/>
    <mergeCell ref="AT72:AX72"/>
    <mergeCell ref="P73:T73"/>
    <mergeCell ref="U73:Y73"/>
    <mergeCell ref="Z73:AD73"/>
    <mergeCell ref="AE73:AI73"/>
    <mergeCell ref="AJ73:AN73"/>
    <mergeCell ref="AO73:AS73"/>
    <mergeCell ref="AT73:AX73"/>
    <mergeCell ref="AO40:AR40"/>
    <mergeCell ref="AT40:AW40"/>
    <mergeCell ref="B42:B71"/>
    <mergeCell ref="H42:H71"/>
    <mergeCell ref="L42:L71"/>
    <mergeCell ref="T42:T71"/>
    <mergeCell ref="Y42:Y71"/>
    <mergeCell ref="AD42:AD71"/>
    <mergeCell ref="AI42:AI71"/>
    <mergeCell ref="AN42:AN71"/>
    <mergeCell ref="AN39:AN41"/>
    <mergeCell ref="AO39:AR39"/>
    <mergeCell ref="AS39:AS41"/>
    <mergeCell ref="AT39:AW39"/>
    <mergeCell ref="B39:B41"/>
    <mergeCell ref="C39:D41"/>
    <mergeCell ref="AS42:AS71"/>
    <mergeCell ref="AX39:AX41"/>
    <mergeCell ref="E40:G40"/>
    <mergeCell ref="I40:K40"/>
    <mergeCell ref="P40:S40"/>
    <mergeCell ref="U40:X40"/>
    <mergeCell ref="Z40:AC40"/>
    <mergeCell ref="Y39:Y41"/>
    <mergeCell ref="Z39:AC39"/>
    <mergeCell ref="AD39:AD41"/>
    <mergeCell ref="AE39:AH39"/>
    <mergeCell ref="AI39:AI41"/>
    <mergeCell ref="AJ39:AM39"/>
    <mergeCell ref="AE40:AH40"/>
    <mergeCell ref="AJ40:AM40"/>
    <mergeCell ref="M39:M41"/>
    <mergeCell ref="N39:N71"/>
    <mergeCell ref="O39:O71"/>
    <mergeCell ref="P39:S39"/>
    <mergeCell ref="T39:T41"/>
    <mergeCell ref="U39:X39"/>
    <mergeCell ref="E39:G39"/>
    <mergeCell ref="H39:H41"/>
    <mergeCell ref="I39:K39"/>
    <mergeCell ref="L39:L41"/>
    <mergeCell ref="AT37:AX37"/>
    <mergeCell ref="P38:T38"/>
    <mergeCell ref="U38:Y38"/>
    <mergeCell ref="Z38:AD38"/>
    <mergeCell ref="AE38:AI38"/>
    <mergeCell ref="AJ38:AN38"/>
    <mergeCell ref="AO38:AS38"/>
    <mergeCell ref="AT38:AX38"/>
    <mergeCell ref="AX7:AX36"/>
    <mergeCell ref="B37:H38"/>
    <mergeCell ref="N37:N38"/>
    <mergeCell ref="O37:O38"/>
    <mergeCell ref="P37:T37"/>
    <mergeCell ref="U37:Y37"/>
    <mergeCell ref="Z37:AD37"/>
    <mergeCell ref="AE37:AI37"/>
    <mergeCell ref="AJ37:AN37"/>
    <mergeCell ref="AO37:AS37"/>
    <mergeCell ref="AD4:AD6"/>
    <mergeCell ref="AT5:AW5"/>
    <mergeCell ref="B7:B36"/>
    <mergeCell ref="H7:H36"/>
    <mergeCell ref="L7:L36"/>
    <mergeCell ref="T7:T36"/>
    <mergeCell ref="Y7:Y36"/>
    <mergeCell ref="AD7:AD36"/>
    <mergeCell ref="AI7:AI36"/>
    <mergeCell ref="AN7:AN36"/>
    <mergeCell ref="AS7:AS36"/>
    <mergeCell ref="B4:B6"/>
    <mergeCell ref="C4:D6"/>
    <mergeCell ref="E4:G4"/>
    <mergeCell ref="H4:H6"/>
    <mergeCell ref="I4:K4"/>
    <mergeCell ref="L4:L6"/>
    <mergeCell ref="M4:M6"/>
    <mergeCell ref="N4:N36"/>
    <mergeCell ref="O4:O36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AT178:AX178"/>
    <mergeCell ref="E180:G180"/>
    <mergeCell ref="I180:K180"/>
    <mergeCell ref="P180:S180"/>
    <mergeCell ref="U180:X180"/>
    <mergeCell ref="Z180:AC180"/>
    <mergeCell ref="AE180:AH180"/>
    <mergeCell ref="P178:T178"/>
    <mergeCell ref="U178:Y178"/>
    <mergeCell ref="Z178:AD178"/>
    <mergeCell ref="AE178:AI178"/>
    <mergeCell ref="AJ178:AN178"/>
    <mergeCell ref="AO178:AS178"/>
    <mergeCell ref="Z179:AC179"/>
    <mergeCell ref="B177:H178"/>
    <mergeCell ref="N177:N178"/>
    <mergeCell ref="O177:O178"/>
    <mergeCell ref="P177:T177"/>
    <mergeCell ref="U177:Y177"/>
    <mergeCell ref="Z177:AD177"/>
    <mergeCell ref="AE177:AI177"/>
    <mergeCell ref="AJ177:AN177"/>
    <mergeCell ref="AO177:AS177"/>
    <mergeCell ref="AT177:AX177"/>
    <mergeCell ref="AI179:AI181"/>
    <mergeCell ref="AJ179:AM179"/>
    <mergeCell ref="AN179:AN181"/>
    <mergeCell ref="AO179:AR179"/>
    <mergeCell ref="AS179:AS181"/>
    <mergeCell ref="B179:B181"/>
    <mergeCell ref="C179:D181"/>
    <mergeCell ref="E179:G179"/>
    <mergeCell ref="H179:H181"/>
    <mergeCell ref="I179:K179"/>
    <mergeCell ref="L179:L181"/>
    <mergeCell ref="M179:M181"/>
    <mergeCell ref="N179:N211"/>
    <mergeCell ref="O179:O211"/>
    <mergeCell ref="M215:M217"/>
    <mergeCell ref="E216:G216"/>
    <mergeCell ref="I216:K216"/>
    <mergeCell ref="AX179:AX181"/>
    <mergeCell ref="B182:B211"/>
    <mergeCell ref="H182:H211"/>
    <mergeCell ref="L182:L211"/>
    <mergeCell ref="T182:T211"/>
    <mergeCell ref="Y182:Y211"/>
    <mergeCell ref="AD182:AD211"/>
    <mergeCell ref="AI182:AI211"/>
    <mergeCell ref="AN182:AN211"/>
    <mergeCell ref="AS182:AS211"/>
    <mergeCell ref="AX182:AX211"/>
    <mergeCell ref="AT179:AW179"/>
    <mergeCell ref="P179:S179"/>
    <mergeCell ref="T179:T181"/>
    <mergeCell ref="U179:X179"/>
    <mergeCell ref="Y179:Y181"/>
    <mergeCell ref="AJ180:AM180"/>
    <mergeCell ref="AO180:AR180"/>
    <mergeCell ref="AT180:AW180"/>
    <mergeCell ref="AD179:AD181"/>
    <mergeCell ref="AE179:AH179"/>
    <mergeCell ref="B218:B247"/>
    <mergeCell ref="H218:H247"/>
    <mergeCell ref="L218:L247"/>
    <mergeCell ref="B213:H214"/>
    <mergeCell ref="B215:B217"/>
    <mergeCell ref="C215:D217"/>
    <mergeCell ref="E215:G215"/>
    <mergeCell ref="H215:H217"/>
    <mergeCell ref="I215:K215"/>
    <mergeCell ref="L215:L217"/>
  </mergeCells>
  <phoneticPr fontId="13" type="noConversion"/>
  <pageMargins left="0.7" right="0.7" top="0.75" bottom="0.75" header="0.3" footer="0.3"/>
  <pageSetup paperSize="9" orientation="portrait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FFFCC"/>
  </sheetPr>
  <dimension ref="A1:BA142"/>
  <sheetViews>
    <sheetView zoomScale="40" zoomScaleNormal="40" workbookViewId="0">
      <pane xSplit="15" topLeftCell="P1" activePane="topRight" state="frozen"/>
      <selection activeCell="P3" sqref="P3:T3"/>
      <selection pane="topRight" activeCell="U69" sqref="U69"/>
    </sheetView>
  </sheetViews>
  <sheetFormatPr defaultColWidth="8.85546875" defaultRowHeight="12.75"/>
  <cols>
    <col min="1" max="1" width="5.5703125" style="107" customWidth="1"/>
    <col min="2" max="2" width="12.42578125" style="107" customWidth="1"/>
    <col min="3" max="3" width="8.85546875" style="106"/>
    <col min="4" max="4" width="26.42578125" style="106" customWidth="1"/>
    <col min="5" max="7" width="8.42578125" style="106" customWidth="1"/>
    <col min="8" max="8" width="11.140625" style="106" bestFit="1" customWidth="1"/>
    <col min="9" max="12" width="11.140625" style="106" customWidth="1"/>
    <col min="13" max="13" width="13.5703125" style="106" customWidth="1"/>
    <col min="14" max="14" width="9.85546875" style="106" customWidth="1"/>
    <col min="15" max="15" width="7.140625" style="106" customWidth="1"/>
    <col min="16" max="18" width="12.85546875" style="106" customWidth="1"/>
    <col min="19" max="19" width="5.42578125" style="106" customWidth="1"/>
    <col min="20" max="20" width="12.85546875" style="106" customWidth="1"/>
    <col min="21" max="23" width="12.85546875" style="107" customWidth="1"/>
    <col min="24" max="24" width="5.42578125" style="106" customWidth="1"/>
    <col min="25" max="28" width="12.85546875" style="107" customWidth="1"/>
    <col min="29" max="29" width="5.42578125" style="106" customWidth="1"/>
    <col min="30" max="30" width="12.85546875" style="107" customWidth="1"/>
    <col min="31" max="33" width="12.5703125" style="107" customWidth="1"/>
    <col min="34" max="34" width="5.42578125" style="106" customWidth="1"/>
    <col min="35" max="35" width="13" style="107" customWidth="1"/>
    <col min="36" max="38" width="12.5703125" style="107" customWidth="1"/>
    <col min="39" max="39" width="5.42578125" style="106" customWidth="1"/>
    <col min="40" max="40" width="13" style="107" customWidth="1"/>
    <col min="41" max="43" width="13.140625" style="107" customWidth="1"/>
    <col min="44" max="44" width="5.42578125" style="107" customWidth="1"/>
    <col min="45" max="48" width="13.140625" style="107" customWidth="1"/>
    <col min="49" max="49" width="5.42578125" style="107" customWidth="1"/>
    <col min="50" max="50" width="13.140625" style="107" customWidth="1"/>
    <col min="51" max="51" width="8.85546875" style="107"/>
    <col min="52" max="52" width="5.42578125" style="107" customWidth="1"/>
    <col min="53" max="53" width="13.140625" style="107" customWidth="1"/>
    <col min="54" max="16384" width="8.85546875" style="107"/>
  </cols>
  <sheetData>
    <row r="1" spans="1:53" ht="24">
      <c r="A1" s="75"/>
      <c r="B1" s="215" t="s">
        <v>313</v>
      </c>
      <c r="C1" s="214">
        <f>AVERAGE(L7,L27,L47,L67,L87,L107)</f>
        <v>73.366880257448841</v>
      </c>
    </row>
    <row r="2" spans="1:53" ht="15.75">
      <c r="A2" s="81"/>
      <c r="B2" s="665" t="s">
        <v>162</v>
      </c>
      <c r="C2" s="665"/>
      <c r="D2" s="665"/>
      <c r="E2" s="665"/>
      <c r="F2" s="665"/>
      <c r="G2" s="665"/>
      <c r="H2" s="665"/>
      <c r="I2" s="276"/>
      <c r="J2" s="276"/>
      <c r="K2" s="276"/>
      <c r="L2" s="276"/>
      <c r="M2" s="191"/>
      <c r="N2" s="639" t="s">
        <v>156</v>
      </c>
      <c r="O2" s="639" t="s">
        <v>155</v>
      </c>
      <c r="P2" s="664">
        <v>46294</v>
      </c>
      <c r="Q2" s="643"/>
      <c r="R2" s="643"/>
      <c r="S2" s="643"/>
      <c r="T2" s="643"/>
      <c r="U2" s="661">
        <f>P2+1</f>
        <v>46295</v>
      </c>
      <c r="V2" s="662"/>
      <c r="W2" s="662"/>
      <c r="X2" s="662"/>
      <c r="Y2" s="663"/>
      <c r="Z2" s="661">
        <f>U2+1</f>
        <v>46296</v>
      </c>
      <c r="AA2" s="662"/>
      <c r="AB2" s="662"/>
      <c r="AC2" s="662"/>
      <c r="AD2" s="663"/>
      <c r="AE2" s="661">
        <f>Z2+1</f>
        <v>46297</v>
      </c>
      <c r="AF2" s="662"/>
      <c r="AG2" s="662"/>
      <c r="AH2" s="662"/>
      <c r="AI2" s="663"/>
      <c r="AJ2" s="661">
        <f>AE2+1</f>
        <v>46298</v>
      </c>
      <c r="AK2" s="662"/>
      <c r="AL2" s="662"/>
      <c r="AM2" s="662"/>
      <c r="AN2" s="663"/>
      <c r="AO2" s="661">
        <f>AJ2+1</f>
        <v>46299</v>
      </c>
      <c r="AP2" s="662"/>
      <c r="AQ2" s="662"/>
      <c r="AR2" s="662"/>
      <c r="AS2" s="663"/>
      <c r="AT2" s="661">
        <f>AO2+1</f>
        <v>46300</v>
      </c>
      <c r="AU2" s="662"/>
      <c r="AV2" s="662"/>
      <c r="AW2" s="662"/>
      <c r="AX2" s="663"/>
    </row>
    <row r="3" spans="1:53" ht="15.75">
      <c r="A3" s="81"/>
      <c r="B3" s="709"/>
      <c r="C3" s="709"/>
      <c r="D3" s="709"/>
      <c r="E3" s="709"/>
      <c r="F3" s="709"/>
      <c r="G3" s="709"/>
      <c r="H3" s="709"/>
      <c r="I3" s="277"/>
      <c r="J3" s="277"/>
      <c r="K3" s="277"/>
      <c r="L3" s="277"/>
      <c r="M3" s="192"/>
      <c r="N3" s="641"/>
      <c r="O3" s="641"/>
      <c r="P3" s="664" t="s">
        <v>158</v>
      </c>
      <c r="Q3" s="643"/>
      <c r="R3" s="643"/>
      <c r="S3" s="643"/>
      <c r="T3" s="643"/>
      <c r="U3" s="664" t="s">
        <v>114</v>
      </c>
      <c r="V3" s="643"/>
      <c r="W3" s="643"/>
      <c r="X3" s="643"/>
      <c r="Y3" s="643"/>
      <c r="Z3" s="664" t="s">
        <v>159</v>
      </c>
      <c r="AA3" s="643"/>
      <c r="AB3" s="643"/>
      <c r="AC3" s="643"/>
      <c r="AD3" s="643"/>
      <c r="AE3" s="664" t="s">
        <v>157</v>
      </c>
      <c r="AF3" s="643"/>
      <c r="AG3" s="643"/>
      <c r="AH3" s="643"/>
      <c r="AI3" s="643"/>
      <c r="AJ3" s="664" t="s">
        <v>160</v>
      </c>
      <c r="AK3" s="643"/>
      <c r="AL3" s="643"/>
      <c r="AM3" s="643"/>
      <c r="AN3" s="643"/>
      <c r="AO3" s="664" t="s">
        <v>115</v>
      </c>
      <c r="AP3" s="643"/>
      <c r="AQ3" s="643"/>
      <c r="AR3" s="643"/>
      <c r="AS3" s="643"/>
      <c r="AT3" s="664" t="s">
        <v>161</v>
      </c>
      <c r="AU3" s="643"/>
      <c r="AV3" s="643"/>
      <c r="AW3" s="643"/>
      <c r="AX3" s="643"/>
    </row>
    <row r="4" spans="1:53" ht="14.25">
      <c r="A4" s="81"/>
      <c r="B4" s="637" t="s">
        <v>743</v>
      </c>
      <c r="C4" s="637" t="s">
        <v>370</v>
      </c>
      <c r="D4" s="637"/>
      <c r="E4" s="637" t="s">
        <v>361</v>
      </c>
      <c r="F4" s="637"/>
      <c r="G4" s="637"/>
      <c r="H4" s="669" t="s">
        <v>357</v>
      </c>
      <c r="I4" s="684" t="s">
        <v>362</v>
      </c>
      <c r="J4" s="684"/>
      <c r="K4" s="684"/>
      <c r="L4" s="685" t="s">
        <v>357</v>
      </c>
      <c r="M4" s="673" t="s">
        <v>358</v>
      </c>
      <c r="N4" s="637"/>
      <c r="O4" s="637" t="s">
        <v>363</v>
      </c>
      <c r="P4" s="655" t="s">
        <v>359</v>
      </c>
      <c r="Q4" s="656"/>
      <c r="R4" s="656"/>
      <c r="S4" s="657"/>
      <c r="T4" s="637" t="s">
        <v>357</v>
      </c>
      <c r="U4" s="655" t="s">
        <v>359</v>
      </c>
      <c r="V4" s="656"/>
      <c r="W4" s="656"/>
      <c r="X4" s="657"/>
      <c r="Y4" s="637" t="s">
        <v>357</v>
      </c>
      <c r="Z4" s="655" t="s">
        <v>359</v>
      </c>
      <c r="AA4" s="656"/>
      <c r="AB4" s="656"/>
      <c r="AC4" s="657"/>
      <c r="AD4" s="637" t="s">
        <v>357</v>
      </c>
      <c r="AE4" s="655" t="s">
        <v>359</v>
      </c>
      <c r="AF4" s="656"/>
      <c r="AG4" s="656"/>
      <c r="AH4" s="657"/>
      <c r="AI4" s="637" t="s">
        <v>357</v>
      </c>
      <c r="AJ4" s="655" t="s">
        <v>359</v>
      </c>
      <c r="AK4" s="656"/>
      <c r="AL4" s="656"/>
      <c r="AM4" s="657"/>
      <c r="AN4" s="637" t="s">
        <v>357</v>
      </c>
      <c r="AO4" s="655" t="s">
        <v>359</v>
      </c>
      <c r="AP4" s="656"/>
      <c r="AQ4" s="656"/>
      <c r="AR4" s="657"/>
      <c r="AS4" s="637" t="s">
        <v>357</v>
      </c>
      <c r="AT4" s="655" t="s">
        <v>359</v>
      </c>
      <c r="AU4" s="656"/>
      <c r="AV4" s="656"/>
      <c r="AW4" s="657"/>
      <c r="AX4" s="637" t="s">
        <v>357</v>
      </c>
      <c r="BA4" s="637" t="s">
        <v>357</v>
      </c>
    </row>
    <row r="5" spans="1:53" ht="14.25">
      <c r="A5" s="81"/>
      <c r="B5" s="637"/>
      <c r="C5" s="637"/>
      <c r="D5" s="637"/>
      <c r="E5" s="637" t="s">
        <v>364</v>
      </c>
      <c r="F5" s="637"/>
      <c r="G5" s="637"/>
      <c r="H5" s="670"/>
      <c r="I5" s="684" t="s">
        <v>364</v>
      </c>
      <c r="J5" s="684"/>
      <c r="K5" s="684"/>
      <c r="L5" s="686"/>
      <c r="M5" s="674"/>
      <c r="N5" s="637"/>
      <c r="O5" s="637"/>
      <c r="P5" s="655" t="s">
        <v>365</v>
      </c>
      <c r="Q5" s="656"/>
      <c r="R5" s="656"/>
      <c r="S5" s="657"/>
      <c r="T5" s="637"/>
      <c r="U5" s="655" t="s">
        <v>365</v>
      </c>
      <c r="V5" s="656"/>
      <c r="W5" s="656"/>
      <c r="X5" s="657"/>
      <c r="Y5" s="637"/>
      <c r="Z5" s="655" t="s">
        <v>365</v>
      </c>
      <c r="AA5" s="656"/>
      <c r="AB5" s="656"/>
      <c r="AC5" s="657"/>
      <c r="AD5" s="637"/>
      <c r="AE5" s="655" t="s">
        <v>365</v>
      </c>
      <c r="AF5" s="656"/>
      <c r="AG5" s="656"/>
      <c r="AH5" s="657"/>
      <c r="AI5" s="637"/>
      <c r="AJ5" s="655" t="s">
        <v>365</v>
      </c>
      <c r="AK5" s="656"/>
      <c r="AL5" s="656"/>
      <c r="AM5" s="657"/>
      <c r="AN5" s="637"/>
      <c r="AO5" s="655" t="s">
        <v>365</v>
      </c>
      <c r="AP5" s="656"/>
      <c r="AQ5" s="656"/>
      <c r="AR5" s="657"/>
      <c r="AS5" s="637"/>
      <c r="AT5" s="655" t="s">
        <v>365</v>
      </c>
      <c r="AU5" s="656"/>
      <c r="AV5" s="656"/>
      <c r="AW5" s="657"/>
      <c r="AX5" s="637"/>
      <c r="BA5" s="637"/>
    </row>
    <row r="6" spans="1:53" ht="14.25">
      <c r="A6" s="79"/>
      <c r="B6" s="637"/>
      <c r="C6" s="637"/>
      <c r="D6" s="637"/>
      <c r="E6" s="551" t="s">
        <v>366</v>
      </c>
      <c r="F6" s="551" t="s">
        <v>367</v>
      </c>
      <c r="G6" s="551" t="s">
        <v>368</v>
      </c>
      <c r="H6" s="671"/>
      <c r="I6" s="556" t="s">
        <v>366</v>
      </c>
      <c r="J6" s="556" t="s">
        <v>367</v>
      </c>
      <c r="K6" s="556" t="s">
        <v>368</v>
      </c>
      <c r="L6" s="687"/>
      <c r="M6" s="675"/>
      <c r="N6" s="637"/>
      <c r="O6" s="637"/>
      <c r="P6" s="551" t="s">
        <v>366</v>
      </c>
      <c r="Q6" s="551" t="s">
        <v>367</v>
      </c>
      <c r="R6" s="551" t="s">
        <v>368</v>
      </c>
      <c r="S6" s="551" t="s">
        <v>358</v>
      </c>
      <c r="T6" s="637"/>
      <c r="U6" s="551" t="s">
        <v>366</v>
      </c>
      <c r="V6" s="551" t="s">
        <v>367</v>
      </c>
      <c r="W6" s="551" t="s">
        <v>368</v>
      </c>
      <c r="X6" s="551" t="s">
        <v>358</v>
      </c>
      <c r="Y6" s="637"/>
      <c r="Z6" s="551" t="s">
        <v>366</v>
      </c>
      <c r="AA6" s="551" t="s">
        <v>367</v>
      </c>
      <c r="AB6" s="551" t="s">
        <v>368</v>
      </c>
      <c r="AC6" s="551" t="s">
        <v>358</v>
      </c>
      <c r="AD6" s="637"/>
      <c r="AE6" s="551" t="s">
        <v>366</v>
      </c>
      <c r="AF6" s="551" t="s">
        <v>367</v>
      </c>
      <c r="AG6" s="551" t="s">
        <v>368</v>
      </c>
      <c r="AH6" s="551" t="s">
        <v>358</v>
      </c>
      <c r="AI6" s="637"/>
      <c r="AJ6" s="551" t="s">
        <v>366</v>
      </c>
      <c r="AK6" s="551" t="s">
        <v>367</v>
      </c>
      <c r="AL6" s="551" t="s">
        <v>368</v>
      </c>
      <c r="AM6" s="551" t="s">
        <v>358</v>
      </c>
      <c r="AN6" s="637"/>
      <c r="AO6" s="551" t="s">
        <v>366</v>
      </c>
      <c r="AP6" s="551" t="s">
        <v>367</v>
      </c>
      <c r="AQ6" s="551" t="s">
        <v>368</v>
      </c>
      <c r="AR6" s="551" t="s">
        <v>358</v>
      </c>
      <c r="AS6" s="637"/>
      <c r="AT6" s="551" t="s">
        <v>366</v>
      </c>
      <c r="AU6" s="551" t="s">
        <v>367</v>
      </c>
      <c r="AV6" s="551" t="s">
        <v>368</v>
      </c>
      <c r="AW6" s="551" t="s">
        <v>358</v>
      </c>
      <c r="AX6" s="637"/>
      <c r="AZ6" s="356" t="s">
        <v>358</v>
      </c>
      <c r="BA6" s="637"/>
    </row>
    <row r="7" spans="1:53" ht="14.25">
      <c r="A7" s="81"/>
      <c r="B7" s="637" t="s">
        <v>132</v>
      </c>
      <c r="C7" s="553">
        <v>1</v>
      </c>
      <c r="D7" s="220" t="s">
        <v>573</v>
      </c>
      <c r="E7" s="559">
        <v>17</v>
      </c>
      <c r="F7" s="553">
        <v>1440</v>
      </c>
      <c r="G7" s="552">
        <v>84.7</v>
      </c>
      <c r="H7" s="696">
        <f>AVERAGE(G7:G21)</f>
        <v>79.805000000000007</v>
      </c>
      <c r="I7" s="554">
        <f t="shared" ref="I7:I21" si="0">IFERROR(AVERAGE(P7,U7,Z7,AE7,AJ7,AO7,AT7),"-")</f>
        <v>17</v>
      </c>
      <c r="J7" s="554">
        <f t="shared" ref="J7:J21" si="1">IFERROR(AVERAGE(Q7,V7,AA7,AF7,AK7,AP7,AU7),"-")</f>
        <v>1289.7475195076411</v>
      </c>
      <c r="K7" s="194">
        <f t="shared" ref="K7:K21" si="2">IFERROR(AVERAGE(R7,W7,AB7,AG7,AL7,AQ7,AV7),"-")</f>
        <v>75.867501147508293</v>
      </c>
      <c r="L7" s="652">
        <f>IFERROR(AVERAGE(K7:K21),"-")</f>
        <v>73.320267601444044</v>
      </c>
      <c r="M7" s="558" t="e">
        <f>RANK(K7, K$87:$K$101)</f>
        <v>#N/A</v>
      </c>
      <c r="N7" s="637"/>
      <c r="O7" s="637"/>
      <c r="P7" s="553">
        <v>17</v>
      </c>
      <c r="Q7" s="559">
        <v>1287.1578947368423</v>
      </c>
      <c r="R7" s="559">
        <v>75.715170278637785</v>
      </c>
      <c r="S7" s="553" t="e">
        <f t="shared" ref="S7:S21" si="3">RANK(R7, R$87:R$101)</f>
        <v>#N/A</v>
      </c>
      <c r="T7" s="638">
        <f t="shared" ref="T7" si="4">AVERAGE(R7:R21)</f>
        <v>73.301012179643223</v>
      </c>
      <c r="U7" s="553">
        <v>17</v>
      </c>
      <c r="V7" s="559">
        <v>1278.2857142857151</v>
      </c>
      <c r="W7" s="559">
        <v>75.193277310924415</v>
      </c>
      <c r="X7" s="553" t="e">
        <f t="shared" ref="X7:X21" si="5">RANK(W7, W$87:W$101)</f>
        <v>#N/A</v>
      </c>
      <c r="Y7" s="638">
        <f t="shared" ref="Y7" si="6">AVERAGE(W7:W21)</f>
        <v>73.224409398569918</v>
      </c>
      <c r="Z7" s="553">
        <v>17</v>
      </c>
      <c r="AA7" s="559">
        <v>1289.6703296703295</v>
      </c>
      <c r="AB7" s="559">
        <v>75.862960568842908</v>
      </c>
      <c r="AC7" s="553" t="e">
        <f t="shared" ref="AC7:AC21" si="7">RANK(AB7, AB$87:AB$101)</f>
        <v>#N/A</v>
      </c>
      <c r="AD7" s="638">
        <f t="shared" ref="AD7" si="8">AVERAGE(AB7:AB21)</f>
        <v>73.105909665342239</v>
      </c>
      <c r="AE7" s="553">
        <v>17</v>
      </c>
      <c r="AF7" s="559">
        <v>1293.1578947368425</v>
      </c>
      <c r="AG7" s="559">
        <v>76.068111455108379</v>
      </c>
      <c r="AH7" s="553" t="e">
        <f t="shared" ref="AH7:AH21" si="9">RANK(AG7, AG$87:AG$101)</f>
        <v>#N/A</v>
      </c>
      <c r="AI7" s="638">
        <f t="shared" ref="AI7" si="10">AVERAGE(AG7:AG21)</f>
        <v>73.12942272485364</v>
      </c>
      <c r="AJ7" s="553">
        <v>17</v>
      </c>
      <c r="AK7" s="559">
        <v>1299.7674418604647</v>
      </c>
      <c r="AL7" s="559">
        <v>76.456908344733222</v>
      </c>
      <c r="AM7" s="553" t="e">
        <f t="shared" ref="AM7:AM21" si="11">RANK(AL7, AL$87:AL$101)</f>
        <v>#N/A</v>
      </c>
      <c r="AN7" s="638">
        <f t="shared" ref="AN7" si="12">AVERAGE(AL7:AL21)</f>
        <v>73.741757014402168</v>
      </c>
      <c r="AO7" s="553">
        <v>17</v>
      </c>
      <c r="AP7" s="559">
        <v>1291.0344827586198</v>
      </c>
      <c r="AQ7" s="559">
        <v>75.943204868154112</v>
      </c>
      <c r="AR7" s="553" t="e">
        <f t="shared" ref="AR7:AR21" si="13">RANK(AQ7, AQ$87:AQ$101)</f>
        <v>#N/A</v>
      </c>
      <c r="AS7" s="638">
        <f t="shared" ref="AS7" si="14">AVERAGE(AQ7:AQ21)</f>
        <v>73.343628587214809</v>
      </c>
      <c r="AT7" s="553">
        <v>17</v>
      </c>
      <c r="AU7" s="559">
        <v>1289.1588785046736</v>
      </c>
      <c r="AV7" s="559">
        <v>75.832875206157269</v>
      </c>
      <c r="AW7" s="553" t="e">
        <f t="shared" ref="AW7:AW21" si="15">RANK(AV7, AV$87:AV$101)</f>
        <v>#N/A</v>
      </c>
      <c r="AX7" s="638">
        <f t="shared" ref="AX7" si="16">AVERAGE(AV7:AV21)</f>
        <v>73.395733640082341</v>
      </c>
      <c r="AZ7" s="357" t="e">
        <f t="shared" ref="AZ7:AZ21" si="17">RANK(AY7, AY$7:AY$21)</f>
        <v>#N/A</v>
      </c>
      <c r="BA7" s="638" t="e">
        <f t="shared" ref="BA7" si="18">AVERAGE(AY7:AY21)</f>
        <v>#DIV/0!</v>
      </c>
    </row>
    <row r="8" spans="1:53" ht="15" customHeight="1">
      <c r="A8" s="81"/>
      <c r="B8" s="643"/>
      <c r="C8" s="553">
        <v>2</v>
      </c>
      <c r="D8" s="220" t="s">
        <v>691</v>
      </c>
      <c r="E8" s="559">
        <v>18</v>
      </c>
      <c r="F8" s="553">
        <v>1440</v>
      </c>
      <c r="G8" s="552">
        <v>80</v>
      </c>
      <c r="H8" s="697"/>
      <c r="I8" s="554">
        <f t="shared" si="0"/>
        <v>18</v>
      </c>
      <c r="J8" s="554">
        <f t="shared" si="1"/>
        <v>1338.3277474122769</v>
      </c>
      <c r="K8" s="194">
        <f t="shared" si="2"/>
        <v>74.35154152290427</v>
      </c>
      <c r="L8" s="653"/>
      <c r="M8" s="558" t="e">
        <f>RANK(K8, K$87:$K$101)</f>
        <v>#N/A</v>
      </c>
      <c r="N8" s="637"/>
      <c r="O8" s="637"/>
      <c r="P8" s="553">
        <v>18</v>
      </c>
      <c r="Q8" s="559">
        <v>1357.8571428571424</v>
      </c>
      <c r="R8" s="559">
        <v>75.436507936507908</v>
      </c>
      <c r="S8" s="553" t="e">
        <f t="shared" si="3"/>
        <v>#N/A</v>
      </c>
      <c r="T8" s="638"/>
      <c r="U8" s="553">
        <v>18</v>
      </c>
      <c r="V8" s="559">
        <v>1351.5000000000007</v>
      </c>
      <c r="W8" s="559">
        <v>75.083333333333371</v>
      </c>
      <c r="X8" s="553" t="e">
        <f t="shared" si="5"/>
        <v>#N/A</v>
      </c>
      <c r="Y8" s="638"/>
      <c r="Z8" s="553">
        <v>18</v>
      </c>
      <c r="AA8" s="559">
        <v>1333.1707317073167</v>
      </c>
      <c r="AB8" s="559">
        <v>74.065040650406488</v>
      </c>
      <c r="AC8" s="553" t="e">
        <f t="shared" si="7"/>
        <v>#N/A</v>
      </c>
      <c r="AD8" s="638"/>
      <c r="AE8" s="553">
        <v>18</v>
      </c>
      <c r="AF8" s="559">
        <v>1322.0338983050842</v>
      </c>
      <c r="AG8" s="559">
        <v>73.446327683615792</v>
      </c>
      <c r="AH8" s="553" t="e">
        <f t="shared" si="9"/>
        <v>#N/A</v>
      </c>
      <c r="AI8" s="638"/>
      <c r="AJ8" s="553">
        <v>18</v>
      </c>
      <c r="AK8" s="559">
        <v>1328.8524590163929</v>
      </c>
      <c r="AL8" s="559">
        <v>73.825136612021822</v>
      </c>
      <c r="AM8" s="553" t="e">
        <f t="shared" si="11"/>
        <v>#N/A</v>
      </c>
      <c r="AN8" s="638"/>
      <c r="AO8" s="553">
        <v>18</v>
      </c>
      <c r="AP8" s="559">
        <v>1334.4800000000005</v>
      </c>
      <c r="AQ8" s="559">
        <v>74.137777777777799</v>
      </c>
      <c r="AR8" s="553" t="e">
        <f t="shared" si="13"/>
        <v>#N/A</v>
      </c>
      <c r="AS8" s="638"/>
      <c r="AT8" s="553">
        <v>18</v>
      </c>
      <c r="AU8" s="559">
        <v>1340.4</v>
      </c>
      <c r="AV8" s="559">
        <v>74.466666666666669</v>
      </c>
      <c r="AW8" s="553" t="e">
        <f t="shared" si="15"/>
        <v>#N/A</v>
      </c>
      <c r="AX8" s="638"/>
      <c r="AZ8" s="357" t="e">
        <f t="shared" si="17"/>
        <v>#N/A</v>
      </c>
      <c r="BA8" s="638"/>
    </row>
    <row r="9" spans="1:53" ht="14.25">
      <c r="A9" s="81"/>
      <c r="B9" s="643"/>
      <c r="C9" s="553">
        <v>3</v>
      </c>
      <c r="D9" s="220" t="s">
        <v>339</v>
      </c>
      <c r="E9" s="559">
        <v>17</v>
      </c>
      <c r="F9" s="553">
        <v>1440</v>
      </c>
      <c r="G9" s="552">
        <v>84.7</v>
      </c>
      <c r="H9" s="697"/>
      <c r="I9" s="554">
        <f t="shared" si="0"/>
        <v>17</v>
      </c>
      <c r="J9" s="554">
        <f t="shared" si="1"/>
        <v>1331.7624830532288</v>
      </c>
      <c r="K9" s="194">
        <f t="shared" si="2"/>
        <v>78.338969591366407</v>
      </c>
      <c r="L9" s="653"/>
      <c r="M9" s="558" t="e">
        <f>RANK(K9, K$87:$K$101)</f>
        <v>#N/A</v>
      </c>
      <c r="N9" s="637"/>
      <c r="O9" s="637"/>
      <c r="P9" s="553">
        <v>17</v>
      </c>
      <c r="Q9" s="559">
        <v>1354</v>
      </c>
      <c r="R9" s="559">
        <v>79.647058823529406</v>
      </c>
      <c r="S9" s="553" t="e">
        <f t="shared" si="3"/>
        <v>#N/A</v>
      </c>
      <c r="T9" s="638"/>
      <c r="U9" s="553">
        <v>17</v>
      </c>
      <c r="V9" s="559">
        <v>1338.4615384615383</v>
      </c>
      <c r="W9" s="559">
        <v>78.733031674208135</v>
      </c>
      <c r="X9" s="553" t="e">
        <f t="shared" si="5"/>
        <v>#N/A</v>
      </c>
      <c r="Y9" s="638"/>
      <c r="Z9" s="553">
        <v>17</v>
      </c>
      <c r="AA9" s="559">
        <v>1323.5294117647056</v>
      </c>
      <c r="AB9" s="559">
        <v>77.854671280276804</v>
      </c>
      <c r="AC9" s="553" t="e">
        <f t="shared" si="7"/>
        <v>#N/A</v>
      </c>
      <c r="AD9" s="638"/>
      <c r="AE9" s="553">
        <v>17</v>
      </c>
      <c r="AF9" s="559">
        <v>1324.109589041095</v>
      </c>
      <c r="AG9" s="559">
        <v>77.888799355358529</v>
      </c>
      <c r="AH9" s="553" t="e">
        <f t="shared" si="9"/>
        <v>#N/A</v>
      </c>
      <c r="AI9" s="638"/>
      <c r="AJ9" s="553">
        <v>17</v>
      </c>
      <c r="AK9" s="559">
        <v>1324.7368421052622</v>
      </c>
      <c r="AL9" s="559">
        <v>77.925696594427194</v>
      </c>
      <c r="AM9" s="553" t="e">
        <f t="shared" si="11"/>
        <v>#N/A</v>
      </c>
      <c r="AN9" s="638"/>
      <c r="AO9" s="553">
        <v>17</v>
      </c>
      <c r="AP9" s="559">
        <v>1334.3750000000005</v>
      </c>
      <c r="AQ9" s="559">
        <v>78.49264705882355</v>
      </c>
      <c r="AR9" s="553" t="e">
        <f t="shared" si="13"/>
        <v>#N/A</v>
      </c>
      <c r="AS9" s="638"/>
      <c r="AT9" s="553">
        <v>17</v>
      </c>
      <c r="AU9" s="559">
        <v>1323.1250000000005</v>
      </c>
      <c r="AV9" s="559">
        <v>77.830882352941202</v>
      </c>
      <c r="AW9" s="553" t="e">
        <f t="shared" si="15"/>
        <v>#N/A</v>
      </c>
      <c r="AX9" s="638"/>
      <c r="AZ9" s="357" t="e">
        <f t="shared" si="17"/>
        <v>#N/A</v>
      </c>
      <c r="BA9" s="638"/>
    </row>
    <row r="10" spans="1:53" ht="14.25">
      <c r="A10" s="81"/>
      <c r="B10" s="643"/>
      <c r="C10" s="553">
        <v>4</v>
      </c>
      <c r="D10" s="220" t="s">
        <v>340</v>
      </c>
      <c r="E10" s="559">
        <v>21</v>
      </c>
      <c r="F10" s="553">
        <v>1385</v>
      </c>
      <c r="G10" s="552">
        <v>65.900000000000006</v>
      </c>
      <c r="H10" s="697"/>
      <c r="I10" s="554">
        <f t="shared" si="0"/>
        <v>21</v>
      </c>
      <c r="J10" s="554">
        <f t="shared" si="1"/>
        <v>1281.1863221065821</v>
      </c>
      <c r="K10" s="194">
        <f t="shared" si="2"/>
        <v>61.008872481265826</v>
      </c>
      <c r="L10" s="653"/>
      <c r="M10" s="558" t="e">
        <f>RANK(K10, K$87:$K$101)</f>
        <v>#N/A</v>
      </c>
      <c r="N10" s="637"/>
      <c r="O10" s="637"/>
      <c r="P10" s="553">
        <v>21</v>
      </c>
      <c r="Q10" s="559">
        <v>1269.5454545454545</v>
      </c>
      <c r="R10" s="559">
        <v>60.454545454545453</v>
      </c>
      <c r="S10" s="553" t="e">
        <f t="shared" si="3"/>
        <v>#N/A</v>
      </c>
      <c r="T10" s="638"/>
      <c r="U10" s="553">
        <v>21</v>
      </c>
      <c r="V10" s="559">
        <v>1289.6969696969702</v>
      </c>
      <c r="W10" s="559">
        <v>61.41414141414144</v>
      </c>
      <c r="X10" s="553" t="e">
        <f t="shared" si="5"/>
        <v>#N/A</v>
      </c>
      <c r="Y10" s="638"/>
      <c r="Z10" s="553">
        <v>21</v>
      </c>
      <c r="AA10" s="559">
        <v>1273.695652173913</v>
      </c>
      <c r="AB10" s="559">
        <v>60.652173913043477</v>
      </c>
      <c r="AC10" s="553" t="e">
        <f t="shared" si="7"/>
        <v>#N/A</v>
      </c>
      <c r="AD10" s="638"/>
      <c r="AE10" s="553">
        <v>21</v>
      </c>
      <c r="AF10" s="559">
        <v>1289.1428571428557</v>
      </c>
      <c r="AG10" s="559">
        <v>61.387755102040749</v>
      </c>
      <c r="AH10" s="553" t="e">
        <f t="shared" si="9"/>
        <v>#N/A</v>
      </c>
      <c r="AI10" s="638"/>
      <c r="AJ10" s="553">
        <v>21</v>
      </c>
      <c r="AK10" s="559">
        <v>1294.9999999999995</v>
      </c>
      <c r="AL10" s="559">
        <v>61.666666666666643</v>
      </c>
      <c r="AM10" s="553" t="e">
        <f t="shared" si="11"/>
        <v>#N/A</v>
      </c>
      <c r="AN10" s="638"/>
      <c r="AO10" s="553">
        <v>21</v>
      </c>
      <c r="AP10" s="559">
        <v>1275.9292035398241</v>
      </c>
      <c r="AQ10" s="559">
        <v>60.758533501896387</v>
      </c>
      <c r="AR10" s="553" t="e">
        <f t="shared" si="13"/>
        <v>#N/A</v>
      </c>
      <c r="AS10" s="638"/>
      <c r="AT10" s="553">
        <v>21</v>
      </c>
      <c r="AU10" s="559">
        <v>1275.2941176470595</v>
      </c>
      <c r="AV10" s="559">
        <v>60.728291316526644</v>
      </c>
      <c r="AW10" s="553" t="e">
        <f t="shared" si="15"/>
        <v>#N/A</v>
      </c>
      <c r="AX10" s="638"/>
      <c r="AZ10" s="357" t="e">
        <f t="shared" si="17"/>
        <v>#N/A</v>
      </c>
      <c r="BA10" s="638"/>
    </row>
    <row r="11" spans="1:53" ht="14.25">
      <c r="A11" s="81"/>
      <c r="B11" s="643"/>
      <c r="C11" s="553">
        <v>5</v>
      </c>
      <c r="D11" s="220" t="s">
        <v>341</v>
      </c>
      <c r="E11" s="559">
        <v>19</v>
      </c>
      <c r="F11" s="553">
        <v>1440</v>
      </c>
      <c r="G11" s="552">
        <v>75.8</v>
      </c>
      <c r="H11" s="697"/>
      <c r="I11" s="554">
        <f t="shared" si="0"/>
        <v>19</v>
      </c>
      <c r="J11" s="554">
        <f t="shared" si="1"/>
        <v>1337.6029696131361</v>
      </c>
      <c r="K11" s="194">
        <f t="shared" si="2"/>
        <v>70.400156295428218</v>
      </c>
      <c r="L11" s="653"/>
      <c r="M11" s="558" t="e">
        <f>RANK(K11, K$87:$K$101)</f>
        <v>#N/A</v>
      </c>
      <c r="N11" s="637"/>
      <c r="O11" s="637"/>
      <c r="P11" s="553">
        <v>19</v>
      </c>
      <c r="Q11" s="559">
        <v>1347.5862068965516</v>
      </c>
      <c r="R11" s="559">
        <v>70.925589836660606</v>
      </c>
      <c r="S11" s="553" t="e">
        <f t="shared" si="3"/>
        <v>#N/A</v>
      </c>
      <c r="T11" s="638"/>
      <c r="U11" s="553">
        <v>19</v>
      </c>
      <c r="V11" s="559">
        <v>1332.4999999999989</v>
      </c>
      <c r="W11" s="559">
        <v>70.131578947368368</v>
      </c>
      <c r="X11" s="553" t="e">
        <f t="shared" si="5"/>
        <v>#N/A</v>
      </c>
      <c r="Y11" s="638"/>
      <c r="Z11" s="553">
        <v>19</v>
      </c>
      <c r="AA11" s="559">
        <v>1321.0169491525435</v>
      </c>
      <c r="AB11" s="559">
        <v>69.527207850133863</v>
      </c>
      <c r="AC11" s="553" t="e">
        <f t="shared" si="7"/>
        <v>#N/A</v>
      </c>
      <c r="AD11" s="638"/>
      <c r="AE11" s="553">
        <v>19</v>
      </c>
      <c r="AF11" s="559">
        <v>1330.5263157894747</v>
      </c>
      <c r="AG11" s="559">
        <v>70.027700831024987</v>
      </c>
      <c r="AH11" s="553" t="e">
        <f t="shared" si="9"/>
        <v>#N/A</v>
      </c>
      <c r="AI11" s="638"/>
      <c r="AJ11" s="553">
        <v>19</v>
      </c>
      <c r="AK11" s="559">
        <v>1365.5172413793114</v>
      </c>
      <c r="AL11" s="559">
        <v>71.86932849364797</v>
      </c>
      <c r="AM11" s="553" t="e">
        <f t="shared" si="11"/>
        <v>#N/A</v>
      </c>
      <c r="AN11" s="638"/>
      <c r="AO11" s="553">
        <v>19</v>
      </c>
      <c r="AP11" s="559">
        <v>1319.9999999999993</v>
      </c>
      <c r="AQ11" s="559">
        <v>69.473684210526287</v>
      </c>
      <c r="AR11" s="553" t="e">
        <f t="shared" si="13"/>
        <v>#N/A</v>
      </c>
      <c r="AS11" s="638"/>
      <c r="AT11" s="553">
        <v>19</v>
      </c>
      <c r="AU11" s="559">
        <v>1346.0740740740737</v>
      </c>
      <c r="AV11" s="559">
        <v>70.846003898635459</v>
      </c>
      <c r="AW11" s="553" t="e">
        <f t="shared" si="15"/>
        <v>#N/A</v>
      </c>
      <c r="AX11" s="638"/>
      <c r="AZ11" s="357" t="e">
        <f t="shared" si="17"/>
        <v>#N/A</v>
      </c>
      <c r="BA11" s="638"/>
    </row>
    <row r="12" spans="1:53" ht="14.25">
      <c r="A12" s="81"/>
      <c r="B12" s="643"/>
      <c r="C12" s="553">
        <v>6</v>
      </c>
      <c r="D12" s="220" t="s">
        <v>482</v>
      </c>
      <c r="E12" s="559">
        <v>18</v>
      </c>
      <c r="F12" s="553">
        <v>1385</v>
      </c>
      <c r="G12" s="552">
        <v>76.900000000000006</v>
      </c>
      <c r="H12" s="697"/>
      <c r="I12" s="554">
        <f t="shared" si="0"/>
        <v>18</v>
      </c>
      <c r="J12" s="554">
        <f t="shared" si="1"/>
        <v>1285.455397807739</v>
      </c>
      <c r="K12" s="194">
        <f t="shared" si="2"/>
        <v>71.414188767096604</v>
      </c>
      <c r="L12" s="653"/>
      <c r="M12" s="558" t="e">
        <f>RANK(K12, K$87:$K$101)</f>
        <v>#N/A</v>
      </c>
      <c r="N12" s="637"/>
      <c r="O12" s="637"/>
      <c r="P12" s="553">
        <v>18</v>
      </c>
      <c r="Q12" s="559">
        <v>1297.7419354838705</v>
      </c>
      <c r="R12" s="559">
        <v>72.096774193548356</v>
      </c>
      <c r="S12" s="553" t="e">
        <f t="shared" si="3"/>
        <v>#N/A</v>
      </c>
      <c r="T12" s="638"/>
      <c r="U12" s="553">
        <v>18</v>
      </c>
      <c r="V12" s="559">
        <v>1260.0000000000009</v>
      </c>
      <c r="W12" s="559">
        <v>70.000000000000057</v>
      </c>
      <c r="X12" s="553" t="e">
        <f t="shared" si="5"/>
        <v>#N/A</v>
      </c>
      <c r="Y12" s="638"/>
      <c r="Z12" s="553">
        <v>18</v>
      </c>
      <c r="AA12" s="559">
        <v>1288.9285714285722</v>
      </c>
      <c r="AB12" s="559">
        <v>71.607142857142904</v>
      </c>
      <c r="AC12" s="553" t="e">
        <f t="shared" si="7"/>
        <v>#N/A</v>
      </c>
      <c r="AD12" s="638"/>
      <c r="AE12" s="553">
        <v>18</v>
      </c>
      <c r="AF12" s="559">
        <v>1292.608695652174</v>
      </c>
      <c r="AG12" s="559">
        <v>71.811594202898561</v>
      </c>
      <c r="AH12" s="553" t="e">
        <f t="shared" si="9"/>
        <v>#N/A</v>
      </c>
      <c r="AI12" s="638"/>
      <c r="AJ12" s="553">
        <v>18</v>
      </c>
      <c r="AK12" s="559">
        <v>1298.7500000000005</v>
      </c>
      <c r="AL12" s="559">
        <v>72.1527777777778</v>
      </c>
      <c r="AM12" s="553" t="e">
        <f t="shared" si="11"/>
        <v>#N/A</v>
      </c>
      <c r="AN12" s="638"/>
      <c r="AO12" s="553">
        <v>18</v>
      </c>
      <c r="AP12" s="559">
        <v>1276.8750000000016</v>
      </c>
      <c r="AQ12" s="559">
        <v>70.937500000000085</v>
      </c>
      <c r="AR12" s="553" t="e">
        <f t="shared" si="13"/>
        <v>#N/A</v>
      </c>
      <c r="AS12" s="638"/>
      <c r="AT12" s="553">
        <v>18</v>
      </c>
      <c r="AU12" s="559">
        <v>1283.2835820895539</v>
      </c>
      <c r="AV12" s="559">
        <v>71.293532338308552</v>
      </c>
      <c r="AW12" s="553" t="e">
        <f t="shared" si="15"/>
        <v>#N/A</v>
      </c>
      <c r="AX12" s="638"/>
      <c r="AZ12" s="357" t="e">
        <f t="shared" si="17"/>
        <v>#N/A</v>
      </c>
      <c r="BA12" s="638"/>
    </row>
    <row r="13" spans="1:53" ht="14.25">
      <c r="A13" s="81"/>
      <c r="B13" s="643"/>
      <c r="C13" s="553">
        <v>7</v>
      </c>
      <c r="D13" s="220" t="s">
        <v>500</v>
      </c>
      <c r="E13" s="559">
        <v>16</v>
      </c>
      <c r="F13" s="553">
        <v>1440</v>
      </c>
      <c r="G13" s="552">
        <v>90</v>
      </c>
      <c r="H13" s="697"/>
      <c r="I13" s="554">
        <f t="shared" si="0"/>
        <v>16</v>
      </c>
      <c r="J13" s="554">
        <f t="shared" si="1"/>
        <v>1333.0068145845278</v>
      </c>
      <c r="K13" s="194">
        <f t="shared" si="2"/>
        <v>83.312925911532986</v>
      </c>
      <c r="L13" s="653"/>
      <c r="M13" s="558" t="e">
        <f>RANK(K13, K$87:$K$101)</f>
        <v>#N/A</v>
      </c>
      <c r="N13" s="637"/>
      <c r="O13" s="637"/>
      <c r="P13" s="553">
        <v>16</v>
      </c>
      <c r="Q13" s="559">
        <v>1326.9026548672575</v>
      </c>
      <c r="R13" s="559">
        <v>82.931415929203595</v>
      </c>
      <c r="S13" s="553" t="e">
        <f t="shared" si="3"/>
        <v>#N/A</v>
      </c>
      <c r="T13" s="638"/>
      <c r="U13" s="553">
        <v>16</v>
      </c>
      <c r="V13" s="559">
        <v>1329.3442622950815</v>
      </c>
      <c r="W13" s="559">
        <v>83.084016393442596</v>
      </c>
      <c r="X13" s="553" t="e">
        <f t="shared" si="5"/>
        <v>#N/A</v>
      </c>
      <c r="Y13" s="638"/>
      <c r="Z13" s="553">
        <v>16</v>
      </c>
      <c r="AA13" s="559">
        <v>1326.1538461538455</v>
      </c>
      <c r="AB13" s="559">
        <v>82.884615384615344</v>
      </c>
      <c r="AC13" s="553" t="e">
        <f t="shared" si="7"/>
        <v>#N/A</v>
      </c>
      <c r="AD13" s="638"/>
      <c r="AE13" s="553">
        <v>16</v>
      </c>
      <c r="AF13" s="559">
        <v>1337.1428571428576</v>
      </c>
      <c r="AG13" s="559">
        <v>83.571428571428598</v>
      </c>
      <c r="AH13" s="553" t="e">
        <f t="shared" si="9"/>
        <v>#N/A</v>
      </c>
      <c r="AI13" s="638"/>
      <c r="AJ13" s="553">
        <v>16</v>
      </c>
      <c r="AK13" s="559">
        <v>1340.2040816326535</v>
      </c>
      <c r="AL13" s="559">
        <v>83.762755102040842</v>
      </c>
      <c r="AM13" s="553" t="e">
        <f t="shared" si="11"/>
        <v>#N/A</v>
      </c>
      <c r="AN13" s="638"/>
      <c r="AO13" s="553">
        <v>16</v>
      </c>
      <c r="AP13" s="559">
        <v>1336.7999999999997</v>
      </c>
      <c r="AQ13" s="559">
        <v>83.549999999999983</v>
      </c>
      <c r="AR13" s="553" t="e">
        <f t="shared" si="13"/>
        <v>#N/A</v>
      </c>
      <c r="AS13" s="638"/>
      <c r="AT13" s="553">
        <v>16</v>
      </c>
      <c r="AU13" s="559">
        <v>1334.4999999999993</v>
      </c>
      <c r="AV13" s="559">
        <v>83.406249999999957</v>
      </c>
      <c r="AW13" s="553" t="e">
        <f t="shared" si="15"/>
        <v>#N/A</v>
      </c>
      <c r="AX13" s="638"/>
      <c r="AZ13" s="357" t="e">
        <f t="shared" si="17"/>
        <v>#N/A</v>
      </c>
      <c r="BA13" s="638"/>
    </row>
    <row r="14" spans="1:53" ht="14.25">
      <c r="A14" s="81"/>
      <c r="B14" s="643"/>
      <c r="C14" s="553">
        <v>8</v>
      </c>
      <c r="D14" s="220" t="s">
        <v>547</v>
      </c>
      <c r="E14" s="559">
        <v>19</v>
      </c>
      <c r="F14" s="553">
        <v>1636</v>
      </c>
      <c r="G14" s="552">
        <v>86.1</v>
      </c>
      <c r="H14" s="697"/>
      <c r="I14" s="554">
        <f t="shared" si="0"/>
        <v>19</v>
      </c>
      <c r="J14" s="554">
        <f t="shared" si="1"/>
        <v>1393.2854563933822</v>
      </c>
      <c r="K14" s="194">
        <f t="shared" si="2"/>
        <v>73.330813494388536</v>
      </c>
      <c r="L14" s="653"/>
      <c r="M14" s="558" t="e">
        <f>RANK(K14, K$87:$K$101)</f>
        <v>#N/A</v>
      </c>
      <c r="N14" s="637"/>
      <c r="O14" s="637"/>
      <c r="P14" s="553">
        <v>19</v>
      </c>
      <c r="Q14" s="559">
        <v>1377.7346938775518</v>
      </c>
      <c r="R14" s="559">
        <v>72.512352309344834</v>
      </c>
      <c r="S14" s="553" t="e">
        <f t="shared" si="3"/>
        <v>#N/A</v>
      </c>
      <c r="T14" s="638"/>
      <c r="U14" s="553">
        <v>19</v>
      </c>
      <c r="V14" s="559">
        <v>1418.0833333333328</v>
      </c>
      <c r="W14" s="559">
        <v>74.63596491228067</v>
      </c>
      <c r="X14" s="553" t="e">
        <f t="shared" si="5"/>
        <v>#N/A</v>
      </c>
      <c r="Y14" s="638"/>
      <c r="Z14" s="553">
        <v>19</v>
      </c>
      <c r="AA14" s="559">
        <v>1403.7417218543044</v>
      </c>
      <c r="AB14" s="559">
        <v>73.881143255489704</v>
      </c>
      <c r="AC14" s="553" t="e">
        <f t="shared" si="7"/>
        <v>#N/A</v>
      </c>
      <c r="AD14" s="638"/>
      <c r="AE14" s="553">
        <v>19</v>
      </c>
      <c r="AF14" s="559">
        <v>1397.3469387755108</v>
      </c>
      <c r="AG14" s="559">
        <v>73.544575725026888</v>
      </c>
      <c r="AH14" s="553" t="e">
        <f t="shared" si="9"/>
        <v>#N/A</v>
      </c>
      <c r="AI14" s="638"/>
      <c r="AJ14" s="553">
        <v>19</v>
      </c>
      <c r="AK14" s="559">
        <v>1379.2291390728474</v>
      </c>
      <c r="AL14" s="559">
        <v>72.591007319623543</v>
      </c>
      <c r="AM14" s="553" t="e">
        <f t="shared" si="11"/>
        <v>#N/A</v>
      </c>
      <c r="AN14" s="638"/>
      <c r="AO14" s="553">
        <v>19</v>
      </c>
      <c r="AP14" s="559">
        <v>1384.4491228070171</v>
      </c>
      <c r="AQ14" s="559">
        <v>72.865743305632478</v>
      </c>
      <c r="AR14" s="553" t="e">
        <f t="shared" si="13"/>
        <v>#N/A</v>
      </c>
      <c r="AS14" s="638"/>
      <c r="AT14" s="553">
        <v>19</v>
      </c>
      <c r="AU14" s="559">
        <v>1392.4132450331124</v>
      </c>
      <c r="AV14" s="559">
        <v>73.284907633321708</v>
      </c>
      <c r="AW14" s="553" t="e">
        <f t="shared" si="15"/>
        <v>#N/A</v>
      </c>
      <c r="AX14" s="638"/>
      <c r="AZ14" s="357" t="e">
        <f t="shared" si="17"/>
        <v>#N/A</v>
      </c>
      <c r="BA14" s="638"/>
    </row>
    <row r="15" spans="1:53" ht="14.25">
      <c r="A15" s="81"/>
      <c r="B15" s="643"/>
      <c r="C15" s="553">
        <v>9</v>
      </c>
      <c r="D15" s="220" t="s">
        <v>659</v>
      </c>
      <c r="E15" s="559">
        <v>20</v>
      </c>
      <c r="F15" s="553">
        <v>1385</v>
      </c>
      <c r="G15" s="552">
        <v>69.25</v>
      </c>
      <c r="H15" s="697"/>
      <c r="I15" s="554">
        <f t="shared" si="0"/>
        <v>20</v>
      </c>
      <c r="J15" s="554">
        <f t="shared" si="1"/>
        <v>1285.5930394766908</v>
      </c>
      <c r="K15" s="194">
        <f t="shared" si="2"/>
        <v>64.279651973834547</v>
      </c>
      <c r="L15" s="653"/>
      <c r="M15" s="558" t="e">
        <f>RANK(K15, K$87:$K$101)</f>
        <v>#N/A</v>
      </c>
      <c r="N15" s="637"/>
      <c r="O15" s="637"/>
      <c r="P15" s="553">
        <v>20</v>
      </c>
      <c r="Q15" s="559">
        <v>1267.1320754716987</v>
      </c>
      <c r="R15" s="559">
        <v>63.356603773584936</v>
      </c>
      <c r="S15" s="553" t="e">
        <f t="shared" si="3"/>
        <v>#N/A</v>
      </c>
      <c r="T15" s="638"/>
      <c r="U15" s="553">
        <v>20</v>
      </c>
      <c r="V15" s="559">
        <v>1267.5000000000007</v>
      </c>
      <c r="W15" s="559">
        <v>63.375000000000036</v>
      </c>
      <c r="X15" s="553" t="e">
        <f t="shared" si="5"/>
        <v>#N/A</v>
      </c>
      <c r="Y15" s="638"/>
      <c r="Z15" s="553">
        <v>20</v>
      </c>
      <c r="AA15" s="559">
        <v>1297.8333333333339</v>
      </c>
      <c r="AB15" s="559">
        <v>64.891666666666694</v>
      </c>
      <c r="AC15" s="553" t="e">
        <f t="shared" si="7"/>
        <v>#N/A</v>
      </c>
      <c r="AD15" s="638"/>
      <c r="AE15" s="553">
        <v>20</v>
      </c>
      <c r="AF15" s="559">
        <v>1276.2711864406772</v>
      </c>
      <c r="AG15" s="559">
        <v>63.813559322033861</v>
      </c>
      <c r="AH15" s="553" t="e">
        <f t="shared" si="9"/>
        <v>#N/A</v>
      </c>
      <c r="AI15" s="638"/>
      <c r="AJ15" s="553">
        <v>20</v>
      </c>
      <c r="AK15" s="559">
        <v>1312.6315789473695</v>
      </c>
      <c r="AL15" s="559">
        <v>65.631578947368467</v>
      </c>
      <c r="AM15" s="553" t="e">
        <f t="shared" si="11"/>
        <v>#N/A</v>
      </c>
      <c r="AN15" s="638"/>
      <c r="AO15" s="553">
        <v>20</v>
      </c>
      <c r="AP15" s="559">
        <v>1285.475409836065</v>
      </c>
      <c r="AQ15" s="559">
        <v>64.273770491803248</v>
      </c>
      <c r="AR15" s="553" t="e">
        <f t="shared" si="13"/>
        <v>#N/A</v>
      </c>
      <c r="AS15" s="638"/>
      <c r="AT15" s="553">
        <v>20</v>
      </c>
      <c r="AU15" s="559">
        <v>1292.3076923076919</v>
      </c>
      <c r="AV15" s="559">
        <v>64.615384615384599</v>
      </c>
      <c r="AW15" s="553" t="e">
        <f t="shared" si="15"/>
        <v>#N/A</v>
      </c>
      <c r="AX15" s="638"/>
      <c r="AZ15" s="357" t="e">
        <f t="shared" si="17"/>
        <v>#N/A</v>
      </c>
      <c r="BA15" s="638"/>
    </row>
    <row r="16" spans="1:53" ht="14.25">
      <c r="A16" s="81"/>
      <c r="B16" s="643"/>
      <c r="C16" s="553">
        <v>10</v>
      </c>
      <c r="D16" s="220" t="s">
        <v>560</v>
      </c>
      <c r="E16" s="559">
        <v>16</v>
      </c>
      <c r="F16" s="553">
        <v>1440</v>
      </c>
      <c r="G16" s="552">
        <v>84.7</v>
      </c>
      <c r="H16" s="697"/>
      <c r="I16" s="554">
        <f t="shared" si="0"/>
        <v>16</v>
      </c>
      <c r="J16" s="554">
        <f t="shared" si="1"/>
        <v>1294.3688772658368</v>
      </c>
      <c r="K16" s="194">
        <f t="shared" si="2"/>
        <v>80.898054829114798</v>
      </c>
      <c r="L16" s="653"/>
      <c r="M16" s="558" t="e">
        <f>RANK(K16, K$87:$K$101)</f>
        <v>#N/A</v>
      </c>
      <c r="N16" s="637"/>
      <c r="O16" s="637"/>
      <c r="P16" s="553">
        <v>16</v>
      </c>
      <c r="Q16" s="559">
        <v>1278.945652173913</v>
      </c>
      <c r="R16" s="559">
        <v>79.934103260869563</v>
      </c>
      <c r="S16" s="553" t="e">
        <f t="shared" si="3"/>
        <v>#N/A</v>
      </c>
      <c r="T16" s="638"/>
      <c r="U16" s="553">
        <v>16</v>
      </c>
      <c r="V16" s="559">
        <v>1289.4999999999995</v>
      </c>
      <c r="W16" s="559">
        <v>80.593749999999972</v>
      </c>
      <c r="X16" s="553" t="e">
        <f t="shared" si="5"/>
        <v>#N/A</v>
      </c>
      <c r="Y16" s="638"/>
      <c r="Z16" s="553">
        <v>16</v>
      </c>
      <c r="AA16" s="559">
        <v>1277.3195876288664</v>
      </c>
      <c r="AB16" s="559">
        <v>79.832474226804152</v>
      </c>
      <c r="AC16" s="553" t="e">
        <f t="shared" si="7"/>
        <v>#N/A</v>
      </c>
      <c r="AD16" s="638"/>
      <c r="AE16" s="553">
        <v>16</v>
      </c>
      <c r="AF16" s="559">
        <v>1275.7499999999995</v>
      </c>
      <c r="AG16" s="559">
        <v>79.734374999999972</v>
      </c>
      <c r="AH16" s="553" t="e">
        <f t="shared" si="9"/>
        <v>#N/A</v>
      </c>
      <c r="AI16" s="638"/>
      <c r="AJ16" s="553">
        <v>16</v>
      </c>
      <c r="AK16" s="559">
        <v>1304.5714285714282</v>
      </c>
      <c r="AL16" s="559">
        <v>81.535714285714263</v>
      </c>
      <c r="AM16" s="553" t="e">
        <f t="shared" si="11"/>
        <v>#N/A</v>
      </c>
      <c r="AN16" s="638"/>
      <c r="AO16" s="553">
        <v>16</v>
      </c>
      <c r="AP16" s="559">
        <v>1328.0547945205481</v>
      </c>
      <c r="AQ16" s="559">
        <v>83.003424657534254</v>
      </c>
      <c r="AR16" s="553" t="e">
        <f t="shared" si="13"/>
        <v>#N/A</v>
      </c>
      <c r="AS16" s="638"/>
      <c r="AT16" s="553">
        <v>16</v>
      </c>
      <c r="AU16" s="559">
        <v>1306.4406779661017</v>
      </c>
      <c r="AV16" s="559">
        <v>81.652542372881356</v>
      </c>
      <c r="AW16" s="553" t="e">
        <f t="shared" si="15"/>
        <v>#N/A</v>
      </c>
      <c r="AX16" s="638"/>
      <c r="AZ16" s="357" t="e">
        <f t="shared" si="17"/>
        <v>#N/A</v>
      </c>
      <c r="BA16" s="638"/>
    </row>
    <row r="17" spans="2:53">
      <c r="B17" s="643"/>
      <c r="C17" s="553">
        <v>11</v>
      </c>
      <c r="D17" s="220"/>
      <c r="E17" s="559"/>
      <c r="F17" s="553"/>
      <c r="G17" s="552"/>
      <c r="H17" s="697"/>
      <c r="I17" s="554" t="str">
        <f t="shared" si="0"/>
        <v>-</v>
      </c>
      <c r="J17" s="554" t="str">
        <f t="shared" si="1"/>
        <v>-</v>
      </c>
      <c r="K17" s="194" t="str">
        <f t="shared" si="2"/>
        <v>-</v>
      </c>
      <c r="L17" s="653"/>
      <c r="M17" s="558" t="e">
        <f>RANK(K17, K$87:$K$101)</f>
        <v>#VALUE!</v>
      </c>
      <c r="N17" s="637"/>
      <c r="O17" s="637"/>
      <c r="P17" s="553" t="s">
        <v>557</v>
      </c>
      <c r="Q17" s="559" t="s">
        <v>557</v>
      </c>
      <c r="R17" s="559" t="s">
        <v>557</v>
      </c>
      <c r="S17" s="553" t="e">
        <f t="shared" si="3"/>
        <v>#VALUE!</v>
      </c>
      <c r="T17" s="638"/>
      <c r="U17" s="553" t="s">
        <v>557</v>
      </c>
      <c r="V17" s="559" t="s">
        <v>557</v>
      </c>
      <c r="W17" s="559" t="s">
        <v>557</v>
      </c>
      <c r="X17" s="553" t="e">
        <f t="shared" si="5"/>
        <v>#VALUE!</v>
      </c>
      <c r="Y17" s="638"/>
      <c r="Z17" s="553" t="s">
        <v>557</v>
      </c>
      <c r="AA17" s="559" t="s">
        <v>557</v>
      </c>
      <c r="AB17" s="559" t="s">
        <v>557</v>
      </c>
      <c r="AC17" s="553" t="e">
        <f t="shared" si="7"/>
        <v>#VALUE!</v>
      </c>
      <c r="AD17" s="638"/>
      <c r="AE17" s="553" t="s">
        <v>557</v>
      </c>
      <c r="AF17" s="559" t="s">
        <v>557</v>
      </c>
      <c r="AG17" s="559" t="s">
        <v>557</v>
      </c>
      <c r="AH17" s="553" t="e">
        <f t="shared" si="9"/>
        <v>#VALUE!</v>
      </c>
      <c r="AI17" s="638"/>
      <c r="AJ17" s="553" t="s">
        <v>557</v>
      </c>
      <c r="AK17" s="559" t="s">
        <v>557</v>
      </c>
      <c r="AL17" s="559" t="s">
        <v>557</v>
      </c>
      <c r="AM17" s="553" t="e">
        <f t="shared" si="11"/>
        <v>#VALUE!</v>
      </c>
      <c r="AN17" s="638"/>
      <c r="AO17" s="553" t="s">
        <v>557</v>
      </c>
      <c r="AP17" s="559" t="s">
        <v>557</v>
      </c>
      <c r="AQ17" s="559" t="s">
        <v>557</v>
      </c>
      <c r="AR17" s="553" t="e">
        <f t="shared" si="13"/>
        <v>#VALUE!</v>
      </c>
      <c r="AS17" s="638"/>
      <c r="AT17" s="553" t="s">
        <v>557</v>
      </c>
      <c r="AU17" s="559" t="s">
        <v>557</v>
      </c>
      <c r="AV17" s="559" t="s">
        <v>557</v>
      </c>
      <c r="AW17" s="553" t="e">
        <f t="shared" si="15"/>
        <v>#VALUE!</v>
      </c>
      <c r="AX17" s="638"/>
      <c r="AZ17" s="357" t="e">
        <f t="shared" si="17"/>
        <v>#N/A</v>
      </c>
      <c r="BA17" s="638"/>
    </row>
    <row r="18" spans="2:53">
      <c r="B18" s="643"/>
      <c r="C18" s="553">
        <v>12</v>
      </c>
      <c r="D18" s="220"/>
      <c r="E18" s="559"/>
      <c r="F18" s="553"/>
      <c r="G18" s="552"/>
      <c r="H18" s="697"/>
      <c r="I18" s="554" t="str">
        <f t="shared" si="0"/>
        <v>-</v>
      </c>
      <c r="J18" s="554" t="str">
        <f t="shared" si="1"/>
        <v>-</v>
      </c>
      <c r="K18" s="194" t="str">
        <f t="shared" si="2"/>
        <v>-</v>
      </c>
      <c r="L18" s="653"/>
      <c r="M18" s="558" t="e">
        <f>RANK(K18, K$87:$K$101)</f>
        <v>#VALUE!</v>
      </c>
      <c r="N18" s="637"/>
      <c r="O18" s="637"/>
      <c r="P18" s="553" t="s">
        <v>557</v>
      </c>
      <c r="Q18" s="559" t="s">
        <v>557</v>
      </c>
      <c r="R18" s="559" t="s">
        <v>557</v>
      </c>
      <c r="S18" s="553" t="e">
        <f t="shared" si="3"/>
        <v>#VALUE!</v>
      </c>
      <c r="T18" s="638"/>
      <c r="U18" s="553" t="s">
        <v>557</v>
      </c>
      <c r="V18" s="559" t="s">
        <v>557</v>
      </c>
      <c r="W18" s="559" t="s">
        <v>557</v>
      </c>
      <c r="X18" s="553" t="e">
        <f t="shared" si="5"/>
        <v>#VALUE!</v>
      </c>
      <c r="Y18" s="638"/>
      <c r="Z18" s="553" t="s">
        <v>557</v>
      </c>
      <c r="AA18" s="559" t="s">
        <v>557</v>
      </c>
      <c r="AB18" s="559" t="s">
        <v>557</v>
      </c>
      <c r="AC18" s="553" t="e">
        <f t="shared" si="7"/>
        <v>#VALUE!</v>
      </c>
      <c r="AD18" s="638"/>
      <c r="AE18" s="553" t="s">
        <v>557</v>
      </c>
      <c r="AF18" s="559" t="s">
        <v>557</v>
      </c>
      <c r="AG18" s="559" t="s">
        <v>557</v>
      </c>
      <c r="AH18" s="553" t="e">
        <f t="shared" si="9"/>
        <v>#VALUE!</v>
      </c>
      <c r="AI18" s="638"/>
      <c r="AJ18" s="553" t="s">
        <v>557</v>
      </c>
      <c r="AK18" s="559" t="s">
        <v>557</v>
      </c>
      <c r="AL18" s="559" t="s">
        <v>557</v>
      </c>
      <c r="AM18" s="553" t="e">
        <f t="shared" si="11"/>
        <v>#VALUE!</v>
      </c>
      <c r="AN18" s="638"/>
      <c r="AO18" s="553" t="s">
        <v>557</v>
      </c>
      <c r="AP18" s="559" t="s">
        <v>557</v>
      </c>
      <c r="AQ18" s="559" t="s">
        <v>557</v>
      </c>
      <c r="AR18" s="553" t="e">
        <f t="shared" si="13"/>
        <v>#VALUE!</v>
      </c>
      <c r="AS18" s="638"/>
      <c r="AT18" s="553" t="s">
        <v>557</v>
      </c>
      <c r="AU18" s="559" t="s">
        <v>557</v>
      </c>
      <c r="AV18" s="559" t="s">
        <v>557</v>
      </c>
      <c r="AW18" s="553" t="e">
        <f t="shared" si="15"/>
        <v>#VALUE!</v>
      </c>
      <c r="AX18" s="638"/>
      <c r="AZ18" s="357" t="e">
        <f t="shared" si="17"/>
        <v>#N/A</v>
      </c>
      <c r="BA18" s="638"/>
    </row>
    <row r="19" spans="2:53">
      <c r="B19" s="643"/>
      <c r="C19" s="553">
        <v>13</v>
      </c>
      <c r="D19" s="220"/>
      <c r="E19" s="559"/>
      <c r="F19" s="553"/>
      <c r="G19" s="552"/>
      <c r="H19" s="697"/>
      <c r="I19" s="554" t="str">
        <f t="shared" si="0"/>
        <v>-</v>
      </c>
      <c r="J19" s="554" t="str">
        <f t="shared" si="1"/>
        <v>-</v>
      </c>
      <c r="K19" s="194" t="str">
        <f t="shared" si="2"/>
        <v>-</v>
      </c>
      <c r="L19" s="653"/>
      <c r="M19" s="558" t="e">
        <f>RANK(K19, K$87:$K$101)</f>
        <v>#VALUE!</v>
      </c>
      <c r="N19" s="637"/>
      <c r="O19" s="637"/>
      <c r="P19" s="553" t="s">
        <v>557</v>
      </c>
      <c r="Q19" s="559" t="s">
        <v>557</v>
      </c>
      <c r="R19" s="559" t="s">
        <v>557</v>
      </c>
      <c r="S19" s="553" t="e">
        <f t="shared" si="3"/>
        <v>#VALUE!</v>
      </c>
      <c r="T19" s="638"/>
      <c r="U19" s="553" t="s">
        <v>557</v>
      </c>
      <c r="V19" s="559" t="s">
        <v>557</v>
      </c>
      <c r="W19" s="559" t="s">
        <v>557</v>
      </c>
      <c r="X19" s="553" t="e">
        <f t="shared" si="5"/>
        <v>#VALUE!</v>
      </c>
      <c r="Y19" s="638"/>
      <c r="Z19" s="553" t="s">
        <v>557</v>
      </c>
      <c r="AA19" s="559" t="s">
        <v>557</v>
      </c>
      <c r="AB19" s="559" t="s">
        <v>557</v>
      </c>
      <c r="AC19" s="553" t="e">
        <f t="shared" si="7"/>
        <v>#VALUE!</v>
      </c>
      <c r="AD19" s="638"/>
      <c r="AE19" s="553" t="s">
        <v>557</v>
      </c>
      <c r="AF19" s="559" t="s">
        <v>557</v>
      </c>
      <c r="AG19" s="559" t="s">
        <v>557</v>
      </c>
      <c r="AH19" s="553" t="e">
        <f t="shared" si="9"/>
        <v>#VALUE!</v>
      </c>
      <c r="AI19" s="638"/>
      <c r="AJ19" s="553" t="s">
        <v>557</v>
      </c>
      <c r="AK19" s="559" t="s">
        <v>557</v>
      </c>
      <c r="AL19" s="559" t="s">
        <v>557</v>
      </c>
      <c r="AM19" s="553" t="e">
        <f t="shared" si="11"/>
        <v>#VALUE!</v>
      </c>
      <c r="AN19" s="638"/>
      <c r="AO19" s="553" t="s">
        <v>557</v>
      </c>
      <c r="AP19" s="559" t="s">
        <v>557</v>
      </c>
      <c r="AQ19" s="559" t="s">
        <v>557</v>
      </c>
      <c r="AR19" s="553" t="e">
        <f t="shared" si="13"/>
        <v>#VALUE!</v>
      </c>
      <c r="AS19" s="638"/>
      <c r="AT19" s="553" t="s">
        <v>557</v>
      </c>
      <c r="AU19" s="559" t="s">
        <v>557</v>
      </c>
      <c r="AV19" s="559" t="s">
        <v>557</v>
      </c>
      <c r="AW19" s="553" t="e">
        <f t="shared" si="15"/>
        <v>#VALUE!</v>
      </c>
      <c r="AX19" s="638"/>
      <c r="AZ19" s="357" t="e">
        <f t="shared" si="17"/>
        <v>#N/A</v>
      </c>
      <c r="BA19" s="638"/>
    </row>
    <row r="20" spans="2:53">
      <c r="B20" s="643"/>
      <c r="C20" s="553">
        <v>14</v>
      </c>
      <c r="D20" s="220"/>
      <c r="E20" s="559"/>
      <c r="F20" s="553"/>
      <c r="G20" s="552"/>
      <c r="H20" s="697"/>
      <c r="I20" s="554" t="str">
        <f t="shared" si="0"/>
        <v>-</v>
      </c>
      <c r="J20" s="554" t="str">
        <f t="shared" si="1"/>
        <v>-</v>
      </c>
      <c r="K20" s="194" t="str">
        <f t="shared" si="2"/>
        <v>-</v>
      </c>
      <c r="L20" s="653"/>
      <c r="M20" s="558" t="e">
        <f>RANK(K20, K$87:$K$101)</f>
        <v>#VALUE!</v>
      </c>
      <c r="N20" s="637"/>
      <c r="O20" s="637"/>
      <c r="P20" s="553" t="s">
        <v>557</v>
      </c>
      <c r="Q20" s="559" t="s">
        <v>557</v>
      </c>
      <c r="R20" s="559" t="s">
        <v>557</v>
      </c>
      <c r="S20" s="553" t="e">
        <f t="shared" si="3"/>
        <v>#VALUE!</v>
      </c>
      <c r="T20" s="638"/>
      <c r="U20" s="553" t="s">
        <v>557</v>
      </c>
      <c r="V20" s="559" t="s">
        <v>557</v>
      </c>
      <c r="W20" s="559" t="s">
        <v>557</v>
      </c>
      <c r="X20" s="553" t="e">
        <f t="shared" si="5"/>
        <v>#VALUE!</v>
      </c>
      <c r="Y20" s="638"/>
      <c r="Z20" s="553" t="s">
        <v>557</v>
      </c>
      <c r="AA20" s="559" t="s">
        <v>557</v>
      </c>
      <c r="AB20" s="559" t="s">
        <v>557</v>
      </c>
      <c r="AC20" s="553" t="e">
        <f t="shared" si="7"/>
        <v>#VALUE!</v>
      </c>
      <c r="AD20" s="638"/>
      <c r="AE20" s="553" t="s">
        <v>557</v>
      </c>
      <c r="AF20" s="559" t="s">
        <v>557</v>
      </c>
      <c r="AG20" s="559" t="s">
        <v>557</v>
      </c>
      <c r="AH20" s="553" t="e">
        <f t="shared" si="9"/>
        <v>#VALUE!</v>
      </c>
      <c r="AI20" s="638"/>
      <c r="AJ20" s="553" t="s">
        <v>557</v>
      </c>
      <c r="AK20" s="559" t="s">
        <v>557</v>
      </c>
      <c r="AL20" s="559" t="s">
        <v>557</v>
      </c>
      <c r="AM20" s="553" t="e">
        <f t="shared" si="11"/>
        <v>#VALUE!</v>
      </c>
      <c r="AN20" s="638"/>
      <c r="AO20" s="553" t="s">
        <v>557</v>
      </c>
      <c r="AP20" s="559" t="s">
        <v>557</v>
      </c>
      <c r="AQ20" s="559" t="s">
        <v>557</v>
      </c>
      <c r="AR20" s="553" t="e">
        <f t="shared" si="13"/>
        <v>#VALUE!</v>
      </c>
      <c r="AS20" s="638"/>
      <c r="AT20" s="553" t="s">
        <v>557</v>
      </c>
      <c r="AU20" s="559" t="s">
        <v>557</v>
      </c>
      <c r="AV20" s="559" t="s">
        <v>557</v>
      </c>
      <c r="AW20" s="553" t="e">
        <f t="shared" si="15"/>
        <v>#VALUE!</v>
      </c>
      <c r="AX20" s="638"/>
      <c r="AZ20" s="357" t="e">
        <f t="shared" si="17"/>
        <v>#N/A</v>
      </c>
      <c r="BA20" s="638"/>
    </row>
    <row r="21" spans="2:53">
      <c r="B21" s="643"/>
      <c r="C21" s="553">
        <v>15</v>
      </c>
      <c r="D21" s="220"/>
      <c r="E21" s="559"/>
      <c r="F21" s="553"/>
      <c r="G21" s="552"/>
      <c r="H21" s="698"/>
      <c r="I21" s="554" t="str">
        <f t="shared" si="0"/>
        <v>-</v>
      </c>
      <c r="J21" s="554" t="str">
        <f t="shared" si="1"/>
        <v>-</v>
      </c>
      <c r="K21" s="194" t="str">
        <f t="shared" si="2"/>
        <v>-</v>
      </c>
      <c r="L21" s="654"/>
      <c r="M21" s="558" t="e">
        <f>RANK(K21, K$87:$K$101)</f>
        <v>#VALUE!</v>
      </c>
      <c r="N21" s="637"/>
      <c r="O21" s="637"/>
      <c r="P21" s="553" t="s">
        <v>557</v>
      </c>
      <c r="Q21" s="559" t="s">
        <v>557</v>
      </c>
      <c r="R21" s="559" t="s">
        <v>557</v>
      </c>
      <c r="S21" s="553" t="e">
        <f t="shared" si="3"/>
        <v>#VALUE!</v>
      </c>
      <c r="T21" s="638"/>
      <c r="U21" s="553" t="s">
        <v>557</v>
      </c>
      <c r="V21" s="559" t="s">
        <v>557</v>
      </c>
      <c r="W21" s="559" t="s">
        <v>557</v>
      </c>
      <c r="X21" s="553" t="e">
        <f t="shared" si="5"/>
        <v>#VALUE!</v>
      </c>
      <c r="Y21" s="638"/>
      <c r="Z21" s="553" t="s">
        <v>557</v>
      </c>
      <c r="AA21" s="559" t="s">
        <v>557</v>
      </c>
      <c r="AB21" s="559" t="s">
        <v>557</v>
      </c>
      <c r="AC21" s="553" t="e">
        <f t="shared" si="7"/>
        <v>#VALUE!</v>
      </c>
      <c r="AD21" s="638"/>
      <c r="AE21" s="553" t="s">
        <v>557</v>
      </c>
      <c r="AF21" s="559" t="s">
        <v>557</v>
      </c>
      <c r="AG21" s="559" t="s">
        <v>557</v>
      </c>
      <c r="AH21" s="553" t="e">
        <f t="shared" si="9"/>
        <v>#VALUE!</v>
      </c>
      <c r="AI21" s="638"/>
      <c r="AJ21" s="553" t="s">
        <v>557</v>
      </c>
      <c r="AK21" s="559" t="s">
        <v>557</v>
      </c>
      <c r="AL21" s="559" t="s">
        <v>557</v>
      </c>
      <c r="AM21" s="553" t="e">
        <f t="shared" si="11"/>
        <v>#VALUE!</v>
      </c>
      <c r="AN21" s="638"/>
      <c r="AO21" s="553" t="s">
        <v>557</v>
      </c>
      <c r="AP21" s="559" t="s">
        <v>557</v>
      </c>
      <c r="AQ21" s="559" t="s">
        <v>557</v>
      </c>
      <c r="AR21" s="553" t="e">
        <f t="shared" si="13"/>
        <v>#VALUE!</v>
      </c>
      <c r="AS21" s="638"/>
      <c r="AT21" s="553" t="s">
        <v>557</v>
      </c>
      <c r="AU21" s="559" t="s">
        <v>557</v>
      </c>
      <c r="AV21" s="559" t="s">
        <v>557</v>
      </c>
      <c r="AW21" s="553" t="e">
        <f t="shared" si="15"/>
        <v>#VALUE!</v>
      </c>
      <c r="AX21" s="638"/>
      <c r="AZ21" s="357" t="e">
        <f t="shared" si="17"/>
        <v>#N/A</v>
      </c>
      <c r="BA21" s="638"/>
    </row>
    <row r="22" spans="2:53" ht="15.75">
      <c r="B22" s="676" t="s">
        <v>162</v>
      </c>
      <c r="C22" s="677"/>
      <c r="D22" s="677"/>
      <c r="E22" s="677"/>
      <c r="F22" s="677"/>
      <c r="G22" s="677"/>
      <c r="H22" s="677"/>
      <c r="I22" s="197"/>
      <c r="J22" s="197"/>
      <c r="K22" s="197"/>
      <c r="L22" s="197"/>
      <c r="M22" s="198"/>
      <c r="N22" s="639" t="s">
        <v>156</v>
      </c>
      <c r="O22" s="639" t="s">
        <v>105</v>
      </c>
      <c r="P22" s="664">
        <f>P2+7</f>
        <v>46301</v>
      </c>
      <c r="Q22" s="643"/>
      <c r="R22" s="643"/>
      <c r="S22" s="643"/>
      <c r="T22" s="643"/>
      <c r="U22" s="661">
        <f>P22+1</f>
        <v>46302</v>
      </c>
      <c r="V22" s="662"/>
      <c r="W22" s="662"/>
      <c r="X22" s="662"/>
      <c r="Y22" s="663"/>
      <c r="Z22" s="661">
        <f>U22+1</f>
        <v>46303</v>
      </c>
      <c r="AA22" s="662"/>
      <c r="AB22" s="662"/>
      <c r="AC22" s="662"/>
      <c r="AD22" s="663"/>
      <c r="AE22" s="661">
        <f>Z22+1</f>
        <v>46304</v>
      </c>
      <c r="AF22" s="662"/>
      <c r="AG22" s="662"/>
      <c r="AH22" s="662"/>
      <c r="AI22" s="663"/>
      <c r="AJ22" s="661">
        <f>AE22+1</f>
        <v>46305</v>
      </c>
      <c r="AK22" s="662"/>
      <c r="AL22" s="662"/>
      <c r="AM22" s="662"/>
      <c r="AN22" s="663"/>
      <c r="AO22" s="661">
        <f>AJ22+1</f>
        <v>46306</v>
      </c>
      <c r="AP22" s="662"/>
      <c r="AQ22" s="662"/>
      <c r="AR22" s="662"/>
      <c r="AS22" s="663"/>
      <c r="AT22" s="661">
        <f>AO22+1</f>
        <v>46307</v>
      </c>
      <c r="AU22" s="662"/>
      <c r="AV22" s="662"/>
      <c r="AW22" s="662"/>
      <c r="AX22" s="663"/>
    </row>
    <row r="23" spans="2:53" ht="15.75">
      <c r="B23" s="668"/>
      <c r="C23" s="668"/>
      <c r="D23" s="668"/>
      <c r="E23" s="668"/>
      <c r="F23" s="668"/>
      <c r="G23" s="668"/>
      <c r="H23" s="668"/>
      <c r="I23" s="199"/>
      <c r="J23" s="199"/>
      <c r="K23" s="199"/>
      <c r="L23" s="199"/>
      <c r="M23" s="200"/>
      <c r="N23" s="641"/>
      <c r="O23" s="641"/>
      <c r="P23" s="664" t="s">
        <v>317</v>
      </c>
      <c r="Q23" s="643"/>
      <c r="R23" s="643"/>
      <c r="S23" s="643"/>
      <c r="T23" s="643"/>
      <c r="U23" s="664" t="s">
        <v>318</v>
      </c>
      <c r="V23" s="643"/>
      <c r="W23" s="643"/>
      <c r="X23" s="643"/>
      <c r="Y23" s="643"/>
      <c r="Z23" s="664" t="s">
        <v>319</v>
      </c>
      <c r="AA23" s="643"/>
      <c r="AB23" s="643"/>
      <c r="AC23" s="643"/>
      <c r="AD23" s="643"/>
      <c r="AE23" s="664" t="s">
        <v>320</v>
      </c>
      <c r="AF23" s="643"/>
      <c r="AG23" s="643"/>
      <c r="AH23" s="643"/>
      <c r="AI23" s="643"/>
      <c r="AJ23" s="664" t="s">
        <v>321</v>
      </c>
      <c r="AK23" s="643"/>
      <c r="AL23" s="643"/>
      <c r="AM23" s="643"/>
      <c r="AN23" s="643"/>
      <c r="AO23" s="664" t="s">
        <v>322</v>
      </c>
      <c r="AP23" s="643"/>
      <c r="AQ23" s="643"/>
      <c r="AR23" s="643"/>
      <c r="AS23" s="643"/>
      <c r="AT23" s="664" t="s">
        <v>323</v>
      </c>
      <c r="AU23" s="643"/>
      <c r="AV23" s="643"/>
      <c r="AW23" s="643"/>
      <c r="AX23" s="643"/>
    </row>
    <row r="24" spans="2:53">
      <c r="B24" s="637" t="s">
        <v>154</v>
      </c>
      <c r="C24" s="637" t="s">
        <v>370</v>
      </c>
      <c r="D24" s="637"/>
      <c r="E24" s="637" t="s">
        <v>361</v>
      </c>
      <c r="F24" s="637"/>
      <c r="G24" s="637"/>
      <c r="H24" s="669" t="s">
        <v>357</v>
      </c>
      <c r="I24" s="684" t="s">
        <v>362</v>
      </c>
      <c r="J24" s="684"/>
      <c r="K24" s="684"/>
      <c r="L24" s="685" t="s">
        <v>357</v>
      </c>
      <c r="M24" s="673" t="s">
        <v>358</v>
      </c>
      <c r="N24" s="637"/>
      <c r="O24" s="637" t="s">
        <v>363</v>
      </c>
      <c r="P24" s="655" t="s">
        <v>359</v>
      </c>
      <c r="Q24" s="656"/>
      <c r="R24" s="656"/>
      <c r="S24" s="657"/>
      <c r="T24" s="637" t="s">
        <v>357</v>
      </c>
      <c r="U24" s="655" t="s">
        <v>359</v>
      </c>
      <c r="V24" s="656"/>
      <c r="W24" s="656"/>
      <c r="X24" s="657"/>
      <c r="Y24" s="637" t="s">
        <v>357</v>
      </c>
      <c r="Z24" s="655" t="s">
        <v>359</v>
      </c>
      <c r="AA24" s="656"/>
      <c r="AB24" s="656"/>
      <c r="AC24" s="657"/>
      <c r="AD24" s="637" t="s">
        <v>357</v>
      </c>
      <c r="AE24" s="655" t="s">
        <v>359</v>
      </c>
      <c r="AF24" s="656"/>
      <c r="AG24" s="656"/>
      <c r="AH24" s="657"/>
      <c r="AI24" s="637" t="s">
        <v>357</v>
      </c>
      <c r="AJ24" s="655" t="s">
        <v>359</v>
      </c>
      <c r="AK24" s="656"/>
      <c r="AL24" s="656"/>
      <c r="AM24" s="657"/>
      <c r="AN24" s="637" t="s">
        <v>357</v>
      </c>
      <c r="AO24" s="655" t="s">
        <v>359</v>
      </c>
      <c r="AP24" s="656"/>
      <c r="AQ24" s="656"/>
      <c r="AR24" s="657"/>
      <c r="AS24" s="637" t="s">
        <v>357</v>
      </c>
      <c r="AT24" s="655" t="s">
        <v>359</v>
      </c>
      <c r="AU24" s="656"/>
      <c r="AV24" s="656"/>
      <c r="AW24" s="657"/>
      <c r="AX24" s="637" t="s">
        <v>357</v>
      </c>
      <c r="BA24" s="637" t="s">
        <v>357</v>
      </c>
    </row>
    <row r="25" spans="2:53">
      <c r="B25" s="637"/>
      <c r="C25" s="637"/>
      <c r="D25" s="637"/>
      <c r="E25" s="637" t="s">
        <v>364</v>
      </c>
      <c r="F25" s="637"/>
      <c r="G25" s="637"/>
      <c r="H25" s="670"/>
      <c r="I25" s="684" t="s">
        <v>364</v>
      </c>
      <c r="J25" s="684"/>
      <c r="K25" s="684"/>
      <c r="L25" s="686"/>
      <c r="M25" s="674"/>
      <c r="N25" s="637"/>
      <c r="O25" s="637"/>
      <c r="P25" s="655" t="s">
        <v>365</v>
      </c>
      <c r="Q25" s="656"/>
      <c r="R25" s="656"/>
      <c r="S25" s="657"/>
      <c r="T25" s="637"/>
      <c r="U25" s="655" t="s">
        <v>365</v>
      </c>
      <c r="V25" s="656"/>
      <c r="W25" s="656"/>
      <c r="X25" s="657"/>
      <c r="Y25" s="637"/>
      <c r="Z25" s="655" t="s">
        <v>365</v>
      </c>
      <c r="AA25" s="656"/>
      <c r="AB25" s="656"/>
      <c r="AC25" s="657"/>
      <c r="AD25" s="637"/>
      <c r="AE25" s="655" t="s">
        <v>365</v>
      </c>
      <c r="AF25" s="656"/>
      <c r="AG25" s="656"/>
      <c r="AH25" s="657"/>
      <c r="AI25" s="637"/>
      <c r="AJ25" s="655" t="s">
        <v>365</v>
      </c>
      <c r="AK25" s="656"/>
      <c r="AL25" s="656"/>
      <c r="AM25" s="657"/>
      <c r="AN25" s="637"/>
      <c r="AO25" s="655" t="s">
        <v>365</v>
      </c>
      <c r="AP25" s="656"/>
      <c r="AQ25" s="656"/>
      <c r="AR25" s="657"/>
      <c r="AS25" s="637"/>
      <c r="AT25" s="655" t="s">
        <v>365</v>
      </c>
      <c r="AU25" s="656"/>
      <c r="AV25" s="656"/>
      <c r="AW25" s="657"/>
      <c r="AX25" s="637"/>
      <c r="BA25" s="637"/>
    </row>
    <row r="26" spans="2:53">
      <c r="B26" s="637"/>
      <c r="C26" s="637"/>
      <c r="D26" s="637"/>
      <c r="E26" s="366" t="s">
        <v>366</v>
      </c>
      <c r="F26" s="366" t="s">
        <v>367</v>
      </c>
      <c r="G26" s="366" t="s">
        <v>368</v>
      </c>
      <c r="H26" s="671"/>
      <c r="I26" s="365" t="s">
        <v>366</v>
      </c>
      <c r="J26" s="365" t="s">
        <v>367</v>
      </c>
      <c r="K26" s="365" t="s">
        <v>368</v>
      </c>
      <c r="L26" s="687"/>
      <c r="M26" s="675"/>
      <c r="N26" s="637"/>
      <c r="O26" s="637"/>
      <c r="P26" s="366" t="s">
        <v>366</v>
      </c>
      <c r="Q26" s="366" t="s">
        <v>367</v>
      </c>
      <c r="R26" s="366" t="s">
        <v>368</v>
      </c>
      <c r="S26" s="366" t="s">
        <v>358</v>
      </c>
      <c r="T26" s="637"/>
      <c r="U26" s="366" t="s">
        <v>366</v>
      </c>
      <c r="V26" s="366" t="s">
        <v>367</v>
      </c>
      <c r="W26" s="366" t="s">
        <v>368</v>
      </c>
      <c r="X26" s="366" t="s">
        <v>358</v>
      </c>
      <c r="Y26" s="637"/>
      <c r="Z26" s="366" t="s">
        <v>366</v>
      </c>
      <c r="AA26" s="366" t="s">
        <v>367</v>
      </c>
      <c r="AB26" s="366" t="s">
        <v>368</v>
      </c>
      <c r="AC26" s="366" t="s">
        <v>358</v>
      </c>
      <c r="AD26" s="637"/>
      <c r="AE26" s="366" t="s">
        <v>366</v>
      </c>
      <c r="AF26" s="366" t="s">
        <v>367</v>
      </c>
      <c r="AG26" s="366" t="s">
        <v>368</v>
      </c>
      <c r="AH26" s="366" t="s">
        <v>358</v>
      </c>
      <c r="AI26" s="637"/>
      <c r="AJ26" s="366" t="s">
        <v>366</v>
      </c>
      <c r="AK26" s="366" t="s">
        <v>367</v>
      </c>
      <c r="AL26" s="366" t="s">
        <v>368</v>
      </c>
      <c r="AM26" s="366" t="s">
        <v>358</v>
      </c>
      <c r="AN26" s="637"/>
      <c r="AO26" s="366" t="s">
        <v>366</v>
      </c>
      <c r="AP26" s="366" t="s">
        <v>367</v>
      </c>
      <c r="AQ26" s="366" t="s">
        <v>368</v>
      </c>
      <c r="AR26" s="366" t="s">
        <v>358</v>
      </c>
      <c r="AS26" s="637"/>
      <c r="AT26" s="366" t="s">
        <v>366</v>
      </c>
      <c r="AU26" s="366" t="s">
        <v>367</v>
      </c>
      <c r="AV26" s="366" t="s">
        <v>368</v>
      </c>
      <c r="AW26" s="366" t="s">
        <v>358</v>
      </c>
      <c r="AX26" s="637"/>
      <c r="AZ26" s="356" t="s">
        <v>358</v>
      </c>
      <c r="BA26" s="637"/>
    </row>
    <row r="27" spans="2:53">
      <c r="B27" s="637" t="s">
        <v>132</v>
      </c>
      <c r="C27" s="367">
        <v>1</v>
      </c>
      <c r="D27" s="220" t="s">
        <v>573</v>
      </c>
      <c r="E27" s="559">
        <v>17</v>
      </c>
      <c r="F27" s="553">
        <v>1440</v>
      </c>
      <c r="G27" s="552">
        <v>84.7</v>
      </c>
      <c r="H27" s="696">
        <f>AVERAGE(G27:G41)</f>
        <v>79.805000000000007</v>
      </c>
      <c r="I27" s="369">
        <f t="shared" ref="I27:I40" si="19">IFERROR(AVERAGE(P27,U27,Z27,AE27,AJ27,AO27,AT27),"-")</f>
        <v>17</v>
      </c>
      <c r="J27" s="369">
        <f t="shared" ref="J27:J40" si="20">IFERROR(AVERAGE(Q27,V27,AA27,AF27,AK27,AP27,AU27),"-")</f>
        <v>1304.664810883743</v>
      </c>
      <c r="K27" s="194">
        <f t="shared" ref="K27:K40" si="21">IFERROR(AVERAGE(R27,W27,AB27,AG27,AL27,AQ27,AV27),"-")</f>
        <v>76.744988875514281</v>
      </c>
      <c r="L27" s="652">
        <f>IFERROR(AVERAGE(K27:K41),"-")</f>
        <v>73.413492913453638</v>
      </c>
      <c r="M27" s="371">
        <f>RANK(K27, K$24:$K$41)</f>
        <v>4</v>
      </c>
      <c r="N27" s="637"/>
      <c r="O27" s="637"/>
      <c r="P27" s="560">
        <v>17</v>
      </c>
      <c r="Q27" s="562">
        <v>1291.1111111111118</v>
      </c>
      <c r="R27" s="562">
        <v>75.947712418300696</v>
      </c>
      <c r="S27" s="560">
        <f t="shared" ref="S27:S41" si="22">RANK(R27, R$27:R$41)</f>
        <v>4</v>
      </c>
      <c r="T27" s="632">
        <f t="shared" ref="T27" si="23">AVERAGE(R27:R41)</f>
        <v>73.226661052868792</v>
      </c>
      <c r="U27" s="560">
        <v>17</v>
      </c>
      <c r="V27" s="562">
        <v>1274.2268041237116</v>
      </c>
      <c r="W27" s="562">
        <v>74.954517889630097</v>
      </c>
      <c r="X27" s="560">
        <f t="shared" ref="X27:X41" si="24">RANK(W27, W$27:W$41)</f>
        <v>4</v>
      </c>
      <c r="Y27" s="632">
        <f t="shared" ref="Y27" si="25">AVERAGE(W27:W41)</f>
        <v>73.458296431731938</v>
      </c>
      <c r="Z27" s="560">
        <v>17</v>
      </c>
      <c r="AA27" s="562">
        <v>1291.7142857142844</v>
      </c>
      <c r="AB27" s="562">
        <v>75.983193277310846</v>
      </c>
      <c r="AC27" s="560">
        <f t="shared" ref="AC27:AC41" si="26">RANK(AB27, AB$27:AB$41)</f>
        <v>4</v>
      </c>
      <c r="AD27" s="632">
        <f t="shared" ref="AD27" si="27">AVERAGE(AB27:AB41)</f>
        <v>73.641130434484424</v>
      </c>
      <c r="AE27" s="560">
        <v>17</v>
      </c>
      <c r="AF27" s="562">
        <v>1283.0136986301372</v>
      </c>
      <c r="AG27" s="562">
        <v>75.471394037066901</v>
      </c>
      <c r="AH27" s="560">
        <f t="shared" ref="AH27:AH41" si="28">RANK(AG27, AG$27:AG$41)</f>
        <v>3</v>
      </c>
      <c r="AI27" s="632">
        <f t="shared" ref="AI27" si="29">AVERAGE(AG27:AG41)</f>
        <v>72.769230494387017</v>
      </c>
      <c r="AJ27" s="560">
        <v>17</v>
      </c>
      <c r="AK27" s="562">
        <v>1306.8493150684919</v>
      </c>
      <c r="AL27" s="562">
        <v>76.873489121676002</v>
      </c>
      <c r="AM27" s="560">
        <f t="shared" ref="AM27:AM41" si="30">RANK(AL27, AL$27:AL$41)</f>
        <v>4</v>
      </c>
      <c r="AN27" s="632">
        <f t="shared" ref="AN27" si="31">AVERAGE(AL27:AL41)</f>
        <v>73.603101656924395</v>
      </c>
      <c r="AO27" s="560">
        <v>17</v>
      </c>
      <c r="AP27" s="562">
        <v>1346.5384615384623</v>
      </c>
      <c r="AQ27" s="562">
        <v>79.208144796380139</v>
      </c>
      <c r="AR27" s="560">
        <f t="shared" ref="AR27:AR41" si="32">RANK(AQ27, AQ$27:AQ$41)</f>
        <v>3</v>
      </c>
      <c r="AS27" s="632">
        <f t="shared" ref="AS27" si="33">AVERAGE(AQ27:AQ41)</f>
        <v>73.427960435625366</v>
      </c>
      <c r="AT27" s="560">
        <v>17</v>
      </c>
      <c r="AU27" s="562">
        <v>1339.2000000000005</v>
      </c>
      <c r="AV27" s="562">
        <v>78.776470588235327</v>
      </c>
      <c r="AW27" s="560">
        <f t="shared" ref="AW27:AW41" si="34">RANK(AV27, AV$27:AV$41)</f>
        <v>3</v>
      </c>
      <c r="AX27" s="632">
        <f t="shared" ref="AX27" si="35">AVERAGE(AV27:AV41)</f>
        <v>73.768069888153462</v>
      </c>
      <c r="AZ27" s="357" t="e">
        <f t="shared" ref="AZ27:AZ41" si="36">RANK(AY27, AY$27:AY$41)</f>
        <v>#N/A</v>
      </c>
      <c r="BA27" s="632" t="e">
        <f t="shared" ref="BA27" si="37">AVERAGE(AY27:AY41)</f>
        <v>#DIV/0!</v>
      </c>
    </row>
    <row r="28" spans="2:53">
      <c r="B28" s="643"/>
      <c r="C28" s="367">
        <v>2</v>
      </c>
      <c r="D28" s="220" t="s">
        <v>691</v>
      </c>
      <c r="E28" s="559">
        <v>18</v>
      </c>
      <c r="F28" s="553">
        <v>1440</v>
      </c>
      <c r="G28" s="552">
        <v>80</v>
      </c>
      <c r="H28" s="697"/>
      <c r="I28" s="369">
        <f t="shared" si="19"/>
        <v>18</v>
      </c>
      <c r="J28" s="369">
        <f t="shared" si="20"/>
        <v>1328.8873645028045</v>
      </c>
      <c r="K28" s="194">
        <f t="shared" si="21"/>
        <v>73.827075805711374</v>
      </c>
      <c r="L28" s="653"/>
      <c r="M28" s="374">
        <f>RANK(K28, K$24:$K$41)</f>
        <v>5</v>
      </c>
      <c r="N28" s="637"/>
      <c r="O28" s="637"/>
      <c r="P28" s="560">
        <v>18</v>
      </c>
      <c r="Q28" s="562">
        <v>1324.3124999999998</v>
      </c>
      <c r="R28" s="562">
        <v>73.572916666666657</v>
      </c>
      <c r="S28" s="560">
        <f t="shared" si="22"/>
        <v>6</v>
      </c>
      <c r="T28" s="633"/>
      <c r="U28" s="560">
        <v>18</v>
      </c>
      <c r="V28" s="562">
        <v>1315.5882352941176</v>
      </c>
      <c r="W28" s="562">
        <v>73.088235294117638</v>
      </c>
      <c r="X28" s="560">
        <f t="shared" si="24"/>
        <v>6</v>
      </c>
      <c r="Y28" s="633"/>
      <c r="Z28" s="560">
        <v>18</v>
      </c>
      <c r="AA28" s="562">
        <v>1338.1052631578937</v>
      </c>
      <c r="AB28" s="562">
        <v>74.339181286549646</v>
      </c>
      <c r="AC28" s="560">
        <f t="shared" si="26"/>
        <v>6</v>
      </c>
      <c r="AD28" s="633"/>
      <c r="AE28" s="560">
        <v>18</v>
      </c>
      <c r="AF28" s="562">
        <v>1344.642857142856</v>
      </c>
      <c r="AG28" s="562">
        <v>74.702380952380892</v>
      </c>
      <c r="AH28" s="560">
        <f t="shared" si="28"/>
        <v>5</v>
      </c>
      <c r="AI28" s="633"/>
      <c r="AJ28" s="560">
        <v>18</v>
      </c>
      <c r="AK28" s="562">
        <v>1338.5454545454534</v>
      </c>
      <c r="AL28" s="562">
        <v>74.363636363636303</v>
      </c>
      <c r="AM28" s="560">
        <f t="shared" si="30"/>
        <v>5</v>
      </c>
      <c r="AN28" s="633"/>
      <c r="AO28" s="560">
        <v>18</v>
      </c>
      <c r="AP28" s="562">
        <v>1321.5172413793102</v>
      </c>
      <c r="AQ28" s="562">
        <v>73.417624521072796</v>
      </c>
      <c r="AR28" s="560">
        <f t="shared" si="32"/>
        <v>5</v>
      </c>
      <c r="AS28" s="633"/>
      <c r="AT28" s="560">
        <v>18</v>
      </c>
      <c r="AU28" s="562">
        <v>1319.5000000000002</v>
      </c>
      <c r="AV28" s="562">
        <v>73.305555555555571</v>
      </c>
      <c r="AW28" s="560">
        <f t="shared" si="34"/>
        <v>5</v>
      </c>
      <c r="AX28" s="633"/>
      <c r="AZ28" s="357" t="e">
        <f t="shared" si="36"/>
        <v>#N/A</v>
      </c>
      <c r="BA28" s="633"/>
    </row>
    <row r="29" spans="2:53">
      <c r="B29" s="643"/>
      <c r="C29" s="367">
        <v>3</v>
      </c>
      <c r="D29" s="220" t="s">
        <v>339</v>
      </c>
      <c r="E29" s="559">
        <v>17</v>
      </c>
      <c r="F29" s="553">
        <v>1440</v>
      </c>
      <c r="G29" s="552">
        <v>84.7</v>
      </c>
      <c r="H29" s="697"/>
      <c r="I29" s="369">
        <f t="shared" si="19"/>
        <v>17</v>
      </c>
      <c r="J29" s="369">
        <f t="shared" si="20"/>
        <v>1335.7396761675896</v>
      </c>
      <c r="K29" s="194">
        <f t="shared" si="21"/>
        <v>78.572922127505265</v>
      </c>
      <c r="L29" s="653"/>
      <c r="M29" s="374">
        <f>RANK(K29, K$24:$K$41)</f>
        <v>3</v>
      </c>
      <c r="N29" s="637"/>
      <c r="O29" s="637"/>
      <c r="P29" s="560">
        <v>17</v>
      </c>
      <c r="Q29" s="562">
        <v>1318.7096774193549</v>
      </c>
      <c r="R29" s="562">
        <v>77.571157495256173</v>
      </c>
      <c r="S29" s="560">
        <f t="shared" si="22"/>
        <v>3</v>
      </c>
      <c r="T29" s="633"/>
      <c r="U29" s="560">
        <v>17</v>
      </c>
      <c r="V29" s="562">
        <v>1340.4545454545455</v>
      </c>
      <c r="W29" s="562">
        <v>78.850267379679153</v>
      </c>
      <c r="X29" s="560">
        <f t="shared" si="24"/>
        <v>3</v>
      </c>
      <c r="Y29" s="633"/>
      <c r="Z29" s="560">
        <v>17</v>
      </c>
      <c r="AA29" s="562">
        <v>1336.1538461538453</v>
      </c>
      <c r="AB29" s="562">
        <v>78.597285067873258</v>
      </c>
      <c r="AC29" s="560">
        <f t="shared" si="26"/>
        <v>3</v>
      </c>
      <c r="AD29" s="633"/>
      <c r="AE29" s="560">
        <v>17</v>
      </c>
      <c r="AF29" s="562">
        <v>1348.3333333333321</v>
      </c>
      <c r="AG29" s="562">
        <v>79.313725490196006</v>
      </c>
      <c r="AH29" s="560">
        <f t="shared" si="28"/>
        <v>2</v>
      </c>
      <c r="AI29" s="633"/>
      <c r="AJ29" s="560">
        <v>17</v>
      </c>
      <c r="AK29" s="562">
        <v>1344.6153846153866</v>
      </c>
      <c r="AL29" s="562">
        <v>79.095022624434506</v>
      </c>
      <c r="AM29" s="560">
        <f t="shared" si="30"/>
        <v>3</v>
      </c>
      <c r="AN29" s="633"/>
      <c r="AO29" s="560">
        <v>17</v>
      </c>
      <c r="AP29" s="562">
        <v>1332.727272727273</v>
      </c>
      <c r="AQ29" s="562">
        <v>78.395721925133699</v>
      </c>
      <c r="AR29" s="560">
        <f t="shared" si="32"/>
        <v>4</v>
      </c>
      <c r="AS29" s="633"/>
      <c r="AT29" s="560">
        <v>17</v>
      </c>
      <c r="AU29" s="562">
        <v>1329.1836734693882</v>
      </c>
      <c r="AV29" s="562">
        <v>78.187274909964003</v>
      </c>
      <c r="AW29" s="560">
        <f t="shared" si="34"/>
        <v>4</v>
      </c>
      <c r="AX29" s="633"/>
      <c r="AZ29" s="357" t="e">
        <f t="shared" si="36"/>
        <v>#N/A</v>
      </c>
      <c r="BA29" s="633"/>
    </row>
    <row r="30" spans="2:53">
      <c r="B30" s="643"/>
      <c r="C30" s="367">
        <v>4</v>
      </c>
      <c r="D30" s="220" t="s">
        <v>340</v>
      </c>
      <c r="E30" s="559">
        <v>21</v>
      </c>
      <c r="F30" s="553">
        <v>1385</v>
      </c>
      <c r="G30" s="552">
        <v>65.900000000000006</v>
      </c>
      <c r="H30" s="697"/>
      <c r="I30" s="369">
        <f t="shared" si="19"/>
        <v>21</v>
      </c>
      <c r="J30" s="369">
        <f t="shared" si="20"/>
        <v>1293.4768351661007</v>
      </c>
      <c r="K30" s="194">
        <f t="shared" si="21"/>
        <v>61.594135007909564</v>
      </c>
      <c r="L30" s="653"/>
      <c r="M30" s="374">
        <f>RANK(K30, K$24:$K$41)</f>
        <v>10</v>
      </c>
      <c r="N30" s="637"/>
      <c r="O30" s="637"/>
      <c r="P30" s="560">
        <v>21</v>
      </c>
      <c r="Q30" s="562">
        <v>1269.1891891891883</v>
      </c>
      <c r="R30" s="562">
        <v>60.437580437580394</v>
      </c>
      <c r="S30" s="560">
        <f t="shared" si="22"/>
        <v>10</v>
      </c>
      <c r="T30" s="633"/>
      <c r="U30" s="560">
        <v>21</v>
      </c>
      <c r="V30" s="562">
        <v>1274.3478260869565</v>
      </c>
      <c r="W30" s="562">
        <v>60.683229813664596</v>
      </c>
      <c r="X30" s="560">
        <f t="shared" si="24"/>
        <v>10</v>
      </c>
      <c r="Y30" s="633"/>
      <c r="Z30" s="560">
        <v>21</v>
      </c>
      <c r="AA30" s="562">
        <v>1306.0465116279067</v>
      </c>
      <c r="AB30" s="562">
        <v>62.192691029900324</v>
      </c>
      <c r="AC30" s="560">
        <f t="shared" si="26"/>
        <v>10</v>
      </c>
      <c r="AD30" s="633"/>
      <c r="AE30" s="560">
        <v>21</v>
      </c>
      <c r="AF30" s="562">
        <v>1296.7164179104495</v>
      </c>
      <c r="AG30" s="562">
        <v>61.748400852878547</v>
      </c>
      <c r="AH30" s="560">
        <f t="shared" si="28"/>
        <v>10</v>
      </c>
      <c r="AI30" s="633"/>
      <c r="AJ30" s="560">
        <v>21</v>
      </c>
      <c r="AK30" s="562">
        <v>1296.1643835616428</v>
      </c>
      <c r="AL30" s="562">
        <v>61.722113502935372</v>
      </c>
      <c r="AM30" s="560">
        <f t="shared" si="30"/>
        <v>10</v>
      </c>
      <c r="AN30" s="633"/>
      <c r="AO30" s="560">
        <v>21</v>
      </c>
      <c r="AP30" s="562">
        <v>1302.7826086956516</v>
      </c>
      <c r="AQ30" s="562">
        <v>62.037267080745309</v>
      </c>
      <c r="AR30" s="560">
        <f t="shared" si="32"/>
        <v>10</v>
      </c>
      <c r="AS30" s="633"/>
      <c r="AT30" s="560">
        <v>21</v>
      </c>
      <c r="AU30" s="562">
        <v>1309.0909090909095</v>
      </c>
      <c r="AV30" s="562">
        <v>62.337662337662358</v>
      </c>
      <c r="AW30" s="560">
        <f t="shared" si="34"/>
        <v>10</v>
      </c>
      <c r="AX30" s="633"/>
      <c r="AZ30" s="357" t="e">
        <f t="shared" si="36"/>
        <v>#N/A</v>
      </c>
      <c r="BA30" s="633"/>
    </row>
    <row r="31" spans="2:53">
      <c r="B31" s="643"/>
      <c r="C31" s="367">
        <v>5</v>
      </c>
      <c r="D31" s="220" t="s">
        <v>341</v>
      </c>
      <c r="E31" s="559">
        <v>19</v>
      </c>
      <c r="F31" s="553">
        <v>1440</v>
      </c>
      <c r="G31" s="552">
        <v>75.8</v>
      </c>
      <c r="H31" s="697"/>
      <c r="I31" s="369">
        <f t="shared" si="19"/>
        <v>19</v>
      </c>
      <c r="J31" s="369">
        <f t="shared" si="20"/>
        <v>1339.5401964526152</v>
      </c>
      <c r="K31" s="194">
        <f t="shared" si="21"/>
        <v>70.502115602769223</v>
      </c>
      <c r="L31" s="653"/>
      <c r="M31" s="374">
        <f>RANK(K31, K$24:$K$41)</f>
        <v>8</v>
      </c>
      <c r="N31" s="637"/>
      <c r="O31" s="637"/>
      <c r="P31" s="560">
        <v>19</v>
      </c>
      <c r="Q31" s="562">
        <v>1341.1199999999988</v>
      </c>
      <c r="R31" s="562">
        <v>70.585263157894673</v>
      </c>
      <c r="S31" s="560">
        <f t="shared" si="22"/>
        <v>8</v>
      </c>
      <c r="T31" s="633"/>
      <c r="U31" s="560">
        <v>19</v>
      </c>
      <c r="V31" s="562">
        <v>1365.1851851851848</v>
      </c>
      <c r="W31" s="562">
        <v>71.851851851851833</v>
      </c>
      <c r="X31" s="560">
        <f t="shared" si="24"/>
        <v>8</v>
      </c>
      <c r="Y31" s="633"/>
      <c r="Z31" s="560">
        <v>19</v>
      </c>
      <c r="AA31" s="562">
        <v>1344.3478260869551</v>
      </c>
      <c r="AB31" s="562">
        <v>70.755148741418694</v>
      </c>
      <c r="AC31" s="560">
        <f t="shared" si="26"/>
        <v>8</v>
      </c>
      <c r="AD31" s="633"/>
      <c r="AE31" s="560">
        <v>19</v>
      </c>
      <c r="AF31" s="562">
        <v>1309.4117647058829</v>
      </c>
      <c r="AG31" s="562">
        <v>68.916408668730682</v>
      </c>
      <c r="AH31" s="560">
        <f t="shared" si="28"/>
        <v>8</v>
      </c>
      <c r="AI31" s="633"/>
      <c r="AJ31" s="560">
        <v>19</v>
      </c>
      <c r="AK31" s="562">
        <v>1335.0000000000014</v>
      </c>
      <c r="AL31" s="562">
        <v>70.263157894736921</v>
      </c>
      <c r="AM31" s="560">
        <f t="shared" si="30"/>
        <v>8</v>
      </c>
      <c r="AN31" s="633"/>
      <c r="AO31" s="560">
        <v>19</v>
      </c>
      <c r="AP31" s="562">
        <v>1350.9473684210529</v>
      </c>
      <c r="AQ31" s="562">
        <v>71.102493074792264</v>
      </c>
      <c r="AR31" s="560">
        <f t="shared" si="32"/>
        <v>7</v>
      </c>
      <c r="AS31" s="633"/>
      <c r="AT31" s="560">
        <v>19</v>
      </c>
      <c r="AU31" s="562">
        <v>1330.76923076923</v>
      </c>
      <c r="AV31" s="562">
        <v>70.040485829959479</v>
      </c>
      <c r="AW31" s="560">
        <f t="shared" si="34"/>
        <v>8</v>
      </c>
      <c r="AX31" s="633"/>
      <c r="AZ31" s="357" t="e">
        <f t="shared" si="36"/>
        <v>#N/A</v>
      </c>
      <c r="BA31" s="633"/>
    </row>
    <row r="32" spans="2:53">
      <c r="B32" s="643"/>
      <c r="C32" s="367">
        <v>6</v>
      </c>
      <c r="D32" s="220" t="s">
        <v>482</v>
      </c>
      <c r="E32" s="559">
        <v>18</v>
      </c>
      <c r="F32" s="553">
        <v>1385</v>
      </c>
      <c r="G32" s="552">
        <v>76.900000000000006</v>
      </c>
      <c r="H32" s="697"/>
      <c r="I32" s="369">
        <f t="shared" si="19"/>
        <v>18</v>
      </c>
      <c r="J32" s="369">
        <f t="shared" si="20"/>
        <v>1289.8172310416651</v>
      </c>
      <c r="K32" s="194">
        <f t="shared" si="21"/>
        <v>71.656512835648059</v>
      </c>
      <c r="L32" s="653"/>
      <c r="M32" s="374">
        <f>RANK(K32, K$24:$K$41)</f>
        <v>7</v>
      </c>
      <c r="N32" s="637"/>
      <c r="O32" s="637"/>
      <c r="P32" s="560">
        <v>18</v>
      </c>
      <c r="Q32" s="562">
        <v>1292.0000000000011</v>
      </c>
      <c r="R32" s="562">
        <v>71.777777777777843</v>
      </c>
      <c r="S32" s="560">
        <f t="shared" si="22"/>
        <v>7</v>
      </c>
      <c r="T32" s="633"/>
      <c r="U32" s="560">
        <v>18</v>
      </c>
      <c r="V32" s="562">
        <v>1301.4545454545464</v>
      </c>
      <c r="W32" s="562">
        <v>72.303030303030354</v>
      </c>
      <c r="X32" s="560">
        <f t="shared" si="24"/>
        <v>7</v>
      </c>
      <c r="Y32" s="633"/>
      <c r="Z32" s="560">
        <v>18</v>
      </c>
      <c r="AA32" s="562">
        <v>1290.0000000000005</v>
      </c>
      <c r="AB32" s="562">
        <v>71.666666666666686</v>
      </c>
      <c r="AC32" s="560">
        <f t="shared" si="26"/>
        <v>7</v>
      </c>
      <c r="AD32" s="633"/>
      <c r="AE32" s="560">
        <v>18</v>
      </c>
      <c r="AF32" s="562">
        <v>1284.2553191489365</v>
      </c>
      <c r="AG32" s="562">
        <v>71.347517730496463</v>
      </c>
      <c r="AH32" s="560">
        <f t="shared" si="28"/>
        <v>7</v>
      </c>
      <c r="AI32" s="633"/>
      <c r="AJ32" s="560">
        <v>18</v>
      </c>
      <c r="AK32" s="562">
        <v>1301.3333333333335</v>
      </c>
      <c r="AL32" s="562">
        <v>72.296296296296305</v>
      </c>
      <c r="AM32" s="560">
        <f t="shared" si="30"/>
        <v>7</v>
      </c>
      <c r="AN32" s="633"/>
      <c r="AO32" s="560">
        <v>18</v>
      </c>
      <c r="AP32" s="562">
        <v>1259.9999999999984</v>
      </c>
      <c r="AQ32" s="562">
        <v>69.999999999999915</v>
      </c>
      <c r="AR32" s="560">
        <f t="shared" si="32"/>
        <v>8</v>
      </c>
      <c r="AS32" s="633"/>
      <c r="AT32" s="560">
        <v>18</v>
      </c>
      <c r="AU32" s="562">
        <v>1299.6774193548399</v>
      </c>
      <c r="AV32" s="562">
        <v>72.204301075268887</v>
      </c>
      <c r="AW32" s="560">
        <f t="shared" si="34"/>
        <v>7</v>
      </c>
      <c r="AX32" s="633"/>
      <c r="AZ32" s="357" t="e">
        <f t="shared" si="36"/>
        <v>#N/A</v>
      </c>
      <c r="BA32" s="633"/>
    </row>
    <row r="33" spans="2:53">
      <c r="B33" s="643"/>
      <c r="C33" s="367">
        <v>7</v>
      </c>
      <c r="D33" s="220" t="s">
        <v>500</v>
      </c>
      <c r="E33" s="559">
        <v>16</v>
      </c>
      <c r="F33" s="553">
        <v>1440</v>
      </c>
      <c r="G33" s="552">
        <v>90</v>
      </c>
      <c r="H33" s="697"/>
      <c r="I33" s="369">
        <f t="shared" si="19"/>
        <v>16</v>
      </c>
      <c r="J33" s="369">
        <f t="shared" si="20"/>
        <v>1341.2856670603462</v>
      </c>
      <c r="K33" s="194">
        <f t="shared" si="21"/>
        <v>83.830354191271638</v>
      </c>
      <c r="L33" s="653"/>
      <c r="M33" s="374">
        <f>RANK(K33, K$24:$K$41)</f>
        <v>1</v>
      </c>
      <c r="N33" s="637"/>
      <c r="O33" s="637"/>
      <c r="P33" s="560">
        <v>16</v>
      </c>
      <c r="Q33" s="562">
        <v>1342.5641025641019</v>
      </c>
      <c r="R33" s="562">
        <v>83.910256410256366</v>
      </c>
      <c r="S33" s="560">
        <f t="shared" si="22"/>
        <v>1</v>
      </c>
      <c r="T33" s="633"/>
      <c r="U33" s="560">
        <v>16</v>
      </c>
      <c r="V33" s="562">
        <v>1345.263157894736</v>
      </c>
      <c r="W33" s="562">
        <v>84.078947368420998</v>
      </c>
      <c r="X33" s="560">
        <f t="shared" si="24"/>
        <v>1</v>
      </c>
      <c r="Y33" s="633"/>
      <c r="Z33" s="560">
        <v>16</v>
      </c>
      <c r="AA33" s="562">
        <v>1328.4000000000005</v>
      </c>
      <c r="AB33" s="562">
        <v>83.025000000000034</v>
      </c>
      <c r="AC33" s="560">
        <f t="shared" si="26"/>
        <v>1</v>
      </c>
      <c r="AD33" s="633"/>
      <c r="AE33" s="560">
        <v>16</v>
      </c>
      <c r="AF33" s="562">
        <v>1351.2500000000005</v>
      </c>
      <c r="AG33" s="562">
        <v>84.453125000000028</v>
      </c>
      <c r="AH33" s="560">
        <f t="shared" si="28"/>
        <v>1</v>
      </c>
      <c r="AI33" s="633"/>
      <c r="AJ33" s="560">
        <v>16</v>
      </c>
      <c r="AK33" s="562">
        <v>1331.3333333333335</v>
      </c>
      <c r="AL33" s="562">
        <v>83.208333333333343</v>
      </c>
      <c r="AM33" s="560">
        <f t="shared" si="30"/>
        <v>1</v>
      </c>
      <c r="AN33" s="633"/>
      <c r="AO33" s="560">
        <v>16</v>
      </c>
      <c r="AP33" s="562">
        <v>1347.4999999999993</v>
      </c>
      <c r="AQ33" s="562">
        <v>84.218749999999957</v>
      </c>
      <c r="AR33" s="560">
        <f t="shared" si="32"/>
        <v>1</v>
      </c>
      <c r="AS33" s="633"/>
      <c r="AT33" s="560">
        <v>16</v>
      </c>
      <c r="AU33" s="562">
        <v>1342.6890756302514</v>
      </c>
      <c r="AV33" s="562">
        <v>83.918067226890713</v>
      </c>
      <c r="AW33" s="560">
        <f t="shared" si="34"/>
        <v>1</v>
      </c>
      <c r="AX33" s="633"/>
      <c r="AZ33" s="357" t="e">
        <f t="shared" si="36"/>
        <v>#N/A</v>
      </c>
      <c r="BA33" s="633"/>
    </row>
    <row r="34" spans="2:53">
      <c r="B34" s="643"/>
      <c r="C34" s="367">
        <v>8</v>
      </c>
      <c r="D34" s="220" t="s">
        <v>547</v>
      </c>
      <c r="E34" s="559">
        <v>19</v>
      </c>
      <c r="F34" s="553">
        <v>1636</v>
      </c>
      <c r="G34" s="552">
        <v>86.1</v>
      </c>
      <c r="H34" s="697"/>
      <c r="I34" s="369">
        <f t="shared" si="19"/>
        <v>19</v>
      </c>
      <c r="J34" s="369">
        <f t="shared" si="20"/>
        <v>1390.7866638067665</v>
      </c>
      <c r="K34" s="194">
        <f t="shared" si="21"/>
        <v>73.199298095092985</v>
      </c>
      <c r="L34" s="653"/>
      <c r="M34" s="374">
        <f>RANK(K34, K$24:$K$41)</f>
        <v>6</v>
      </c>
      <c r="N34" s="637"/>
      <c r="O34" s="637"/>
      <c r="P34" s="560">
        <v>19</v>
      </c>
      <c r="Q34" s="562">
        <v>1399.7634146341466</v>
      </c>
      <c r="R34" s="562">
        <v>73.671758664955078</v>
      </c>
      <c r="S34" s="560">
        <f t="shared" si="22"/>
        <v>5</v>
      </c>
      <c r="T34" s="633"/>
      <c r="U34" s="560">
        <v>19</v>
      </c>
      <c r="V34" s="562">
        <v>1399.4588235294116</v>
      </c>
      <c r="W34" s="562">
        <v>73.655727554179563</v>
      </c>
      <c r="X34" s="560">
        <f t="shared" si="24"/>
        <v>5</v>
      </c>
      <c r="Y34" s="633"/>
      <c r="Z34" s="560">
        <v>19</v>
      </c>
      <c r="AA34" s="562">
        <v>1417.5652173913043</v>
      </c>
      <c r="AB34" s="562">
        <v>74.608695652173907</v>
      </c>
      <c r="AC34" s="560">
        <f t="shared" si="26"/>
        <v>5</v>
      </c>
      <c r="AD34" s="633"/>
      <c r="AE34" s="560">
        <v>19</v>
      </c>
      <c r="AF34" s="562">
        <v>1380.4255319148938</v>
      </c>
      <c r="AG34" s="562">
        <v>72.653975363941782</v>
      </c>
      <c r="AH34" s="560">
        <f t="shared" si="28"/>
        <v>6</v>
      </c>
      <c r="AI34" s="633"/>
      <c r="AJ34" s="560">
        <v>19</v>
      </c>
      <c r="AK34" s="562">
        <v>1380.7692307692309</v>
      </c>
      <c r="AL34" s="562">
        <v>72.672064777327947</v>
      </c>
      <c r="AM34" s="560">
        <f t="shared" si="30"/>
        <v>6</v>
      </c>
      <c r="AN34" s="633"/>
      <c r="AO34" s="560">
        <v>19</v>
      </c>
      <c r="AP34" s="562">
        <v>1380.1040462427743</v>
      </c>
      <c r="AQ34" s="562">
        <v>72.637055065409172</v>
      </c>
      <c r="AR34" s="560">
        <f t="shared" si="32"/>
        <v>6</v>
      </c>
      <c r="AS34" s="633"/>
      <c r="AT34" s="560">
        <v>19</v>
      </c>
      <c r="AU34" s="562">
        <v>1377.4203821656051</v>
      </c>
      <c r="AV34" s="562">
        <v>72.49580958766343</v>
      </c>
      <c r="AW34" s="560">
        <f t="shared" si="34"/>
        <v>6</v>
      </c>
      <c r="AX34" s="633"/>
      <c r="AZ34" s="357" t="e">
        <f t="shared" si="36"/>
        <v>#N/A</v>
      </c>
      <c r="BA34" s="633"/>
    </row>
    <row r="35" spans="2:53">
      <c r="B35" s="643"/>
      <c r="C35" s="367">
        <v>9</v>
      </c>
      <c r="D35" s="220" t="s">
        <v>659</v>
      </c>
      <c r="E35" s="559">
        <v>20</v>
      </c>
      <c r="F35" s="553">
        <v>1385</v>
      </c>
      <c r="G35" s="552">
        <v>69.25</v>
      </c>
      <c r="H35" s="697"/>
      <c r="I35" s="369">
        <f t="shared" si="19"/>
        <v>20</v>
      </c>
      <c r="J35" s="369">
        <f t="shared" si="20"/>
        <v>1276.1506584567389</v>
      </c>
      <c r="K35" s="194">
        <f t="shared" si="21"/>
        <v>63.807532922836948</v>
      </c>
      <c r="L35" s="653"/>
      <c r="M35" s="374">
        <f>RANK(K35, K$24:$K$41)</f>
        <v>9</v>
      </c>
      <c r="N35" s="637"/>
      <c r="O35" s="637"/>
      <c r="P35" s="560">
        <v>20</v>
      </c>
      <c r="Q35" s="562">
        <v>1281.0000000000005</v>
      </c>
      <c r="R35" s="562">
        <v>64.050000000000026</v>
      </c>
      <c r="S35" s="560">
        <f t="shared" si="22"/>
        <v>9</v>
      </c>
      <c r="T35" s="633"/>
      <c r="U35" s="560">
        <v>20</v>
      </c>
      <c r="V35" s="562">
        <v>1273.1764705882356</v>
      </c>
      <c r="W35" s="562">
        <v>63.658823529411777</v>
      </c>
      <c r="X35" s="560">
        <f t="shared" si="24"/>
        <v>9</v>
      </c>
      <c r="Y35" s="633"/>
      <c r="Z35" s="560">
        <v>20</v>
      </c>
      <c r="AA35" s="562">
        <v>1276.9999999999995</v>
      </c>
      <c r="AB35" s="562">
        <v>63.84999999999998</v>
      </c>
      <c r="AC35" s="560">
        <f t="shared" si="26"/>
        <v>9</v>
      </c>
      <c r="AD35" s="633"/>
      <c r="AE35" s="560">
        <v>20</v>
      </c>
      <c r="AF35" s="562">
        <v>1282.9787234042553</v>
      </c>
      <c r="AG35" s="562">
        <v>64.148936170212764</v>
      </c>
      <c r="AH35" s="560">
        <f t="shared" si="28"/>
        <v>9</v>
      </c>
      <c r="AI35" s="633"/>
      <c r="AJ35" s="560">
        <v>20</v>
      </c>
      <c r="AK35" s="562">
        <v>1246.8000000000002</v>
      </c>
      <c r="AL35" s="562">
        <v>62.340000000000011</v>
      </c>
      <c r="AM35" s="560">
        <f t="shared" si="30"/>
        <v>9</v>
      </c>
      <c r="AN35" s="633"/>
      <c r="AO35" s="560">
        <v>20</v>
      </c>
      <c r="AP35" s="562">
        <v>1276.8888888888896</v>
      </c>
      <c r="AQ35" s="562">
        <v>63.844444444444477</v>
      </c>
      <c r="AR35" s="560">
        <f t="shared" si="32"/>
        <v>9</v>
      </c>
      <c r="AS35" s="633"/>
      <c r="AT35" s="560">
        <v>20</v>
      </c>
      <c r="AU35" s="562">
        <v>1295.2105263157905</v>
      </c>
      <c r="AV35" s="562">
        <v>64.760526315789519</v>
      </c>
      <c r="AW35" s="560">
        <f t="shared" si="34"/>
        <v>9</v>
      </c>
      <c r="AX35" s="633"/>
      <c r="AZ35" s="357" t="e">
        <f t="shared" si="36"/>
        <v>#N/A</v>
      </c>
      <c r="BA35" s="633"/>
    </row>
    <row r="36" spans="2:53">
      <c r="B36" s="643"/>
      <c r="C36" s="367">
        <v>10</v>
      </c>
      <c r="D36" s="220" t="s">
        <v>560</v>
      </c>
      <c r="E36" s="559">
        <v>16</v>
      </c>
      <c r="F36" s="553">
        <v>1440</v>
      </c>
      <c r="G36" s="552">
        <v>84.7</v>
      </c>
      <c r="H36" s="697"/>
      <c r="I36" s="369">
        <f t="shared" si="19"/>
        <v>16</v>
      </c>
      <c r="J36" s="369">
        <f t="shared" si="20"/>
        <v>1286.399898724432</v>
      </c>
      <c r="K36" s="194">
        <f t="shared" si="21"/>
        <v>80.399993670276999</v>
      </c>
      <c r="L36" s="653"/>
      <c r="M36" s="374">
        <f>RANK(K36, K$24:$K$41)</f>
        <v>2</v>
      </c>
      <c r="N36" s="637"/>
      <c r="O36" s="637"/>
      <c r="P36" s="560">
        <v>16</v>
      </c>
      <c r="Q36" s="562">
        <v>1291.8749999999998</v>
      </c>
      <c r="R36" s="562">
        <v>80.742187499999986</v>
      </c>
      <c r="S36" s="560">
        <f t="shared" si="22"/>
        <v>2</v>
      </c>
      <c r="T36" s="633"/>
      <c r="U36" s="560">
        <v>16</v>
      </c>
      <c r="V36" s="562">
        <v>1303.3333333333335</v>
      </c>
      <c r="W36" s="562">
        <v>81.458333333333343</v>
      </c>
      <c r="X36" s="560">
        <f t="shared" si="24"/>
        <v>2</v>
      </c>
      <c r="Y36" s="633"/>
      <c r="Z36" s="560">
        <v>16</v>
      </c>
      <c r="AA36" s="562">
        <v>1302.2950819672133</v>
      </c>
      <c r="AB36" s="562">
        <v>81.393442622950829</v>
      </c>
      <c r="AC36" s="560">
        <f t="shared" si="26"/>
        <v>2</v>
      </c>
      <c r="AD36" s="633"/>
      <c r="AE36" s="560">
        <v>16</v>
      </c>
      <c r="AF36" s="562">
        <v>1198.9830508474586</v>
      </c>
      <c r="AG36" s="562">
        <v>74.936440677966161</v>
      </c>
      <c r="AH36" s="560">
        <f t="shared" si="28"/>
        <v>4</v>
      </c>
      <c r="AI36" s="633"/>
      <c r="AJ36" s="560">
        <v>16</v>
      </c>
      <c r="AK36" s="562">
        <v>1331.1504424778761</v>
      </c>
      <c r="AL36" s="562">
        <v>83.196902654867259</v>
      </c>
      <c r="AM36" s="560">
        <f t="shared" si="30"/>
        <v>2</v>
      </c>
      <c r="AN36" s="633"/>
      <c r="AO36" s="560">
        <v>16</v>
      </c>
      <c r="AP36" s="562">
        <v>1270.6896551724142</v>
      </c>
      <c r="AQ36" s="562">
        <v>79.418103448275886</v>
      </c>
      <c r="AR36" s="560">
        <f t="shared" si="32"/>
        <v>2</v>
      </c>
      <c r="AS36" s="633"/>
      <c r="AT36" s="560">
        <v>16</v>
      </c>
      <c r="AU36" s="562">
        <v>1306.4727272727278</v>
      </c>
      <c r="AV36" s="562">
        <v>81.654545454545485</v>
      </c>
      <c r="AW36" s="560">
        <f t="shared" si="34"/>
        <v>2</v>
      </c>
      <c r="AX36" s="633"/>
      <c r="AZ36" s="357" t="e">
        <f t="shared" si="36"/>
        <v>#N/A</v>
      </c>
      <c r="BA36" s="633"/>
    </row>
    <row r="37" spans="2:53">
      <c r="B37" s="643"/>
      <c r="C37" s="367">
        <v>11</v>
      </c>
      <c r="D37" s="220"/>
      <c r="E37" s="559"/>
      <c r="F37" s="553"/>
      <c r="G37" s="552"/>
      <c r="H37" s="697"/>
      <c r="I37" s="369" t="str">
        <f t="shared" si="19"/>
        <v>-</v>
      </c>
      <c r="J37" s="369" t="str">
        <f t="shared" si="20"/>
        <v>-</v>
      </c>
      <c r="K37" s="194" t="str">
        <f t="shared" si="21"/>
        <v>-</v>
      </c>
      <c r="L37" s="653"/>
      <c r="M37" s="374" t="e">
        <f>RANK(K37, K$24:$K$41)</f>
        <v>#VALUE!</v>
      </c>
      <c r="N37" s="637"/>
      <c r="O37" s="637"/>
      <c r="P37" s="560" t="s">
        <v>557</v>
      </c>
      <c r="Q37" s="562" t="s">
        <v>557</v>
      </c>
      <c r="R37" s="562" t="s">
        <v>557</v>
      </c>
      <c r="S37" s="560" t="e">
        <f t="shared" si="22"/>
        <v>#VALUE!</v>
      </c>
      <c r="T37" s="633"/>
      <c r="U37" s="560" t="s">
        <v>557</v>
      </c>
      <c r="V37" s="562" t="s">
        <v>557</v>
      </c>
      <c r="W37" s="562" t="s">
        <v>557</v>
      </c>
      <c r="X37" s="560" t="e">
        <f t="shared" si="24"/>
        <v>#VALUE!</v>
      </c>
      <c r="Y37" s="633"/>
      <c r="Z37" s="560" t="s">
        <v>557</v>
      </c>
      <c r="AA37" s="562" t="s">
        <v>557</v>
      </c>
      <c r="AB37" s="562" t="s">
        <v>557</v>
      </c>
      <c r="AC37" s="560" t="e">
        <f t="shared" si="26"/>
        <v>#VALUE!</v>
      </c>
      <c r="AD37" s="633"/>
      <c r="AE37" s="560" t="s">
        <v>557</v>
      </c>
      <c r="AF37" s="562" t="s">
        <v>557</v>
      </c>
      <c r="AG37" s="562" t="s">
        <v>557</v>
      </c>
      <c r="AH37" s="560" t="e">
        <f t="shared" si="28"/>
        <v>#VALUE!</v>
      </c>
      <c r="AI37" s="633"/>
      <c r="AJ37" s="560" t="s">
        <v>557</v>
      </c>
      <c r="AK37" s="562" t="s">
        <v>557</v>
      </c>
      <c r="AL37" s="562" t="s">
        <v>557</v>
      </c>
      <c r="AM37" s="560" t="e">
        <f t="shared" si="30"/>
        <v>#VALUE!</v>
      </c>
      <c r="AN37" s="633"/>
      <c r="AO37" s="560" t="s">
        <v>557</v>
      </c>
      <c r="AP37" s="562" t="s">
        <v>557</v>
      </c>
      <c r="AQ37" s="562" t="s">
        <v>557</v>
      </c>
      <c r="AR37" s="560" t="e">
        <f t="shared" si="32"/>
        <v>#VALUE!</v>
      </c>
      <c r="AS37" s="633"/>
      <c r="AT37" s="560" t="s">
        <v>557</v>
      </c>
      <c r="AU37" s="562" t="s">
        <v>557</v>
      </c>
      <c r="AV37" s="562" t="s">
        <v>557</v>
      </c>
      <c r="AW37" s="560" t="e">
        <f t="shared" si="34"/>
        <v>#VALUE!</v>
      </c>
      <c r="AX37" s="633"/>
      <c r="AZ37" s="357" t="e">
        <f t="shared" si="36"/>
        <v>#N/A</v>
      </c>
      <c r="BA37" s="633"/>
    </row>
    <row r="38" spans="2:53">
      <c r="B38" s="643"/>
      <c r="C38" s="367">
        <v>12</v>
      </c>
      <c r="D38" s="220"/>
      <c r="E38" s="559"/>
      <c r="F38" s="553"/>
      <c r="G38" s="552"/>
      <c r="H38" s="697"/>
      <c r="I38" s="369" t="str">
        <f t="shared" si="19"/>
        <v>-</v>
      </c>
      <c r="J38" s="369" t="str">
        <f t="shared" si="20"/>
        <v>-</v>
      </c>
      <c r="K38" s="194" t="str">
        <f t="shared" si="21"/>
        <v>-</v>
      </c>
      <c r="L38" s="653"/>
      <c r="M38" s="374" t="e">
        <f>RANK(K38, K$24:$K$41)</f>
        <v>#VALUE!</v>
      </c>
      <c r="N38" s="637"/>
      <c r="O38" s="637"/>
      <c r="P38" s="560" t="s">
        <v>557</v>
      </c>
      <c r="Q38" s="562" t="s">
        <v>557</v>
      </c>
      <c r="R38" s="562" t="s">
        <v>557</v>
      </c>
      <c r="S38" s="560" t="e">
        <f t="shared" si="22"/>
        <v>#VALUE!</v>
      </c>
      <c r="T38" s="633"/>
      <c r="U38" s="560" t="s">
        <v>557</v>
      </c>
      <c r="V38" s="562" t="s">
        <v>557</v>
      </c>
      <c r="W38" s="562" t="s">
        <v>557</v>
      </c>
      <c r="X38" s="560" t="e">
        <f t="shared" si="24"/>
        <v>#VALUE!</v>
      </c>
      <c r="Y38" s="633"/>
      <c r="Z38" s="560" t="s">
        <v>557</v>
      </c>
      <c r="AA38" s="562" t="s">
        <v>557</v>
      </c>
      <c r="AB38" s="562" t="s">
        <v>557</v>
      </c>
      <c r="AC38" s="560" t="e">
        <f t="shared" si="26"/>
        <v>#VALUE!</v>
      </c>
      <c r="AD38" s="633"/>
      <c r="AE38" s="560" t="s">
        <v>557</v>
      </c>
      <c r="AF38" s="562" t="s">
        <v>557</v>
      </c>
      <c r="AG38" s="562" t="s">
        <v>557</v>
      </c>
      <c r="AH38" s="560" t="e">
        <f t="shared" si="28"/>
        <v>#VALUE!</v>
      </c>
      <c r="AI38" s="633"/>
      <c r="AJ38" s="560" t="s">
        <v>557</v>
      </c>
      <c r="AK38" s="562" t="s">
        <v>557</v>
      </c>
      <c r="AL38" s="562" t="s">
        <v>557</v>
      </c>
      <c r="AM38" s="560" t="e">
        <f t="shared" si="30"/>
        <v>#VALUE!</v>
      </c>
      <c r="AN38" s="633"/>
      <c r="AO38" s="560" t="s">
        <v>557</v>
      </c>
      <c r="AP38" s="562" t="s">
        <v>557</v>
      </c>
      <c r="AQ38" s="562" t="s">
        <v>557</v>
      </c>
      <c r="AR38" s="560" t="e">
        <f t="shared" si="32"/>
        <v>#VALUE!</v>
      </c>
      <c r="AS38" s="633"/>
      <c r="AT38" s="560" t="s">
        <v>557</v>
      </c>
      <c r="AU38" s="562" t="s">
        <v>557</v>
      </c>
      <c r="AV38" s="562" t="s">
        <v>557</v>
      </c>
      <c r="AW38" s="560" t="e">
        <f t="shared" si="34"/>
        <v>#VALUE!</v>
      </c>
      <c r="AX38" s="633"/>
      <c r="AZ38" s="357" t="e">
        <f t="shared" si="36"/>
        <v>#N/A</v>
      </c>
      <c r="BA38" s="633"/>
    </row>
    <row r="39" spans="2:53">
      <c r="B39" s="643"/>
      <c r="C39" s="367">
        <v>13</v>
      </c>
      <c r="D39" s="220"/>
      <c r="E39" s="559"/>
      <c r="F39" s="553"/>
      <c r="G39" s="552"/>
      <c r="H39" s="697"/>
      <c r="I39" s="369" t="str">
        <f t="shared" si="19"/>
        <v>-</v>
      </c>
      <c r="J39" s="369" t="str">
        <f t="shared" si="20"/>
        <v>-</v>
      </c>
      <c r="K39" s="194" t="str">
        <f t="shared" si="21"/>
        <v>-</v>
      </c>
      <c r="L39" s="653"/>
      <c r="M39" s="374" t="e">
        <f>RANK(K39, K$24:$K$41)</f>
        <v>#VALUE!</v>
      </c>
      <c r="N39" s="637"/>
      <c r="O39" s="637"/>
      <c r="P39" s="560" t="s">
        <v>557</v>
      </c>
      <c r="Q39" s="562" t="s">
        <v>557</v>
      </c>
      <c r="R39" s="562" t="s">
        <v>557</v>
      </c>
      <c r="S39" s="560" t="e">
        <f t="shared" si="22"/>
        <v>#VALUE!</v>
      </c>
      <c r="T39" s="633"/>
      <c r="U39" s="560" t="s">
        <v>557</v>
      </c>
      <c r="V39" s="562" t="s">
        <v>557</v>
      </c>
      <c r="W39" s="562" t="s">
        <v>557</v>
      </c>
      <c r="X39" s="560" t="e">
        <f t="shared" si="24"/>
        <v>#VALUE!</v>
      </c>
      <c r="Y39" s="633"/>
      <c r="Z39" s="560" t="s">
        <v>557</v>
      </c>
      <c r="AA39" s="562" t="s">
        <v>557</v>
      </c>
      <c r="AB39" s="562" t="s">
        <v>557</v>
      </c>
      <c r="AC39" s="560" t="e">
        <f t="shared" si="26"/>
        <v>#VALUE!</v>
      </c>
      <c r="AD39" s="633"/>
      <c r="AE39" s="560" t="s">
        <v>557</v>
      </c>
      <c r="AF39" s="562" t="s">
        <v>557</v>
      </c>
      <c r="AG39" s="562" t="s">
        <v>557</v>
      </c>
      <c r="AH39" s="560" t="e">
        <f t="shared" si="28"/>
        <v>#VALUE!</v>
      </c>
      <c r="AI39" s="633"/>
      <c r="AJ39" s="560" t="s">
        <v>557</v>
      </c>
      <c r="AK39" s="562" t="s">
        <v>557</v>
      </c>
      <c r="AL39" s="562" t="s">
        <v>557</v>
      </c>
      <c r="AM39" s="560" t="e">
        <f t="shared" si="30"/>
        <v>#VALUE!</v>
      </c>
      <c r="AN39" s="633"/>
      <c r="AO39" s="560" t="s">
        <v>557</v>
      </c>
      <c r="AP39" s="562" t="s">
        <v>557</v>
      </c>
      <c r="AQ39" s="562" t="s">
        <v>557</v>
      </c>
      <c r="AR39" s="560" t="e">
        <f t="shared" si="32"/>
        <v>#VALUE!</v>
      </c>
      <c r="AS39" s="633"/>
      <c r="AT39" s="560" t="s">
        <v>557</v>
      </c>
      <c r="AU39" s="562" t="s">
        <v>557</v>
      </c>
      <c r="AV39" s="562" t="s">
        <v>557</v>
      </c>
      <c r="AW39" s="560" t="e">
        <f t="shared" si="34"/>
        <v>#VALUE!</v>
      </c>
      <c r="AX39" s="633"/>
      <c r="AZ39" s="357" t="e">
        <f t="shared" si="36"/>
        <v>#N/A</v>
      </c>
      <c r="BA39" s="633"/>
    </row>
    <row r="40" spans="2:53">
      <c r="B40" s="643"/>
      <c r="C40" s="367">
        <v>14</v>
      </c>
      <c r="D40" s="220"/>
      <c r="E40" s="559"/>
      <c r="F40" s="553"/>
      <c r="G40" s="552"/>
      <c r="H40" s="697"/>
      <c r="I40" s="369" t="str">
        <f t="shared" si="19"/>
        <v>-</v>
      </c>
      <c r="J40" s="369" t="str">
        <f t="shared" si="20"/>
        <v>-</v>
      </c>
      <c r="K40" s="194" t="str">
        <f t="shared" si="21"/>
        <v>-</v>
      </c>
      <c r="L40" s="653"/>
      <c r="M40" s="374" t="e">
        <f>RANK(K40, K$24:$K$41)</f>
        <v>#VALUE!</v>
      </c>
      <c r="N40" s="637"/>
      <c r="O40" s="637"/>
      <c r="P40" s="560" t="s">
        <v>557</v>
      </c>
      <c r="Q40" s="562" t="s">
        <v>557</v>
      </c>
      <c r="R40" s="562" t="s">
        <v>557</v>
      </c>
      <c r="S40" s="560" t="e">
        <f t="shared" si="22"/>
        <v>#VALUE!</v>
      </c>
      <c r="T40" s="633"/>
      <c r="U40" s="560" t="s">
        <v>557</v>
      </c>
      <c r="V40" s="562" t="s">
        <v>557</v>
      </c>
      <c r="W40" s="562" t="s">
        <v>557</v>
      </c>
      <c r="X40" s="560" t="e">
        <f t="shared" si="24"/>
        <v>#VALUE!</v>
      </c>
      <c r="Y40" s="633"/>
      <c r="Z40" s="560" t="s">
        <v>557</v>
      </c>
      <c r="AA40" s="562" t="s">
        <v>557</v>
      </c>
      <c r="AB40" s="562" t="s">
        <v>557</v>
      </c>
      <c r="AC40" s="560" t="e">
        <f t="shared" si="26"/>
        <v>#VALUE!</v>
      </c>
      <c r="AD40" s="633"/>
      <c r="AE40" s="560" t="s">
        <v>557</v>
      </c>
      <c r="AF40" s="562" t="s">
        <v>557</v>
      </c>
      <c r="AG40" s="562" t="s">
        <v>557</v>
      </c>
      <c r="AH40" s="560" t="e">
        <f t="shared" si="28"/>
        <v>#VALUE!</v>
      </c>
      <c r="AI40" s="633"/>
      <c r="AJ40" s="560" t="s">
        <v>557</v>
      </c>
      <c r="AK40" s="562" t="s">
        <v>557</v>
      </c>
      <c r="AL40" s="562" t="s">
        <v>557</v>
      </c>
      <c r="AM40" s="560" t="e">
        <f t="shared" si="30"/>
        <v>#VALUE!</v>
      </c>
      <c r="AN40" s="633"/>
      <c r="AO40" s="560" t="s">
        <v>557</v>
      </c>
      <c r="AP40" s="562" t="s">
        <v>557</v>
      </c>
      <c r="AQ40" s="562" t="s">
        <v>557</v>
      </c>
      <c r="AR40" s="560" t="e">
        <f t="shared" si="32"/>
        <v>#VALUE!</v>
      </c>
      <c r="AS40" s="633"/>
      <c r="AT40" s="560" t="s">
        <v>557</v>
      </c>
      <c r="AU40" s="562" t="s">
        <v>557</v>
      </c>
      <c r="AV40" s="562" t="s">
        <v>557</v>
      </c>
      <c r="AW40" s="560" t="e">
        <f t="shared" si="34"/>
        <v>#VALUE!</v>
      </c>
      <c r="AX40" s="633"/>
      <c r="AZ40" s="357" t="e">
        <f t="shared" si="36"/>
        <v>#N/A</v>
      </c>
      <c r="BA40" s="633"/>
    </row>
    <row r="41" spans="2:53">
      <c r="B41" s="643"/>
      <c r="C41" s="367">
        <v>15</v>
      </c>
      <c r="D41" s="220"/>
      <c r="E41" s="559"/>
      <c r="F41" s="553"/>
      <c r="G41" s="552"/>
      <c r="H41" s="698"/>
      <c r="I41" s="196"/>
      <c r="J41" s="196"/>
      <c r="K41" s="196"/>
      <c r="L41" s="654"/>
      <c r="M41" s="373" t="e">
        <f>RANK(K41, K$24:$K$41)</f>
        <v>#N/A</v>
      </c>
      <c r="N41" s="637"/>
      <c r="O41" s="637"/>
      <c r="P41" s="560" t="s">
        <v>557</v>
      </c>
      <c r="Q41" s="562" t="s">
        <v>557</v>
      </c>
      <c r="R41" s="562" t="s">
        <v>557</v>
      </c>
      <c r="S41" s="560" t="e">
        <f t="shared" si="22"/>
        <v>#VALUE!</v>
      </c>
      <c r="T41" s="634"/>
      <c r="U41" s="560" t="s">
        <v>557</v>
      </c>
      <c r="V41" s="562" t="s">
        <v>557</v>
      </c>
      <c r="W41" s="562" t="s">
        <v>557</v>
      </c>
      <c r="X41" s="560" t="e">
        <f t="shared" si="24"/>
        <v>#VALUE!</v>
      </c>
      <c r="Y41" s="634"/>
      <c r="Z41" s="560" t="s">
        <v>557</v>
      </c>
      <c r="AA41" s="562" t="s">
        <v>557</v>
      </c>
      <c r="AB41" s="562" t="s">
        <v>557</v>
      </c>
      <c r="AC41" s="560" t="e">
        <f t="shared" si="26"/>
        <v>#VALUE!</v>
      </c>
      <c r="AD41" s="634"/>
      <c r="AE41" s="560" t="s">
        <v>557</v>
      </c>
      <c r="AF41" s="562" t="s">
        <v>557</v>
      </c>
      <c r="AG41" s="562" t="s">
        <v>557</v>
      </c>
      <c r="AH41" s="560" t="e">
        <f t="shared" si="28"/>
        <v>#VALUE!</v>
      </c>
      <c r="AI41" s="634"/>
      <c r="AJ41" s="560" t="s">
        <v>557</v>
      </c>
      <c r="AK41" s="562" t="s">
        <v>557</v>
      </c>
      <c r="AL41" s="562" t="s">
        <v>557</v>
      </c>
      <c r="AM41" s="560" t="e">
        <f t="shared" si="30"/>
        <v>#VALUE!</v>
      </c>
      <c r="AN41" s="634"/>
      <c r="AO41" s="560" t="s">
        <v>557</v>
      </c>
      <c r="AP41" s="562" t="s">
        <v>557</v>
      </c>
      <c r="AQ41" s="562" t="s">
        <v>557</v>
      </c>
      <c r="AR41" s="560" t="e">
        <f t="shared" si="32"/>
        <v>#VALUE!</v>
      </c>
      <c r="AS41" s="634"/>
      <c r="AT41" s="560" t="s">
        <v>557</v>
      </c>
      <c r="AU41" s="562" t="s">
        <v>557</v>
      </c>
      <c r="AV41" s="562" t="s">
        <v>557</v>
      </c>
      <c r="AW41" s="560" t="e">
        <f t="shared" si="34"/>
        <v>#VALUE!</v>
      </c>
      <c r="AX41" s="634"/>
      <c r="AZ41" s="357" t="e">
        <f t="shared" si="36"/>
        <v>#N/A</v>
      </c>
      <c r="BA41" s="634"/>
    </row>
    <row r="42" spans="2:53" ht="15.75">
      <c r="B42" s="676" t="s">
        <v>162</v>
      </c>
      <c r="C42" s="677"/>
      <c r="D42" s="677"/>
      <c r="E42" s="677"/>
      <c r="F42" s="677"/>
      <c r="G42" s="677"/>
      <c r="H42" s="677"/>
      <c r="I42" s="202"/>
      <c r="J42" s="197"/>
      <c r="K42" s="202"/>
      <c r="L42" s="202"/>
      <c r="M42" s="198"/>
      <c r="N42" s="639" t="s">
        <v>156</v>
      </c>
      <c r="O42" s="639" t="s">
        <v>105</v>
      </c>
      <c r="P42" s="664">
        <f>P22+7</f>
        <v>46308</v>
      </c>
      <c r="Q42" s="643"/>
      <c r="R42" s="643"/>
      <c r="S42" s="643"/>
      <c r="T42" s="643"/>
      <c r="U42" s="661">
        <f>P42+1</f>
        <v>46309</v>
      </c>
      <c r="V42" s="662"/>
      <c r="W42" s="662"/>
      <c r="X42" s="662"/>
      <c r="Y42" s="663"/>
      <c r="Z42" s="661">
        <f>U42+1</f>
        <v>46310</v>
      </c>
      <c r="AA42" s="662"/>
      <c r="AB42" s="662"/>
      <c r="AC42" s="662"/>
      <c r="AD42" s="663"/>
      <c r="AE42" s="661">
        <f>Z42+1</f>
        <v>46311</v>
      </c>
      <c r="AF42" s="662"/>
      <c r="AG42" s="662"/>
      <c r="AH42" s="662"/>
      <c r="AI42" s="663"/>
      <c r="AJ42" s="661">
        <f>AE42+1</f>
        <v>46312</v>
      </c>
      <c r="AK42" s="662"/>
      <c r="AL42" s="662"/>
      <c r="AM42" s="662"/>
      <c r="AN42" s="663"/>
      <c r="AO42" s="661">
        <f>AJ42+1</f>
        <v>46313</v>
      </c>
      <c r="AP42" s="662"/>
      <c r="AQ42" s="662"/>
      <c r="AR42" s="662"/>
      <c r="AS42" s="663"/>
      <c r="AT42" s="661">
        <f>AO42+1</f>
        <v>46314</v>
      </c>
      <c r="AU42" s="662"/>
      <c r="AV42" s="662"/>
      <c r="AW42" s="662"/>
      <c r="AX42" s="663"/>
    </row>
    <row r="43" spans="2:53" ht="15.75">
      <c r="B43" s="668"/>
      <c r="C43" s="668"/>
      <c r="D43" s="668"/>
      <c r="E43" s="668"/>
      <c r="F43" s="668"/>
      <c r="G43" s="668"/>
      <c r="H43" s="668"/>
      <c r="I43" s="199"/>
      <c r="J43" s="199"/>
      <c r="K43" s="199"/>
      <c r="L43" s="199"/>
      <c r="M43" s="200"/>
      <c r="N43" s="641"/>
      <c r="O43" s="641"/>
      <c r="P43" s="664" t="s">
        <v>317</v>
      </c>
      <c r="Q43" s="643"/>
      <c r="R43" s="643"/>
      <c r="S43" s="643"/>
      <c r="T43" s="643"/>
      <c r="U43" s="664" t="s">
        <v>318</v>
      </c>
      <c r="V43" s="643"/>
      <c r="W43" s="643"/>
      <c r="X43" s="643"/>
      <c r="Y43" s="643"/>
      <c r="Z43" s="664" t="s">
        <v>319</v>
      </c>
      <c r="AA43" s="643"/>
      <c r="AB43" s="643"/>
      <c r="AC43" s="643"/>
      <c r="AD43" s="643"/>
      <c r="AE43" s="664" t="s">
        <v>320</v>
      </c>
      <c r="AF43" s="643"/>
      <c r="AG43" s="643"/>
      <c r="AH43" s="643"/>
      <c r="AI43" s="643"/>
      <c r="AJ43" s="664" t="s">
        <v>321</v>
      </c>
      <c r="AK43" s="643"/>
      <c r="AL43" s="643"/>
      <c r="AM43" s="643"/>
      <c r="AN43" s="643"/>
      <c r="AO43" s="664" t="s">
        <v>322</v>
      </c>
      <c r="AP43" s="643"/>
      <c r="AQ43" s="643"/>
      <c r="AR43" s="643"/>
      <c r="AS43" s="643"/>
      <c r="AT43" s="664" t="s">
        <v>323</v>
      </c>
      <c r="AU43" s="643"/>
      <c r="AV43" s="643"/>
      <c r="AW43" s="643"/>
      <c r="AX43" s="643"/>
    </row>
    <row r="44" spans="2:53">
      <c r="B44" s="637" t="s">
        <v>444</v>
      </c>
      <c r="C44" s="637" t="s">
        <v>370</v>
      </c>
      <c r="D44" s="637"/>
      <c r="E44" s="637" t="s">
        <v>361</v>
      </c>
      <c r="F44" s="637"/>
      <c r="G44" s="637"/>
      <c r="H44" s="669" t="s">
        <v>357</v>
      </c>
      <c r="I44" s="684" t="s">
        <v>362</v>
      </c>
      <c r="J44" s="684"/>
      <c r="K44" s="684"/>
      <c r="L44" s="685" t="s">
        <v>357</v>
      </c>
      <c r="M44" s="673" t="s">
        <v>358</v>
      </c>
      <c r="N44" s="637"/>
      <c r="O44" s="637" t="s">
        <v>363</v>
      </c>
      <c r="P44" s="655" t="s">
        <v>359</v>
      </c>
      <c r="Q44" s="656"/>
      <c r="R44" s="656"/>
      <c r="S44" s="657"/>
      <c r="T44" s="637" t="s">
        <v>357</v>
      </c>
      <c r="U44" s="655" t="s">
        <v>359</v>
      </c>
      <c r="V44" s="656"/>
      <c r="W44" s="656"/>
      <c r="X44" s="657"/>
      <c r="Y44" s="637" t="s">
        <v>357</v>
      </c>
      <c r="Z44" s="655" t="s">
        <v>359</v>
      </c>
      <c r="AA44" s="656"/>
      <c r="AB44" s="656"/>
      <c r="AC44" s="657"/>
      <c r="AD44" s="637" t="s">
        <v>357</v>
      </c>
      <c r="AE44" s="655" t="s">
        <v>359</v>
      </c>
      <c r="AF44" s="656"/>
      <c r="AG44" s="656"/>
      <c r="AH44" s="657"/>
      <c r="AI44" s="637" t="s">
        <v>357</v>
      </c>
      <c r="AJ44" s="655" t="s">
        <v>359</v>
      </c>
      <c r="AK44" s="656"/>
      <c r="AL44" s="656"/>
      <c r="AM44" s="657"/>
      <c r="AN44" s="637" t="s">
        <v>357</v>
      </c>
      <c r="AO44" s="655" t="s">
        <v>359</v>
      </c>
      <c r="AP44" s="656"/>
      <c r="AQ44" s="656"/>
      <c r="AR44" s="657"/>
      <c r="AS44" s="637" t="s">
        <v>357</v>
      </c>
      <c r="AT44" s="655" t="s">
        <v>359</v>
      </c>
      <c r="AU44" s="656"/>
      <c r="AV44" s="656"/>
      <c r="AW44" s="657"/>
      <c r="AX44" s="637" t="s">
        <v>357</v>
      </c>
      <c r="BA44" s="637" t="s">
        <v>357</v>
      </c>
    </row>
    <row r="45" spans="2:53">
      <c r="B45" s="637"/>
      <c r="C45" s="637"/>
      <c r="D45" s="637"/>
      <c r="E45" s="637" t="s">
        <v>364</v>
      </c>
      <c r="F45" s="637"/>
      <c r="G45" s="637"/>
      <c r="H45" s="670"/>
      <c r="I45" s="684" t="s">
        <v>364</v>
      </c>
      <c r="J45" s="684"/>
      <c r="K45" s="684"/>
      <c r="L45" s="686"/>
      <c r="M45" s="674"/>
      <c r="N45" s="637"/>
      <c r="O45" s="637"/>
      <c r="P45" s="655" t="s">
        <v>365</v>
      </c>
      <c r="Q45" s="656"/>
      <c r="R45" s="656"/>
      <c r="S45" s="657"/>
      <c r="T45" s="637"/>
      <c r="U45" s="655" t="s">
        <v>365</v>
      </c>
      <c r="V45" s="656"/>
      <c r="W45" s="656"/>
      <c r="X45" s="657"/>
      <c r="Y45" s="637"/>
      <c r="Z45" s="655" t="s">
        <v>365</v>
      </c>
      <c r="AA45" s="656"/>
      <c r="AB45" s="656"/>
      <c r="AC45" s="657"/>
      <c r="AD45" s="637"/>
      <c r="AE45" s="655" t="s">
        <v>365</v>
      </c>
      <c r="AF45" s="656"/>
      <c r="AG45" s="656"/>
      <c r="AH45" s="657"/>
      <c r="AI45" s="637"/>
      <c r="AJ45" s="655" t="s">
        <v>365</v>
      </c>
      <c r="AK45" s="656"/>
      <c r="AL45" s="656"/>
      <c r="AM45" s="657"/>
      <c r="AN45" s="637"/>
      <c r="AO45" s="655" t="s">
        <v>365</v>
      </c>
      <c r="AP45" s="656"/>
      <c r="AQ45" s="656"/>
      <c r="AR45" s="657"/>
      <c r="AS45" s="637"/>
      <c r="AT45" s="655" t="s">
        <v>365</v>
      </c>
      <c r="AU45" s="656"/>
      <c r="AV45" s="656"/>
      <c r="AW45" s="657"/>
      <c r="AX45" s="637"/>
      <c r="BA45" s="637"/>
    </row>
    <row r="46" spans="2:53">
      <c r="B46" s="637"/>
      <c r="C46" s="637"/>
      <c r="D46" s="637"/>
      <c r="E46" s="366" t="s">
        <v>366</v>
      </c>
      <c r="F46" s="366" t="s">
        <v>367</v>
      </c>
      <c r="G46" s="366" t="s">
        <v>368</v>
      </c>
      <c r="H46" s="671"/>
      <c r="I46" s="365" t="s">
        <v>366</v>
      </c>
      <c r="J46" s="365" t="s">
        <v>367</v>
      </c>
      <c r="K46" s="365" t="s">
        <v>368</v>
      </c>
      <c r="L46" s="687"/>
      <c r="M46" s="675"/>
      <c r="N46" s="637"/>
      <c r="O46" s="637"/>
      <c r="P46" s="366" t="s">
        <v>366</v>
      </c>
      <c r="Q46" s="366" t="s">
        <v>367</v>
      </c>
      <c r="R46" s="366" t="s">
        <v>368</v>
      </c>
      <c r="S46" s="366" t="s">
        <v>358</v>
      </c>
      <c r="T46" s="637"/>
      <c r="U46" s="366" t="s">
        <v>366</v>
      </c>
      <c r="V46" s="366" t="s">
        <v>367</v>
      </c>
      <c r="W46" s="366" t="s">
        <v>368</v>
      </c>
      <c r="X46" s="366" t="s">
        <v>358</v>
      </c>
      <c r="Y46" s="637"/>
      <c r="Z46" s="366" t="s">
        <v>366</v>
      </c>
      <c r="AA46" s="366" t="s">
        <v>367</v>
      </c>
      <c r="AB46" s="366" t="s">
        <v>368</v>
      </c>
      <c r="AC46" s="366" t="s">
        <v>358</v>
      </c>
      <c r="AD46" s="637"/>
      <c r="AE46" s="366" t="s">
        <v>366</v>
      </c>
      <c r="AF46" s="366" t="s">
        <v>367</v>
      </c>
      <c r="AG46" s="366" t="s">
        <v>368</v>
      </c>
      <c r="AH46" s="366" t="s">
        <v>358</v>
      </c>
      <c r="AI46" s="637"/>
      <c r="AJ46" s="366" t="s">
        <v>366</v>
      </c>
      <c r="AK46" s="366" t="s">
        <v>367</v>
      </c>
      <c r="AL46" s="366" t="s">
        <v>368</v>
      </c>
      <c r="AM46" s="366" t="s">
        <v>358</v>
      </c>
      <c r="AN46" s="637"/>
      <c r="AO46" s="366" t="s">
        <v>366</v>
      </c>
      <c r="AP46" s="366" t="s">
        <v>367</v>
      </c>
      <c r="AQ46" s="366" t="s">
        <v>368</v>
      </c>
      <c r="AR46" s="366" t="s">
        <v>358</v>
      </c>
      <c r="AS46" s="637"/>
      <c r="AT46" s="366" t="s">
        <v>366</v>
      </c>
      <c r="AU46" s="366" t="s">
        <v>367</v>
      </c>
      <c r="AV46" s="366" t="s">
        <v>368</v>
      </c>
      <c r="AW46" s="366" t="s">
        <v>358</v>
      </c>
      <c r="AX46" s="637"/>
      <c r="AZ46" s="356" t="s">
        <v>546</v>
      </c>
      <c r="BA46" s="637"/>
    </row>
    <row r="47" spans="2:53">
      <c r="B47" s="637" t="s">
        <v>458</v>
      </c>
      <c r="C47" s="367">
        <v>1</v>
      </c>
      <c r="D47" s="220"/>
      <c r="E47" s="559"/>
      <c r="F47" s="553"/>
      <c r="G47" s="552"/>
      <c r="H47" s="696" t="e">
        <f>AVERAGE(G47:G61)</f>
        <v>#DIV/0!</v>
      </c>
      <c r="I47" s="369" t="str">
        <f t="shared" ref="I47:I60" si="38">IFERROR(AVERAGE(P47,U47,Z47,AE47,AJ47,AO47,AT47),"-")</f>
        <v>-</v>
      </c>
      <c r="J47" s="369" t="str">
        <f t="shared" ref="J47:J60" si="39">IFERROR(AVERAGE(Q47,V47,AA47,AF47,AK47,AP47,AU47),"-")</f>
        <v>-</v>
      </c>
      <c r="K47" s="194" t="str">
        <f t="shared" ref="K47:K60" si="40">IFERROR(AVERAGE(R47,W47,AB47,AG47,AL47,AQ47,AV47),"-")</f>
        <v>-</v>
      </c>
      <c r="L47" s="652" t="str">
        <f>IFERROR(AVERAGE(K47:K61),"-")</f>
        <v>-</v>
      </c>
      <c r="M47" s="371" t="e">
        <f>RANK(K47, K$47:$K$61)</f>
        <v>#VALUE!</v>
      </c>
      <c r="N47" s="637"/>
      <c r="O47" s="637"/>
      <c r="P47" s="538"/>
      <c r="Q47" s="540"/>
      <c r="R47" s="540"/>
      <c r="S47" s="538"/>
      <c r="T47" s="632"/>
      <c r="U47" s="538"/>
      <c r="V47" s="540"/>
      <c r="W47" s="540"/>
      <c r="X47" s="538"/>
      <c r="Y47" s="632"/>
      <c r="Z47" s="538"/>
      <c r="AA47" s="540"/>
      <c r="AB47" s="540"/>
      <c r="AC47" s="538"/>
      <c r="AD47" s="632"/>
      <c r="AE47" s="538"/>
      <c r="AF47" s="540"/>
      <c r="AG47" s="540"/>
      <c r="AH47" s="538"/>
      <c r="AI47" s="632"/>
      <c r="AJ47" s="538"/>
      <c r="AK47" s="540"/>
      <c r="AL47" s="540"/>
      <c r="AM47" s="538"/>
      <c r="AN47" s="632"/>
      <c r="AO47" s="538"/>
      <c r="AP47" s="540"/>
      <c r="AQ47" s="540"/>
      <c r="AR47" s="538"/>
      <c r="AS47" s="632"/>
      <c r="AT47" s="538"/>
      <c r="AU47" s="540"/>
      <c r="AV47" s="540"/>
      <c r="AW47" s="538"/>
      <c r="AX47" s="632"/>
      <c r="AZ47" s="357" t="e">
        <f t="shared" ref="AZ47:AZ61" si="41">RANK(AY47, AY$47:AY$61)</f>
        <v>#N/A</v>
      </c>
      <c r="BA47" s="632" t="e">
        <f t="shared" ref="BA47" si="42">AVERAGE(AY47:AY61)</f>
        <v>#DIV/0!</v>
      </c>
    </row>
    <row r="48" spans="2:53">
      <c r="B48" s="643"/>
      <c r="C48" s="367">
        <v>2</v>
      </c>
      <c r="D48" s="220"/>
      <c r="E48" s="559"/>
      <c r="F48" s="553"/>
      <c r="G48" s="552"/>
      <c r="H48" s="697"/>
      <c r="I48" s="369" t="str">
        <f t="shared" si="38"/>
        <v>-</v>
      </c>
      <c r="J48" s="369" t="str">
        <f t="shared" si="39"/>
        <v>-</v>
      </c>
      <c r="K48" s="194" t="str">
        <f t="shared" si="40"/>
        <v>-</v>
      </c>
      <c r="L48" s="653"/>
      <c r="M48" s="389" t="e">
        <f>RANK(K48, K$47:$K$61)</f>
        <v>#VALUE!</v>
      </c>
      <c r="N48" s="637"/>
      <c r="O48" s="637"/>
      <c r="P48" s="538"/>
      <c r="Q48" s="540"/>
      <c r="R48" s="540"/>
      <c r="S48" s="538"/>
      <c r="T48" s="633"/>
      <c r="U48" s="538"/>
      <c r="V48" s="540"/>
      <c r="W48" s="540"/>
      <c r="X48" s="538"/>
      <c r="Y48" s="633"/>
      <c r="Z48" s="538"/>
      <c r="AA48" s="540"/>
      <c r="AB48" s="540"/>
      <c r="AC48" s="538"/>
      <c r="AD48" s="633"/>
      <c r="AE48" s="538"/>
      <c r="AF48" s="540"/>
      <c r="AG48" s="540"/>
      <c r="AH48" s="538"/>
      <c r="AI48" s="633"/>
      <c r="AJ48" s="538"/>
      <c r="AK48" s="540"/>
      <c r="AL48" s="540"/>
      <c r="AM48" s="538"/>
      <c r="AN48" s="633"/>
      <c r="AO48" s="538"/>
      <c r="AP48" s="540"/>
      <c r="AQ48" s="540"/>
      <c r="AR48" s="538"/>
      <c r="AS48" s="633"/>
      <c r="AT48" s="538"/>
      <c r="AU48" s="540"/>
      <c r="AV48" s="540"/>
      <c r="AW48" s="538"/>
      <c r="AX48" s="633"/>
      <c r="AZ48" s="357" t="e">
        <f t="shared" si="41"/>
        <v>#N/A</v>
      </c>
      <c r="BA48" s="633"/>
    </row>
    <row r="49" spans="2:53">
      <c r="B49" s="643"/>
      <c r="C49" s="367">
        <v>3</v>
      </c>
      <c r="D49" s="220"/>
      <c r="E49" s="559"/>
      <c r="F49" s="553"/>
      <c r="G49" s="552"/>
      <c r="H49" s="697"/>
      <c r="I49" s="369" t="str">
        <f t="shared" si="38"/>
        <v>-</v>
      </c>
      <c r="J49" s="369" t="str">
        <f t="shared" si="39"/>
        <v>-</v>
      </c>
      <c r="K49" s="194" t="str">
        <f t="shared" si="40"/>
        <v>-</v>
      </c>
      <c r="L49" s="653"/>
      <c r="M49" s="389" t="e">
        <f>RANK(K49, K$47:$K$61)</f>
        <v>#VALUE!</v>
      </c>
      <c r="N49" s="637"/>
      <c r="O49" s="637"/>
      <c r="P49" s="538"/>
      <c r="Q49" s="540"/>
      <c r="R49" s="540"/>
      <c r="S49" s="538"/>
      <c r="T49" s="633"/>
      <c r="U49" s="538"/>
      <c r="V49" s="540"/>
      <c r="W49" s="540"/>
      <c r="X49" s="538"/>
      <c r="Y49" s="633"/>
      <c r="Z49" s="538"/>
      <c r="AA49" s="540"/>
      <c r="AB49" s="540"/>
      <c r="AC49" s="538"/>
      <c r="AD49" s="633"/>
      <c r="AE49" s="538"/>
      <c r="AF49" s="540"/>
      <c r="AG49" s="540"/>
      <c r="AH49" s="538"/>
      <c r="AI49" s="633"/>
      <c r="AJ49" s="538"/>
      <c r="AK49" s="540"/>
      <c r="AL49" s="540"/>
      <c r="AM49" s="538"/>
      <c r="AN49" s="633"/>
      <c r="AO49" s="538"/>
      <c r="AP49" s="540"/>
      <c r="AQ49" s="540"/>
      <c r="AR49" s="538"/>
      <c r="AS49" s="633"/>
      <c r="AT49" s="538"/>
      <c r="AU49" s="540"/>
      <c r="AV49" s="540"/>
      <c r="AW49" s="538"/>
      <c r="AX49" s="633"/>
      <c r="AZ49" s="357" t="e">
        <f t="shared" si="41"/>
        <v>#N/A</v>
      </c>
      <c r="BA49" s="633"/>
    </row>
    <row r="50" spans="2:53">
      <c r="B50" s="643"/>
      <c r="C50" s="367">
        <v>4</v>
      </c>
      <c r="D50" s="220"/>
      <c r="E50" s="559"/>
      <c r="F50" s="553"/>
      <c r="G50" s="552"/>
      <c r="H50" s="697"/>
      <c r="I50" s="369" t="str">
        <f t="shared" si="38"/>
        <v>-</v>
      </c>
      <c r="J50" s="369" t="str">
        <f t="shared" si="39"/>
        <v>-</v>
      </c>
      <c r="K50" s="194" t="str">
        <f t="shared" si="40"/>
        <v>-</v>
      </c>
      <c r="L50" s="653"/>
      <c r="M50" s="389" t="e">
        <f>RANK(K50, K$47:$K$61)</f>
        <v>#VALUE!</v>
      </c>
      <c r="N50" s="637"/>
      <c r="O50" s="637"/>
      <c r="P50" s="538"/>
      <c r="Q50" s="540"/>
      <c r="R50" s="540"/>
      <c r="S50" s="538"/>
      <c r="T50" s="633"/>
      <c r="U50" s="538"/>
      <c r="V50" s="540"/>
      <c r="W50" s="540"/>
      <c r="X50" s="538"/>
      <c r="Y50" s="633"/>
      <c r="Z50" s="538"/>
      <c r="AA50" s="540"/>
      <c r="AB50" s="540"/>
      <c r="AC50" s="538"/>
      <c r="AD50" s="633"/>
      <c r="AE50" s="538"/>
      <c r="AF50" s="540"/>
      <c r="AG50" s="540"/>
      <c r="AH50" s="538"/>
      <c r="AI50" s="633"/>
      <c r="AJ50" s="538"/>
      <c r="AK50" s="540"/>
      <c r="AL50" s="540"/>
      <c r="AM50" s="538"/>
      <c r="AN50" s="633"/>
      <c r="AO50" s="538"/>
      <c r="AP50" s="540"/>
      <c r="AQ50" s="540"/>
      <c r="AR50" s="538"/>
      <c r="AS50" s="633"/>
      <c r="AT50" s="538"/>
      <c r="AU50" s="540"/>
      <c r="AV50" s="540"/>
      <c r="AW50" s="538"/>
      <c r="AX50" s="633"/>
      <c r="AZ50" s="357" t="e">
        <f t="shared" si="41"/>
        <v>#N/A</v>
      </c>
      <c r="BA50" s="633"/>
    </row>
    <row r="51" spans="2:53">
      <c r="B51" s="643"/>
      <c r="C51" s="367">
        <v>5</v>
      </c>
      <c r="D51" s="220"/>
      <c r="E51" s="559"/>
      <c r="F51" s="553"/>
      <c r="G51" s="552"/>
      <c r="H51" s="697"/>
      <c r="I51" s="369" t="str">
        <f t="shared" si="38"/>
        <v>-</v>
      </c>
      <c r="J51" s="369" t="str">
        <f t="shared" si="39"/>
        <v>-</v>
      </c>
      <c r="K51" s="194" t="str">
        <f t="shared" si="40"/>
        <v>-</v>
      </c>
      <c r="L51" s="653"/>
      <c r="M51" s="389" t="e">
        <f>RANK(K51, K$47:$K$61)</f>
        <v>#VALUE!</v>
      </c>
      <c r="N51" s="637"/>
      <c r="O51" s="637"/>
      <c r="P51" s="538"/>
      <c r="Q51" s="540"/>
      <c r="R51" s="540"/>
      <c r="S51" s="538"/>
      <c r="T51" s="633"/>
      <c r="U51" s="538"/>
      <c r="V51" s="540"/>
      <c r="W51" s="540"/>
      <c r="X51" s="538"/>
      <c r="Y51" s="633"/>
      <c r="Z51" s="538"/>
      <c r="AA51" s="540"/>
      <c r="AB51" s="540"/>
      <c r="AC51" s="538"/>
      <c r="AD51" s="633"/>
      <c r="AE51" s="538"/>
      <c r="AF51" s="540"/>
      <c r="AG51" s="540"/>
      <c r="AH51" s="538"/>
      <c r="AI51" s="633"/>
      <c r="AJ51" s="538"/>
      <c r="AK51" s="540"/>
      <c r="AL51" s="540"/>
      <c r="AM51" s="538"/>
      <c r="AN51" s="633"/>
      <c r="AO51" s="538"/>
      <c r="AP51" s="540"/>
      <c r="AQ51" s="540"/>
      <c r="AR51" s="538"/>
      <c r="AS51" s="633"/>
      <c r="AT51" s="538"/>
      <c r="AU51" s="540"/>
      <c r="AV51" s="540"/>
      <c r="AW51" s="538"/>
      <c r="AX51" s="633"/>
      <c r="AZ51" s="357" t="e">
        <f t="shared" si="41"/>
        <v>#N/A</v>
      </c>
      <c r="BA51" s="633"/>
    </row>
    <row r="52" spans="2:53">
      <c r="B52" s="643"/>
      <c r="C52" s="367">
        <v>6</v>
      </c>
      <c r="D52" s="220"/>
      <c r="E52" s="559"/>
      <c r="F52" s="553"/>
      <c r="G52" s="552"/>
      <c r="H52" s="697"/>
      <c r="I52" s="369" t="str">
        <f t="shared" si="38"/>
        <v>-</v>
      </c>
      <c r="J52" s="369" t="str">
        <f t="shared" si="39"/>
        <v>-</v>
      </c>
      <c r="K52" s="194" t="str">
        <f t="shared" si="40"/>
        <v>-</v>
      </c>
      <c r="L52" s="653"/>
      <c r="M52" s="389" t="e">
        <f>RANK(K52, K$47:$K$61)</f>
        <v>#VALUE!</v>
      </c>
      <c r="N52" s="637"/>
      <c r="O52" s="637"/>
      <c r="P52" s="538"/>
      <c r="Q52" s="540"/>
      <c r="R52" s="540"/>
      <c r="S52" s="538"/>
      <c r="T52" s="633"/>
      <c r="U52" s="538"/>
      <c r="V52" s="540"/>
      <c r="W52" s="540"/>
      <c r="X52" s="538"/>
      <c r="Y52" s="633"/>
      <c r="Z52" s="538"/>
      <c r="AA52" s="540"/>
      <c r="AB52" s="540"/>
      <c r="AC52" s="538"/>
      <c r="AD52" s="633"/>
      <c r="AE52" s="538"/>
      <c r="AF52" s="540"/>
      <c r="AG52" s="540"/>
      <c r="AH52" s="538"/>
      <c r="AI52" s="633"/>
      <c r="AJ52" s="538"/>
      <c r="AK52" s="540"/>
      <c r="AL52" s="540"/>
      <c r="AM52" s="538"/>
      <c r="AN52" s="633"/>
      <c r="AO52" s="538"/>
      <c r="AP52" s="540"/>
      <c r="AQ52" s="540"/>
      <c r="AR52" s="538"/>
      <c r="AS52" s="633"/>
      <c r="AT52" s="538"/>
      <c r="AU52" s="540"/>
      <c r="AV52" s="540"/>
      <c r="AW52" s="538"/>
      <c r="AX52" s="633"/>
      <c r="AZ52" s="357" t="e">
        <f t="shared" si="41"/>
        <v>#N/A</v>
      </c>
      <c r="BA52" s="633"/>
    </row>
    <row r="53" spans="2:53">
      <c r="B53" s="643"/>
      <c r="C53" s="367">
        <v>7</v>
      </c>
      <c r="D53" s="220"/>
      <c r="E53" s="559"/>
      <c r="F53" s="553"/>
      <c r="G53" s="552"/>
      <c r="H53" s="697"/>
      <c r="I53" s="369" t="str">
        <f t="shared" si="38"/>
        <v>-</v>
      </c>
      <c r="J53" s="369" t="str">
        <f t="shared" si="39"/>
        <v>-</v>
      </c>
      <c r="K53" s="194" t="str">
        <f t="shared" si="40"/>
        <v>-</v>
      </c>
      <c r="L53" s="653"/>
      <c r="M53" s="389" t="e">
        <f>RANK(K53, K$47:$K$61)</f>
        <v>#VALUE!</v>
      </c>
      <c r="N53" s="637"/>
      <c r="O53" s="637"/>
      <c r="P53" s="538"/>
      <c r="Q53" s="540"/>
      <c r="R53" s="540"/>
      <c r="S53" s="538"/>
      <c r="T53" s="633"/>
      <c r="U53" s="538"/>
      <c r="V53" s="540"/>
      <c r="W53" s="540"/>
      <c r="X53" s="538"/>
      <c r="Y53" s="633"/>
      <c r="Z53" s="538"/>
      <c r="AA53" s="540"/>
      <c r="AB53" s="540"/>
      <c r="AC53" s="538"/>
      <c r="AD53" s="633"/>
      <c r="AE53" s="538"/>
      <c r="AF53" s="540"/>
      <c r="AG53" s="540"/>
      <c r="AH53" s="538"/>
      <c r="AI53" s="633"/>
      <c r="AJ53" s="538"/>
      <c r="AK53" s="540"/>
      <c r="AL53" s="540"/>
      <c r="AM53" s="538"/>
      <c r="AN53" s="633"/>
      <c r="AO53" s="538"/>
      <c r="AP53" s="540"/>
      <c r="AQ53" s="540"/>
      <c r="AR53" s="538"/>
      <c r="AS53" s="633"/>
      <c r="AT53" s="538"/>
      <c r="AU53" s="540"/>
      <c r="AV53" s="540"/>
      <c r="AW53" s="538"/>
      <c r="AX53" s="633"/>
      <c r="AZ53" s="357" t="e">
        <f t="shared" si="41"/>
        <v>#N/A</v>
      </c>
      <c r="BA53" s="633"/>
    </row>
    <row r="54" spans="2:53">
      <c r="B54" s="643"/>
      <c r="C54" s="367">
        <v>8</v>
      </c>
      <c r="D54" s="220"/>
      <c r="E54" s="559"/>
      <c r="F54" s="553"/>
      <c r="G54" s="552"/>
      <c r="H54" s="697"/>
      <c r="I54" s="369" t="str">
        <f t="shared" si="38"/>
        <v>-</v>
      </c>
      <c r="J54" s="369" t="str">
        <f t="shared" si="39"/>
        <v>-</v>
      </c>
      <c r="K54" s="194" t="str">
        <f t="shared" si="40"/>
        <v>-</v>
      </c>
      <c r="L54" s="653"/>
      <c r="M54" s="389" t="e">
        <f>RANK(K54, K$47:$K$61)</f>
        <v>#VALUE!</v>
      </c>
      <c r="N54" s="637"/>
      <c r="O54" s="637"/>
      <c r="P54" s="538"/>
      <c r="Q54" s="540"/>
      <c r="R54" s="540"/>
      <c r="S54" s="538"/>
      <c r="T54" s="633"/>
      <c r="U54" s="538"/>
      <c r="V54" s="540"/>
      <c r="W54" s="540"/>
      <c r="X54" s="538"/>
      <c r="Y54" s="633"/>
      <c r="Z54" s="538"/>
      <c r="AA54" s="540"/>
      <c r="AB54" s="540"/>
      <c r="AC54" s="538"/>
      <c r="AD54" s="633"/>
      <c r="AE54" s="538"/>
      <c r="AF54" s="540"/>
      <c r="AG54" s="540"/>
      <c r="AH54" s="538"/>
      <c r="AI54" s="633"/>
      <c r="AJ54" s="538"/>
      <c r="AK54" s="540"/>
      <c r="AL54" s="540"/>
      <c r="AM54" s="538"/>
      <c r="AN54" s="633"/>
      <c r="AO54" s="538"/>
      <c r="AP54" s="540"/>
      <c r="AQ54" s="540"/>
      <c r="AR54" s="538"/>
      <c r="AS54" s="633"/>
      <c r="AT54" s="538"/>
      <c r="AU54" s="540"/>
      <c r="AV54" s="540"/>
      <c r="AW54" s="538"/>
      <c r="AX54" s="633"/>
      <c r="AZ54" s="357" t="e">
        <f t="shared" si="41"/>
        <v>#N/A</v>
      </c>
      <c r="BA54" s="633"/>
    </row>
    <row r="55" spans="2:53">
      <c r="B55" s="643"/>
      <c r="C55" s="367">
        <v>9</v>
      </c>
      <c r="D55" s="220"/>
      <c r="E55" s="559"/>
      <c r="F55" s="553"/>
      <c r="G55" s="552"/>
      <c r="H55" s="697"/>
      <c r="I55" s="369" t="str">
        <f t="shared" si="38"/>
        <v>-</v>
      </c>
      <c r="J55" s="369" t="str">
        <f t="shared" si="39"/>
        <v>-</v>
      </c>
      <c r="K55" s="194" t="str">
        <f t="shared" si="40"/>
        <v>-</v>
      </c>
      <c r="L55" s="653"/>
      <c r="M55" s="389" t="e">
        <f>RANK(K55, K$47:$K$61)</f>
        <v>#VALUE!</v>
      </c>
      <c r="N55" s="637"/>
      <c r="O55" s="637"/>
      <c r="P55" s="538"/>
      <c r="Q55" s="540"/>
      <c r="R55" s="540"/>
      <c r="S55" s="538"/>
      <c r="T55" s="633"/>
      <c r="U55" s="538"/>
      <c r="V55" s="540"/>
      <c r="W55" s="540"/>
      <c r="X55" s="538"/>
      <c r="Y55" s="633"/>
      <c r="Z55" s="538"/>
      <c r="AA55" s="540"/>
      <c r="AB55" s="540"/>
      <c r="AC55" s="538"/>
      <c r="AD55" s="633"/>
      <c r="AE55" s="538"/>
      <c r="AF55" s="540"/>
      <c r="AG55" s="540"/>
      <c r="AH55" s="538"/>
      <c r="AI55" s="633"/>
      <c r="AJ55" s="538"/>
      <c r="AK55" s="540"/>
      <c r="AL55" s="540"/>
      <c r="AM55" s="538"/>
      <c r="AN55" s="633"/>
      <c r="AO55" s="538"/>
      <c r="AP55" s="540"/>
      <c r="AQ55" s="540"/>
      <c r="AR55" s="538"/>
      <c r="AS55" s="633"/>
      <c r="AT55" s="538"/>
      <c r="AU55" s="540"/>
      <c r="AV55" s="540"/>
      <c r="AW55" s="538"/>
      <c r="AX55" s="633"/>
      <c r="AZ55" s="357" t="e">
        <f t="shared" si="41"/>
        <v>#N/A</v>
      </c>
      <c r="BA55" s="633"/>
    </row>
    <row r="56" spans="2:53">
      <c r="B56" s="643"/>
      <c r="C56" s="367">
        <v>10</v>
      </c>
      <c r="D56" s="220"/>
      <c r="E56" s="559"/>
      <c r="F56" s="553"/>
      <c r="G56" s="552"/>
      <c r="H56" s="697"/>
      <c r="I56" s="369" t="str">
        <f t="shared" si="38"/>
        <v>-</v>
      </c>
      <c r="J56" s="369" t="str">
        <f t="shared" si="39"/>
        <v>-</v>
      </c>
      <c r="K56" s="194" t="str">
        <f t="shared" si="40"/>
        <v>-</v>
      </c>
      <c r="L56" s="653"/>
      <c r="M56" s="389" t="e">
        <f>RANK(K56, K$47:$K$61)</f>
        <v>#VALUE!</v>
      </c>
      <c r="N56" s="637"/>
      <c r="O56" s="637"/>
      <c r="P56" s="538"/>
      <c r="Q56" s="540"/>
      <c r="R56" s="540"/>
      <c r="S56" s="538"/>
      <c r="T56" s="633"/>
      <c r="U56" s="538"/>
      <c r="V56" s="540"/>
      <c r="W56" s="540"/>
      <c r="X56" s="538"/>
      <c r="Y56" s="633"/>
      <c r="Z56" s="538"/>
      <c r="AA56" s="540"/>
      <c r="AB56" s="540"/>
      <c r="AC56" s="538"/>
      <c r="AD56" s="633"/>
      <c r="AE56" s="538"/>
      <c r="AF56" s="540"/>
      <c r="AG56" s="540"/>
      <c r="AH56" s="538"/>
      <c r="AI56" s="633"/>
      <c r="AJ56" s="538"/>
      <c r="AK56" s="540"/>
      <c r="AL56" s="540"/>
      <c r="AM56" s="538"/>
      <c r="AN56" s="633"/>
      <c r="AO56" s="538"/>
      <c r="AP56" s="540"/>
      <c r="AQ56" s="540"/>
      <c r="AR56" s="538"/>
      <c r="AS56" s="633"/>
      <c r="AT56" s="538"/>
      <c r="AU56" s="540"/>
      <c r="AV56" s="540"/>
      <c r="AW56" s="538"/>
      <c r="AX56" s="633"/>
      <c r="AZ56" s="357" t="e">
        <f t="shared" si="41"/>
        <v>#N/A</v>
      </c>
      <c r="BA56" s="633"/>
    </row>
    <row r="57" spans="2:53">
      <c r="B57" s="643"/>
      <c r="C57" s="367">
        <v>11</v>
      </c>
      <c r="D57" s="220"/>
      <c r="E57" s="559"/>
      <c r="F57" s="553"/>
      <c r="G57" s="552"/>
      <c r="H57" s="697"/>
      <c r="I57" s="369" t="str">
        <f t="shared" si="38"/>
        <v>-</v>
      </c>
      <c r="J57" s="369" t="str">
        <f t="shared" si="39"/>
        <v>-</v>
      </c>
      <c r="K57" s="194" t="str">
        <f t="shared" si="40"/>
        <v>-</v>
      </c>
      <c r="L57" s="653"/>
      <c r="M57" s="389" t="e">
        <f>RANK(K57, K$47:$K$61)</f>
        <v>#VALUE!</v>
      </c>
      <c r="N57" s="637"/>
      <c r="O57" s="637"/>
      <c r="P57" s="538"/>
      <c r="Q57" s="540"/>
      <c r="R57" s="540"/>
      <c r="S57" s="538"/>
      <c r="T57" s="633"/>
      <c r="U57" s="538"/>
      <c r="V57" s="540"/>
      <c r="W57" s="540"/>
      <c r="X57" s="538"/>
      <c r="Y57" s="633"/>
      <c r="Z57" s="538"/>
      <c r="AA57" s="540"/>
      <c r="AB57" s="540"/>
      <c r="AC57" s="538"/>
      <c r="AD57" s="633"/>
      <c r="AE57" s="538"/>
      <c r="AF57" s="540"/>
      <c r="AG57" s="540"/>
      <c r="AH57" s="538"/>
      <c r="AI57" s="633"/>
      <c r="AJ57" s="538"/>
      <c r="AK57" s="540"/>
      <c r="AL57" s="540"/>
      <c r="AM57" s="538"/>
      <c r="AN57" s="633"/>
      <c r="AO57" s="538"/>
      <c r="AP57" s="540"/>
      <c r="AQ57" s="540"/>
      <c r="AR57" s="538"/>
      <c r="AS57" s="633"/>
      <c r="AT57" s="538"/>
      <c r="AU57" s="540"/>
      <c r="AV57" s="540"/>
      <c r="AW57" s="538"/>
      <c r="AX57" s="633"/>
      <c r="AZ57" s="357" t="e">
        <f t="shared" si="41"/>
        <v>#N/A</v>
      </c>
      <c r="BA57" s="633"/>
    </row>
    <row r="58" spans="2:53">
      <c r="B58" s="643"/>
      <c r="C58" s="367">
        <v>12</v>
      </c>
      <c r="D58" s="220"/>
      <c r="E58" s="559"/>
      <c r="F58" s="553"/>
      <c r="G58" s="552"/>
      <c r="H58" s="697"/>
      <c r="I58" s="369" t="str">
        <f t="shared" si="38"/>
        <v>-</v>
      </c>
      <c r="J58" s="369" t="str">
        <f t="shared" si="39"/>
        <v>-</v>
      </c>
      <c r="K58" s="194" t="str">
        <f t="shared" si="40"/>
        <v>-</v>
      </c>
      <c r="L58" s="653"/>
      <c r="M58" s="389" t="e">
        <f>RANK(K58, K$47:$K$61)</f>
        <v>#VALUE!</v>
      </c>
      <c r="N58" s="637"/>
      <c r="O58" s="637"/>
      <c r="P58" s="538"/>
      <c r="Q58" s="540"/>
      <c r="R58" s="540"/>
      <c r="S58" s="538"/>
      <c r="T58" s="633"/>
      <c r="U58" s="538"/>
      <c r="V58" s="540"/>
      <c r="W58" s="540"/>
      <c r="X58" s="538"/>
      <c r="Y58" s="633"/>
      <c r="Z58" s="538"/>
      <c r="AA58" s="540"/>
      <c r="AB58" s="540"/>
      <c r="AC58" s="538"/>
      <c r="AD58" s="633"/>
      <c r="AE58" s="538"/>
      <c r="AF58" s="540"/>
      <c r="AG58" s="540"/>
      <c r="AH58" s="538"/>
      <c r="AI58" s="633"/>
      <c r="AJ58" s="538"/>
      <c r="AK58" s="540"/>
      <c r="AL58" s="540"/>
      <c r="AM58" s="538"/>
      <c r="AN58" s="633"/>
      <c r="AO58" s="538"/>
      <c r="AP58" s="540"/>
      <c r="AQ58" s="540"/>
      <c r="AR58" s="538"/>
      <c r="AS58" s="633"/>
      <c r="AT58" s="538"/>
      <c r="AU58" s="540"/>
      <c r="AV58" s="540"/>
      <c r="AW58" s="538"/>
      <c r="AX58" s="633"/>
      <c r="AZ58" s="357" t="e">
        <f t="shared" si="41"/>
        <v>#N/A</v>
      </c>
      <c r="BA58" s="633"/>
    </row>
    <row r="59" spans="2:53">
      <c r="B59" s="643"/>
      <c r="C59" s="367">
        <v>13</v>
      </c>
      <c r="D59" s="220"/>
      <c r="E59" s="559"/>
      <c r="F59" s="553"/>
      <c r="G59" s="552"/>
      <c r="H59" s="697"/>
      <c r="I59" s="369" t="str">
        <f t="shared" si="38"/>
        <v>-</v>
      </c>
      <c r="J59" s="369" t="str">
        <f t="shared" si="39"/>
        <v>-</v>
      </c>
      <c r="K59" s="194" t="str">
        <f t="shared" si="40"/>
        <v>-</v>
      </c>
      <c r="L59" s="653"/>
      <c r="M59" s="389" t="e">
        <f>RANK(K59, K$47:$K$61)</f>
        <v>#VALUE!</v>
      </c>
      <c r="N59" s="637"/>
      <c r="O59" s="637"/>
      <c r="P59" s="538"/>
      <c r="Q59" s="540"/>
      <c r="R59" s="540"/>
      <c r="S59" s="538"/>
      <c r="T59" s="633"/>
      <c r="U59" s="538"/>
      <c r="V59" s="540"/>
      <c r="W59" s="540"/>
      <c r="X59" s="538"/>
      <c r="Y59" s="633"/>
      <c r="Z59" s="538"/>
      <c r="AA59" s="540"/>
      <c r="AB59" s="540"/>
      <c r="AC59" s="538"/>
      <c r="AD59" s="633"/>
      <c r="AE59" s="538"/>
      <c r="AF59" s="540"/>
      <c r="AG59" s="540"/>
      <c r="AH59" s="538"/>
      <c r="AI59" s="633"/>
      <c r="AJ59" s="538"/>
      <c r="AK59" s="540"/>
      <c r="AL59" s="540"/>
      <c r="AM59" s="538"/>
      <c r="AN59" s="633"/>
      <c r="AO59" s="538"/>
      <c r="AP59" s="540"/>
      <c r="AQ59" s="540"/>
      <c r="AR59" s="538"/>
      <c r="AS59" s="633"/>
      <c r="AT59" s="538"/>
      <c r="AU59" s="540"/>
      <c r="AV59" s="540"/>
      <c r="AW59" s="538"/>
      <c r="AX59" s="633"/>
      <c r="AZ59" s="357" t="e">
        <f t="shared" si="41"/>
        <v>#N/A</v>
      </c>
      <c r="BA59" s="633"/>
    </row>
    <row r="60" spans="2:53">
      <c r="B60" s="643"/>
      <c r="C60" s="367">
        <v>14</v>
      </c>
      <c r="D60" s="220"/>
      <c r="E60" s="559"/>
      <c r="F60" s="553"/>
      <c r="G60" s="552"/>
      <c r="H60" s="697"/>
      <c r="I60" s="369" t="str">
        <f t="shared" si="38"/>
        <v>-</v>
      </c>
      <c r="J60" s="369" t="str">
        <f t="shared" si="39"/>
        <v>-</v>
      </c>
      <c r="K60" s="194" t="str">
        <f t="shared" si="40"/>
        <v>-</v>
      </c>
      <c r="L60" s="653"/>
      <c r="M60" s="389" t="e">
        <f>RANK(K60, K$47:$K$61)</f>
        <v>#VALUE!</v>
      </c>
      <c r="N60" s="637"/>
      <c r="O60" s="637"/>
      <c r="P60" s="538"/>
      <c r="Q60" s="540"/>
      <c r="R60" s="540"/>
      <c r="S60" s="538"/>
      <c r="T60" s="633"/>
      <c r="U60" s="538"/>
      <c r="V60" s="540"/>
      <c r="W60" s="540"/>
      <c r="X60" s="538"/>
      <c r="Y60" s="633"/>
      <c r="Z60" s="538"/>
      <c r="AA60" s="540"/>
      <c r="AB60" s="540"/>
      <c r="AC60" s="538"/>
      <c r="AD60" s="633"/>
      <c r="AE60" s="538"/>
      <c r="AF60" s="540"/>
      <c r="AG60" s="540"/>
      <c r="AH60" s="538"/>
      <c r="AI60" s="633"/>
      <c r="AJ60" s="538"/>
      <c r="AK60" s="540"/>
      <c r="AL60" s="540"/>
      <c r="AM60" s="538"/>
      <c r="AN60" s="633"/>
      <c r="AO60" s="538"/>
      <c r="AP60" s="540"/>
      <c r="AQ60" s="540"/>
      <c r="AR60" s="538"/>
      <c r="AS60" s="633"/>
      <c r="AT60" s="538"/>
      <c r="AU60" s="540"/>
      <c r="AV60" s="540"/>
      <c r="AW60" s="538"/>
      <c r="AX60" s="633"/>
      <c r="AZ60" s="357" t="e">
        <f t="shared" si="41"/>
        <v>#N/A</v>
      </c>
      <c r="BA60" s="633"/>
    </row>
    <row r="61" spans="2:53">
      <c r="B61" s="643"/>
      <c r="C61" s="367">
        <v>15</v>
      </c>
      <c r="D61" s="220"/>
      <c r="E61" s="559"/>
      <c r="F61" s="553"/>
      <c r="G61" s="552"/>
      <c r="H61" s="698"/>
      <c r="I61" s="391" t="str">
        <f t="shared" ref="I61" si="43">IFERROR(AVERAGE(P61,U61,Z61,AE61,AJ61,AO61,AT61),"-")</f>
        <v>-</v>
      </c>
      <c r="J61" s="391" t="str">
        <f t="shared" ref="J61" si="44">IFERROR(AVERAGE(Q61,V61,AA61,AF61,AK61,AP61,AU61),"-")</f>
        <v>-</v>
      </c>
      <c r="K61" s="194" t="str">
        <f t="shared" ref="K61" si="45">IFERROR(AVERAGE(R61,W61,AB61,AG61,AL61,AQ61,AV61),"-")</f>
        <v>-</v>
      </c>
      <c r="L61" s="654"/>
      <c r="M61" s="389" t="e">
        <f>RANK(K61, K$47:$K$61)</f>
        <v>#VALUE!</v>
      </c>
      <c r="N61" s="637"/>
      <c r="O61" s="637"/>
      <c r="P61" s="538"/>
      <c r="Q61" s="540"/>
      <c r="R61" s="540"/>
      <c r="S61" s="538"/>
      <c r="T61" s="634"/>
      <c r="U61" s="538"/>
      <c r="V61" s="540"/>
      <c r="W61" s="540"/>
      <c r="X61" s="538"/>
      <c r="Y61" s="634"/>
      <c r="Z61" s="538"/>
      <c r="AA61" s="540"/>
      <c r="AB61" s="540"/>
      <c r="AC61" s="538"/>
      <c r="AD61" s="634"/>
      <c r="AE61" s="538"/>
      <c r="AF61" s="540"/>
      <c r="AG61" s="540"/>
      <c r="AH61" s="538"/>
      <c r="AI61" s="634"/>
      <c r="AJ61" s="538"/>
      <c r="AK61" s="540"/>
      <c r="AL61" s="540"/>
      <c r="AM61" s="538"/>
      <c r="AN61" s="634"/>
      <c r="AO61" s="538"/>
      <c r="AP61" s="540"/>
      <c r="AQ61" s="540"/>
      <c r="AR61" s="538"/>
      <c r="AS61" s="634"/>
      <c r="AT61" s="538"/>
      <c r="AU61" s="540"/>
      <c r="AV61" s="540"/>
      <c r="AW61" s="538"/>
      <c r="AX61" s="634"/>
      <c r="AZ61" s="357" t="e">
        <f t="shared" si="41"/>
        <v>#N/A</v>
      </c>
      <c r="BA61" s="634"/>
    </row>
    <row r="62" spans="2:53" ht="15.75">
      <c r="B62" s="665" t="s">
        <v>162</v>
      </c>
      <c r="C62" s="666"/>
      <c r="D62" s="666"/>
      <c r="E62" s="666"/>
      <c r="F62" s="666"/>
      <c r="G62" s="666"/>
      <c r="H62" s="667"/>
      <c r="I62" s="202"/>
      <c r="J62" s="202"/>
      <c r="K62" s="202"/>
      <c r="L62" s="202"/>
      <c r="M62" s="201"/>
      <c r="N62" s="639" t="s">
        <v>156</v>
      </c>
      <c r="O62" s="639" t="s">
        <v>105</v>
      </c>
      <c r="P62" s="664">
        <f>P42+7</f>
        <v>46315</v>
      </c>
      <c r="Q62" s="643"/>
      <c r="R62" s="643"/>
      <c r="S62" s="643"/>
      <c r="T62" s="643"/>
      <c r="U62" s="661">
        <f>P62+1</f>
        <v>46316</v>
      </c>
      <c r="V62" s="662"/>
      <c r="W62" s="662"/>
      <c r="X62" s="662"/>
      <c r="Y62" s="663"/>
      <c r="Z62" s="661">
        <f>U62+1</f>
        <v>46317</v>
      </c>
      <c r="AA62" s="662"/>
      <c r="AB62" s="662"/>
      <c r="AC62" s="662"/>
      <c r="AD62" s="663"/>
      <c r="AE62" s="661">
        <f>Z62+1</f>
        <v>46318</v>
      </c>
      <c r="AF62" s="662"/>
      <c r="AG62" s="662"/>
      <c r="AH62" s="662"/>
      <c r="AI62" s="663"/>
      <c r="AJ62" s="661">
        <f>AE62+1</f>
        <v>46319</v>
      </c>
      <c r="AK62" s="662"/>
      <c r="AL62" s="662"/>
      <c r="AM62" s="662"/>
      <c r="AN62" s="663"/>
      <c r="AO62" s="661">
        <f>AJ62+1</f>
        <v>46320</v>
      </c>
      <c r="AP62" s="662"/>
      <c r="AQ62" s="662"/>
      <c r="AR62" s="662"/>
      <c r="AS62" s="663"/>
      <c r="AT62" s="661">
        <f>AO62+1</f>
        <v>46321</v>
      </c>
      <c r="AU62" s="662"/>
      <c r="AV62" s="662"/>
      <c r="AW62" s="662"/>
      <c r="AX62" s="663"/>
    </row>
    <row r="63" spans="2:53" ht="15.75">
      <c r="B63" s="668"/>
      <c r="C63" s="668"/>
      <c r="D63" s="668"/>
      <c r="E63" s="668"/>
      <c r="F63" s="668"/>
      <c r="G63" s="668"/>
      <c r="H63" s="668"/>
      <c r="I63" s="199"/>
      <c r="J63" s="199"/>
      <c r="K63" s="199"/>
      <c r="L63" s="199"/>
      <c r="M63" s="200"/>
      <c r="N63" s="641"/>
      <c r="O63" s="641"/>
      <c r="P63" s="664" t="s">
        <v>317</v>
      </c>
      <c r="Q63" s="643"/>
      <c r="R63" s="643"/>
      <c r="S63" s="643"/>
      <c r="T63" s="643"/>
      <c r="U63" s="664" t="s">
        <v>318</v>
      </c>
      <c r="V63" s="643"/>
      <c r="W63" s="643"/>
      <c r="X63" s="643"/>
      <c r="Y63" s="643"/>
      <c r="Z63" s="664" t="s">
        <v>319</v>
      </c>
      <c r="AA63" s="643"/>
      <c r="AB63" s="643"/>
      <c r="AC63" s="643"/>
      <c r="AD63" s="643"/>
      <c r="AE63" s="664" t="s">
        <v>320</v>
      </c>
      <c r="AF63" s="643"/>
      <c r="AG63" s="643"/>
      <c r="AH63" s="643"/>
      <c r="AI63" s="643"/>
      <c r="AJ63" s="664" t="s">
        <v>321</v>
      </c>
      <c r="AK63" s="643"/>
      <c r="AL63" s="643"/>
      <c r="AM63" s="643"/>
      <c r="AN63" s="643"/>
      <c r="AO63" s="664" t="s">
        <v>322</v>
      </c>
      <c r="AP63" s="643"/>
      <c r="AQ63" s="643"/>
      <c r="AR63" s="643"/>
      <c r="AS63" s="643"/>
      <c r="AT63" s="664" t="s">
        <v>323</v>
      </c>
      <c r="AU63" s="643"/>
      <c r="AV63" s="643"/>
      <c r="AW63" s="643"/>
      <c r="AX63" s="643"/>
    </row>
    <row r="64" spans="2:53">
      <c r="B64" s="637" t="s">
        <v>360</v>
      </c>
      <c r="C64" s="637" t="s">
        <v>370</v>
      </c>
      <c r="D64" s="637"/>
      <c r="E64" s="637" t="s">
        <v>361</v>
      </c>
      <c r="F64" s="637"/>
      <c r="G64" s="637"/>
      <c r="H64" s="669" t="s">
        <v>357</v>
      </c>
      <c r="I64" s="684" t="s">
        <v>362</v>
      </c>
      <c r="J64" s="684"/>
      <c r="K64" s="684"/>
      <c r="L64" s="685" t="s">
        <v>357</v>
      </c>
      <c r="M64" s="673" t="s">
        <v>358</v>
      </c>
      <c r="N64" s="637"/>
      <c r="O64" s="637" t="s">
        <v>363</v>
      </c>
      <c r="P64" s="655" t="s">
        <v>359</v>
      </c>
      <c r="Q64" s="656"/>
      <c r="R64" s="656"/>
      <c r="S64" s="657"/>
      <c r="T64" s="637" t="s">
        <v>357</v>
      </c>
      <c r="U64" s="655" t="s">
        <v>359</v>
      </c>
      <c r="V64" s="656"/>
      <c r="W64" s="656"/>
      <c r="X64" s="657"/>
      <c r="Y64" s="637" t="s">
        <v>357</v>
      </c>
      <c r="Z64" s="655" t="s">
        <v>359</v>
      </c>
      <c r="AA64" s="656"/>
      <c r="AB64" s="656"/>
      <c r="AC64" s="657"/>
      <c r="AD64" s="637" t="s">
        <v>357</v>
      </c>
      <c r="AE64" s="655" t="s">
        <v>359</v>
      </c>
      <c r="AF64" s="656"/>
      <c r="AG64" s="656"/>
      <c r="AH64" s="657"/>
      <c r="AI64" s="637" t="s">
        <v>357</v>
      </c>
      <c r="AJ64" s="655" t="s">
        <v>359</v>
      </c>
      <c r="AK64" s="656"/>
      <c r="AL64" s="656"/>
      <c r="AM64" s="657"/>
      <c r="AN64" s="637" t="s">
        <v>357</v>
      </c>
      <c r="AO64" s="655" t="s">
        <v>359</v>
      </c>
      <c r="AP64" s="656"/>
      <c r="AQ64" s="656"/>
      <c r="AR64" s="657"/>
      <c r="AS64" s="637" t="s">
        <v>357</v>
      </c>
      <c r="AT64" s="655" t="s">
        <v>359</v>
      </c>
      <c r="AU64" s="656"/>
      <c r="AV64" s="656"/>
      <c r="AW64" s="657"/>
      <c r="AX64" s="637" t="s">
        <v>357</v>
      </c>
      <c r="BA64" s="637" t="s">
        <v>357</v>
      </c>
    </row>
    <row r="65" spans="2:53">
      <c r="B65" s="637"/>
      <c r="C65" s="637"/>
      <c r="D65" s="637"/>
      <c r="E65" s="637" t="s">
        <v>364</v>
      </c>
      <c r="F65" s="637"/>
      <c r="G65" s="637"/>
      <c r="H65" s="670"/>
      <c r="I65" s="684" t="s">
        <v>364</v>
      </c>
      <c r="J65" s="684"/>
      <c r="K65" s="684"/>
      <c r="L65" s="686"/>
      <c r="M65" s="674"/>
      <c r="N65" s="637"/>
      <c r="O65" s="637"/>
      <c r="P65" s="655" t="s">
        <v>365</v>
      </c>
      <c r="Q65" s="656"/>
      <c r="R65" s="656"/>
      <c r="S65" s="657"/>
      <c r="T65" s="637"/>
      <c r="U65" s="655" t="s">
        <v>365</v>
      </c>
      <c r="V65" s="656"/>
      <c r="W65" s="656"/>
      <c r="X65" s="657"/>
      <c r="Y65" s="637"/>
      <c r="Z65" s="655" t="s">
        <v>365</v>
      </c>
      <c r="AA65" s="656"/>
      <c r="AB65" s="656"/>
      <c r="AC65" s="657"/>
      <c r="AD65" s="637"/>
      <c r="AE65" s="655" t="s">
        <v>365</v>
      </c>
      <c r="AF65" s="656"/>
      <c r="AG65" s="656"/>
      <c r="AH65" s="657"/>
      <c r="AI65" s="637"/>
      <c r="AJ65" s="655" t="s">
        <v>365</v>
      </c>
      <c r="AK65" s="656"/>
      <c r="AL65" s="656"/>
      <c r="AM65" s="657"/>
      <c r="AN65" s="637"/>
      <c r="AO65" s="655" t="s">
        <v>365</v>
      </c>
      <c r="AP65" s="656"/>
      <c r="AQ65" s="656"/>
      <c r="AR65" s="657"/>
      <c r="AS65" s="637"/>
      <c r="AT65" s="655" t="s">
        <v>365</v>
      </c>
      <c r="AU65" s="656"/>
      <c r="AV65" s="656"/>
      <c r="AW65" s="657"/>
      <c r="AX65" s="637"/>
      <c r="BA65" s="637"/>
    </row>
    <row r="66" spans="2:53">
      <c r="B66" s="637"/>
      <c r="C66" s="637"/>
      <c r="D66" s="637"/>
      <c r="E66" s="366" t="s">
        <v>366</v>
      </c>
      <c r="F66" s="366" t="s">
        <v>367</v>
      </c>
      <c r="G66" s="366" t="s">
        <v>368</v>
      </c>
      <c r="H66" s="671"/>
      <c r="I66" s="365" t="s">
        <v>366</v>
      </c>
      <c r="J66" s="365" t="s">
        <v>367</v>
      </c>
      <c r="K66" s="365" t="s">
        <v>368</v>
      </c>
      <c r="L66" s="687"/>
      <c r="M66" s="675"/>
      <c r="N66" s="637"/>
      <c r="O66" s="637"/>
      <c r="P66" s="366" t="s">
        <v>366</v>
      </c>
      <c r="Q66" s="366" t="s">
        <v>367</v>
      </c>
      <c r="R66" s="366" t="s">
        <v>368</v>
      </c>
      <c r="S66" s="366" t="s">
        <v>358</v>
      </c>
      <c r="T66" s="637"/>
      <c r="U66" s="366" t="s">
        <v>366</v>
      </c>
      <c r="V66" s="366" t="s">
        <v>367</v>
      </c>
      <c r="W66" s="366" t="s">
        <v>368</v>
      </c>
      <c r="X66" s="366" t="s">
        <v>358</v>
      </c>
      <c r="Y66" s="637"/>
      <c r="Z66" s="366" t="s">
        <v>366</v>
      </c>
      <c r="AA66" s="366" t="s">
        <v>367</v>
      </c>
      <c r="AB66" s="366" t="s">
        <v>368</v>
      </c>
      <c r="AC66" s="366" t="s">
        <v>358</v>
      </c>
      <c r="AD66" s="637"/>
      <c r="AE66" s="366" t="s">
        <v>366</v>
      </c>
      <c r="AF66" s="366" t="s">
        <v>367</v>
      </c>
      <c r="AG66" s="366" t="s">
        <v>368</v>
      </c>
      <c r="AH66" s="366" t="s">
        <v>358</v>
      </c>
      <c r="AI66" s="637"/>
      <c r="AJ66" s="366" t="s">
        <v>366</v>
      </c>
      <c r="AK66" s="366" t="s">
        <v>367</v>
      </c>
      <c r="AL66" s="366" t="s">
        <v>368</v>
      </c>
      <c r="AM66" s="366" t="s">
        <v>358</v>
      </c>
      <c r="AN66" s="637"/>
      <c r="AO66" s="366" t="s">
        <v>366</v>
      </c>
      <c r="AP66" s="366" t="s">
        <v>367</v>
      </c>
      <c r="AQ66" s="366" t="s">
        <v>368</v>
      </c>
      <c r="AR66" s="366" t="s">
        <v>358</v>
      </c>
      <c r="AS66" s="637"/>
      <c r="AT66" s="366" t="s">
        <v>366</v>
      </c>
      <c r="AU66" s="366" t="s">
        <v>367</v>
      </c>
      <c r="AV66" s="366" t="s">
        <v>368</v>
      </c>
      <c r="AW66" s="366" t="s">
        <v>358</v>
      </c>
      <c r="AX66" s="637"/>
      <c r="AZ66" s="356" t="s">
        <v>358</v>
      </c>
      <c r="BA66" s="637"/>
    </row>
    <row r="67" spans="2:53">
      <c r="B67" s="637" t="s">
        <v>378</v>
      </c>
      <c r="C67" s="367">
        <v>1</v>
      </c>
      <c r="D67" s="220"/>
      <c r="E67" s="559"/>
      <c r="F67" s="553"/>
      <c r="G67" s="552"/>
      <c r="H67" s="696" t="e">
        <f>AVERAGE(G67:G81)</f>
        <v>#DIV/0!</v>
      </c>
      <c r="I67" s="369" t="str">
        <f t="shared" ref="I67:I79" si="46">IFERROR(AVERAGE(P67,U67,Z67,AE67,AJ67,AO67,AT67),"-")</f>
        <v>-</v>
      </c>
      <c r="J67" s="369" t="str">
        <f t="shared" ref="J67:J79" si="47">IFERROR(AVERAGE(Q67,V67,AA67,AF67,AK67,AP67,AU67),"-")</f>
        <v>-</v>
      </c>
      <c r="K67" s="194" t="str">
        <f t="shared" ref="K67:K79" si="48">IFERROR(AVERAGE(R67,W67,AB67,AG67,AL67,AQ67,AV67),"-")</f>
        <v>-</v>
      </c>
      <c r="L67" s="652" t="str">
        <f>IFERROR(AVERAGE(K67:K81),"-")</f>
        <v>-</v>
      </c>
      <c r="M67" s="371" t="e">
        <f>RANK(K67, K$67:$K$81)</f>
        <v>#VALUE!</v>
      </c>
      <c r="N67" s="637"/>
      <c r="O67" s="637"/>
      <c r="P67" s="542"/>
      <c r="Q67" s="544"/>
      <c r="R67" s="544"/>
      <c r="S67" s="542"/>
      <c r="T67" s="632"/>
      <c r="U67" s="542"/>
      <c r="V67" s="544"/>
      <c r="W67" s="544"/>
      <c r="X67" s="542"/>
      <c r="Y67" s="632"/>
      <c r="Z67" s="542"/>
      <c r="AA67" s="544"/>
      <c r="AB67" s="544"/>
      <c r="AC67" s="542"/>
      <c r="AD67" s="632"/>
      <c r="AE67" s="542"/>
      <c r="AF67" s="544"/>
      <c r="AG67" s="544"/>
      <c r="AH67" s="542"/>
      <c r="AI67" s="632"/>
      <c r="AJ67" s="542"/>
      <c r="AK67" s="544"/>
      <c r="AL67" s="544"/>
      <c r="AM67" s="542"/>
      <c r="AN67" s="632"/>
      <c r="AO67" s="542"/>
      <c r="AP67" s="544"/>
      <c r="AQ67" s="544"/>
      <c r="AR67" s="542"/>
      <c r="AS67" s="632"/>
      <c r="AT67" s="542"/>
      <c r="AU67" s="544"/>
      <c r="AV67" s="544"/>
      <c r="AW67" s="542"/>
      <c r="AX67" s="632"/>
      <c r="AZ67" s="357" t="e">
        <f t="shared" ref="AZ67:AZ81" si="49">RANK(AY67, AY$67:AY$81)</f>
        <v>#N/A</v>
      </c>
      <c r="BA67" s="632" t="e">
        <f t="shared" ref="BA67" si="50">AVERAGE(AY67:AY81)</f>
        <v>#DIV/0!</v>
      </c>
    </row>
    <row r="68" spans="2:53">
      <c r="B68" s="643"/>
      <c r="C68" s="367">
        <v>2</v>
      </c>
      <c r="D68" s="220"/>
      <c r="E68" s="559"/>
      <c r="F68" s="553"/>
      <c r="G68" s="552"/>
      <c r="H68" s="697"/>
      <c r="I68" s="369" t="str">
        <f t="shared" si="46"/>
        <v>-</v>
      </c>
      <c r="J68" s="369" t="str">
        <f t="shared" si="47"/>
        <v>-</v>
      </c>
      <c r="K68" s="194" t="str">
        <f t="shared" si="48"/>
        <v>-</v>
      </c>
      <c r="L68" s="653"/>
      <c r="M68" s="392" t="e">
        <f>RANK(K68, K$67:$K$81)</f>
        <v>#VALUE!</v>
      </c>
      <c r="N68" s="637"/>
      <c r="O68" s="637"/>
      <c r="P68" s="542"/>
      <c r="Q68" s="544"/>
      <c r="R68" s="544"/>
      <c r="S68" s="542"/>
      <c r="T68" s="633"/>
      <c r="U68" s="542"/>
      <c r="V68" s="544"/>
      <c r="W68" s="544"/>
      <c r="X68" s="542"/>
      <c r="Y68" s="633"/>
      <c r="Z68" s="542"/>
      <c r="AA68" s="544"/>
      <c r="AB68" s="544"/>
      <c r="AC68" s="542"/>
      <c r="AD68" s="633"/>
      <c r="AE68" s="542"/>
      <c r="AF68" s="544"/>
      <c r="AG68" s="544"/>
      <c r="AH68" s="542"/>
      <c r="AI68" s="633"/>
      <c r="AJ68" s="542"/>
      <c r="AK68" s="544"/>
      <c r="AL68" s="544"/>
      <c r="AM68" s="542"/>
      <c r="AN68" s="633"/>
      <c r="AO68" s="542"/>
      <c r="AP68" s="544"/>
      <c r="AQ68" s="544"/>
      <c r="AR68" s="542"/>
      <c r="AS68" s="633"/>
      <c r="AT68" s="542"/>
      <c r="AU68" s="544"/>
      <c r="AV68" s="544"/>
      <c r="AW68" s="542"/>
      <c r="AX68" s="633"/>
      <c r="AZ68" s="357" t="e">
        <f t="shared" si="49"/>
        <v>#N/A</v>
      </c>
      <c r="BA68" s="633"/>
    </row>
    <row r="69" spans="2:53">
      <c r="B69" s="643"/>
      <c r="C69" s="367">
        <v>3</v>
      </c>
      <c r="D69" s="220"/>
      <c r="E69" s="559"/>
      <c r="F69" s="553"/>
      <c r="G69" s="552"/>
      <c r="H69" s="697"/>
      <c r="I69" s="369" t="str">
        <f t="shared" si="46"/>
        <v>-</v>
      </c>
      <c r="J69" s="369" t="str">
        <f t="shared" si="47"/>
        <v>-</v>
      </c>
      <c r="K69" s="194" t="str">
        <f t="shared" si="48"/>
        <v>-</v>
      </c>
      <c r="L69" s="653"/>
      <c r="M69" s="392" t="e">
        <f>RANK(K69, K$67:$K$81)</f>
        <v>#VALUE!</v>
      </c>
      <c r="N69" s="637"/>
      <c r="O69" s="637"/>
      <c r="P69" s="542"/>
      <c r="Q69" s="544"/>
      <c r="R69" s="544"/>
      <c r="S69" s="542"/>
      <c r="T69" s="633"/>
      <c r="U69" s="542"/>
      <c r="V69" s="544"/>
      <c r="W69" s="544"/>
      <c r="X69" s="542"/>
      <c r="Y69" s="633"/>
      <c r="Z69" s="542"/>
      <c r="AA69" s="544"/>
      <c r="AB69" s="544"/>
      <c r="AC69" s="542"/>
      <c r="AD69" s="633"/>
      <c r="AE69" s="542"/>
      <c r="AF69" s="544"/>
      <c r="AG69" s="544"/>
      <c r="AH69" s="542"/>
      <c r="AI69" s="633"/>
      <c r="AJ69" s="542"/>
      <c r="AK69" s="544"/>
      <c r="AL69" s="544"/>
      <c r="AM69" s="542"/>
      <c r="AN69" s="633"/>
      <c r="AO69" s="542"/>
      <c r="AP69" s="544"/>
      <c r="AQ69" s="544"/>
      <c r="AR69" s="542"/>
      <c r="AS69" s="633"/>
      <c r="AT69" s="542"/>
      <c r="AU69" s="544"/>
      <c r="AV69" s="544"/>
      <c r="AW69" s="542"/>
      <c r="AX69" s="633"/>
      <c r="AZ69" s="357" t="e">
        <f t="shared" si="49"/>
        <v>#N/A</v>
      </c>
      <c r="BA69" s="633"/>
    </row>
    <row r="70" spans="2:53">
      <c r="B70" s="643"/>
      <c r="C70" s="367">
        <v>4</v>
      </c>
      <c r="D70" s="220"/>
      <c r="E70" s="559"/>
      <c r="F70" s="553"/>
      <c r="G70" s="552"/>
      <c r="H70" s="697"/>
      <c r="I70" s="369" t="str">
        <f t="shared" si="46"/>
        <v>-</v>
      </c>
      <c r="J70" s="369" t="str">
        <f t="shared" si="47"/>
        <v>-</v>
      </c>
      <c r="K70" s="194" t="str">
        <f t="shared" si="48"/>
        <v>-</v>
      </c>
      <c r="L70" s="653"/>
      <c r="M70" s="392" t="e">
        <f>RANK(K70, K$67:$K$81)</f>
        <v>#VALUE!</v>
      </c>
      <c r="N70" s="637"/>
      <c r="O70" s="637"/>
      <c r="P70" s="542"/>
      <c r="Q70" s="544"/>
      <c r="R70" s="544"/>
      <c r="S70" s="542"/>
      <c r="T70" s="633"/>
      <c r="U70" s="542"/>
      <c r="V70" s="544"/>
      <c r="W70" s="544"/>
      <c r="X70" s="542"/>
      <c r="Y70" s="633"/>
      <c r="Z70" s="542"/>
      <c r="AA70" s="544"/>
      <c r="AB70" s="544"/>
      <c r="AC70" s="542"/>
      <c r="AD70" s="633"/>
      <c r="AE70" s="542"/>
      <c r="AF70" s="544"/>
      <c r="AG70" s="544"/>
      <c r="AH70" s="542"/>
      <c r="AI70" s="633"/>
      <c r="AJ70" s="542"/>
      <c r="AK70" s="544"/>
      <c r="AL70" s="544"/>
      <c r="AM70" s="542"/>
      <c r="AN70" s="633"/>
      <c r="AO70" s="542"/>
      <c r="AP70" s="544"/>
      <c r="AQ70" s="544"/>
      <c r="AR70" s="542"/>
      <c r="AS70" s="633"/>
      <c r="AT70" s="542"/>
      <c r="AU70" s="544"/>
      <c r="AV70" s="544"/>
      <c r="AW70" s="542"/>
      <c r="AX70" s="633"/>
      <c r="AZ70" s="357" t="e">
        <f t="shared" si="49"/>
        <v>#N/A</v>
      </c>
      <c r="BA70" s="633"/>
    </row>
    <row r="71" spans="2:53">
      <c r="B71" s="643"/>
      <c r="C71" s="367">
        <v>5</v>
      </c>
      <c r="D71" s="220"/>
      <c r="E71" s="559"/>
      <c r="F71" s="553"/>
      <c r="G71" s="552"/>
      <c r="H71" s="697"/>
      <c r="I71" s="369" t="str">
        <f t="shared" si="46"/>
        <v>-</v>
      </c>
      <c r="J71" s="369" t="str">
        <f t="shared" si="47"/>
        <v>-</v>
      </c>
      <c r="K71" s="194" t="str">
        <f t="shared" si="48"/>
        <v>-</v>
      </c>
      <c r="L71" s="653"/>
      <c r="M71" s="392" t="e">
        <f>RANK(K71, K$67:$K$81)</f>
        <v>#VALUE!</v>
      </c>
      <c r="N71" s="637"/>
      <c r="O71" s="637"/>
      <c r="P71" s="542"/>
      <c r="Q71" s="544"/>
      <c r="R71" s="544"/>
      <c r="S71" s="542"/>
      <c r="T71" s="633"/>
      <c r="U71" s="542"/>
      <c r="V71" s="544"/>
      <c r="W71" s="544"/>
      <c r="X71" s="542"/>
      <c r="Y71" s="633"/>
      <c r="Z71" s="542"/>
      <c r="AA71" s="544"/>
      <c r="AB71" s="544"/>
      <c r="AC71" s="542"/>
      <c r="AD71" s="633"/>
      <c r="AE71" s="542"/>
      <c r="AF71" s="544"/>
      <c r="AG71" s="544"/>
      <c r="AH71" s="542"/>
      <c r="AI71" s="633"/>
      <c r="AJ71" s="542"/>
      <c r="AK71" s="544"/>
      <c r="AL71" s="544"/>
      <c r="AM71" s="542"/>
      <c r="AN71" s="633"/>
      <c r="AO71" s="542"/>
      <c r="AP71" s="544"/>
      <c r="AQ71" s="544"/>
      <c r="AR71" s="542"/>
      <c r="AS71" s="633"/>
      <c r="AT71" s="542"/>
      <c r="AU71" s="544"/>
      <c r="AV71" s="544"/>
      <c r="AW71" s="542"/>
      <c r="AX71" s="633"/>
      <c r="AZ71" s="357" t="e">
        <f t="shared" si="49"/>
        <v>#N/A</v>
      </c>
      <c r="BA71" s="633"/>
    </row>
    <row r="72" spans="2:53">
      <c r="B72" s="643"/>
      <c r="C72" s="367">
        <v>6</v>
      </c>
      <c r="D72" s="220"/>
      <c r="E72" s="559"/>
      <c r="F72" s="553"/>
      <c r="G72" s="552"/>
      <c r="H72" s="697"/>
      <c r="I72" s="369" t="str">
        <f t="shared" si="46"/>
        <v>-</v>
      </c>
      <c r="J72" s="369" t="str">
        <f t="shared" si="47"/>
        <v>-</v>
      </c>
      <c r="K72" s="194" t="str">
        <f t="shared" si="48"/>
        <v>-</v>
      </c>
      <c r="L72" s="653"/>
      <c r="M72" s="392" t="e">
        <f>RANK(K72, K$67:$K$81)</f>
        <v>#VALUE!</v>
      </c>
      <c r="N72" s="637"/>
      <c r="O72" s="637"/>
      <c r="P72" s="542"/>
      <c r="Q72" s="544"/>
      <c r="R72" s="544"/>
      <c r="S72" s="542"/>
      <c r="T72" s="633"/>
      <c r="U72" s="542"/>
      <c r="V72" s="544"/>
      <c r="W72" s="544"/>
      <c r="X72" s="542"/>
      <c r="Y72" s="633"/>
      <c r="Z72" s="542"/>
      <c r="AA72" s="544"/>
      <c r="AB72" s="544"/>
      <c r="AC72" s="542"/>
      <c r="AD72" s="633"/>
      <c r="AE72" s="542"/>
      <c r="AF72" s="544"/>
      <c r="AG72" s="544"/>
      <c r="AH72" s="542"/>
      <c r="AI72" s="633"/>
      <c r="AJ72" s="542"/>
      <c r="AK72" s="544"/>
      <c r="AL72" s="544"/>
      <c r="AM72" s="542"/>
      <c r="AN72" s="633"/>
      <c r="AO72" s="542"/>
      <c r="AP72" s="544"/>
      <c r="AQ72" s="544"/>
      <c r="AR72" s="542"/>
      <c r="AS72" s="633"/>
      <c r="AT72" s="542"/>
      <c r="AU72" s="544"/>
      <c r="AV72" s="544"/>
      <c r="AW72" s="542"/>
      <c r="AX72" s="633"/>
      <c r="AZ72" s="357" t="e">
        <f t="shared" si="49"/>
        <v>#N/A</v>
      </c>
      <c r="BA72" s="633"/>
    </row>
    <row r="73" spans="2:53">
      <c r="B73" s="643"/>
      <c r="C73" s="367">
        <v>7</v>
      </c>
      <c r="D73" s="220"/>
      <c r="E73" s="559"/>
      <c r="F73" s="553"/>
      <c r="G73" s="552"/>
      <c r="H73" s="697"/>
      <c r="I73" s="369" t="str">
        <f t="shared" si="46"/>
        <v>-</v>
      </c>
      <c r="J73" s="369" t="str">
        <f t="shared" si="47"/>
        <v>-</v>
      </c>
      <c r="K73" s="194" t="str">
        <f t="shared" si="48"/>
        <v>-</v>
      </c>
      <c r="L73" s="653"/>
      <c r="M73" s="392" t="e">
        <f>RANK(K73, K$67:$K$81)</f>
        <v>#VALUE!</v>
      </c>
      <c r="N73" s="637"/>
      <c r="O73" s="637"/>
      <c r="P73" s="542"/>
      <c r="Q73" s="544"/>
      <c r="R73" s="544"/>
      <c r="S73" s="542"/>
      <c r="T73" s="633"/>
      <c r="U73" s="542"/>
      <c r="V73" s="544"/>
      <c r="W73" s="544"/>
      <c r="X73" s="542"/>
      <c r="Y73" s="633"/>
      <c r="Z73" s="542"/>
      <c r="AA73" s="544"/>
      <c r="AB73" s="544"/>
      <c r="AC73" s="542"/>
      <c r="AD73" s="633"/>
      <c r="AE73" s="542"/>
      <c r="AF73" s="544"/>
      <c r="AG73" s="544"/>
      <c r="AH73" s="542"/>
      <c r="AI73" s="633"/>
      <c r="AJ73" s="542"/>
      <c r="AK73" s="544"/>
      <c r="AL73" s="544"/>
      <c r="AM73" s="542"/>
      <c r="AN73" s="633"/>
      <c r="AO73" s="542"/>
      <c r="AP73" s="544"/>
      <c r="AQ73" s="544"/>
      <c r="AR73" s="542"/>
      <c r="AS73" s="633"/>
      <c r="AT73" s="542"/>
      <c r="AU73" s="544"/>
      <c r="AV73" s="544"/>
      <c r="AW73" s="542"/>
      <c r="AX73" s="633"/>
      <c r="AZ73" s="357" t="e">
        <f t="shared" si="49"/>
        <v>#N/A</v>
      </c>
      <c r="BA73" s="633"/>
    </row>
    <row r="74" spans="2:53">
      <c r="B74" s="643"/>
      <c r="C74" s="367">
        <v>8</v>
      </c>
      <c r="D74" s="220"/>
      <c r="E74" s="559"/>
      <c r="F74" s="553"/>
      <c r="G74" s="552"/>
      <c r="H74" s="697"/>
      <c r="I74" s="369" t="str">
        <f t="shared" si="46"/>
        <v>-</v>
      </c>
      <c r="J74" s="369" t="str">
        <f t="shared" si="47"/>
        <v>-</v>
      </c>
      <c r="K74" s="194" t="str">
        <f t="shared" si="48"/>
        <v>-</v>
      </c>
      <c r="L74" s="653"/>
      <c r="M74" s="392" t="e">
        <f>RANK(K74, K$67:$K$81)</f>
        <v>#VALUE!</v>
      </c>
      <c r="N74" s="637"/>
      <c r="O74" s="637"/>
      <c r="P74" s="542"/>
      <c r="Q74" s="544"/>
      <c r="R74" s="544"/>
      <c r="S74" s="542"/>
      <c r="T74" s="633"/>
      <c r="U74" s="542"/>
      <c r="V74" s="544"/>
      <c r="W74" s="544"/>
      <c r="X74" s="542"/>
      <c r="Y74" s="633"/>
      <c r="Z74" s="542"/>
      <c r="AA74" s="544"/>
      <c r="AB74" s="544"/>
      <c r="AC74" s="542"/>
      <c r="AD74" s="633"/>
      <c r="AE74" s="542"/>
      <c r="AF74" s="544"/>
      <c r="AG74" s="544"/>
      <c r="AH74" s="542"/>
      <c r="AI74" s="633"/>
      <c r="AJ74" s="542"/>
      <c r="AK74" s="544"/>
      <c r="AL74" s="544"/>
      <c r="AM74" s="542"/>
      <c r="AN74" s="633"/>
      <c r="AO74" s="542"/>
      <c r="AP74" s="544"/>
      <c r="AQ74" s="544"/>
      <c r="AR74" s="542"/>
      <c r="AS74" s="633"/>
      <c r="AT74" s="542"/>
      <c r="AU74" s="544"/>
      <c r="AV74" s="544"/>
      <c r="AW74" s="542"/>
      <c r="AX74" s="633"/>
      <c r="AZ74" s="357" t="e">
        <f t="shared" si="49"/>
        <v>#N/A</v>
      </c>
      <c r="BA74" s="633"/>
    </row>
    <row r="75" spans="2:53">
      <c r="B75" s="643"/>
      <c r="C75" s="367">
        <v>9</v>
      </c>
      <c r="D75" s="220"/>
      <c r="E75" s="559"/>
      <c r="F75" s="553"/>
      <c r="G75" s="552"/>
      <c r="H75" s="697"/>
      <c r="I75" s="369" t="str">
        <f t="shared" si="46"/>
        <v>-</v>
      </c>
      <c r="J75" s="369" t="str">
        <f t="shared" si="47"/>
        <v>-</v>
      </c>
      <c r="K75" s="194" t="str">
        <f t="shared" si="48"/>
        <v>-</v>
      </c>
      <c r="L75" s="653"/>
      <c r="M75" s="392" t="e">
        <f>RANK(K75, K$67:$K$81)</f>
        <v>#VALUE!</v>
      </c>
      <c r="N75" s="637"/>
      <c r="O75" s="637"/>
      <c r="P75" s="542"/>
      <c r="Q75" s="544"/>
      <c r="R75" s="544"/>
      <c r="S75" s="542"/>
      <c r="T75" s="633"/>
      <c r="U75" s="542"/>
      <c r="V75" s="544"/>
      <c r="W75" s="544"/>
      <c r="X75" s="542"/>
      <c r="Y75" s="633"/>
      <c r="Z75" s="542"/>
      <c r="AA75" s="544"/>
      <c r="AB75" s="544"/>
      <c r="AC75" s="542"/>
      <c r="AD75" s="633"/>
      <c r="AE75" s="542"/>
      <c r="AF75" s="544"/>
      <c r="AG75" s="544"/>
      <c r="AH75" s="542"/>
      <c r="AI75" s="633"/>
      <c r="AJ75" s="542"/>
      <c r="AK75" s="544"/>
      <c r="AL75" s="544"/>
      <c r="AM75" s="542"/>
      <c r="AN75" s="633"/>
      <c r="AO75" s="542"/>
      <c r="AP75" s="544"/>
      <c r="AQ75" s="544"/>
      <c r="AR75" s="542"/>
      <c r="AS75" s="633"/>
      <c r="AT75" s="542"/>
      <c r="AU75" s="544"/>
      <c r="AV75" s="544"/>
      <c r="AW75" s="542"/>
      <c r="AX75" s="633"/>
      <c r="AZ75" s="357" t="e">
        <f t="shared" si="49"/>
        <v>#N/A</v>
      </c>
      <c r="BA75" s="633"/>
    </row>
    <row r="76" spans="2:53">
      <c r="B76" s="643"/>
      <c r="C76" s="367">
        <v>10</v>
      </c>
      <c r="D76" s="220"/>
      <c r="E76" s="559"/>
      <c r="F76" s="553"/>
      <c r="G76" s="552"/>
      <c r="H76" s="697"/>
      <c r="I76" s="369" t="str">
        <f t="shared" si="46"/>
        <v>-</v>
      </c>
      <c r="J76" s="369" t="str">
        <f t="shared" si="47"/>
        <v>-</v>
      </c>
      <c r="K76" s="194" t="str">
        <f t="shared" si="48"/>
        <v>-</v>
      </c>
      <c r="L76" s="653"/>
      <c r="M76" s="392" t="e">
        <f>RANK(K76, K$67:$K$81)</f>
        <v>#VALUE!</v>
      </c>
      <c r="N76" s="637"/>
      <c r="O76" s="637"/>
      <c r="P76" s="542"/>
      <c r="Q76" s="544"/>
      <c r="R76" s="544"/>
      <c r="S76" s="542"/>
      <c r="T76" s="633"/>
      <c r="U76" s="542"/>
      <c r="V76" s="544"/>
      <c r="W76" s="544"/>
      <c r="X76" s="542"/>
      <c r="Y76" s="633"/>
      <c r="Z76" s="542"/>
      <c r="AA76" s="544"/>
      <c r="AB76" s="544"/>
      <c r="AC76" s="542"/>
      <c r="AD76" s="633"/>
      <c r="AE76" s="542"/>
      <c r="AF76" s="544"/>
      <c r="AG76" s="544"/>
      <c r="AH76" s="542"/>
      <c r="AI76" s="633"/>
      <c r="AJ76" s="542"/>
      <c r="AK76" s="544"/>
      <c r="AL76" s="544"/>
      <c r="AM76" s="542"/>
      <c r="AN76" s="633"/>
      <c r="AO76" s="542"/>
      <c r="AP76" s="544"/>
      <c r="AQ76" s="544"/>
      <c r="AR76" s="542"/>
      <c r="AS76" s="633"/>
      <c r="AT76" s="542"/>
      <c r="AU76" s="544"/>
      <c r="AV76" s="544"/>
      <c r="AW76" s="542"/>
      <c r="AX76" s="633"/>
      <c r="AZ76" s="357" t="e">
        <f t="shared" si="49"/>
        <v>#N/A</v>
      </c>
      <c r="BA76" s="633"/>
    </row>
    <row r="77" spans="2:53">
      <c r="B77" s="643"/>
      <c r="C77" s="367">
        <v>11</v>
      </c>
      <c r="D77" s="220"/>
      <c r="E77" s="559"/>
      <c r="F77" s="553"/>
      <c r="G77" s="552"/>
      <c r="H77" s="697"/>
      <c r="I77" s="369" t="str">
        <f t="shared" si="46"/>
        <v>-</v>
      </c>
      <c r="J77" s="369" t="str">
        <f t="shared" si="47"/>
        <v>-</v>
      </c>
      <c r="K77" s="194" t="str">
        <f t="shared" si="48"/>
        <v>-</v>
      </c>
      <c r="L77" s="653"/>
      <c r="M77" s="392" t="e">
        <f>RANK(K77, K$67:$K$81)</f>
        <v>#VALUE!</v>
      </c>
      <c r="N77" s="637"/>
      <c r="O77" s="637"/>
      <c r="P77" s="542"/>
      <c r="Q77" s="544"/>
      <c r="R77" s="544"/>
      <c r="S77" s="542"/>
      <c r="T77" s="633"/>
      <c r="U77" s="542"/>
      <c r="V77" s="544"/>
      <c r="W77" s="544"/>
      <c r="X77" s="542"/>
      <c r="Y77" s="633"/>
      <c r="Z77" s="542"/>
      <c r="AA77" s="544"/>
      <c r="AB77" s="544"/>
      <c r="AC77" s="542"/>
      <c r="AD77" s="633"/>
      <c r="AE77" s="542"/>
      <c r="AF77" s="544"/>
      <c r="AG77" s="544"/>
      <c r="AH77" s="542"/>
      <c r="AI77" s="633"/>
      <c r="AJ77" s="542"/>
      <c r="AK77" s="544"/>
      <c r="AL77" s="544"/>
      <c r="AM77" s="542"/>
      <c r="AN77" s="633"/>
      <c r="AO77" s="542"/>
      <c r="AP77" s="544"/>
      <c r="AQ77" s="544"/>
      <c r="AR77" s="542"/>
      <c r="AS77" s="633"/>
      <c r="AT77" s="542"/>
      <c r="AU77" s="544"/>
      <c r="AV77" s="544"/>
      <c r="AW77" s="542"/>
      <c r="AX77" s="633"/>
      <c r="AZ77" s="357" t="e">
        <f t="shared" si="49"/>
        <v>#N/A</v>
      </c>
      <c r="BA77" s="633"/>
    </row>
    <row r="78" spans="2:53">
      <c r="B78" s="643"/>
      <c r="C78" s="367">
        <v>12</v>
      </c>
      <c r="D78" s="220"/>
      <c r="E78" s="559"/>
      <c r="F78" s="553"/>
      <c r="G78" s="552"/>
      <c r="H78" s="697"/>
      <c r="I78" s="369" t="str">
        <f t="shared" si="46"/>
        <v>-</v>
      </c>
      <c r="J78" s="369" t="str">
        <f t="shared" si="47"/>
        <v>-</v>
      </c>
      <c r="K78" s="194" t="str">
        <f t="shared" si="48"/>
        <v>-</v>
      </c>
      <c r="L78" s="653"/>
      <c r="M78" s="392" t="e">
        <f>RANK(K78, K$67:$K$81)</f>
        <v>#VALUE!</v>
      </c>
      <c r="N78" s="637"/>
      <c r="O78" s="637"/>
      <c r="P78" s="542"/>
      <c r="Q78" s="544"/>
      <c r="R78" s="544"/>
      <c r="S78" s="542"/>
      <c r="T78" s="633"/>
      <c r="U78" s="542"/>
      <c r="V78" s="544"/>
      <c r="W78" s="544"/>
      <c r="X78" s="542"/>
      <c r="Y78" s="633"/>
      <c r="Z78" s="542"/>
      <c r="AA78" s="544"/>
      <c r="AB78" s="544"/>
      <c r="AC78" s="542"/>
      <c r="AD78" s="633"/>
      <c r="AE78" s="542"/>
      <c r="AF78" s="544"/>
      <c r="AG78" s="544"/>
      <c r="AH78" s="542"/>
      <c r="AI78" s="633"/>
      <c r="AJ78" s="542"/>
      <c r="AK78" s="544"/>
      <c r="AL78" s="544"/>
      <c r="AM78" s="542"/>
      <c r="AN78" s="633"/>
      <c r="AO78" s="542"/>
      <c r="AP78" s="544"/>
      <c r="AQ78" s="544"/>
      <c r="AR78" s="542"/>
      <c r="AS78" s="633"/>
      <c r="AT78" s="542"/>
      <c r="AU78" s="544"/>
      <c r="AV78" s="544"/>
      <c r="AW78" s="542"/>
      <c r="AX78" s="633"/>
      <c r="AZ78" s="357" t="e">
        <f t="shared" si="49"/>
        <v>#N/A</v>
      </c>
      <c r="BA78" s="633"/>
    </row>
    <row r="79" spans="2:53">
      <c r="B79" s="643"/>
      <c r="C79" s="367">
        <v>13</v>
      </c>
      <c r="D79" s="220"/>
      <c r="E79" s="559"/>
      <c r="F79" s="553"/>
      <c r="G79" s="552"/>
      <c r="H79" s="697"/>
      <c r="I79" s="369" t="str">
        <f t="shared" si="46"/>
        <v>-</v>
      </c>
      <c r="J79" s="369" t="str">
        <f t="shared" si="47"/>
        <v>-</v>
      </c>
      <c r="K79" s="194" t="str">
        <f t="shared" si="48"/>
        <v>-</v>
      </c>
      <c r="L79" s="653"/>
      <c r="M79" s="392" t="e">
        <f>RANK(K79, K$67:$K$81)</f>
        <v>#VALUE!</v>
      </c>
      <c r="N79" s="637"/>
      <c r="O79" s="637"/>
      <c r="P79" s="542"/>
      <c r="Q79" s="544"/>
      <c r="R79" s="544"/>
      <c r="S79" s="542"/>
      <c r="T79" s="633"/>
      <c r="U79" s="542"/>
      <c r="V79" s="544"/>
      <c r="W79" s="544"/>
      <c r="X79" s="542"/>
      <c r="Y79" s="633"/>
      <c r="Z79" s="542"/>
      <c r="AA79" s="544"/>
      <c r="AB79" s="544"/>
      <c r="AC79" s="542"/>
      <c r="AD79" s="633"/>
      <c r="AE79" s="542"/>
      <c r="AF79" s="544"/>
      <c r="AG79" s="544"/>
      <c r="AH79" s="542"/>
      <c r="AI79" s="633"/>
      <c r="AJ79" s="542"/>
      <c r="AK79" s="544"/>
      <c r="AL79" s="544"/>
      <c r="AM79" s="542"/>
      <c r="AN79" s="633"/>
      <c r="AO79" s="542"/>
      <c r="AP79" s="544"/>
      <c r="AQ79" s="544"/>
      <c r="AR79" s="542"/>
      <c r="AS79" s="633"/>
      <c r="AT79" s="542"/>
      <c r="AU79" s="544"/>
      <c r="AV79" s="544"/>
      <c r="AW79" s="542"/>
      <c r="AX79" s="633"/>
      <c r="AZ79" s="357" t="e">
        <f t="shared" si="49"/>
        <v>#N/A</v>
      </c>
      <c r="BA79" s="633"/>
    </row>
    <row r="80" spans="2:53">
      <c r="B80" s="643"/>
      <c r="C80" s="367">
        <v>14</v>
      </c>
      <c r="D80" s="220"/>
      <c r="E80" s="559"/>
      <c r="F80" s="553"/>
      <c r="G80" s="552"/>
      <c r="H80" s="697"/>
      <c r="I80" s="391" t="str">
        <f t="shared" ref="I80:I81" si="51">IFERROR(AVERAGE(P80,U80,Z80,AE80,AJ80,AO80,AT80),"-")</f>
        <v>-</v>
      </c>
      <c r="J80" s="391" t="str">
        <f t="shared" ref="J80:J81" si="52">IFERROR(AVERAGE(Q80,V80,AA80,AF80,AK80,AP80,AU80),"-")</f>
        <v>-</v>
      </c>
      <c r="K80" s="194" t="str">
        <f t="shared" ref="K80:K81" si="53">IFERROR(AVERAGE(R80,W80,AB80,AG80,AL80,AQ80,AV80),"-")</f>
        <v>-</v>
      </c>
      <c r="L80" s="653"/>
      <c r="M80" s="392" t="e">
        <f>RANK(K80, K$67:$K$81)</f>
        <v>#VALUE!</v>
      </c>
      <c r="N80" s="637"/>
      <c r="O80" s="637"/>
      <c r="P80" s="542"/>
      <c r="Q80" s="544"/>
      <c r="R80" s="544"/>
      <c r="S80" s="542"/>
      <c r="T80" s="633"/>
      <c r="U80" s="542"/>
      <c r="V80" s="544"/>
      <c r="W80" s="544"/>
      <c r="X80" s="542"/>
      <c r="Y80" s="633"/>
      <c r="Z80" s="542"/>
      <c r="AA80" s="544"/>
      <c r="AB80" s="544"/>
      <c r="AC80" s="542"/>
      <c r="AD80" s="633"/>
      <c r="AE80" s="542"/>
      <c r="AF80" s="544"/>
      <c r="AG80" s="544"/>
      <c r="AH80" s="542"/>
      <c r="AI80" s="633"/>
      <c r="AJ80" s="542"/>
      <c r="AK80" s="544"/>
      <c r="AL80" s="544"/>
      <c r="AM80" s="542"/>
      <c r="AN80" s="633"/>
      <c r="AO80" s="542"/>
      <c r="AP80" s="544"/>
      <c r="AQ80" s="544"/>
      <c r="AR80" s="542"/>
      <c r="AS80" s="633"/>
      <c r="AT80" s="542"/>
      <c r="AU80" s="544"/>
      <c r="AV80" s="544"/>
      <c r="AW80" s="542"/>
      <c r="AX80" s="633"/>
      <c r="AZ80" s="357" t="e">
        <f t="shared" si="49"/>
        <v>#N/A</v>
      </c>
      <c r="BA80" s="633"/>
    </row>
    <row r="81" spans="2:53">
      <c r="B81" s="643"/>
      <c r="C81" s="367">
        <v>15</v>
      </c>
      <c r="D81" s="220"/>
      <c r="E81" s="559"/>
      <c r="F81" s="553"/>
      <c r="G81" s="552"/>
      <c r="H81" s="698"/>
      <c r="I81" s="391" t="str">
        <f t="shared" si="51"/>
        <v>-</v>
      </c>
      <c r="J81" s="391" t="str">
        <f t="shared" si="52"/>
        <v>-</v>
      </c>
      <c r="K81" s="194" t="str">
        <f t="shared" si="53"/>
        <v>-</v>
      </c>
      <c r="L81" s="654"/>
      <c r="M81" s="392" t="e">
        <f>RANK(K81, K$67:$K$81)</f>
        <v>#VALUE!</v>
      </c>
      <c r="N81" s="637"/>
      <c r="O81" s="637"/>
      <c r="P81" s="542"/>
      <c r="Q81" s="544"/>
      <c r="R81" s="544"/>
      <c r="S81" s="542"/>
      <c r="T81" s="634"/>
      <c r="U81" s="542"/>
      <c r="V81" s="544"/>
      <c r="W81" s="544"/>
      <c r="X81" s="542"/>
      <c r="Y81" s="634"/>
      <c r="Z81" s="542"/>
      <c r="AA81" s="544"/>
      <c r="AB81" s="544"/>
      <c r="AC81" s="542"/>
      <c r="AD81" s="634"/>
      <c r="AE81" s="542"/>
      <c r="AF81" s="544"/>
      <c r="AG81" s="544"/>
      <c r="AH81" s="542"/>
      <c r="AI81" s="634"/>
      <c r="AJ81" s="542"/>
      <c r="AK81" s="544"/>
      <c r="AL81" s="544"/>
      <c r="AM81" s="542"/>
      <c r="AN81" s="634"/>
      <c r="AO81" s="542"/>
      <c r="AP81" s="544"/>
      <c r="AQ81" s="544"/>
      <c r="AR81" s="542"/>
      <c r="AS81" s="634"/>
      <c r="AT81" s="542"/>
      <c r="AU81" s="544"/>
      <c r="AV81" s="544"/>
      <c r="AW81" s="542"/>
      <c r="AX81" s="634"/>
      <c r="AZ81" s="357" t="e">
        <f t="shared" si="49"/>
        <v>#N/A</v>
      </c>
      <c r="BA81" s="634"/>
    </row>
    <row r="82" spans="2:53" ht="15.75">
      <c r="B82" s="665" t="s">
        <v>162</v>
      </c>
      <c r="C82" s="666"/>
      <c r="D82" s="666"/>
      <c r="E82" s="666"/>
      <c r="F82" s="666"/>
      <c r="G82" s="666"/>
      <c r="H82" s="667"/>
      <c r="I82" s="202"/>
      <c r="J82" s="202"/>
      <c r="K82" s="202"/>
      <c r="L82" s="202"/>
      <c r="M82" s="201"/>
      <c r="N82" s="639" t="s">
        <v>156</v>
      </c>
      <c r="O82" s="639" t="s">
        <v>105</v>
      </c>
      <c r="P82" s="664">
        <f>P62+7</f>
        <v>46322</v>
      </c>
      <c r="Q82" s="643"/>
      <c r="R82" s="643"/>
      <c r="S82" s="643"/>
      <c r="T82" s="643"/>
      <c r="U82" s="661">
        <f>P82+1</f>
        <v>46323</v>
      </c>
      <c r="V82" s="662"/>
      <c r="W82" s="662"/>
      <c r="X82" s="662"/>
      <c r="Y82" s="663"/>
      <c r="Z82" s="661">
        <f>U82+1</f>
        <v>46324</v>
      </c>
      <c r="AA82" s="662"/>
      <c r="AB82" s="662"/>
      <c r="AC82" s="662"/>
      <c r="AD82" s="663"/>
      <c r="AE82" s="661">
        <f>Z82+1</f>
        <v>46325</v>
      </c>
      <c r="AF82" s="662"/>
      <c r="AG82" s="662"/>
      <c r="AH82" s="662"/>
      <c r="AI82" s="663"/>
      <c r="AJ82" s="661">
        <f>AE82+1</f>
        <v>46326</v>
      </c>
      <c r="AK82" s="662"/>
      <c r="AL82" s="662"/>
      <c r="AM82" s="662"/>
      <c r="AN82" s="663"/>
      <c r="AO82" s="661">
        <f>AJ82+1</f>
        <v>46327</v>
      </c>
      <c r="AP82" s="662"/>
      <c r="AQ82" s="662"/>
      <c r="AR82" s="662"/>
      <c r="AS82" s="663"/>
      <c r="AT82" s="661">
        <f>AO82+1</f>
        <v>46328</v>
      </c>
      <c r="AU82" s="662"/>
      <c r="AV82" s="662"/>
      <c r="AW82" s="662"/>
      <c r="AX82" s="663"/>
    </row>
    <row r="83" spans="2:53" ht="15.75">
      <c r="B83" s="668"/>
      <c r="C83" s="668"/>
      <c r="D83" s="668"/>
      <c r="E83" s="668"/>
      <c r="F83" s="668"/>
      <c r="G83" s="668"/>
      <c r="H83" s="668"/>
      <c r="I83" s="199"/>
      <c r="J83" s="199"/>
      <c r="K83" s="199"/>
      <c r="L83" s="199"/>
      <c r="M83" s="200"/>
      <c r="N83" s="641"/>
      <c r="O83" s="641"/>
      <c r="P83" s="664" t="s">
        <v>317</v>
      </c>
      <c r="Q83" s="643"/>
      <c r="R83" s="643"/>
      <c r="S83" s="643"/>
      <c r="T83" s="643"/>
      <c r="U83" s="664" t="s">
        <v>318</v>
      </c>
      <c r="V83" s="643"/>
      <c r="W83" s="643"/>
      <c r="X83" s="643"/>
      <c r="Y83" s="643"/>
      <c r="Z83" s="664" t="s">
        <v>319</v>
      </c>
      <c r="AA83" s="643"/>
      <c r="AB83" s="643"/>
      <c r="AC83" s="643"/>
      <c r="AD83" s="643"/>
      <c r="AE83" s="664" t="s">
        <v>320</v>
      </c>
      <c r="AF83" s="643"/>
      <c r="AG83" s="643"/>
      <c r="AH83" s="643"/>
      <c r="AI83" s="643"/>
      <c r="AJ83" s="664" t="s">
        <v>321</v>
      </c>
      <c r="AK83" s="643"/>
      <c r="AL83" s="643"/>
      <c r="AM83" s="643"/>
      <c r="AN83" s="643"/>
      <c r="AO83" s="664" t="s">
        <v>322</v>
      </c>
      <c r="AP83" s="643"/>
      <c r="AQ83" s="643"/>
      <c r="AR83" s="643"/>
      <c r="AS83" s="643"/>
      <c r="AT83" s="664" t="s">
        <v>323</v>
      </c>
      <c r="AU83" s="643"/>
      <c r="AV83" s="643"/>
      <c r="AW83" s="643"/>
      <c r="AX83" s="643"/>
    </row>
    <row r="84" spans="2:53">
      <c r="B84" s="637" t="s">
        <v>743</v>
      </c>
      <c r="C84" s="637" t="s">
        <v>370</v>
      </c>
      <c r="D84" s="637"/>
      <c r="E84" s="637" t="s">
        <v>361</v>
      </c>
      <c r="F84" s="637"/>
      <c r="G84" s="637"/>
      <c r="H84" s="669" t="s">
        <v>357</v>
      </c>
      <c r="I84" s="684" t="s">
        <v>362</v>
      </c>
      <c r="J84" s="684"/>
      <c r="K84" s="684"/>
      <c r="L84" s="685" t="s">
        <v>357</v>
      </c>
      <c r="M84" s="673" t="s">
        <v>358</v>
      </c>
      <c r="N84" s="637"/>
      <c r="O84" s="637" t="s">
        <v>363</v>
      </c>
      <c r="P84" s="655" t="s">
        <v>359</v>
      </c>
      <c r="Q84" s="656"/>
      <c r="R84" s="656"/>
      <c r="S84" s="657"/>
      <c r="T84" s="637" t="s">
        <v>357</v>
      </c>
      <c r="U84" s="655" t="s">
        <v>359</v>
      </c>
      <c r="V84" s="656"/>
      <c r="W84" s="656"/>
      <c r="X84" s="657"/>
      <c r="Y84" s="637" t="s">
        <v>357</v>
      </c>
      <c r="Z84" s="655" t="s">
        <v>359</v>
      </c>
      <c r="AA84" s="656"/>
      <c r="AB84" s="656"/>
      <c r="AC84" s="657"/>
      <c r="AD84" s="637" t="s">
        <v>357</v>
      </c>
      <c r="AE84" s="655" t="s">
        <v>359</v>
      </c>
      <c r="AF84" s="656"/>
      <c r="AG84" s="656"/>
      <c r="AH84" s="657"/>
      <c r="AI84" s="637" t="s">
        <v>357</v>
      </c>
      <c r="AJ84" s="655" t="s">
        <v>359</v>
      </c>
      <c r="AK84" s="656"/>
      <c r="AL84" s="656"/>
      <c r="AM84" s="657"/>
      <c r="AN84" s="637" t="s">
        <v>357</v>
      </c>
      <c r="AO84" s="655" t="s">
        <v>359</v>
      </c>
      <c r="AP84" s="656"/>
      <c r="AQ84" s="656"/>
      <c r="AR84" s="657"/>
      <c r="AS84" s="637" t="s">
        <v>357</v>
      </c>
      <c r="AT84" s="655" t="s">
        <v>359</v>
      </c>
      <c r="AU84" s="656"/>
      <c r="AV84" s="656"/>
      <c r="AW84" s="657"/>
      <c r="AX84" s="637" t="s">
        <v>357</v>
      </c>
      <c r="BA84" s="637" t="s">
        <v>357</v>
      </c>
    </row>
    <row r="85" spans="2:53">
      <c r="B85" s="637"/>
      <c r="C85" s="637"/>
      <c r="D85" s="637"/>
      <c r="E85" s="637" t="s">
        <v>364</v>
      </c>
      <c r="F85" s="637"/>
      <c r="G85" s="637"/>
      <c r="H85" s="670"/>
      <c r="I85" s="684" t="s">
        <v>364</v>
      </c>
      <c r="J85" s="684"/>
      <c r="K85" s="684"/>
      <c r="L85" s="686"/>
      <c r="M85" s="674"/>
      <c r="N85" s="637"/>
      <c r="O85" s="637"/>
      <c r="P85" s="655" t="s">
        <v>365</v>
      </c>
      <c r="Q85" s="656"/>
      <c r="R85" s="656"/>
      <c r="S85" s="657"/>
      <c r="T85" s="637"/>
      <c r="U85" s="655" t="s">
        <v>365</v>
      </c>
      <c r="V85" s="656"/>
      <c r="W85" s="656"/>
      <c r="X85" s="657"/>
      <c r="Y85" s="637"/>
      <c r="Z85" s="655" t="s">
        <v>365</v>
      </c>
      <c r="AA85" s="656"/>
      <c r="AB85" s="656"/>
      <c r="AC85" s="657"/>
      <c r="AD85" s="637"/>
      <c r="AE85" s="655" t="s">
        <v>365</v>
      </c>
      <c r="AF85" s="656"/>
      <c r="AG85" s="656"/>
      <c r="AH85" s="657"/>
      <c r="AI85" s="637"/>
      <c r="AJ85" s="655" t="s">
        <v>365</v>
      </c>
      <c r="AK85" s="656"/>
      <c r="AL85" s="656"/>
      <c r="AM85" s="657"/>
      <c r="AN85" s="637"/>
      <c r="AO85" s="655" t="s">
        <v>365</v>
      </c>
      <c r="AP85" s="656"/>
      <c r="AQ85" s="656"/>
      <c r="AR85" s="657"/>
      <c r="AS85" s="637"/>
      <c r="AT85" s="655" t="s">
        <v>365</v>
      </c>
      <c r="AU85" s="656"/>
      <c r="AV85" s="656"/>
      <c r="AW85" s="657"/>
      <c r="AX85" s="637"/>
      <c r="BA85" s="637"/>
    </row>
    <row r="86" spans="2:53">
      <c r="B86" s="637"/>
      <c r="C86" s="637"/>
      <c r="D86" s="637"/>
      <c r="E86" s="366" t="s">
        <v>366</v>
      </c>
      <c r="F86" s="366" t="s">
        <v>367</v>
      </c>
      <c r="G86" s="366" t="s">
        <v>368</v>
      </c>
      <c r="H86" s="671"/>
      <c r="I86" s="365" t="s">
        <v>366</v>
      </c>
      <c r="J86" s="365" t="s">
        <v>367</v>
      </c>
      <c r="K86" s="365" t="s">
        <v>368</v>
      </c>
      <c r="L86" s="687"/>
      <c r="M86" s="675"/>
      <c r="N86" s="637"/>
      <c r="O86" s="637"/>
      <c r="P86" s="366" t="s">
        <v>366</v>
      </c>
      <c r="Q86" s="366" t="s">
        <v>367</v>
      </c>
      <c r="R86" s="366" t="s">
        <v>368</v>
      </c>
      <c r="S86" s="366" t="s">
        <v>358</v>
      </c>
      <c r="T86" s="637"/>
      <c r="U86" s="366" t="s">
        <v>366</v>
      </c>
      <c r="V86" s="366" t="s">
        <v>367</v>
      </c>
      <c r="W86" s="366" t="s">
        <v>368</v>
      </c>
      <c r="X86" s="366" t="s">
        <v>358</v>
      </c>
      <c r="Y86" s="637"/>
      <c r="Z86" s="366" t="s">
        <v>366</v>
      </c>
      <c r="AA86" s="366" t="s">
        <v>367</v>
      </c>
      <c r="AB86" s="366" t="s">
        <v>368</v>
      </c>
      <c r="AC86" s="366" t="s">
        <v>358</v>
      </c>
      <c r="AD86" s="637"/>
      <c r="AE86" s="366" t="s">
        <v>366</v>
      </c>
      <c r="AF86" s="366" t="s">
        <v>367</v>
      </c>
      <c r="AG86" s="366" t="s">
        <v>368</v>
      </c>
      <c r="AH86" s="366" t="s">
        <v>358</v>
      </c>
      <c r="AI86" s="637"/>
      <c r="AJ86" s="366" t="s">
        <v>366</v>
      </c>
      <c r="AK86" s="366" t="s">
        <v>367</v>
      </c>
      <c r="AL86" s="366" t="s">
        <v>368</v>
      </c>
      <c r="AM86" s="366" t="s">
        <v>358</v>
      </c>
      <c r="AN86" s="637"/>
      <c r="AO86" s="366" t="s">
        <v>366</v>
      </c>
      <c r="AP86" s="366" t="s">
        <v>367</v>
      </c>
      <c r="AQ86" s="366" t="s">
        <v>368</v>
      </c>
      <c r="AR86" s="366" t="s">
        <v>358</v>
      </c>
      <c r="AS86" s="637"/>
      <c r="AT86" s="366" t="s">
        <v>366</v>
      </c>
      <c r="AU86" s="366" t="s">
        <v>367</v>
      </c>
      <c r="AV86" s="366" t="s">
        <v>368</v>
      </c>
      <c r="AW86" s="366" t="s">
        <v>358</v>
      </c>
      <c r="AX86" s="637"/>
      <c r="AZ86" s="356" t="s">
        <v>358</v>
      </c>
      <c r="BA86" s="637"/>
    </row>
    <row r="87" spans="2:53">
      <c r="B87" s="637" t="s">
        <v>396</v>
      </c>
      <c r="C87" s="367">
        <v>1</v>
      </c>
      <c r="D87" s="220"/>
      <c r="E87" s="477"/>
      <c r="F87" s="474"/>
      <c r="G87" s="473"/>
      <c r="H87" s="696" t="e">
        <f>AVERAGE(G87:G101)</f>
        <v>#DIV/0!</v>
      </c>
      <c r="I87" s="369" t="str">
        <f t="shared" ref="I87:I100" si="54">IFERROR(AVERAGE(P87,U87,Z87,AE87,AJ87,AO87,AT87),"-")</f>
        <v>-</v>
      </c>
      <c r="J87" s="369" t="str">
        <f t="shared" ref="J87:J100" si="55">IFERROR(AVERAGE(Q87,V87,AA87,AF87,AK87,AP87,AU87),"-")</f>
        <v>-</v>
      </c>
      <c r="K87" s="194" t="str">
        <f t="shared" ref="K87:K100" si="56">IFERROR(AVERAGE(R87,W87,AB87,AG87,AL87,AQ87,AV87),"-")</f>
        <v>-</v>
      </c>
      <c r="L87" s="652" t="str">
        <f>IFERROR(AVERAGE(K87:K101),"-")</f>
        <v>-</v>
      </c>
      <c r="M87" s="371" t="e">
        <f>RANK(K87, K$87:$K$101)</f>
        <v>#VALUE!</v>
      </c>
      <c r="N87" s="637"/>
      <c r="O87" s="637"/>
      <c r="P87" s="546"/>
      <c r="Q87" s="547"/>
      <c r="R87" s="547"/>
      <c r="S87" s="546"/>
      <c r="T87" s="638"/>
      <c r="U87" s="546"/>
      <c r="V87" s="547"/>
      <c r="W87" s="547"/>
      <c r="X87" s="546"/>
      <c r="Y87" s="638"/>
      <c r="Z87" s="546"/>
      <c r="AA87" s="547"/>
      <c r="AB87" s="547"/>
      <c r="AC87" s="546"/>
      <c r="AD87" s="638"/>
      <c r="AE87" s="546"/>
      <c r="AF87" s="547"/>
      <c r="AG87" s="547"/>
      <c r="AH87" s="546"/>
      <c r="AI87" s="638"/>
      <c r="AJ87" s="546"/>
      <c r="AK87" s="547"/>
      <c r="AL87" s="547"/>
      <c r="AM87" s="546"/>
      <c r="AN87" s="638"/>
      <c r="AO87" s="546"/>
      <c r="AP87" s="547"/>
      <c r="AQ87" s="547"/>
      <c r="AR87" s="546"/>
      <c r="AS87" s="638"/>
      <c r="AT87" s="546"/>
      <c r="AU87" s="547"/>
      <c r="AV87" s="547"/>
      <c r="AW87" s="546"/>
      <c r="AX87" s="638"/>
      <c r="AZ87" s="357" t="e">
        <f t="shared" ref="AZ87:AZ101" si="57">RANK(AY87, AY$87:AY$101)</f>
        <v>#N/A</v>
      </c>
      <c r="BA87" s="638" t="e">
        <f t="shared" ref="BA87" si="58">AVERAGE(AY87:AY101)</f>
        <v>#DIV/0!</v>
      </c>
    </row>
    <row r="88" spans="2:53">
      <c r="B88" s="643"/>
      <c r="C88" s="367">
        <v>2</v>
      </c>
      <c r="D88" s="220"/>
      <c r="E88" s="477"/>
      <c r="F88" s="474"/>
      <c r="G88" s="473"/>
      <c r="H88" s="697"/>
      <c r="I88" s="369" t="str">
        <f t="shared" si="54"/>
        <v>-</v>
      </c>
      <c r="J88" s="369" t="str">
        <f t="shared" si="55"/>
        <v>-</v>
      </c>
      <c r="K88" s="194" t="str">
        <f t="shared" si="56"/>
        <v>-</v>
      </c>
      <c r="L88" s="653"/>
      <c r="M88" s="434" t="e">
        <f>RANK(K88, K$87:$K$101)</f>
        <v>#VALUE!</v>
      </c>
      <c r="N88" s="637"/>
      <c r="O88" s="637"/>
      <c r="P88" s="546"/>
      <c r="Q88" s="547"/>
      <c r="R88" s="547"/>
      <c r="S88" s="546"/>
      <c r="T88" s="638"/>
      <c r="U88" s="546"/>
      <c r="V88" s="547"/>
      <c r="W88" s="547"/>
      <c r="X88" s="546"/>
      <c r="Y88" s="638"/>
      <c r="Z88" s="546"/>
      <c r="AA88" s="547"/>
      <c r="AB88" s="547"/>
      <c r="AC88" s="546"/>
      <c r="AD88" s="638"/>
      <c r="AE88" s="546"/>
      <c r="AF88" s="547"/>
      <c r="AG88" s="547"/>
      <c r="AH88" s="546"/>
      <c r="AI88" s="638"/>
      <c r="AJ88" s="546"/>
      <c r="AK88" s="547"/>
      <c r="AL88" s="547"/>
      <c r="AM88" s="546"/>
      <c r="AN88" s="638"/>
      <c r="AO88" s="546"/>
      <c r="AP88" s="547"/>
      <c r="AQ88" s="547"/>
      <c r="AR88" s="546"/>
      <c r="AS88" s="638"/>
      <c r="AT88" s="546"/>
      <c r="AU88" s="547"/>
      <c r="AV88" s="547"/>
      <c r="AW88" s="546"/>
      <c r="AX88" s="638"/>
      <c r="AZ88" s="357" t="e">
        <f t="shared" si="57"/>
        <v>#N/A</v>
      </c>
      <c r="BA88" s="638"/>
    </row>
    <row r="89" spans="2:53">
      <c r="B89" s="643"/>
      <c r="C89" s="367">
        <v>3</v>
      </c>
      <c r="D89" s="220"/>
      <c r="E89" s="477"/>
      <c r="F89" s="474"/>
      <c r="G89" s="473"/>
      <c r="H89" s="697"/>
      <c r="I89" s="369" t="str">
        <f t="shared" si="54"/>
        <v>-</v>
      </c>
      <c r="J89" s="369" t="str">
        <f t="shared" si="55"/>
        <v>-</v>
      </c>
      <c r="K89" s="194" t="str">
        <f t="shared" si="56"/>
        <v>-</v>
      </c>
      <c r="L89" s="653"/>
      <c r="M89" s="434" t="e">
        <f>RANK(K89, K$87:$K$101)</f>
        <v>#VALUE!</v>
      </c>
      <c r="N89" s="637"/>
      <c r="O89" s="637"/>
      <c r="P89" s="546"/>
      <c r="Q89" s="547"/>
      <c r="R89" s="547"/>
      <c r="S89" s="546"/>
      <c r="T89" s="638"/>
      <c r="U89" s="546"/>
      <c r="V89" s="547"/>
      <c r="W89" s="547"/>
      <c r="X89" s="546"/>
      <c r="Y89" s="638"/>
      <c r="Z89" s="546"/>
      <c r="AA89" s="547"/>
      <c r="AB89" s="547"/>
      <c r="AC89" s="546"/>
      <c r="AD89" s="638"/>
      <c r="AE89" s="546"/>
      <c r="AF89" s="547"/>
      <c r="AG89" s="547"/>
      <c r="AH89" s="546"/>
      <c r="AI89" s="638"/>
      <c r="AJ89" s="546"/>
      <c r="AK89" s="547"/>
      <c r="AL89" s="547"/>
      <c r="AM89" s="546"/>
      <c r="AN89" s="638"/>
      <c r="AO89" s="546"/>
      <c r="AP89" s="547"/>
      <c r="AQ89" s="547"/>
      <c r="AR89" s="546"/>
      <c r="AS89" s="638"/>
      <c r="AT89" s="546"/>
      <c r="AU89" s="547"/>
      <c r="AV89" s="547"/>
      <c r="AW89" s="546"/>
      <c r="AX89" s="638"/>
      <c r="AZ89" s="357" t="e">
        <f t="shared" si="57"/>
        <v>#N/A</v>
      </c>
      <c r="BA89" s="638"/>
    </row>
    <row r="90" spans="2:53">
      <c r="B90" s="643"/>
      <c r="C90" s="367">
        <v>4</v>
      </c>
      <c r="D90" s="220"/>
      <c r="E90" s="477"/>
      <c r="F90" s="474"/>
      <c r="G90" s="473"/>
      <c r="H90" s="697"/>
      <c r="I90" s="369" t="str">
        <f t="shared" si="54"/>
        <v>-</v>
      </c>
      <c r="J90" s="369" t="str">
        <f t="shared" si="55"/>
        <v>-</v>
      </c>
      <c r="K90" s="194" t="str">
        <f t="shared" si="56"/>
        <v>-</v>
      </c>
      <c r="L90" s="653"/>
      <c r="M90" s="434" t="e">
        <f>RANK(K90, K$87:$K$101)</f>
        <v>#VALUE!</v>
      </c>
      <c r="N90" s="637"/>
      <c r="O90" s="637"/>
      <c r="P90" s="546"/>
      <c r="Q90" s="547"/>
      <c r="R90" s="547"/>
      <c r="S90" s="546"/>
      <c r="T90" s="638"/>
      <c r="U90" s="546"/>
      <c r="V90" s="547"/>
      <c r="W90" s="547"/>
      <c r="X90" s="546"/>
      <c r="Y90" s="638"/>
      <c r="Z90" s="546"/>
      <c r="AA90" s="547"/>
      <c r="AB90" s="547"/>
      <c r="AC90" s="546"/>
      <c r="AD90" s="638"/>
      <c r="AE90" s="546"/>
      <c r="AF90" s="547"/>
      <c r="AG90" s="547"/>
      <c r="AH90" s="546"/>
      <c r="AI90" s="638"/>
      <c r="AJ90" s="546"/>
      <c r="AK90" s="547"/>
      <c r="AL90" s="547"/>
      <c r="AM90" s="546"/>
      <c r="AN90" s="638"/>
      <c r="AO90" s="546"/>
      <c r="AP90" s="547"/>
      <c r="AQ90" s="547"/>
      <c r="AR90" s="546"/>
      <c r="AS90" s="638"/>
      <c r="AT90" s="546"/>
      <c r="AU90" s="547"/>
      <c r="AV90" s="547"/>
      <c r="AW90" s="546"/>
      <c r="AX90" s="638"/>
      <c r="AZ90" s="357" t="e">
        <f t="shared" si="57"/>
        <v>#N/A</v>
      </c>
      <c r="BA90" s="638"/>
    </row>
    <row r="91" spans="2:53">
      <c r="B91" s="643"/>
      <c r="C91" s="367">
        <v>5</v>
      </c>
      <c r="D91" s="220"/>
      <c r="E91" s="477"/>
      <c r="F91" s="474"/>
      <c r="G91" s="473"/>
      <c r="H91" s="697"/>
      <c r="I91" s="369" t="str">
        <f t="shared" si="54"/>
        <v>-</v>
      </c>
      <c r="J91" s="369" t="str">
        <f t="shared" si="55"/>
        <v>-</v>
      </c>
      <c r="K91" s="194" t="str">
        <f t="shared" si="56"/>
        <v>-</v>
      </c>
      <c r="L91" s="653"/>
      <c r="M91" s="434" t="e">
        <f>RANK(K91, K$87:$K$101)</f>
        <v>#VALUE!</v>
      </c>
      <c r="N91" s="637"/>
      <c r="O91" s="637"/>
      <c r="P91" s="546"/>
      <c r="Q91" s="547"/>
      <c r="R91" s="547"/>
      <c r="S91" s="546"/>
      <c r="T91" s="638"/>
      <c r="U91" s="546"/>
      <c r="V91" s="547"/>
      <c r="W91" s="547"/>
      <c r="X91" s="546"/>
      <c r="Y91" s="638"/>
      <c r="Z91" s="546"/>
      <c r="AA91" s="547"/>
      <c r="AB91" s="547"/>
      <c r="AC91" s="546"/>
      <c r="AD91" s="638"/>
      <c r="AE91" s="546"/>
      <c r="AF91" s="547"/>
      <c r="AG91" s="547"/>
      <c r="AH91" s="546"/>
      <c r="AI91" s="638"/>
      <c r="AJ91" s="546"/>
      <c r="AK91" s="547"/>
      <c r="AL91" s="547"/>
      <c r="AM91" s="546"/>
      <c r="AN91" s="638"/>
      <c r="AO91" s="546"/>
      <c r="AP91" s="547"/>
      <c r="AQ91" s="547"/>
      <c r="AR91" s="546"/>
      <c r="AS91" s="638"/>
      <c r="AT91" s="546"/>
      <c r="AU91" s="547"/>
      <c r="AV91" s="547"/>
      <c r="AW91" s="546"/>
      <c r="AX91" s="638"/>
      <c r="AZ91" s="357" t="e">
        <f t="shared" si="57"/>
        <v>#N/A</v>
      </c>
      <c r="BA91" s="638"/>
    </row>
    <row r="92" spans="2:53">
      <c r="B92" s="643"/>
      <c r="C92" s="367">
        <v>6</v>
      </c>
      <c r="D92" s="220"/>
      <c r="E92" s="477"/>
      <c r="F92" s="474"/>
      <c r="G92" s="473"/>
      <c r="H92" s="697"/>
      <c r="I92" s="369" t="str">
        <f t="shared" si="54"/>
        <v>-</v>
      </c>
      <c r="J92" s="369" t="str">
        <f t="shared" si="55"/>
        <v>-</v>
      </c>
      <c r="K92" s="194" t="str">
        <f t="shared" si="56"/>
        <v>-</v>
      </c>
      <c r="L92" s="653"/>
      <c r="M92" s="434" t="e">
        <f>RANK(K92, K$87:$K$101)</f>
        <v>#VALUE!</v>
      </c>
      <c r="N92" s="637"/>
      <c r="O92" s="637"/>
      <c r="P92" s="546"/>
      <c r="Q92" s="547"/>
      <c r="R92" s="547"/>
      <c r="S92" s="546"/>
      <c r="T92" s="638"/>
      <c r="U92" s="546"/>
      <c r="V92" s="547"/>
      <c r="W92" s="547"/>
      <c r="X92" s="546"/>
      <c r="Y92" s="638"/>
      <c r="Z92" s="546"/>
      <c r="AA92" s="547"/>
      <c r="AB92" s="547"/>
      <c r="AC92" s="546"/>
      <c r="AD92" s="638"/>
      <c r="AE92" s="546"/>
      <c r="AF92" s="547"/>
      <c r="AG92" s="547"/>
      <c r="AH92" s="546"/>
      <c r="AI92" s="638"/>
      <c r="AJ92" s="546"/>
      <c r="AK92" s="547"/>
      <c r="AL92" s="547"/>
      <c r="AM92" s="546"/>
      <c r="AN92" s="638"/>
      <c r="AO92" s="546"/>
      <c r="AP92" s="547"/>
      <c r="AQ92" s="547"/>
      <c r="AR92" s="546"/>
      <c r="AS92" s="638"/>
      <c r="AT92" s="546"/>
      <c r="AU92" s="547"/>
      <c r="AV92" s="547"/>
      <c r="AW92" s="546"/>
      <c r="AX92" s="638"/>
      <c r="AZ92" s="357" t="e">
        <f t="shared" si="57"/>
        <v>#N/A</v>
      </c>
      <c r="BA92" s="638"/>
    </row>
    <row r="93" spans="2:53">
      <c r="B93" s="643"/>
      <c r="C93" s="367">
        <v>7</v>
      </c>
      <c r="D93" s="220"/>
      <c r="E93" s="477"/>
      <c r="F93" s="474"/>
      <c r="G93" s="473"/>
      <c r="H93" s="697"/>
      <c r="I93" s="369" t="str">
        <f t="shared" si="54"/>
        <v>-</v>
      </c>
      <c r="J93" s="369" t="str">
        <f t="shared" si="55"/>
        <v>-</v>
      </c>
      <c r="K93" s="194" t="str">
        <f t="shared" si="56"/>
        <v>-</v>
      </c>
      <c r="L93" s="653"/>
      <c r="M93" s="434" t="e">
        <f>RANK(K93, K$87:$K$101)</f>
        <v>#VALUE!</v>
      </c>
      <c r="N93" s="637"/>
      <c r="O93" s="637"/>
      <c r="P93" s="546"/>
      <c r="Q93" s="547"/>
      <c r="R93" s="547"/>
      <c r="S93" s="546"/>
      <c r="T93" s="638"/>
      <c r="U93" s="546"/>
      <c r="V93" s="547"/>
      <c r="W93" s="547"/>
      <c r="X93" s="546"/>
      <c r="Y93" s="638"/>
      <c r="Z93" s="546"/>
      <c r="AA93" s="547"/>
      <c r="AB93" s="547"/>
      <c r="AC93" s="546"/>
      <c r="AD93" s="638"/>
      <c r="AE93" s="546"/>
      <c r="AF93" s="547"/>
      <c r="AG93" s="547"/>
      <c r="AH93" s="546"/>
      <c r="AI93" s="638"/>
      <c r="AJ93" s="546"/>
      <c r="AK93" s="547"/>
      <c r="AL93" s="547"/>
      <c r="AM93" s="546"/>
      <c r="AN93" s="638"/>
      <c r="AO93" s="546"/>
      <c r="AP93" s="547"/>
      <c r="AQ93" s="547"/>
      <c r="AR93" s="546"/>
      <c r="AS93" s="638"/>
      <c r="AT93" s="546"/>
      <c r="AU93" s="547"/>
      <c r="AV93" s="547"/>
      <c r="AW93" s="546"/>
      <c r="AX93" s="638"/>
      <c r="AZ93" s="357" t="e">
        <f t="shared" si="57"/>
        <v>#N/A</v>
      </c>
      <c r="BA93" s="638"/>
    </row>
    <row r="94" spans="2:53">
      <c r="B94" s="643"/>
      <c r="C94" s="367">
        <v>8</v>
      </c>
      <c r="D94" s="220"/>
      <c r="E94" s="477"/>
      <c r="F94" s="474"/>
      <c r="G94" s="473"/>
      <c r="H94" s="697"/>
      <c r="I94" s="369" t="str">
        <f t="shared" si="54"/>
        <v>-</v>
      </c>
      <c r="J94" s="369" t="str">
        <f t="shared" si="55"/>
        <v>-</v>
      </c>
      <c r="K94" s="194" t="str">
        <f t="shared" si="56"/>
        <v>-</v>
      </c>
      <c r="L94" s="653"/>
      <c r="M94" s="434" t="e">
        <f>RANK(K94, K$87:$K$101)</f>
        <v>#VALUE!</v>
      </c>
      <c r="N94" s="637"/>
      <c r="O94" s="637"/>
      <c r="P94" s="546"/>
      <c r="Q94" s="547"/>
      <c r="R94" s="547"/>
      <c r="S94" s="546"/>
      <c r="T94" s="638"/>
      <c r="U94" s="546"/>
      <c r="V94" s="547"/>
      <c r="W94" s="547"/>
      <c r="X94" s="546"/>
      <c r="Y94" s="638"/>
      <c r="Z94" s="546"/>
      <c r="AA94" s="547"/>
      <c r="AB94" s="547"/>
      <c r="AC94" s="546"/>
      <c r="AD94" s="638"/>
      <c r="AE94" s="546"/>
      <c r="AF94" s="547"/>
      <c r="AG94" s="547"/>
      <c r="AH94" s="546"/>
      <c r="AI94" s="638"/>
      <c r="AJ94" s="546"/>
      <c r="AK94" s="547"/>
      <c r="AL94" s="547"/>
      <c r="AM94" s="546"/>
      <c r="AN94" s="638"/>
      <c r="AO94" s="546"/>
      <c r="AP94" s="547"/>
      <c r="AQ94" s="547"/>
      <c r="AR94" s="546"/>
      <c r="AS94" s="638"/>
      <c r="AT94" s="546"/>
      <c r="AU94" s="547"/>
      <c r="AV94" s="547"/>
      <c r="AW94" s="546"/>
      <c r="AX94" s="638"/>
      <c r="AZ94" s="357" t="e">
        <f t="shared" si="57"/>
        <v>#N/A</v>
      </c>
      <c r="BA94" s="638"/>
    </row>
    <row r="95" spans="2:53">
      <c r="B95" s="643"/>
      <c r="C95" s="367">
        <v>9</v>
      </c>
      <c r="D95" s="220"/>
      <c r="E95" s="477"/>
      <c r="F95" s="474"/>
      <c r="G95" s="473"/>
      <c r="H95" s="697"/>
      <c r="I95" s="369" t="str">
        <f t="shared" si="54"/>
        <v>-</v>
      </c>
      <c r="J95" s="369" t="str">
        <f t="shared" si="55"/>
        <v>-</v>
      </c>
      <c r="K95" s="194" t="str">
        <f t="shared" si="56"/>
        <v>-</v>
      </c>
      <c r="L95" s="653"/>
      <c r="M95" s="434" t="e">
        <f>RANK(K95, K$87:$K$101)</f>
        <v>#VALUE!</v>
      </c>
      <c r="N95" s="637"/>
      <c r="O95" s="637"/>
      <c r="P95" s="546"/>
      <c r="Q95" s="547"/>
      <c r="R95" s="547"/>
      <c r="S95" s="546"/>
      <c r="T95" s="638"/>
      <c r="U95" s="546"/>
      <c r="V95" s="547"/>
      <c r="W95" s="547"/>
      <c r="X95" s="546"/>
      <c r="Y95" s="638"/>
      <c r="Z95" s="546"/>
      <c r="AA95" s="547"/>
      <c r="AB95" s="547"/>
      <c r="AC95" s="546"/>
      <c r="AD95" s="638"/>
      <c r="AE95" s="546"/>
      <c r="AF95" s="547"/>
      <c r="AG95" s="547"/>
      <c r="AH95" s="546"/>
      <c r="AI95" s="638"/>
      <c r="AJ95" s="546"/>
      <c r="AK95" s="547"/>
      <c r="AL95" s="547"/>
      <c r="AM95" s="546"/>
      <c r="AN95" s="638"/>
      <c r="AO95" s="546"/>
      <c r="AP95" s="547"/>
      <c r="AQ95" s="547"/>
      <c r="AR95" s="546"/>
      <c r="AS95" s="638"/>
      <c r="AT95" s="546"/>
      <c r="AU95" s="547"/>
      <c r="AV95" s="547"/>
      <c r="AW95" s="546"/>
      <c r="AX95" s="638"/>
      <c r="AZ95" s="357" t="e">
        <f t="shared" si="57"/>
        <v>#N/A</v>
      </c>
      <c r="BA95" s="638"/>
    </row>
    <row r="96" spans="2:53">
      <c r="B96" s="643"/>
      <c r="C96" s="367">
        <v>10</v>
      </c>
      <c r="D96" s="220"/>
      <c r="E96" s="477"/>
      <c r="F96" s="474"/>
      <c r="G96" s="473"/>
      <c r="H96" s="697"/>
      <c r="I96" s="369" t="str">
        <f t="shared" si="54"/>
        <v>-</v>
      </c>
      <c r="J96" s="369" t="str">
        <f t="shared" si="55"/>
        <v>-</v>
      </c>
      <c r="K96" s="194" t="str">
        <f t="shared" si="56"/>
        <v>-</v>
      </c>
      <c r="L96" s="653"/>
      <c r="M96" s="434" t="e">
        <f>RANK(K96, K$87:$K$101)</f>
        <v>#VALUE!</v>
      </c>
      <c r="N96" s="637"/>
      <c r="O96" s="637"/>
      <c r="P96" s="546"/>
      <c r="Q96" s="547"/>
      <c r="R96" s="547"/>
      <c r="S96" s="546"/>
      <c r="T96" s="638"/>
      <c r="U96" s="546"/>
      <c r="V96" s="547"/>
      <c r="W96" s="547"/>
      <c r="X96" s="546"/>
      <c r="Y96" s="638"/>
      <c r="Z96" s="546"/>
      <c r="AA96" s="547"/>
      <c r="AB96" s="547"/>
      <c r="AC96" s="546"/>
      <c r="AD96" s="638"/>
      <c r="AE96" s="546"/>
      <c r="AF96" s="547"/>
      <c r="AG96" s="547"/>
      <c r="AH96" s="546"/>
      <c r="AI96" s="638"/>
      <c r="AJ96" s="546"/>
      <c r="AK96" s="547"/>
      <c r="AL96" s="547"/>
      <c r="AM96" s="546"/>
      <c r="AN96" s="638"/>
      <c r="AO96" s="546"/>
      <c r="AP96" s="547"/>
      <c r="AQ96" s="547"/>
      <c r="AR96" s="546"/>
      <c r="AS96" s="638"/>
      <c r="AT96" s="546"/>
      <c r="AU96" s="547"/>
      <c r="AV96" s="547"/>
      <c r="AW96" s="546"/>
      <c r="AX96" s="638"/>
      <c r="AZ96" s="357" t="e">
        <f t="shared" si="57"/>
        <v>#N/A</v>
      </c>
      <c r="BA96" s="638"/>
    </row>
    <row r="97" spans="2:53">
      <c r="B97" s="643"/>
      <c r="C97" s="367">
        <v>11</v>
      </c>
      <c r="D97" s="220"/>
      <c r="E97" s="477"/>
      <c r="F97" s="474"/>
      <c r="G97" s="473"/>
      <c r="H97" s="697"/>
      <c r="I97" s="369" t="str">
        <f t="shared" si="54"/>
        <v>-</v>
      </c>
      <c r="J97" s="369" t="str">
        <f t="shared" si="55"/>
        <v>-</v>
      </c>
      <c r="K97" s="194" t="str">
        <f t="shared" si="56"/>
        <v>-</v>
      </c>
      <c r="L97" s="653"/>
      <c r="M97" s="434" t="e">
        <f>RANK(K97, K$87:$K$101)</f>
        <v>#VALUE!</v>
      </c>
      <c r="N97" s="637"/>
      <c r="O97" s="637"/>
      <c r="P97" s="546"/>
      <c r="Q97" s="547"/>
      <c r="R97" s="547"/>
      <c r="S97" s="546"/>
      <c r="T97" s="638"/>
      <c r="U97" s="546"/>
      <c r="V97" s="547"/>
      <c r="W97" s="547"/>
      <c r="X97" s="546"/>
      <c r="Y97" s="638"/>
      <c r="Z97" s="546"/>
      <c r="AA97" s="547"/>
      <c r="AB97" s="547"/>
      <c r="AC97" s="546"/>
      <c r="AD97" s="638"/>
      <c r="AE97" s="546"/>
      <c r="AF97" s="547"/>
      <c r="AG97" s="547"/>
      <c r="AH97" s="546"/>
      <c r="AI97" s="638"/>
      <c r="AJ97" s="546"/>
      <c r="AK97" s="547"/>
      <c r="AL97" s="547"/>
      <c r="AM97" s="546"/>
      <c r="AN97" s="638"/>
      <c r="AO97" s="546"/>
      <c r="AP97" s="547"/>
      <c r="AQ97" s="547"/>
      <c r="AR97" s="546"/>
      <c r="AS97" s="638"/>
      <c r="AT97" s="546"/>
      <c r="AU97" s="547"/>
      <c r="AV97" s="547"/>
      <c r="AW97" s="546"/>
      <c r="AX97" s="638"/>
      <c r="AZ97" s="357" t="e">
        <f t="shared" si="57"/>
        <v>#N/A</v>
      </c>
      <c r="BA97" s="638"/>
    </row>
    <row r="98" spans="2:53">
      <c r="B98" s="643"/>
      <c r="C98" s="367">
        <v>12</v>
      </c>
      <c r="D98" s="220"/>
      <c r="E98" s="477"/>
      <c r="F98" s="474"/>
      <c r="G98" s="473"/>
      <c r="H98" s="697"/>
      <c r="I98" s="369" t="str">
        <f t="shared" si="54"/>
        <v>-</v>
      </c>
      <c r="J98" s="369" t="str">
        <f t="shared" si="55"/>
        <v>-</v>
      </c>
      <c r="K98" s="194" t="str">
        <f t="shared" si="56"/>
        <v>-</v>
      </c>
      <c r="L98" s="653"/>
      <c r="M98" s="434" t="e">
        <f>RANK(K98, K$87:$K$101)</f>
        <v>#VALUE!</v>
      </c>
      <c r="N98" s="637"/>
      <c r="O98" s="637"/>
      <c r="P98" s="546"/>
      <c r="Q98" s="547"/>
      <c r="R98" s="547"/>
      <c r="S98" s="546"/>
      <c r="T98" s="638"/>
      <c r="U98" s="546"/>
      <c r="V98" s="547"/>
      <c r="W98" s="547"/>
      <c r="X98" s="546"/>
      <c r="Y98" s="638"/>
      <c r="Z98" s="546"/>
      <c r="AA98" s="547"/>
      <c r="AB98" s="547"/>
      <c r="AC98" s="546"/>
      <c r="AD98" s="638"/>
      <c r="AE98" s="546"/>
      <c r="AF98" s="547"/>
      <c r="AG98" s="547"/>
      <c r="AH98" s="546"/>
      <c r="AI98" s="638"/>
      <c r="AJ98" s="546"/>
      <c r="AK98" s="547"/>
      <c r="AL98" s="547"/>
      <c r="AM98" s="546"/>
      <c r="AN98" s="638"/>
      <c r="AO98" s="546"/>
      <c r="AP98" s="547"/>
      <c r="AQ98" s="547"/>
      <c r="AR98" s="546"/>
      <c r="AS98" s="638"/>
      <c r="AT98" s="546"/>
      <c r="AU98" s="547"/>
      <c r="AV98" s="547"/>
      <c r="AW98" s="546"/>
      <c r="AX98" s="638"/>
      <c r="AZ98" s="357" t="e">
        <f t="shared" si="57"/>
        <v>#N/A</v>
      </c>
      <c r="BA98" s="638"/>
    </row>
    <row r="99" spans="2:53">
      <c r="B99" s="643"/>
      <c r="C99" s="367">
        <v>13</v>
      </c>
      <c r="D99" s="220"/>
      <c r="E99" s="477"/>
      <c r="F99" s="474"/>
      <c r="G99" s="473"/>
      <c r="H99" s="697"/>
      <c r="I99" s="369" t="str">
        <f t="shared" si="54"/>
        <v>-</v>
      </c>
      <c r="J99" s="369" t="str">
        <f t="shared" si="55"/>
        <v>-</v>
      </c>
      <c r="K99" s="194" t="str">
        <f t="shared" si="56"/>
        <v>-</v>
      </c>
      <c r="L99" s="653"/>
      <c r="M99" s="434" t="e">
        <f>RANK(K99, K$87:$K$101)</f>
        <v>#VALUE!</v>
      </c>
      <c r="N99" s="637"/>
      <c r="O99" s="637"/>
      <c r="P99" s="546"/>
      <c r="Q99" s="547"/>
      <c r="R99" s="547"/>
      <c r="S99" s="546"/>
      <c r="T99" s="638"/>
      <c r="U99" s="546"/>
      <c r="V99" s="547"/>
      <c r="W99" s="547"/>
      <c r="X99" s="546"/>
      <c r="Y99" s="638"/>
      <c r="Z99" s="546"/>
      <c r="AA99" s="547"/>
      <c r="AB99" s="547"/>
      <c r="AC99" s="546"/>
      <c r="AD99" s="638"/>
      <c r="AE99" s="546"/>
      <c r="AF99" s="547"/>
      <c r="AG99" s="547"/>
      <c r="AH99" s="546"/>
      <c r="AI99" s="638"/>
      <c r="AJ99" s="546"/>
      <c r="AK99" s="547"/>
      <c r="AL99" s="547"/>
      <c r="AM99" s="546"/>
      <c r="AN99" s="638"/>
      <c r="AO99" s="546"/>
      <c r="AP99" s="547"/>
      <c r="AQ99" s="547"/>
      <c r="AR99" s="546"/>
      <c r="AS99" s="638"/>
      <c r="AT99" s="546"/>
      <c r="AU99" s="547"/>
      <c r="AV99" s="547"/>
      <c r="AW99" s="546"/>
      <c r="AX99" s="638"/>
      <c r="AZ99" s="357" t="e">
        <f t="shared" si="57"/>
        <v>#N/A</v>
      </c>
      <c r="BA99" s="638"/>
    </row>
    <row r="100" spans="2:53">
      <c r="B100" s="643"/>
      <c r="C100" s="367">
        <v>14</v>
      </c>
      <c r="D100" s="220"/>
      <c r="E100" s="477"/>
      <c r="F100" s="474"/>
      <c r="G100" s="473"/>
      <c r="H100" s="697"/>
      <c r="I100" s="369" t="str">
        <f t="shared" si="54"/>
        <v>-</v>
      </c>
      <c r="J100" s="369" t="str">
        <f t="shared" si="55"/>
        <v>-</v>
      </c>
      <c r="K100" s="194" t="str">
        <f t="shared" si="56"/>
        <v>-</v>
      </c>
      <c r="L100" s="653"/>
      <c r="M100" s="434" t="e">
        <f>RANK(K100, K$87:$K$101)</f>
        <v>#VALUE!</v>
      </c>
      <c r="N100" s="637"/>
      <c r="O100" s="637"/>
      <c r="P100" s="546"/>
      <c r="Q100" s="547"/>
      <c r="R100" s="547"/>
      <c r="S100" s="546"/>
      <c r="T100" s="638"/>
      <c r="U100" s="546"/>
      <c r="V100" s="547"/>
      <c r="W100" s="547"/>
      <c r="X100" s="546"/>
      <c r="Y100" s="638"/>
      <c r="Z100" s="546"/>
      <c r="AA100" s="547"/>
      <c r="AB100" s="547"/>
      <c r="AC100" s="546"/>
      <c r="AD100" s="638"/>
      <c r="AE100" s="546"/>
      <c r="AF100" s="547"/>
      <c r="AG100" s="547"/>
      <c r="AH100" s="546"/>
      <c r="AI100" s="638"/>
      <c r="AJ100" s="546"/>
      <c r="AK100" s="547"/>
      <c r="AL100" s="547"/>
      <c r="AM100" s="546"/>
      <c r="AN100" s="638"/>
      <c r="AO100" s="546"/>
      <c r="AP100" s="547"/>
      <c r="AQ100" s="547"/>
      <c r="AR100" s="546"/>
      <c r="AS100" s="638"/>
      <c r="AT100" s="546"/>
      <c r="AU100" s="547"/>
      <c r="AV100" s="547"/>
      <c r="AW100" s="546"/>
      <c r="AX100" s="638"/>
      <c r="AZ100" s="357" t="e">
        <f t="shared" si="57"/>
        <v>#N/A</v>
      </c>
      <c r="BA100" s="638"/>
    </row>
    <row r="101" spans="2:53">
      <c r="B101" s="643"/>
      <c r="C101" s="367">
        <v>15</v>
      </c>
      <c r="D101" s="220"/>
      <c r="E101" s="477"/>
      <c r="F101" s="474"/>
      <c r="G101" s="473"/>
      <c r="H101" s="698"/>
      <c r="I101" s="391" t="str">
        <f t="shared" ref="I101" si="59">IFERROR(AVERAGE(P101,U101,Z101,AE101,AJ101,AO101,AT101),"-")</f>
        <v>-</v>
      </c>
      <c r="J101" s="391" t="str">
        <f t="shared" ref="J101" si="60">IFERROR(AVERAGE(Q101,V101,AA101,AF101,AK101,AP101,AU101),"-")</f>
        <v>-</v>
      </c>
      <c r="K101" s="194" t="str">
        <f t="shared" ref="K101" si="61">IFERROR(AVERAGE(R101,W101,AB101,AG101,AL101,AQ101,AV101),"-")</f>
        <v>-</v>
      </c>
      <c r="L101" s="654"/>
      <c r="M101" s="434" t="e">
        <f>RANK(K101, K$87:$K$101)</f>
        <v>#VALUE!</v>
      </c>
      <c r="N101" s="637"/>
      <c r="O101" s="637"/>
      <c r="P101" s="546"/>
      <c r="Q101" s="547"/>
      <c r="R101" s="547"/>
      <c r="S101" s="546"/>
      <c r="T101" s="638"/>
      <c r="U101" s="546"/>
      <c r="V101" s="547"/>
      <c r="W101" s="547"/>
      <c r="X101" s="546"/>
      <c r="Y101" s="638"/>
      <c r="Z101" s="546"/>
      <c r="AA101" s="547"/>
      <c r="AB101" s="547"/>
      <c r="AC101" s="546"/>
      <c r="AD101" s="638"/>
      <c r="AE101" s="546"/>
      <c r="AF101" s="547"/>
      <c r="AG101" s="547"/>
      <c r="AH101" s="546"/>
      <c r="AI101" s="638"/>
      <c r="AJ101" s="546"/>
      <c r="AK101" s="547"/>
      <c r="AL101" s="547"/>
      <c r="AM101" s="546"/>
      <c r="AN101" s="638"/>
      <c r="AO101" s="546"/>
      <c r="AP101" s="547"/>
      <c r="AQ101" s="547"/>
      <c r="AR101" s="546"/>
      <c r="AS101" s="638"/>
      <c r="AT101" s="546"/>
      <c r="AU101" s="547"/>
      <c r="AV101" s="547"/>
      <c r="AW101" s="546"/>
      <c r="AX101" s="638"/>
      <c r="AZ101" s="357" t="e">
        <f t="shared" si="57"/>
        <v>#N/A</v>
      </c>
      <c r="BA101" s="638"/>
    </row>
    <row r="102" spans="2:53" ht="15.75">
      <c r="B102" s="665" t="s">
        <v>162</v>
      </c>
      <c r="C102" s="666"/>
      <c r="D102" s="666"/>
      <c r="E102" s="666"/>
      <c r="F102" s="666"/>
      <c r="G102" s="666"/>
      <c r="H102" s="667"/>
      <c r="I102" s="202"/>
      <c r="J102" s="202"/>
      <c r="K102" s="202"/>
      <c r="L102" s="202"/>
      <c r="M102" s="201"/>
      <c r="N102" s="639" t="s">
        <v>156</v>
      </c>
      <c r="O102" s="639" t="s">
        <v>105</v>
      </c>
      <c r="P102" s="664">
        <f>P82+7</f>
        <v>46329</v>
      </c>
      <c r="Q102" s="643"/>
      <c r="R102" s="643"/>
      <c r="S102" s="643"/>
      <c r="T102" s="643"/>
      <c r="U102" s="661">
        <f>P102+1</f>
        <v>46330</v>
      </c>
      <c r="V102" s="662"/>
      <c r="W102" s="662"/>
      <c r="X102" s="662"/>
      <c r="Y102" s="663"/>
      <c r="Z102" s="661">
        <f>U102+1</f>
        <v>46331</v>
      </c>
      <c r="AA102" s="662"/>
      <c r="AB102" s="662"/>
      <c r="AC102" s="662"/>
      <c r="AD102" s="663"/>
      <c r="AE102" s="661">
        <f>Z102+1</f>
        <v>46332</v>
      </c>
      <c r="AF102" s="662"/>
      <c r="AG102" s="662"/>
      <c r="AH102" s="662"/>
      <c r="AI102" s="663"/>
      <c r="AJ102" s="661">
        <f>AE102+1</f>
        <v>46333</v>
      </c>
      <c r="AK102" s="662"/>
      <c r="AL102" s="662"/>
      <c r="AM102" s="662"/>
      <c r="AN102" s="663"/>
      <c r="AO102" s="661">
        <f>AJ102+1</f>
        <v>46334</v>
      </c>
      <c r="AP102" s="662"/>
      <c r="AQ102" s="662"/>
      <c r="AR102" s="662"/>
      <c r="AS102" s="663"/>
      <c r="AT102" s="661">
        <f>AO102+1</f>
        <v>46335</v>
      </c>
      <c r="AU102" s="662"/>
      <c r="AV102" s="662"/>
      <c r="AW102" s="662"/>
      <c r="AX102" s="663"/>
    </row>
    <row r="103" spans="2:53" ht="15.75">
      <c r="B103" s="668"/>
      <c r="C103" s="668"/>
      <c r="D103" s="668"/>
      <c r="E103" s="668"/>
      <c r="F103" s="668"/>
      <c r="G103" s="668"/>
      <c r="H103" s="668"/>
      <c r="I103" s="199"/>
      <c r="J103" s="199"/>
      <c r="K103" s="199"/>
      <c r="L103" s="199"/>
      <c r="M103" s="200"/>
      <c r="N103" s="641"/>
      <c r="O103" s="641"/>
      <c r="P103" s="664" t="s">
        <v>158</v>
      </c>
      <c r="Q103" s="643"/>
      <c r="R103" s="643"/>
      <c r="S103" s="643"/>
      <c r="T103" s="643"/>
      <c r="U103" s="664" t="s">
        <v>114</v>
      </c>
      <c r="V103" s="643"/>
      <c r="W103" s="643"/>
      <c r="X103" s="643"/>
      <c r="Y103" s="643"/>
      <c r="Z103" s="664" t="s">
        <v>159</v>
      </c>
      <c r="AA103" s="643"/>
      <c r="AB103" s="643"/>
      <c r="AC103" s="643"/>
      <c r="AD103" s="643"/>
      <c r="AE103" s="664" t="s">
        <v>157</v>
      </c>
      <c r="AF103" s="643"/>
      <c r="AG103" s="643"/>
      <c r="AH103" s="643"/>
      <c r="AI103" s="643"/>
      <c r="AJ103" s="664" t="s">
        <v>160</v>
      </c>
      <c r="AK103" s="643"/>
      <c r="AL103" s="643"/>
      <c r="AM103" s="643"/>
      <c r="AN103" s="643"/>
      <c r="AO103" s="664" t="s">
        <v>115</v>
      </c>
      <c r="AP103" s="643"/>
      <c r="AQ103" s="643"/>
      <c r="AR103" s="643"/>
      <c r="AS103" s="643"/>
      <c r="AT103" s="664" t="s">
        <v>161</v>
      </c>
      <c r="AU103" s="643"/>
      <c r="AV103" s="643"/>
      <c r="AW103" s="643"/>
      <c r="AX103" s="643"/>
    </row>
    <row r="104" spans="2:53">
      <c r="B104" s="637" t="s">
        <v>154</v>
      </c>
      <c r="C104" s="637" t="s">
        <v>370</v>
      </c>
      <c r="D104" s="637"/>
      <c r="E104" s="637" t="s">
        <v>361</v>
      </c>
      <c r="F104" s="637"/>
      <c r="G104" s="637"/>
      <c r="H104" s="669" t="s">
        <v>357</v>
      </c>
      <c r="I104" s="684" t="s">
        <v>362</v>
      </c>
      <c r="J104" s="684"/>
      <c r="K104" s="684"/>
      <c r="L104" s="685" t="s">
        <v>357</v>
      </c>
      <c r="M104" s="673" t="s">
        <v>358</v>
      </c>
      <c r="N104" s="637"/>
      <c r="O104" s="637" t="s">
        <v>363</v>
      </c>
      <c r="P104" s="655" t="s">
        <v>359</v>
      </c>
      <c r="Q104" s="656"/>
      <c r="R104" s="656"/>
      <c r="S104" s="657"/>
      <c r="T104" s="637" t="s">
        <v>357</v>
      </c>
      <c r="U104" s="655" t="s">
        <v>359</v>
      </c>
      <c r="V104" s="656"/>
      <c r="W104" s="656"/>
      <c r="X104" s="657"/>
      <c r="Y104" s="637" t="s">
        <v>357</v>
      </c>
      <c r="Z104" s="655" t="s">
        <v>359</v>
      </c>
      <c r="AA104" s="656"/>
      <c r="AB104" s="656"/>
      <c r="AC104" s="657"/>
      <c r="AD104" s="637" t="s">
        <v>357</v>
      </c>
      <c r="AE104" s="655" t="s">
        <v>359</v>
      </c>
      <c r="AF104" s="656"/>
      <c r="AG104" s="656"/>
      <c r="AH104" s="657"/>
      <c r="AI104" s="637" t="s">
        <v>357</v>
      </c>
      <c r="AJ104" s="655" t="s">
        <v>359</v>
      </c>
      <c r="AK104" s="656"/>
      <c r="AL104" s="656"/>
      <c r="AM104" s="657"/>
      <c r="AN104" s="637" t="s">
        <v>357</v>
      </c>
      <c r="AO104" s="655" t="s">
        <v>359</v>
      </c>
      <c r="AP104" s="656"/>
      <c r="AQ104" s="656"/>
      <c r="AR104" s="657"/>
      <c r="AS104" s="637" t="s">
        <v>357</v>
      </c>
      <c r="AT104" s="655" t="s">
        <v>359</v>
      </c>
      <c r="AU104" s="656"/>
      <c r="AV104" s="656"/>
      <c r="AW104" s="657"/>
      <c r="AX104" s="637" t="s">
        <v>357</v>
      </c>
      <c r="BA104" s="637" t="s">
        <v>357</v>
      </c>
    </row>
    <row r="105" spans="2:53">
      <c r="B105" s="637"/>
      <c r="C105" s="637"/>
      <c r="D105" s="637"/>
      <c r="E105" s="637" t="s">
        <v>364</v>
      </c>
      <c r="F105" s="637"/>
      <c r="G105" s="637"/>
      <c r="H105" s="670"/>
      <c r="I105" s="684" t="s">
        <v>364</v>
      </c>
      <c r="J105" s="684"/>
      <c r="K105" s="684"/>
      <c r="L105" s="686"/>
      <c r="M105" s="674"/>
      <c r="N105" s="637"/>
      <c r="O105" s="637"/>
      <c r="P105" s="655" t="s">
        <v>365</v>
      </c>
      <c r="Q105" s="656"/>
      <c r="R105" s="656"/>
      <c r="S105" s="657"/>
      <c r="T105" s="637"/>
      <c r="U105" s="655" t="s">
        <v>365</v>
      </c>
      <c r="V105" s="656"/>
      <c r="W105" s="656"/>
      <c r="X105" s="657"/>
      <c r="Y105" s="637"/>
      <c r="Z105" s="655" t="s">
        <v>365</v>
      </c>
      <c r="AA105" s="656"/>
      <c r="AB105" s="656"/>
      <c r="AC105" s="657"/>
      <c r="AD105" s="637"/>
      <c r="AE105" s="655" t="s">
        <v>365</v>
      </c>
      <c r="AF105" s="656"/>
      <c r="AG105" s="656"/>
      <c r="AH105" s="657"/>
      <c r="AI105" s="637"/>
      <c r="AJ105" s="655" t="s">
        <v>365</v>
      </c>
      <c r="AK105" s="656"/>
      <c r="AL105" s="656"/>
      <c r="AM105" s="657"/>
      <c r="AN105" s="637"/>
      <c r="AO105" s="655" t="s">
        <v>365</v>
      </c>
      <c r="AP105" s="656"/>
      <c r="AQ105" s="656"/>
      <c r="AR105" s="657"/>
      <c r="AS105" s="637"/>
      <c r="AT105" s="655" t="s">
        <v>365</v>
      </c>
      <c r="AU105" s="656"/>
      <c r="AV105" s="656"/>
      <c r="AW105" s="657"/>
      <c r="AX105" s="637"/>
      <c r="BA105" s="637"/>
    </row>
    <row r="106" spans="2:53">
      <c r="B106" s="637"/>
      <c r="C106" s="637"/>
      <c r="D106" s="637"/>
      <c r="E106" s="296" t="s">
        <v>366</v>
      </c>
      <c r="F106" s="296" t="s">
        <v>367</v>
      </c>
      <c r="G106" s="296" t="s">
        <v>368</v>
      </c>
      <c r="H106" s="671"/>
      <c r="I106" s="297" t="s">
        <v>366</v>
      </c>
      <c r="J106" s="297" t="s">
        <v>367</v>
      </c>
      <c r="K106" s="297" t="s">
        <v>368</v>
      </c>
      <c r="L106" s="687"/>
      <c r="M106" s="675"/>
      <c r="N106" s="637"/>
      <c r="O106" s="637"/>
      <c r="P106" s="296" t="s">
        <v>366</v>
      </c>
      <c r="Q106" s="296" t="s">
        <v>367</v>
      </c>
      <c r="R106" s="296" t="s">
        <v>368</v>
      </c>
      <c r="S106" s="296" t="s">
        <v>358</v>
      </c>
      <c r="T106" s="637"/>
      <c r="U106" s="296" t="s">
        <v>366</v>
      </c>
      <c r="V106" s="296" t="s">
        <v>367</v>
      </c>
      <c r="W106" s="296" t="s">
        <v>368</v>
      </c>
      <c r="X106" s="296" t="s">
        <v>358</v>
      </c>
      <c r="Y106" s="637"/>
      <c r="Z106" s="296" t="s">
        <v>366</v>
      </c>
      <c r="AA106" s="296" t="s">
        <v>367</v>
      </c>
      <c r="AB106" s="296" t="s">
        <v>368</v>
      </c>
      <c r="AC106" s="296" t="s">
        <v>358</v>
      </c>
      <c r="AD106" s="637"/>
      <c r="AE106" s="296" t="s">
        <v>366</v>
      </c>
      <c r="AF106" s="296" t="s">
        <v>367</v>
      </c>
      <c r="AG106" s="296" t="s">
        <v>368</v>
      </c>
      <c r="AH106" s="296" t="s">
        <v>358</v>
      </c>
      <c r="AI106" s="637"/>
      <c r="AJ106" s="296" t="s">
        <v>366</v>
      </c>
      <c r="AK106" s="296" t="s">
        <v>367</v>
      </c>
      <c r="AL106" s="296" t="s">
        <v>368</v>
      </c>
      <c r="AM106" s="296" t="s">
        <v>358</v>
      </c>
      <c r="AN106" s="637"/>
      <c r="AO106" s="296" t="s">
        <v>366</v>
      </c>
      <c r="AP106" s="296" t="s">
        <v>367</v>
      </c>
      <c r="AQ106" s="296" t="s">
        <v>368</v>
      </c>
      <c r="AR106" s="296" t="s">
        <v>358</v>
      </c>
      <c r="AS106" s="637"/>
      <c r="AT106" s="296" t="s">
        <v>366</v>
      </c>
      <c r="AU106" s="296" t="s">
        <v>367</v>
      </c>
      <c r="AV106" s="296" t="s">
        <v>368</v>
      </c>
      <c r="AW106" s="296" t="s">
        <v>358</v>
      </c>
      <c r="AX106" s="637"/>
      <c r="AZ106" s="356" t="s">
        <v>358</v>
      </c>
      <c r="BA106" s="637"/>
    </row>
    <row r="107" spans="2:53">
      <c r="B107" s="637" t="s">
        <v>132</v>
      </c>
      <c r="C107" s="295">
        <v>1</v>
      </c>
      <c r="D107" s="220"/>
      <c r="E107" s="176"/>
      <c r="F107" s="342"/>
      <c r="G107" s="343"/>
      <c r="H107" s="696" t="e">
        <f>AVERAGE(G107:G121)</f>
        <v>#DIV/0!</v>
      </c>
      <c r="I107" s="352" t="str">
        <f t="shared" ref="I107:I120" si="62">IFERROR(AVERAGE(P107,U107,Z107,AE107,AJ107,AO107,AT107),"-")</f>
        <v>-</v>
      </c>
      <c r="J107" s="352" t="str">
        <f t="shared" ref="J107:J120" si="63">IFERROR(AVERAGE(Q107,V107,AA107,AF107,AK107,AP107,AU107),"-")</f>
        <v>-</v>
      </c>
      <c r="K107" s="194" t="str">
        <f t="shared" ref="K107:K120" si="64">IFERROR(AVERAGE(R107,W107,AB107,AG107,AL107,AQ107,AV107),"-")</f>
        <v>-</v>
      </c>
      <c r="L107" s="652" t="str">
        <f>IFERROR(AVERAGE(K107:K121),"-")</f>
        <v>-</v>
      </c>
      <c r="M107" s="195" t="e">
        <f>RANK(K107, K$107:$K$121)</f>
        <v>#VALUE!</v>
      </c>
      <c r="N107" s="637"/>
      <c r="O107" s="637"/>
      <c r="P107" s="490"/>
      <c r="Q107" s="491"/>
      <c r="R107" s="491"/>
      <c r="S107" s="490"/>
      <c r="T107" s="632"/>
      <c r="U107" s="490"/>
      <c r="V107" s="491"/>
      <c r="W107" s="491"/>
      <c r="X107" s="490"/>
      <c r="Y107" s="632"/>
      <c r="Z107" s="490"/>
      <c r="AA107" s="491"/>
      <c r="AB107" s="491"/>
      <c r="AC107" s="490"/>
      <c r="AD107" s="632"/>
      <c r="AE107" s="490"/>
      <c r="AF107" s="491"/>
      <c r="AG107" s="491"/>
      <c r="AH107" s="490"/>
      <c r="AI107" s="632"/>
      <c r="AJ107" s="490"/>
      <c r="AK107" s="491"/>
      <c r="AL107" s="491"/>
      <c r="AM107" s="490"/>
      <c r="AN107" s="632"/>
      <c r="AO107" s="490"/>
      <c r="AP107" s="491"/>
      <c r="AQ107" s="491"/>
      <c r="AR107" s="490"/>
      <c r="AS107" s="632"/>
      <c r="AT107" s="490"/>
      <c r="AU107" s="491"/>
      <c r="AV107" s="491"/>
      <c r="AW107" s="490"/>
      <c r="AX107" s="632"/>
      <c r="AZ107" s="357" t="e">
        <f>RANK(AY107, AY$107:AY$121)</f>
        <v>#N/A</v>
      </c>
      <c r="BA107" s="638" t="e">
        <f>AVERAGE(AY107:AY121)</f>
        <v>#DIV/0!</v>
      </c>
    </row>
    <row r="108" spans="2:53">
      <c r="B108" s="643"/>
      <c r="C108" s="295">
        <v>2</v>
      </c>
      <c r="D108" s="220"/>
      <c r="E108" s="176"/>
      <c r="F108" s="342"/>
      <c r="G108" s="343"/>
      <c r="H108" s="697"/>
      <c r="I108" s="352" t="str">
        <f t="shared" si="62"/>
        <v>-</v>
      </c>
      <c r="J108" s="352" t="str">
        <f t="shared" si="63"/>
        <v>-</v>
      </c>
      <c r="K108" s="194" t="str">
        <f t="shared" si="64"/>
        <v>-</v>
      </c>
      <c r="L108" s="653"/>
      <c r="M108" s="305" t="e">
        <f>RANK(K108, K$107:$K$121)</f>
        <v>#VALUE!</v>
      </c>
      <c r="N108" s="637"/>
      <c r="O108" s="637"/>
      <c r="P108" s="490"/>
      <c r="Q108" s="491"/>
      <c r="R108" s="491"/>
      <c r="S108" s="490"/>
      <c r="T108" s="633"/>
      <c r="U108" s="490"/>
      <c r="V108" s="491"/>
      <c r="W108" s="491"/>
      <c r="X108" s="490"/>
      <c r="Y108" s="633"/>
      <c r="Z108" s="490"/>
      <c r="AA108" s="491"/>
      <c r="AB108" s="491"/>
      <c r="AC108" s="490"/>
      <c r="AD108" s="633"/>
      <c r="AE108" s="490"/>
      <c r="AF108" s="491"/>
      <c r="AG108" s="491"/>
      <c r="AH108" s="490"/>
      <c r="AI108" s="633"/>
      <c r="AJ108" s="490"/>
      <c r="AK108" s="491"/>
      <c r="AL108" s="491"/>
      <c r="AM108" s="490"/>
      <c r="AN108" s="633"/>
      <c r="AO108" s="490"/>
      <c r="AP108" s="491"/>
      <c r="AQ108" s="491"/>
      <c r="AR108" s="490"/>
      <c r="AS108" s="633"/>
      <c r="AT108" s="490"/>
      <c r="AU108" s="491"/>
      <c r="AV108" s="491"/>
      <c r="AW108" s="490"/>
      <c r="AX108" s="633"/>
      <c r="AZ108" s="357" t="e">
        <f t="shared" ref="AZ108:AZ121" si="65">RANK(AY108, AY$107:AY$121)</f>
        <v>#N/A</v>
      </c>
      <c r="BA108" s="638"/>
    </row>
    <row r="109" spans="2:53">
      <c r="B109" s="643"/>
      <c r="C109" s="295">
        <v>3</v>
      </c>
      <c r="D109" s="220"/>
      <c r="E109" s="176"/>
      <c r="F109" s="342"/>
      <c r="G109" s="343"/>
      <c r="H109" s="697"/>
      <c r="I109" s="352" t="str">
        <f t="shared" si="62"/>
        <v>-</v>
      </c>
      <c r="J109" s="352" t="str">
        <f t="shared" si="63"/>
        <v>-</v>
      </c>
      <c r="K109" s="194" t="str">
        <f t="shared" si="64"/>
        <v>-</v>
      </c>
      <c r="L109" s="653"/>
      <c r="M109" s="305" t="e">
        <f>RANK(K109, K$107:$K$121)</f>
        <v>#VALUE!</v>
      </c>
      <c r="N109" s="637"/>
      <c r="O109" s="637"/>
      <c r="P109" s="490"/>
      <c r="Q109" s="491"/>
      <c r="R109" s="491"/>
      <c r="S109" s="490"/>
      <c r="T109" s="633"/>
      <c r="U109" s="490"/>
      <c r="V109" s="491"/>
      <c r="W109" s="491"/>
      <c r="X109" s="490"/>
      <c r="Y109" s="633"/>
      <c r="Z109" s="490"/>
      <c r="AA109" s="491"/>
      <c r="AB109" s="491"/>
      <c r="AC109" s="490"/>
      <c r="AD109" s="633"/>
      <c r="AE109" s="490"/>
      <c r="AF109" s="491"/>
      <c r="AG109" s="491"/>
      <c r="AH109" s="490"/>
      <c r="AI109" s="633"/>
      <c r="AJ109" s="490"/>
      <c r="AK109" s="491"/>
      <c r="AL109" s="491"/>
      <c r="AM109" s="490"/>
      <c r="AN109" s="633"/>
      <c r="AO109" s="490"/>
      <c r="AP109" s="491"/>
      <c r="AQ109" s="491"/>
      <c r="AR109" s="490"/>
      <c r="AS109" s="633"/>
      <c r="AT109" s="490"/>
      <c r="AU109" s="491"/>
      <c r="AV109" s="491"/>
      <c r="AW109" s="490"/>
      <c r="AX109" s="633"/>
      <c r="AZ109" s="357" t="e">
        <f t="shared" si="65"/>
        <v>#N/A</v>
      </c>
      <c r="BA109" s="638"/>
    </row>
    <row r="110" spans="2:53">
      <c r="B110" s="643"/>
      <c r="C110" s="295">
        <v>4</v>
      </c>
      <c r="D110" s="220"/>
      <c r="E110" s="176"/>
      <c r="F110" s="342"/>
      <c r="G110" s="343"/>
      <c r="H110" s="697"/>
      <c r="I110" s="352" t="str">
        <f t="shared" si="62"/>
        <v>-</v>
      </c>
      <c r="J110" s="352" t="str">
        <f t="shared" si="63"/>
        <v>-</v>
      </c>
      <c r="K110" s="194" t="str">
        <f t="shared" si="64"/>
        <v>-</v>
      </c>
      <c r="L110" s="653"/>
      <c r="M110" s="305" t="e">
        <f>RANK(K110, K$107:$K$121)</f>
        <v>#VALUE!</v>
      </c>
      <c r="N110" s="637"/>
      <c r="O110" s="637"/>
      <c r="P110" s="490"/>
      <c r="Q110" s="491"/>
      <c r="R110" s="491"/>
      <c r="S110" s="490"/>
      <c r="T110" s="633"/>
      <c r="U110" s="490"/>
      <c r="V110" s="491"/>
      <c r="W110" s="491"/>
      <c r="X110" s="490"/>
      <c r="Y110" s="633"/>
      <c r="Z110" s="490"/>
      <c r="AA110" s="491"/>
      <c r="AB110" s="491"/>
      <c r="AC110" s="490"/>
      <c r="AD110" s="633"/>
      <c r="AE110" s="490"/>
      <c r="AF110" s="491"/>
      <c r="AG110" s="491"/>
      <c r="AH110" s="490"/>
      <c r="AI110" s="633"/>
      <c r="AJ110" s="490"/>
      <c r="AK110" s="491"/>
      <c r="AL110" s="491"/>
      <c r="AM110" s="490"/>
      <c r="AN110" s="633"/>
      <c r="AO110" s="490"/>
      <c r="AP110" s="491"/>
      <c r="AQ110" s="491"/>
      <c r="AR110" s="490"/>
      <c r="AS110" s="633"/>
      <c r="AT110" s="490"/>
      <c r="AU110" s="491"/>
      <c r="AV110" s="491"/>
      <c r="AW110" s="490"/>
      <c r="AX110" s="633"/>
      <c r="AZ110" s="357" t="e">
        <f t="shared" si="65"/>
        <v>#N/A</v>
      </c>
      <c r="BA110" s="638"/>
    </row>
    <row r="111" spans="2:53">
      <c r="B111" s="643"/>
      <c r="C111" s="295">
        <v>5</v>
      </c>
      <c r="D111" s="220"/>
      <c r="E111" s="176"/>
      <c r="F111" s="342"/>
      <c r="G111" s="343"/>
      <c r="H111" s="697"/>
      <c r="I111" s="352" t="str">
        <f t="shared" si="62"/>
        <v>-</v>
      </c>
      <c r="J111" s="352" t="str">
        <f t="shared" si="63"/>
        <v>-</v>
      </c>
      <c r="K111" s="194" t="str">
        <f t="shared" si="64"/>
        <v>-</v>
      </c>
      <c r="L111" s="653"/>
      <c r="M111" s="305" t="e">
        <f>RANK(K111, K$107:$K$121)</f>
        <v>#VALUE!</v>
      </c>
      <c r="N111" s="637"/>
      <c r="O111" s="637"/>
      <c r="P111" s="490"/>
      <c r="Q111" s="491"/>
      <c r="R111" s="491"/>
      <c r="S111" s="490"/>
      <c r="T111" s="633"/>
      <c r="U111" s="490"/>
      <c r="V111" s="491"/>
      <c r="W111" s="491"/>
      <c r="X111" s="490"/>
      <c r="Y111" s="633"/>
      <c r="Z111" s="490"/>
      <c r="AA111" s="491"/>
      <c r="AB111" s="491"/>
      <c r="AC111" s="490"/>
      <c r="AD111" s="633"/>
      <c r="AE111" s="490"/>
      <c r="AF111" s="491"/>
      <c r="AG111" s="491"/>
      <c r="AH111" s="490"/>
      <c r="AI111" s="633"/>
      <c r="AJ111" s="490"/>
      <c r="AK111" s="491"/>
      <c r="AL111" s="491"/>
      <c r="AM111" s="490"/>
      <c r="AN111" s="633"/>
      <c r="AO111" s="490"/>
      <c r="AP111" s="491"/>
      <c r="AQ111" s="491"/>
      <c r="AR111" s="490"/>
      <c r="AS111" s="633"/>
      <c r="AT111" s="490"/>
      <c r="AU111" s="491"/>
      <c r="AV111" s="491"/>
      <c r="AW111" s="490"/>
      <c r="AX111" s="633"/>
      <c r="AZ111" s="357" t="e">
        <f t="shared" si="65"/>
        <v>#N/A</v>
      </c>
      <c r="BA111" s="638"/>
    </row>
    <row r="112" spans="2:53">
      <c r="B112" s="643"/>
      <c r="C112" s="295">
        <v>6</v>
      </c>
      <c r="D112" s="220"/>
      <c r="E112" s="176"/>
      <c r="F112" s="342"/>
      <c r="G112" s="343"/>
      <c r="H112" s="697"/>
      <c r="I112" s="352" t="str">
        <f t="shared" si="62"/>
        <v>-</v>
      </c>
      <c r="J112" s="352" t="str">
        <f t="shared" si="63"/>
        <v>-</v>
      </c>
      <c r="K112" s="194" t="str">
        <f t="shared" si="64"/>
        <v>-</v>
      </c>
      <c r="L112" s="653"/>
      <c r="M112" s="305" t="e">
        <f>RANK(K112, K$107:$K$121)</f>
        <v>#VALUE!</v>
      </c>
      <c r="N112" s="637"/>
      <c r="O112" s="637"/>
      <c r="P112" s="490"/>
      <c r="Q112" s="491"/>
      <c r="R112" s="491"/>
      <c r="S112" s="490"/>
      <c r="T112" s="633"/>
      <c r="U112" s="490"/>
      <c r="V112" s="491"/>
      <c r="W112" s="491"/>
      <c r="X112" s="490"/>
      <c r="Y112" s="633"/>
      <c r="Z112" s="490"/>
      <c r="AA112" s="491"/>
      <c r="AB112" s="491"/>
      <c r="AC112" s="490"/>
      <c r="AD112" s="633"/>
      <c r="AE112" s="490"/>
      <c r="AF112" s="491"/>
      <c r="AG112" s="491"/>
      <c r="AH112" s="490"/>
      <c r="AI112" s="633"/>
      <c r="AJ112" s="490"/>
      <c r="AK112" s="491"/>
      <c r="AL112" s="491"/>
      <c r="AM112" s="490"/>
      <c r="AN112" s="633"/>
      <c r="AO112" s="490"/>
      <c r="AP112" s="491"/>
      <c r="AQ112" s="491"/>
      <c r="AR112" s="490"/>
      <c r="AS112" s="633"/>
      <c r="AT112" s="490"/>
      <c r="AU112" s="491"/>
      <c r="AV112" s="491"/>
      <c r="AW112" s="490"/>
      <c r="AX112" s="633"/>
      <c r="AZ112" s="357" t="e">
        <f t="shared" si="65"/>
        <v>#N/A</v>
      </c>
      <c r="BA112" s="638"/>
    </row>
    <row r="113" spans="2:53">
      <c r="B113" s="643"/>
      <c r="C113" s="295">
        <v>7</v>
      </c>
      <c r="D113" s="220"/>
      <c r="E113" s="176"/>
      <c r="F113" s="342"/>
      <c r="G113" s="343"/>
      <c r="H113" s="697"/>
      <c r="I113" s="352" t="str">
        <f t="shared" si="62"/>
        <v>-</v>
      </c>
      <c r="J113" s="352" t="str">
        <f t="shared" si="63"/>
        <v>-</v>
      </c>
      <c r="K113" s="194" t="str">
        <f t="shared" si="64"/>
        <v>-</v>
      </c>
      <c r="L113" s="653"/>
      <c r="M113" s="305" t="e">
        <f>RANK(K113, K$107:$K$121)</f>
        <v>#VALUE!</v>
      </c>
      <c r="N113" s="637"/>
      <c r="O113" s="637"/>
      <c r="P113" s="490"/>
      <c r="Q113" s="491"/>
      <c r="R113" s="491"/>
      <c r="S113" s="490"/>
      <c r="T113" s="633"/>
      <c r="U113" s="490"/>
      <c r="V113" s="491"/>
      <c r="W113" s="491"/>
      <c r="X113" s="490"/>
      <c r="Y113" s="633"/>
      <c r="Z113" s="490"/>
      <c r="AA113" s="491"/>
      <c r="AB113" s="491"/>
      <c r="AC113" s="490"/>
      <c r="AD113" s="633"/>
      <c r="AE113" s="490"/>
      <c r="AF113" s="491"/>
      <c r="AG113" s="491"/>
      <c r="AH113" s="490"/>
      <c r="AI113" s="633"/>
      <c r="AJ113" s="490"/>
      <c r="AK113" s="491"/>
      <c r="AL113" s="491"/>
      <c r="AM113" s="490"/>
      <c r="AN113" s="633"/>
      <c r="AO113" s="490"/>
      <c r="AP113" s="491"/>
      <c r="AQ113" s="491"/>
      <c r="AR113" s="490"/>
      <c r="AS113" s="633"/>
      <c r="AT113" s="490"/>
      <c r="AU113" s="491"/>
      <c r="AV113" s="491"/>
      <c r="AW113" s="490"/>
      <c r="AX113" s="633"/>
      <c r="AZ113" s="357" t="e">
        <f t="shared" si="65"/>
        <v>#N/A</v>
      </c>
      <c r="BA113" s="638"/>
    </row>
    <row r="114" spans="2:53">
      <c r="B114" s="643"/>
      <c r="C114" s="295">
        <v>8</v>
      </c>
      <c r="D114" s="220"/>
      <c r="E114" s="176"/>
      <c r="F114" s="342"/>
      <c r="G114" s="343"/>
      <c r="H114" s="697"/>
      <c r="I114" s="352" t="str">
        <f t="shared" si="62"/>
        <v>-</v>
      </c>
      <c r="J114" s="352" t="str">
        <f t="shared" si="63"/>
        <v>-</v>
      </c>
      <c r="K114" s="194" t="str">
        <f t="shared" si="64"/>
        <v>-</v>
      </c>
      <c r="L114" s="653"/>
      <c r="M114" s="305" t="e">
        <f>RANK(K114, K$107:$K$121)</f>
        <v>#VALUE!</v>
      </c>
      <c r="N114" s="637"/>
      <c r="O114" s="637"/>
      <c r="P114" s="490"/>
      <c r="Q114" s="491"/>
      <c r="R114" s="491"/>
      <c r="S114" s="490"/>
      <c r="T114" s="633"/>
      <c r="U114" s="490"/>
      <c r="V114" s="491"/>
      <c r="W114" s="491"/>
      <c r="X114" s="490"/>
      <c r="Y114" s="633"/>
      <c r="Z114" s="490"/>
      <c r="AA114" s="491"/>
      <c r="AB114" s="491"/>
      <c r="AC114" s="490"/>
      <c r="AD114" s="633"/>
      <c r="AE114" s="490"/>
      <c r="AF114" s="491"/>
      <c r="AG114" s="491"/>
      <c r="AH114" s="490"/>
      <c r="AI114" s="633"/>
      <c r="AJ114" s="490"/>
      <c r="AK114" s="491"/>
      <c r="AL114" s="491"/>
      <c r="AM114" s="490"/>
      <c r="AN114" s="633"/>
      <c r="AO114" s="490"/>
      <c r="AP114" s="491"/>
      <c r="AQ114" s="491"/>
      <c r="AR114" s="490"/>
      <c r="AS114" s="633"/>
      <c r="AT114" s="490"/>
      <c r="AU114" s="491"/>
      <c r="AV114" s="491"/>
      <c r="AW114" s="490"/>
      <c r="AX114" s="633"/>
      <c r="AZ114" s="357" t="e">
        <f t="shared" si="65"/>
        <v>#N/A</v>
      </c>
      <c r="BA114" s="638"/>
    </row>
    <row r="115" spans="2:53">
      <c r="B115" s="643"/>
      <c r="C115" s="295">
        <v>9</v>
      </c>
      <c r="D115" s="220"/>
      <c r="E115" s="176"/>
      <c r="F115" s="342"/>
      <c r="G115" s="343"/>
      <c r="H115" s="697"/>
      <c r="I115" s="352" t="str">
        <f t="shared" si="62"/>
        <v>-</v>
      </c>
      <c r="J115" s="352" t="str">
        <f t="shared" si="63"/>
        <v>-</v>
      </c>
      <c r="K115" s="194" t="str">
        <f t="shared" si="64"/>
        <v>-</v>
      </c>
      <c r="L115" s="653"/>
      <c r="M115" s="305" t="e">
        <f>RANK(K115, K$107:$K$121)</f>
        <v>#VALUE!</v>
      </c>
      <c r="N115" s="637"/>
      <c r="O115" s="637"/>
      <c r="P115" s="490"/>
      <c r="Q115" s="491"/>
      <c r="R115" s="491"/>
      <c r="S115" s="490"/>
      <c r="T115" s="633"/>
      <c r="U115" s="490"/>
      <c r="V115" s="491"/>
      <c r="W115" s="491"/>
      <c r="X115" s="490"/>
      <c r="Y115" s="633"/>
      <c r="Z115" s="490"/>
      <c r="AA115" s="491"/>
      <c r="AB115" s="491"/>
      <c r="AC115" s="490"/>
      <c r="AD115" s="633"/>
      <c r="AE115" s="490"/>
      <c r="AF115" s="491"/>
      <c r="AG115" s="491"/>
      <c r="AH115" s="490"/>
      <c r="AI115" s="633"/>
      <c r="AJ115" s="490"/>
      <c r="AK115" s="491"/>
      <c r="AL115" s="491"/>
      <c r="AM115" s="490"/>
      <c r="AN115" s="633"/>
      <c r="AO115" s="490"/>
      <c r="AP115" s="491"/>
      <c r="AQ115" s="491"/>
      <c r="AR115" s="490"/>
      <c r="AS115" s="633"/>
      <c r="AT115" s="490"/>
      <c r="AU115" s="491"/>
      <c r="AV115" s="491"/>
      <c r="AW115" s="490"/>
      <c r="AX115" s="633"/>
      <c r="AZ115" s="357" t="e">
        <f t="shared" si="65"/>
        <v>#N/A</v>
      </c>
      <c r="BA115" s="638"/>
    </row>
    <row r="116" spans="2:53">
      <c r="B116" s="643"/>
      <c r="C116" s="295">
        <v>10</v>
      </c>
      <c r="D116" s="220"/>
      <c r="E116" s="176"/>
      <c r="F116" s="342"/>
      <c r="G116" s="343"/>
      <c r="H116" s="697"/>
      <c r="I116" s="352" t="str">
        <f t="shared" si="62"/>
        <v>-</v>
      </c>
      <c r="J116" s="352" t="str">
        <f t="shared" si="63"/>
        <v>-</v>
      </c>
      <c r="K116" s="194" t="str">
        <f t="shared" si="64"/>
        <v>-</v>
      </c>
      <c r="L116" s="653"/>
      <c r="M116" s="305" t="e">
        <f>RANK(K116, K$107:$K$121)</f>
        <v>#VALUE!</v>
      </c>
      <c r="N116" s="637"/>
      <c r="O116" s="637"/>
      <c r="P116" s="490"/>
      <c r="Q116" s="491"/>
      <c r="R116" s="491"/>
      <c r="S116" s="490"/>
      <c r="T116" s="633"/>
      <c r="U116" s="490"/>
      <c r="V116" s="491"/>
      <c r="W116" s="491"/>
      <c r="X116" s="490"/>
      <c r="Y116" s="633"/>
      <c r="Z116" s="490"/>
      <c r="AA116" s="491"/>
      <c r="AB116" s="491"/>
      <c r="AC116" s="490"/>
      <c r="AD116" s="633"/>
      <c r="AE116" s="490"/>
      <c r="AF116" s="491"/>
      <c r="AG116" s="491"/>
      <c r="AH116" s="490"/>
      <c r="AI116" s="633"/>
      <c r="AJ116" s="490"/>
      <c r="AK116" s="491"/>
      <c r="AL116" s="491"/>
      <c r="AM116" s="490"/>
      <c r="AN116" s="633"/>
      <c r="AO116" s="490"/>
      <c r="AP116" s="491"/>
      <c r="AQ116" s="491"/>
      <c r="AR116" s="490"/>
      <c r="AS116" s="633"/>
      <c r="AT116" s="490"/>
      <c r="AU116" s="491"/>
      <c r="AV116" s="491"/>
      <c r="AW116" s="490"/>
      <c r="AX116" s="633"/>
      <c r="AZ116" s="357" t="e">
        <f t="shared" si="65"/>
        <v>#N/A</v>
      </c>
      <c r="BA116" s="638"/>
    </row>
    <row r="117" spans="2:53">
      <c r="B117" s="643"/>
      <c r="C117" s="295">
        <v>11</v>
      </c>
      <c r="D117" s="220"/>
      <c r="E117" s="176"/>
      <c r="F117" s="342"/>
      <c r="G117" s="343"/>
      <c r="H117" s="697"/>
      <c r="I117" s="352" t="str">
        <f t="shared" si="62"/>
        <v>-</v>
      </c>
      <c r="J117" s="352" t="str">
        <f t="shared" si="63"/>
        <v>-</v>
      </c>
      <c r="K117" s="194" t="str">
        <f t="shared" si="64"/>
        <v>-</v>
      </c>
      <c r="L117" s="653"/>
      <c r="M117" s="305" t="e">
        <f>RANK(K117, K$107:$K$121)</f>
        <v>#VALUE!</v>
      </c>
      <c r="N117" s="637"/>
      <c r="O117" s="637"/>
      <c r="P117" s="490"/>
      <c r="Q117" s="491"/>
      <c r="R117" s="491"/>
      <c r="S117" s="490"/>
      <c r="T117" s="633"/>
      <c r="U117" s="490"/>
      <c r="V117" s="491"/>
      <c r="W117" s="491"/>
      <c r="X117" s="490"/>
      <c r="Y117" s="633"/>
      <c r="Z117" s="490"/>
      <c r="AA117" s="491"/>
      <c r="AB117" s="491"/>
      <c r="AC117" s="490"/>
      <c r="AD117" s="633"/>
      <c r="AE117" s="490"/>
      <c r="AF117" s="491"/>
      <c r="AG117" s="491"/>
      <c r="AH117" s="490"/>
      <c r="AI117" s="633"/>
      <c r="AJ117" s="490"/>
      <c r="AK117" s="491"/>
      <c r="AL117" s="491"/>
      <c r="AM117" s="490"/>
      <c r="AN117" s="633"/>
      <c r="AO117" s="490"/>
      <c r="AP117" s="491"/>
      <c r="AQ117" s="491"/>
      <c r="AR117" s="490"/>
      <c r="AS117" s="633"/>
      <c r="AT117" s="490"/>
      <c r="AU117" s="491"/>
      <c r="AV117" s="491"/>
      <c r="AW117" s="490"/>
      <c r="AX117" s="633"/>
      <c r="AZ117" s="357" t="e">
        <f t="shared" si="65"/>
        <v>#N/A</v>
      </c>
      <c r="BA117" s="638"/>
    </row>
    <row r="118" spans="2:53">
      <c r="B118" s="643"/>
      <c r="C118" s="295">
        <v>12</v>
      </c>
      <c r="D118" s="220"/>
      <c r="E118" s="176"/>
      <c r="F118" s="342"/>
      <c r="G118" s="343"/>
      <c r="H118" s="697"/>
      <c r="I118" s="352" t="str">
        <f t="shared" si="62"/>
        <v>-</v>
      </c>
      <c r="J118" s="352" t="str">
        <f t="shared" si="63"/>
        <v>-</v>
      </c>
      <c r="K118" s="194" t="str">
        <f t="shared" si="64"/>
        <v>-</v>
      </c>
      <c r="L118" s="653"/>
      <c r="M118" s="305" t="e">
        <f>RANK(K118, K$107:$K$121)</f>
        <v>#VALUE!</v>
      </c>
      <c r="N118" s="637"/>
      <c r="O118" s="637"/>
      <c r="P118" s="490"/>
      <c r="Q118" s="491"/>
      <c r="R118" s="491"/>
      <c r="S118" s="490"/>
      <c r="T118" s="633"/>
      <c r="U118" s="490"/>
      <c r="V118" s="491"/>
      <c r="W118" s="491"/>
      <c r="X118" s="490"/>
      <c r="Y118" s="633"/>
      <c r="Z118" s="490"/>
      <c r="AA118" s="491"/>
      <c r="AB118" s="491"/>
      <c r="AC118" s="490"/>
      <c r="AD118" s="633"/>
      <c r="AE118" s="490"/>
      <c r="AF118" s="491"/>
      <c r="AG118" s="491"/>
      <c r="AH118" s="490"/>
      <c r="AI118" s="633"/>
      <c r="AJ118" s="490"/>
      <c r="AK118" s="491"/>
      <c r="AL118" s="491"/>
      <c r="AM118" s="490"/>
      <c r="AN118" s="633"/>
      <c r="AO118" s="490"/>
      <c r="AP118" s="491"/>
      <c r="AQ118" s="491"/>
      <c r="AR118" s="490"/>
      <c r="AS118" s="633"/>
      <c r="AT118" s="490"/>
      <c r="AU118" s="491"/>
      <c r="AV118" s="491"/>
      <c r="AW118" s="490"/>
      <c r="AX118" s="633"/>
      <c r="AZ118" s="357" t="e">
        <f t="shared" si="65"/>
        <v>#N/A</v>
      </c>
      <c r="BA118" s="638"/>
    </row>
    <row r="119" spans="2:53">
      <c r="B119" s="643"/>
      <c r="C119" s="295">
        <v>13</v>
      </c>
      <c r="D119" s="220"/>
      <c r="E119" s="176"/>
      <c r="F119" s="342"/>
      <c r="G119" s="343"/>
      <c r="H119" s="697"/>
      <c r="I119" s="352" t="str">
        <f t="shared" si="62"/>
        <v>-</v>
      </c>
      <c r="J119" s="352" t="str">
        <f t="shared" si="63"/>
        <v>-</v>
      </c>
      <c r="K119" s="194" t="str">
        <f t="shared" si="64"/>
        <v>-</v>
      </c>
      <c r="L119" s="653"/>
      <c r="M119" s="305" t="e">
        <f>RANK(K119, K$107:$K$121)</f>
        <v>#VALUE!</v>
      </c>
      <c r="N119" s="637"/>
      <c r="O119" s="637"/>
      <c r="P119" s="490"/>
      <c r="Q119" s="491"/>
      <c r="R119" s="491"/>
      <c r="S119" s="490"/>
      <c r="T119" s="633"/>
      <c r="U119" s="490"/>
      <c r="V119" s="491"/>
      <c r="W119" s="491"/>
      <c r="X119" s="490"/>
      <c r="Y119" s="633"/>
      <c r="Z119" s="490"/>
      <c r="AA119" s="491"/>
      <c r="AB119" s="491"/>
      <c r="AC119" s="490"/>
      <c r="AD119" s="633"/>
      <c r="AE119" s="490"/>
      <c r="AF119" s="491"/>
      <c r="AG119" s="491"/>
      <c r="AH119" s="490"/>
      <c r="AI119" s="633"/>
      <c r="AJ119" s="490"/>
      <c r="AK119" s="491"/>
      <c r="AL119" s="491"/>
      <c r="AM119" s="490"/>
      <c r="AN119" s="633"/>
      <c r="AO119" s="490"/>
      <c r="AP119" s="491"/>
      <c r="AQ119" s="491"/>
      <c r="AR119" s="490"/>
      <c r="AS119" s="633"/>
      <c r="AT119" s="490"/>
      <c r="AU119" s="491"/>
      <c r="AV119" s="491"/>
      <c r="AW119" s="490"/>
      <c r="AX119" s="633"/>
      <c r="AZ119" s="357" t="e">
        <f t="shared" si="65"/>
        <v>#N/A</v>
      </c>
      <c r="BA119" s="638"/>
    </row>
    <row r="120" spans="2:53">
      <c r="B120" s="643"/>
      <c r="C120" s="295">
        <v>14</v>
      </c>
      <c r="D120" s="220"/>
      <c r="E120" s="176"/>
      <c r="F120" s="342"/>
      <c r="G120" s="343"/>
      <c r="H120" s="697"/>
      <c r="I120" s="352" t="str">
        <f t="shared" si="62"/>
        <v>-</v>
      </c>
      <c r="J120" s="352" t="str">
        <f t="shared" si="63"/>
        <v>-</v>
      </c>
      <c r="K120" s="194" t="str">
        <f t="shared" si="64"/>
        <v>-</v>
      </c>
      <c r="L120" s="653"/>
      <c r="M120" s="305" t="e">
        <f>RANK(K120, K$107:$K$121)</f>
        <v>#VALUE!</v>
      </c>
      <c r="N120" s="637"/>
      <c r="O120" s="637"/>
      <c r="P120" s="490"/>
      <c r="Q120" s="491"/>
      <c r="R120" s="491"/>
      <c r="S120" s="490"/>
      <c r="T120" s="633"/>
      <c r="U120" s="490"/>
      <c r="V120" s="491"/>
      <c r="W120" s="491"/>
      <c r="X120" s="490"/>
      <c r="Y120" s="633"/>
      <c r="Z120" s="490"/>
      <c r="AA120" s="491"/>
      <c r="AB120" s="491"/>
      <c r="AC120" s="490"/>
      <c r="AD120" s="633"/>
      <c r="AE120" s="490"/>
      <c r="AF120" s="491"/>
      <c r="AG120" s="491"/>
      <c r="AH120" s="490"/>
      <c r="AI120" s="633"/>
      <c r="AJ120" s="490"/>
      <c r="AK120" s="491"/>
      <c r="AL120" s="491"/>
      <c r="AM120" s="490"/>
      <c r="AN120" s="633"/>
      <c r="AO120" s="490"/>
      <c r="AP120" s="491"/>
      <c r="AQ120" s="491"/>
      <c r="AR120" s="490"/>
      <c r="AS120" s="633"/>
      <c r="AT120" s="490"/>
      <c r="AU120" s="491"/>
      <c r="AV120" s="491"/>
      <c r="AW120" s="490"/>
      <c r="AX120" s="633"/>
      <c r="AZ120" s="357" t="e">
        <f t="shared" si="65"/>
        <v>#N/A</v>
      </c>
      <c r="BA120" s="638"/>
    </row>
    <row r="121" spans="2:53">
      <c r="B121" s="643"/>
      <c r="C121" s="295">
        <v>15</v>
      </c>
      <c r="D121" s="220"/>
      <c r="E121" s="176"/>
      <c r="F121" s="342"/>
      <c r="G121" s="343"/>
      <c r="H121" s="698"/>
      <c r="I121" s="196"/>
      <c r="J121" s="196"/>
      <c r="K121" s="196"/>
      <c r="L121" s="654"/>
      <c r="M121" s="305" t="e">
        <f>RANK(K121, K$107:$K$121)</f>
        <v>#N/A</v>
      </c>
      <c r="N121" s="637"/>
      <c r="O121" s="637"/>
      <c r="P121" s="490"/>
      <c r="Q121" s="491"/>
      <c r="R121" s="491"/>
      <c r="S121" s="490"/>
      <c r="T121" s="634"/>
      <c r="U121" s="490"/>
      <c r="V121" s="491"/>
      <c r="W121" s="491"/>
      <c r="X121" s="490"/>
      <c r="Y121" s="634"/>
      <c r="Z121" s="490"/>
      <c r="AA121" s="491"/>
      <c r="AB121" s="491"/>
      <c r="AC121" s="490"/>
      <c r="AD121" s="634"/>
      <c r="AE121" s="490"/>
      <c r="AF121" s="491"/>
      <c r="AG121" s="491"/>
      <c r="AH121" s="490"/>
      <c r="AI121" s="634"/>
      <c r="AJ121" s="490"/>
      <c r="AK121" s="491"/>
      <c r="AL121" s="491"/>
      <c r="AM121" s="490"/>
      <c r="AN121" s="634"/>
      <c r="AO121" s="490"/>
      <c r="AP121" s="491"/>
      <c r="AQ121" s="491"/>
      <c r="AR121" s="490"/>
      <c r="AS121" s="634"/>
      <c r="AT121" s="490"/>
      <c r="AU121" s="491"/>
      <c r="AV121" s="491"/>
      <c r="AW121" s="490"/>
      <c r="AX121" s="634"/>
      <c r="AZ121" s="357" t="e">
        <f t="shared" si="65"/>
        <v>#N/A</v>
      </c>
      <c r="BA121" s="638"/>
    </row>
    <row r="123" spans="2:53" ht="15.75">
      <c r="B123" s="645" t="s">
        <v>463</v>
      </c>
      <c r="C123" s="646"/>
      <c r="D123" s="646"/>
      <c r="E123" s="646"/>
      <c r="F123" s="646"/>
      <c r="G123" s="646"/>
      <c r="H123" s="647"/>
      <c r="I123" s="299"/>
      <c r="J123" s="299"/>
      <c r="K123" s="299"/>
      <c r="L123" s="299"/>
      <c r="M123" s="300"/>
    </row>
    <row r="124" spans="2:53" ht="15.75">
      <c r="B124" s="648"/>
      <c r="C124" s="648"/>
      <c r="D124" s="648"/>
      <c r="E124" s="648"/>
      <c r="F124" s="648"/>
      <c r="G124" s="648"/>
      <c r="H124" s="648"/>
      <c r="I124" s="301"/>
      <c r="J124" s="301"/>
      <c r="K124" s="301"/>
      <c r="L124" s="301"/>
      <c r="M124" s="302"/>
    </row>
    <row r="125" spans="2:53">
      <c r="B125" s="637" t="s">
        <v>464</v>
      </c>
      <c r="C125" s="637" t="s">
        <v>465</v>
      </c>
      <c r="D125" s="637"/>
      <c r="E125" s="637" t="s">
        <v>466</v>
      </c>
      <c r="F125" s="637"/>
      <c r="G125" s="637"/>
      <c r="H125" s="669" t="s">
        <v>467</v>
      </c>
      <c r="I125" s="649" t="s">
        <v>468</v>
      </c>
      <c r="J125" s="649"/>
      <c r="K125" s="649"/>
      <c r="L125" s="702" t="s">
        <v>467</v>
      </c>
      <c r="M125" s="705" t="s">
        <v>469</v>
      </c>
    </row>
    <row r="126" spans="2:53">
      <c r="B126" s="637"/>
      <c r="C126" s="637"/>
      <c r="D126" s="637"/>
      <c r="E126" s="637" t="s">
        <v>470</v>
      </c>
      <c r="F126" s="637"/>
      <c r="G126" s="637"/>
      <c r="H126" s="670"/>
      <c r="I126" s="649" t="s">
        <v>470</v>
      </c>
      <c r="J126" s="649"/>
      <c r="K126" s="649"/>
      <c r="L126" s="703"/>
      <c r="M126" s="706"/>
    </row>
    <row r="127" spans="2:53">
      <c r="B127" s="637"/>
      <c r="C127" s="637"/>
      <c r="D127" s="637"/>
      <c r="E127" s="296" t="s">
        <v>471</v>
      </c>
      <c r="F127" s="296" t="s">
        <v>472</v>
      </c>
      <c r="G127" s="296" t="s">
        <v>473</v>
      </c>
      <c r="H127" s="671"/>
      <c r="I127" s="303" t="s">
        <v>471</v>
      </c>
      <c r="J127" s="303" t="s">
        <v>472</v>
      </c>
      <c r="K127" s="303" t="s">
        <v>473</v>
      </c>
      <c r="L127" s="704"/>
      <c r="M127" s="707"/>
    </row>
    <row r="128" spans="2:53">
      <c r="B128" s="637" t="s">
        <v>479</v>
      </c>
      <c r="C128" s="295">
        <v>1</v>
      </c>
      <c r="D128" s="220"/>
      <c r="E128" s="176"/>
      <c r="F128" s="295"/>
      <c r="G128" s="298"/>
      <c r="H128" s="696" t="e">
        <f>AVERAGE(G128:G142)</f>
        <v>#DIV/0!</v>
      </c>
      <c r="I128" s="193" t="e">
        <f t="shared" ref="I128:J135" si="66">AVERAGEIF($D$7:$D$121,$D128,I$7:I$121)</f>
        <v>#DIV/0!</v>
      </c>
      <c r="J128" s="193" t="e">
        <f t="shared" si="66"/>
        <v>#DIV/0!</v>
      </c>
      <c r="K128" s="193" t="e">
        <f t="shared" ref="K128:K135" si="67">AVERAGEIF($D$7:$D$121,$D128,K$7:K$121)</f>
        <v>#DIV/0!</v>
      </c>
      <c r="L128" s="699" t="e">
        <f>AVERAGE(K128:K142)</f>
        <v>#DIV/0!</v>
      </c>
      <c r="M128" s="193" t="e">
        <f>RANK(K128, K$128:$K$142)</f>
        <v>#DIV/0!</v>
      </c>
    </row>
    <row r="129" spans="2:39">
      <c r="B129" s="643"/>
      <c r="C129" s="295">
        <v>2</v>
      </c>
      <c r="D129" s="220"/>
      <c r="E129" s="176"/>
      <c r="F129" s="295"/>
      <c r="G129" s="298"/>
      <c r="H129" s="697"/>
      <c r="I129" s="193" t="e">
        <f t="shared" si="66"/>
        <v>#DIV/0!</v>
      </c>
      <c r="J129" s="193" t="e">
        <f t="shared" si="66"/>
        <v>#DIV/0!</v>
      </c>
      <c r="K129" s="193" t="e">
        <f t="shared" si="67"/>
        <v>#DIV/0!</v>
      </c>
      <c r="L129" s="700"/>
      <c r="M129" s="193" t="e">
        <f>RANK(K129, K$128:$K$142)</f>
        <v>#DIV/0!</v>
      </c>
      <c r="N129" s="107"/>
      <c r="O129" s="107"/>
      <c r="P129" s="107"/>
      <c r="Q129" s="107"/>
      <c r="R129" s="107"/>
      <c r="S129" s="107"/>
      <c r="T129" s="107"/>
      <c r="X129" s="107"/>
      <c r="AC129" s="107"/>
      <c r="AH129" s="107"/>
      <c r="AM129" s="107"/>
    </row>
    <row r="130" spans="2:39">
      <c r="B130" s="643"/>
      <c r="C130" s="295">
        <v>3</v>
      </c>
      <c r="D130" s="220"/>
      <c r="E130" s="176"/>
      <c r="F130" s="295"/>
      <c r="G130" s="298"/>
      <c r="H130" s="697"/>
      <c r="I130" s="193" t="e">
        <f t="shared" si="66"/>
        <v>#DIV/0!</v>
      </c>
      <c r="J130" s="193" t="e">
        <f t="shared" si="66"/>
        <v>#DIV/0!</v>
      </c>
      <c r="K130" s="193" t="e">
        <f t="shared" si="67"/>
        <v>#DIV/0!</v>
      </c>
      <c r="L130" s="700"/>
      <c r="M130" s="193" t="e">
        <f>RANK(K130, K$128:$K$142)</f>
        <v>#DIV/0!</v>
      </c>
      <c r="N130" s="107"/>
      <c r="O130" s="107"/>
      <c r="P130" s="107"/>
      <c r="Q130" s="107"/>
      <c r="R130" s="107"/>
      <c r="S130" s="107"/>
      <c r="T130" s="107"/>
      <c r="X130" s="107"/>
      <c r="AC130" s="107"/>
      <c r="AH130" s="107"/>
      <c r="AM130" s="107"/>
    </row>
    <row r="131" spans="2:39">
      <c r="B131" s="643"/>
      <c r="C131" s="295">
        <v>4</v>
      </c>
      <c r="D131" s="220"/>
      <c r="E131" s="176"/>
      <c r="F131" s="295"/>
      <c r="G131" s="298"/>
      <c r="H131" s="697"/>
      <c r="I131" s="193" t="e">
        <f t="shared" si="66"/>
        <v>#DIV/0!</v>
      </c>
      <c r="J131" s="193" t="e">
        <f t="shared" si="66"/>
        <v>#DIV/0!</v>
      </c>
      <c r="K131" s="193" t="e">
        <f t="shared" si="67"/>
        <v>#DIV/0!</v>
      </c>
      <c r="L131" s="700"/>
      <c r="M131" s="193" t="e">
        <f>RANK(K131, K$128:$K$142)</f>
        <v>#DIV/0!</v>
      </c>
      <c r="N131" s="107"/>
      <c r="O131" s="107"/>
      <c r="P131" s="107"/>
      <c r="Q131" s="107"/>
      <c r="R131" s="107"/>
      <c r="S131" s="107"/>
      <c r="T131" s="107"/>
      <c r="X131" s="107"/>
      <c r="AC131" s="107"/>
      <c r="AH131" s="107"/>
      <c r="AM131" s="107"/>
    </row>
    <row r="132" spans="2:39">
      <c r="B132" s="643"/>
      <c r="C132" s="295">
        <v>5</v>
      </c>
      <c r="D132" s="220"/>
      <c r="E132" s="176"/>
      <c r="F132" s="295"/>
      <c r="G132" s="298"/>
      <c r="H132" s="697"/>
      <c r="I132" s="193" t="e">
        <f t="shared" si="66"/>
        <v>#DIV/0!</v>
      </c>
      <c r="J132" s="193" t="e">
        <f t="shared" si="66"/>
        <v>#DIV/0!</v>
      </c>
      <c r="K132" s="193" t="e">
        <f t="shared" si="67"/>
        <v>#DIV/0!</v>
      </c>
      <c r="L132" s="700"/>
      <c r="M132" s="193" t="e">
        <f>RANK(K132, K$128:$K$142)</f>
        <v>#DIV/0!</v>
      </c>
      <c r="N132" s="107"/>
      <c r="O132" s="107"/>
      <c r="P132" s="107"/>
      <c r="Q132" s="107"/>
      <c r="R132" s="107"/>
      <c r="S132" s="107"/>
      <c r="T132" s="107"/>
      <c r="X132" s="107"/>
      <c r="AC132" s="107"/>
      <c r="AH132" s="107"/>
      <c r="AM132" s="107"/>
    </row>
    <row r="133" spans="2:39">
      <c r="B133" s="643"/>
      <c r="C133" s="295">
        <v>6</v>
      </c>
      <c r="D133" s="304"/>
      <c r="E133" s="176"/>
      <c r="F133" s="295"/>
      <c r="G133" s="298"/>
      <c r="H133" s="697"/>
      <c r="I133" s="193" t="e">
        <f t="shared" si="66"/>
        <v>#DIV/0!</v>
      </c>
      <c r="J133" s="193" t="e">
        <f t="shared" si="66"/>
        <v>#DIV/0!</v>
      </c>
      <c r="K133" s="193" t="e">
        <f t="shared" si="67"/>
        <v>#DIV/0!</v>
      </c>
      <c r="L133" s="700"/>
      <c r="M133" s="193" t="e">
        <f>RANK(K133, K$128:$K$142)</f>
        <v>#DIV/0!</v>
      </c>
      <c r="N133" s="107"/>
      <c r="O133" s="107"/>
      <c r="P133" s="107"/>
      <c r="Q133" s="107"/>
      <c r="R133" s="107"/>
      <c r="S133" s="107"/>
      <c r="T133" s="107"/>
      <c r="X133" s="107"/>
      <c r="AC133" s="107"/>
      <c r="AH133" s="107"/>
      <c r="AM133" s="107"/>
    </row>
    <row r="134" spans="2:39">
      <c r="B134" s="643"/>
      <c r="C134" s="295">
        <v>7</v>
      </c>
      <c r="D134" s="220"/>
      <c r="E134" s="176"/>
      <c r="F134" s="295"/>
      <c r="G134" s="298"/>
      <c r="H134" s="697"/>
      <c r="I134" s="193" t="e">
        <f t="shared" si="66"/>
        <v>#DIV/0!</v>
      </c>
      <c r="J134" s="193" t="e">
        <f t="shared" si="66"/>
        <v>#DIV/0!</v>
      </c>
      <c r="K134" s="193" t="e">
        <f t="shared" si="67"/>
        <v>#DIV/0!</v>
      </c>
      <c r="L134" s="700"/>
      <c r="M134" s="193" t="e">
        <f>RANK(K134, K$128:$K$142)</f>
        <v>#DIV/0!</v>
      </c>
      <c r="N134" s="107"/>
      <c r="O134" s="107"/>
      <c r="P134" s="107"/>
      <c r="Q134" s="107"/>
      <c r="R134" s="107"/>
      <c r="S134" s="107"/>
      <c r="T134" s="107"/>
      <c r="X134" s="107"/>
      <c r="AC134" s="107"/>
      <c r="AH134" s="107"/>
      <c r="AM134" s="107"/>
    </row>
    <row r="135" spans="2:39">
      <c r="B135" s="643"/>
      <c r="C135" s="295">
        <v>8</v>
      </c>
      <c r="D135" s="220"/>
      <c r="E135" s="176"/>
      <c r="F135" s="295"/>
      <c r="G135" s="298"/>
      <c r="H135" s="697"/>
      <c r="I135" s="193" t="e">
        <f t="shared" si="66"/>
        <v>#DIV/0!</v>
      </c>
      <c r="J135" s="193" t="e">
        <f t="shared" si="66"/>
        <v>#DIV/0!</v>
      </c>
      <c r="K135" s="193" t="e">
        <f t="shared" si="67"/>
        <v>#DIV/0!</v>
      </c>
      <c r="L135" s="700"/>
      <c r="M135" s="193" t="e">
        <f>RANK(K135, K$128:$K$142)</f>
        <v>#DIV/0!</v>
      </c>
      <c r="N135" s="107"/>
      <c r="O135" s="107"/>
      <c r="P135" s="107"/>
      <c r="Q135" s="107"/>
      <c r="R135" s="107"/>
      <c r="S135" s="107"/>
      <c r="T135" s="107"/>
      <c r="X135" s="107"/>
      <c r="AC135" s="107"/>
      <c r="AH135" s="107"/>
      <c r="AM135" s="107"/>
    </row>
    <row r="136" spans="2:39">
      <c r="B136" s="643"/>
      <c r="C136" s="295">
        <v>9</v>
      </c>
      <c r="D136" s="220"/>
      <c r="E136" s="295"/>
      <c r="F136" s="295"/>
      <c r="G136" s="295"/>
      <c r="H136" s="697"/>
      <c r="I136" s="193"/>
      <c r="J136" s="193"/>
      <c r="K136" s="193"/>
      <c r="L136" s="700"/>
      <c r="M136" s="193" t="e">
        <f>RANK(K136, K$128:$K$142)</f>
        <v>#DIV/0!</v>
      </c>
      <c r="N136" s="107"/>
      <c r="O136" s="107"/>
      <c r="P136" s="107"/>
      <c r="Q136" s="107"/>
      <c r="R136" s="107"/>
      <c r="S136" s="107"/>
      <c r="T136" s="107"/>
      <c r="X136" s="107"/>
      <c r="AC136" s="107"/>
      <c r="AH136" s="107"/>
      <c r="AM136" s="107"/>
    </row>
    <row r="137" spans="2:39">
      <c r="B137" s="643"/>
      <c r="C137" s="295">
        <v>10</v>
      </c>
      <c r="D137" s="220"/>
      <c r="E137" s="295"/>
      <c r="F137" s="295"/>
      <c r="G137" s="295"/>
      <c r="H137" s="697"/>
      <c r="I137" s="193"/>
      <c r="J137" s="193"/>
      <c r="K137" s="193"/>
      <c r="L137" s="700"/>
      <c r="M137" s="193" t="e">
        <f>RANK(K137, K$128:$K$142)</f>
        <v>#DIV/0!</v>
      </c>
      <c r="N137" s="107"/>
      <c r="O137" s="107"/>
      <c r="P137" s="107"/>
      <c r="Q137" s="107"/>
      <c r="R137" s="107"/>
      <c r="S137" s="107"/>
      <c r="T137" s="107"/>
      <c r="X137" s="107"/>
      <c r="AC137" s="107"/>
      <c r="AH137" s="107"/>
      <c r="AM137" s="107"/>
    </row>
    <row r="138" spans="2:39">
      <c r="B138" s="643"/>
      <c r="C138" s="295">
        <v>11</v>
      </c>
      <c r="D138" s="220"/>
      <c r="E138" s="295"/>
      <c r="F138" s="295"/>
      <c r="G138" s="295"/>
      <c r="H138" s="697"/>
      <c r="I138" s="193"/>
      <c r="J138" s="193"/>
      <c r="K138" s="193"/>
      <c r="L138" s="700"/>
      <c r="M138" s="193" t="e">
        <f>RANK(K138, K$128:$K$142)</f>
        <v>#DIV/0!</v>
      </c>
      <c r="N138" s="107"/>
      <c r="O138" s="107"/>
      <c r="P138" s="107"/>
      <c r="Q138" s="107"/>
      <c r="R138" s="107"/>
      <c r="S138" s="107"/>
      <c r="T138" s="107"/>
      <c r="X138" s="107"/>
      <c r="AC138" s="107"/>
      <c r="AH138" s="107"/>
      <c r="AM138" s="107"/>
    </row>
    <row r="139" spans="2:39">
      <c r="B139" s="643"/>
      <c r="C139" s="295">
        <v>12</v>
      </c>
      <c r="D139" s="220"/>
      <c r="E139" s="295"/>
      <c r="F139" s="295"/>
      <c r="G139" s="295"/>
      <c r="H139" s="697"/>
      <c r="I139" s="193"/>
      <c r="J139" s="193"/>
      <c r="K139" s="193"/>
      <c r="L139" s="700"/>
      <c r="M139" s="193" t="e">
        <f>RANK(K139, K$128:$K$142)</f>
        <v>#DIV/0!</v>
      </c>
      <c r="N139" s="107"/>
      <c r="O139" s="107"/>
      <c r="P139" s="107"/>
      <c r="Q139" s="107"/>
      <c r="R139" s="107"/>
      <c r="S139" s="107"/>
      <c r="T139" s="107"/>
      <c r="X139" s="107"/>
      <c r="AC139" s="107"/>
      <c r="AH139" s="107"/>
      <c r="AM139" s="107"/>
    </row>
    <row r="140" spans="2:39">
      <c r="B140" s="643"/>
      <c r="C140" s="295">
        <v>13</v>
      </c>
      <c r="D140" s="220"/>
      <c r="E140" s="295"/>
      <c r="F140" s="295"/>
      <c r="G140" s="295"/>
      <c r="H140" s="697"/>
      <c r="I140" s="193"/>
      <c r="J140" s="193"/>
      <c r="K140" s="193"/>
      <c r="L140" s="700"/>
      <c r="M140" s="193" t="e">
        <f>RANK(K140, K$128:$K$142)</f>
        <v>#DIV/0!</v>
      </c>
      <c r="N140" s="107"/>
      <c r="O140" s="107"/>
      <c r="P140" s="107"/>
      <c r="Q140" s="107"/>
      <c r="R140" s="107"/>
      <c r="S140" s="107"/>
      <c r="T140" s="107"/>
      <c r="X140" s="107"/>
      <c r="AC140" s="107"/>
      <c r="AH140" s="107"/>
      <c r="AM140" s="107"/>
    </row>
    <row r="141" spans="2:39">
      <c r="B141" s="643"/>
      <c r="C141" s="295">
        <v>14</v>
      </c>
      <c r="D141" s="220"/>
      <c r="E141" s="295"/>
      <c r="F141" s="295"/>
      <c r="G141" s="295"/>
      <c r="H141" s="697"/>
      <c r="I141" s="193"/>
      <c r="J141" s="193"/>
      <c r="K141" s="193"/>
      <c r="L141" s="700"/>
      <c r="M141" s="193" t="e">
        <f>RANK(K141, K$128:$K$142)</f>
        <v>#DIV/0!</v>
      </c>
      <c r="N141" s="107"/>
      <c r="O141" s="107"/>
      <c r="P141" s="107"/>
      <c r="Q141" s="107"/>
      <c r="R141" s="107"/>
      <c r="S141" s="107"/>
      <c r="T141" s="107"/>
      <c r="X141" s="107"/>
      <c r="AC141" s="107"/>
      <c r="AH141" s="107"/>
      <c r="AM141" s="107"/>
    </row>
    <row r="142" spans="2:39">
      <c r="B142" s="643"/>
      <c r="C142" s="295">
        <v>15</v>
      </c>
      <c r="D142" s="220"/>
      <c r="E142" s="295"/>
      <c r="F142" s="295"/>
      <c r="G142" s="295"/>
      <c r="H142" s="698"/>
      <c r="I142" s="193"/>
      <c r="J142" s="193"/>
      <c r="K142" s="193"/>
      <c r="L142" s="701"/>
      <c r="M142" s="193" t="e">
        <f>RANK(K142, K$128:$K$142)</f>
        <v>#DIV/0!</v>
      </c>
      <c r="N142" s="107"/>
      <c r="O142" s="107"/>
      <c r="P142" s="107"/>
      <c r="Q142" s="107"/>
      <c r="R142" s="107"/>
      <c r="S142" s="107"/>
      <c r="T142" s="107"/>
      <c r="X142" s="107"/>
      <c r="AC142" s="107"/>
      <c r="AH142" s="107"/>
      <c r="AM142" s="107"/>
    </row>
  </sheetData>
  <mergeCells count="379">
    <mergeCell ref="BA87:BA101"/>
    <mergeCell ref="BA104:BA106"/>
    <mergeCell ref="BA107:BA121"/>
    <mergeCell ref="BA4:BA6"/>
    <mergeCell ref="BA7:BA21"/>
    <mergeCell ref="BA24:BA26"/>
    <mergeCell ref="BA27:BA41"/>
    <mergeCell ref="BA44:BA46"/>
    <mergeCell ref="BA47:BA61"/>
    <mergeCell ref="BA64:BA66"/>
    <mergeCell ref="BA67:BA81"/>
    <mergeCell ref="BA84:BA86"/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B128:B142"/>
    <mergeCell ref="H128:H142"/>
    <mergeCell ref="L128:L142"/>
    <mergeCell ref="AX107:AX121"/>
    <mergeCell ref="B123:H124"/>
    <mergeCell ref="B125:B127"/>
    <mergeCell ref="C125:D127"/>
    <mergeCell ref="E125:G125"/>
    <mergeCell ref="H125:H127"/>
    <mergeCell ref="I125:K125"/>
    <mergeCell ref="L125:L127"/>
    <mergeCell ref="M125:M127"/>
    <mergeCell ref="E126:G126"/>
    <mergeCell ref="I126:K126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</mergeCells>
  <phoneticPr fontId="13" type="noConversion"/>
  <pageMargins left="0.7" right="0.7" top="0.75" bottom="0.75" header="0.3" footer="0.3"/>
  <pageSetup paperSize="9" orientation="portrait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FFFFCC"/>
  </sheetPr>
  <dimension ref="A1:BA142"/>
  <sheetViews>
    <sheetView zoomScale="40" zoomScaleNormal="40" workbookViewId="0">
      <pane xSplit="15" topLeftCell="P1" activePane="topRight" state="frozen"/>
      <selection activeCell="P3" sqref="P3:T3"/>
      <selection pane="topRight" activeCell="T27" sqref="S27:T41"/>
    </sheetView>
  </sheetViews>
  <sheetFormatPr defaultColWidth="8.85546875" defaultRowHeight="12.75"/>
  <cols>
    <col min="1" max="1" width="5.5703125" style="107" customWidth="1"/>
    <col min="2" max="2" width="12.42578125" style="107" customWidth="1"/>
    <col min="3" max="3" width="8.85546875" style="106"/>
    <col min="4" max="4" width="26.42578125" style="106" customWidth="1"/>
    <col min="5" max="7" width="8.42578125" style="106" customWidth="1"/>
    <col min="8" max="8" width="11.140625" style="106" bestFit="1" customWidth="1"/>
    <col min="9" max="12" width="11.140625" style="106" customWidth="1"/>
    <col min="13" max="13" width="13.5703125" style="106" customWidth="1"/>
    <col min="14" max="14" width="9.85546875" style="106" customWidth="1"/>
    <col min="15" max="15" width="7.140625" style="106" customWidth="1"/>
    <col min="16" max="18" width="12.85546875" style="106" customWidth="1"/>
    <col min="19" max="19" width="5.42578125" style="106" customWidth="1"/>
    <col min="20" max="20" width="12.85546875" style="106" customWidth="1"/>
    <col min="21" max="23" width="12.85546875" style="107" customWidth="1"/>
    <col min="24" max="24" width="5.42578125" style="106" customWidth="1"/>
    <col min="25" max="28" width="12.85546875" style="107" customWidth="1"/>
    <col min="29" max="29" width="5.42578125" style="106" customWidth="1"/>
    <col min="30" max="30" width="12.85546875" style="107" customWidth="1"/>
    <col min="31" max="33" width="12.5703125" style="107" customWidth="1"/>
    <col min="34" max="34" width="5.42578125" style="106" customWidth="1"/>
    <col min="35" max="35" width="13" style="107" customWidth="1"/>
    <col min="36" max="38" width="12.5703125" style="107" customWidth="1"/>
    <col min="39" max="39" width="5.42578125" style="106" customWidth="1"/>
    <col min="40" max="40" width="13" style="107" customWidth="1"/>
    <col min="41" max="43" width="13.140625" style="107" customWidth="1"/>
    <col min="44" max="44" width="5.42578125" style="107" customWidth="1"/>
    <col min="45" max="48" width="13.140625" style="107" customWidth="1"/>
    <col min="49" max="49" width="5.42578125" style="107" customWidth="1"/>
    <col min="50" max="50" width="13.140625" style="107" customWidth="1"/>
    <col min="51" max="51" width="8.85546875" style="107"/>
    <col min="52" max="52" width="5.42578125" style="107" customWidth="1"/>
    <col min="53" max="53" width="13.140625" style="107" customWidth="1"/>
    <col min="54" max="16384" width="8.85546875" style="107"/>
  </cols>
  <sheetData>
    <row r="1" spans="1:53" ht="24">
      <c r="A1" s="75"/>
      <c r="B1" s="215" t="s">
        <v>313</v>
      </c>
      <c r="C1" s="214">
        <f>AVERAGE(L7,L27,L47,L67,L87,L107)</f>
        <v>81.426320185077984</v>
      </c>
    </row>
    <row r="2" spans="1:53" ht="15.75">
      <c r="A2" s="81"/>
      <c r="B2" s="665" t="s">
        <v>162</v>
      </c>
      <c r="C2" s="665"/>
      <c r="D2" s="665"/>
      <c r="E2" s="665"/>
      <c r="F2" s="665"/>
      <c r="G2" s="665"/>
      <c r="H2" s="665"/>
      <c r="I2" s="276"/>
      <c r="J2" s="276"/>
      <c r="K2" s="276"/>
      <c r="L2" s="276"/>
      <c r="M2" s="191"/>
      <c r="N2" s="639" t="s">
        <v>156</v>
      </c>
      <c r="O2" s="639" t="s">
        <v>155</v>
      </c>
      <c r="P2" s="664">
        <v>46294</v>
      </c>
      <c r="Q2" s="643"/>
      <c r="R2" s="643"/>
      <c r="S2" s="643"/>
      <c r="T2" s="643"/>
      <c r="U2" s="661">
        <f>P2+1</f>
        <v>46295</v>
      </c>
      <c r="V2" s="662"/>
      <c r="W2" s="662"/>
      <c r="X2" s="662"/>
      <c r="Y2" s="663"/>
      <c r="Z2" s="661">
        <f>U2+1</f>
        <v>46296</v>
      </c>
      <c r="AA2" s="662"/>
      <c r="AB2" s="662"/>
      <c r="AC2" s="662"/>
      <c r="AD2" s="663"/>
      <c r="AE2" s="661">
        <f>Z2+1</f>
        <v>46297</v>
      </c>
      <c r="AF2" s="662"/>
      <c r="AG2" s="662"/>
      <c r="AH2" s="662"/>
      <c r="AI2" s="663"/>
      <c r="AJ2" s="661">
        <f>AE2+1</f>
        <v>46298</v>
      </c>
      <c r="AK2" s="662"/>
      <c r="AL2" s="662"/>
      <c r="AM2" s="662"/>
      <c r="AN2" s="663"/>
      <c r="AO2" s="661">
        <f>AJ2+1</f>
        <v>46299</v>
      </c>
      <c r="AP2" s="662"/>
      <c r="AQ2" s="662"/>
      <c r="AR2" s="662"/>
      <c r="AS2" s="663"/>
      <c r="AT2" s="661">
        <f>AO2+1</f>
        <v>46300</v>
      </c>
      <c r="AU2" s="662"/>
      <c r="AV2" s="662"/>
      <c r="AW2" s="662"/>
      <c r="AX2" s="663"/>
    </row>
    <row r="3" spans="1:53" ht="15.75">
      <c r="A3" s="81"/>
      <c r="B3" s="709"/>
      <c r="C3" s="709"/>
      <c r="D3" s="709"/>
      <c r="E3" s="709"/>
      <c r="F3" s="709"/>
      <c r="G3" s="709"/>
      <c r="H3" s="709"/>
      <c r="I3" s="277"/>
      <c r="J3" s="277"/>
      <c r="K3" s="277"/>
      <c r="L3" s="277"/>
      <c r="M3" s="192"/>
      <c r="N3" s="641"/>
      <c r="O3" s="641"/>
      <c r="P3" s="664" t="s">
        <v>158</v>
      </c>
      <c r="Q3" s="643"/>
      <c r="R3" s="643"/>
      <c r="S3" s="643"/>
      <c r="T3" s="643"/>
      <c r="U3" s="664" t="s">
        <v>114</v>
      </c>
      <c r="V3" s="643"/>
      <c r="W3" s="643"/>
      <c r="X3" s="643"/>
      <c r="Y3" s="643"/>
      <c r="Z3" s="664" t="s">
        <v>159</v>
      </c>
      <c r="AA3" s="643"/>
      <c r="AB3" s="643"/>
      <c r="AC3" s="643"/>
      <c r="AD3" s="643"/>
      <c r="AE3" s="664" t="s">
        <v>157</v>
      </c>
      <c r="AF3" s="643"/>
      <c r="AG3" s="643"/>
      <c r="AH3" s="643"/>
      <c r="AI3" s="643"/>
      <c r="AJ3" s="664" t="s">
        <v>160</v>
      </c>
      <c r="AK3" s="643"/>
      <c r="AL3" s="643"/>
      <c r="AM3" s="643"/>
      <c r="AN3" s="643"/>
      <c r="AO3" s="664" t="s">
        <v>115</v>
      </c>
      <c r="AP3" s="643"/>
      <c r="AQ3" s="643"/>
      <c r="AR3" s="643"/>
      <c r="AS3" s="643"/>
      <c r="AT3" s="664" t="s">
        <v>161</v>
      </c>
      <c r="AU3" s="643"/>
      <c r="AV3" s="643"/>
      <c r="AW3" s="643"/>
      <c r="AX3" s="643"/>
    </row>
    <row r="4" spans="1:53" ht="14.25">
      <c r="A4" s="81"/>
      <c r="B4" s="637" t="s">
        <v>743</v>
      </c>
      <c r="C4" s="637" t="s">
        <v>521</v>
      </c>
      <c r="D4" s="637"/>
      <c r="E4" s="637" t="s">
        <v>522</v>
      </c>
      <c r="F4" s="637"/>
      <c r="G4" s="637"/>
      <c r="H4" s="669" t="s">
        <v>523</v>
      </c>
      <c r="I4" s="637" t="s">
        <v>524</v>
      </c>
      <c r="J4" s="637"/>
      <c r="K4" s="637"/>
      <c r="L4" s="669" t="s">
        <v>357</v>
      </c>
      <c r="M4" s="639" t="s">
        <v>525</v>
      </c>
      <c r="N4" s="637"/>
      <c r="O4" s="637" t="s">
        <v>526</v>
      </c>
      <c r="P4" s="655" t="s">
        <v>359</v>
      </c>
      <c r="Q4" s="656"/>
      <c r="R4" s="656"/>
      <c r="S4" s="657"/>
      <c r="T4" s="637" t="s">
        <v>357</v>
      </c>
      <c r="U4" s="655" t="s">
        <v>359</v>
      </c>
      <c r="V4" s="656"/>
      <c r="W4" s="656"/>
      <c r="X4" s="657"/>
      <c r="Y4" s="637" t="s">
        <v>357</v>
      </c>
      <c r="Z4" s="655" t="s">
        <v>359</v>
      </c>
      <c r="AA4" s="656"/>
      <c r="AB4" s="656"/>
      <c r="AC4" s="657"/>
      <c r="AD4" s="637" t="s">
        <v>357</v>
      </c>
      <c r="AE4" s="655" t="s">
        <v>359</v>
      </c>
      <c r="AF4" s="656"/>
      <c r="AG4" s="656"/>
      <c r="AH4" s="657"/>
      <c r="AI4" s="637" t="s">
        <v>357</v>
      </c>
      <c r="AJ4" s="655" t="s">
        <v>359</v>
      </c>
      <c r="AK4" s="656"/>
      <c r="AL4" s="656"/>
      <c r="AM4" s="657"/>
      <c r="AN4" s="637" t="s">
        <v>357</v>
      </c>
      <c r="AO4" s="655" t="s">
        <v>359</v>
      </c>
      <c r="AP4" s="656"/>
      <c r="AQ4" s="656"/>
      <c r="AR4" s="657"/>
      <c r="AS4" s="637" t="s">
        <v>357</v>
      </c>
      <c r="AT4" s="655" t="s">
        <v>359</v>
      </c>
      <c r="AU4" s="656"/>
      <c r="AV4" s="656"/>
      <c r="AW4" s="657"/>
      <c r="AX4" s="637" t="s">
        <v>357</v>
      </c>
      <c r="BA4" s="637" t="s">
        <v>357</v>
      </c>
    </row>
    <row r="5" spans="1:53" ht="14.25">
      <c r="A5" s="81"/>
      <c r="B5" s="637"/>
      <c r="C5" s="637"/>
      <c r="D5" s="637"/>
      <c r="E5" s="637" t="s">
        <v>527</v>
      </c>
      <c r="F5" s="637"/>
      <c r="G5" s="637"/>
      <c r="H5" s="670"/>
      <c r="I5" s="637" t="s">
        <v>527</v>
      </c>
      <c r="J5" s="637"/>
      <c r="K5" s="637"/>
      <c r="L5" s="670"/>
      <c r="M5" s="640"/>
      <c r="N5" s="637"/>
      <c r="O5" s="637"/>
      <c r="P5" s="655" t="s">
        <v>365</v>
      </c>
      <c r="Q5" s="656"/>
      <c r="R5" s="656"/>
      <c r="S5" s="657"/>
      <c r="T5" s="637"/>
      <c r="U5" s="655" t="s">
        <v>365</v>
      </c>
      <c r="V5" s="656"/>
      <c r="W5" s="656"/>
      <c r="X5" s="657"/>
      <c r="Y5" s="637"/>
      <c r="Z5" s="655" t="s">
        <v>365</v>
      </c>
      <c r="AA5" s="656"/>
      <c r="AB5" s="656"/>
      <c r="AC5" s="657"/>
      <c r="AD5" s="637"/>
      <c r="AE5" s="655" t="s">
        <v>365</v>
      </c>
      <c r="AF5" s="656"/>
      <c r="AG5" s="656"/>
      <c r="AH5" s="657"/>
      <c r="AI5" s="637"/>
      <c r="AJ5" s="655" t="s">
        <v>365</v>
      </c>
      <c r="AK5" s="656"/>
      <c r="AL5" s="656"/>
      <c r="AM5" s="657"/>
      <c r="AN5" s="637"/>
      <c r="AO5" s="655" t="s">
        <v>365</v>
      </c>
      <c r="AP5" s="656"/>
      <c r="AQ5" s="656"/>
      <c r="AR5" s="657"/>
      <c r="AS5" s="637"/>
      <c r="AT5" s="655" t="s">
        <v>365</v>
      </c>
      <c r="AU5" s="656"/>
      <c r="AV5" s="656"/>
      <c r="AW5" s="657"/>
      <c r="AX5" s="637"/>
      <c r="BA5" s="637"/>
    </row>
    <row r="6" spans="1:53" ht="14.25">
      <c r="A6" s="79"/>
      <c r="B6" s="637"/>
      <c r="C6" s="637"/>
      <c r="D6" s="637"/>
      <c r="E6" s="551" t="s">
        <v>528</v>
      </c>
      <c r="F6" s="551" t="s">
        <v>529</v>
      </c>
      <c r="G6" s="551" t="s">
        <v>530</v>
      </c>
      <c r="H6" s="671"/>
      <c r="I6" s="551" t="s">
        <v>528</v>
      </c>
      <c r="J6" s="551" t="s">
        <v>529</v>
      </c>
      <c r="K6" s="551" t="s">
        <v>530</v>
      </c>
      <c r="L6" s="671"/>
      <c r="M6" s="641"/>
      <c r="N6" s="637"/>
      <c r="O6" s="637"/>
      <c r="P6" s="551" t="s">
        <v>366</v>
      </c>
      <c r="Q6" s="551" t="s">
        <v>367</v>
      </c>
      <c r="R6" s="551" t="s">
        <v>368</v>
      </c>
      <c r="S6" s="551" t="s">
        <v>358</v>
      </c>
      <c r="T6" s="637"/>
      <c r="U6" s="551" t="s">
        <v>366</v>
      </c>
      <c r="V6" s="551" t="s">
        <v>367</v>
      </c>
      <c r="W6" s="551" t="s">
        <v>368</v>
      </c>
      <c r="X6" s="551" t="s">
        <v>358</v>
      </c>
      <c r="Y6" s="637"/>
      <c r="Z6" s="551" t="s">
        <v>366</v>
      </c>
      <c r="AA6" s="551" t="s">
        <v>367</v>
      </c>
      <c r="AB6" s="551" t="s">
        <v>368</v>
      </c>
      <c r="AC6" s="551" t="s">
        <v>358</v>
      </c>
      <c r="AD6" s="637"/>
      <c r="AE6" s="551" t="s">
        <v>366</v>
      </c>
      <c r="AF6" s="551" t="s">
        <v>367</v>
      </c>
      <c r="AG6" s="551" t="s">
        <v>368</v>
      </c>
      <c r="AH6" s="551" t="s">
        <v>358</v>
      </c>
      <c r="AI6" s="637"/>
      <c r="AJ6" s="551" t="s">
        <v>366</v>
      </c>
      <c r="AK6" s="551" t="s">
        <v>367</v>
      </c>
      <c r="AL6" s="551" t="s">
        <v>368</v>
      </c>
      <c r="AM6" s="551" t="s">
        <v>358</v>
      </c>
      <c r="AN6" s="637"/>
      <c r="AO6" s="551" t="s">
        <v>366</v>
      </c>
      <c r="AP6" s="551" t="s">
        <v>367</v>
      </c>
      <c r="AQ6" s="551" t="s">
        <v>368</v>
      </c>
      <c r="AR6" s="551" t="s">
        <v>358</v>
      </c>
      <c r="AS6" s="637"/>
      <c r="AT6" s="551" t="s">
        <v>366</v>
      </c>
      <c r="AU6" s="551" t="s">
        <v>367</v>
      </c>
      <c r="AV6" s="551" t="s">
        <v>368</v>
      </c>
      <c r="AW6" s="551" t="s">
        <v>358</v>
      </c>
      <c r="AX6" s="637"/>
      <c r="AZ6" s="356" t="s">
        <v>358</v>
      </c>
      <c r="BA6" s="637"/>
    </row>
    <row r="7" spans="1:53" ht="14.25">
      <c r="A7" s="81"/>
      <c r="B7" s="637" t="s">
        <v>397</v>
      </c>
      <c r="C7" s="555">
        <v>1</v>
      </c>
      <c r="D7" s="220" t="s">
        <v>559</v>
      </c>
      <c r="E7" s="559">
        <v>17</v>
      </c>
      <c r="F7" s="553">
        <v>1565</v>
      </c>
      <c r="G7" s="552">
        <v>92.058823529411768</v>
      </c>
      <c r="H7" s="650">
        <f>AVERAGE(G7:G21)</f>
        <v>89.547152194211023</v>
      </c>
      <c r="I7" s="554">
        <f t="shared" ref="I7:I20" si="0">IFERROR(AVERAGE(P7,U7,Z7,AE7,AJ7,AO7,AT7),"-")</f>
        <v>17</v>
      </c>
      <c r="J7" s="554">
        <f t="shared" ref="J7:J20" si="1">IFERROR(AVERAGE(Q7,V7,AA7,AF7,AK7,AP7,AU7),"-")</f>
        <v>1435.4273545997785</v>
      </c>
      <c r="K7" s="194">
        <f t="shared" ref="K7:K20" si="2">IFERROR(AVERAGE(R7,W7,AB7,AG7,AL7,AQ7,AV7),"-")</f>
        <v>84.43690321175167</v>
      </c>
      <c r="L7" s="652">
        <f>IFERROR(AVERAGE(K7:K21),"-")</f>
        <v>81.235721263645317</v>
      </c>
      <c r="M7" s="471" t="e">
        <f>RANK(K7, K$87:$K$101)</f>
        <v>#N/A</v>
      </c>
      <c r="N7" s="637"/>
      <c r="O7" s="637"/>
      <c r="P7" s="553">
        <v>17</v>
      </c>
      <c r="Q7" s="559">
        <v>1444.6336633663359</v>
      </c>
      <c r="R7" s="559">
        <v>84.978450786255053</v>
      </c>
      <c r="S7" s="553" t="e">
        <f t="shared" ref="S7:S21" si="3">RANK(R7, R$87:R$101)</f>
        <v>#N/A</v>
      </c>
      <c r="T7" s="638">
        <f t="shared" ref="T7" si="4">AVERAGE(R7:R21)</f>
        <v>81.805215519638139</v>
      </c>
      <c r="U7" s="553">
        <v>17</v>
      </c>
      <c r="V7" s="559">
        <v>1438.0625000000002</v>
      </c>
      <c r="W7" s="559">
        <v>84.591911764705898</v>
      </c>
      <c r="X7" s="553" t="e">
        <f t="shared" ref="X7:X21" si="5">RANK(W7, W$87:W$101)</f>
        <v>#N/A</v>
      </c>
      <c r="Y7" s="638">
        <f t="shared" ref="Y7" si="6">AVERAGE(W7:W21)</f>
        <v>81.989433322367148</v>
      </c>
      <c r="Z7" s="553">
        <v>17</v>
      </c>
      <c r="AA7" s="559">
        <v>1434.2045454545455</v>
      </c>
      <c r="AB7" s="559">
        <v>84.364973262032095</v>
      </c>
      <c r="AC7" s="553" t="e">
        <f t="shared" ref="AC7:AC21" si="7">RANK(AB7, AB$87:AB$101)</f>
        <v>#N/A</v>
      </c>
      <c r="AD7" s="638">
        <f t="shared" ref="AD7" si="8">AVERAGE(AB7:AB21)</f>
        <v>81.681885943227826</v>
      </c>
      <c r="AE7" s="553">
        <v>17</v>
      </c>
      <c r="AF7" s="559">
        <v>1449.6226415094336</v>
      </c>
      <c r="AG7" s="559">
        <v>85.27192008879021</v>
      </c>
      <c r="AH7" s="553" t="e">
        <f t="shared" ref="AH7:AH21" si="9">RANK(AG7, AG$87:AG$101)</f>
        <v>#N/A</v>
      </c>
      <c r="AI7" s="638">
        <f t="shared" ref="AI7" si="10">AVERAGE(AG7:AG21)</f>
        <v>79.847385882617019</v>
      </c>
      <c r="AJ7" s="553">
        <v>17</v>
      </c>
      <c r="AK7" s="559">
        <v>1427.868131868132</v>
      </c>
      <c r="AL7" s="559">
        <v>83.992243051066581</v>
      </c>
      <c r="AM7" s="553" t="e">
        <f t="shared" ref="AM7:AM21" si="11">RANK(AL7, AL$87:AL$101)</f>
        <v>#N/A</v>
      </c>
      <c r="AN7" s="638">
        <f t="shared" ref="AN7" si="12">AVERAGE(AL7:AL21)</f>
        <v>81.09257292977027</v>
      </c>
      <c r="AO7" s="553">
        <v>17</v>
      </c>
      <c r="AP7" s="559">
        <v>1429.3500000000004</v>
      </c>
      <c r="AQ7" s="559">
        <v>84.07941176470591</v>
      </c>
      <c r="AR7" s="553" t="e">
        <f t="shared" ref="AR7:AR21" si="13">RANK(AQ7, AQ$87:AQ$101)</f>
        <v>#N/A</v>
      </c>
      <c r="AS7" s="638">
        <f t="shared" ref="AS7" si="14">AVERAGE(AQ7:AQ21)</f>
        <v>82.255626999882182</v>
      </c>
      <c r="AT7" s="553">
        <v>17</v>
      </c>
      <c r="AU7" s="559">
        <v>1424.2500000000009</v>
      </c>
      <c r="AV7" s="559">
        <v>83.779411764705941</v>
      </c>
      <c r="AW7" s="553" t="e">
        <f t="shared" ref="AW7:AW21" si="15">RANK(AV7, AV$87:AV$101)</f>
        <v>#N/A</v>
      </c>
      <c r="AX7" s="638">
        <f t="shared" ref="AX7" si="16">AVERAGE(AV7:AV21)</f>
        <v>82.712709265940504</v>
      </c>
      <c r="AZ7" s="359" t="e">
        <f t="shared" ref="AZ7:AZ21" si="17">RANK(AY7, AY$7:AY$21)</f>
        <v>#N/A</v>
      </c>
      <c r="BA7" s="714" t="e">
        <f t="shared" ref="BA7" si="18">AVERAGE(AY7:AY21)</f>
        <v>#DIV/0!</v>
      </c>
    </row>
    <row r="8" spans="1:53" ht="15" customHeight="1">
      <c r="A8" s="81"/>
      <c r="B8" s="643"/>
      <c r="C8" s="555">
        <v>2</v>
      </c>
      <c r="D8" s="220" t="s">
        <v>578</v>
      </c>
      <c r="E8" s="559">
        <v>18</v>
      </c>
      <c r="F8" s="553">
        <v>1565</v>
      </c>
      <c r="G8" s="552">
        <v>86.944444444444443</v>
      </c>
      <c r="H8" s="651"/>
      <c r="I8" s="554">
        <f t="shared" si="0"/>
        <v>18</v>
      </c>
      <c r="J8" s="554">
        <f t="shared" si="1"/>
        <v>1435.6075529918176</v>
      </c>
      <c r="K8" s="194">
        <f t="shared" si="2"/>
        <v>79.755975166212082</v>
      </c>
      <c r="L8" s="653"/>
      <c r="M8" s="471" t="e">
        <f>RANK(K8, K$87:$K$101)</f>
        <v>#N/A</v>
      </c>
      <c r="N8" s="637"/>
      <c r="O8" s="637"/>
      <c r="P8" s="553">
        <v>18</v>
      </c>
      <c r="Q8" s="559">
        <v>1459.5348837209301</v>
      </c>
      <c r="R8" s="559">
        <v>81.085271317829452</v>
      </c>
      <c r="S8" s="553" t="e">
        <f t="shared" si="3"/>
        <v>#N/A</v>
      </c>
      <c r="T8" s="638"/>
      <c r="U8" s="553">
        <v>18</v>
      </c>
      <c r="V8" s="559">
        <v>1453.1707317073167</v>
      </c>
      <c r="W8" s="559">
        <v>80.731707317073145</v>
      </c>
      <c r="X8" s="553" t="e">
        <f t="shared" si="5"/>
        <v>#N/A</v>
      </c>
      <c r="Y8" s="638"/>
      <c r="Z8" s="553">
        <v>18</v>
      </c>
      <c r="AA8" s="559">
        <v>1451.9999999999995</v>
      </c>
      <c r="AB8" s="559">
        <v>80.666666666666643</v>
      </c>
      <c r="AC8" s="553" t="e">
        <f t="shared" si="7"/>
        <v>#N/A</v>
      </c>
      <c r="AD8" s="638"/>
      <c r="AE8" s="553">
        <v>18</v>
      </c>
      <c r="AF8" s="559">
        <v>1389.3750000000016</v>
      </c>
      <c r="AG8" s="559">
        <v>77.187500000000085</v>
      </c>
      <c r="AH8" s="553" t="e">
        <f t="shared" si="9"/>
        <v>#N/A</v>
      </c>
      <c r="AI8" s="638"/>
      <c r="AJ8" s="553">
        <v>18</v>
      </c>
      <c r="AK8" s="559">
        <v>1424.5161290322594</v>
      </c>
      <c r="AL8" s="559">
        <v>79.139784946236631</v>
      </c>
      <c r="AM8" s="553" t="e">
        <f t="shared" si="11"/>
        <v>#N/A</v>
      </c>
      <c r="AN8" s="638"/>
      <c r="AO8" s="553">
        <v>18</v>
      </c>
      <c r="AP8" s="559">
        <v>1429.5652173913043</v>
      </c>
      <c r="AQ8" s="559">
        <v>79.420289855072454</v>
      </c>
      <c r="AR8" s="553" t="e">
        <f t="shared" si="13"/>
        <v>#N/A</v>
      </c>
      <c r="AS8" s="638"/>
      <c r="AT8" s="553">
        <v>18</v>
      </c>
      <c r="AU8" s="559">
        <v>1441.0909090909099</v>
      </c>
      <c r="AV8" s="559">
        <v>80.060606060606105</v>
      </c>
      <c r="AW8" s="553" t="e">
        <f t="shared" si="15"/>
        <v>#N/A</v>
      </c>
      <c r="AX8" s="638"/>
      <c r="AZ8" s="359" t="e">
        <f t="shared" si="17"/>
        <v>#N/A</v>
      </c>
      <c r="BA8" s="715"/>
    </row>
    <row r="9" spans="1:53" ht="14.25">
      <c r="A9" s="81"/>
      <c r="B9" s="643"/>
      <c r="C9" s="555">
        <v>3</v>
      </c>
      <c r="D9" s="220" t="s">
        <v>583</v>
      </c>
      <c r="E9" s="559">
        <v>17</v>
      </c>
      <c r="F9" s="553">
        <v>1565</v>
      </c>
      <c r="G9" s="552">
        <v>92.058823529411768</v>
      </c>
      <c r="H9" s="651"/>
      <c r="I9" s="554">
        <f t="shared" si="0"/>
        <v>17</v>
      </c>
      <c r="J9" s="554">
        <f t="shared" si="1"/>
        <v>1436.8445084409136</v>
      </c>
      <c r="K9" s="194">
        <f t="shared" si="2"/>
        <v>84.520265202406677</v>
      </c>
      <c r="L9" s="653"/>
      <c r="M9" s="471" t="e">
        <f>RANK(K9, K$87:$K$101)</f>
        <v>#N/A</v>
      </c>
      <c r="N9" s="637"/>
      <c r="O9" s="637"/>
      <c r="P9" s="553">
        <v>17</v>
      </c>
      <c r="Q9" s="559">
        <v>1452.0000000000005</v>
      </c>
      <c r="R9" s="559">
        <v>85.411764705882376</v>
      </c>
      <c r="S9" s="553" t="e">
        <f t="shared" si="3"/>
        <v>#N/A</v>
      </c>
      <c r="T9" s="638"/>
      <c r="U9" s="553">
        <v>17</v>
      </c>
      <c r="V9" s="559">
        <v>1465.1999999999994</v>
      </c>
      <c r="W9" s="559">
        <v>86.188235294117604</v>
      </c>
      <c r="X9" s="553" t="e">
        <f t="shared" si="5"/>
        <v>#N/A</v>
      </c>
      <c r="Y9" s="638"/>
      <c r="Z9" s="553">
        <v>17</v>
      </c>
      <c r="AA9" s="559">
        <v>1442.4999999999993</v>
      </c>
      <c r="AB9" s="559">
        <v>84.852941176470551</v>
      </c>
      <c r="AC9" s="553" t="e">
        <f t="shared" si="7"/>
        <v>#N/A</v>
      </c>
      <c r="AD9" s="638"/>
      <c r="AE9" s="553">
        <v>17</v>
      </c>
      <c r="AF9" s="559">
        <v>1422.631578947369</v>
      </c>
      <c r="AG9" s="559">
        <v>83.684210526315823</v>
      </c>
      <c r="AH9" s="553" t="e">
        <f t="shared" si="9"/>
        <v>#N/A</v>
      </c>
      <c r="AI9" s="638"/>
      <c r="AJ9" s="553">
        <v>17</v>
      </c>
      <c r="AK9" s="559">
        <v>1432.1052631578955</v>
      </c>
      <c r="AL9" s="559">
        <v>84.241486068111499</v>
      </c>
      <c r="AM9" s="553" t="e">
        <f t="shared" si="11"/>
        <v>#N/A</v>
      </c>
      <c r="AN9" s="638"/>
      <c r="AO9" s="553">
        <v>17</v>
      </c>
      <c r="AP9" s="559">
        <v>1420.7547169811317</v>
      </c>
      <c r="AQ9" s="559">
        <v>83.573806881243044</v>
      </c>
      <c r="AR9" s="553" t="e">
        <f t="shared" si="13"/>
        <v>#N/A</v>
      </c>
      <c r="AS9" s="638"/>
      <c r="AT9" s="553">
        <v>17</v>
      </c>
      <c r="AU9" s="559">
        <v>1422.7199999999996</v>
      </c>
      <c r="AV9" s="559">
        <v>83.689411764705852</v>
      </c>
      <c r="AW9" s="553" t="e">
        <f t="shared" si="15"/>
        <v>#N/A</v>
      </c>
      <c r="AX9" s="638"/>
      <c r="AZ9" s="359" t="e">
        <f t="shared" si="17"/>
        <v>#N/A</v>
      </c>
      <c r="BA9" s="715"/>
    </row>
    <row r="10" spans="1:53" ht="14.25">
      <c r="A10" s="81"/>
      <c r="B10" s="643"/>
      <c r="C10" s="555">
        <v>4</v>
      </c>
      <c r="D10" s="220" t="s">
        <v>642</v>
      </c>
      <c r="E10" s="559">
        <v>17</v>
      </c>
      <c r="F10" s="553">
        <v>1565</v>
      </c>
      <c r="G10" s="552">
        <v>92.058823529411768</v>
      </c>
      <c r="H10" s="651"/>
      <c r="I10" s="554">
        <f t="shared" si="0"/>
        <v>17</v>
      </c>
      <c r="J10" s="554">
        <f t="shared" si="1"/>
        <v>1358.0304246230714</v>
      </c>
      <c r="K10" s="194">
        <f t="shared" si="2"/>
        <v>79.884142624886564</v>
      </c>
      <c r="L10" s="653"/>
      <c r="M10" s="471" t="e">
        <f>RANK(K10, K$87:$K$101)</f>
        <v>#N/A</v>
      </c>
      <c r="N10" s="637"/>
      <c r="O10" s="637"/>
      <c r="P10" s="553">
        <v>17</v>
      </c>
      <c r="Q10" s="559">
        <v>1388.1081081081086</v>
      </c>
      <c r="R10" s="559">
        <v>81.653418124006393</v>
      </c>
      <c r="S10" s="553" t="e">
        <f t="shared" si="3"/>
        <v>#N/A</v>
      </c>
      <c r="T10" s="638"/>
      <c r="U10" s="553">
        <v>17</v>
      </c>
      <c r="V10" s="559">
        <v>1406.2499999999998</v>
      </c>
      <c r="W10" s="559">
        <v>82.720588235294102</v>
      </c>
      <c r="X10" s="553" t="e">
        <f t="shared" si="5"/>
        <v>#N/A</v>
      </c>
      <c r="Y10" s="638"/>
      <c r="Z10" s="553">
        <v>17</v>
      </c>
      <c r="AA10" s="559">
        <v>1385.6249999999998</v>
      </c>
      <c r="AB10" s="559">
        <v>81.507352941176464</v>
      </c>
      <c r="AC10" s="553" t="e">
        <f t="shared" si="7"/>
        <v>#N/A</v>
      </c>
      <c r="AD10" s="638"/>
      <c r="AE10" s="553">
        <v>17</v>
      </c>
      <c r="AF10" s="559">
        <v>1223.0769230769238</v>
      </c>
      <c r="AG10" s="559">
        <v>71.945701357466106</v>
      </c>
      <c r="AH10" s="553" t="e">
        <f t="shared" si="9"/>
        <v>#N/A</v>
      </c>
      <c r="AI10" s="638"/>
      <c r="AJ10" s="553">
        <v>17</v>
      </c>
      <c r="AK10" s="559">
        <v>1240.8000000000004</v>
      </c>
      <c r="AL10" s="559">
        <v>72.988235294117672</v>
      </c>
      <c r="AM10" s="553" t="e">
        <f t="shared" si="11"/>
        <v>#N/A</v>
      </c>
      <c r="AN10" s="638"/>
      <c r="AO10" s="553">
        <v>17</v>
      </c>
      <c r="AP10" s="559">
        <v>1422.3529411764687</v>
      </c>
      <c r="AQ10" s="559">
        <v>83.667820069204041</v>
      </c>
      <c r="AR10" s="553" t="e">
        <f t="shared" si="13"/>
        <v>#N/A</v>
      </c>
      <c r="AS10" s="638"/>
      <c r="AT10" s="553">
        <v>17</v>
      </c>
      <c r="AU10" s="559">
        <v>1439.9999999999998</v>
      </c>
      <c r="AV10" s="559">
        <v>84.70588235294116</v>
      </c>
      <c r="AW10" s="553" t="e">
        <f t="shared" si="15"/>
        <v>#N/A</v>
      </c>
      <c r="AX10" s="638"/>
      <c r="AZ10" s="359" t="e">
        <f t="shared" si="17"/>
        <v>#N/A</v>
      </c>
      <c r="BA10" s="715"/>
    </row>
    <row r="11" spans="1:53" ht="14.25">
      <c r="A11" s="81"/>
      <c r="B11" s="643"/>
      <c r="C11" s="555">
        <v>5</v>
      </c>
      <c r="D11" s="220" t="s">
        <v>661</v>
      </c>
      <c r="E11" s="559">
        <v>17</v>
      </c>
      <c r="F11" s="553">
        <v>1565</v>
      </c>
      <c r="G11" s="552">
        <v>92.058823529411768</v>
      </c>
      <c r="H11" s="651"/>
      <c r="I11" s="554">
        <f t="shared" si="0"/>
        <v>17</v>
      </c>
      <c r="J11" s="554">
        <f t="shared" si="1"/>
        <v>1430.5111193757277</v>
      </c>
      <c r="K11" s="194">
        <f t="shared" si="2"/>
        <v>84.147712904454579</v>
      </c>
      <c r="L11" s="653"/>
      <c r="M11" s="471" t="e">
        <f>RANK(K11, K$87:$K$101)</f>
        <v>#N/A</v>
      </c>
      <c r="N11" s="637"/>
      <c r="O11" s="637"/>
      <c r="P11" s="553">
        <v>17</v>
      </c>
      <c r="Q11" s="559">
        <v>1438.1612903225782</v>
      </c>
      <c r="R11" s="559">
        <v>84.597722960151657</v>
      </c>
      <c r="S11" s="553" t="e">
        <f t="shared" si="3"/>
        <v>#N/A</v>
      </c>
      <c r="T11" s="638"/>
      <c r="U11" s="553">
        <v>17</v>
      </c>
      <c r="V11" s="559">
        <v>1430.896551724135</v>
      </c>
      <c r="W11" s="559">
        <v>84.170385395537352</v>
      </c>
      <c r="X11" s="553" t="e">
        <f t="shared" si="5"/>
        <v>#N/A</v>
      </c>
      <c r="Y11" s="638"/>
      <c r="Z11" s="553">
        <v>17</v>
      </c>
      <c r="AA11" s="559">
        <v>1431.6455696202538</v>
      </c>
      <c r="AB11" s="559">
        <v>84.214445271779638</v>
      </c>
      <c r="AC11" s="553" t="e">
        <f t="shared" si="7"/>
        <v>#N/A</v>
      </c>
      <c r="AD11" s="638"/>
      <c r="AE11" s="553">
        <v>17</v>
      </c>
      <c r="AF11" s="559">
        <v>1449.6774193548383</v>
      </c>
      <c r="AG11" s="559">
        <v>85.275142314990489</v>
      </c>
      <c r="AH11" s="553" t="e">
        <f t="shared" si="9"/>
        <v>#N/A</v>
      </c>
      <c r="AI11" s="638"/>
      <c r="AJ11" s="553">
        <v>17</v>
      </c>
      <c r="AK11" s="559">
        <v>1443.7499999999995</v>
      </c>
      <c r="AL11" s="559">
        <v>84.926470588235262</v>
      </c>
      <c r="AM11" s="553" t="e">
        <f t="shared" si="11"/>
        <v>#N/A</v>
      </c>
      <c r="AN11" s="638"/>
      <c r="AO11" s="553">
        <v>17</v>
      </c>
      <c r="AP11" s="559">
        <v>1414.2857142857113</v>
      </c>
      <c r="AQ11" s="559">
        <v>83.193277310924188</v>
      </c>
      <c r="AR11" s="553" t="e">
        <f t="shared" si="13"/>
        <v>#N/A</v>
      </c>
      <c r="AS11" s="638"/>
      <c r="AT11" s="553">
        <v>17</v>
      </c>
      <c r="AU11" s="559">
        <v>1405.1612903225785</v>
      </c>
      <c r="AV11" s="559">
        <v>82.656546489563439</v>
      </c>
      <c r="AW11" s="553" t="e">
        <f t="shared" si="15"/>
        <v>#N/A</v>
      </c>
      <c r="AX11" s="638"/>
      <c r="AZ11" s="359" t="e">
        <f t="shared" si="17"/>
        <v>#N/A</v>
      </c>
      <c r="BA11" s="715"/>
    </row>
    <row r="12" spans="1:53" ht="14.25">
      <c r="A12" s="81"/>
      <c r="B12" s="643"/>
      <c r="C12" s="555">
        <v>6</v>
      </c>
      <c r="D12" s="220" t="s">
        <v>662</v>
      </c>
      <c r="E12" s="559">
        <v>17</v>
      </c>
      <c r="F12" s="553">
        <v>1440</v>
      </c>
      <c r="G12" s="552">
        <v>84.705882352941174</v>
      </c>
      <c r="H12" s="651"/>
      <c r="I12" s="554">
        <f t="shared" si="0"/>
        <v>17</v>
      </c>
      <c r="J12" s="554">
        <f t="shared" si="1"/>
        <v>1285.8655050639661</v>
      </c>
      <c r="K12" s="194">
        <f t="shared" si="2"/>
        <v>75.639147356703887</v>
      </c>
      <c r="L12" s="653"/>
      <c r="M12" s="471" t="e">
        <f>RANK(K12, K$87:$K$101)</f>
        <v>#N/A</v>
      </c>
      <c r="N12" s="637"/>
      <c r="O12" s="637"/>
      <c r="P12" s="553">
        <v>17</v>
      </c>
      <c r="Q12" s="559">
        <v>1292.2388059701491</v>
      </c>
      <c r="R12" s="559">
        <v>76.014047410008772</v>
      </c>
      <c r="S12" s="553" t="e">
        <f t="shared" si="3"/>
        <v>#N/A</v>
      </c>
      <c r="T12" s="638"/>
      <c r="U12" s="553">
        <v>17</v>
      </c>
      <c r="V12" s="559">
        <v>1283.4374999999998</v>
      </c>
      <c r="W12" s="559">
        <v>75.496323529411754</v>
      </c>
      <c r="X12" s="553" t="e">
        <f t="shared" si="5"/>
        <v>#N/A</v>
      </c>
      <c r="Y12" s="638"/>
      <c r="Z12" s="553">
        <v>17</v>
      </c>
      <c r="AA12" s="559">
        <v>1283.1428571428573</v>
      </c>
      <c r="AB12" s="559">
        <v>75.478991596638664</v>
      </c>
      <c r="AC12" s="553" t="e">
        <f t="shared" si="7"/>
        <v>#N/A</v>
      </c>
      <c r="AD12" s="638"/>
      <c r="AE12" s="553">
        <v>17</v>
      </c>
      <c r="AF12" s="559">
        <v>1284.6428571428582</v>
      </c>
      <c r="AG12" s="559">
        <v>75.567226890756373</v>
      </c>
      <c r="AH12" s="553" t="e">
        <f t="shared" si="9"/>
        <v>#N/A</v>
      </c>
      <c r="AI12" s="638"/>
      <c r="AJ12" s="553" t="s">
        <v>557</v>
      </c>
      <c r="AK12" s="559" t="s">
        <v>557</v>
      </c>
      <c r="AL12" s="559" t="s">
        <v>557</v>
      </c>
      <c r="AM12" s="553" t="e">
        <f t="shared" si="11"/>
        <v>#VALUE!</v>
      </c>
      <c r="AN12" s="638"/>
      <c r="AO12" s="553" t="s">
        <v>557</v>
      </c>
      <c r="AP12" s="559" t="s">
        <v>557</v>
      </c>
      <c r="AQ12" s="559" t="s">
        <v>557</v>
      </c>
      <c r="AR12" s="553" t="e">
        <f t="shared" si="13"/>
        <v>#VALUE!</v>
      </c>
      <c r="AS12" s="638"/>
      <c r="AT12" s="553" t="s">
        <v>557</v>
      </c>
      <c r="AU12" s="559" t="s">
        <v>557</v>
      </c>
      <c r="AV12" s="559" t="s">
        <v>557</v>
      </c>
      <c r="AW12" s="553" t="e">
        <f t="shared" si="15"/>
        <v>#VALUE!</v>
      </c>
      <c r="AX12" s="638"/>
      <c r="AZ12" s="359" t="e">
        <f t="shared" si="17"/>
        <v>#N/A</v>
      </c>
      <c r="BA12" s="715"/>
    </row>
    <row r="13" spans="1:53" ht="14.25">
      <c r="A13" s="81"/>
      <c r="B13" s="643"/>
      <c r="C13" s="555">
        <v>7</v>
      </c>
      <c r="D13" s="220" t="s">
        <v>665</v>
      </c>
      <c r="E13" s="559">
        <v>18</v>
      </c>
      <c r="F13" s="553">
        <v>1565</v>
      </c>
      <c r="G13" s="552">
        <v>86.944444444444443</v>
      </c>
      <c r="H13" s="651"/>
      <c r="I13" s="554">
        <f t="shared" si="0"/>
        <v>18</v>
      </c>
      <c r="J13" s="554">
        <f t="shared" si="1"/>
        <v>1444.7862428238313</v>
      </c>
      <c r="K13" s="194">
        <f t="shared" si="2"/>
        <v>80.265902379101732</v>
      </c>
      <c r="L13" s="653"/>
      <c r="M13" s="471" t="e">
        <f>RANK(K13, K$87:$K$101)</f>
        <v>#N/A</v>
      </c>
      <c r="N13" s="637"/>
      <c r="O13" s="637"/>
      <c r="P13" s="553">
        <v>18</v>
      </c>
      <c r="Q13" s="559">
        <v>1420.1249999999982</v>
      </c>
      <c r="R13" s="559">
        <v>78.895833333333229</v>
      </c>
      <c r="S13" s="553" t="e">
        <f t="shared" si="3"/>
        <v>#N/A</v>
      </c>
      <c r="T13" s="638"/>
      <c r="U13" s="553">
        <v>18</v>
      </c>
      <c r="V13" s="559">
        <v>1440.4838709677422</v>
      </c>
      <c r="W13" s="559">
        <v>80.026881720430126</v>
      </c>
      <c r="X13" s="553" t="e">
        <f t="shared" si="5"/>
        <v>#N/A</v>
      </c>
      <c r="Y13" s="638"/>
      <c r="Z13" s="553">
        <v>18</v>
      </c>
      <c r="AA13" s="559">
        <v>1452.380952380953</v>
      </c>
      <c r="AB13" s="559">
        <v>80.687830687830726</v>
      </c>
      <c r="AC13" s="553" t="e">
        <f t="shared" si="7"/>
        <v>#N/A</v>
      </c>
      <c r="AD13" s="638"/>
      <c r="AE13" s="553">
        <v>18</v>
      </c>
      <c r="AF13" s="559">
        <v>1439.9999999999998</v>
      </c>
      <c r="AG13" s="559">
        <v>79.999999999999986</v>
      </c>
      <c r="AH13" s="553" t="e">
        <f t="shared" si="9"/>
        <v>#N/A</v>
      </c>
      <c r="AI13" s="638"/>
      <c r="AJ13" s="553">
        <v>18</v>
      </c>
      <c r="AK13" s="559">
        <v>1462.8099173553724</v>
      </c>
      <c r="AL13" s="559">
        <v>81.26721763085402</v>
      </c>
      <c r="AM13" s="553" t="e">
        <f t="shared" si="11"/>
        <v>#N/A</v>
      </c>
      <c r="AN13" s="638"/>
      <c r="AO13" s="553">
        <v>18</v>
      </c>
      <c r="AP13" s="559">
        <v>1432.7848101265822</v>
      </c>
      <c r="AQ13" s="559">
        <v>79.599156118143455</v>
      </c>
      <c r="AR13" s="553" t="e">
        <f t="shared" si="13"/>
        <v>#N/A</v>
      </c>
      <c r="AS13" s="638"/>
      <c r="AT13" s="553">
        <v>18</v>
      </c>
      <c r="AU13" s="559">
        <v>1464.9191489361704</v>
      </c>
      <c r="AV13" s="559">
        <v>81.384397163120582</v>
      </c>
      <c r="AW13" s="553" t="e">
        <f t="shared" si="15"/>
        <v>#N/A</v>
      </c>
      <c r="AX13" s="638"/>
      <c r="AZ13" s="359" t="e">
        <f t="shared" si="17"/>
        <v>#N/A</v>
      </c>
      <c r="BA13" s="715"/>
    </row>
    <row r="14" spans="1:53" ht="14.25">
      <c r="A14" s="81"/>
      <c r="B14" s="643"/>
      <c r="C14" s="555">
        <v>8</v>
      </c>
      <c r="D14" s="220"/>
      <c r="E14" s="559"/>
      <c r="F14" s="553"/>
      <c r="G14" s="552"/>
      <c r="H14" s="651"/>
      <c r="I14" s="554" t="str">
        <f t="shared" si="0"/>
        <v>-</v>
      </c>
      <c r="J14" s="554" t="str">
        <f t="shared" si="1"/>
        <v>-</v>
      </c>
      <c r="K14" s="194" t="str">
        <f t="shared" si="2"/>
        <v>-</v>
      </c>
      <c r="L14" s="653"/>
      <c r="M14" s="471" t="e">
        <f>RANK(K14, K$87:$K$101)</f>
        <v>#VALUE!</v>
      </c>
      <c r="N14" s="637"/>
      <c r="O14" s="637"/>
      <c r="P14" s="553" t="s">
        <v>557</v>
      </c>
      <c r="Q14" s="559" t="s">
        <v>557</v>
      </c>
      <c r="R14" s="559" t="s">
        <v>557</v>
      </c>
      <c r="S14" s="553" t="e">
        <f t="shared" si="3"/>
        <v>#VALUE!</v>
      </c>
      <c r="T14" s="638"/>
      <c r="U14" s="553" t="s">
        <v>557</v>
      </c>
      <c r="V14" s="559" t="s">
        <v>557</v>
      </c>
      <c r="W14" s="559" t="s">
        <v>557</v>
      </c>
      <c r="X14" s="553" t="e">
        <f t="shared" si="5"/>
        <v>#VALUE!</v>
      </c>
      <c r="Y14" s="638"/>
      <c r="Z14" s="553" t="s">
        <v>557</v>
      </c>
      <c r="AA14" s="559" t="s">
        <v>557</v>
      </c>
      <c r="AB14" s="559" t="s">
        <v>557</v>
      </c>
      <c r="AC14" s="553" t="e">
        <f t="shared" si="7"/>
        <v>#VALUE!</v>
      </c>
      <c r="AD14" s="638"/>
      <c r="AE14" s="553" t="s">
        <v>557</v>
      </c>
      <c r="AF14" s="559" t="s">
        <v>557</v>
      </c>
      <c r="AG14" s="559" t="s">
        <v>557</v>
      </c>
      <c r="AH14" s="553" t="e">
        <f t="shared" si="9"/>
        <v>#VALUE!</v>
      </c>
      <c r="AI14" s="638"/>
      <c r="AJ14" s="553" t="s">
        <v>557</v>
      </c>
      <c r="AK14" s="559" t="s">
        <v>557</v>
      </c>
      <c r="AL14" s="559" t="s">
        <v>557</v>
      </c>
      <c r="AM14" s="553" t="e">
        <f t="shared" si="11"/>
        <v>#VALUE!</v>
      </c>
      <c r="AN14" s="638"/>
      <c r="AO14" s="553" t="s">
        <v>557</v>
      </c>
      <c r="AP14" s="559" t="s">
        <v>557</v>
      </c>
      <c r="AQ14" s="559" t="s">
        <v>557</v>
      </c>
      <c r="AR14" s="553" t="e">
        <f t="shared" si="13"/>
        <v>#VALUE!</v>
      </c>
      <c r="AS14" s="638"/>
      <c r="AT14" s="553" t="s">
        <v>557</v>
      </c>
      <c r="AU14" s="559" t="s">
        <v>557</v>
      </c>
      <c r="AV14" s="559" t="s">
        <v>557</v>
      </c>
      <c r="AW14" s="553" t="e">
        <f t="shared" si="15"/>
        <v>#VALUE!</v>
      </c>
      <c r="AX14" s="638"/>
      <c r="AZ14" s="359" t="e">
        <f t="shared" si="17"/>
        <v>#N/A</v>
      </c>
      <c r="BA14" s="715"/>
    </row>
    <row r="15" spans="1:53" ht="14.25">
      <c r="A15" s="81"/>
      <c r="B15" s="643"/>
      <c r="C15" s="555">
        <v>9</v>
      </c>
      <c r="D15" s="220"/>
      <c r="E15" s="559"/>
      <c r="F15" s="553"/>
      <c r="G15" s="552"/>
      <c r="H15" s="651"/>
      <c r="I15" s="554" t="str">
        <f t="shared" si="0"/>
        <v>-</v>
      </c>
      <c r="J15" s="554" t="str">
        <f t="shared" si="1"/>
        <v>-</v>
      </c>
      <c r="K15" s="194" t="str">
        <f t="shared" si="2"/>
        <v>-</v>
      </c>
      <c r="L15" s="653"/>
      <c r="M15" s="471" t="e">
        <f>RANK(K15, K$87:$K$101)</f>
        <v>#VALUE!</v>
      </c>
      <c r="N15" s="637"/>
      <c r="O15" s="637"/>
      <c r="P15" s="553" t="s">
        <v>557</v>
      </c>
      <c r="Q15" s="559" t="s">
        <v>557</v>
      </c>
      <c r="R15" s="559" t="s">
        <v>557</v>
      </c>
      <c r="S15" s="553" t="e">
        <f t="shared" si="3"/>
        <v>#VALUE!</v>
      </c>
      <c r="T15" s="638"/>
      <c r="U15" s="553" t="s">
        <v>557</v>
      </c>
      <c r="V15" s="559" t="s">
        <v>557</v>
      </c>
      <c r="W15" s="559" t="s">
        <v>557</v>
      </c>
      <c r="X15" s="553" t="e">
        <f t="shared" si="5"/>
        <v>#VALUE!</v>
      </c>
      <c r="Y15" s="638"/>
      <c r="Z15" s="553" t="s">
        <v>557</v>
      </c>
      <c r="AA15" s="559" t="s">
        <v>557</v>
      </c>
      <c r="AB15" s="559" t="s">
        <v>557</v>
      </c>
      <c r="AC15" s="553" t="e">
        <f t="shared" si="7"/>
        <v>#VALUE!</v>
      </c>
      <c r="AD15" s="638"/>
      <c r="AE15" s="553" t="s">
        <v>557</v>
      </c>
      <c r="AF15" s="559" t="s">
        <v>557</v>
      </c>
      <c r="AG15" s="559" t="s">
        <v>557</v>
      </c>
      <c r="AH15" s="553" t="e">
        <f t="shared" si="9"/>
        <v>#VALUE!</v>
      </c>
      <c r="AI15" s="638"/>
      <c r="AJ15" s="553" t="s">
        <v>557</v>
      </c>
      <c r="AK15" s="559" t="s">
        <v>557</v>
      </c>
      <c r="AL15" s="559" t="s">
        <v>557</v>
      </c>
      <c r="AM15" s="553" t="e">
        <f t="shared" si="11"/>
        <v>#VALUE!</v>
      </c>
      <c r="AN15" s="638"/>
      <c r="AO15" s="553" t="s">
        <v>557</v>
      </c>
      <c r="AP15" s="559" t="s">
        <v>557</v>
      </c>
      <c r="AQ15" s="559" t="s">
        <v>557</v>
      </c>
      <c r="AR15" s="553" t="e">
        <f t="shared" si="13"/>
        <v>#VALUE!</v>
      </c>
      <c r="AS15" s="638"/>
      <c r="AT15" s="553" t="s">
        <v>557</v>
      </c>
      <c r="AU15" s="559" t="s">
        <v>557</v>
      </c>
      <c r="AV15" s="559" t="s">
        <v>557</v>
      </c>
      <c r="AW15" s="553" t="e">
        <f t="shared" si="15"/>
        <v>#VALUE!</v>
      </c>
      <c r="AX15" s="638"/>
      <c r="AZ15" s="359" t="e">
        <f t="shared" si="17"/>
        <v>#N/A</v>
      </c>
      <c r="BA15" s="715"/>
    </row>
    <row r="16" spans="1:53" ht="14.25">
      <c r="A16" s="81"/>
      <c r="B16" s="643"/>
      <c r="C16" s="555">
        <v>10</v>
      </c>
      <c r="D16" s="220"/>
      <c r="E16" s="559"/>
      <c r="F16" s="553"/>
      <c r="G16" s="552"/>
      <c r="H16" s="651"/>
      <c r="I16" s="554" t="str">
        <f t="shared" si="0"/>
        <v>-</v>
      </c>
      <c r="J16" s="554" t="str">
        <f t="shared" si="1"/>
        <v>-</v>
      </c>
      <c r="K16" s="194" t="str">
        <f t="shared" si="2"/>
        <v>-</v>
      </c>
      <c r="L16" s="653"/>
      <c r="M16" s="471" t="e">
        <f>RANK(K16, K$87:$K$101)</f>
        <v>#VALUE!</v>
      </c>
      <c r="N16" s="637"/>
      <c r="O16" s="637"/>
      <c r="P16" s="553" t="s">
        <v>557</v>
      </c>
      <c r="Q16" s="559" t="s">
        <v>557</v>
      </c>
      <c r="R16" s="559" t="s">
        <v>557</v>
      </c>
      <c r="S16" s="553" t="e">
        <f t="shared" si="3"/>
        <v>#VALUE!</v>
      </c>
      <c r="T16" s="638"/>
      <c r="U16" s="553" t="s">
        <v>557</v>
      </c>
      <c r="V16" s="559" t="s">
        <v>557</v>
      </c>
      <c r="W16" s="559" t="s">
        <v>557</v>
      </c>
      <c r="X16" s="553" t="e">
        <f t="shared" si="5"/>
        <v>#VALUE!</v>
      </c>
      <c r="Y16" s="638"/>
      <c r="Z16" s="553" t="s">
        <v>557</v>
      </c>
      <c r="AA16" s="559" t="s">
        <v>557</v>
      </c>
      <c r="AB16" s="559" t="s">
        <v>557</v>
      </c>
      <c r="AC16" s="553" t="e">
        <f t="shared" si="7"/>
        <v>#VALUE!</v>
      </c>
      <c r="AD16" s="638"/>
      <c r="AE16" s="553" t="s">
        <v>557</v>
      </c>
      <c r="AF16" s="559" t="s">
        <v>557</v>
      </c>
      <c r="AG16" s="559" t="s">
        <v>557</v>
      </c>
      <c r="AH16" s="553" t="e">
        <f t="shared" si="9"/>
        <v>#VALUE!</v>
      </c>
      <c r="AI16" s="638"/>
      <c r="AJ16" s="553" t="s">
        <v>557</v>
      </c>
      <c r="AK16" s="559" t="s">
        <v>557</v>
      </c>
      <c r="AL16" s="559" t="s">
        <v>557</v>
      </c>
      <c r="AM16" s="553" t="e">
        <f t="shared" si="11"/>
        <v>#VALUE!</v>
      </c>
      <c r="AN16" s="638"/>
      <c r="AO16" s="553" t="s">
        <v>557</v>
      </c>
      <c r="AP16" s="559" t="s">
        <v>557</v>
      </c>
      <c r="AQ16" s="559" t="s">
        <v>557</v>
      </c>
      <c r="AR16" s="553" t="e">
        <f t="shared" si="13"/>
        <v>#VALUE!</v>
      </c>
      <c r="AS16" s="638"/>
      <c r="AT16" s="553" t="s">
        <v>557</v>
      </c>
      <c r="AU16" s="559" t="s">
        <v>557</v>
      </c>
      <c r="AV16" s="559" t="s">
        <v>557</v>
      </c>
      <c r="AW16" s="553" t="e">
        <f t="shared" si="15"/>
        <v>#VALUE!</v>
      </c>
      <c r="AX16" s="638"/>
      <c r="AZ16" s="359" t="e">
        <f t="shared" si="17"/>
        <v>#N/A</v>
      </c>
      <c r="BA16" s="715"/>
    </row>
    <row r="17" spans="2:53">
      <c r="B17" s="643"/>
      <c r="C17" s="555">
        <v>11</v>
      </c>
      <c r="D17" s="220"/>
      <c r="E17" s="559"/>
      <c r="F17" s="553"/>
      <c r="G17" s="552"/>
      <c r="H17" s="651"/>
      <c r="I17" s="554" t="str">
        <f t="shared" si="0"/>
        <v>-</v>
      </c>
      <c r="J17" s="554" t="str">
        <f t="shared" si="1"/>
        <v>-</v>
      </c>
      <c r="K17" s="194" t="str">
        <f t="shared" si="2"/>
        <v>-</v>
      </c>
      <c r="L17" s="653"/>
      <c r="M17" s="471" t="e">
        <f>RANK(K17, K$87:$K$101)</f>
        <v>#VALUE!</v>
      </c>
      <c r="N17" s="637"/>
      <c r="O17" s="637"/>
      <c r="P17" s="553" t="s">
        <v>557</v>
      </c>
      <c r="Q17" s="559" t="s">
        <v>557</v>
      </c>
      <c r="R17" s="559" t="s">
        <v>557</v>
      </c>
      <c r="S17" s="553" t="e">
        <f t="shared" si="3"/>
        <v>#VALUE!</v>
      </c>
      <c r="T17" s="638"/>
      <c r="U17" s="553" t="s">
        <v>557</v>
      </c>
      <c r="V17" s="559" t="s">
        <v>557</v>
      </c>
      <c r="W17" s="559" t="s">
        <v>557</v>
      </c>
      <c r="X17" s="553" t="e">
        <f t="shared" si="5"/>
        <v>#VALUE!</v>
      </c>
      <c r="Y17" s="638"/>
      <c r="Z17" s="553" t="s">
        <v>557</v>
      </c>
      <c r="AA17" s="559" t="s">
        <v>557</v>
      </c>
      <c r="AB17" s="559" t="s">
        <v>557</v>
      </c>
      <c r="AC17" s="553" t="e">
        <f t="shared" si="7"/>
        <v>#VALUE!</v>
      </c>
      <c r="AD17" s="638"/>
      <c r="AE17" s="553" t="s">
        <v>557</v>
      </c>
      <c r="AF17" s="559" t="s">
        <v>557</v>
      </c>
      <c r="AG17" s="559" t="s">
        <v>557</v>
      </c>
      <c r="AH17" s="553" t="e">
        <f t="shared" si="9"/>
        <v>#VALUE!</v>
      </c>
      <c r="AI17" s="638"/>
      <c r="AJ17" s="553" t="s">
        <v>557</v>
      </c>
      <c r="AK17" s="559" t="s">
        <v>557</v>
      </c>
      <c r="AL17" s="559" t="s">
        <v>557</v>
      </c>
      <c r="AM17" s="553" t="e">
        <f t="shared" si="11"/>
        <v>#VALUE!</v>
      </c>
      <c r="AN17" s="638"/>
      <c r="AO17" s="553" t="s">
        <v>557</v>
      </c>
      <c r="AP17" s="559" t="s">
        <v>557</v>
      </c>
      <c r="AQ17" s="559" t="s">
        <v>557</v>
      </c>
      <c r="AR17" s="553" t="e">
        <f t="shared" si="13"/>
        <v>#VALUE!</v>
      </c>
      <c r="AS17" s="638"/>
      <c r="AT17" s="553" t="s">
        <v>557</v>
      </c>
      <c r="AU17" s="559" t="s">
        <v>557</v>
      </c>
      <c r="AV17" s="559" t="s">
        <v>557</v>
      </c>
      <c r="AW17" s="553" t="e">
        <f t="shared" si="15"/>
        <v>#VALUE!</v>
      </c>
      <c r="AX17" s="638"/>
      <c r="AZ17" s="359" t="e">
        <f t="shared" si="17"/>
        <v>#N/A</v>
      </c>
      <c r="BA17" s="715"/>
    </row>
    <row r="18" spans="2:53">
      <c r="B18" s="643"/>
      <c r="C18" s="555">
        <v>12</v>
      </c>
      <c r="D18" s="220"/>
      <c r="E18" s="559"/>
      <c r="F18" s="553"/>
      <c r="G18" s="552"/>
      <c r="H18" s="651"/>
      <c r="I18" s="554" t="str">
        <f t="shared" si="0"/>
        <v>-</v>
      </c>
      <c r="J18" s="554" t="str">
        <f t="shared" si="1"/>
        <v>-</v>
      </c>
      <c r="K18" s="194" t="str">
        <f t="shared" si="2"/>
        <v>-</v>
      </c>
      <c r="L18" s="653"/>
      <c r="M18" s="471" t="e">
        <f>RANK(K18, K$87:$K$101)</f>
        <v>#VALUE!</v>
      </c>
      <c r="N18" s="637"/>
      <c r="O18" s="637"/>
      <c r="P18" s="553" t="s">
        <v>557</v>
      </c>
      <c r="Q18" s="559" t="s">
        <v>557</v>
      </c>
      <c r="R18" s="559" t="s">
        <v>557</v>
      </c>
      <c r="S18" s="553" t="e">
        <f t="shared" si="3"/>
        <v>#VALUE!</v>
      </c>
      <c r="T18" s="638"/>
      <c r="U18" s="553" t="s">
        <v>557</v>
      </c>
      <c r="V18" s="559" t="s">
        <v>557</v>
      </c>
      <c r="W18" s="559" t="s">
        <v>557</v>
      </c>
      <c r="X18" s="553" t="e">
        <f t="shared" si="5"/>
        <v>#VALUE!</v>
      </c>
      <c r="Y18" s="638"/>
      <c r="Z18" s="553" t="s">
        <v>557</v>
      </c>
      <c r="AA18" s="559" t="s">
        <v>557</v>
      </c>
      <c r="AB18" s="559" t="s">
        <v>557</v>
      </c>
      <c r="AC18" s="553" t="e">
        <f t="shared" si="7"/>
        <v>#VALUE!</v>
      </c>
      <c r="AD18" s="638"/>
      <c r="AE18" s="553" t="s">
        <v>557</v>
      </c>
      <c r="AF18" s="559" t="s">
        <v>557</v>
      </c>
      <c r="AG18" s="559" t="s">
        <v>557</v>
      </c>
      <c r="AH18" s="553" t="e">
        <f t="shared" si="9"/>
        <v>#VALUE!</v>
      </c>
      <c r="AI18" s="638"/>
      <c r="AJ18" s="553" t="s">
        <v>557</v>
      </c>
      <c r="AK18" s="559" t="s">
        <v>557</v>
      </c>
      <c r="AL18" s="559" t="s">
        <v>557</v>
      </c>
      <c r="AM18" s="553" t="e">
        <f t="shared" si="11"/>
        <v>#VALUE!</v>
      </c>
      <c r="AN18" s="638"/>
      <c r="AO18" s="553" t="s">
        <v>557</v>
      </c>
      <c r="AP18" s="559" t="s">
        <v>557</v>
      </c>
      <c r="AQ18" s="559" t="s">
        <v>557</v>
      </c>
      <c r="AR18" s="553" t="e">
        <f t="shared" si="13"/>
        <v>#VALUE!</v>
      </c>
      <c r="AS18" s="638"/>
      <c r="AT18" s="553" t="s">
        <v>557</v>
      </c>
      <c r="AU18" s="559" t="s">
        <v>557</v>
      </c>
      <c r="AV18" s="559" t="s">
        <v>557</v>
      </c>
      <c r="AW18" s="553" t="e">
        <f t="shared" si="15"/>
        <v>#VALUE!</v>
      </c>
      <c r="AX18" s="638"/>
      <c r="AZ18" s="359" t="e">
        <f t="shared" si="17"/>
        <v>#N/A</v>
      </c>
      <c r="BA18" s="715"/>
    </row>
    <row r="19" spans="2:53">
      <c r="B19" s="643"/>
      <c r="C19" s="555">
        <v>13</v>
      </c>
      <c r="D19" s="220"/>
      <c r="E19" s="559"/>
      <c r="F19" s="553"/>
      <c r="G19" s="552"/>
      <c r="H19" s="651"/>
      <c r="I19" s="554" t="str">
        <f t="shared" si="0"/>
        <v>-</v>
      </c>
      <c r="J19" s="554" t="str">
        <f t="shared" si="1"/>
        <v>-</v>
      </c>
      <c r="K19" s="194" t="str">
        <f t="shared" si="2"/>
        <v>-</v>
      </c>
      <c r="L19" s="653"/>
      <c r="M19" s="471" t="e">
        <f>RANK(K19, K$87:$K$101)</f>
        <v>#VALUE!</v>
      </c>
      <c r="N19" s="637"/>
      <c r="O19" s="637"/>
      <c r="P19" s="553" t="s">
        <v>557</v>
      </c>
      <c r="Q19" s="559" t="s">
        <v>557</v>
      </c>
      <c r="R19" s="559" t="s">
        <v>557</v>
      </c>
      <c r="S19" s="553" t="e">
        <f t="shared" si="3"/>
        <v>#VALUE!</v>
      </c>
      <c r="T19" s="638"/>
      <c r="U19" s="553" t="s">
        <v>557</v>
      </c>
      <c r="V19" s="559" t="s">
        <v>557</v>
      </c>
      <c r="W19" s="559" t="s">
        <v>557</v>
      </c>
      <c r="X19" s="553" t="e">
        <f t="shared" si="5"/>
        <v>#VALUE!</v>
      </c>
      <c r="Y19" s="638"/>
      <c r="Z19" s="553" t="s">
        <v>557</v>
      </c>
      <c r="AA19" s="559" t="s">
        <v>557</v>
      </c>
      <c r="AB19" s="559" t="s">
        <v>557</v>
      </c>
      <c r="AC19" s="553" t="e">
        <f t="shared" si="7"/>
        <v>#VALUE!</v>
      </c>
      <c r="AD19" s="638"/>
      <c r="AE19" s="553" t="s">
        <v>557</v>
      </c>
      <c r="AF19" s="559" t="s">
        <v>557</v>
      </c>
      <c r="AG19" s="559" t="s">
        <v>557</v>
      </c>
      <c r="AH19" s="553" t="e">
        <f t="shared" si="9"/>
        <v>#VALUE!</v>
      </c>
      <c r="AI19" s="638"/>
      <c r="AJ19" s="553" t="s">
        <v>557</v>
      </c>
      <c r="AK19" s="559" t="s">
        <v>557</v>
      </c>
      <c r="AL19" s="559" t="s">
        <v>557</v>
      </c>
      <c r="AM19" s="553" t="e">
        <f t="shared" si="11"/>
        <v>#VALUE!</v>
      </c>
      <c r="AN19" s="638"/>
      <c r="AO19" s="553" t="s">
        <v>557</v>
      </c>
      <c r="AP19" s="559" t="s">
        <v>557</v>
      </c>
      <c r="AQ19" s="559" t="s">
        <v>557</v>
      </c>
      <c r="AR19" s="553" t="e">
        <f t="shared" si="13"/>
        <v>#VALUE!</v>
      </c>
      <c r="AS19" s="638"/>
      <c r="AT19" s="553" t="s">
        <v>557</v>
      </c>
      <c r="AU19" s="559" t="s">
        <v>557</v>
      </c>
      <c r="AV19" s="559" t="s">
        <v>557</v>
      </c>
      <c r="AW19" s="553" t="e">
        <f t="shared" si="15"/>
        <v>#VALUE!</v>
      </c>
      <c r="AX19" s="638"/>
      <c r="AZ19" s="359" t="e">
        <f t="shared" si="17"/>
        <v>#N/A</v>
      </c>
      <c r="BA19" s="715"/>
    </row>
    <row r="20" spans="2:53">
      <c r="B20" s="643"/>
      <c r="C20" s="555">
        <v>14</v>
      </c>
      <c r="D20" s="220"/>
      <c r="E20" s="559"/>
      <c r="F20" s="553"/>
      <c r="G20" s="552"/>
      <c r="H20" s="651"/>
      <c r="I20" s="554" t="str">
        <f t="shared" si="0"/>
        <v>-</v>
      </c>
      <c r="J20" s="554" t="str">
        <f t="shared" si="1"/>
        <v>-</v>
      </c>
      <c r="K20" s="194" t="str">
        <f t="shared" si="2"/>
        <v>-</v>
      </c>
      <c r="L20" s="653"/>
      <c r="M20" s="471" t="e">
        <f>RANK(K20, K$87:$K$101)</f>
        <v>#VALUE!</v>
      </c>
      <c r="N20" s="637"/>
      <c r="O20" s="637"/>
      <c r="P20" s="553" t="s">
        <v>557</v>
      </c>
      <c r="Q20" s="559" t="s">
        <v>557</v>
      </c>
      <c r="R20" s="559" t="s">
        <v>557</v>
      </c>
      <c r="S20" s="553" t="e">
        <f t="shared" si="3"/>
        <v>#VALUE!</v>
      </c>
      <c r="T20" s="638"/>
      <c r="U20" s="553" t="s">
        <v>557</v>
      </c>
      <c r="V20" s="559" t="s">
        <v>557</v>
      </c>
      <c r="W20" s="559" t="s">
        <v>557</v>
      </c>
      <c r="X20" s="553" t="e">
        <f t="shared" si="5"/>
        <v>#VALUE!</v>
      </c>
      <c r="Y20" s="638"/>
      <c r="Z20" s="553" t="s">
        <v>557</v>
      </c>
      <c r="AA20" s="559" t="s">
        <v>557</v>
      </c>
      <c r="AB20" s="559" t="s">
        <v>557</v>
      </c>
      <c r="AC20" s="553" t="e">
        <f t="shared" si="7"/>
        <v>#VALUE!</v>
      </c>
      <c r="AD20" s="638"/>
      <c r="AE20" s="553" t="s">
        <v>557</v>
      </c>
      <c r="AF20" s="559" t="s">
        <v>557</v>
      </c>
      <c r="AG20" s="559" t="s">
        <v>557</v>
      </c>
      <c r="AH20" s="553" t="e">
        <f t="shared" si="9"/>
        <v>#VALUE!</v>
      </c>
      <c r="AI20" s="638"/>
      <c r="AJ20" s="553" t="s">
        <v>557</v>
      </c>
      <c r="AK20" s="559" t="s">
        <v>557</v>
      </c>
      <c r="AL20" s="559" t="s">
        <v>557</v>
      </c>
      <c r="AM20" s="553" t="e">
        <f t="shared" si="11"/>
        <v>#VALUE!</v>
      </c>
      <c r="AN20" s="638"/>
      <c r="AO20" s="553" t="s">
        <v>557</v>
      </c>
      <c r="AP20" s="559" t="s">
        <v>557</v>
      </c>
      <c r="AQ20" s="559" t="s">
        <v>557</v>
      </c>
      <c r="AR20" s="553" t="e">
        <f t="shared" si="13"/>
        <v>#VALUE!</v>
      </c>
      <c r="AS20" s="638"/>
      <c r="AT20" s="553" t="s">
        <v>557</v>
      </c>
      <c r="AU20" s="559" t="s">
        <v>557</v>
      </c>
      <c r="AV20" s="559" t="s">
        <v>557</v>
      </c>
      <c r="AW20" s="553" t="e">
        <f t="shared" si="15"/>
        <v>#VALUE!</v>
      </c>
      <c r="AX20" s="638"/>
      <c r="AZ20" s="359" t="e">
        <f t="shared" si="17"/>
        <v>#N/A</v>
      </c>
      <c r="BA20" s="715"/>
    </row>
    <row r="21" spans="2:53">
      <c r="B21" s="643"/>
      <c r="C21" s="555">
        <v>15</v>
      </c>
      <c r="D21" s="220"/>
      <c r="E21" s="559"/>
      <c r="F21" s="553"/>
      <c r="G21" s="552"/>
      <c r="H21" s="708"/>
      <c r="I21" s="555"/>
      <c r="J21" s="555"/>
      <c r="K21" s="555"/>
      <c r="L21" s="654"/>
      <c r="M21" s="471" t="e">
        <f>RANK(K21, K$87:$K$101)</f>
        <v>#N/A</v>
      </c>
      <c r="N21" s="637"/>
      <c r="O21" s="637"/>
      <c r="P21" s="553" t="s">
        <v>557</v>
      </c>
      <c r="Q21" s="559" t="s">
        <v>557</v>
      </c>
      <c r="R21" s="559" t="s">
        <v>557</v>
      </c>
      <c r="S21" s="553" t="e">
        <f t="shared" si="3"/>
        <v>#VALUE!</v>
      </c>
      <c r="T21" s="638"/>
      <c r="U21" s="553" t="s">
        <v>557</v>
      </c>
      <c r="V21" s="559" t="s">
        <v>557</v>
      </c>
      <c r="W21" s="559" t="s">
        <v>557</v>
      </c>
      <c r="X21" s="553" t="e">
        <f t="shared" si="5"/>
        <v>#VALUE!</v>
      </c>
      <c r="Y21" s="638"/>
      <c r="Z21" s="553" t="s">
        <v>557</v>
      </c>
      <c r="AA21" s="559" t="s">
        <v>557</v>
      </c>
      <c r="AB21" s="559" t="s">
        <v>557</v>
      </c>
      <c r="AC21" s="553" t="e">
        <f t="shared" si="7"/>
        <v>#VALUE!</v>
      </c>
      <c r="AD21" s="638"/>
      <c r="AE21" s="553" t="s">
        <v>557</v>
      </c>
      <c r="AF21" s="559" t="s">
        <v>557</v>
      </c>
      <c r="AG21" s="559" t="s">
        <v>557</v>
      </c>
      <c r="AH21" s="553" t="e">
        <f t="shared" si="9"/>
        <v>#VALUE!</v>
      </c>
      <c r="AI21" s="638"/>
      <c r="AJ21" s="553" t="s">
        <v>557</v>
      </c>
      <c r="AK21" s="559" t="s">
        <v>557</v>
      </c>
      <c r="AL21" s="559" t="s">
        <v>557</v>
      </c>
      <c r="AM21" s="553" t="e">
        <f t="shared" si="11"/>
        <v>#VALUE!</v>
      </c>
      <c r="AN21" s="638"/>
      <c r="AO21" s="553" t="s">
        <v>557</v>
      </c>
      <c r="AP21" s="559" t="s">
        <v>557</v>
      </c>
      <c r="AQ21" s="559" t="s">
        <v>557</v>
      </c>
      <c r="AR21" s="553" t="e">
        <f t="shared" si="13"/>
        <v>#VALUE!</v>
      </c>
      <c r="AS21" s="638"/>
      <c r="AT21" s="553" t="s">
        <v>557</v>
      </c>
      <c r="AU21" s="559" t="s">
        <v>557</v>
      </c>
      <c r="AV21" s="559" t="s">
        <v>557</v>
      </c>
      <c r="AW21" s="553" t="e">
        <f t="shared" si="15"/>
        <v>#VALUE!</v>
      </c>
      <c r="AX21" s="638"/>
      <c r="AZ21" s="359" t="e">
        <f t="shared" si="17"/>
        <v>#N/A</v>
      </c>
      <c r="BA21" s="716"/>
    </row>
    <row r="22" spans="2:53" ht="15.75">
      <c r="B22" s="676" t="s">
        <v>162</v>
      </c>
      <c r="C22" s="677"/>
      <c r="D22" s="677"/>
      <c r="E22" s="677"/>
      <c r="F22" s="677"/>
      <c r="G22" s="677"/>
      <c r="H22" s="677"/>
      <c r="I22" s="197"/>
      <c r="J22" s="197"/>
      <c r="K22" s="197"/>
      <c r="L22" s="197"/>
      <c r="M22" s="198"/>
      <c r="N22" s="639" t="s">
        <v>156</v>
      </c>
      <c r="O22" s="639" t="s">
        <v>105</v>
      </c>
      <c r="P22" s="664">
        <f>P2+7</f>
        <v>46301</v>
      </c>
      <c r="Q22" s="643"/>
      <c r="R22" s="643"/>
      <c r="S22" s="643"/>
      <c r="T22" s="643"/>
      <c r="U22" s="661">
        <f>P22+1</f>
        <v>46302</v>
      </c>
      <c r="V22" s="662"/>
      <c r="W22" s="662"/>
      <c r="X22" s="662"/>
      <c r="Y22" s="663"/>
      <c r="Z22" s="661">
        <f>U22+1</f>
        <v>46303</v>
      </c>
      <c r="AA22" s="662"/>
      <c r="AB22" s="662"/>
      <c r="AC22" s="662"/>
      <c r="AD22" s="663"/>
      <c r="AE22" s="661">
        <f>Z22+1</f>
        <v>46304</v>
      </c>
      <c r="AF22" s="662"/>
      <c r="AG22" s="662"/>
      <c r="AH22" s="662"/>
      <c r="AI22" s="663"/>
      <c r="AJ22" s="661">
        <f>AE22+1</f>
        <v>46305</v>
      </c>
      <c r="AK22" s="662"/>
      <c r="AL22" s="662"/>
      <c r="AM22" s="662"/>
      <c r="AN22" s="663"/>
      <c r="AO22" s="661">
        <f>AJ22+1</f>
        <v>46306</v>
      </c>
      <c r="AP22" s="662"/>
      <c r="AQ22" s="662"/>
      <c r="AR22" s="662"/>
      <c r="AS22" s="663"/>
      <c r="AT22" s="661">
        <f>AO22+1</f>
        <v>46307</v>
      </c>
      <c r="AU22" s="662"/>
      <c r="AV22" s="662"/>
      <c r="AW22" s="662"/>
      <c r="AX22" s="663"/>
    </row>
    <row r="23" spans="2:53" ht="15.75">
      <c r="B23" s="668"/>
      <c r="C23" s="668"/>
      <c r="D23" s="668"/>
      <c r="E23" s="668"/>
      <c r="F23" s="668"/>
      <c r="G23" s="668"/>
      <c r="H23" s="668"/>
      <c r="I23" s="199"/>
      <c r="J23" s="199"/>
      <c r="K23" s="199"/>
      <c r="L23" s="199"/>
      <c r="M23" s="200"/>
      <c r="N23" s="641"/>
      <c r="O23" s="641"/>
      <c r="P23" s="664" t="s">
        <v>317</v>
      </c>
      <c r="Q23" s="643"/>
      <c r="R23" s="643"/>
      <c r="S23" s="643"/>
      <c r="T23" s="643"/>
      <c r="U23" s="664" t="s">
        <v>318</v>
      </c>
      <c r="V23" s="643"/>
      <c r="W23" s="643"/>
      <c r="X23" s="643"/>
      <c r="Y23" s="643"/>
      <c r="Z23" s="664" t="s">
        <v>319</v>
      </c>
      <c r="AA23" s="643"/>
      <c r="AB23" s="643"/>
      <c r="AC23" s="643"/>
      <c r="AD23" s="643"/>
      <c r="AE23" s="664" t="s">
        <v>320</v>
      </c>
      <c r="AF23" s="643"/>
      <c r="AG23" s="643"/>
      <c r="AH23" s="643"/>
      <c r="AI23" s="643"/>
      <c r="AJ23" s="664" t="s">
        <v>321</v>
      </c>
      <c r="AK23" s="643"/>
      <c r="AL23" s="643"/>
      <c r="AM23" s="643"/>
      <c r="AN23" s="643"/>
      <c r="AO23" s="664" t="s">
        <v>322</v>
      </c>
      <c r="AP23" s="643"/>
      <c r="AQ23" s="643"/>
      <c r="AR23" s="643"/>
      <c r="AS23" s="643"/>
      <c r="AT23" s="664" t="s">
        <v>323</v>
      </c>
      <c r="AU23" s="643"/>
      <c r="AV23" s="643"/>
      <c r="AW23" s="643"/>
      <c r="AX23" s="643"/>
    </row>
    <row r="24" spans="2:53">
      <c r="B24" s="637" t="s">
        <v>360</v>
      </c>
      <c r="C24" s="637" t="s">
        <v>521</v>
      </c>
      <c r="D24" s="637"/>
      <c r="E24" s="637" t="s">
        <v>522</v>
      </c>
      <c r="F24" s="637"/>
      <c r="G24" s="637"/>
      <c r="H24" s="669" t="s">
        <v>523</v>
      </c>
      <c r="I24" s="637" t="s">
        <v>524</v>
      </c>
      <c r="J24" s="637"/>
      <c r="K24" s="637"/>
      <c r="L24" s="669" t="s">
        <v>357</v>
      </c>
      <c r="M24" s="639" t="s">
        <v>525</v>
      </c>
      <c r="N24" s="637"/>
      <c r="O24" s="637" t="s">
        <v>526</v>
      </c>
      <c r="P24" s="655" t="s">
        <v>359</v>
      </c>
      <c r="Q24" s="656"/>
      <c r="R24" s="656"/>
      <c r="S24" s="657"/>
      <c r="T24" s="637" t="s">
        <v>357</v>
      </c>
      <c r="U24" s="655" t="s">
        <v>359</v>
      </c>
      <c r="V24" s="656"/>
      <c r="W24" s="656"/>
      <c r="X24" s="657"/>
      <c r="Y24" s="637" t="s">
        <v>357</v>
      </c>
      <c r="Z24" s="655" t="s">
        <v>359</v>
      </c>
      <c r="AA24" s="656"/>
      <c r="AB24" s="656"/>
      <c r="AC24" s="657"/>
      <c r="AD24" s="637" t="s">
        <v>357</v>
      </c>
      <c r="AE24" s="655" t="s">
        <v>359</v>
      </c>
      <c r="AF24" s="656"/>
      <c r="AG24" s="656"/>
      <c r="AH24" s="657"/>
      <c r="AI24" s="637" t="s">
        <v>357</v>
      </c>
      <c r="AJ24" s="655" t="s">
        <v>359</v>
      </c>
      <c r="AK24" s="656"/>
      <c r="AL24" s="656"/>
      <c r="AM24" s="657"/>
      <c r="AN24" s="637" t="s">
        <v>357</v>
      </c>
      <c r="AO24" s="655" t="s">
        <v>359</v>
      </c>
      <c r="AP24" s="656"/>
      <c r="AQ24" s="656"/>
      <c r="AR24" s="657"/>
      <c r="AS24" s="637" t="s">
        <v>357</v>
      </c>
      <c r="AT24" s="655" t="s">
        <v>359</v>
      </c>
      <c r="AU24" s="656"/>
      <c r="AV24" s="656"/>
      <c r="AW24" s="657"/>
      <c r="AX24" s="637" t="s">
        <v>357</v>
      </c>
      <c r="BA24" s="637" t="s">
        <v>357</v>
      </c>
    </row>
    <row r="25" spans="2:53">
      <c r="B25" s="637"/>
      <c r="C25" s="637"/>
      <c r="D25" s="637"/>
      <c r="E25" s="637" t="s">
        <v>527</v>
      </c>
      <c r="F25" s="637"/>
      <c r="G25" s="637"/>
      <c r="H25" s="670"/>
      <c r="I25" s="637" t="s">
        <v>527</v>
      </c>
      <c r="J25" s="637"/>
      <c r="K25" s="637"/>
      <c r="L25" s="670"/>
      <c r="M25" s="640"/>
      <c r="N25" s="637"/>
      <c r="O25" s="637"/>
      <c r="P25" s="655" t="s">
        <v>365</v>
      </c>
      <c r="Q25" s="656"/>
      <c r="R25" s="656"/>
      <c r="S25" s="657"/>
      <c r="T25" s="637"/>
      <c r="U25" s="655" t="s">
        <v>365</v>
      </c>
      <c r="V25" s="656"/>
      <c r="W25" s="656"/>
      <c r="X25" s="657"/>
      <c r="Y25" s="637"/>
      <c r="Z25" s="655" t="s">
        <v>365</v>
      </c>
      <c r="AA25" s="656"/>
      <c r="AB25" s="656"/>
      <c r="AC25" s="657"/>
      <c r="AD25" s="637"/>
      <c r="AE25" s="655" t="s">
        <v>365</v>
      </c>
      <c r="AF25" s="656"/>
      <c r="AG25" s="656"/>
      <c r="AH25" s="657"/>
      <c r="AI25" s="637"/>
      <c r="AJ25" s="655" t="s">
        <v>365</v>
      </c>
      <c r="AK25" s="656"/>
      <c r="AL25" s="656"/>
      <c r="AM25" s="657"/>
      <c r="AN25" s="637"/>
      <c r="AO25" s="655" t="s">
        <v>365</v>
      </c>
      <c r="AP25" s="656"/>
      <c r="AQ25" s="656"/>
      <c r="AR25" s="657"/>
      <c r="AS25" s="637"/>
      <c r="AT25" s="655" t="s">
        <v>365</v>
      </c>
      <c r="AU25" s="656"/>
      <c r="AV25" s="656"/>
      <c r="AW25" s="657"/>
      <c r="AX25" s="637"/>
      <c r="BA25" s="637"/>
    </row>
    <row r="26" spans="2:53">
      <c r="B26" s="637"/>
      <c r="C26" s="637"/>
      <c r="D26" s="637"/>
      <c r="E26" s="366" t="s">
        <v>528</v>
      </c>
      <c r="F26" s="366" t="s">
        <v>529</v>
      </c>
      <c r="G26" s="366" t="s">
        <v>530</v>
      </c>
      <c r="H26" s="671"/>
      <c r="I26" s="366" t="s">
        <v>528</v>
      </c>
      <c r="J26" s="366" t="s">
        <v>529</v>
      </c>
      <c r="K26" s="366" t="s">
        <v>530</v>
      </c>
      <c r="L26" s="671"/>
      <c r="M26" s="641"/>
      <c r="N26" s="637"/>
      <c r="O26" s="637"/>
      <c r="P26" s="366" t="s">
        <v>366</v>
      </c>
      <c r="Q26" s="366" t="s">
        <v>367</v>
      </c>
      <c r="R26" s="366" t="s">
        <v>368</v>
      </c>
      <c r="S26" s="366" t="s">
        <v>358</v>
      </c>
      <c r="T26" s="637"/>
      <c r="U26" s="366" t="s">
        <v>366</v>
      </c>
      <c r="V26" s="366" t="s">
        <v>367</v>
      </c>
      <c r="W26" s="366" t="s">
        <v>368</v>
      </c>
      <c r="X26" s="366" t="s">
        <v>358</v>
      </c>
      <c r="Y26" s="637"/>
      <c r="Z26" s="366" t="s">
        <v>366</v>
      </c>
      <c r="AA26" s="366" t="s">
        <v>367</v>
      </c>
      <c r="AB26" s="366" t="s">
        <v>368</v>
      </c>
      <c r="AC26" s="366" t="s">
        <v>358</v>
      </c>
      <c r="AD26" s="637"/>
      <c r="AE26" s="366" t="s">
        <v>366</v>
      </c>
      <c r="AF26" s="366" t="s">
        <v>367</v>
      </c>
      <c r="AG26" s="366" t="s">
        <v>368</v>
      </c>
      <c r="AH26" s="366" t="s">
        <v>358</v>
      </c>
      <c r="AI26" s="637"/>
      <c r="AJ26" s="366" t="s">
        <v>366</v>
      </c>
      <c r="AK26" s="366" t="s">
        <v>367</v>
      </c>
      <c r="AL26" s="366" t="s">
        <v>368</v>
      </c>
      <c r="AM26" s="366" t="s">
        <v>358</v>
      </c>
      <c r="AN26" s="637"/>
      <c r="AO26" s="366" t="s">
        <v>366</v>
      </c>
      <c r="AP26" s="366" t="s">
        <v>367</v>
      </c>
      <c r="AQ26" s="366" t="s">
        <v>368</v>
      </c>
      <c r="AR26" s="366" t="s">
        <v>358</v>
      </c>
      <c r="AS26" s="637"/>
      <c r="AT26" s="366" t="s">
        <v>366</v>
      </c>
      <c r="AU26" s="366" t="s">
        <v>367</v>
      </c>
      <c r="AV26" s="366" t="s">
        <v>368</v>
      </c>
      <c r="AW26" s="366" t="s">
        <v>358</v>
      </c>
      <c r="AX26" s="637"/>
      <c r="AZ26" s="356" t="s">
        <v>358</v>
      </c>
      <c r="BA26" s="637"/>
    </row>
    <row r="27" spans="2:53">
      <c r="B27" s="637" t="s">
        <v>372</v>
      </c>
      <c r="C27" s="368">
        <v>1</v>
      </c>
      <c r="D27" s="220" t="s">
        <v>559</v>
      </c>
      <c r="E27" s="559">
        <v>17</v>
      </c>
      <c r="F27" s="553">
        <v>1565</v>
      </c>
      <c r="G27" s="552">
        <v>92.058823529411768</v>
      </c>
      <c r="H27" s="650">
        <f>AVERAGE(G27:G41)</f>
        <v>90.354030501089326</v>
      </c>
      <c r="I27" s="369">
        <f t="shared" ref="I27:I40" si="19">IFERROR(AVERAGE(P27,U27,Z27,AE27,AJ27,AO27,AT27),"-")</f>
        <v>17</v>
      </c>
      <c r="J27" s="369">
        <f t="shared" ref="J27:J40" si="20">IFERROR(AVERAGE(Q27,V27,AA27,AF27,AK27,AP27,AU27),"-")</f>
        <v>1448.8855158261354</v>
      </c>
      <c r="K27" s="194">
        <f t="shared" ref="K27:K40" si="21">IFERROR(AVERAGE(R27,W27,AB27,AG27,AL27,AQ27,AV27),"-")</f>
        <v>85.228559754478553</v>
      </c>
      <c r="L27" s="652">
        <f>IFERROR(AVERAGE(K27:K41),"-")</f>
        <v>81.61691910651065</v>
      </c>
      <c r="M27" s="372">
        <f>RANK(K27, K$24:$K$41)</f>
        <v>1</v>
      </c>
      <c r="N27" s="637"/>
      <c r="O27" s="637"/>
      <c r="P27" s="560">
        <v>17</v>
      </c>
      <c r="Q27" s="562">
        <v>1461.6521739130437</v>
      </c>
      <c r="R27" s="562">
        <v>85.979539641943745</v>
      </c>
      <c r="S27" s="560">
        <f t="shared" ref="S27:S41" si="22">RANK(R27, R$27:R$41)</f>
        <v>1</v>
      </c>
      <c r="T27" s="632">
        <f t="shared" ref="T27" si="23">AVERAGE(R27:R41)</f>
        <v>81.929681312100911</v>
      </c>
      <c r="U27" s="560">
        <v>17</v>
      </c>
      <c r="V27" s="562">
        <v>1442.9999999999998</v>
      </c>
      <c r="W27" s="562">
        <v>84.882352941176464</v>
      </c>
      <c r="X27" s="560">
        <f t="shared" ref="X27:X41" si="24">RANK(W27, W$27:W$41)</f>
        <v>2</v>
      </c>
      <c r="Y27" s="632">
        <f t="shared" ref="Y27" si="25">AVERAGE(W27:W41)</f>
        <v>82.180607932637614</v>
      </c>
      <c r="Z27" s="560">
        <v>17</v>
      </c>
      <c r="AA27" s="562">
        <v>1431.7874999999995</v>
      </c>
      <c r="AB27" s="562">
        <v>84.222794117647027</v>
      </c>
      <c r="AC27" s="560">
        <f t="shared" ref="AC27:AC41" si="26">RANK(AB27, AB$27:AB$41)</f>
        <v>3</v>
      </c>
      <c r="AD27" s="632">
        <f t="shared" ref="AD27" si="27">AVERAGE(AB27:AB41)</f>
        <v>82.427220055791366</v>
      </c>
      <c r="AE27" s="560">
        <v>17</v>
      </c>
      <c r="AF27" s="562">
        <v>1451.3513513513515</v>
      </c>
      <c r="AG27" s="562">
        <v>85.373608903020681</v>
      </c>
      <c r="AH27" s="560">
        <f t="shared" ref="AH27:AH41" si="28">RANK(AG27, AG$27:AG$41)</f>
        <v>2</v>
      </c>
      <c r="AI27" s="632">
        <f t="shared" ref="AI27" si="29">AVERAGE(AG27:AG41)</f>
        <v>82.162407168009182</v>
      </c>
      <c r="AJ27" s="560">
        <v>17</v>
      </c>
      <c r="AK27" s="562">
        <v>1469.9999999999993</v>
      </c>
      <c r="AL27" s="562">
        <v>86.470588235294073</v>
      </c>
      <c r="AM27" s="560">
        <f t="shared" ref="AM27:AM41" si="30">RANK(AL27, AL$27:AL$41)</f>
        <v>1</v>
      </c>
      <c r="AN27" s="632">
        <f t="shared" ref="AN27" si="31">AVERAGE(AL27:AL41)</f>
        <v>80.006416495483776</v>
      </c>
      <c r="AO27" s="560">
        <v>17</v>
      </c>
      <c r="AP27" s="562">
        <v>1458.9029126213588</v>
      </c>
      <c r="AQ27" s="562">
        <v>85.817818389491691</v>
      </c>
      <c r="AR27" s="560">
        <f t="shared" ref="AR27:AR41" si="32">RANK(AQ27, AQ$27:AQ$41)</f>
        <v>1</v>
      </c>
      <c r="AS27" s="632">
        <f t="shared" ref="AS27" si="33">AVERAGE(AQ27:AQ41)</f>
        <v>81.465250565954662</v>
      </c>
      <c r="AT27" s="560">
        <v>17</v>
      </c>
      <c r="AU27" s="562">
        <v>1425.5046728971961</v>
      </c>
      <c r="AV27" s="562">
        <v>83.853216052776247</v>
      </c>
      <c r="AW27" s="560">
        <f t="shared" ref="AW27:AW41" si="34">RANK(AV27, AV$27:AV$41)</f>
        <v>2</v>
      </c>
      <c r="AX27" s="632">
        <f t="shared" ref="AX27" si="35">AVERAGE(AV27:AV41)</f>
        <v>81.14685021559707</v>
      </c>
      <c r="AZ27" s="357" t="e">
        <f t="shared" ref="AZ27:AZ41" si="36">RANK(AY27, AY$27:AY$41)</f>
        <v>#N/A</v>
      </c>
      <c r="BA27" s="632" t="e">
        <f t="shared" ref="BA27" si="37">AVERAGE(AY27:AY41)</f>
        <v>#DIV/0!</v>
      </c>
    </row>
    <row r="28" spans="2:53">
      <c r="B28" s="643"/>
      <c r="C28" s="368">
        <v>2</v>
      </c>
      <c r="D28" s="220" t="s">
        <v>578</v>
      </c>
      <c r="E28" s="559">
        <v>18</v>
      </c>
      <c r="F28" s="553">
        <v>1565</v>
      </c>
      <c r="G28" s="552">
        <v>86.944444444444443</v>
      </c>
      <c r="H28" s="651"/>
      <c r="I28" s="369">
        <f t="shared" si="19"/>
        <v>18</v>
      </c>
      <c r="J28" s="369">
        <f t="shared" si="20"/>
        <v>1438.1385974233469</v>
      </c>
      <c r="K28" s="194">
        <f t="shared" si="21"/>
        <v>79.896588745741496</v>
      </c>
      <c r="L28" s="653"/>
      <c r="M28" s="375">
        <f>RANK(K28, K$24:$K$41)</f>
        <v>5</v>
      </c>
      <c r="N28" s="637"/>
      <c r="O28" s="637"/>
      <c r="P28" s="560">
        <v>18</v>
      </c>
      <c r="Q28" s="562">
        <v>1437.2093023255798</v>
      </c>
      <c r="R28" s="562">
        <v>79.844961240309985</v>
      </c>
      <c r="S28" s="560">
        <f t="shared" si="22"/>
        <v>5</v>
      </c>
      <c r="T28" s="633"/>
      <c r="U28" s="560">
        <v>18</v>
      </c>
      <c r="V28" s="562">
        <v>1420.5405405405393</v>
      </c>
      <c r="W28" s="562">
        <v>78.918918918918848</v>
      </c>
      <c r="X28" s="560">
        <f t="shared" si="24"/>
        <v>5</v>
      </c>
      <c r="Y28" s="633"/>
      <c r="Z28" s="560">
        <v>18</v>
      </c>
      <c r="AA28" s="562">
        <v>1478.3333333333303</v>
      </c>
      <c r="AB28" s="562">
        <v>82.129629629629463</v>
      </c>
      <c r="AC28" s="560">
        <f t="shared" si="26"/>
        <v>4</v>
      </c>
      <c r="AD28" s="633"/>
      <c r="AE28" s="560">
        <v>18</v>
      </c>
      <c r="AF28" s="562">
        <v>1455.4838709677415</v>
      </c>
      <c r="AG28" s="562">
        <v>80.860215053763412</v>
      </c>
      <c r="AH28" s="560">
        <f t="shared" si="28"/>
        <v>4</v>
      </c>
      <c r="AI28" s="633"/>
      <c r="AJ28" s="560">
        <v>18</v>
      </c>
      <c r="AK28" s="562">
        <v>1432.7272727272727</v>
      </c>
      <c r="AL28" s="562">
        <v>79.595959595959599</v>
      </c>
      <c r="AM28" s="560">
        <f t="shared" si="30"/>
        <v>5</v>
      </c>
      <c r="AN28" s="633"/>
      <c r="AO28" s="560">
        <v>18</v>
      </c>
      <c r="AP28" s="562">
        <v>1436.2758620689647</v>
      </c>
      <c r="AQ28" s="562">
        <v>79.793103448275815</v>
      </c>
      <c r="AR28" s="560">
        <f t="shared" si="32"/>
        <v>4</v>
      </c>
      <c r="AS28" s="633"/>
      <c r="AT28" s="560">
        <v>18</v>
      </c>
      <c r="AU28" s="562">
        <v>1406.4000000000005</v>
      </c>
      <c r="AV28" s="562">
        <v>78.133333333333368</v>
      </c>
      <c r="AW28" s="560">
        <f t="shared" si="34"/>
        <v>5</v>
      </c>
      <c r="AX28" s="633"/>
      <c r="AZ28" s="357" t="e">
        <f t="shared" si="36"/>
        <v>#N/A</v>
      </c>
      <c r="BA28" s="633"/>
    </row>
    <row r="29" spans="2:53">
      <c r="B29" s="643"/>
      <c r="C29" s="368">
        <v>3</v>
      </c>
      <c r="D29" s="220" t="s">
        <v>583</v>
      </c>
      <c r="E29" s="559">
        <v>17</v>
      </c>
      <c r="F29" s="553">
        <v>1565</v>
      </c>
      <c r="G29" s="552">
        <v>92.058823529411768</v>
      </c>
      <c r="H29" s="651"/>
      <c r="I29" s="369">
        <f t="shared" si="19"/>
        <v>17</v>
      </c>
      <c r="J29" s="369">
        <f t="shared" si="20"/>
        <v>1426.9930321383458</v>
      </c>
      <c r="K29" s="194">
        <f t="shared" si="21"/>
        <v>83.940766596373308</v>
      </c>
      <c r="L29" s="653"/>
      <c r="M29" s="375">
        <f>RANK(K29, K$24:$K$41)</f>
        <v>3</v>
      </c>
      <c r="N29" s="637"/>
      <c r="O29" s="637"/>
      <c r="P29" s="560">
        <v>17</v>
      </c>
      <c r="Q29" s="562">
        <v>1426.2500000000005</v>
      </c>
      <c r="R29" s="562">
        <v>83.897058823529434</v>
      </c>
      <c r="S29" s="560">
        <f t="shared" si="22"/>
        <v>2</v>
      </c>
      <c r="T29" s="633"/>
      <c r="U29" s="560">
        <v>17</v>
      </c>
      <c r="V29" s="562">
        <v>1506.9767441860447</v>
      </c>
      <c r="W29" s="562">
        <v>88.645690834473214</v>
      </c>
      <c r="X29" s="560">
        <f t="shared" si="24"/>
        <v>1</v>
      </c>
      <c r="Y29" s="633"/>
      <c r="Z29" s="560">
        <v>17</v>
      </c>
      <c r="AA29" s="562">
        <v>1471.3636363636374</v>
      </c>
      <c r="AB29" s="562">
        <v>86.550802139037501</v>
      </c>
      <c r="AC29" s="560">
        <f t="shared" si="26"/>
        <v>1</v>
      </c>
      <c r="AD29" s="633"/>
      <c r="AE29" s="560">
        <v>17</v>
      </c>
      <c r="AF29" s="562">
        <v>1349.23076923077</v>
      </c>
      <c r="AG29" s="562">
        <v>79.366515837104117</v>
      </c>
      <c r="AH29" s="560">
        <f t="shared" si="28"/>
        <v>6</v>
      </c>
      <c r="AI29" s="633"/>
      <c r="AJ29" s="560">
        <v>17</v>
      </c>
      <c r="AK29" s="562">
        <v>1424.2857142857138</v>
      </c>
      <c r="AL29" s="562">
        <v>83.781512605041982</v>
      </c>
      <c r="AM29" s="560">
        <f t="shared" si="30"/>
        <v>2</v>
      </c>
      <c r="AN29" s="633"/>
      <c r="AO29" s="560">
        <v>17</v>
      </c>
      <c r="AP29" s="562">
        <v>1414.0285714285717</v>
      </c>
      <c r="AQ29" s="562">
        <v>83.178151260504222</v>
      </c>
      <c r="AR29" s="560">
        <f t="shared" si="32"/>
        <v>3</v>
      </c>
      <c r="AS29" s="633"/>
      <c r="AT29" s="560">
        <v>17</v>
      </c>
      <c r="AU29" s="562">
        <v>1396.8157894736846</v>
      </c>
      <c r="AV29" s="562">
        <v>82.165634674922629</v>
      </c>
      <c r="AW29" s="560">
        <f t="shared" si="34"/>
        <v>3</v>
      </c>
      <c r="AX29" s="633"/>
      <c r="AZ29" s="357" t="e">
        <f t="shared" si="36"/>
        <v>#N/A</v>
      </c>
      <c r="BA29" s="633"/>
    </row>
    <row r="30" spans="2:53">
      <c r="B30" s="643"/>
      <c r="C30" s="368">
        <v>4</v>
      </c>
      <c r="D30" s="220" t="s">
        <v>642</v>
      </c>
      <c r="E30" s="559">
        <v>17</v>
      </c>
      <c r="F30" s="553">
        <v>1565</v>
      </c>
      <c r="G30" s="552">
        <v>92.058823529411768</v>
      </c>
      <c r="H30" s="651"/>
      <c r="I30" s="369">
        <f t="shared" si="19"/>
        <v>17</v>
      </c>
      <c r="J30" s="369">
        <f t="shared" si="20"/>
        <v>1295.7286128578235</v>
      </c>
      <c r="K30" s="194">
        <f t="shared" si="21"/>
        <v>76.219330168107277</v>
      </c>
      <c r="L30" s="653"/>
      <c r="M30" s="375">
        <f>RANK(K30, K$24:$K$41)</f>
        <v>6</v>
      </c>
      <c r="N30" s="637"/>
      <c r="O30" s="637"/>
      <c r="P30" s="560">
        <v>17</v>
      </c>
      <c r="Q30" s="562">
        <v>1310.6249999999998</v>
      </c>
      <c r="R30" s="562">
        <v>77.095588235294102</v>
      </c>
      <c r="S30" s="560">
        <f t="shared" si="22"/>
        <v>6</v>
      </c>
      <c r="T30" s="633"/>
      <c r="U30" s="560">
        <v>17</v>
      </c>
      <c r="V30" s="562">
        <v>1310.322580645161</v>
      </c>
      <c r="W30" s="562">
        <v>77.077798861480062</v>
      </c>
      <c r="X30" s="560">
        <f t="shared" si="24"/>
        <v>6</v>
      </c>
      <c r="Y30" s="633"/>
      <c r="Z30" s="560">
        <v>17</v>
      </c>
      <c r="AA30" s="562">
        <v>1305.9999999999993</v>
      </c>
      <c r="AB30" s="562">
        <v>76.823529411764667</v>
      </c>
      <c r="AC30" s="560">
        <f t="shared" si="26"/>
        <v>6</v>
      </c>
      <c r="AD30" s="633"/>
      <c r="AE30" s="560">
        <v>17</v>
      </c>
      <c r="AF30" s="562">
        <v>1385.7142857142853</v>
      </c>
      <c r="AG30" s="562">
        <v>81.512605042016787</v>
      </c>
      <c r="AH30" s="560">
        <f t="shared" si="28"/>
        <v>3</v>
      </c>
      <c r="AI30" s="633"/>
      <c r="AJ30" s="560">
        <v>17</v>
      </c>
      <c r="AK30" s="562">
        <v>1131.724137931034</v>
      </c>
      <c r="AL30" s="562">
        <v>66.572008113590229</v>
      </c>
      <c r="AM30" s="560">
        <f t="shared" si="30"/>
        <v>6</v>
      </c>
      <c r="AN30" s="633"/>
      <c r="AO30" s="560">
        <v>17</v>
      </c>
      <c r="AP30" s="562">
        <v>1311.4285714285716</v>
      </c>
      <c r="AQ30" s="562">
        <v>77.142857142857153</v>
      </c>
      <c r="AR30" s="560">
        <f t="shared" si="32"/>
        <v>6</v>
      </c>
      <c r="AS30" s="633"/>
      <c r="AT30" s="560">
        <v>17</v>
      </c>
      <c r="AU30" s="562">
        <v>1314.2857142857138</v>
      </c>
      <c r="AV30" s="562">
        <v>77.310924369747866</v>
      </c>
      <c r="AW30" s="560">
        <f t="shared" si="34"/>
        <v>6</v>
      </c>
      <c r="AX30" s="633"/>
      <c r="AZ30" s="357" t="e">
        <f t="shared" si="36"/>
        <v>#N/A</v>
      </c>
      <c r="BA30" s="633"/>
    </row>
    <row r="31" spans="2:53">
      <c r="B31" s="643"/>
      <c r="C31" s="368">
        <v>5</v>
      </c>
      <c r="D31" s="220" t="s">
        <v>661</v>
      </c>
      <c r="E31" s="559">
        <v>17</v>
      </c>
      <c r="F31" s="553">
        <v>1565</v>
      </c>
      <c r="G31" s="552">
        <v>92.058823529411768</v>
      </c>
      <c r="H31" s="651"/>
      <c r="I31" s="369">
        <f t="shared" si="19"/>
        <v>17</v>
      </c>
      <c r="J31" s="369">
        <f t="shared" si="20"/>
        <v>1432.2461983212022</v>
      </c>
      <c r="K31" s="194">
        <f t="shared" si="21"/>
        <v>84.249776371835424</v>
      </c>
      <c r="L31" s="653"/>
      <c r="M31" s="375">
        <f>RANK(K31, K$24:$K$41)</f>
        <v>2</v>
      </c>
      <c r="N31" s="637"/>
      <c r="O31" s="637"/>
      <c r="P31" s="560">
        <v>17</v>
      </c>
      <c r="Q31" s="562">
        <v>1420.5000000000011</v>
      </c>
      <c r="R31" s="562">
        <v>83.558823529411825</v>
      </c>
      <c r="S31" s="560">
        <f t="shared" si="22"/>
        <v>3</v>
      </c>
      <c r="T31" s="633"/>
      <c r="U31" s="560">
        <v>17</v>
      </c>
      <c r="V31" s="562">
        <v>1416.905660377359</v>
      </c>
      <c r="W31" s="562">
        <v>83.347391786903472</v>
      </c>
      <c r="X31" s="560">
        <f t="shared" si="24"/>
        <v>3</v>
      </c>
      <c r="Y31" s="633"/>
      <c r="Z31" s="560">
        <v>17</v>
      </c>
      <c r="AA31" s="562">
        <v>1449.705882352941</v>
      </c>
      <c r="AB31" s="562">
        <v>85.276816608996526</v>
      </c>
      <c r="AC31" s="560">
        <f t="shared" si="26"/>
        <v>2</v>
      </c>
      <c r="AD31" s="633"/>
      <c r="AE31" s="560">
        <v>17</v>
      </c>
      <c r="AF31" s="562">
        <v>1457.2881355932197</v>
      </c>
      <c r="AG31" s="562">
        <v>85.722831505483512</v>
      </c>
      <c r="AH31" s="560">
        <f t="shared" si="28"/>
        <v>1</v>
      </c>
      <c r="AI31" s="633"/>
      <c r="AJ31" s="560">
        <v>17</v>
      </c>
      <c r="AK31" s="562">
        <v>1411.4285714285711</v>
      </c>
      <c r="AL31" s="562">
        <v>83.025210084033588</v>
      </c>
      <c r="AM31" s="560">
        <f t="shared" si="30"/>
        <v>3</v>
      </c>
      <c r="AN31" s="633"/>
      <c r="AO31" s="560">
        <v>17</v>
      </c>
      <c r="AP31" s="562">
        <v>1427.5344827586198</v>
      </c>
      <c r="AQ31" s="562">
        <v>83.972616632859982</v>
      </c>
      <c r="AR31" s="560">
        <f t="shared" si="32"/>
        <v>2</v>
      </c>
      <c r="AS31" s="633"/>
      <c r="AT31" s="560">
        <v>17</v>
      </c>
      <c r="AU31" s="562">
        <v>1442.3606557377045</v>
      </c>
      <c r="AV31" s="562">
        <v>84.844744455159088</v>
      </c>
      <c r="AW31" s="560">
        <f t="shared" si="34"/>
        <v>1</v>
      </c>
      <c r="AX31" s="633"/>
      <c r="AZ31" s="357" t="e">
        <f t="shared" si="36"/>
        <v>#N/A</v>
      </c>
      <c r="BA31" s="633"/>
    </row>
    <row r="32" spans="2:53">
      <c r="B32" s="643"/>
      <c r="C32" s="368">
        <v>6</v>
      </c>
      <c r="D32" s="220" t="s">
        <v>665</v>
      </c>
      <c r="E32" s="559">
        <v>18</v>
      </c>
      <c r="F32" s="553">
        <v>1565</v>
      </c>
      <c r="G32" s="552">
        <v>86.944444444444443</v>
      </c>
      <c r="H32" s="651"/>
      <c r="I32" s="369">
        <f t="shared" si="19"/>
        <v>18</v>
      </c>
      <c r="J32" s="369">
        <f t="shared" si="20"/>
        <v>1442.9968740455022</v>
      </c>
      <c r="K32" s="194">
        <f t="shared" si="21"/>
        <v>80.166493002527901</v>
      </c>
      <c r="L32" s="653"/>
      <c r="M32" s="375">
        <f>RANK(K32, K$24:$K$41)</f>
        <v>4</v>
      </c>
      <c r="N32" s="637"/>
      <c r="O32" s="637"/>
      <c r="P32" s="560">
        <v>18</v>
      </c>
      <c r="Q32" s="562">
        <v>1461.6380952380948</v>
      </c>
      <c r="R32" s="562">
        <v>81.202116402116374</v>
      </c>
      <c r="S32" s="560">
        <f t="shared" si="22"/>
        <v>4</v>
      </c>
      <c r="T32" s="633"/>
      <c r="U32" s="560">
        <v>18</v>
      </c>
      <c r="V32" s="562">
        <v>1443.8068965517243</v>
      </c>
      <c r="W32" s="562">
        <v>80.211494252873578</v>
      </c>
      <c r="X32" s="560">
        <f t="shared" si="24"/>
        <v>4</v>
      </c>
      <c r="Y32" s="633"/>
      <c r="Z32" s="560">
        <v>18</v>
      </c>
      <c r="AA32" s="562">
        <v>1432.0754716981153</v>
      </c>
      <c r="AB32" s="562">
        <v>79.559748427673071</v>
      </c>
      <c r="AC32" s="560">
        <f t="shared" si="26"/>
        <v>5</v>
      </c>
      <c r="AD32" s="633"/>
      <c r="AE32" s="560">
        <v>18</v>
      </c>
      <c r="AF32" s="562">
        <v>1442.4960000000003</v>
      </c>
      <c r="AG32" s="562">
        <v>80.13866666666668</v>
      </c>
      <c r="AH32" s="560">
        <f t="shared" si="28"/>
        <v>5</v>
      </c>
      <c r="AI32" s="633"/>
      <c r="AJ32" s="560">
        <v>18</v>
      </c>
      <c r="AK32" s="562">
        <v>1450.677966101696</v>
      </c>
      <c r="AL32" s="562">
        <v>80.593220338983116</v>
      </c>
      <c r="AM32" s="560">
        <f t="shared" si="30"/>
        <v>4</v>
      </c>
      <c r="AN32" s="633"/>
      <c r="AO32" s="560">
        <v>18</v>
      </c>
      <c r="AP32" s="562">
        <v>1419.9652173913046</v>
      </c>
      <c r="AQ32" s="562">
        <v>78.886956521739137</v>
      </c>
      <c r="AR32" s="560">
        <f t="shared" si="32"/>
        <v>5</v>
      </c>
      <c r="AS32" s="633"/>
      <c r="AT32" s="560">
        <v>18</v>
      </c>
      <c r="AU32" s="562">
        <v>1450.3184713375797</v>
      </c>
      <c r="AV32" s="562">
        <v>80.57324840764332</v>
      </c>
      <c r="AW32" s="560">
        <f t="shared" si="34"/>
        <v>4</v>
      </c>
      <c r="AX32" s="633"/>
      <c r="AZ32" s="357" t="e">
        <f t="shared" si="36"/>
        <v>#N/A</v>
      </c>
      <c r="BA32" s="633"/>
    </row>
    <row r="33" spans="2:53">
      <c r="B33" s="643"/>
      <c r="C33" s="368">
        <v>7</v>
      </c>
      <c r="D33" s="220"/>
      <c r="E33" s="559"/>
      <c r="F33" s="553"/>
      <c r="G33" s="552"/>
      <c r="H33" s="651"/>
      <c r="I33" s="369" t="str">
        <f t="shared" si="19"/>
        <v>-</v>
      </c>
      <c r="J33" s="369" t="str">
        <f t="shared" si="20"/>
        <v>-</v>
      </c>
      <c r="K33" s="194" t="str">
        <f t="shared" si="21"/>
        <v>-</v>
      </c>
      <c r="L33" s="653"/>
      <c r="M33" s="375" t="e">
        <f>RANK(K33, K$24:$K$41)</f>
        <v>#VALUE!</v>
      </c>
      <c r="N33" s="637"/>
      <c r="O33" s="637"/>
      <c r="P33" s="560" t="s">
        <v>557</v>
      </c>
      <c r="Q33" s="562" t="s">
        <v>557</v>
      </c>
      <c r="R33" s="562" t="s">
        <v>557</v>
      </c>
      <c r="S33" s="560" t="e">
        <f t="shared" si="22"/>
        <v>#VALUE!</v>
      </c>
      <c r="T33" s="633"/>
      <c r="U33" s="560" t="s">
        <v>557</v>
      </c>
      <c r="V33" s="562" t="s">
        <v>557</v>
      </c>
      <c r="W33" s="562" t="s">
        <v>557</v>
      </c>
      <c r="X33" s="560" t="e">
        <f t="shared" si="24"/>
        <v>#VALUE!</v>
      </c>
      <c r="Y33" s="633"/>
      <c r="Z33" s="560" t="s">
        <v>557</v>
      </c>
      <c r="AA33" s="562" t="s">
        <v>557</v>
      </c>
      <c r="AB33" s="562" t="s">
        <v>557</v>
      </c>
      <c r="AC33" s="560" t="e">
        <f t="shared" si="26"/>
        <v>#VALUE!</v>
      </c>
      <c r="AD33" s="633"/>
      <c r="AE33" s="560" t="s">
        <v>557</v>
      </c>
      <c r="AF33" s="562" t="s">
        <v>557</v>
      </c>
      <c r="AG33" s="562" t="s">
        <v>557</v>
      </c>
      <c r="AH33" s="560" t="e">
        <f t="shared" si="28"/>
        <v>#VALUE!</v>
      </c>
      <c r="AI33" s="633"/>
      <c r="AJ33" s="560" t="s">
        <v>557</v>
      </c>
      <c r="AK33" s="562" t="s">
        <v>557</v>
      </c>
      <c r="AL33" s="562" t="s">
        <v>557</v>
      </c>
      <c r="AM33" s="560" t="e">
        <f t="shared" si="30"/>
        <v>#VALUE!</v>
      </c>
      <c r="AN33" s="633"/>
      <c r="AO33" s="560" t="s">
        <v>557</v>
      </c>
      <c r="AP33" s="562" t="s">
        <v>557</v>
      </c>
      <c r="AQ33" s="562" t="s">
        <v>557</v>
      </c>
      <c r="AR33" s="560" t="e">
        <f t="shared" si="32"/>
        <v>#VALUE!</v>
      </c>
      <c r="AS33" s="633"/>
      <c r="AT33" s="560" t="s">
        <v>557</v>
      </c>
      <c r="AU33" s="562" t="s">
        <v>557</v>
      </c>
      <c r="AV33" s="562" t="s">
        <v>557</v>
      </c>
      <c r="AW33" s="560" t="e">
        <f t="shared" si="34"/>
        <v>#VALUE!</v>
      </c>
      <c r="AX33" s="633"/>
      <c r="AZ33" s="357" t="e">
        <f t="shared" si="36"/>
        <v>#N/A</v>
      </c>
      <c r="BA33" s="633"/>
    </row>
    <row r="34" spans="2:53">
      <c r="B34" s="643"/>
      <c r="C34" s="368">
        <v>8</v>
      </c>
      <c r="D34" s="220"/>
      <c r="E34" s="559"/>
      <c r="F34" s="553"/>
      <c r="G34" s="552"/>
      <c r="H34" s="651"/>
      <c r="I34" s="369" t="str">
        <f t="shared" si="19"/>
        <v>-</v>
      </c>
      <c r="J34" s="369" t="str">
        <f t="shared" si="20"/>
        <v>-</v>
      </c>
      <c r="K34" s="194" t="str">
        <f t="shared" si="21"/>
        <v>-</v>
      </c>
      <c r="L34" s="653"/>
      <c r="M34" s="375" t="e">
        <f>RANK(K34, K$24:$K$41)</f>
        <v>#VALUE!</v>
      </c>
      <c r="N34" s="637"/>
      <c r="O34" s="637"/>
      <c r="P34" s="560" t="s">
        <v>557</v>
      </c>
      <c r="Q34" s="562" t="s">
        <v>557</v>
      </c>
      <c r="R34" s="562" t="s">
        <v>557</v>
      </c>
      <c r="S34" s="560" t="e">
        <f t="shared" si="22"/>
        <v>#VALUE!</v>
      </c>
      <c r="T34" s="633"/>
      <c r="U34" s="560" t="s">
        <v>557</v>
      </c>
      <c r="V34" s="562" t="s">
        <v>557</v>
      </c>
      <c r="W34" s="562" t="s">
        <v>557</v>
      </c>
      <c r="X34" s="560" t="e">
        <f t="shared" si="24"/>
        <v>#VALUE!</v>
      </c>
      <c r="Y34" s="633"/>
      <c r="Z34" s="560" t="s">
        <v>557</v>
      </c>
      <c r="AA34" s="562" t="s">
        <v>557</v>
      </c>
      <c r="AB34" s="562" t="s">
        <v>557</v>
      </c>
      <c r="AC34" s="560" t="e">
        <f t="shared" si="26"/>
        <v>#VALUE!</v>
      </c>
      <c r="AD34" s="633"/>
      <c r="AE34" s="560" t="s">
        <v>557</v>
      </c>
      <c r="AF34" s="562" t="s">
        <v>557</v>
      </c>
      <c r="AG34" s="562" t="s">
        <v>557</v>
      </c>
      <c r="AH34" s="560" t="e">
        <f t="shared" si="28"/>
        <v>#VALUE!</v>
      </c>
      <c r="AI34" s="633"/>
      <c r="AJ34" s="560" t="s">
        <v>557</v>
      </c>
      <c r="AK34" s="562" t="s">
        <v>557</v>
      </c>
      <c r="AL34" s="562" t="s">
        <v>557</v>
      </c>
      <c r="AM34" s="560" t="e">
        <f t="shared" si="30"/>
        <v>#VALUE!</v>
      </c>
      <c r="AN34" s="633"/>
      <c r="AO34" s="560" t="s">
        <v>557</v>
      </c>
      <c r="AP34" s="562" t="s">
        <v>557</v>
      </c>
      <c r="AQ34" s="562" t="s">
        <v>557</v>
      </c>
      <c r="AR34" s="560" t="e">
        <f t="shared" si="32"/>
        <v>#VALUE!</v>
      </c>
      <c r="AS34" s="633"/>
      <c r="AT34" s="560" t="s">
        <v>557</v>
      </c>
      <c r="AU34" s="562" t="s">
        <v>557</v>
      </c>
      <c r="AV34" s="562" t="s">
        <v>557</v>
      </c>
      <c r="AW34" s="560" t="e">
        <f t="shared" si="34"/>
        <v>#VALUE!</v>
      </c>
      <c r="AX34" s="633"/>
      <c r="AZ34" s="357" t="e">
        <f t="shared" si="36"/>
        <v>#N/A</v>
      </c>
      <c r="BA34" s="633"/>
    </row>
    <row r="35" spans="2:53">
      <c r="B35" s="643"/>
      <c r="C35" s="368">
        <v>9</v>
      </c>
      <c r="D35" s="220"/>
      <c r="E35" s="559"/>
      <c r="F35" s="553"/>
      <c r="G35" s="552"/>
      <c r="H35" s="651"/>
      <c r="I35" s="369" t="str">
        <f t="shared" si="19"/>
        <v>-</v>
      </c>
      <c r="J35" s="369" t="str">
        <f t="shared" si="20"/>
        <v>-</v>
      </c>
      <c r="K35" s="194" t="str">
        <f t="shared" si="21"/>
        <v>-</v>
      </c>
      <c r="L35" s="653"/>
      <c r="M35" s="375" t="e">
        <f>RANK(K35, K$24:$K$41)</f>
        <v>#VALUE!</v>
      </c>
      <c r="N35" s="637"/>
      <c r="O35" s="637"/>
      <c r="P35" s="560" t="s">
        <v>557</v>
      </c>
      <c r="Q35" s="562" t="s">
        <v>557</v>
      </c>
      <c r="R35" s="562" t="s">
        <v>557</v>
      </c>
      <c r="S35" s="560" t="e">
        <f t="shared" si="22"/>
        <v>#VALUE!</v>
      </c>
      <c r="T35" s="633"/>
      <c r="U35" s="560" t="s">
        <v>557</v>
      </c>
      <c r="V35" s="562" t="s">
        <v>557</v>
      </c>
      <c r="W35" s="562" t="s">
        <v>557</v>
      </c>
      <c r="X35" s="560" t="e">
        <f t="shared" si="24"/>
        <v>#VALUE!</v>
      </c>
      <c r="Y35" s="633"/>
      <c r="Z35" s="560" t="s">
        <v>557</v>
      </c>
      <c r="AA35" s="562" t="s">
        <v>557</v>
      </c>
      <c r="AB35" s="562" t="s">
        <v>557</v>
      </c>
      <c r="AC35" s="560" t="e">
        <f t="shared" si="26"/>
        <v>#VALUE!</v>
      </c>
      <c r="AD35" s="633"/>
      <c r="AE35" s="560" t="s">
        <v>557</v>
      </c>
      <c r="AF35" s="562" t="s">
        <v>557</v>
      </c>
      <c r="AG35" s="562" t="s">
        <v>557</v>
      </c>
      <c r="AH35" s="560" t="e">
        <f t="shared" si="28"/>
        <v>#VALUE!</v>
      </c>
      <c r="AI35" s="633"/>
      <c r="AJ35" s="560" t="s">
        <v>557</v>
      </c>
      <c r="AK35" s="562" t="s">
        <v>557</v>
      </c>
      <c r="AL35" s="562" t="s">
        <v>557</v>
      </c>
      <c r="AM35" s="560" t="e">
        <f t="shared" si="30"/>
        <v>#VALUE!</v>
      </c>
      <c r="AN35" s="633"/>
      <c r="AO35" s="560" t="s">
        <v>557</v>
      </c>
      <c r="AP35" s="562" t="s">
        <v>557</v>
      </c>
      <c r="AQ35" s="562" t="s">
        <v>557</v>
      </c>
      <c r="AR35" s="560" t="e">
        <f t="shared" si="32"/>
        <v>#VALUE!</v>
      </c>
      <c r="AS35" s="633"/>
      <c r="AT35" s="560" t="s">
        <v>557</v>
      </c>
      <c r="AU35" s="562" t="s">
        <v>557</v>
      </c>
      <c r="AV35" s="562" t="s">
        <v>557</v>
      </c>
      <c r="AW35" s="560" t="e">
        <f t="shared" si="34"/>
        <v>#VALUE!</v>
      </c>
      <c r="AX35" s="633"/>
      <c r="AZ35" s="357" t="e">
        <f t="shared" si="36"/>
        <v>#N/A</v>
      </c>
      <c r="BA35" s="633"/>
    </row>
    <row r="36" spans="2:53">
      <c r="B36" s="643"/>
      <c r="C36" s="368">
        <v>10</v>
      </c>
      <c r="D36" s="220"/>
      <c r="E36" s="559"/>
      <c r="F36" s="553"/>
      <c r="G36" s="552"/>
      <c r="H36" s="651"/>
      <c r="I36" s="369" t="str">
        <f t="shared" si="19"/>
        <v>-</v>
      </c>
      <c r="J36" s="369" t="str">
        <f t="shared" si="20"/>
        <v>-</v>
      </c>
      <c r="K36" s="194" t="str">
        <f t="shared" si="21"/>
        <v>-</v>
      </c>
      <c r="L36" s="653"/>
      <c r="M36" s="375" t="e">
        <f>RANK(K36, K$24:$K$41)</f>
        <v>#VALUE!</v>
      </c>
      <c r="N36" s="637"/>
      <c r="O36" s="637"/>
      <c r="P36" s="560" t="s">
        <v>557</v>
      </c>
      <c r="Q36" s="562" t="s">
        <v>557</v>
      </c>
      <c r="R36" s="562" t="s">
        <v>557</v>
      </c>
      <c r="S36" s="560" t="e">
        <f t="shared" si="22"/>
        <v>#VALUE!</v>
      </c>
      <c r="T36" s="633"/>
      <c r="U36" s="560" t="s">
        <v>557</v>
      </c>
      <c r="V36" s="562" t="s">
        <v>557</v>
      </c>
      <c r="W36" s="562" t="s">
        <v>557</v>
      </c>
      <c r="X36" s="560" t="e">
        <f t="shared" si="24"/>
        <v>#VALUE!</v>
      </c>
      <c r="Y36" s="633"/>
      <c r="Z36" s="560" t="s">
        <v>557</v>
      </c>
      <c r="AA36" s="562" t="s">
        <v>557</v>
      </c>
      <c r="AB36" s="562" t="s">
        <v>557</v>
      </c>
      <c r="AC36" s="560" t="e">
        <f t="shared" si="26"/>
        <v>#VALUE!</v>
      </c>
      <c r="AD36" s="633"/>
      <c r="AE36" s="560" t="s">
        <v>557</v>
      </c>
      <c r="AF36" s="562" t="s">
        <v>557</v>
      </c>
      <c r="AG36" s="562" t="s">
        <v>557</v>
      </c>
      <c r="AH36" s="560" t="e">
        <f t="shared" si="28"/>
        <v>#VALUE!</v>
      </c>
      <c r="AI36" s="633"/>
      <c r="AJ36" s="560" t="s">
        <v>557</v>
      </c>
      <c r="AK36" s="562" t="s">
        <v>557</v>
      </c>
      <c r="AL36" s="562" t="s">
        <v>557</v>
      </c>
      <c r="AM36" s="560" t="e">
        <f t="shared" si="30"/>
        <v>#VALUE!</v>
      </c>
      <c r="AN36" s="633"/>
      <c r="AO36" s="560" t="s">
        <v>557</v>
      </c>
      <c r="AP36" s="562" t="s">
        <v>557</v>
      </c>
      <c r="AQ36" s="562" t="s">
        <v>557</v>
      </c>
      <c r="AR36" s="560" t="e">
        <f t="shared" si="32"/>
        <v>#VALUE!</v>
      </c>
      <c r="AS36" s="633"/>
      <c r="AT36" s="560" t="s">
        <v>557</v>
      </c>
      <c r="AU36" s="562" t="s">
        <v>557</v>
      </c>
      <c r="AV36" s="562" t="s">
        <v>557</v>
      </c>
      <c r="AW36" s="560" t="e">
        <f t="shared" si="34"/>
        <v>#VALUE!</v>
      </c>
      <c r="AX36" s="633"/>
      <c r="AZ36" s="357" t="e">
        <f t="shared" si="36"/>
        <v>#N/A</v>
      </c>
      <c r="BA36" s="633"/>
    </row>
    <row r="37" spans="2:53">
      <c r="B37" s="643"/>
      <c r="C37" s="368">
        <v>11</v>
      </c>
      <c r="D37" s="220"/>
      <c r="E37" s="559"/>
      <c r="F37" s="553"/>
      <c r="G37" s="552"/>
      <c r="H37" s="651"/>
      <c r="I37" s="369" t="str">
        <f t="shared" si="19"/>
        <v>-</v>
      </c>
      <c r="J37" s="369" t="str">
        <f t="shared" si="20"/>
        <v>-</v>
      </c>
      <c r="K37" s="194" t="str">
        <f t="shared" si="21"/>
        <v>-</v>
      </c>
      <c r="L37" s="653"/>
      <c r="M37" s="375" t="e">
        <f>RANK(K37, K$24:$K$41)</f>
        <v>#VALUE!</v>
      </c>
      <c r="N37" s="637"/>
      <c r="O37" s="637"/>
      <c r="P37" s="560" t="s">
        <v>557</v>
      </c>
      <c r="Q37" s="562" t="s">
        <v>557</v>
      </c>
      <c r="R37" s="562" t="s">
        <v>557</v>
      </c>
      <c r="S37" s="560" t="e">
        <f t="shared" si="22"/>
        <v>#VALUE!</v>
      </c>
      <c r="T37" s="633"/>
      <c r="U37" s="560" t="s">
        <v>557</v>
      </c>
      <c r="V37" s="562" t="s">
        <v>557</v>
      </c>
      <c r="W37" s="562" t="s">
        <v>557</v>
      </c>
      <c r="X37" s="560" t="e">
        <f t="shared" si="24"/>
        <v>#VALUE!</v>
      </c>
      <c r="Y37" s="633"/>
      <c r="Z37" s="560" t="s">
        <v>557</v>
      </c>
      <c r="AA37" s="562" t="s">
        <v>557</v>
      </c>
      <c r="AB37" s="562" t="s">
        <v>557</v>
      </c>
      <c r="AC37" s="560" t="e">
        <f t="shared" si="26"/>
        <v>#VALUE!</v>
      </c>
      <c r="AD37" s="633"/>
      <c r="AE37" s="560" t="s">
        <v>557</v>
      </c>
      <c r="AF37" s="562" t="s">
        <v>557</v>
      </c>
      <c r="AG37" s="562" t="s">
        <v>557</v>
      </c>
      <c r="AH37" s="560" t="e">
        <f t="shared" si="28"/>
        <v>#VALUE!</v>
      </c>
      <c r="AI37" s="633"/>
      <c r="AJ37" s="560" t="s">
        <v>557</v>
      </c>
      <c r="AK37" s="562" t="s">
        <v>557</v>
      </c>
      <c r="AL37" s="562" t="s">
        <v>557</v>
      </c>
      <c r="AM37" s="560" t="e">
        <f t="shared" si="30"/>
        <v>#VALUE!</v>
      </c>
      <c r="AN37" s="633"/>
      <c r="AO37" s="560" t="s">
        <v>557</v>
      </c>
      <c r="AP37" s="562" t="s">
        <v>557</v>
      </c>
      <c r="AQ37" s="562" t="s">
        <v>557</v>
      </c>
      <c r="AR37" s="560" t="e">
        <f t="shared" si="32"/>
        <v>#VALUE!</v>
      </c>
      <c r="AS37" s="633"/>
      <c r="AT37" s="560" t="s">
        <v>557</v>
      </c>
      <c r="AU37" s="562" t="s">
        <v>557</v>
      </c>
      <c r="AV37" s="562" t="s">
        <v>557</v>
      </c>
      <c r="AW37" s="560" t="e">
        <f t="shared" si="34"/>
        <v>#VALUE!</v>
      </c>
      <c r="AX37" s="633"/>
      <c r="AZ37" s="357" t="e">
        <f t="shared" si="36"/>
        <v>#N/A</v>
      </c>
      <c r="BA37" s="633"/>
    </row>
    <row r="38" spans="2:53">
      <c r="B38" s="643"/>
      <c r="C38" s="368">
        <v>12</v>
      </c>
      <c r="D38" s="220"/>
      <c r="E38" s="559"/>
      <c r="F38" s="553"/>
      <c r="G38" s="552"/>
      <c r="H38" s="651"/>
      <c r="I38" s="369" t="str">
        <f t="shared" si="19"/>
        <v>-</v>
      </c>
      <c r="J38" s="369" t="str">
        <f t="shared" si="20"/>
        <v>-</v>
      </c>
      <c r="K38" s="194" t="str">
        <f t="shared" si="21"/>
        <v>-</v>
      </c>
      <c r="L38" s="653"/>
      <c r="M38" s="375" t="e">
        <f>RANK(K38, K$24:$K$41)</f>
        <v>#VALUE!</v>
      </c>
      <c r="N38" s="637"/>
      <c r="O38" s="637"/>
      <c r="P38" s="560" t="s">
        <v>557</v>
      </c>
      <c r="Q38" s="562" t="s">
        <v>557</v>
      </c>
      <c r="R38" s="562" t="s">
        <v>557</v>
      </c>
      <c r="S38" s="560" t="e">
        <f t="shared" si="22"/>
        <v>#VALUE!</v>
      </c>
      <c r="T38" s="633"/>
      <c r="U38" s="560" t="s">
        <v>557</v>
      </c>
      <c r="V38" s="562" t="s">
        <v>557</v>
      </c>
      <c r="W38" s="562" t="s">
        <v>557</v>
      </c>
      <c r="X38" s="560" t="e">
        <f t="shared" si="24"/>
        <v>#VALUE!</v>
      </c>
      <c r="Y38" s="633"/>
      <c r="Z38" s="560" t="s">
        <v>557</v>
      </c>
      <c r="AA38" s="562" t="s">
        <v>557</v>
      </c>
      <c r="AB38" s="562" t="s">
        <v>557</v>
      </c>
      <c r="AC38" s="560" t="e">
        <f t="shared" si="26"/>
        <v>#VALUE!</v>
      </c>
      <c r="AD38" s="633"/>
      <c r="AE38" s="560" t="s">
        <v>557</v>
      </c>
      <c r="AF38" s="562" t="s">
        <v>557</v>
      </c>
      <c r="AG38" s="562" t="s">
        <v>557</v>
      </c>
      <c r="AH38" s="560" t="e">
        <f t="shared" si="28"/>
        <v>#VALUE!</v>
      </c>
      <c r="AI38" s="633"/>
      <c r="AJ38" s="560" t="s">
        <v>557</v>
      </c>
      <c r="AK38" s="562" t="s">
        <v>557</v>
      </c>
      <c r="AL38" s="562" t="s">
        <v>557</v>
      </c>
      <c r="AM38" s="560" t="e">
        <f t="shared" si="30"/>
        <v>#VALUE!</v>
      </c>
      <c r="AN38" s="633"/>
      <c r="AO38" s="560" t="s">
        <v>557</v>
      </c>
      <c r="AP38" s="562" t="s">
        <v>557</v>
      </c>
      <c r="AQ38" s="562" t="s">
        <v>557</v>
      </c>
      <c r="AR38" s="560" t="e">
        <f t="shared" si="32"/>
        <v>#VALUE!</v>
      </c>
      <c r="AS38" s="633"/>
      <c r="AT38" s="560" t="s">
        <v>557</v>
      </c>
      <c r="AU38" s="562" t="s">
        <v>557</v>
      </c>
      <c r="AV38" s="562" t="s">
        <v>557</v>
      </c>
      <c r="AW38" s="560" t="e">
        <f t="shared" si="34"/>
        <v>#VALUE!</v>
      </c>
      <c r="AX38" s="633"/>
      <c r="AZ38" s="357" t="e">
        <f t="shared" si="36"/>
        <v>#N/A</v>
      </c>
      <c r="BA38" s="633"/>
    </row>
    <row r="39" spans="2:53">
      <c r="B39" s="643"/>
      <c r="C39" s="368">
        <v>13</v>
      </c>
      <c r="D39" s="220"/>
      <c r="E39" s="559"/>
      <c r="F39" s="553"/>
      <c r="G39" s="552"/>
      <c r="H39" s="651"/>
      <c r="I39" s="369" t="str">
        <f t="shared" si="19"/>
        <v>-</v>
      </c>
      <c r="J39" s="369" t="str">
        <f t="shared" si="20"/>
        <v>-</v>
      </c>
      <c r="K39" s="194" t="str">
        <f t="shared" si="21"/>
        <v>-</v>
      </c>
      <c r="L39" s="653"/>
      <c r="M39" s="375" t="e">
        <f>RANK(K39, K$24:$K$41)</f>
        <v>#VALUE!</v>
      </c>
      <c r="N39" s="637"/>
      <c r="O39" s="637"/>
      <c r="P39" s="560" t="s">
        <v>557</v>
      </c>
      <c r="Q39" s="562" t="s">
        <v>557</v>
      </c>
      <c r="R39" s="562" t="s">
        <v>557</v>
      </c>
      <c r="S39" s="560" t="e">
        <f t="shared" si="22"/>
        <v>#VALUE!</v>
      </c>
      <c r="T39" s="633"/>
      <c r="U39" s="560" t="s">
        <v>557</v>
      </c>
      <c r="V39" s="562" t="s">
        <v>557</v>
      </c>
      <c r="W39" s="562" t="s">
        <v>557</v>
      </c>
      <c r="X39" s="560" t="e">
        <f t="shared" si="24"/>
        <v>#VALUE!</v>
      </c>
      <c r="Y39" s="633"/>
      <c r="Z39" s="560" t="s">
        <v>557</v>
      </c>
      <c r="AA39" s="562" t="s">
        <v>557</v>
      </c>
      <c r="AB39" s="562" t="s">
        <v>557</v>
      </c>
      <c r="AC39" s="560" t="e">
        <f t="shared" si="26"/>
        <v>#VALUE!</v>
      </c>
      <c r="AD39" s="633"/>
      <c r="AE39" s="560" t="s">
        <v>557</v>
      </c>
      <c r="AF39" s="562" t="s">
        <v>557</v>
      </c>
      <c r="AG39" s="562" t="s">
        <v>557</v>
      </c>
      <c r="AH39" s="560" t="e">
        <f t="shared" si="28"/>
        <v>#VALUE!</v>
      </c>
      <c r="AI39" s="633"/>
      <c r="AJ39" s="560" t="s">
        <v>557</v>
      </c>
      <c r="AK39" s="562" t="s">
        <v>557</v>
      </c>
      <c r="AL39" s="562" t="s">
        <v>557</v>
      </c>
      <c r="AM39" s="560" t="e">
        <f t="shared" si="30"/>
        <v>#VALUE!</v>
      </c>
      <c r="AN39" s="633"/>
      <c r="AO39" s="560" t="s">
        <v>557</v>
      </c>
      <c r="AP39" s="562" t="s">
        <v>557</v>
      </c>
      <c r="AQ39" s="562" t="s">
        <v>557</v>
      </c>
      <c r="AR39" s="560" t="e">
        <f t="shared" si="32"/>
        <v>#VALUE!</v>
      </c>
      <c r="AS39" s="633"/>
      <c r="AT39" s="560" t="s">
        <v>557</v>
      </c>
      <c r="AU39" s="562" t="s">
        <v>557</v>
      </c>
      <c r="AV39" s="562" t="s">
        <v>557</v>
      </c>
      <c r="AW39" s="560" t="e">
        <f t="shared" si="34"/>
        <v>#VALUE!</v>
      </c>
      <c r="AX39" s="633"/>
      <c r="AZ39" s="357" t="e">
        <f t="shared" si="36"/>
        <v>#N/A</v>
      </c>
      <c r="BA39" s="633"/>
    </row>
    <row r="40" spans="2:53">
      <c r="B40" s="643"/>
      <c r="C40" s="368">
        <v>14</v>
      </c>
      <c r="D40" s="220"/>
      <c r="E40" s="559"/>
      <c r="F40" s="553"/>
      <c r="G40" s="552"/>
      <c r="H40" s="651"/>
      <c r="I40" s="369" t="str">
        <f t="shared" si="19"/>
        <v>-</v>
      </c>
      <c r="J40" s="369" t="str">
        <f t="shared" si="20"/>
        <v>-</v>
      </c>
      <c r="K40" s="194" t="str">
        <f t="shared" si="21"/>
        <v>-</v>
      </c>
      <c r="L40" s="653"/>
      <c r="M40" s="375" t="e">
        <f>RANK(K40, K$24:$K$41)</f>
        <v>#VALUE!</v>
      </c>
      <c r="N40" s="637"/>
      <c r="O40" s="637"/>
      <c r="P40" s="560" t="s">
        <v>557</v>
      </c>
      <c r="Q40" s="562" t="s">
        <v>557</v>
      </c>
      <c r="R40" s="562" t="s">
        <v>557</v>
      </c>
      <c r="S40" s="560" t="e">
        <f t="shared" si="22"/>
        <v>#VALUE!</v>
      </c>
      <c r="T40" s="633"/>
      <c r="U40" s="560" t="s">
        <v>557</v>
      </c>
      <c r="V40" s="562" t="s">
        <v>557</v>
      </c>
      <c r="W40" s="562" t="s">
        <v>557</v>
      </c>
      <c r="X40" s="560" t="e">
        <f t="shared" si="24"/>
        <v>#VALUE!</v>
      </c>
      <c r="Y40" s="633"/>
      <c r="Z40" s="560" t="s">
        <v>557</v>
      </c>
      <c r="AA40" s="562" t="s">
        <v>557</v>
      </c>
      <c r="AB40" s="562" t="s">
        <v>557</v>
      </c>
      <c r="AC40" s="560" t="e">
        <f t="shared" si="26"/>
        <v>#VALUE!</v>
      </c>
      <c r="AD40" s="633"/>
      <c r="AE40" s="560" t="s">
        <v>557</v>
      </c>
      <c r="AF40" s="562" t="s">
        <v>557</v>
      </c>
      <c r="AG40" s="562" t="s">
        <v>557</v>
      </c>
      <c r="AH40" s="560" t="e">
        <f t="shared" si="28"/>
        <v>#VALUE!</v>
      </c>
      <c r="AI40" s="633"/>
      <c r="AJ40" s="560" t="s">
        <v>557</v>
      </c>
      <c r="AK40" s="562" t="s">
        <v>557</v>
      </c>
      <c r="AL40" s="562" t="s">
        <v>557</v>
      </c>
      <c r="AM40" s="560" t="e">
        <f t="shared" si="30"/>
        <v>#VALUE!</v>
      </c>
      <c r="AN40" s="633"/>
      <c r="AO40" s="560" t="s">
        <v>557</v>
      </c>
      <c r="AP40" s="562" t="s">
        <v>557</v>
      </c>
      <c r="AQ40" s="562" t="s">
        <v>557</v>
      </c>
      <c r="AR40" s="560" t="e">
        <f t="shared" si="32"/>
        <v>#VALUE!</v>
      </c>
      <c r="AS40" s="633"/>
      <c r="AT40" s="560" t="s">
        <v>557</v>
      </c>
      <c r="AU40" s="562" t="s">
        <v>557</v>
      </c>
      <c r="AV40" s="562" t="s">
        <v>557</v>
      </c>
      <c r="AW40" s="560" t="e">
        <f t="shared" si="34"/>
        <v>#VALUE!</v>
      </c>
      <c r="AX40" s="633"/>
      <c r="AZ40" s="357" t="e">
        <f t="shared" si="36"/>
        <v>#N/A</v>
      </c>
      <c r="BA40" s="633"/>
    </row>
    <row r="41" spans="2:53">
      <c r="B41" s="643"/>
      <c r="C41" s="368">
        <v>15</v>
      </c>
      <c r="D41" s="220"/>
      <c r="E41" s="559"/>
      <c r="F41" s="553"/>
      <c r="G41" s="552"/>
      <c r="H41" s="708"/>
      <c r="I41" s="368"/>
      <c r="J41" s="368"/>
      <c r="K41" s="368"/>
      <c r="L41" s="654"/>
      <c r="M41" s="375" t="e">
        <f>RANK(K41, K$24:$K$41)</f>
        <v>#N/A</v>
      </c>
      <c r="N41" s="637"/>
      <c r="O41" s="637"/>
      <c r="P41" s="560" t="s">
        <v>557</v>
      </c>
      <c r="Q41" s="562" t="s">
        <v>557</v>
      </c>
      <c r="R41" s="562" t="s">
        <v>557</v>
      </c>
      <c r="S41" s="560" t="e">
        <f t="shared" si="22"/>
        <v>#VALUE!</v>
      </c>
      <c r="T41" s="634"/>
      <c r="U41" s="560" t="s">
        <v>557</v>
      </c>
      <c r="V41" s="562" t="s">
        <v>557</v>
      </c>
      <c r="W41" s="562" t="s">
        <v>557</v>
      </c>
      <c r="X41" s="560" t="e">
        <f t="shared" si="24"/>
        <v>#VALUE!</v>
      </c>
      <c r="Y41" s="634"/>
      <c r="Z41" s="560" t="s">
        <v>557</v>
      </c>
      <c r="AA41" s="562" t="s">
        <v>557</v>
      </c>
      <c r="AB41" s="562" t="s">
        <v>557</v>
      </c>
      <c r="AC41" s="560" t="e">
        <f t="shared" si="26"/>
        <v>#VALUE!</v>
      </c>
      <c r="AD41" s="634"/>
      <c r="AE41" s="560" t="s">
        <v>557</v>
      </c>
      <c r="AF41" s="562" t="s">
        <v>557</v>
      </c>
      <c r="AG41" s="562" t="s">
        <v>557</v>
      </c>
      <c r="AH41" s="560" t="e">
        <f t="shared" si="28"/>
        <v>#VALUE!</v>
      </c>
      <c r="AI41" s="634"/>
      <c r="AJ41" s="560" t="s">
        <v>557</v>
      </c>
      <c r="AK41" s="562" t="s">
        <v>557</v>
      </c>
      <c r="AL41" s="562" t="s">
        <v>557</v>
      </c>
      <c r="AM41" s="560" t="e">
        <f t="shared" si="30"/>
        <v>#VALUE!</v>
      </c>
      <c r="AN41" s="634"/>
      <c r="AO41" s="560" t="s">
        <v>557</v>
      </c>
      <c r="AP41" s="562" t="s">
        <v>557</v>
      </c>
      <c r="AQ41" s="562" t="s">
        <v>557</v>
      </c>
      <c r="AR41" s="560" t="e">
        <f t="shared" si="32"/>
        <v>#VALUE!</v>
      </c>
      <c r="AS41" s="634"/>
      <c r="AT41" s="560" t="s">
        <v>557</v>
      </c>
      <c r="AU41" s="562" t="s">
        <v>557</v>
      </c>
      <c r="AV41" s="562" t="s">
        <v>557</v>
      </c>
      <c r="AW41" s="560" t="e">
        <f t="shared" si="34"/>
        <v>#VALUE!</v>
      </c>
      <c r="AX41" s="634"/>
      <c r="AZ41" s="357" t="e">
        <f t="shared" si="36"/>
        <v>#N/A</v>
      </c>
      <c r="BA41" s="634"/>
    </row>
    <row r="42" spans="2:53" ht="15.75">
      <c r="B42" s="676" t="s">
        <v>162</v>
      </c>
      <c r="C42" s="677"/>
      <c r="D42" s="677"/>
      <c r="E42" s="677"/>
      <c r="F42" s="677"/>
      <c r="G42" s="677"/>
      <c r="H42" s="677"/>
      <c r="I42" s="202"/>
      <c r="J42" s="197"/>
      <c r="K42" s="202"/>
      <c r="L42" s="202"/>
      <c r="M42" s="198"/>
      <c r="N42" s="639" t="s">
        <v>156</v>
      </c>
      <c r="O42" s="639" t="s">
        <v>105</v>
      </c>
      <c r="P42" s="664">
        <f>P22+7</f>
        <v>46308</v>
      </c>
      <c r="Q42" s="643"/>
      <c r="R42" s="643"/>
      <c r="S42" s="643"/>
      <c r="T42" s="643"/>
      <c r="U42" s="661">
        <f>P42+1</f>
        <v>46309</v>
      </c>
      <c r="V42" s="662"/>
      <c r="W42" s="662"/>
      <c r="X42" s="662"/>
      <c r="Y42" s="663"/>
      <c r="Z42" s="661">
        <f>U42+1</f>
        <v>46310</v>
      </c>
      <c r="AA42" s="662"/>
      <c r="AB42" s="662"/>
      <c r="AC42" s="662"/>
      <c r="AD42" s="663"/>
      <c r="AE42" s="661">
        <f>Z42+1</f>
        <v>46311</v>
      </c>
      <c r="AF42" s="662"/>
      <c r="AG42" s="662"/>
      <c r="AH42" s="662"/>
      <c r="AI42" s="663"/>
      <c r="AJ42" s="661">
        <f>AE42+1</f>
        <v>46312</v>
      </c>
      <c r="AK42" s="662"/>
      <c r="AL42" s="662"/>
      <c r="AM42" s="662"/>
      <c r="AN42" s="663"/>
      <c r="AO42" s="661">
        <f>AJ42+1</f>
        <v>46313</v>
      </c>
      <c r="AP42" s="662"/>
      <c r="AQ42" s="662"/>
      <c r="AR42" s="662"/>
      <c r="AS42" s="663"/>
      <c r="AT42" s="661">
        <f>AO42+1</f>
        <v>46314</v>
      </c>
      <c r="AU42" s="662"/>
      <c r="AV42" s="662"/>
      <c r="AW42" s="662"/>
      <c r="AX42" s="663"/>
    </row>
    <row r="43" spans="2:53" ht="15.75">
      <c r="B43" s="668"/>
      <c r="C43" s="668"/>
      <c r="D43" s="668"/>
      <c r="E43" s="668"/>
      <c r="F43" s="668"/>
      <c r="G43" s="668"/>
      <c r="H43" s="668"/>
      <c r="I43" s="199"/>
      <c r="J43" s="199"/>
      <c r="K43" s="199"/>
      <c r="L43" s="199"/>
      <c r="M43" s="200"/>
      <c r="N43" s="641"/>
      <c r="O43" s="641"/>
      <c r="P43" s="664" t="s">
        <v>317</v>
      </c>
      <c r="Q43" s="643"/>
      <c r="R43" s="643"/>
      <c r="S43" s="643"/>
      <c r="T43" s="643"/>
      <c r="U43" s="664" t="s">
        <v>318</v>
      </c>
      <c r="V43" s="643"/>
      <c r="W43" s="643"/>
      <c r="X43" s="643"/>
      <c r="Y43" s="643"/>
      <c r="Z43" s="664" t="s">
        <v>319</v>
      </c>
      <c r="AA43" s="643"/>
      <c r="AB43" s="643"/>
      <c r="AC43" s="643"/>
      <c r="AD43" s="643"/>
      <c r="AE43" s="664" t="s">
        <v>320</v>
      </c>
      <c r="AF43" s="643"/>
      <c r="AG43" s="643"/>
      <c r="AH43" s="643"/>
      <c r="AI43" s="643"/>
      <c r="AJ43" s="664" t="s">
        <v>321</v>
      </c>
      <c r="AK43" s="643"/>
      <c r="AL43" s="643"/>
      <c r="AM43" s="643"/>
      <c r="AN43" s="643"/>
      <c r="AO43" s="664" t="s">
        <v>322</v>
      </c>
      <c r="AP43" s="643"/>
      <c r="AQ43" s="643"/>
      <c r="AR43" s="643"/>
      <c r="AS43" s="643"/>
      <c r="AT43" s="664" t="s">
        <v>323</v>
      </c>
      <c r="AU43" s="643"/>
      <c r="AV43" s="643"/>
      <c r="AW43" s="643"/>
      <c r="AX43" s="643"/>
    </row>
    <row r="44" spans="2:53">
      <c r="B44" s="637" t="s">
        <v>360</v>
      </c>
      <c r="C44" s="637" t="s">
        <v>521</v>
      </c>
      <c r="D44" s="637"/>
      <c r="E44" s="637" t="s">
        <v>522</v>
      </c>
      <c r="F44" s="637"/>
      <c r="G44" s="637"/>
      <c r="H44" s="669" t="s">
        <v>523</v>
      </c>
      <c r="I44" s="637" t="s">
        <v>524</v>
      </c>
      <c r="J44" s="637"/>
      <c r="K44" s="637"/>
      <c r="L44" s="669" t="s">
        <v>357</v>
      </c>
      <c r="M44" s="639" t="s">
        <v>525</v>
      </c>
      <c r="N44" s="637"/>
      <c r="O44" s="637" t="s">
        <v>526</v>
      </c>
      <c r="P44" s="655" t="s">
        <v>359</v>
      </c>
      <c r="Q44" s="656"/>
      <c r="R44" s="656"/>
      <c r="S44" s="657"/>
      <c r="T44" s="637" t="s">
        <v>357</v>
      </c>
      <c r="U44" s="655" t="s">
        <v>359</v>
      </c>
      <c r="V44" s="656"/>
      <c r="W44" s="656"/>
      <c r="X44" s="657"/>
      <c r="Y44" s="637" t="s">
        <v>357</v>
      </c>
      <c r="Z44" s="655" t="s">
        <v>359</v>
      </c>
      <c r="AA44" s="656"/>
      <c r="AB44" s="656"/>
      <c r="AC44" s="657"/>
      <c r="AD44" s="637" t="s">
        <v>357</v>
      </c>
      <c r="AE44" s="655" t="s">
        <v>359</v>
      </c>
      <c r="AF44" s="656"/>
      <c r="AG44" s="656"/>
      <c r="AH44" s="657"/>
      <c r="AI44" s="637" t="s">
        <v>357</v>
      </c>
      <c r="AJ44" s="655" t="s">
        <v>359</v>
      </c>
      <c r="AK44" s="656"/>
      <c r="AL44" s="656"/>
      <c r="AM44" s="657"/>
      <c r="AN44" s="637" t="s">
        <v>357</v>
      </c>
      <c r="AO44" s="655" t="s">
        <v>359</v>
      </c>
      <c r="AP44" s="656"/>
      <c r="AQ44" s="656"/>
      <c r="AR44" s="657"/>
      <c r="AS44" s="637" t="s">
        <v>357</v>
      </c>
      <c r="AT44" s="655" t="s">
        <v>359</v>
      </c>
      <c r="AU44" s="656"/>
      <c r="AV44" s="656"/>
      <c r="AW44" s="657"/>
      <c r="AX44" s="637" t="s">
        <v>357</v>
      </c>
      <c r="BA44" s="637" t="s">
        <v>357</v>
      </c>
    </row>
    <row r="45" spans="2:53">
      <c r="B45" s="637"/>
      <c r="C45" s="637"/>
      <c r="D45" s="637"/>
      <c r="E45" s="637" t="s">
        <v>527</v>
      </c>
      <c r="F45" s="637"/>
      <c r="G45" s="637"/>
      <c r="H45" s="670"/>
      <c r="I45" s="637" t="s">
        <v>527</v>
      </c>
      <c r="J45" s="637"/>
      <c r="K45" s="637"/>
      <c r="L45" s="670"/>
      <c r="M45" s="640"/>
      <c r="N45" s="637"/>
      <c r="O45" s="637"/>
      <c r="P45" s="655" t="s">
        <v>365</v>
      </c>
      <c r="Q45" s="656"/>
      <c r="R45" s="656"/>
      <c r="S45" s="657"/>
      <c r="T45" s="637"/>
      <c r="U45" s="655" t="s">
        <v>365</v>
      </c>
      <c r="V45" s="656"/>
      <c r="W45" s="656"/>
      <c r="X45" s="657"/>
      <c r="Y45" s="637"/>
      <c r="Z45" s="655" t="s">
        <v>365</v>
      </c>
      <c r="AA45" s="656"/>
      <c r="AB45" s="656"/>
      <c r="AC45" s="657"/>
      <c r="AD45" s="637"/>
      <c r="AE45" s="655" t="s">
        <v>365</v>
      </c>
      <c r="AF45" s="656"/>
      <c r="AG45" s="656"/>
      <c r="AH45" s="657"/>
      <c r="AI45" s="637"/>
      <c r="AJ45" s="655" t="s">
        <v>365</v>
      </c>
      <c r="AK45" s="656"/>
      <c r="AL45" s="656"/>
      <c r="AM45" s="657"/>
      <c r="AN45" s="637"/>
      <c r="AO45" s="655" t="s">
        <v>365</v>
      </c>
      <c r="AP45" s="656"/>
      <c r="AQ45" s="656"/>
      <c r="AR45" s="657"/>
      <c r="AS45" s="637"/>
      <c r="AT45" s="655" t="s">
        <v>365</v>
      </c>
      <c r="AU45" s="656"/>
      <c r="AV45" s="656"/>
      <c r="AW45" s="657"/>
      <c r="AX45" s="637"/>
      <c r="BA45" s="637"/>
    </row>
    <row r="46" spans="2:53">
      <c r="B46" s="637"/>
      <c r="C46" s="637"/>
      <c r="D46" s="637"/>
      <c r="E46" s="366" t="s">
        <v>528</v>
      </c>
      <c r="F46" s="366" t="s">
        <v>529</v>
      </c>
      <c r="G46" s="366" t="s">
        <v>530</v>
      </c>
      <c r="H46" s="671"/>
      <c r="I46" s="366" t="s">
        <v>528</v>
      </c>
      <c r="J46" s="366" t="s">
        <v>529</v>
      </c>
      <c r="K46" s="366" t="s">
        <v>530</v>
      </c>
      <c r="L46" s="671"/>
      <c r="M46" s="641"/>
      <c r="N46" s="637"/>
      <c r="O46" s="637"/>
      <c r="P46" s="366" t="s">
        <v>366</v>
      </c>
      <c r="Q46" s="366" t="s">
        <v>367</v>
      </c>
      <c r="R46" s="366" t="s">
        <v>368</v>
      </c>
      <c r="S46" s="366" t="s">
        <v>358</v>
      </c>
      <c r="T46" s="637"/>
      <c r="U46" s="366" t="s">
        <v>366</v>
      </c>
      <c r="V46" s="366" t="s">
        <v>367</v>
      </c>
      <c r="W46" s="366" t="s">
        <v>368</v>
      </c>
      <c r="X46" s="366" t="s">
        <v>358</v>
      </c>
      <c r="Y46" s="637"/>
      <c r="Z46" s="366" t="s">
        <v>366</v>
      </c>
      <c r="AA46" s="366" t="s">
        <v>367</v>
      </c>
      <c r="AB46" s="366" t="s">
        <v>368</v>
      </c>
      <c r="AC46" s="366" t="s">
        <v>358</v>
      </c>
      <c r="AD46" s="637"/>
      <c r="AE46" s="366" t="s">
        <v>366</v>
      </c>
      <c r="AF46" s="366" t="s">
        <v>367</v>
      </c>
      <c r="AG46" s="366" t="s">
        <v>368</v>
      </c>
      <c r="AH46" s="366" t="s">
        <v>358</v>
      </c>
      <c r="AI46" s="637"/>
      <c r="AJ46" s="366" t="s">
        <v>366</v>
      </c>
      <c r="AK46" s="366" t="s">
        <v>367</v>
      </c>
      <c r="AL46" s="366" t="s">
        <v>368</v>
      </c>
      <c r="AM46" s="366" t="s">
        <v>358</v>
      </c>
      <c r="AN46" s="637"/>
      <c r="AO46" s="366" t="s">
        <v>366</v>
      </c>
      <c r="AP46" s="366" t="s">
        <v>367</v>
      </c>
      <c r="AQ46" s="366" t="s">
        <v>368</v>
      </c>
      <c r="AR46" s="366" t="s">
        <v>358</v>
      </c>
      <c r="AS46" s="637"/>
      <c r="AT46" s="366" t="s">
        <v>366</v>
      </c>
      <c r="AU46" s="366" t="s">
        <v>367</v>
      </c>
      <c r="AV46" s="366" t="s">
        <v>368</v>
      </c>
      <c r="AW46" s="366" t="s">
        <v>358</v>
      </c>
      <c r="AX46" s="637"/>
      <c r="AZ46" s="356" t="s">
        <v>546</v>
      </c>
      <c r="BA46" s="637"/>
    </row>
    <row r="47" spans="2:53">
      <c r="B47" s="637" t="s">
        <v>372</v>
      </c>
      <c r="C47" s="368">
        <v>1</v>
      </c>
      <c r="D47" s="220"/>
      <c r="E47" s="559"/>
      <c r="F47" s="553"/>
      <c r="G47" s="552"/>
      <c r="H47" s="650" t="e">
        <f>AVERAGE(G47:G61)</f>
        <v>#DIV/0!</v>
      </c>
      <c r="I47" s="369" t="str">
        <f t="shared" ref="I47:I60" si="38">IFERROR(AVERAGE(P47,U47,Z47,AE47,AJ47,AO47,AT47),"-")</f>
        <v>-</v>
      </c>
      <c r="J47" s="369" t="str">
        <f t="shared" ref="J47:J60" si="39">IFERROR(AVERAGE(Q47,V47,AA47,AF47,AK47,AP47,AU47),"-")</f>
        <v>-</v>
      </c>
      <c r="K47" s="194" t="str">
        <f t="shared" ref="K47:K60" si="40">IFERROR(AVERAGE(R47,W47,AB47,AG47,AL47,AQ47,AV47),"-")</f>
        <v>-</v>
      </c>
      <c r="L47" s="652" t="str">
        <f>IFERROR(AVERAGE(K47:K61),"-")</f>
        <v>-</v>
      </c>
      <c r="M47" s="390" t="e">
        <f>RANK(K47, K$47:$K$61)</f>
        <v>#VALUE!</v>
      </c>
      <c r="N47" s="637"/>
      <c r="O47" s="637"/>
      <c r="P47" s="538"/>
      <c r="Q47" s="540"/>
      <c r="R47" s="540"/>
      <c r="S47" s="538"/>
      <c r="T47" s="632"/>
      <c r="U47" s="538"/>
      <c r="V47" s="540"/>
      <c r="W47" s="540"/>
      <c r="X47" s="538"/>
      <c r="Y47" s="632"/>
      <c r="Z47" s="538"/>
      <c r="AA47" s="540"/>
      <c r="AB47" s="540"/>
      <c r="AC47" s="538"/>
      <c r="AD47" s="632"/>
      <c r="AE47" s="538"/>
      <c r="AF47" s="540"/>
      <c r="AG47" s="540"/>
      <c r="AH47" s="538"/>
      <c r="AI47" s="632"/>
      <c r="AJ47" s="538"/>
      <c r="AK47" s="540"/>
      <c r="AL47" s="540"/>
      <c r="AM47" s="538"/>
      <c r="AN47" s="632"/>
      <c r="AO47" s="538"/>
      <c r="AP47" s="540"/>
      <c r="AQ47" s="540"/>
      <c r="AR47" s="538"/>
      <c r="AS47" s="632"/>
      <c r="AT47" s="538"/>
      <c r="AU47" s="540"/>
      <c r="AV47" s="540"/>
      <c r="AW47" s="538"/>
      <c r="AX47" s="632"/>
      <c r="AZ47" s="357" t="e">
        <f t="shared" ref="AZ47:AZ61" si="41">RANK(AY47, AY$47:AY$61)</f>
        <v>#N/A</v>
      </c>
      <c r="BA47" s="678" t="e">
        <f t="shared" ref="BA47" si="42">AVERAGE(AY47:AY61)</f>
        <v>#DIV/0!</v>
      </c>
    </row>
    <row r="48" spans="2:53">
      <c r="B48" s="643"/>
      <c r="C48" s="368">
        <v>2</v>
      </c>
      <c r="D48" s="220"/>
      <c r="E48" s="559"/>
      <c r="F48" s="553"/>
      <c r="G48" s="552"/>
      <c r="H48" s="651"/>
      <c r="I48" s="369" t="str">
        <f t="shared" si="38"/>
        <v>-</v>
      </c>
      <c r="J48" s="369" t="str">
        <f t="shared" si="39"/>
        <v>-</v>
      </c>
      <c r="K48" s="194" t="str">
        <f t="shared" si="40"/>
        <v>-</v>
      </c>
      <c r="L48" s="653"/>
      <c r="M48" s="390" t="e">
        <f>RANK(K48, K$47:$K$61)</f>
        <v>#VALUE!</v>
      </c>
      <c r="N48" s="637"/>
      <c r="O48" s="637"/>
      <c r="P48" s="538"/>
      <c r="Q48" s="540"/>
      <c r="R48" s="540"/>
      <c r="S48" s="538"/>
      <c r="T48" s="633"/>
      <c r="U48" s="538"/>
      <c r="V48" s="540"/>
      <c r="W48" s="540"/>
      <c r="X48" s="538"/>
      <c r="Y48" s="633"/>
      <c r="Z48" s="538"/>
      <c r="AA48" s="540"/>
      <c r="AB48" s="540"/>
      <c r="AC48" s="538"/>
      <c r="AD48" s="633"/>
      <c r="AE48" s="538"/>
      <c r="AF48" s="540"/>
      <c r="AG48" s="540"/>
      <c r="AH48" s="538"/>
      <c r="AI48" s="633"/>
      <c r="AJ48" s="538"/>
      <c r="AK48" s="540"/>
      <c r="AL48" s="540"/>
      <c r="AM48" s="538"/>
      <c r="AN48" s="633"/>
      <c r="AO48" s="538"/>
      <c r="AP48" s="540"/>
      <c r="AQ48" s="540"/>
      <c r="AR48" s="538"/>
      <c r="AS48" s="633"/>
      <c r="AT48" s="538"/>
      <c r="AU48" s="540"/>
      <c r="AV48" s="540"/>
      <c r="AW48" s="538"/>
      <c r="AX48" s="633"/>
      <c r="AZ48" s="357" t="e">
        <f t="shared" si="41"/>
        <v>#N/A</v>
      </c>
      <c r="BA48" s="679"/>
    </row>
    <row r="49" spans="2:53">
      <c r="B49" s="643"/>
      <c r="C49" s="368">
        <v>3</v>
      </c>
      <c r="D49" s="220"/>
      <c r="E49" s="559"/>
      <c r="F49" s="553"/>
      <c r="G49" s="552"/>
      <c r="H49" s="651"/>
      <c r="I49" s="369" t="str">
        <f t="shared" si="38"/>
        <v>-</v>
      </c>
      <c r="J49" s="369" t="str">
        <f t="shared" si="39"/>
        <v>-</v>
      </c>
      <c r="K49" s="194" t="str">
        <f t="shared" si="40"/>
        <v>-</v>
      </c>
      <c r="L49" s="653"/>
      <c r="M49" s="390" t="e">
        <f>RANK(K49, K$47:$K$61)</f>
        <v>#VALUE!</v>
      </c>
      <c r="N49" s="637"/>
      <c r="O49" s="637"/>
      <c r="P49" s="538"/>
      <c r="Q49" s="540"/>
      <c r="R49" s="540"/>
      <c r="S49" s="538"/>
      <c r="T49" s="633"/>
      <c r="U49" s="538"/>
      <c r="V49" s="540"/>
      <c r="W49" s="540"/>
      <c r="X49" s="538"/>
      <c r="Y49" s="633"/>
      <c r="Z49" s="538"/>
      <c r="AA49" s="540"/>
      <c r="AB49" s="540"/>
      <c r="AC49" s="538"/>
      <c r="AD49" s="633"/>
      <c r="AE49" s="538"/>
      <c r="AF49" s="540"/>
      <c r="AG49" s="540"/>
      <c r="AH49" s="538"/>
      <c r="AI49" s="633"/>
      <c r="AJ49" s="538"/>
      <c r="AK49" s="540"/>
      <c r="AL49" s="540"/>
      <c r="AM49" s="538"/>
      <c r="AN49" s="633"/>
      <c r="AO49" s="538"/>
      <c r="AP49" s="540"/>
      <c r="AQ49" s="540"/>
      <c r="AR49" s="538"/>
      <c r="AS49" s="633"/>
      <c r="AT49" s="538"/>
      <c r="AU49" s="540"/>
      <c r="AV49" s="540"/>
      <c r="AW49" s="538"/>
      <c r="AX49" s="633"/>
      <c r="AZ49" s="357" t="e">
        <f t="shared" si="41"/>
        <v>#N/A</v>
      </c>
      <c r="BA49" s="679"/>
    </row>
    <row r="50" spans="2:53">
      <c r="B50" s="643"/>
      <c r="C50" s="368">
        <v>4</v>
      </c>
      <c r="D50" s="220"/>
      <c r="E50" s="559"/>
      <c r="F50" s="553"/>
      <c r="G50" s="552"/>
      <c r="H50" s="651"/>
      <c r="I50" s="369" t="str">
        <f t="shared" si="38"/>
        <v>-</v>
      </c>
      <c r="J50" s="369" t="str">
        <f t="shared" si="39"/>
        <v>-</v>
      </c>
      <c r="K50" s="194" t="str">
        <f t="shared" si="40"/>
        <v>-</v>
      </c>
      <c r="L50" s="653"/>
      <c r="M50" s="390" t="e">
        <f>RANK(K50, K$47:$K$61)</f>
        <v>#VALUE!</v>
      </c>
      <c r="N50" s="637"/>
      <c r="O50" s="637"/>
      <c r="P50" s="538"/>
      <c r="Q50" s="540"/>
      <c r="R50" s="540"/>
      <c r="S50" s="538"/>
      <c r="T50" s="633"/>
      <c r="U50" s="538"/>
      <c r="V50" s="540"/>
      <c r="W50" s="540"/>
      <c r="X50" s="538"/>
      <c r="Y50" s="633"/>
      <c r="Z50" s="538"/>
      <c r="AA50" s="540"/>
      <c r="AB50" s="540"/>
      <c r="AC50" s="538"/>
      <c r="AD50" s="633"/>
      <c r="AE50" s="538"/>
      <c r="AF50" s="540"/>
      <c r="AG50" s="540"/>
      <c r="AH50" s="538"/>
      <c r="AI50" s="633"/>
      <c r="AJ50" s="538"/>
      <c r="AK50" s="540"/>
      <c r="AL50" s="540"/>
      <c r="AM50" s="538"/>
      <c r="AN50" s="633"/>
      <c r="AO50" s="538"/>
      <c r="AP50" s="540"/>
      <c r="AQ50" s="540"/>
      <c r="AR50" s="538"/>
      <c r="AS50" s="633"/>
      <c r="AT50" s="538"/>
      <c r="AU50" s="540"/>
      <c r="AV50" s="540"/>
      <c r="AW50" s="538"/>
      <c r="AX50" s="633"/>
      <c r="AZ50" s="357" t="e">
        <f t="shared" si="41"/>
        <v>#N/A</v>
      </c>
      <c r="BA50" s="679"/>
    </row>
    <row r="51" spans="2:53">
      <c r="B51" s="643"/>
      <c r="C51" s="368">
        <v>5</v>
      </c>
      <c r="D51" s="220"/>
      <c r="E51" s="559"/>
      <c r="F51" s="553"/>
      <c r="G51" s="552"/>
      <c r="H51" s="651"/>
      <c r="I51" s="369" t="str">
        <f t="shared" si="38"/>
        <v>-</v>
      </c>
      <c r="J51" s="369" t="str">
        <f t="shared" si="39"/>
        <v>-</v>
      </c>
      <c r="K51" s="194" t="str">
        <f t="shared" si="40"/>
        <v>-</v>
      </c>
      <c r="L51" s="653"/>
      <c r="M51" s="390" t="e">
        <f>RANK(K51, K$47:$K$61)</f>
        <v>#VALUE!</v>
      </c>
      <c r="N51" s="637"/>
      <c r="O51" s="637"/>
      <c r="P51" s="538"/>
      <c r="Q51" s="540"/>
      <c r="R51" s="540"/>
      <c r="S51" s="538"/>
      <c r="T51" s="633"/>
      <c r="U51" s="538"/>
      <c r="V51" s="540"/>
      <c r="W51" s="540"/>
      <c r="X51" s="538"/>
      <c r="Y51" s="633"/>
      <c r="Z51" s="538"/>
      <c r="AA51" s="540"/>
      <c r="AB51" s="540"/>
      <c r="AC51" s="538"/>
      <c r="AD51" s="633"/>
      <c r="AE51" s="538"/>
      <c r="AF51" s="540"/>
      <c r="AG51" s="540"/>
      <c r="AH51" s="538"/>
      <c r="AI51" s="633"/>
      <c r="AJ51" s="538"/>
      <c r="AK51" s="540"/>
      <c r="AL51" s="540"/>
      <c r="AM51" s="538"/>
      <c r="AN51" s="633"/>
      <c r="AO51" s="538"/>
      <c r="AP51" s="540"/>
      <c r="AQ51" s="540"/>
      <c r="AR51" s="538"/>
      <c r="AS51" s="633"/>
      <c r="AT51" s="538"/>
      <c r="AU51" s="540"/>
      <c r="AV51" s="540"/>
      <c r="AW51" s="538"/>
      <c r="AX51" s="633"/>
      <c r="AZ51" s="357" t="e">
        <f t="shared" si="41"/>
        <v>#N/A</v>
      </c>
      <c r="BA51" s="679"/>
    </row>
    <row r="52" spans="2:53">
      <c r="B52" s="643"/>
      <c r="C52" s="368">
        <v>6</v>
      </c>
      <c r="D52" s="220"/>
      <c r="E52" s="559"/>
      <c r="F52" s="553"/>
      <c r="G52" s="552"/>
      <c r="H52" s="651"/>
      <c r="I52" s="369" t="str">
        <f t="shared" si="38"/>
        <v>-</v>
      </c>
      <c r="J52" s="369" t="str">
        <f t="shared" si="39"/>
        <v>-</v>
      </c>
      <c r="K52" s="194" t="str">
        <f t="shared" si="40"/>
        <v>-</v>
      </c>
      <c r="L52" s="653"/>
      <c r="M52" s="390" t="e">
        <f>RANK(K52, K$47:$K$61)</f>
        <v>#VALUE!</v>
      </c>
      <c r="N52" s="637"/>
      <c r="O52" s="637"/>
      <c r="P52" s="538"/>
      <c r="Q52" s="540"/>
      <c r="R52" s="540"/>
      <c r="S52" s="538"/>
      <c r="T52" s="633"/>
      <c r="U52" s="538"/>
      <c r="V52" s="540"/>
      <c r="W52" s="540"/>
      <c r="X52" s="538"/>
      <c r="Y52" s="633"/>
      <c r="Z52" s="538"/>
      <c r="AA52" s="540"/>
      <c r="AB52" s="540"/>
      <c r="AC52" s="538"/>
      <c r="AD52" s="633"/>
      <c r="AE52" s="538"/>
      <c r="AF52" s="540"/>
      <c r="AG52" s="540"/>
      <c r="AH52" s="538"/>
      <c r="AI52" s="633"/>
      <c r="AJ52" s="538"/>
      <c r="AK52" s="540"/>
      <c r="AL52" s="540"/>
      <c r="AM52" s="538"/>
      <c r="AN52" s="633"/>
      <c r="AO52" s="538"/>
      <c r="AP52" s="540"/>
      <c r="AQ52" s="540"/>
      <c r="AR52" s="538"/>
      <c r="AS52" s="633"/>
      <c r="AT52" s="538"/>
      <c r="AU52" s="540"/>
      <c r="AV52" s="540"/>
      <c r="AW52" s="538"/>
      <c r="AX52" s="633"/>
      <c r="AZ52" s="357" t="e">
        <f t="shared" si="41"/>
        <v>#N/A</v>
      </c>
      <c r="BA52" s="679"/>
    </row>
    <row r="53" spans="2:53">
      <c r="B53" s="643"/>
      <c r="C53" s="368">
        <v>7</v>
      </c>
      <c r="D53" s="220"/>
      <c r="E53" s="559"/>
      <c r="F53" s="553"/>
      <c r="G53" s="552"/>
      <c r="H53" s="651"/>
      <c r="I53" s="369" t="str">
        <f t="shared" si="38"/>
        <v>-</v>
      </c>
      <c r="J53" s="369" t="str">
        <f t="shared" si="39"/>
        <v>-</v>
      </c>
      <c r="K53" s="194" t="str">
        <f t="shared" si="40"/>
        <v>-</v>
      </c>
      <c r="L53" s="653"/>
      <c r="M53" s="390" t="e">
        <f>RANK(K53, K$47:$K$61)</f>
        <v>#VALUE!</v>
      </c>
      <c r="N53" s="637"/>
      <c r="O53" s="637"/>
      <c r="P53" s="538"/>
      <c r="Q53" s="540"/>
      <c r="R53" s="540"/>
      <c r="S53" s="538"/>
      <c r="T53" s="633"/>
      <c r="U53" s="538"/>
      <c r="V53" s="540"/>
      <c r="W53" s="540"/>
      <c r="X53" s="538"/>
      <c r="Y53" s="633"/>
      <c r="Z53" s="538"/>
      <c r="AA53" s="540"/>
      <c r="AB53" s="540"/>
      <c r="AC53" s="538"/>
      <c r="AD53" s="633"/>
      <c r="AE53" s="538"/>
      <c r="AF53" s="540"/>
      <c r="AG53" s="540"/>
      <c r="AH53" s="538"/>
      <c r="AI53" s="633"/>
      <c r="AJ53" s="538"/>
      <c r="AK53" s="540"/>
      <c r="AL53" s="540"/>
      <c r="AM53" s="538"/>
      <c r="AN53" s="633"/>
      <c r="AO53" s="538"/>
      <c r="AP53" s="540"/>
      <c r="AQ53" s="540"/>
      <c r="AR53" s="538"/>
      <c r="AS53" s="633"/>
      <c r="AT53" s="538"/>
      <c r="AU53" s="540"/>
      <c r="AV53" s="540"/>
      <c r="AW53" s="538"/>
      <c r="AX53" s="633"/>
      <c r="AZ53" s="357" t="e">
        <f t="shared" si="41"/>
        <v>#N/A</v>
      </c>
      <c r="BA53" s="679"/>
    </row>
    <row r="54" spans="2:53">
      <c r="B54" s="643"/>
      <c r="C54" s="368">
        <v>8</v>
      </c>
      <c r="D54" s="220"/>
      <c r="E54" s="559"/>
      <c r="F54" s="553"/>
      <c r="G54" s="552"/>
      <c r="H54" s="651"/>
      <c r="I54" s="369" t="str">
        <f t="shared" si="38"/>
        <v>-</v>
      </c>
      <c r="J54" s="369" t="str">
        <f t="shared" si="39"/>
        <v>-</v>
      </c>
      <c r="K54" s="194" t="str">
        <f t="shared" si="40"/>
        <v>-</v>
      </c>
      <c r="L54" s="653"/>
      <c r="M54" s="390" t="e">
        <f>RANK(K54, K$47:$K$61)</f>
        <v>#VALUE!</v>
      </c>
      <c r="N54" s="637"/>
      <c r="O54" s="637"/>
      <c r="P54" s="538"/>
      <c r="Q54" s="540"/>
      <c r="R54" s="540"/>
      <c r="S54" s="538"/>
      <c r="T54" s="633"/>
      <c r="U54" s="538"/>
      <c r="V54" s="540"/>
      <c r="W54" s="540"/>
      <c r="X54" s="538"/>
      <c r="Y54" s="633"/>
      <c r="Z54" s="538"/>
      <c r="AA54" s="540"/>
      <c r="AB54" s="540"/>
      <c r="AC54" s="538"/>
      <c r="AD54" s="633"/>
      <c r="AE54" s="538"/>
      <c r="AF54" s="540"/>
      <c r="AG54" s="540"/>
      <c r="AH54" s="538"/>
      <c r="AI54" s="633"/>
      <c r="AJ54" s="538"/>
      <c r="AK54" s="540"/>
      <c r="AL54" s="540"/>
      <c r="AM54" s="538"/>
      <c r="AN54" s="633"/>
      <c r="AO54" s="538"/>
      <c r="AP54" s="540"/>
      <c r="AQ54" s="540"/>
      <c r="AR54" s="538"/>
      <c r="AS54" s="633"/>
      <c r="AT54" s="538"/>
      <c r="AU54" s="540"/>
      <c r="AV54" s="540"/>
      <c r="AW54" s="538"/>
      <c r="AX54" s="633"/>
      <c r="AZ54" s="357" t="e">
        <f t="shared" si="41"/>
        <v>#N/A</v>
      </c>
      <c r="BA54" s="679"/>
    </row>
    <row r="55" spans="2:53">
      <c r="B55" s="643"/>
      <c r="C55" s="368">
        <v>9</v>
      </c>
      <c r="D55" s="220"/>
      <c r="E55" s="559"/>
      <c r="F55" s="553"/>
      <c r="G55" s="552"/>
      <c r="H55" s="651"/>
      <c r="I55" s="369" t="str">
        <f t="shared" si="38"/>
        <v>-</v>
      </c>
      <c r="J55" s="369" t="str">
        <f t="shared" si="39"/>
        <v>-</v>
      </c>
      <c r="K55" s="194" t="str">
        <f t="shared" si="40"/>
        <v>-</v>
      </c>
      <c r="L55" s="653"/>
      <c r="M55" s="390" t="e">
        <f>RANK(K55, K$47:$K$61)</f>
        <v>#VALUE!</v>
      </c>
      <c r="N55" s="637"/>
      <c r="O55" s="637"/>
      <c r="P55" s="538"/>
      <c r="Q55" s="540"/>
      <c r="R55" s="540"/>
      <c r="S55" s="538"/>
      <c r="T55" s="633"/>
      <c r="U55" s="538"/>
      <c r="V55" s="540"/>
      <c r="W55" s="540"/>
      <c r="X55" s="538"/>
      <c r="Y55" s="633"/>
      <c r="Z55" s="538"/>
      <c r="AA55" s="540"/>
      <c r="AB55" s="540"/>
      <c r="AC55" s="538"/>
      <c r="AD55" s="633"/>
      <c r="AE55" s="538"/>
      <c r="AF55" s="540"/>
      <c r="AG55" s="540"/>
      <c r="AH55" s="538"/>
      <c r="AI55" s="633"/>
      <c r="AJ55" s="538"/>
      <c r="AK55" s="540"/>
      <c r="AL55" s="540"/>
      <c r="AM55" s="538"/>
      <c r="AN55" s="633"/>
      <c r="AO55" s="538"/>
      <c r="AP55" s="540"/>
      <c r="AQ55" s="540"/>
      <c r="AR55" s="538"/>
      <c r="AS55" s="633"/>
      <c r="AT55" s="538"/>
      <c r="AU55" s="540"/>
      <c r="AV55" s="540"/>
      <c r="AW55" s="538"/>
      <c r="AX55" s="633"/>
      <c r="AZ55" s="357" t="e">
        <f t="shared" si="41"/>
        <v>#N/A</v>
      </c>
      <c r="BA55" s="679"/>
    </row>
    <row r="56" spans="2:53">
      <c r="B56" s="643"/>
      <c r="C56" s="368">
        <v>10</v>
      </c>
      <c r="D56" s="220"/>
      <c r="E56" s="559"/>
      <c r="F56" s="553"/>
      <c r="G56" s="552"/>
      <c r="H56" s="651"/>
      <c r="I56" s="369" t="str">
        <f t="shared" si="38"/>
        <v>-</v>
      </c>
      <c r="J56" s="369" t="str">
        <f t="shared" si="39"/>
        <v>-</v>
      </c>
      <c r="K56" s="194" t="str">
        <f t="shared" si="40"/>
        <v>-</v>
      </c>
      <c r="L56" s="653"/>
      <c r="M56" s="390" t="e">
        <f>RANK(K56, K$47:$K$61)</f>
        <v>#VALUE!</v>
      </c>
      <c r="N56" s="637"/>
      <c r="O56" s="637"/>
      <c r="P56" s="538"/>
      <c r="Q56" s="540"/>
      <c r="R56" s="540"/>
      <c r="S56" s="538"/>
      <c r="T56" s="633"/>
      <c r="U56" s="538"/>
      <c r="V56" s="540"/>
      <c r="W56" s="540"/>
      <c r="X56" s="538"/>
      <c r="Y56" s="633"/>
      <c r="Z56" s="538"/>
      <c r="AA56" s="540"/>
      <c r="AB56" s="540"/>
      <c r="AC56" s="538"/>
      <c r="AD56" s="633"/>
      <c r="AE56" s="538"/>
      <c r="AF56" s="540"/>
      <c r="AG56" s="540"/>
      <c r="AH56" s="538"/>
      <c r="AI56" s="633"/>
      <c r="AJ56" s="538"/>
      <c r="AK56" s="540"/>
      <c r="AL56" s="540"/>
      <c r="AM56" s="538"/>
      <c r="AN56" s="633"/>
      <c r="AO56" s="538"/>
      <c r="AP56" s="540"/>
      <c r="AQ56" s="540"/>
      <c r="AR56" s="538"/>
      <c r="AS56" s="633"/>
      <c r="AT56" s="538"/>
      <c r="AU56" s="540"/>
      <c r="AV56" s="540"/>
      <c r="AW56" s="538"/>
      <c r="AX56" s="633"/>
      <c r="AZ56" s="357" t="e">
        <f t="shared" si="41"/>
        <v>#N/A</v>
      </c>
      <c r="BA56" s="679"/>
    </row>
    <row r="57" spans="2:53">
      <c r="B57" s="643"/>
      <c r="C57" s="368">
        <v>11</v>
      </c>
      <c r="D57" s="220"/>
      <c r="E57" s="559"/>
      <c r="F57" s="553"/>
      <c r="G57" s="552"/>
      <c r="H57" s="651"/>
      <c r="I57" s="369" t="str">
        <f t="shared" si="38"/>
        <v>-</v>
      </c>
      <c r="J57" s="369" t="str">
        <f t="shared" si="39"/>
        <v>-</v>
      </c>
      <c r="K57" s="194" t="str">
        <f t="shared" si="40"/>
        <v>-</v>
      </c>
      <c r="L57" s="653"/>
      <c r="M57" s="390" t="e">
        <f>RANK(K57, K$47:$K$61)</f>
        <v>#VALUE!</v>
      </c>
      <c r="N57" s="637"/>
      <c r="O57" s="637"/>
      <c r="P57" s="538"/>
      <c r="Q57" s="540"/>
      <c r="R57" s="540"/>
      <c r="S57" s="538"/>
      <c r="T57" s="633"/>
      <c r="U57" s="538"/>
      <c r="V57" s="540"/>
      <c r="W57" s="540"/>
      <c r="X57" s="538"/>
      <c r="Y57" s="633"/>
      <c r="Z57" s="538"/>
      <c r="AA57" s="540"/>
      <c r="AB57" s="540"/>
      <c r="AC57" s="538"/>
      <c r="AD57" s="633"/>
      <c r="AE57" s="538"/>
      <c r="AF57" s="540"/>
      <c r="AG57" s="540"/>
      <c r="AH57" s="538"/>
      <c r="AI57" s="633"/>
      <c r="AJ57" s="538"/>
      <c r="AK57" s="540"/>
      <c r="AL57" s="540"/>
      <c r="AM57" s="538"/>
      <c r="AN57" s="633"/>
      <c r="AO57" s="538"/>
      <c r="AP57" s="540"/>
      <c r="AQ57" s="540"/>
      <c r="AR57" s="538"/>
      <c r="AS57" s="633"/>
      <c r="AT57" s="538"/>
      <c r="AU57" s="540"/>
      <c r="AV57" s="540"/>
      <c r="AW57" s="538"/>
      <c r="AX57" s="633"/>
      <c r="AZ57" s="357" t="e">
        <f t="shared" si="41"/>
        <v>#N/A</v>
      </c>
      <c r="BA57" s="679"/>
    </row>
    <row r="58" spans="2:53">
      <c r="B58" s="643"/>
      <c r="C58" s="368">
        <v>12</v>
      </c>
      <c r="D58" s="220"/>
      <c r="E58" s="559"/>
      <c r="F58" s="553"/>
      <c r="G58" s="552"/>
      <c r="H58" s="651"/>
      <c r="I58" s="369" t="str">
        <f t="shared" si="38"/>
        <v>-</v>
      </c>
      <c r="J58" s="369" t="str">
        <f t="shared" si="39"/>
        <v>-</v>
      </c>
      <c r="K58" s="194" t="str">
        <f t="shared" si="40"/>
        <v>-</v>
      </c>
      <c r="L58" s="653"/>
      <c r="M58" s="390" t="e">
        <f>RANK(K58, K$47:$K$61)</f>
        <v>#VALUE!</v>
      </c>
      <c r="N58" s="637"/>
      <c r="O58" s="637"/>
      <c r="P58" s="538"/>
      <c r="Q58" s="540"/>
      <c r="R58" s="540"/>
      <c r="S58" s="538"/>
      <c r="T58" s="633"/>
      <c r="U58" s="538"/>
      <c r="V58" s="540"/>
      <c r="W58" s="540"/>
      <c r="X58" s="538"/>
      <c r="Y58" s="633"/>
      <c r="Z58" s="538"/>
      <c r="AA58" s="540"/>
      <c r="AB58" s="540"/>
      <c r="AC58" s="538"/>
      <c r="AD58" s="633"/>
      <c r="AE58" s="538"/>
      <c r="AF58" s="540"/>
      <c r="AG58" s="540"/>
      <c r="AH58" s="538"/>
      <c r="AI58" s="633"/>
      <c r="AJ58" s="538"/>
      <c r="AK58" s="540"/>
      <c r="AL58" s="540"/>
      <c r="AM58" s="538"/>
      <c r="AN58" s="633"/>
      <c r="AO58" s="538"/>
      <c r="AP58" s="540"/>
      <c r="AQ58" s="540"/>
      <c r="AR58" s="538"/>
      <c r="AS58" s="633"/>
      <c r="AT58" s="538"/>
      <c r="AU58" s="540"/>
      <c r="AV58" s="540"/>
      <c r="AW58" s="538"/>
      <c r="AX58" s="633"/>
      <c r="AZ58" s="357" t="e">
        <f t="shared" si="41"/>
        <v>#N/A</v>
      </c>
      <c r="BA58" s="679"/>
    </row>
    <row r="59" spans="2:53">
      <c r="B59" s="643"/>
      <c r="C59" s="368">
        <v>13</v>
      </c>
      <c r="D59" s="220"/>
      <c r="E59" s="559"/>
      <c r="F59" s="553"/>
      <c r="G59" s="552"/>
      <c r="H59" s="651"/>
      <c r="I59" s="369" t="str">
        <f t="shared" si="38"/>
        <v>-</v>
      </c>
      <c r="J59" s="369" t="str">
        <f t="shared" si="39"/>
        <v>-</v>
      </c>
      <c r="K59" s="194" t="str">
        <f t="shared" si="40"/>
        <v>-</v>
      </c>
      <c r="L59" s="653"/>
      <c r="M59" s="390" t="e">
        <f>RANK(K59, K$47:$K$61)</f>
        <v>#VALUE!</v>
      </c>
      <c r="N59" s="637"/>
      <c r="O59" s="637"/>
      <c r="P59" s="538"/>
      <c r="Q59" s="540"/>
      <c r="R59" s="540"/>
      <c r="S59" s="538"/>
      <c r="T59" s="633"/>
      <c r="U59" s="538"/>
      <c r="V59" s="540"/>
      <c r="W59" s="540"/>
      <c r="X59" s="538"/>
      <c r="Y59" s="633"/>
      <c r="Z59" s="538"/>
      <c r="AA59" s="540"/>
      <c r="AB59" s="540"/>
      <c r="AC59" s="538"/>
      <c r="AD59" s="633"/>
      <c r="AE59" s="538"/>
      <c r="AF59" s="540"/>
      <c r="AG59" s="540"/>
      <c r="AH59" s="538"/>
      <c r="AI59" s="633"/>
      <c r="AJ59" s="538"/>
      <c r="AK59" s="540"/>
      <c r="AL59" s="540"/>
      <c r="AM59" s="538"/>
      <c r="AN59" s="633"/>
      <c r="AO59" s="538"/>
      <c r="AP59" s="540"/>
      <c r="AQ59" s="540"/>
      <c r="AR59" s="538"/>
      <c r="AS59" s="633"/>
      <c r="AT59" s="538"/>
      <c r="AU59" s="540"/>
      <c r="AV59" s="540"/>
      <c r="AW59" s="538"/>
      <c r="AX59" s="633"/>
      <c r="AZ59" s="357" t="e">
        <f t="shared" si="41"/>
        <v>#N/A</v>
      </c>
      <c r="BA59" s="679"/>
    </row>
    <row r="60" spans="2:53">
      <c r="B60" s="643"/>
      <c r="C60" s="368">
        <v>14</v>
      </c>
      <c r="D60" s="220"/>
      <c r="E60" s="559"/>
      <c r="F60" s="553"/>
      <c r="G60" s="552"/>
      <c r="H60" s="651"/>
      <c r="I60" s="369" t="str">
        <f t="shared" si="38"/>
        <v>-</v>
      </c>
      <c r="J60" s="369" t="str">
        <f t="shared" si="39"/>
        <v>-</v>
      </c>
      <c r="K60" s="194" t="str">
        <f t="shared" si="40"/>
        <v>-</v>
      </c>
      <c r="L60" s="653"/>
      <c r="M60" s="390" t="e">
        <f>RANK(K60, K$47:$K$61)</f>
        <v>#VALUE!</v>
      </c>
      <c r="N60" s="637"/>
      <c r="O60" s="637"/>
      <c r="P60" s="538"/>
      <c r="Q60" s="540"/>
      <c r="R60" s="540"/>
      <c r="S60" s="538"/>
      <c r="T60" s="633"/>
      <c r="U60" s="538"/>
      <c r="V60" s="540"/>
      <c r="W60" s="540"/>
      <c r="X60" s="538"/>
      <c r="Y60" s="633"/>
      <c r="Z60" s="538"/>
      <c r="AA60" s="540"/>
      <c r="AB60" s="540"/>
      <c r="AC60" s="538"/>
      <c r="AD60" s="633"/>
      <c r="AE60" s="538"/>
      <c r="AF60" s="540"/>
      <c r="AG60" s="540"/>
      <c r="AH60" s="538"/>
      <c r="AI60" s="633"/>
      <c r="AJ60" s="538"/>
      <c r="AK60" s="540"/>
      <c r="AL60" s="540"/>
      <c r="AM60" s="538"/>
      <c r="AN60" s="633"/>
      <c r="AO60" s="538"/>
      <c r="AP60" s="540"/>
      <c r="AQ60" s="540"/>
      <c r="AR60" s="538"/>
      <c r="AS60" s="633"/>
      <c r="AT60" s="538"/>
      <c r="AU60" s="540"/>
      <c r="AV60" s="540"/>
      <c r="AW60" s="538"/>
      <c r="AX60" s="633"/>
      <c r="AZ60" s="357" t="e">
        <f t="shared" si="41"/>
        <v>#N/A</v>
      </c>
      <c r="BA60" s="679"/>
    </row>
    <row r="61" spans="2:53">
      <c r="B61" s="643"/>
      <c r="C61" s="368">
        <v>15</v>
      </c>
      <c r="D61" s="220"/>
      <c r="E61" s="559"/>
      <c r="F61" s="553"/>
      <c r="G61" s="552"/>
      <c r="H61" s="708"/>
      <c r="I61" s="368"/>
      <c r="J61" s="368"/>
      <c r="K61" s="368"/>
      <c r="L61" s="654"/>
      <c r="M61" s="390" t="e">
        <f>RANK(K61, K$47:$K$61)</f>
        <v>#N/A</v>
      </c>
      <c r="N61" s="637"/>
      <c r="O61" s="637"/>
      <c r="P61" s="538"/>
      <c r="Q61" s="540"/>
      <c r="R61" s="540"/>
      <c r="S61" s="538"/>
      <c r="T61" s="634"/>
      <c r="U61" s="538"/>
      <c r="V61" s="540"/>
      <c r="W61" s="540"/>
      <c r="X61" s="538"/>
      <c r="Y61" s="634"/>
      <c r="Z61" s="538"/>
      <c r="AA61" s="540"/>
      <c r="AB61" s="540"/>
      <c r="AC61" s="538"/>
      <c r="AD61" s="634"/>
      <c r="AE61" s="538"/>
      <c r="AF61" s="540"/>
      <c r="AG61" s="540"/>
      <c r="AH61" s="538"/>
      <c r="AI61" s="634"/>
      <c r="AJ61" s="538"/>
      <c r="AK61" s="540"/>
      <c r="AL61" s="540"/>
      <c r="AM61" s="538"/>
      <c r="AN61" s="634"/>
      <c r="AO61" s="538"/>
      <c r="AP61" s="540"/>
      <c r="AQ61" s="540"/>
      <c r="AR61" s="538"/>
      <c r="AS61" s="634"/>
      <c r="AT61" s="538"/>
      <c r="AU61" s="540"/>
      <c r="AV61" s="540"/>
      <c r="AW61" s="538"/>
      <c r="AX61" s="634"/>
      <c r="AZ61" s="357" t="e">
        <f t="shared" si="41"/>
        <v>#N/A</v>
      </c>
      <c r="BA61" s="680"/>
    </row>
    <row r="62" spans="2:53" ht="15.75">
      <c r="B62" s="665" t="s">
        <v>162</v>
      </c>
      <c r="C62" s="666"/>
      <c r="D62" s="666"/>
      <c r="E62" s="666"/>
      <c r="F62" s="666"/>
      <c r="G62" s="666"/>
      <c r="H62" s="667"/>
      <c r="I62" s="202"/>
      <c r="J62" s="202"/>
      <c r="K62" s="202"/>
      <c r="L62" s="202"/>
      <c r="M62" s="201"/>
      <c r="N62" s="639" t="s">
        <v>156</v>
      </c>
      <c r="O62" s="639" t="s">
        <v>105</v>
      </c>
      <c r="P62" s="664">
        <f>P42+7</f>
        <v>46315</v>
      </c>
      <c r="Q62" s="643"/>
      <c r="R62" s="643"/>
      <c r="S62" s="643"/>
      <c r="T62" s="643"/>
      <c r="U62" s="661">
        <f>P62+1</f>
        <v>46316</v>
      </c>
      <c r="V62" s="662"/>
      <c r="W62" s="662"/>
      <c r="X62" s="662"/>
      <c r="Y62" s="663"/>
      <c r="Z62" s="661">
        <f>U62+1</f>
        <v>46317</v>
      </c>
      <c r="AA62" s="662"/>
      <c r="AB62" s="662"/>
      <c r="AC62" s="662"/>
      <c r="AD62" s="663"/>
      <c r="AE62" s="661">
        <f>Z62+1</f>
        <v>46318</v>
      </c>
      <c r="AF62" s="662"/>
      <c r="AG62" s="662"/>
      <c r="AH62" s="662"/>
      <c r="AI62" s="663"/>
      <c r="AJ62" s="661">
        <f>AE62+1</f>
        <v>46319</v>
      </c>
      <c r="AK62" s="662"/>
      <c r="AL62" s="662"/>
      <c r="AM62" s="662"/>
      <c r="AN62" s="663"/>
      <c r="AO62" s="661">
        <f>AJ62+1</f>
        <v>46320</v>
      </c>
      <c r="AP62" s="662"/>
      <c r="AQ62" s="662"/>
      <c r="AR62" s="662"/>
      <c r="AS62" s="663"/>
      <c r="AT62" s="661">
        <f>AO62+1</f>
        <v>46321</v>
      </c>
      <c r="AU62" s="662"/>
      <c r="AV62" s="662"/>
      <c r="AW62" s="662"/>
      <c r="AX62" s="663"/>
    </row>
    <row r="63" spans="2:53" ht="15.75">
      <c r="B63" s="668"/>
      <c r="C63" s="668"/>
      <c r="D63" s="668"/>
      <c r="E63" s="668"/>
      <c r="F63" s="668"/>
      <c r="G63" s="668"/>
      <c r="H63" s="668"/>
      <c r="I63" s="199"/>
      <c r="J63" s="199"/>
      <c r="K63" s="199"/>
      <c r="L63" s="199"/>
      <c r="M63" s="200"/>
      <c r="N63" s="641"/>
      <c r="O63" s="641"/>
      <c r="P63" s="664" t="s">
        <v>317</v>
      </c>
      <c r="Q63" s="643"/>
      <c r="R63" s="643"/>
      <c r="S63" s="643"/>
      <c r="T63" s="643"/>
      <c r="U63" s="664" t="s">
        <v>318</v>
      </c>
      <c r="V63" s="643"/>
      <c r="W63" s="643"/>
      <c r="X63" s="643"/>
      <c r="Y63" s="643"/>
      <c r="Z63" s="664" t="s">
        <v>319</v>
      </c>
      <c r="AA63" s="643"/>
      <c r="AB63" s="643"/>
      <c r="AC63" s="643"/>
      <c r="AD63" s="643"/>
      <c r="AE63" s="664" t="s">
        <v>320</v>
      </c>
      <c r="AF63" s="643"/>
      <c r="AG63" s="643"/>
      <c r="AH63" s="643"/>
      <c r="AI63" s="643"/>
      <c r="AJ63" s="664" t="s">
        <v>321</v>
      </c>
      <c r="AK63" s="643"/>
      <c r="AL63" s="643"/>
      <c r="AM63" s="643"/>
      <c r="AN63" s="643"/>
      <c r="AO63" s="664" t="s">
        <v>322</v>
      </c>
      <c r="AP63" s="643"/>
      <c r="AQ63" s="643"/>
      <c r="AR63" s="643"/>
      <c r="AS63" s="643"/>
      <c r="AT63" s="664" t="s">
        <v>323</v>
      </c>
      <c r="AU63" s="643"/>
      <c r="AV63" s="643"/>
      <c r="AW63" s="643"/>
      <c r="AX63" s="643"/>
    </row>
    <row r="64" spans="2:53">
      <c r="B64" s="637" t="s">
        <v>360</v>
      </c>
      <c r="C64" s="637" t="s">
        <v>521</v>
      </c>
      <c r="D64" s="637"/>
      <c r="E64" s="637" t="s">
        <v>522</v>
      </c>
      <c r="F64" s="637"/>
      <c r="G64" s="637"/>
      <c r="H64" s="669" t="s">
        <v>523</v>
      </c>
      <c r="I64" s="637" t="s">
        <v>524</v>
      </c>
      <c r="J64" s="637"/>
      <c r="K64" s="637"/>
      <c r="L64" s="669" t="s">
        <v>357</v>
      </c>
      <c r="M64" s="639" t="s">
        <v>525</v>
      </c>
      <c r="N64" s="637"/>
      <c r="O64" s="637" t="s">
        <v>526</v>
      </c>
      <c r="P64" s="655" t="s">
        <v>359</v>
      </c>
      <c r="Q64" s="656"/>
      <c r="R64" s="656"/>
      <c r="S64" s="657"/>
      <c r="T64" s="637" t="s">
        <v>357</v>
      </c>
      <c r="U64" s="655" t="s">
        <v>359</v>
      </c>
      <c r="V64" s="656"/>
      <c r="W64" s="656"/>
      <c r="X64" s="657"/>
      <c r="Y64" s="637" t="s">
        <v>357</v>
      </c>
      <c r="Z64" s="655" t="s">
        <v>359</v>
      </c>
      <c r="AA64" s="656"/>
      <c r="AB64" s="656"/>
      <c r="AC64" s="657"/>
      <c r="AD64" s="637" t="s">
        <v>357</v>
      </c>
      <c r="AE64" s="655" t="s">
        <v>359</v>
      </c>
      <c r="AF64" s="656"/>
      <c r="AG64" s="656"/>
      <c r="AH64" s="657"/>
      <c r="AI64" s="637" t="s">
        <v>357</v>
      </c>
      <c r="AJ64" s="655" t="s">
        <v>359</v>
      </c>
      <c r="AK64" s="656"/>
      <c r="AL64" s="656"/>
      <c r="AM64" s="657"/>
      <c r="AN64" s="637" t="s">
        <v>357</v>
      </c>
      <c r="AO64" s="655" t="s">
        <v>359</v>
      </c>
      <c r="AP64" s="656"/>
      <c r="AQ64" s="656"/>
      <c r="AR64" s="657"/>
      <c r="AS64" s="637" t="s">
        <v>357</v>
      </c>
      <c r="AT64" s="655" t="s">
        <v>359</v>
      </c>
      <c r="AU64" s="656"/>
      <c r="AV64" s="656"/>
      <c r="AW64" s="657"/>
      <c r="AX64" s="637" t="s">
        <v>357</v>
      </c>
      <c r="BA64" s="637" t="s">
        <v>357</v>
      </c>
    </row>
    <row r="65" spans="2:53">
      <c r="B65" s="637"/>
      <c r="C65" s="637"/>
      <c r="D65" s="637"/>
      <c r="E65" s="637" t="s">
        <v>527</v>
      </c>
      <c r="F65" s="637"/>
      <c r="G65" s="637"/>
      <c r="H65" s="670"/>
      <c r="I65" s="637" t="s">
        <v>527</v>
      </c>
      <c r="J65" s="637"/>
      <c r="K65" s="637"/>
      <c r="L65" s="670"/>
      <c r="M65" s="640"/>
      <c r="N65" s="637"/>
      <c r="O65" s="637"/>
      <c r="P65" s="655" t="s">
        <v>365</v>
      </c>
      <c r="Q65" s="656"/>
      <c r="R65" s="656"/>
      <c r="S65" s="657"/>
      <c r="T65" s="637"/>
      <c r="U65" s="655" t="s">
        <v>365</v>
      </c>
      <c r="V65" s="656"/>
      <c r="W65" s="656"/>
      <c r="X65" s="657"/>
      <c r="Y65" s="637"/>
      <c r="Z65" s="655" t="s">
        <v>365</v>
      </c>
      <c r="AA65" s="656"/>
      <c r="AB65" s="656"/>
      <c r="AC65" s="657"/>
      <c r="AD65" s="637"/>
      <c r="AE65" s="655" t="s">
        <v>365</v>
      </c>
      <c r="AF65" s="656"/>
      <c r="AG65" s="656"/>
      <c r="AH65" s="657"/>
      <c r="AI65" s="637"/>
      <c r="AJ65" s="655" t="s">
        <v>365</v>
      </c>
      <c r="AK65" s="656"/>
      <c r="AL65" s="656"/>
      <c r="AM65" s="657"/>
      <c r="AN65" s="637"/>
      <c r="AO65" s="655" t="s">
        <v>365</v>
      </c>
      <c r="AP65" s="656"/>
      <c r="AQ65" s="656"/>
      <c r="AR65" s="657"/>
      <c r="AS65" s="637"/>
      <c r="AT65" s="655" t="s">
        <v>365</v>
      </c>
      <c r="AU65" s="656"/>
      <c r="AV65" s="656"/>
      <c r="AW65" s="657"/>
      <c r="AX65" s="637"/>
      <c r="BA65" s="637"/>
    </row>
    <row r="66" spans="2:53">
      <c r="B66" s="637"/>
      <c r="C66" s="637"/>
      <c r="D66" s="637"/>
      <c r="E66" s="366" t="s">
        <v>528</v>
      </c>
      <c r="F66" s="366" t="s">
        <v>529</v>
      </c>
      <c r="G66" s="366" t="s">
        <v>530</v>
      </c>
      <c r="H66" s="671"/>
      <c r="I66" s="366" t="s">
        <v>528</v>
      </c>
      <c r="J66" s="366" t="s">
        <v>529</v>
      </c>
      <c r="K66" s="366" t="s">
        <v>530</v>
      </c>
      <c r="L66" s="671"/>
      <c r="M66" s="641"/>
      <c r="N66" s="637"/>
      <c r="O66" s="637"/>
      <c r="P66" s="366" t="s">
        <v>366</v>
      </c>
      <c r="Q66" s="366" t="s">
        <v>367</v>
      </c>
      <c r="R66" s="366" t="s">
        <v>368</v>
      </c>
      <c r="S66" s="366" t="s">
        <v>358</v>
      </c>
      <c r="T66" s="637"/>
      <c r="U66" s="366" t="s">
        <v>366</v>
      </c>
      <c r="V66" s="366" t="s">
        <v>367</v>
      </c>
      <c r="W66" s="366" t="s">
        <v>368</v>
      </c>
      <c r="X66" s="366" t="s">
        <v>358</v>
      </c>
      <c r="Y66" s="637"/>
      <c r="Z66" s="366" t="s">
        <v>366</v>
      </c>
      <c r="AA66" s="366" t="s">
        <v>367</v>
      </c>
      <c r="AB66" s="366" t="s">
        <v>368</v>
      </c>
      <c r="AC66" s="366" t="s">
        <v>358</v>
      </c>
      <c r="AD66" s="637"/>
      <c r="AE66" s="366" t="s">
        <v>366</v>
      </c>
      <c r="AF66" s="366" t="s">
        <v>367</v>
      </c>
      <c r="AG66" s="366" t="s">
        <v>368</v>
      </c>
      <c r="AH66" s="366" t="s">
        <v>358</v>
      </c>
      <c r="AI66" s="637"/>
      <c r="AJ66" s="366" t="s">
        <v>366</v>
      </c>
      <c r="AK66" s="366" t="s">
        <v>367</v>
      </c>
      <c r="AL66" s="366" t="s">
        <v>368</v>
      </c>
      <c r="AM66" s="366" t="s">
        <v>358</v>
      </c>
      <c r="AN66" s="637"/>
      <c r="AO66" s="366" t="s">
        <v>366</v>
      </c>
      <c r="AP66" s="366" t="s">
        <v>367</v>
      </c>
      <c r="AQ66" s="366" t="s">
        <v>368</v>
      </c>
      <c r="AR66" s="366" t="s">
        <v>358</v>
      </c>
      <c r="AS66" s="637"/>
      <c r="AT66" s="366" t="s">
        <v>366</v>
      </c>
      <c r="AU66" s="366" t="s">
        <v>367</v>
      </c>
      <c r="AV66" s="366" t="s">
        <v>368</v>
      </c>
      <c r="AW66" s="366" t="s">
        <v>358</v>
      </c>
      <c r="AX66" s="637"/>
      <c r="AZ66" s="356" t="s">
        <v>358</v>
      </c>
      <c r="BA66" s="637"/>
    </row>
    <row r="67" spans="2:53">
      <c r="B67" s="637" t="s">
        <v>372</v>
      </c>
      <c r="C67" s="368">
        <v>1</v>
      </c>
      <c r="D67" s="220"/>
      <c r="E67" s="559"/>
      <c r="F67" s="553"/>
      <c r="G67" s="552"/>
      <c r="H67" s="650" t="e">
        <f>AVERAGE(G67:G81)</f>
        <v>#DIV/0!</v>
      </c>
      <c r="I67" s="369" t="str">
        <f t="shared" ref="I67:I80" si="43">IFERROR(AVERAGE(P67,U67,Z67,AE67,AJ67,AO67,AT67),"-")</f>
        <v>-</v>
      </c>
      <c r="J67" s="369" t="str">
        <f t="shared" ref="J67:J80" si="44">IFERROR(AVERAGE(Q67,V67,AA67,AF67,AK67,AP67,AU67),"-")</f>
        <v>-</v>
      </c>
      <c r="K67" s="194" t="str">
        <f t="shared" ref="K67:K80" si="45">IFERROR(AVERAGE(R67,W67,AB67,AG67,AL67,AQ67,AV67),"-")</f>
        <v>-</v>
      </c>
      <c r="L67" s="652" t="str">
        <f>IFERROR(AVERAGE(K67:K81),"-")</f>
        <v>-</v>
      </c>
      <c r="M67" s="372" t="e">
        <f>RANK(K67, K$67:$K$81)</f>
        <v>#VALUE!</v>
      </c>
      <c r="N67" s="637"/>
      <c r="O67" s="637"/>
      <c r="P67" s="542"/>
      <c r="Q67" s="544"/>
      <c r="R67" s="544"/>
      <c r="S67" s="542"/>
      <c r="T67" s="632"/>
      <c r="U67" s="542"/>
      <c r="V67" s="544"/>
      <c r="W67" s="544"/>
      <c r="X67" s="542"/>
      <c r="Y67" s="632"/>
      <c r="Z67" s="542"/>
      <c r="AA67" s="544"/>
      <c r="AB67" s="544"/>
      <c r="AC67" s="542"/>
      <c r="AD67" s="632"/>
      <c r="AE67" s="542"/>
      <c r="AF67" s="544"/>
      <c r="AG67" s="544"/>
      <c r="AH67" s="542"/>
      <c r="AI67" s="632"/>
      <c r="AJ67" s="542"/>
      <c r="AK67" s="544"/>
      <c r="AL67" s="544"/>
      <c r="AM67" s="542"/>
      <c r="AN67" s="632"/>
      <c r="AO67" s="542"/>
      <c r="AP67" s="544"/>
      <c r="AQ67" s="544"/>
      <c r="AR67" s="542"/>
      <c r="AS67" s="632"/>
      <c r="AT67" s="542"/>
      <c r="AU67" s="544"/>
      <c r="AV67" s="544"/>
      <c r="AW67" s="542"/>
      <c r="AX67" s="632"/>
      <c r="AZ67" s="357" t="e">
        <f t="shared" ref="AZ67:AZ81" si="46">RANK(AY67, AY$67:AY$81)</f>
        <v>#N/A</v>
      </c>
      <c r="BA67" s="678" t="e">
        <f t="shared" ref="BA67" si="47">AVERAGE(AY67:AY81)</f>
        <v>#DIV/0!</v>
      </c>
    </row>
    <row r="68" spans="2:53">
      <c r="B68" s="643"/>
      <c r="C68" s="368">
        <v>2</v>
      </c>
      <c r="D68" s="220"/>
      <c r="E68" s="559"/>
      <c r="F68" s="553"/>
      <c r="G68" s="552"/>
      <c r="H68" s="651"/>
      <c r="I68" s="369" t="str">
        <f t="shared" si="43"/>
        <v>-</v>
      </c>
      <c r="J68" s="369" t="str">
        <f t="shared" si="44"/>
        <v>-</v>
      </c>
      <c r="K68" s="194" t="str">
        <f t="shared" si="45"/>
        <v>-</v>
      </c>
      <c r="L68" s="653"/>
      <c r="M68" s="372" t="e">
        <f>RANK(K68, K$67:$K$81)</f>
        <v>#VALUE!</v>
      </c>
      <c r="N68" s="637"/>
      <c r="O68" s="637"/>
      <c r="P68" s="542"/>
      <c r="Q68" s="544"/>
      <c r="R68" s="544"/>
      <c r="S68" s="542"/>
      <c r="T68" s="633"/>
      <c r="U68" s="542"/>
      <c r="V68" s="544"/>
      <c r="W68" s="544"/>
      <c r="X68" s="542"/>
      <c r="Y68" s="633"/>
      <c r="Z68" s="542"/>
      <c r="AA68" s="544"/>
      <c r="AB68" s="544"/>
      <c r="AC68" s="542"/>
      <c r="AD68" s="633"/>
      <c r="AE68" s="542"/>
      <c r="AF68" s="544"/>
      <c r="AG68" s="544"/>
      <c r="AH68" s="542"/>
      <c r="AI68" s="633"/>
      <c r="AJ68" s="542"/>
      <c r="AK68" s="544"/>
      <c r="AL68" s="544"/>
      <c r="AM68" s="542"/>
      <c r="AN68" s="633"/>
      <c r="AO68" s="542"/>
      <c r="AP68" s="544"/>
      <c r="AQ68" s="544"/>
      <c r="AR68" s="542"/>
      <c r="AS68" s="633"/>
      <c r="AT68" s="542"/>
      <c r="AU68" s="544"/>
      <c r="AV68" s="544"/>
      <c r="AW68" s="542"/>
      <c r="AX68" s="633"/>
      <c r="AZ68" s="357" t="e">
        <f t="shared" si="46"/>
        <v>#N/A</v>
      </c>
      <c r="BA68" s="679"/>
    </row>
    <row r="69" spans="2:53">
      <c r="B69" s="643"/>
      <c r="C69" s="368">
        <v>3</v>
      </c>
      <c r="D69" s="220"/>
      <c r="E69" s="559"/>
      <c r="F69" s="553"/>
      <c r="G69" s="552"/>
      <c r="H69" s="651"/>
      <c r="I69" s="369" t="str">
        <f t="shared" si="43"/>
        <v>-</v>
      </c>
      <c r="J69" s="369" t="str">
        <f t="shared" si="44"/>
        <v>-</v>
      </c>
      <c r="K69" s="194" t="str">
        <f t="shared" si="45"/>
        <v>-</v>
      </c>
      <c r="L69" s="653"/>
      <c r="M69" s="372" t="e">
        <f>RANK(K69, K$67:$K$81)</f>
        <v>#VALUE!</v>
      </c>
      <c r="N69" s="637"/>
      <c r="O69" s="637"/>
      <c r="P69" s="542"/>
      <c r="Q69" s="544"/>
      <c r="R69" s="544"/>
      <c r="S69" s="542"/>
      <c r="T69" s="633"/>
      <c r="U69" s="542"/>
      <c r="V69" s="544"/>
      <c r="W69" s="544"/>
      <c r="X69" s="542"/>
      <c r="Y69" s="633"/>
      <c r="Z69" s="542"/>
      <c r="AA69" s="544"/>
      <c r="AB69" s="544"/>
      <c r="AC69" s="542"/>
      <c r="AD69" s="633"/>
      <c r="AE69" s="542"/>
      <c r="AF69" s="544"/>
      <c r="AG69" s="544"/>
      <c r="AH69" s="542"/>
      <c r="AI69" s="633"/>
      <c r="AJ69" s="542"/>
      <c r="AK69" s="544"/>
      <c r="AL69" s="544"/>
      <c r="AM69" s="542"/>
      <c r="AN69" s="633"/>
      <c r="AO69" s="542"/>
      <c r="AP69" s="544"/>
      <c r="AQ69" s="544"/>
      <c r="AR69" s="542"/>
      <c r="AS69" s="633"/>
      <c r="AT69" s="542"/>
      <c r="AU69" s="544"/>
      <c r="AV69" s="544"/>
      <c r="AW69" s="542"/>
      <c r="AX69" s="633"/>
      <c r="AZ69" s="357" t="e">
        <f t="shared" si="46"/>
        <v>#N/A</v>
      </c>
      <c r="BA69" s="679"/>
    </row>
    <row r="70" spans="2:53">
      <c r="B70" s="643"/>
      <c r="C70" s="368">
        <v>4</v>
      </c>
      <c r="D70" s="220"/>
      <c r="E70" s="559"/>
      <c r="F70" s="553"/>
      <c r="G70" s="552"/>
      <c r="H70" s="651"/>
      <c r="I70" s="369" t="str">
        <f t="shared" si="43"/>
        <v>-</v>
      </c>
      <c r="J70" s="369" t="str">
        <f t="shared" si="44"/>
        <v>-</v>
      </c>
      <c r="K70" s="194" t="str">
        <f t="shared" si="45"/>
        <v>-</v>
      </c>
      <c r="L70" s="653"/>
      <c r="M70" s="372" t="e">
        <f>RANK(K70, K$67:$K$81)</f>
        <v>#VALUE!</v>
      </c>
      <c r="N70" s="637"/>
      <c r="O70" s="637"/>
      <c r="P70" s="542"/>
      <c r="Q70" s="544"/>
      <c r="R70" s="544"/>
      <c r="S70" s="542"/>
      <c r="T70" s="633"/>
      <c r="U70" s="542"/>
      <c r="V70" s="544"/>
      <c r="W70" s="544"/>
      <c r="X70" s="542"/>
      <c r="Y70" s="633"/>
      <c r="Z70" s="542"/>
      <c r="AA70" s="544"/>
      <c r="AB70" s="544"/>
      <c r="AC70" s="542"/>
      <c r="AD70" s="633"/>
      <c r="AE70" s="542"/>
      <c r="AF70" s="544"/>
      <c r="AG70" s="544"/>
      <c r="AH70" s="542"/>
      <c r="AI70" s="633"/>
      <c r="AJ70" s="542"/>
      <c r="AK70" s="544"/>
      <c r="AL70" s="544"/>
      <c r="AM70" s="542"/>
      <c r="AN70" s="633"/>
      <c r="AO70" s="542"/>
      <c r="AP70" s="544"/>
      <c r="AQ70" s="544"/>
      <c r="AR70" s="542"/>
      <c r="AS70" s="633"/>
      <c r="AT70" s="542"/>
      <c r="AU70" s="544"/>
      <c r="AV70" s="544"/>
      <c r="AW70" s="542"/>
      <c r="AX70" s="633"/>
      <c r="AZ70" s="357" t="e">
        <f t="shared" si="46"/>
        <v>#N/A</v>
      </c>
      <c r="BA70" s="679"/>
    </row>
    <row r="71" spans="2:53">
      <c r="B71" s="643"/>
      <c r="C71" s="368">
        <v>5</v>
      </c>
      <c r="D71" s="220"/>
      <c r="E71" s="559"/>
      <c r="F71" s="553"/>
      <c r="G71" s="552"/>
      <c r="H71" s="651"/>
      <c r="I71" s="369" t="str">
        <f t="shared" si="43"/>
        <v>-</v>
      </c>
      <c r="J71" s="369" t="str">
        <f t="shared" si="44"/>
        <v>-</v>
      </c>
      <c r="K71" s="194" t="str">
        <f t="shared" si="45"/>
        <v>-</v>
      </c>
      <c r="L71" s="653"/>
      <c r="M71" s="372" t="e">
        <f>RANK(K71, K$67:$K$81)</f>
        <v>#VALUE!</v>
      </c>
      <c r="N71" s="637"/>
      <c r="O71" s="637"/>
      <c r="P71" s="542"/>
      <c r="Q71" s="544"/>
      <c r="R71" s="544"/>
      <c r="S71" s="542"/>
      <c r="T71" s="633"/>
      <c r="U71" s="542"/>
      <c r="V71" s="544"/>
      <c r="W71" s="544"/>
      <c r="X71" s="542"/>
      <c r="Y71" s="633"/>
      <c r="Z71" s="542"/>
      <c r="AA71" s="544"/>
      <c r="AB71" s="544"/>
      <c r="AC71" s="542"/>
      <c r="AD71" s="633"/>
      <c r="AE71" s="542"/>
      <c r="AF71" s="544"/>
      <c r="AG71" s="544"/>
      <c r="AH71" s="542"/>
      <c r="AI71" s="633"/>
      <c r="AJ71" s="542"/>
      <c r="AK71" s="544"/>
      <c r="AL71" s="544"/>
      <c r="AM71" s="542"/>
      <c r="AN71" s="633"/>
      <c r="AO71" s="542"/>
      <c r="AP71" s="544"/>
      <c r="AQ71" s="544"/>
      <c r="AR71" s="542"/>
      <c r="AS71" s="633"/>
      <c r="AT71" s="542"/>
      <c r="AU71" s="544"/>
      <c r="AV71" s="544"/>
      <c r="AW71" s="542"/>
      <c r="AX71" s="633"/>
      <c r="AZ71" s="357" t="e">
        <f t="shared" si="46"/>
        <v>#N/A</v>
      </c>
      <c r="BA71" s="679"/>
    </row>
    <row r="72" spans="2:53">
      <c r="B72" s="643"/>
      <c r="C72" s="368">
        <v>6</v>
      </c>
      <c r="D72" s="220"/>
      <c r="E72" s="559"/>
      <c r="F72" s="553"/>
      <c r="G72" s="552"/>
      <c r="H72" s="651"/>
      <c r="I72" s="369" t="str">
        <f t="shared" si="43"/>
        <v>-</v>
      </c>
      <c r="J72" s="369" t="str">
        <f t="shared" si="44"/>
        <v>-</v>
      </c>
      <c r="K72" s="194" t="str">
        <f t="shared" si="45"/>
        <v>-</v>
      </c>
      <c r="L72" s="653"/>
      <c r="M72" s="372" t="e">
        <f>RANK(K72, K$67:$K$81)</f>
        <v>#VALUE!</v>
      </c>
      <c r="N72" s="637"/>
      <c r="O72" s="637"/>
      <c r="P72" s="542"/>
      <c r="Q72" s="544"/>
      <c r="R72" s="544"/>
      <c r="S72" s="542"/>
      <c r="T72" s="633"/>
      <c r="U72" s="542"/>
      <c r="V72" s="544"/>
      <c r="W72" s="544"/>
      <c r="X72" s="542"/>
      <c r="Y72" s="633"/>
      <c r="Z72" s="542"/>
      <c r="AA72" s="544"/>
      <c r="AB72" s="544"/>
      <c r="AC72" s="542"/>
      <c r="AD72" s="633"/>
      <c r="AE72" s="542"/>
      <c r="AF72" s="544"/>
      <c r="AG72" s="544"/>
      <c r="AH72" s="542"/>
      <c r="AI72" s="633"/>
      <c r="AJ72" s="542"/>
      <c r="AK72" s="544"/>
      <c r="AL72" s="544"/>
      <c r="AM72" s="542"/>
      <c r="AN72" s="633"/>
      <c r="AO72" s="542"/>
      <c r="AP72" s="544"/>
      <c r="AQ72" s="544"/>
      <c r="AR72" s="542"/>
      <c r="AS72" s="633"/>
      <c r="AT72" s="542"/>
      <c r="AU72" s="544"/>
      <c r="AV72" s="544"/>
      <c r="AW72" s="542"/>
      <c r="AX72" s="633"/>
      <c r="AZ72" s="357" t="e">
        <f t="shared" si="46"/>
        <v>#N/A</v>
      </c>
      <c r="BA72" s="679"/>
    </row>
    <row r="73" spans="2:53">
      <c r="B73" s="643"/>
      <c r="C73" s="368">
        <v>7</v>
      </c>
      <c r="D73" s="220"/>
      <c r="E73" s="559"/>
      <c r="F73" s="553"/>
      <c r="G73" s="552"/>
      <c r="H73" s="651"/>
      <c r="I73" s="369" t="str">
        <f t="shared" si="43"/>
        <v>-</v>
      </c>
      <c r="J73" s="369" t="str">
        <f t="shared" si="44"/>
        <v>-</v>
      </c>
      <c r="K73" s="194" t="str">
        <f t="shared" si="45"/>
        <v>-</v>
      </c>
      <c r="L73" s="653"/>
      <c r="M73" s="372" t="e">
        <f>RANK(K73, K$67:$K$81)</f>
        <v>#VALUE!</v>
      </c>
      <c r="N73" s="637"/>
      <c r="O73" s="637"/>
      <c r="P73" s="542"/>
      <c r="Q73" s="544"/>
      <c r="R73" s="544"/>
      <c r="S73" s="542"/>
      <c r="T73" s="633"/>
      <c r="U73" s="542"/>
      <c r="V73" s="544"/>
      <c r="W73" s="544"/>
      <c r="X73" s="542"/>
      <c r="Y73" s="633"/>
      <c r="Z73" s="542"/>
      <c r="AA73" s="544"/>
      <c r="AB73" s="544"/>
      <c r="AC73" s="542"/>
      <c r="AD73" s="633"/>
      <c r="AE73" s="542"/>
      <c r="AF73" s="544"/>
      <c r="AG73" s="544"/>
      <c r="AH73" s="542"/>
      <c r="AI73" s="633"/>
      <c r="AJ73" s="542"/>
      <c r="AK73" s="544"/>
      <c r="AL73" s="544"/>
      <c r="AM73" s="542"/>
      <c r="AN73" s="633"/>
      <c r="AO73" s="542"/>
      <c r="AP73" s="544"/>
      <c r="AQ73" s="544"/>
      <c r="AR73" s="542"/>
      <c r="AS73" s="633"/>
      <c r="AT73" s="542"/>
      <c r="AU73" s="544"/>
      <c r="AV73" s="544"/>
      <c r="AW73" s="542"/>
      <c r="AX73" s="633"/>
      <c r="AZ73" s="357" t="e">
        <f t="shared" si="46"/>
        <v>#N/A</v>
      </c>
      <c r="BA73" s="679"/>
    </row>
    <row r="74" spans="2:53">
      <c r="B74" s="643"/>
      <c r="C74" s="368">
        <v>8</v>
      </c>
      <c r="D74" s="220"/>
      <c r="E74" s="559"/>
      <c r="F74" s="553"/>
      <c r="G74" s="552"/>
      <c r="H74" s="651"/>
      <c r="I74" s="369" t="str">
        <f t="shared" si="43"/>
        <v>-</v>
      </c>
      <c r="J74" s="369" t="str">
        <f t="shared" si="44"/>
        <v>-</v>
      </c>
      <c r="K74" s="194" t="str">
        <f t="shared" si="45"/>
        <v>-</v>
      </c>
      <c r="L74" s="653"/>
      <c r="M74" s="372" t="e">
        <f>RANK(K74, K$67:$K$81)</f>
        <v>#VALUE!</v>
      </c>
      <c r="N74" s="637"/>
      <c r="O74" s="637"/>
      <c r="P74" s="542"/>
      <c r="Q74" s="544"/>
      <c r="R74" s="544"/>
      <c r="S74" s="542"/>
      <c r="T74" s="633"/>
      <c r="U74" s="542"/>
      <c r="V74" s="544"/>
      <c r="W74" s="544"/>
      <c r="X74" s="542"/>
      <c r="Y74" s="633"/>
      <c r="Z74" s="542"/>
      <c r="AA74" s="544"/>
      <c r="AB74" s="544"/>
      <c r="AC74" s="542"/>
      <c r="AD74" s="633"/>
      <c r="AE74" s="542"/>
      <c r="AF74" s="544"/>
      <c r="AG74" s="544"/>
      <c r="AH74" s="542"/>
      <c r="AI74" s="633"/>
      <c r="AJ74" s="542"/>
      <c r="AK74" s="544"/>
      <c r="AL74" s="544"/>
      <c r="AM74" s="542"/>
      <c r="AN74" s="633"/>
      <c r="AO74" s="542"/>
      <c r="AP74" s="544"/>
      <c r="AQ74" s="544"/>
      <c r="AR74" s="542"/>
      <c r="AS74" s="633"/>
      <c r="AT74" s="542"/>
      <c r="AU74" s="544"/>
      <c r="AV74" s="544"/>
      <c r="AW74" s="542"/>
      <c r="AX74" s="633"/>
      <c r="AZ74" s="357" t="e">
        <f t="shared" si="46"/>
        <v>#N/A</v>
      </c>
      <c r="BA74" s="679"/>
    </row>
    <row r="75" spans="2:53">
      <c r="B75" s="643"/>
      <c r="C75" s="368">
        <v>9</v>
      </c>
      <c r="D75" s="220"/>
      <c r="E75" s="559"/>
      <c r="F75" s="553"/>
      <c r="G75" s="552"/>
      <c r="H75" s="651"/>
      <c r="I75" s="369" t="str">
        <f t="shared" si="43"/>
        <v>-</v>
      </c>
      <c r="J75" s="369" t="str">
        <f t="shared" si="44"/>
        <v>-</v>
      </c>
      <c r="K75" s="194" t="str">
        <f t="shared" si="45"/>
        <v>-</v>
      </c>
      <c r="L75" s="653"/>
      <c r="M75" s="372" t="e">
        <f>RANK(K75, K$67:$K$81)</f>
        <v>#VALUE!</v>
      </c>
      <c r="N75" s="637"/>
      <c r="O75" s="637"/>
      <c r="P75" s="542"/>
      <c r="Q75" s="544"/>
      <c r="R75" s="544"/>
      <c r="S75" s="542"/>
      <c r="T75" s="633"/>
      <c r="U75" s="542"/>
      <c r="V75" s="544"/>
      <c r="W75" s="544"/>
      <c r="X75" s="542"/>
      <c r="Y75" s="633"/>
      <c r="Z75" s="542"/>
      <c r="AA75" s="544"/>
      <c r="AB75" s="544"/>
      <c r="AC75" s="542"/>
      <c r="AD75" s="633"/>
      <c r="AE75" s="542"/>
      <c r="AF75" s="544"/>
      <c r="AG75" s="544"/>
      <c r="AH75" s="542"/>
      <c r="AI75" s="633"/>
      <c r="AJ75" s="542"/>
      <c r="AK75" s="544"/>
      <c r="AL75" s="544"/>
      <c r="AM75" s="542"/>
      <c r="AN75" s="633"/>
      <c r="AO75" s="542"/>
      <c r="AP75" s="544"/>
      <c r="AQ75" s="544"/>
      <c r="AR75" s="542"/>
      <c r="AS75" s="633"/>
      <c r="AT75" s="542"/>
      <c r="AU75" s="544"/>
      <c r="AV75" s="544"/>
      <c r="AW75" s="542"/>
      <c r="AX75" s="633"/>
      <c r="AZ75" s="357" t="e">
        <f t="shared" si="46"/>
        <v>#N/A</v>
      </c>
      <c r="BA75" s="679"/>
    </row>
    <row r="76" spans="2:53">
      <c r="B76" s="643"/>
      <c r="C76" s="368">
        <v>10</v>
      </c>
      <c r="D76" s="220"/>
      <c r="E76" s="559"/>
      <c r="F76" s="553"/>
      <c r="G76" s="552"/>
      <c r="H76" s="651"/>
      <c r="I76" s="369" t="str">
        <f t="shared" si="43"/>
        <v>-</v>
      </c>
      <c r="J76" s="369" t="str">
        <f t="shared" si="44"/>
        <v>-</v>
      </c>
      <c r="K76" s="194" t="str">
        <f t="shared" si="45"/>
        <v>-</v>
      </c>
      <c r="L76" s="653"/>
      <c r="M76" s="372" t="e">
        <f>RANK(K76, K$67:$K$81)</f>
        <v>#VALUE!</v>
      </c>
      <c r="N76" s="637"/>
      <c r="O76" s="637"/>
      <c r="P76" s="542"/>
      <c r="Q76" s="544"/>
      <c r="R76" s="544"/>
      <c r="S76" s="542"/>
      <c r="T76" s="633"/>
      <c r="U76" s="542"/>
      <c r="V76" s="544"/>
      <c r="W76" s="544"/>
      <c r="X76" s="542"/>
      <c r="Y76" s="633"/>
      <c r="Z76" s="542"/>
      <c r="AA76" s="544"/>
      <c r="AB76" s="544"/>
      <c r="AC76" s="542"/>
      <c r="AD76" s="633"/>
      <c r="AE76" s="542"/>
      <c r="AF76" s="544"/>
      <c r="AG76" s="544"/>
      <c r="AH76" s="542"/>
      <c r="AI76" s="633"/>
      <c r="AJ76" s="542"/>
      <c r="AK76" s="544"/>
      <c r="AL76" s="544"/>
      <c r="AM76" s="542"/>
      <c r="AN76" s="633"/>
      <c r="AO76" s="542"/>
      <c r="AP76" s="544"/>
      <c r="AQ76" s="544"/>
      <c r="AR76" s="542"/>
      <c r="AS76" s="633"/>
      <c r="AT76" s="542"/>
      <c r="AU76" s="544"/>
      <c r="AV76" s="544"/>
      <c r="AW76" s="542"/>
      <c r="AX76" s="633"/>
      <c r="AZ76" s="357" t="e">
        <f t="shared" si="46"/>
        <v>#N/A</v>
      </c>
      <c r="BA76" s="679"/>
    </row>
    <row r="77" spans="2:53">
      <c r="B77" s="643"/>
      <c r="C77" s="368">
        <v>11</v>
      </c>
      <c r="D77" s="220"/>
      <c r="E77" s="559"/>
      <c r="F77" s="553"/>
      <c r="G77" s="552"/>
      <c r="H77" s="651"/>
      <c r="I77" s="369" t="str">
        <f t="shared" si="43"/>
        <v>-</v>
      </c>
      <c r="J77" s="369" t="str">
        <f t="shared" si="44"/>
        <v>-</v>
      </c>
      <c r="K77" s="194" t="str">
        <f t="shared" si="45"/>
        <v>-</v>
      </c>
      <c r="L77" s="653"/>
      <c r="M77" s="372" t="e">
        <f>RANK(K77, K$67:$K$81)</f>
        <v>#VALUE!</v>
      </c>
      <c r="N77" s="637"/>
      <c r="O77" s="637"/>
      <c r="P77" s="542"/>
      <c r="Q77" s="544"/>
      <c r="R77" s="544"/>
      <c r="S77" s="542"/>
      <c r="T77" s="633"/>
      <c r="U77" s="542"/>
      <c r="V77" s="544"/>
      <c r="W77" s="544"/>
      <c r="X77" s="542"/>
      <c r="Y77" s="633"/>
      <c r="Z77" s="542"/>
      <c r="AA77" s="544"/>
      <c r="AB77" s="544"/>
      <c r="AC77" s="542"/>
      <c r="AD77" s="633"/>
      <c r="AE77" s="542"/>
      <c r="AF77" s="544"/>
      <c r="AG77" s="544"/>
      <c r="AH77" s="542"/>
      <c r="AI77" s="633"/>
      <c r="AJ77" s="542"/>
      <c r="AK77" s="544"/>
      <c r="AL77" s="544"/>
      <c r="AM77" s="542"/>
      <c r="AN77" s="633"/>
      <c r="AO77" s="542"/>
      <c r="AP77" s="544"/>
      <c r="AQ77" s="544"/>
      <c r="AR77" s="542"/>
      <c r="AS77" s="633"/>
      <c r="AT77" s="542"/>
      <c r="AU77" s="544"/>
      <c r="AV77" s="544"/>
      <c r="AW77" s="542"/>
      <c r="AX77" s="633"/>
      <c r="AZ77" s="357" t="e">
        <f t="shared" si="46"/>
        <v>#N/A</v>
      </c>
      <c r="BA77" s="679"/>
    </row>
    <row r="78" spans="2:53">
      <c r="B78" s="643"/>
      <c r="C78" s="368">
        <v>12</v>
      </c>
      <c r="D78" s="220"/>
      <c r="E78" s="559"/>
      <c r="F78" s="553"/>
      <c r="G78" s="552"/>
      <c r="H78" s="651"/>
      <c r="I78" s="369" t="str">
        <f t="shared" si="43"/>
        <v>-</v>
      </c>
      <c r="J78" s="369" t="str">
        <f t="shared" si="44"/>
        <v>-</v>
      </c>
      <c r="K78" s="194" t="str">
        <f t="shared" si="45"/>
        <v>-</v>
      </c>
      <c r="L78" s="653"/>
      <c r="M78" s="372" t="e">
        <f>RANK(K78, K$67:$K$81)</f>
        <v>#VALUE!</v>
      </c>
      <c r="N78" s="637"/>
      <c r="O78" s="637"/>
      <c r="P78" s="542"/>
      <c r="Q78" s="544"/>
      <c r="R78" s="544"/>
      <c r="S78" s="542"/>
      <c r="T78" s="633"/>
      <c r="U78" s="542"/>
      <c r="V78" s="544"/>
      <c r="W78" s="544"/>
      <c r="X78" s="542"/>
      <c r="Y78" s="633"/>
      <c r="Z78" s="542"/>
      <c r="AA78" s="544"/>
      <c r="AB78" s="544"/>
      <c r="AC78" s="542"/>
      <c r="AD78" s="633"/>
      <c r="AE78" s="542"/>
      <c r="AF78" s="544"/>
      <c r="AG78" s="544"/>
      <c r="AH78" s="542"/>
      <c r="AI78" s="633"/>
      <c r="AJ78" s="542"/>
      <c r="AK78" s="544"/>
      <c r="AL78" s="544"/>
      <c r="AM78" s="542"/>
      <c r="AN78" s="633"/>
      <c r="AO78" s="542"/>
      <c r="AP78" s="544"/>
      <c r="AQ78" s="544"/>
      <c r="AR78" s="542"/>
      <c r="AS78" s="633"/>
      <c r="AT78" s="542"/>
      <c r="AU78" s="544"/>
      <c r="AV78" s="544"/>
      <c r="AW78" s="542"/>
      <c r="AX78" s="633"/>
      <c r="AZ78" s="357" t="e">
        <f t="shared" si="46"/>
        <v>#N/A</v>
      </c>
      <c r="BA78" s="679"/>
    </row>
    <row r="79" spans="2:53">
      <c r="B79" s="643"/>
      <c r="C79" s="368">
        <v>13</v>
      </c>
      <c r="D79" s="220"/>
      <c r="E79" s="559"/>
      <c r="F79" s="553"/>
      <c r="G79" s="552"/>
      <c r="H79" s="651"/>
      <c r="I79" s="369" t="str">
        <f t="shared" si="43"/>
        <v>-</v>
      </c>
      <c r="J79" s="369" t="str">
        <f t="shared" si="44"/>
        <v>-</v>
      </c>
      <c r="K79" s="194" t="str">
        <f t="shared" si="45"/>
        <v>-</v>
      </c>
      <c r="L79" s="653"/>
      <c r="M79" s="372" t="e">
        <f>RANK(K79, K$67:$K$81)</f>
        <v>#VALUE!</v>
      </c>
      <c r="N79" s="637"/>
      <c r="O79" s="637"/>
      <c r="P79" s="542"/>
      <c r="Q79" s="544"/>
      <c r="R79" s="544"/>
      <c r="S79" s="542"/>
      <c r="T79" s="633"/>
      <c r="U79" s="542"/>
      <c r="V79" s="544"/>
      <c r="W79" s="544"/>
      <c r="X79" s="542"/>
      <c r="Y79" s="633"/>
      <c r="Z79" s="542"/>
      <c r="AA79" s="544"/>
      <c r="AB79" s="544"/>
      <c r="AC79" s="542"/>
      <c r="AD79" s="633"/>
      <c r="AE79" s="542"/>
      <c r="AF79" s="544"/>
      <c r="AG79" s="544"/>
      <c r="AH79" s="542"/>
      <c r="AI79" s="633"/>
      <c r="AJ79" s="542"/>
      <c r="AK79" s="544"/>
      <c r="AL79" s="544"/>
      <c r="AM79" s="542"/>
      <c r="AN79" s="633"/>
      <c r="AO79" s="542"/>
      <c r="AP79" s="544"/>
      <c r="AQ79" s="544"/>
      <c r="AR79" s="542"/>
      <c r="AS79" s="633"/>
      <c r="AT79" s="542"/>
      <c r="AU79" s="544"/>
      <c r="AV79" s="544"/>
      <c r="AW79" s="542"/>
      <c r="AX79" s="633"/>
      <c r="AZ79" s="357" t="e">
        <f t="shared" si="46"/>
        <v>#N/A</v>
      </c>
      <c r="BA79" s="679"/>
    </row>
    <row r="80" spans="2:53">
      <c r="B80" s="643"/>
      <c r="C80" s="368">
        <v>14</v>
      </c>
      <c r="D80" s="220"/>
      <c r="E80" s="559"/>
      <c r="F80" s="553"/>
      <c r="G80" s="552"/>
      <c r="H80" s="651"/>
      <c r="I80" s="369" t="str">
        <f t="shared" si="43"/>
        <v>-</v>
      </c>
      <c r="J80" s="369" t="str">
        <f t="shared" si="44"/>
        <v>-</v>
      </c>
      <c r="K80" s="194" t="str">
        <f t="shared" si="45"/>
        <v>-</v>
      </c>
      <c r="L80" s="653"/>
      <c r="M80" s="372" t="e">
        <f>RANK(K80, K$67:$K$81)</f>
        <v>#VALUE!</v>
      </c>
      <c r="N80" s="637"/>
      <c r="O80" s="637"/>
      <c r="P80" s="542"/>
      <c r="Q80" s="544"/>
      <c r="R80" s="544"/>
      <c r="S80" s="542"/>
      <c r="T80" s="633"/>
      <c r="U80" s="542"/>
      <c r="V80" s="544"/>
      <c r="W80" s="544"/>
      <c r="X80" s="542"/>
      <c r="Y80" s="633"/>
      <c r="Z80" s="542"/>
      <c r="AA80" s="544"/>
      <c r="AB80" s="544"/>
      <c r="AC80" s="542"/>
      <c r="AD80" s="633"/>
      <c r="AE80" s="542"/>
      <c r="AF80" s="544"/>
      <c r="AG80" s="544"/>
      <c r="AH80" s="542"/>
      <c r="AI80" s="633"/>
      <c r="AJ80" s="542"/>
      <c r="AK80" s="544"/>
      <c r="AL80" s="544"/>
      <c r="AM80" s="542"/>
      <c r="AN80" s="633"/>
      <c r="AO80" s="542"/>
      <c r="AP80" s="544"/>
      <c r="AQ80" s="544"/>
      <c r="AR80" s="542"/>
      <c r="AS80" s="633"/>
      <c r="AT80" s="542"/>
      <c r="AU80" s="544"/>
      <c r="AV80" s="544"/>
      <c r="AW80" s="542"/>
      <c r="AX80" s="633"/>
      <c r="AZ80" s="357" t="e">
        <f t="shared" si="46"/>
        <v>#N/A</v>
      </c>
      <c r="BA80" s="679"/>
    </row>
    <row r="81" spans="2:53">
      <c r="B81" s="643"/>
      <c r="C81" s="368">
        <v>15</v>
      </c>
      <c r="D81" s="220"/>
      <c r="E81" s="559"/>
      <c r="F81" s="553"/>
      <c r="G81" s="552"/>
      <c r="H81" s="708"/>
      <c r="I81" s="368"/>
      <c r="J81" s="368"/>
      <c r="K81" s="368"/>
      <c r="L81" s="654"/>
      <c r="M81" s="372" t="e">
        <f>RANK(K81, K$67:$K$81)</f>
        <v>#N/A</v>
      </c>
      <c r="N81" s="637"/>
      <c r="O81" s="637"/>
      <c r="P81" s="542"/>
      <c r="Q81" s="544"/>
      <c r="R81" s="544"/>
      <c r="S81" s="542"/>
      <c r="T81" s="634"/>
      <c r="U81" s="542"/>
      <c r="V81" s="544"/>
      <c r="W81" s="544"/>
      <c r="X81" s="542"/>
      <c r="Y81" s="634"/>
      <c r="Z81" s="542"/>
      <c r="AA81" s="544"/>
      <c r="AB81" s="544"/>
      <c r="AC81" s="542"/>
      <c r="AD81" s="634"/>
      <c r="AE81" s="542"/>
      <c r="AF81" s="544"/>
      <c r="AG81" s="544"/>
      <c r="AH81" s="542"/>
      <c r="AI81" s="634"/>
      <c r="AJ81" s="542"/>
      <c r="AK81" s="544"/>
      <c r="AL81" s="544"/>
      <c r="AM81" s="542"/>
      <c r="AN81" s="634"/>
      <c r="AO81" s="542"/>
      <c r="AP81" s="544"/>
      <c r="AQ81" s="544"/>
      <c r="AR81" s="542"/>
      <c r="AS81" s="634"/>
      <c r="AT81" s="542"/>
      <c r="AU81" s="544"/>
      <c r="AV81" s="544"/>
      <c r="AW81" s="542"/>
      <c r="AX81" s="634"/>
      <c r="AZ81" s="357" t="e">
        <f t="shared" si="46"/>
        <v>#N/A</v>
      </c>
      <c r="BA81" s="680"/>
    </row>
    <row r="82" spans="2:53" ht="15.75">
      <c r="B82" s="665" t="s">
        <v>162</v>
      </c>
      <c r="C82" s="666"/>
      <c r="D82" s="666"/>
      <c r="E82" s="666"/>
      <c r="F82" s="666"/>
      <c r="G82" s="666"/>
      <c r="H82" s="667"/>
      <c r="I82" s="202"/>
      <c r="J82" s="202"/>
      <c r="K82" s="202"/>
      <c r="L82" s="202"/>
      <c r="M82" s="201"/>
      <c r="N82" s="639" t="s">
        <v>156</v>
      </c>
      <c r="O82" s="639" t="s">
        <v>105</v>
      </c>
      <c r="P82" s="664">
        <f>P62+7</f>
        <v>46322</v>
      </c>
      <c r="Q82" s="643"/>
      <c r="R82" s="643"/>
      <c r="S82" s="643"/>
      <c r="T82" s="643"/>
      <c r="U82" s="661">
        <f>P82+1</f>
        <v>46323</v>
      </c>
      <c r="V82" s="662"/>
      <c r="W82" s="662"/>
      <c r="X82" s="662"/>
      <c r="Y82" s="663"/>
      <c r="Z82" s="661">
        <f>U82+1</f>
        <v>46324</v>
      </c>
      <c r="AA82" s="662"/>
      <c r="AB82" s="662"/>
      <c r="AC82" s="662"/>
      <c r="AD82" s="663"/>
      <c r="AE82" s="661">
        <f>Z82+1</f>
        <v>46325</v>
      </c>
      <c r="AF82" s="662"/>
      <c r="AG82" s="662"/>
      <c r="AH82" s="662"/>
      <c r="AI82" s="663"/>
      <c r="AJ82" s="661">
        <f>AE82+1</f>
        <v>46326</v>
      </c>
      <c r="AK82" s="662"/>
      <c r="AL82" s="662"/>
      <c r="AM82" s="662"/>
      <c r="AN82" s="663"/>
      <c r="AO82" s="661">
        <f>AJ82+1</f>
        <v>46327</v>
      </c>
      <c r="AP82" s="662"/>
      <c r="AQ82" s="662"/>
      <c r="AR82" s="662"/>
      <c r="AS82" s="663"/>
      <c r="AT82" s="661">
        <f>AO82+1</f>
        <v>46328</v>
      </c>
      <c r="AU82" s="662"/>
      <c r="AV82" s="662"/>
      <c r="AW82" s="662"/>
      <c r="AX82" s="663"/>
    </row>
    <row r="83" spans="2:53" ht="15.75">
      <c r="B83" s="668"/>
      <c r="C83" s="668"/>
      <c r="D83" s="668"/>
      <c r="E83" s="668"/>
      <c r="F83" s="668"/>
      <c r="G83" s="668"/>
      <c r="H83" s="668"/>
      <c r="I83" s="199"/>
      <c r="J83" s="199"/>
      <c r="K83" s="199"/>
      <c r="L83" s="199"/>
      <c r="M83" s="200"/>
      <c r="N83" s="641"/>
      <c r="O83" s="641"/>
      <c r="P83" s="664" t="s">
        <v>317</v>
      </c>
      <c r="Q83" s="643"/>
      <c r="R83" s="643"/>
      <c r="S83" s="643"/>
      <c r="T83" s="643"/>
      <c r="U83" s="664" t="s">
        <v>318</v>
      </c>
      <c r="V83" s="643"/>
      <c r="W83" s="643"/>
      <c r="X83" s="643"/>
      <c r="Y83" s="643"/>
      <c r="Z83" s="664" t="s">
        <v>319</v>
      </c>
      <c r="AA83" s="643"/>
      <c r="AB83" s="643"/>
      <c r="AC83" s="643"/>
      <c r="AD83" s="643"/>
      <c r="AE83" s="664" t="s">
        <v>320</v>
      </c>
      <c r="AF83" s="643"/>
      <c r="AG83" s="643"/>
      <c r="AH83" s="643"/>
      <c r="AI83" s="643"/>
      <c r="AJ83" s="664" t="s">
        <v>321</v>
      </c>
      <c r="AK83" s="643"/>
      <c r="AL83" s="643"/>
      <c r="AM83" s="643"/>
      <c r="AN83" s="643"/>
      <c r="AO83" s="664" t="s">
        <v>322</v>
      </c>
      <c r="AP83" s="643"/>
      <c r="AQ83" s="643"/>
      <c r="AR83" s="643"/>
      <c r="AS83" s="643"/>
      <c r="AT83" s="664" t="s">
        <v>323</v>
      </c>
      <c r="AU83" s="643"/>
      <c r="AV83" s="643"/>
      <c r="AW83" s="643"/>
      <c r="AX83" s="643"/>
    </row>
    <row r="84" spans="2:53">
      <c r="B84" s="637" t="s">
        <v>743</v>
      </c>
      <c r="C84" s="637" t="s">
        <v>521</v>
      </c>
      <c r="D84" s="637"/>
      <c r="E84" s="637" t="s">
        <v>522</v>
      </c>
      <c r="F84" s="637"/>
      <c r="G84" s="637"/>
      <c r="H84" s="669" t="s">
        <v>523</v>
      </c>
      <c r="I84" s="637" t="s">
        <v>524</v>
      </c>
      <c r="J84" s="637"/>
      <c r="K84" s="637"/>
      <c r="L84" s="669" t="s">
        <v>357</v>
      </c>
      <c r="M84" s="639" t="s">
        <v>525</v>
      </c>
      <c r="N84" s="637"/>
      <c r="O84" s="637" t="s">
        <v>526</v>
      </c>
      <c r="P84" s="655" t="s">
        <v>359</v>
      </c>
      <c r="Q84" s="656"/>
      <c r="R84" s="656"/>
      <c r="S84" s="657"/>
      <c r="T84" s="637" t="s">
        <v>357</v>
      </c>
      <c r="U84" s="655" t="s">
        <v>359</v>
      </c>
      <c r="V84" s="656"/>
      <c r="W84" s="656"/>
      <c r="X84" s="657"/>
      <c r="Y84" s="637" t="s">
        <v>357</v>
      </c>
      <c r="Z84" s="655" t="s">
        <v>359</v>
      </c>
      <c r="AA84" s="656"/>
      <c r="AB84" s="656"/>
      <c r="AC84" s="657"/>
      <c r="AD84" s="637" t="s">
        <v>357</v>
      </c>
      <c r="AE84" s="655" t="s">
        <v>359</v>
      </c>
      <c r="AF84" s="656"/>
      <c r="AG84" s="656"/>
      <c r="AH84" s="657"/>
      <c r="AI84" s="637" t="s">
        <v>357</v>
      </c>
      <c r="AJ84" s="655" t="s">
        <v>359</v>
      </c>
      <c r="AK84" s="656"/>
      <c r="AL84" s="656"/>
      <c r="AM84" s="657"/>
      <c r="AN84" s="637" t="s">
        <v>357</v>
      </c>
      <c r="AO84" s="655" t="s">
        <v>359</v>
      </c>
      <c r="AP84" s="656"/>
      <c r="AQ84" s="656"/>
      <c r="AR84" s="657"/>
      <c r="AS84" s="637" t="s">
        <v>357</v>
      </c>
      <c r="AT84" s="655" t="s">
        <v>359</v>
      </c>
      <c r="AU84" s="656"/>
      <c r="AV84" s="656"/>
      <c r="AW84" s="657"/>
      <c r="AX84" s="637" t="s">
        <v>357</v>
      </c>
      <c r="BA84" s="637" t="s">
        <v>357</v>
      </c>
    </row>
    <row r="85" spans="2:53">
      <c r="B85" s="637"/>
      <c r="C85" s="637"/>
      <c r="D85" s="637"/>
      <c r="E85" s="637" t="s">
        <v>527</v>
      </c>
      <c r="F85" s="637"/>
      <c r="G85" s="637"/>
      <c r="H85" s="670"/>
      <c r="I85" s="637" t="s">
        <v>527</v>
      </c>
      <c r="J85" s="637"/>
      <c r="K85" s="637"/>
      <c r="L85" s="670"/>
      <c r="M85" s="640"/>
      <c r="N85" s="637"/>
      <c r="O85" s="637"/>
      <c r="P85" s="655" t="s">
        <v>365</v>
      </c>
      <c r="Q85" s="656"/>
      <c r="R85" s="656"/>
      <c r="S85" s="657"/>
      <c r="T85" s="637"/>
      <c r="U85" s="655" t="s">
        <v>365</v>
      </c>
      <c r="V85" s="656"/>
      <c r="W85" s="656"/>
      <c r="X85" s="657"/>
      <c r="Y85" s="637"/>
      <c r="Z85" s="655" t="s">
        <v>365</v>
      </c>
      <c r="AA85" s="656"/>
      <c r="AB85" s="656"/>
      <c r="AC85" s="657"/>
      <c r="AD85" s="637"/>
      <c r="AE85" s="655" t="s">
        <v>365</v>
      </c>
      <c r="AF85" s="656"/>
      <c r="AG85" s="656"/>
      <c r="AH85" s="657"/>
      <c r="AI85" s="637"/>
      <c r="AJ85" s="655" t="s">
        <v>365</v>
      </c>
      <c r="AK85" s="656"/>
      <c r="AL85" s="656"/>
      <c r="AM85" s="657"/>
      <c r="AN85" s="637"/>
      <c r="AO85" s="655" t="s">
        <v>365</v>
      </c>
      <c r="AP85" s="656"/>
      <c r="AQ85" s="656"/>
      <c r="AR85" s="657"/>
      <c r="AS85" s="637"/>
      <c r="AT85" s="655" t="s">
        <v>365</v>
      </c>
      <c r="AU85" s="656"/>
      <c r="AV85" s="656"/>
      <c r="AW85" s="657"/>
      <c r="AX85" s="637"/>
      <c r="BA85" s="637"/>
    </row>
    <row r="86" spans="2:53">
      <c r="B86" s="637"/>
      <c r="C86" s="637"/>
      <c r="D86" s="637"/>
      <c r="E86" s="366" t="s">
        <v>528</v>
      </c>
      <c r="F86" s="366" t="s">
        <v>529</v>
      </c>
      <c r="G86" s="366" t="s">
        <v>530</v>
      </c>
      <c r="H86" s="671"/>
      <c r="I86" s="366" t="s">
        <v>528</v>
      </c>
      <c r="J86" s="366" t="s">
        <v>529</v>
      </c>
      <c r="K86" s="366" t="s">
        <v>530</v>
      </c>
      <c r="L86" s="671"/>
      <c r="M86" s="641"/>
      <c r="N86" s="637"/>
      <c r="O86" s="637"/>
      <c r="P86" s="366" t="s">
        <v>366</v>
      </c>
      <c r="Q86" s="366" t="s">
        <v>367</v>
      </c>
      <c r="R86" s="366" t="s">
        <v>368</v>
      </c>
      <c r="S86" s="366" t="s">
        <v>358</v>
      </c>
      <c r="T86" s="637"/>
      <c r="U86" s="366" t="s">
        <v>366</v>
      </c>
      <c r="V86" s="366" t="s">
        <v>367</v>
      </c>
      <c r="W86" s="366" t="s">
        <v>368</v>
      </c>
      <c r="X86" s="366" t="s">
        <v>358</v>
      </c>
      <c r="Y86" s="637"/>
      <c r="Z86" s="366" t="s">
        <v>366</v>
      </c>
      <c r="AA86" s="366" t="s">
        <v>367</v>
      </c>
      <c r="AB86" s="366" t="s">
        <v>368</v>
      </c>
      <c r="AC86" s="366" t="s">
        <v>358</v>
      </c>
      <c r="AD86" s="637"/>
      <c r="AE86" s="366" t="s">
        <v>366</v>
      </c>
      <c r="AF86" s="366" t="s">
        <v>367</v>
      </c>
      <c r="AG86" s="366" t="s">
        <v>368</v>
      </c>
      <c r="AH86" s="366" t="s">
        <v>358</v>
      </c>
      <c r="AI86" s="637"/>
      <c r="AJ86" s="366" t="s">
        <v>366</v>
      </c>
      <c r="AK86" s="366" t="s">
        <v>367</v>
      </c>
      <c r="AL86" s="366" t="s">
        <v>368</v>
      </c>
      <c r="AM86" s="366" t="s">
        <v>358</v>
      </c>
      <c r="AN86" s="637"/>
      <c r="AO86" s="366" t="s">
        <v>366</v>
      </c>
      <c r="AP86" s="366" t="s">
        <v>367</v>
      </c>
      <c r="AQ86" s="366" t="s">
        <v>368</v>
      </c>
      <c r="AR86" s="366" t="s">
        <v>358</v>
      </c>
      <c r="AS86" s="637"/>
      <c r="AT86" s="366" t="s">
        <v>366</v>
      </c>
      <c r="AU86" s="366" t="s">
        <v>367</v>
      </c>
      <c r="AV86" s="366" t="s">
        <v>368</v>
      </c>
      <c r="AW86" s="366" t="s">
        <v>358</v>
      </c>
      <c r="AX86" s="637"/>
      <c r="AZ86" s="356" t="s">
        <v>358</v>
      </c>
      <c r="BA86" s="637"/>
    </row>
    <row r="87" spans="2:53">
      <c r="B87" s="637" t="s">
        <v>397</v>
      </c>
      <c r="C87" s="368">
        <v>1</v>
      </c>
      <c r="D87" s="220"/>
      <c r="E87" s="477"/>
      <c r="F87" s="474"/>
      <c r="G87" s="473"/>
      <c r="H87" s="650" t="e">
        <f>AVERAGE(G87:G101)</f>
        <v>#DIV/0!</v>
      </c>
      <c r="I87" s="369" t="str">
        <f t="shared" ref="I87:I100" si="48">IFERROR(AVERAGE(P87,U87,Z87,AE87,AJ87,AO87,AT87),"-")</f>
        <v>-</v>
      </c>
      <c r="J87" s="369" t="str">
        <f t="shared" ref="J87:J100" si="49">IFERROR(AVERAGE(Q87,V87,AA87,AF87,AK87,AP87,AU87),"-")</f>
        <v>-</v>
      </c>
      <c r="K87" s="194" t="str">
        <f t="shared" ref="K87:K100" si="50">IFERROR(AVERAGE(R87,W87,AB87,AG87,AL87,AQ87,AV87),"-")</f>
        <v>-</v>
      </c>
      <c r="L87" s="652" t="str">
        <f>IFERROR(AVERAGE(K87:K101),"-")</f>
        <v>-</v>
      </c>
      <c r="M87" s="372" t="e">
        <f>RANK(K87, K$87:$K$101)</f>
        <v>#VALUE!</v>
      </c>
      <c r="N87" s="637"/>
      <c r="O87" s="637"/>
      <c r="P87" s="546"/>
      <c r="Q87" s="547"/>
      <c r="R87" s="547"/>
      <c r="S87" s="546"/>
      <c r="T87" s="638"/>
      <c r="U87" s="546"/>
      <c r="V87" s="547"/>
      <c r="W87" s="547"/>
      <c r="X87" s="546"/>
      <c r="Y87" s="638"/>
      <c r="Z87" s="546"/>
      <c r="AA87" s="547"/>
      <c r="AB87" s="547"/>
      <c r="AC87" s="546"/>
      <c r="AD87" s="638"/>
      <c r="AE87" s="546"/>
      <c r="AF87" s="547"/>
      <c r="AG87" s="547"/>
      <c r="AH87" s="546"/>
      <c r="AI87" s="638"/>
      <c r="AJ87" s="546"/>
      <c r="AK87" s="547"/>
      <c r="AL87" s="547"/>
      <c r="AM87" s="546"/>
      <c r="AN87" s="638"/>
      <c r="AO87" s="546"/>
      <c r="AP87" s="547"/>
      <c r="AQ87" s="547"/>
      <c r="AR87" s="546"/>
      <c r="AS87" s="638"/>
      <c r="AT87" s="546"/>
      <c r="AU87" s="547"/>
      <c r="AV87" s="547"/>
      <c r="AW87" s="546"/>
      <c r="AX87" s="638"/>
      <c r="AZ87" s="357" t="e">
        <f t="shared" ref="AZ87:AZ101" si="51">RANK(AY87, AY$87:AY$101)</f>
        <v>#N/A</v>
      </c>
      <c r="BA87" s="638" t="e">
        <f t="shared" ref="BA87" si="52">AVERAGE(AY87:AY101)</f>
        <v>#DIV/0!</v>
      </c>
    </row>
    <row r="88" spans="2:53">
      <c r="B88" s="643"/>
      <c r="C88" s="368">
        <v>2</v>
      </c>
      <c r="D88" s="220"/>
      <c r="E88" s="477"/>
      <c r="F88" s="474"/>
      <c r="G88" s="473"/>
      <c r="H88" s="651"/>
      <c r="I88" s="369" t="str">
        <f t="shared" si="48"/>
        <v>-</v>
      </c>
      <c r="J88" s="369" t="str">
        <f t="shared" si="49"/>
        <v>-</v>
      </c>
      <c r="K88" s="194" t="str">
        <f t="shared" si="50"/>
        <v>-</v>
      </c>
      <c r="L88" s="653"/>
      <c r="M88" s="394" t="e">
        <f>RANK(K88, K$87:$K$101)</f>
        <v>#VALUE!</v>
      </c>
      <c r="N88" s="637"/>
      <c r="O88" s="637"/>
      <c r="P88" s="546"/>
      <c r="Q88" s="547"/>
      <c r="R88" s="547"/>
      <c r="S88" s="546"/>
      <c r="T88" s="638"/>
      <c r="U88" s="546"/>
      <c r="V88" s="547"/>
      <c r="W88" s="547"/>
      <c r="X88" s="546"/>
      <c r="Y88" s="638"/>
      <c r="Z88" s="546"/>
      <c r="AA88" s="547"/>
      <c r="AB88" s="547"/>
      <c r="AC88" s="546"/>
      <c r="AD88" s="638"/>
      <c r="AE88" s="546"/>
      <c r="AF88" s="547"/>
      <c r="AG88" s="547"/>
      <c r="AH88" s="546"/>
      <c r="AI88" s="638"/>
      <c r="AJ88" s="546"/>
      <c r="AK88" s="547"/>
      <c r="AL88" s="547"/>
      <c r="AM88" s="546"/>
      <c r="AN88" s="638"/>
      <c r="AO88" s="546"/>
      <c r="AP88" s="547"/>
      <c r="AQ88" s="547"/>
      <c r="AR88" s="546"/>
      <c r="AS88" s="638"/>
      <c r="AT88" s="546"/>
      <c r="AU88" s="547"/>
      <c r="AV88" s="547"/>
      <c r="AW88" s="546"/>
      <c r="AX88" s="638"/>
      <c r="AZ88" s="357" t="e">
        <f t="shared" si="51"/>
        <v>#N/A</v>
      </c>
      <c r="BA88" s="638"/>
    </row>
    <row r="89" spans="2:53">
      <c r="B89" s="643"/>
      <c r="C89" s="368">
        <v>3</v>
      </c>
      <c r="D89" s="220"/>
      <c r="E89" s="477"/>
      <c r="F89" s="474"/>
      <c r="G89" s="473"/>
      <c r="H89" s="651"/>
      <c r="I89" s="369" t="str">
        <f t="shared" si="48"/>
        <v>-</v>
      </c>
      <c r="J89" s="369" t="str">
        <f t="shared" si="49"/>
        <v>-</v>
      </c>
      <c r="K89" s="194" t="str">
        <f t="shared" si="50"/>
        <v>-</v>
      </c>
      <c r="L89" s="653"/>
      <c r="M89" s="394" t="e">
        <f>RANK(K89, K$87:$K$101)</f>
        <v>#VALUE!</v>
      </c>
      <c r="N89" s="637"/>
      <c r="O89" s="637"/>
      <c r="P89" s="546"/>
      <c r="Q89" s="547"/>
      <c r="R89" s="547"/>
      <c r="S89" s="546"/>
      <c r="T89" s="638"/>
      <c r="U89" s="546"/>
      <c r="V89" s="547"/>
      <c r="W89" s="547"/>
      <c r="X89" s="546"/>
      <c r="Y89" s="638"/>
      <c r="Z89" s="546"/>
      <c r="AA89" s="547"/>
      <c r="AB89" s="547"/>
      <c r="AC89" s="546"/>
      <c r="AD89" s="638"/>
      <c r="AE89" s="546"/>
      <c r="AF89" s="547"/>
      <c r="AG89" s="547"/>
      <c r="AH89" s="546"/>
      <c r="AI89" s="638"/>
      <c r="AJ89" s="546"/>
      <c r="AK89" s="547"/>
      <c r="AL89" s="547"/>
      <c r="AM89" s="546"/>
      <c r="AN89" s="638"/>
      <c r="AO89" s="546"/>
      <c r="AP89" s="547"/>
      <c r="AQ89" s="547"/>
      <c r="AR89" s="546"/>
      <c r="AS89" s="638"/>
      <c r="AT89" s="546"/>
      <c r="AU89" s="547"/>
      <c r="AV89" s="547"/>
      <c r="AW89" s="546"/>
      <c r="AX89" s="638"/>
      <c r="AZ89" s="357" t="e">
        <f t="shared" si="51"/>
        <v>#N/A</v>
      </c>
      <c r="BA89" s="638"/>
    </row>
    <row r="90" spans="2:53">
      <c r="B90" s="643"/>
      <c r="C90" s="368">
        <v>4</v>
      </c>
      <c r="D90" s="220"/>
      <c r="E90" s="477"/>
      <c r="F90" s="474"/>
      <c r="G90" s="473"/>
      <c r="H90" s="651"/>
      <c r="I90" s="369" t="str">
        <f t="shared" si="48"/>
        <v>-</v>
      </c>
      <c r="J90" s="369" t="str">
        <f t="shared" si="49"/>
        <v>-</v>
      </c>
      <c r="K90" s="194" t="str">
        <f t="shared" si="50"/>
        <v>-</v>
      </c>
      <c r="L90" s="653"/>
      <c r="M90" s="394" t="e">
        <f>RANK(K90, K$87:$K$101)</f>
        <v>#VALUE!</v>
      </c>
      <c r="N90" s="637"/>
      <c r="O90" s="637"/>
      <c r="P90" s="546"/>
      <c r="Q90" s="547"/>
      <c r="R90" s="547"/>
      <c r="S90" s="546"/>
      <c r="T90" s="638"/>
      <c r="U90" s="546"/>
      <c r="V90" s="547"/>
      <c r="W90" s="547"/>
      <c r="X90" s="546"/>
      <c r="Y90" s="638"/>
      <c r="Z90" s="546"/>
      <c r="AA90" s="547"/>
      <c r="AB90" s="547"/>
      <c r="AC90" s="546"/>
      <c r="AD90" s="638"/>
      <c r="AE90" s="546"/>
      <c r="AF90" s="547"/>
      <c r="AG90" s="547"/>
      <c r="AH90" s="546"/>
      <c r="AI90" s="638"/>
      <c r="AJ90" s="546"/>
      <c r="AK90" s="547"/>
      <c r="AL90" s="547"/>
      <c r="AM90" s="546"/>
      <c r="AN90" s="638"/>
      <c r="AO90" s="546"/>
      <c r="AP90" s="547"/>
      <c r="AQ90" s="547"/>
      <c r="AR90" s="546"/>
      <c r="AS90" s="638"/>
      <c r="AT90" s="546"/>
      <c r="AU90" s="547"/>
      <c r="AV90" s="547"/>
      <c r="AW90" s="546"/>
      <c r="AX90" s="638"/>
      <c r="AZ90" s="357" t="e">
        <f t="shared" si="51"/>
        <v>#N/A</v>
      </c>
      <c r="BA90" s="638"/>
    </row>
    <row r="91" spans="2:53">
      <c r="B91" s="643"/>
      <c r="C91" s="368">
        <v>5</v>
      </c>
      <c r="D91" s="220"/>
      <c r="E91" s="477"/>
      <c r="F91" s="474"/>
      <c r="G91" s="473"/>
      <c r="H91" s="651"/>
      <c r="I91" s="369" t="str">
        <f t="shared" si="48"/>
        <v>-</v>
      </c>
      <c r="J91" s="369" t="str">
        <f t="shared" si="49"/>
        <v>-</v>
      </c>
      <c r="K91" s="194" t="str">
        <f t="shared" si="50"/>
        <v>-</v>
      </c>
      <c r="L91" s="653"/>
      <c r="M91" s="394" t="e">
        <f>RANK(K91, K$87:$K$101)</f>
        <v>#VALUE!</v>
      </c>
      <c r="N91" s="637"/>
      <c r="O91" s="637"/>
      <c r="P91" s="546"/>
      <c r="Q91" s="547"/>
      <c r="R91" s="547"/>
      <c r="S91" s="546"/>
      <c r="T91" s="638"/>
      <c r="U91" s="546"/>
      <c r="V91" s="547"/>
      <c r="W91" s="547"/>
      <c r="X91" s="546"/>
      <c r="Y91" s="638"/>
      <c r="Z91" s="546"/>
      <c r="AA91" s="547"/>
      <c r="AB91" s="547"/>
      <c r="AC91" s="546"/>
      <c r="AD91" s="638"/>
      <c r="AE91" s="546"/>
      <c r="AF91" s="547"/>
      <c r="AG91" s="547"/>
      <c r="AH91" s="546"/>
      <c r="AI91" s="638"/>
      <c r="AJ91" s="546"/>
      <c r="AK91" s="547"/>
      <c r="AL91" s="547"/>
      <c r="AM91" s="546"/>
      <c r="AN91" s="638"/>
      <c r="AO91" s="546"/>
      <c r="AP91" s="547"/>
      <c r="AQ91" s="547"/>
      <c r="AR91" s="546"/>
      <c r="AS91" s="638"/>
      <c r="AT91" s="546"/>
      <c r="AU91" s="547"/>
      <c r="AV91" s="547"/>
      <c r="AW91" s="546"/>
      <c r="AX91" s="638"/>
      <c r="AZ91" s="357" t="e">
        <f t="shared" si="51"/>
        <v>#N/A</v>
      </c>
      <c r="BA91" s="638"/>
    </row>
    <row r="92" spans="2:53">
      <c r="B92" s="643"/>
      <c r="C92" s="368">
        <v>6</v>
      </c>
      <c r="D92" s="220"/>
      <c r="E92" s="477"/>
      <c r="F92" s="474"/>
      <c r="G92" s="473"/>
      <c r="H92" s="651"/>
      <c r="I92" s="369" t="str">
        <f t="shared" si="48"/>
        <v>-</v>
      </c>
      <c r="J92" s="369" t="str">
        <f t="shared" si="49"/>
        <v>-</v>
      </c>
      <c r="K92" s="194" t="str">
        <f t="shared" si="50"/>
        <v>-</v>
      </c>
      <c r="L92" s="653"/>
      <c r="M92" s="394" t="e">
        <f>RANK(K92, K$87:$K$101)</f>
        <v>#VALUE!</v>
      </c>
      <c r="N92" s="637"/>
      <c r="O92" s="637"/>
      <c r="P92" s="546"/>
      <c r="Q92" s="547"/>
      <c r="R92" s="547"/>
      <c r="S92" s="546"/>
      <c r="T92" s="638"/>
      <c r="U92" s="546"/>
      <c r="V92" s="547"/>
      <c r="W92" s="547"/>
      <c r="X92" s="546"/>
      <c r="Y92" s="638"/>
      <c r="Z92" s="546"/>
      <c r="AA92" s="547"/>
      <c r="AB92" s="547"/>
      <c r="AC92" s="546"/>
      <c r="AD92" s="638"/>
      <c r="AE92" s="546"/>
      <c r="AF92" s="547"/>
      <c r="AG92" s="547"/>
      <c r="AH92" s="546"/>
      <c r="AI92" s="638"/>
      <c r="AJ92" s="546"/>
      <c r="AK92" s="547"/>
      <c r="AL92" s="547"/>
      <c r="AM92" s="546"/>
      <c r="AN92" s="638"/>
      <c r="AO92" s="546"/>
      <c r="AP92" s="547"/>
      <c r="AQ92" s="547"/>
      <c r="AR92" s="546"/>
      <c r="AS92" s="638"/>
      <c r="AT92" s="546"/>
      <c r="AU92" s="547"/>
      <c r="AV92" s="547"/>
      <c r="AW92" s="546"/>
      <c r="AX92" s="638"/>
      <c r="AZ92" s="357" t="e">
        <f t="shared" si="51"/>
        <v>#N/A</v>
      </c>
      <c r="BA92" s="638"/>
    </row>
    <row r="93" spans="2:53">
      <c r="B93" s="643"/>
      <c r="C93" s="368">
        <v>7</v>
      </c>
      <c r="D93" s="220"/>
      <c r="E93" s="477"/>
      <c r="F93" s="474"/>
      <c r="G93" s="473"/>
      <c r="H93" s="651"/>
      <c r="I93" s="369" t="str">
        <f t="shared" si="48"/>
        <v>-</v>
      </c>
      <c r="J93" s="369" t="str">
        <f t="shared" si="49"/>
        <v>-</v>
      </c>
      <c r="K93" s="194" t="str">
        <f t="shared" si="50"/>
        <v>-</v>
      </c>
      <c r="L93" s="653"/>
      <c r="M93" s="394" t="e">
        <f>RANK(K93, K$87:$K$101)</f>
        <v>#VALUE!</v>
      </c>
      <c r="N93" s="637"/>
      <c r="O93" s="637"/>
      <c r="P93" s="546"/>
      <c r="Q93" s="547"/>
      <c r="R93" s="547"/>
      <c r="S93" s="546"/>
      <c r="T93" s="638"/>
      <c r="U93" s="546"/>
      <c r="V93" s="547"/>
      <c r="W93" s="547"/>
      <c r="X93" s="546"/>
      <c r="Y93" s="638"/>
      <c r="Z93" s="546"/>
      <c r="AA93" s="547"/>
      <c r="AB93" s="547"/>
      <c r="AC93" s="546"/>
      <c r="AD93" s="638"/>
      <c r="AE93" s="546"/>
      <c r="AF93" s="547"/>
      <c r="AG93" s="547"/>
      <c r="AH93" s="546"/>
      <c r="AI93" s="638"/>
      <c r="AJ93" s="546"/>
      <c r="AK93" s="547"/>
      <c r="AL93" s="547"/>
      <c r="AM93" s="546"/>
      <c r="AN93" s="638"/>
      <c r="AO93" s="546"/>
      <c r="AP93" s="547"/>
      <c r="AQ93" s="547"/>
      <c r="AR93" s="546"/>
      <c r="AS93" s="638"/>
      <c r="AT93" s="546"/>
      <c r="AU93" s="547"/>
      <c r="AV93" s="547"/>
      <c r="AW93" s="546"/>
      <c r="AX93" s="638"/>
      <c r="AZ93" s="357" t="e">
        <f t="shared" si="51"/>
        <v>#N/A</v>
      </c>
      <c r="BA93" s="638"/>
    </row>
    <row r="94" spans="2:53">
      <c r="B94" s="643"/>
      <c r="C94" s="368">
        <v>8</v>
      </c>
      <c r="D94" s="220"/>
      <c r="E94" s="477"/>
      <c r="F94" s="474"/>
      <c r="G94" s="473"/>
      <c r="H94" s="651"/>
      <c r="I94" s="369" t="str">
        <f t="shared" si="48"/>
        <v>-</v>
      </c>
      <c r="J94" s="369" t="str">
        <f t="shared" si="49"/>
        <v>-</v>
      </c>
      <c r="K94" s="194" t="str">
        <f t="shared" si="50"/>
        <v>-</v>
      </c>
      <c r="L94" s="653"/>
      <c r="M94" s="394" t="e">
        <f>RANK(K94, K$87:$K$101)</f>
        <v>#VALUE!</v>
      </c>
      <c r="N94" s="637"/>
      <c r="O94" s="637"/>
      <c r="P94" s="546"/>
      <c r="Q94" s="547"/>
      <c r="R94" s="547"/>
      <c r="S94" s="546"/>
      <c r="T94" s="638"/>
      <c r="U94" s="546"/>
      <c r="V94" s="547"/>
      <c r="W94" s="547"/>
      <c r="X94" s="546"/>
      <c r="Y94" s="638"/>
      <c r="Z94" s="546"/>
      <c r="AA94" s="547"/>
      <c r="AB94" s="547"/>
      <c r="AC94" s="546"/>
      <c r="AD94" s="638"/>
      <c r="AE94" s="546"/>
      <c r="AF94" s="547"/>
      <c r="AG94" s="547"/>
      <c r="AH94" s="546"/>
      <c r="AI94" s="638"/>
      <c r="AJ94" s="546"/>
      <c r="AK94" s="547"/>
      <c r="AL94" s="547"/>
      <c r="AM94" s="546"/>
      <c r="AN94" s="638"/>
      <c r="AO94" s="546"/>
      <c r="AP94" s="547"/>
      <c r="AQ94" s="547"/>
      <c r="AR94" s="546"/>
      <c r="AS94" s="638"/>
      <c r="AT94" s="546"/>
      <c r="AU94" s="547"/>
      <c r="AV94" s="547"/>
      <c r="AW94" s="546"/>
      <c r="AX94" s="638"/>
      <c r="AZ94" s="357" t="e">
        <f t="shared" si="51"/>
        <v>#N/A</v>
      </c>
      <c r="BA94" s="638"/>
    </row>
    <row r="95" spans="2:53">
      <c r="B95" s="643"/>
      <c r="C95" s="368">
        <v>9</v>
      </c>
      <c r="D95" s="220"/>
      <c r="E95" s="477"/>
      <c r="F95" s="474"/>
      <c r="G95" s="473"/>
      <c r="H95" s="651"/>
      <c r="I95" s="369" t="str">
        <f t="shared" si="48"/>
        <v>-</v>
      </c>
      <c r="J95" s="369" t="str">
        <f t="shared" si="49"/>
        <v>-</v>
      </c>
      <c r="K95" s="194" t="str">
        <f t="shared" si="50"/>
        <v>-</v>
      </c>
      <c r="L95" s="653"/>
      <c r="M95" s="394" t="e">
        <f>RANK(K95, K$87:$K$101)</f>
        <v>#VALUE!</v>
      </c>
      <c r="N95" s="637"/>
      <c r="O95" s="637"/>
      <c r="P95" s="546"/>
      <c r="Q95" s="547"/>
      <c r="R95" s="547"/>
      <c r="S95" s="546"/>
      <c r="T95" s="638"/>
      <c r="U95" s="546"/>
      <c r="V95" s="547"/>
      <c r="W95" s="547"/>
      <c r="X95" s="546"/>
      <c r="Y95" s="638"/>
      <c r="Z95" s="546"/>
      <c r="AA95" s="547"/>
      <c r="AB95" s="547"/>
      <c r="AC95" s="546"/>
      <c r="AD95" s="638"/>
      <c r="AE95" s="546"/>
      <c r="AF95" s="547"/>
      <c r="AG95" s="547"/>
      <c r="AH95" s="546"/>
      <c r="AI95" s="638"/>
      <c r="AJ95" s="546"/>
      <c r="AK95" s="547"/>
      <c r="AL95" s="547"/>
      <c r="AM95" s="546"/>
      <c r="AN95" s="638"/>
      <c r="AO95" s="546"/>
      <c r="AP95" s="547"/>
      <c r="AQ95" s="547"/>
      <c r="AR95" s="546"/>
      <c r="AS95" s="638"/>
      <c r="AT95" s="546"/>
      <c r="AU95" s="547"/>
      <c r="AV95" s="547"/>
      <c r="AW95" s="546"/>
      <c r="AX95" s="638"/>
      <c r="AZ95" s="357" t="e">
        <f t="shared" si="51"/>
        <v>#N/A</v>
      </c>
      <c r="BA95" s="638"/>
    </row>
    <row r="96" spans="2:53">
      <c r="B96" s="643"/>
      <c r="C96" s="368">
        <v>10</v>
      </c>
      <c r="D96" s="220"/>
      <c r="E96" s="477"/>
      <c r="F96" s="474"/>
      <c r="G96" s="473"/>
      <c r="H96" s="651"/>
      <c r="I96" s="369" t="str">
        <f t="shared" si="48"/>
        <v>-</v>
      </c>
      <c r="J96" s="369" t="str">
        <f t="shared" si="49"/>
        <v>-</v>
      </c>
      <c r="K96" s="194" t="str">
        <f t="shared" si="50"/>
        <v>-</v>
      </c>
      <c r="L96" s="653"/>
      <c r="M96" s="394" t="e">
        <f>RANK(K96, K$87:$K$101)</f>
        <v>#VALUE!</v>
      </c>
      <c r="N96" s="637"/>
      <c r="O96" s="637"/>
      <c r="P96" s="546"/>
      <c r="Q96" s="547"/>
      <c r="R96" s="547"/>
      <c r="S96" s="546"/>
      <c r="T96" s="638"/>
      <c r="U96" s="546"/>
      <c r="V96" s="547"/>
      <c r="W96" s="547"/>
      <c r="X96" s="546"/>
      <c r="Y96" s="638"/>
      <c r="Z96" s="546"/>
      <c r="AA96" s="547"/>
      <c r="AB96" s="547"/>
      <c r="AC96" s="546"/>
      <c r="AD96" s="638"/>
      <c r="AE96" s="546"/>
      <c r="AF96" s="547"/>
      <c r="AG96" s="547"/>
      <c r="AH96" s="546"/>
      <c r="AI96" s="638"/>
      <c r="AJ96" s="546"/>
      <c r="AK96" s="547"/>
      <c r="AL96" s="547"/>
      <c r="AM96" s="546"/>
      <c r="AN96" s="638"/>
      <c r="AO96" s="546"/>
      <c r="AP96" s="547"/>
      <c r="AQ96" s="547"/>
      <c r="AR96" s="546"/>
      <c r="AS96" s="638"/>
      <c r="AT96" s="546"/>
      <c r="AU96" s="547"/>
      <c r="AV96" s="547"/>
      <c r="AW96" s="546"/>
      <c r="AX96" s="638"/>
      <c r="AZ96" s="357" t="e">
        <f t="shared" si="51"/>
        <v>#N/A</v>
      </c>
      <c r="BA96" s="638"/>
    </row>
    <row r="97" spans="2:53">
      <c r="B97" s="643"/>
      <c r="C97" s="368">
        <v>11</v>
      </c>
      <c r="D97" s="220"/>
      <c r="E97" s="477"/>
      <c r="F97" s="474"/>
      <c r="G97" s="473"/>
      <c r="H97" s="651"/>
      <c r="I97" s="369" t="str">
        <f t="shared" si="48"/>
        <v>-</v>
      </c>
      <c r="J97" s="369" t="str">
        <f t="shared" si="49"/>
        <v>-</v>
      </c>
      <c r="K97" s="194" t="str">
        <f t="shared" si="50"/>
        <v>-</v>
      </c>
      <c r="L97" s="653"/>
      <c r="M97" s="394" t="e">
        <f>RANK(K97, K$87:$K$101)</f>
        <v>#VALUE!</v>
      </c>
      <c r="N97" s="637"/>
      <c r="O97" s="637"/>
      <c r="P97" s="546"/>
      <c r="Q97" s="547"/>
      <c r="R97" s="547"/>
      <c r="S97" s="546"/>
      <c r="T97" s="638"/>
      <c r="U97" s="546"/>
      <c r="V97" s="547"/>
      <c r="W97" s="547"/>
      <c r="X97" s="546"/>
      <c r="Y97" s="638"/>
      <c r="Z97" s="546"/>
      <c r="AA97" s="547"/>
      <c r="AB97" s="547"/>
      <c r="AC97" s="546"/>
      <c r="AD97" s="638"/>
      <c r="AE97" s="546"/>
      <c r="AF97" s="547"/>
      <c r="AG97" s="547"/>
      <c r="AH97" s="546"/>
      <c r="AI97" s="638"/>
      <c r="AJ97" s="546"/>
      <c r="AK97" s="547"/>
      <c r="AL97" s="547"/>
      <c r="AM97" s="546"/>
      <c r="AN97" s="638"/>
      <c r="AO97" s="546"/>
      <c r="AP97" s="547"/>
      <c r="AQ97" s="547"/>
      <c r="AR97" s="546"/>
      <c r="AS97" s="638"/>
      <c r="AT97" s="546"/>
      <c r="AU97" s="547"/>
      <c r="AV97" s="547"/>
      <c r="AW97" s="546"/>
      <c r="AX97" s="638"/>
      <c r="AZ97" s="357" t="e">
        <f t="shared" si="51"/>
        <v>#N/A</v>
      </c>
      <c r="BA97" s="638"/>
    </row>
    <row r="98" spans="2:53">
      <c r="B98" s="643"/>
      <c r="C98" s="368">
        <v>12</v>
      </c>
      <c r="D98" s="220"/>
      <c r="E98" s="477"/>
      <c r="F98" s="474"/>
      <c r="G98" s="473"/>
      <c r="H98" s="651"/>
      <c r="I98" s="369" t="str">
        <f t="shared" si="48"/>
        <v>-</v>
      </c>
      <c r="J98" s="369" t="str">
        <f t="shared" si="49"/>
        <v>-</v>
      </c>
      <c r="K98" s="194" t="str">
        <f t="shared" si="50"/>
        <v>-</v>
      </c>
      <c r="L98" s="653"/>
      <c r="M98" s="394" t="e">
        <f>RANK(K98, K$87:$K$101)</f>
        <v>#VALUE!</v>
      </c>
      <c r="N98" s="637"/>
      <c r="O98" s="637"/>
      <c r="P98" s="546"/>
      <c r="Q98" s="547"/>
      <c r="R98" s="547"/>
      <c r="S98" s="546"/>
      <c r="T98" s="638"/>
      <c r="U98" s="546"/>
      <c r="V98" s="547"/>
      <c r="W98" s="547"/>
      <c r="X98" s="546"/>
      <c r="Y98" s="638"/>
      <c r="Z98" s="546"/>
      <c r="AA98" s="547"/>
      <c r="AB98" s="547"/>
      <c r="AC98" s="546"/>
      <c r="AD98" s="638"/>
      <c r="AE98" s="546"/>
      <c r="AF98" s="547"/>
      <c r="AG98" s="547"/>
      <c r="AH98" s="546"/>
      <c r="AI98" s="638"/>
      <c r="AJ98" s="546"/>
      <c r="AK98" s="547"/>
      <c r="AL98" s="547"/>
      <c r="AM98" s="546"/>
      <c r="AN98" s="638"/>
      <c r="AO98" s="546"/>
      <c r="AP98" s="547"/>
      <c r="AQ98" s="547"/>
      <c r="AR98" s="546"/>
      <c r="AS98" s="638"/>
      <c r="AT98" s="546"/>
      <c r="AU98" s="547"/>
      <c r="AV98" s="547"/>
      <c r="AW98" s="546"/>
      <c r="AX98" s="638"/>
      <c r="AZ98" s="357" t="e">
        <f t="shared" si="51"/>
        <v>#N/A</v>
      </c>
      <c r="BA98" s="638"/>
    </row>
    <row r="99" spans="2:53">
      <c r="B99" s="643"/>
      <c r="C99" s="368">
        <v>13</v>
      </c>
      <c r="D99" s="220"/>
      <c r="E99" s="477"/>
      <c r="F99" s="474"/>
      <c r="G99" s="473"/>
      <c r="H99" s="651"/>
      <c r="I99" s="369" t="str">
        <f t="shared" si="48"/>
        <v>-</v>
      </c>
      <c r="J99" s="369" t="str">
        <f t="shared" si="49"/>
        <v>-</v>
      </c>
      <c r="K99" s="194" t="str">
        <f t="shared" si="50"/>
        <v>-</v>
      </c>
      <c r="L99" s="653"/>
      <c r="M99" s="394" t="e">
        <f>RANK(K99, K$87:$K$101)</f>
        <v>#VALUE!</v>
      </c>
      <c r="N99" s="637"/>
      <c r="O99" s="637"/>
      <c r="P99" s="546"/>
      <c r="Q99" s="547"/>
      <c r="R99" s="547"/>
      <c r="S99" s="546"/>
      <c r="T99" s="638"/>
      <c r="U99" s="546"/>
      <c r="V99" s="547"/>
      <c r="W99" s="547"/>
      <c r="X99" s="546"/>
      <c r="Y99" s="638"/>
      <c r="Z99" s="546"/>
      <c r="AA99" s="547"/>
      <c r="AB99" s="547"/>
      <c r="AC99" s="546"/>
      <c r="AD99" s="638"/>
      <c r="AE99" s="546"/>
      <c r="AF99" s="547"/>
      <c r="AG99" s="547"/>
      <c r="AH99" s="546"/>
      <c r="AI99" s="638"/>
      <c r="AJ99" s="546"/>
      <c r="AK99" s="547"/>
      <c r="AL99" s="547"/>
      <c r="AM99" s="546"/>
      <c r="AN99" s="638"/>
      <c r="AO99" s="546"/>
      <c r="AP99" s="547"/>
      <c r="AQ99" s="547"/>
      <c r="AR99" s="546"/>
      <c r="AS99" s="638"/>
      <c r="AT99" s="546"/>
      <c r="AU99" s="547"/>
      <c r="AV99" s="547"/>
      <c r="AW99" s="546"/>
      <c r="AX99" s="638"/>
      <c r="AZ99" s="357" t="e">
        <f t="shared" si="51"/>
        <v>#N/A</v>
      </c>
      <c r="BA99" s="638"/>
    </row>
    <row r="100" spans="2:53">
      <c r="B100" s="643"/>
      <c r="C100" s="368">
        <v>14</v>
      </c>
      <c r="D100" s="220"/>
      <c r="E100" s="477"/>
      <c r="F100" s="474"/>
      <c r="G100" s="473"/>
      <c r="H100" s="651"/>
      <c r="I100" s="369" t="str">
        <f t="shared" si="48"/>
        <v>-</v>
      </c>
      <c r="J100" s="369" t="str">
        <f t="shared" si="49"/>
        <v>-</v>
      </c>
      <c r="K100" s="194" t="str">
        <f t="shared" si="50"/>
        <v>-</v>
      </c>
      <c r="L100" s="653"/>
      <c r="M100" s="394" t="e">
        <f>RANK(K100, K$87:$K$101)</f>
        <v>#VALUE!</v>
      </c>
      <c r="N100" s="637"/>
      <c r="O100" s="637"/>
      <c r="P100" s="546"/>
      <c r="Q100" s="547"/>
      <c r="R100" s="547"/>
      <c r="S100" s="546"/>
      <c r="T100" s="638"/>
      <c r="U100" s="546"/>
      <c r="V100" s="547"/>
      <c r="W100" s="547"/>
      <c r="X100" s="546"/>
      <c r="Y100" s="638"/>
      <c r="Z100" s="546"/>
      <c r="AA100" s="547"/>
      <c r="AB100" s="547"/>
      <c r="AC100" s="546"/>
      <c r="AD100" s="638"/>
      <c r="AE100" s="546"/>
      <c r="AF100" s="547"/>
      <c r="AG100" s="547"/>
      <c r="AH100" s="546"/>
      <c r="AI100" s="638"/>
      <c r="AJ100" s="546"/>
      <c r="AK100" s="547"/>
      <c r="AL100" s="547"/>
      <c r="AM100" s="546"/>
      <c r="AN100" s="638"/>
      <c r="AO100" s="546"/>
      <c r="AP100" s="547"/>
      <c r="AQ100" s="547"/>
      <c r="AR100" s="546"/>
      <c r="AS100" s="638"/>
      <c r="AT100" s="546"/>
      <c r="AU100" s="547"/>
      <c r="AV100" s="547"/>
      <c r="AW100" s="546"/>
      <c r="AX100" s="638"/>
      <c r="AZ100" s="357" t="e">
        <f t="shared" si="51"/>
        <v>#N/A</v>
      </c>
      <c r="BA100" s="638"/>
    </row>
    <row r="101" spans="2:53">
      <c r="B101" s="643"/>
      <c r="C101" s="368">
        <v>15</v>
      </c>
      <c r="D101" s="220"/>
      <c r="E101" s="477"/>
      <c r="F101" s="474"/>
      <c r="G101" s="473"/>
      <c r="H101" s="708"/>
      <c r="I101" s="368"/>
      <c r="J101" s="368"/>
      <c r="K101" s="368"/>
      <c r="L101" s="654"/>
      <c r="M101" s="394" t="e">
        <f>RANK(K101, K$87:$K$101)</f>
        <v>#N/A</v>
      </c>
      <c r="N101" s="637"/>
      <c r="O101" s="637"/>
      <c r="P101" s="546"/>
      <c r="Q101" s="547"/>
      <c r="R101" s="547"/>
      <c r="S101" s="546"/>
      <c r="T101" s="638"/>
      <c r="U101" s="546"/>
      <c r="V101" s="547"/>
      <c r="W101" s="547"/>
      <c r="X101" s="546"/>
      <c r="Y101" s="638"/>
      <c r="Z101" s="546"/>
      <c r="AA101" s="547"/>
      <c r="AB101" s="547"/>
      <c r="AC101" s="546"/>
      <c r="AD101" s="638"/>
      <c r="AE101" s="546"/>
      <c r="AF101" s="547"/>
      <c r="AG101" s="547"/>
      <c r="AH101" s="546"/>
      <c r="AI101" s="638"/>
      <c r="AJ101" s="546"/>
      <c r="AK101" s="547"/>
      <c r="AL101" s="547"/>
      <c r="AM101" s="546"/>
      <c r="AN101" s="638"/>
      <c r="AO101" s="546"/>
      <c r="AP101" s="547"/>
      <c r="AQ101" s="547"/>
      <c r="AR101" s="546"/>
      <c r="AS101" s="638"/>
      <c r="AT101" s="546"/>
      <c r="AU101" s="547"/>
      <c r="AV101" s="547"/>
      <c r="AW101" s="546"/>
      <c r="AX101" s="638"/>
      <c r="AZ101" s="357" t="e">
        <f t="shared" si="51"/>
        <v>#N/A</v>
      </c>
      <c r="BA101" s="638"/>
    </row>
    <row r="102" spans="2:53" ht="15.75">
      <c r="B102" s="665" t="s">
        <v>162</v>
      </c>
      <c r="C102" s="666"/>
      <c r="D102" s="666"/>
      <c r="E102" s="666"/>
      <c r="F102" s="666"/>
      <c r="G102" s="666"/>
      <c r="H102" s="667"/>
      <c r="I102" s="202"/>
      <c r="J102" s="202"/>
      <c r="K102" s="202"/>
      <c r="L102" s="202"/>
      <c r="M102" s="201"/>
      <c r="N102" s="639" t="s">
        <v>156</v>
      </c>
      <c r="O102" s="639" t="s">
        <v>105</v>
      </c>
      <c r="P102" s="664">
        <f>P82+7</f>
        <v>46329</v>
      </c>
      <c r="Q102" s="643"/>
      <c r="R102" s="643"/>
      <c r="S102" s="643"/>
      <c r="T102" s="643"/>
      <c r="U102" s="661">
        <f>P102+1</f>
        <v>46330</v>
      </c>
      <c r="V102" s="662"/>
      <c r="W102" s="662"/>
      <c r="X102" s="662"/>
      <c r="Y102" s="663"/>
      <c r="Z102" s="661">
        <f>U102+1</f>
        <v>46331</v>
      </c>
      <c r="AA102" s="662"/>
      <c r="AB102" s="662"/>
      <c r="AC102" s="662"/>
      <c r="AD102" s="663"/>
      <c r="AE102" s="661">
        <f>Z102+1</f>
        <v>46332</v>
      </c>
      <c r="AF102" s="662"/>
      <c r="AG102" s="662"/>
      <c r="AH102" s="662"/>
      <c r="AI102" s="663"/>
      <c r="AJ102" s="661">
        <f>AE102+1</f>
        <v>46333</v>
      </c>
      <c r="AK102" s="662"/>
      <c r="AL102" s="662"/>
      <c r="AM102" s="662"/>
      <c r="AN102" s="663"/>
      <c r="AO102" s="661">
        <f>AJ102+1</f>
        <v>46334</v>
      </c>
      <c r="AP102" s="662"/>
      <c r="AQ102" s="662"/>
      <c r="AR102" s="662"/>
      <c r="AS102" s="663"/>
      <c r="AT102" s="661">
        <f>AO102+1</f>
        <v>46335</v>
      </c>
      <c r="AU102" s="662"/>
      <c r="AV102" s="662"/>
      <c r="AW102" s="662"/>
      <c r="AX102" s="663"/>
    </row>
    <row r="103" spans="2:53" ht="15.75">
      <c r="B103" s="668"/>
      <c r="C103" s="668"/>
      <c r="D103" s="668"/>
      <c r="E103" s="668"/>
      <c r="F103" s="668"/>
      <c r="G103" s="668"/>
      <c r="H103" s="668"/>
      <c r="I103" s="199"/>
      <c r="J103" s="199"/>
      <c r="K103" s="199"/>
      <c r="L103" s="199"/>
      <c r="M103" s="200"/>
      <c r="N103" s="641"/>
      <c r="O103" s="641"/>
      <c r="P103" s="664" t="s">
        <v>158</v>
      </c>
      <c r="Q103" s="643"/>
      <c r="R103" s="643"/>
      <c r="S103" s="643"/>
      <c r="T103" s="643"/>
      <c r="U103" s="664" t="s">
        <v>114</v>
      </c>
      <c r="V103" s="643"/>
      <c r="W103" s="643"/>
      <c r="X103" s="643"/>
      <c r="Y103" s="643"/>
      <c r="Z103" s="664" t="s">
        <v>159</v>
      </c>
      <c r="AA103" s="643"/>
      <c r="AB103" s="643"/>
      <c r="AC103" s="643"/>
      <c r="AD103" s="643"/>
      <c r="AE103" s="664" t="s">
        <v>157</v>
      </c>
      <c r="AF103" s="643"/>
      <c r="AG103" s="643"/>
      <c r="AH103" s="643"/>
      <c r="AI103" s="643"/>
      <c r="AJ103" s="664" t="s">
        <v>160</v>
      </c>
      <c r="AK103" s="643"/>
      <c r="AL103" s="643"/>
      <c r="AM103" s="643"/>
      <c r="AN103" s="643"/>
      <c r="AO103" s="664" t="s">
        <v>115</v>
      </c>
      <c r="AP103" s="643"/>
      <c r="AQ103" s="643"/>
      <c r="AR103" s="643"/>
      <c r="AS103" s="643"/>
      <c r="AT103" s="664" t="s">
        <v>161</v>
      </c>
      <c r="AU103" s="643"/>
      <c r="AV103" s="643"/>
      <c r="AW103" s="643"/>
      <c r="AX103" s="643"/>
    </row>
    <row r="104" spans="2:53">
      <c r="B104" s="637" t="s">
        <v>520</v>
      </c>
      <c r="C104" s="637" t="s">
        <v>521</v>
      </c>
      <c r="D104" s="637"/>
      <c r="E104" s="637" t="s">
        <v>522</v>
      </c>
      <c r="F104" s="637"/>
      <c r="G104" s="637"/>
      <c r="H104" s="669" t="s">
        <v>523</v>
      </c>
      <c r="I104" s="637" t="s">
        <v>524</v>
      </c>
      <c r="J104" s="637"/>
      <c r="K104" s="637"/>
      <c r="L104" s="669" t="s">
        <v>357</v>
      </c>
      <c r="M104" s="639" t="s">
        <v>525</v>
      </c>
      <c r="N104" s="637"/>
      <c r="O104" s="637" t="s">
        <v>526</v>
      </c>
      <c r="P104" s="655" t="s">
        <v>512</v>
      </c>
      <c r="Q104" s="656"/>
      <c r="R104" s="656"/>
      <c r="S104" s="657"/>
      <c r="T104" s="637" t="s">
        <v>508</v>
      </c>
      <c r="U104" s="655" t="s">
        <v>512</v>
      </c>
      <c r="V104" s="656"/>
      <c r="W104" s="656"/>
      <c r="X104" s="657"/>
      <c r="Y104" s="637" t="s">
        <v>508</v>
      </c>
      <c r="Z104" s="655" t="s">
        <v>512</v>
      </c>
      <c r="AA104" s="656"/>
      <c r="AB104" s="656"/>
      <c r="AC104" s="657"/>
      <c r="AD104" s="637" t="s">
        <v>508</v>
      </c>
      <c r="AE104" s="655" t="s">
        <v>512</v>
      </c>
      <c r="AF104" s="656"/>
      <c r="AG104" s="656"/>
      <c r="AH104" s="657"/>
      <c r="AI104" s="637" t="s">
        <v>508</v>
      </c>
      <c r="AJ104" s="655" t="s">
        <v>512</v>
      </c>
      <c r="AK104" s="656"/>
      <c r="AL104" s="656"/>
      <c r="AM104" s="657"/>
      <c r="AN104" s="637" t="s">
        <v>508</v>
      </c>
      <c r="AO104" s="655" t="s">
        <v>512</v>
      </c>
      <c r="AP104" s="656"/>
      <c r="AQ104" s="656"/>
      <c r="AR104" s="657"/>
      <c r="AS104" s="637" t="s">
        <v>508</v>
      </c>
      <c r="AT104" s="655" t="s">
        <v>512</v>
      </c>
      <c r="AU104" s="656"/>
      <c r="AV104" s="656"/>
      <c r="AW104" s="657"/>
      <c r="AX104" s="637" t="s">
        <v>508</v>
      </c>
      <c r="BA104" s="637" t="s">
        <v>357</v>
      </c>
    </row>
    <row r="105" spans="2:53">
      <c r="B105" s="637"/>
      <c r="C105" s="637"/>
      <c r="D105" s="637"/>
      <c r="E105" s="637" t="s">
        <v>527</v>
      </c>
      <c r="F105" s="637"/>
      <c r="G105" s="637"/>
      <c r="H105" s="670"/>
      <c r="I105" s="637" t="s">
        <v>527</v>
      </c>
      <c r="J105" s="637"/>
      <c r="K105" s="637"/>
      <c r="L105" s="670"/>
      <c r="M105" s="640"/>
      <c r="N105" s="637"/>
      <c r="O105" s="637"/>
      <c r="P105" s="655" t="s">
        <v>514</v>
      </c>
      <c r="Q105" s="656"/>
      <c r="R105" s="656"/>
      <c r="S105" s="657"/>
      <c r="T105" s="637"/>
      <c r="U105" s="655" t="s">
        <v>514</v>
      </c>
      <c r="V105" s="656"/>
      <c r="W105" s="656"/>
      <c r="X105" s="657"/>
      <c r="Y105" s="637"/>
      <c r="Z105" s="655" t="s">
        <v>514</v>
      </c>
      <c r="AA105" s="656"/>
      <c r="AB105" s="656"/>
      <c r="AC105" s="657"/>
      <c r="AD105" s="637"/>
      <c r="AE105" s="655" t="s">
        <v>514</v>
      </c>
      <c r="AF105" s="656"/>
      <c r="AG105" s="656"/>
      <c r="AH105" s="657"/>
      <c r="AI105" s="637"/>
      <c r="AJ105" s="655" t="s">
        <v>514</v>
      </c>
      <c r="AK105" s="656"/>
      <c r="AL105" s="656"/>
      <c r="AM105" s="657"/>
      <c r="AN105" s="637"/>
      <c r="AO105" s="655" t="s">
        <v>514</v>
      </c>
      <c r="AP105" s="656"/>
      <c r="AQ105" s="656"/>
      <c r="AR105" s="657"/>
      <c r="AS105" s="637"/>
      <c r="AT105" s="655" t="s">
        <v>514</v>
      </c>
      <c r="AU105" s="656"/>
      <c r="AV105" s="656"/>
      <c r="AW105" s="657"/>
      <c r="AX105" s="637"/>
      <c r="BA105" s="637"/>
    </row>
    <row r="106" spans="2:53">
      <c r="B106" s="637"/>
      <c r="C106" s="637"/>
      <c r="D106" s="637"/>
      <c r="E106" s="334" t="s">
        <v>528</v>
      </c>
      <c r="F106" s="334" t="s">
        <v>529</v>
      </c>
      <c r="G106" s="334" t="s">
        <v>530</v>
      </c>
      <c r="H106" s="671"/>
      <c r="I106" s="334" t="s">
        <v>528</v>
      </c>
      <c r="J106" s="334" t="s">
        <v>529</v>
      </c>
      <c r="K106" s="334" t="s">
        <v>530</v>
      </c>
      <c r="L106" s="671"/>
      <c r="M106" s="641"/>
      <c r="N106" s="637"/>
      <c r="O106" s="637"/>
      <c r="P106" s="334" t="s">
        <v>515</v>
      </c>
      <c r="Q106" s="334" t="s">
        <v>516</v>
      </c>
      <c r="R106" s="334" t="s">
        <v>517</v>
      </c>
      <c r="S106" s="334" t="s">
        <v>510</v>
      </c>
      <c r="T106" s="637"/>
      <c r="U106" s="334" t="s">
        <v>515</v>
      </c>
      <c r="V106" s="334" t="s">
        <v>516</v>
      </c>
      <c r="W106" s="334" t="s">
        <v>517</v>
      </c>
      <c r="X106" s="334" t="s">
        <v>510</v>
      </c>
      <c r="Y106" s="637"/>
      <c r="Z106" s="334" t="s">
        <v>515</v>
      </c>
      <c r="AA106" s="334" t="s">
        <v>516</v>
      </c>
      <c r="AB106" s="334" t="s">
        <v>517</v>
      </c>
      <c r="AC106" s="334" t="s">
        <v>510</v>
      </c>
      <c r="AD106" s="637"/>
      <c r="AE106" s="334" t="s">
        <v>515</v>
      </c>
      <c r="AF106" s="334" t="s">
        <v>516</v>
      </c>
      <c r="AG106" s="334" t="s">
        <v>517</v>
      </c>
      <c r="AH106" s="334" t="s">
        <v>510</v>
      </c>
      <c r="AI106" s="637"/>
      <c r="AJ106" s="334" t="s">
        <v>515</v>
      </c>
      <c r="AK106" s="334" t="s">
        <v>516</v>
      </c>
      <c r="AL106" s="334" t="s">
        <v>517</v>
      </c>
      <c r="AM106" s="334" t="s">
        <v>510</v>
      </c>
      <c r="AN106" s="637"/>
      <c r="AO106" s="334" t="s">
        <v>515</v>
      </c>
      <c r="AP106" s="334" t="s">
        <v>516</v>
      </c>
      <c r="AQ106" s="334" t="s">
        <v>517</v>
      </c>
      <c r="AR106" s="334" t="s">
        <v>510</v>
      </c>
      <c r="AS106" s="637"/>
      <c r="AT106" s="334" t="s">
        <v>515</v>
      </c>
      <c r="AU106" s="334" t="s">
        <v>516</v>
      </c>
      <c r="AV106" s="334" t="s">
        <v>517</v>
      </c>
      <c r="AW106" s="334" t="s">
        <v>510</v>
      </c>
      <c r="AX106" s="637"/>
      <c r="AZ106" s="356" t="s">
        <v>510</v>
      </c>
      <c r="BA106" s="637"/>
    </row>
    <row r="107" spans="2:53">
      <c r="B107" s="637" t="s">
        <v>135</v>
      </c>
      <c r="C107" s="337">
        <v>1</v>
      </c>
      <c r="D107" s="220"/>
      <c r="E107" s="176"/>
      <c r="F107" s="342"/>
      <c r="G107" s="343"/>
      <c r="H107" s="650" t="e">
        <f>AVERAGE(G107:G121)</f>
        <v>#DIV/0!</v>
      </c>
      <c r="I107" s="352" t="str">
        <f t="shared" ref="I107:I120" si="53">IFERROR(AVERAGE(P107,U107,Z107,AE107,AJ107,AO107,AT107),"-")</f>
        <v>-</v>
      </c>
      <c r="J107" s="352" t="str">
        <f t="shared" ref="J107:J120" si="54">IFERROR(AVERAGE(Q107,V107,AA107,AF107,AK107,AP107,AU107),"-")</f>
        <v>-</v>
      </c>
      <c r="K107" s="194" t="str">
        <f t="shared" ref="K107:K120" si="55">IFERROR(AVERAGE(R107,W107,AB107,AG107,AL107,AQ107,AV107),"-")</f>
        <v>-</v>
      </c>
      <c r="L107" s="652" t="str">
        <f>IFERROR(AVERAGE(K107:K121),"-")</f>
        <v>-</v>
      </c>
      <c r="M107" s="338" t="e">
        <f>RANK(K107, K$67:$K$81)</f>
        <v>#VALUE!</v>
      </c>
      <c r="N107" s="637"/>
      <c r="O107" s="637"/>
      <c r="P107" s="490"/>
      <c r="Q107" s="491"/>
      <c r="R107" s="491"/>
      <c r="S107" s="490"/>
      <c r="T107" s="632"/>
      <c r="U107" s="490"/>
      <c r="V107" s="491"/>
      <c r="W107" s="491"/>
      <c r="X107" s="490"/>
      <c r="Y107" s="632"/>
      <c r="Z107" s="490"/>
      <c r="AA107" s="491"/>
      <c r="AB107" s="491"/>
      <c r="AC107" s="490"/>
      <c r="AD107" s="632"/>
      <c r="AE107" s="490"/>
      <c r="AF107" s="491"/>
      <c r="AG107" s="491"/>
      <c r="AH107" s="490"/>
      <c r="AI107" s="632"/>
      <c r="AJ107" s="490"/>
      <c r="AK107" s="491"/>
      <c r="AL107" s="491"/>
      <c r="AM107" s="490"/>
      <c r="AN107" s="632"/>
      <c r="AO107" s="490"/>
      <c r="AP107" s="491"/>
      <c r="AQ107" s="491"/>
      <c r="AR107" s="490"/>
      <c r="AS107" s="632"/>
      <c r="AT107" s="490"/>
      <c r="AU107" s="491"/>
      <c r="AV107" s="491"/>
      <c r="AW107" s="490"/>
      <c r="AX107" s="632"/>
      <c r="AZ107" s="358" t="e">
        <f>RANK(AY107, AY$67:AY$81)</f>
        <v>#N/A</v>
      </c>
      <c r="BA107" s="713" t="e">
        <f>AVERAGE(AY107:AY121)</f>
        <v>#DIV/0!</v>
      </c>
    </row>
    <row r="108" spans="2:53">
      <c r="B108" s="672"/>
      <c r="C108" s="337">
        <v>2</v>
      </c>
      <c r="D108" s="220"/>
      <c r="E108" s="176"/>
      <c r="F108" s="342"/>
      <c r="G108" s="343"/>
      <c r="H108" s="651"/>
      <c r="I108" s="352" t="str">
        <f t="shared" si="53"/>
        <v>-</v>
      </c>
      <c r="J108" s="352" t="str">
        <f t="shared" si="54"/>
        <v>-</v>
      </c>
      <c r="K108" s="194" t="str">
        <f t="shared" si="55"/>
        <v>-</v>
      </c>
      <c r="L108" s="653"/>
      <c r="M108" s="338" t="e">
        <f>RANK(K108, K$67:$K$81)</f>
        <v>#VALUE!</v>
      </c>
      <c r="N108" s="637"/>
      <c r="O108" s="637"/>
      <c r="P108" s="490"/>
      <c r="Q108" s="491"/>
      <c r="R108" s="491"/>
      <c r="S108" s="490"/>
      <c r="T108" s="633"/>
      <c r="U108" s="490"/>
      <c r="V108" s="491"/>
      <c r="W108" s="491"/>
      <c r="X108" s="490"/>
      <c r="Y108" s="633"/>
      <c r="Z108" s="490"/>
      <c r="AA108" s="491"/>
      <c r="AB108" s="491"/>
      <c r="AC108" s="490"/>
      <c r="AD108" s="633"/>
      <c r="AE108" s="490"/>
      <c r="AF108" s="491"/>
      <c r="AG108" s="491"/>
      <c r="AH108" s="490"/>
      <c r="AI108" s="633"/>
      <c r="AJ108" s="490"/>
      <c r="AK108" s="491"/>
      <c r="AL108" s="491"/>
      <c r="AM108" s="490"/>
      <c r="AN108" s="633"/>
      <c r="AO108" s="490"/>
      <c r="AP108" s="491"/>
      <c r="AQ108" s="491"/>
      <c r="AR108" s="490"/>
      <c r="AS108" s="633"/>
      <c r="AT108" s="490"/>
      <c r="AU108" s="491"/>
      <c r="AV108" s="491"/>
      <c r="AW108" s="490"/>
      <c r="AX108" s="633"/>
      <c r="AZ108" s="358" t="e">
        <f t="shared" ref="AZ108:AZ121" si="56">RANK(AY108, AY$67:AY$81)</f>
        <v>#N/A</v>
      </c>
      <c r="BA108" s="713"/>
    </row>
    <row r="109" spans="2:53">
      <c r="B109" s="672"/>
      <c r="C109" s="337">
        <v>3</v>
      </c>
      <c r="D109" s="220"/>
      <c r="E109" s="176"/>
      <c r="F109" s="342"/>
      <c r="G109" s="343"/>
      <c r="H109" s="651"/>
      <c r="I109" s="352" t="str">
        <f t="shared" si="53"/>
        <v>-</v>
      </c>
      <c r="J109" s="352" t="str">
        <f t="shared" si="54"/>
        <v>-</v>
      </c>
      <c r="K109" s="194" t="str">
        <f t="shared" si="55"/>
        <v>-</v>
      </c>
      <c r="L109" s="653"/>
      <c r="M109" s="338" t="e">
        <f>RANK(K109, K$67:$K$81)</f>
        <v>#VALUE!</v>
      </c>
      <c r="N109" s="637"/>
      <c r="O109" s="637"/>
      <c r="P109" s="490"/>
      <c r="Q109" s="491"/>
      <c r="R109" s="491"/>
      <c r="S109" s="490"/>
      <c r="T109" s="633"/>
      <c r="U109" s="490"/>
      <c r="V109" s="491"/>
      <c r="W109" s="491"/>
      <c r="X109" s="490"/>
      <c r="Y109" s="633"/>
      <c r="Z109" s="490"/>
      <c r="AA109" s="491"/>
      <c r="AB109" s="491"/>
      <c r="AC109" s="490"/>
      <c r="AD109" s="633"/>
      <c r="AE109" s="490"/>
      <c r="AF109" s="491"/>
      <c r="AG109" s="491"/>
      <c r="AH109" s="490"/>
      <c r="AI109" s="633"/>
      <c r="AJ109" s="490"/>
      <c r="AK109" s="491"/>
      <c r="AL109" s="491"/>
      <c r="AM109" s="490"/>
      <c r="AN109" s="633"/>
      <c r="AO109" s="490"/>
      <c r="AP109" s="491"/>
      <c r="AQ109" s="491"/>
      <c r="AR109" s="490"/>
      <c r="AS109" s="633"/>
      <c r="AT109" s="490"/>
      <c r="AU109" s="491"/>
      <c r="AV109" s="491"/>
      <c r="AW109" s="490"/>
      <c r="AX109" s="633"/>
      <c r="AZ109" s="358" t="e">
        <f t="shared" si="56"/>
        <v>#N/A</v>
      </c>
      <c r="BA109" s="713"/>
    </row>
    <row r="110" spans="2:53">
      <c r="B110" s="672"/>
      <c r="C110" s="337">
        <v>4</v>
      </c>
      <c r="D110" s="220"/>
      <c r="E110" s="176"/>
      <c r="F110" s="342"/>
      <c r="G110" s="343"/>
      <c r="H110" s="651"/>
      <c r="I110" s="352" t="str">
        <f t="shared" si="53"/>
        <v>-</v>
      </c>
      <c r="J110" s="352" t="str">
        <f t="shared" si="54"/>
        <v>-</v>
      </c>
      <c r="K110" s="194" t="str">
        <f t="shared" si="55"/>
        <v>-</v>
      </c>
      <c r="L110" s="653"/>
      <c r="M110" s="338" t="e">
        <f>RANK(K110, K$67:$K$81)</f>
        <v>#VALUE!</v>
      </c>
      <c r="N110" s="637"/>
      <c r="O110" s="637"/>
      <c r="P110" s="490"/>
      <c r="Q110" s="491"/>
      <c r="R110" s="491"/>
      <c r="S110" s="490"/>
      <c r="T110" s="633"/>
      <c r="U110" s="490"/>
      <c r="V110" s="491"/>
      <c r="W110" s="491"/>
      <c r="X110" s="490"/>
      <c r="Y110" s="633"/>
      <c r="Z110" s="490"/>
      <c r="AA110" s="491"/>
      <c r="AB110" s="491"/>
      <c r="AC110" s="490"/>
      <c r="AD110" s="633"/>
      <c r="AE110" s="490"/>
      <c r="AF110" s="491"/>
      <c r="AG110" s="491"/>
      <c r="AH110" s="490"/>
      <c r="AI110" s="633"/>
      <c r="AJ110" s="490"/>
      <c r="AK110" s="491"/>
      <c r="AL110" s="491"/>
      <c r="AM110" s="490"/>
      <c r="AN110" s="633"/>
      <c r="AO110" s="490"/>
      <c r="AP110" s="491"/>
      <c r="AQ110" s="491"/>
      <c r="AR110" s="490"/>
      <c r="AS110" s="633"/>
      <c r="AT110" s="490"/>
      <c r="AU110" s="491"/>
      <c r="AV110" s="491"/>
      <c r="AW110" s="490"/>
      <c r="AX110" s="633"/>
      <c r="AZ110" s="358" t="e">
        <f t="shared" si="56"/>
        <v>#N/A</v>
      </c>
      <c r="BA110" s="713"/>
    </row>
    <row r="111" spans="2:53">
      <c r="B111" s="672"/>
      <c r="C111" s="337">
        <v>5</v>
      </c>
      <c r="D111" s="220"/>
      <c r="E111" s="176"/>
      <c r="F111" s="342"/>
      <c r="G111" s="343"/>
      <c r="H111" s="651"/>
      <c r="I111" s="352" t="str">
        <f t="shared" si="53"/>
        <v>-</v>
      </c>
      <c r="J111" s="352" t="str">
        <f t="shared" si="54"/>
        <v>-</v>
      </c>
      <c r="K111" s="194" t="str">
        <f t="shared" si="55"/>
        <v>-</v>
      </c>
      <c r="L111" s="653"/>
      <c r="M111" s="338" t="e">
        <f>RANK(K111, K$67:$K$81)</f>
        <v>#VALUE!</v>
      </c>
      <c r="N111" s="637"/>
      <c r="O111" s="637"/>
      <c r="P111" s="490"/>
      <c r="Q111" s="491"/>
      <c r="R111" s="491"/>
      <c r="S111" s="490"/>
      <c r="T111" s="633"/>
      <c r="U111" s="490"/>
      <c r="V111" s="491"/>
      <c r="W111" s="491"/>
      <c r="X111" s="490"/>
      <c r="Y111" s="633"/>
      <c r="Z111" s="490"/>
      <c r="AA111" s="491"/>
      <c r="AB111" s="491"/>
      <c r="AC111" s="490"/>
      <c r="AD111" s="633"/>
      <c r="AE111" s="490"/>
      <c r="AF111" s="491"/>
      <c r="AG111" s="491"/>
      <c r="AH111" s="490"/>
      <c r="AI111" s="633"/>
      <c r="AJ111" s="490"/>
      <c r="AK111" s="491"/>
      <c r="AL111" s="491"/>
      <c r="AM111" s="490"/>
      <c r="AN111" s="633"/>
      <c r="AO111" s="490"/>
      <c r="AP111" s="491"/>
      <c r="AQ111" s="491"/>
      <c r="AR111" s="490"/>
      <c r="AS111" s="633"/>
      <c r="AT111" s="490"/>
      <c r="AU111" s="491"/>
      <c r="AV111" s="491"/>
      <c r="AW111" s="490"/>
      <c r="AX111" s="633"/>
      <c r="AZ111" s="358" t="e">
        <f t="shared" si="56"/>
        <v>#N/A</v>
      </c>
      <c r="BA111" s="713"/>
    </row>
    <row r="112" spans="2:53">
      <c r="B112" s="672"/>
      <c r="C112" s="337">
        <v>6</v>
      </c>
      <c r="D112" s="220"/>
      <c r="E112" s="176"/>
      <c r="F112" s="342"/>
      <c r="G112" s="343"/>
      <c r="H112" s="651"/>
      <c r="I112" s="352" t="str">
        <f t="shared" si="53"/>
        <v>-</v>
      </c>
      <c r="J112" s="352" t="str">
        <f t="shared" si="54"/>
        <v>-</v>
      </c>
      <c r="K112" s="194" t="str">
        <f t="shared" si="55"/>
        <v>-</v>
      </c>
      <c r="L112" s="653"/>
      <c r="M112" s="338" t="e">
        <f>RANK(K112, K$67:$K$81)</f>
        <v>#VALUE!</v>
      </c>
      <c r="N112" s="637"/>
      <c r="O112" s="637"/>
      <c r="P112" s="490"/>
      <c r="Q112" s="491"/>
      <c r="R112" s="491"/>
      <c r="S112" s="490"/>
      <c r="T112" s="633"/>
      <c r="U112" s="490"/>
      <c r="V112" s="491"/>
      <c r="W112" s="491"/>
      <c r="X112" s="490"/>
      <c r="Y112" s="633"/>
      <c r="Z112" s="490"/>
      <c r="AA112" s="491"/>
      <c r="AB112" s="491"/>
      <c r="AC112" s="490"/>
      <c r="AD112" s="633"/>
      <c r="AE112" s="490"/>
      <c r="AF112" s="491"/>
      <c r="AG112" s="491"/>
      <c r="AH112" s="490"/>
      <c r="AI112" s="633"/>
      <c r="AJ112" s="490"/>
      <c r="AK112" s="491"/>
      <c r="AL112" s="491"/>
      <c r="AM112" s="490"/>
      <c r="AN112" s="633"/>
      <c r="AO112" s="490"/>
      <c r="AP112" s="491"/>
      <c r="AQ112" s="491"/>
      <c r="AR112" s="490"/>
      <c r="AS112" s="633"/>
      <c r="AT112" s="490"/>
      <c r="AU112" s="491"/>
      <c r="AV112" s="491"/>
      <c r="AW112" s="490"/>
      <c r="AX112" s="633"/>
      <c r="AZ112" s="358" t="e">
        <f t="shared" si="56"/>
        <v>#N/A</v>
      </c>
      <c r="BA112" s="713"/>
    </row>
    <row r="113" spans="2:53">
      <c r="B113" s="672"/>
      <c r="C113" s="337">
        <v>7</v>
      </c>
      <c r="D113" s="220"/>
      <c r="E113" s="176"/>
      <c r="F113" s="342"/>
      <c r="G113" s="343"/>
      <c r="H113" s="651"/>
      <c r="I113" s="352" t="str">
        <f t="shared" si="53"/>
        <v>-</v>
      </c>
      <c r="J113" s="352" t="str">
        <f t="shared" si="54"/>
        <v>-</v>
      </c>
      <c r="K113" s="194" t="str">
        <f t="shared" si="55"/>
        <v>-</v>
      </c>
      <c r="L113" s="653"/>
      <c r="M113" s="338" t="e">
        <f>RANK(K113, K$67:$K$81)</f>
        <v>#VALUE!</v>
      </c>
      <c r="N113" s="637"/>
      <c r="O113" s="637"/>
      <c r="P113" s="490"/>
      <c r="Q113" s="491"/>
      <c r="R113" s="491"/>
      <c r="S113" s="490"/>
      <c r="T113" s="633"/>
      <c r="U113" s="490"/>
      <c r="V113" s="491"/>
      <c r="W113" s="491"/>
      <c r="X113" s="490"/>
      <c r="Y113" s="633"/>
      <c r="Z113" s="490"/>
      <c r="AA113" s="491"/>
      <c r="AB113" s="491"/>
      <c r="AC113" s="490"/>
      <c r="AD113" s="633"/>
      <c r="AE113" s="490"/>
      <c r="AF113" s="491"/>
      <c r="AG113" s="491"/>
      <c r="AH113" s="490"/>
      <c r="AI113" s="633"/>
      <c r="AJ113" s="490"/>
      <c r="AK113" s="491"/>
      <c r="AL113" s="491"/>
      <c r="AM113" s="490"/>
      <c r="AN113" s="633"/>
      <c r="AO113" s="490"/>
      <c r="AP113" s="491"/>
      <c r="AQ113" s="491"/>
      <c r="AR113" s="490"/>
      <c r="AS113" s="633"/>
      <c r="AT113" s="490"/>
      <c r="AU113" s="491"/>
      <c r="AV113" s="491"/>
      <c r="AW113" s="490"/>
      <c r="AX113" s="633"/>
      <c r="AZ113" s="358" t="e">
        <f t="shared" si="56"/>
        <v>#N/A</v>
      </c>
      <c r="BA113" s="713"/>
    </row>
    <row r="114" spans="2:53">
      <c r="B114" s="672"/>
      <c r="C114" s="337">
        <v>8</v>
      </c>
      <c r="D114" s="220"/>
      <c r="E114" s="176"/>
      <c r="F114" s="342"/>
      <c r="G114" s="343"/>
      <c r="H114" s="651"/>
      <c r="I114" s="352" t="str">
        <f t="shared" si="53"/>
        <v>-</v>
      </c>
      <c r="J114" s="352" t="str">
        <f t="shared" si="54"/>
        <v>-</v>
      </c>
      <c r="K114" s="194" t="str">
        <f t="shared" si="55"/>
        <v>-</v>
      </c>
      <c r="L114" s="653"/>
      <c r="M114" s="338" t="e">
        <f>RANK(K114, K$67:$K$81)</f>
        <v>#VALUE!</v>
      </c>
      <c r="N114" s="637"/>
      <c r="O114" s="637"/>
      <c r="P114" s="490"/>
      <c r="Q114" s="491"/>
      <c r="R114" s="491"/>
      <c r="S114" s="490"/>
      <c r="T114" s="633"/>
      <c r="U114" s="490"/>
      <c r="V114" s="491"/>
      <c r="W114" s="491"/>
      <c r="X114" s="490"/>
      <c r="Y114" s="633"/>
      <c r="Z114" s="490"/>
      <c r="AA114" s="491"/>
      <c r="AB114" s="491"/>
      <c r="AC114" s="490"/>
      <c r="AD114" s="633"/>
      <c r="AE114" s="490"/>
      <c r="AF114" s="491"/>
      <c r="AG114" s="491"/>
      <c r="AH114" s="490"/>
      <c r="AI114" s="633"/>
      <c r="AJ114" s="490"/>
      <c r="AK114" s="491"/>
      <c r="AL114" s="491"/>
      <c r="AM114" s="490"/>
      <c r="AN114" s="633"/>
      <c r="AO114" s="490"/>
      <c r="AP114" s="491"/>
      <c r="AQ114" s="491"/>
      <c r="AR114" s="490"/>
      <c r="AS114" s="633"/>
      <c r="AT114" s="490"/>
      <c r="AU114" s="491"/>
      <c r="AV114" s="491"/>
      <c r="AW114" s="490"/>
      <c r="AX114" s="633"/>
      <c r="AZ114" s="358" t="e">
        <f t="shared" si="56"/>
        <v>#N/A</v>
      </c>
      <c r="BA114" s="713"/>
    </row>
    <row r="115" spans="2:53">
      <c r="B115" s="672"/>
      <c r="C115" s="337">
        <v>9</v>
      </c>
      <c r="D115" s="220"/>
      <c r="E115" s="176"/>
      <c r="F115" s="342"/>
      <c r="G115" s="343"/>
      <c r="H115" s="651"/>
      <c r="I115" s="352" t="str">
        <f t="shared" si="53"/>
        <v>-</v>
      </c>
      <c r="J115" s="352" t="str">
        <f t="shared" si="54"/>
        <v>-</v>
      </c>
      <c r="K115" s="194" t="str">
        <f t="shared" si="55"/>
        <v>-</v>
      </c>
      <c r="L115" s="653"/>
      <c r="M115" s="338" t="e">
        <f>RANK(K115, K$67:$K$81)</f>
        <v>#VALUE!</v>
      </c>
      <c r="N115" s="637"/>
      <c r="O115" s="637"/>
      <c r="P115" s="490"/>
      <c r="Q115" s="491"/>
      <c r="R115" s="491"/>
      <c r="S115" s="490"/>
      <c r="T115" s="633"/>
      <c r="U115" s="490"/>
      <c r="V115" s="491"/>
      <c r="W115" s="491"/>
      <c r="X115" s="490"/>
      <c r="Y115" s="633"/>
      <c r="Z115" s="490"/>
      <c r="AA115" s="491"/>
      <c r="AB115" s="491"/>
      <c r="AC115" s="490"/>
      <c r="AD115" s="633"/>
      <c r="AE115" s="490"/>
      <c r="AF115" s="491"/>
      <c r="AG115" s="491"/>
      <c r="AH115" s="490"/>
      <c r="AI115" s="633"/>
      <c r="AJ115" s="490"/>
      <c r="AK115" s="491"/>
      <c r="AL115" s="491"/>
      <c r="AM115" s="490"/>
      <c r="AN115" s="633"/>
      <c r="AO115" s="490"/>
      <c r="AP115" s="491"/>
      <c r="AQ115" s="491"/>
      <c r="AR115" s="490"/>
      <c r="AS115" s="633"/>
      <c r="AT115" s="490"/>
      <c r="AU115" s="491"/>
      <c r="AV115" s="491"/>
      <c r="AW115" s="490"/>
      <c r="AX115" s="633"/>
      <c r="AZ115" s="358" t="e">
        <f t="shared" si="56"/>
        <v>#N/A</v>
      </c>
      <c r="BA115" s="713"/>
    </row>
    <row r="116" spans="2:53">
      <c r="B116" s="672"/>
      <c r="C116" s="337">
        <v>10</v>
      </c>
      <c r="D116" s="220"/>
      <c r="E116" s="176"/>
      <c r="F116" s="342"/>
      <c r="G116" s="343"/>
      <c r="H116" s="651"/>
      <c r="I116" s="352" t="str">
        <f t="shared" si="53"/>
        <v>-</v>
      </c>
      <c r="J116" s="352" t="str">
        <f t="shared" si="54"/>
        <v>-</v>
      </c>
      <c r="K116" s="194" t="str">
        <f t="shared" si="55"/>
        <v>-</v>
      </c>
      <c r="L116" s="653"/>
      <c r="M116" s="338" t="e">
        <f>RANK(K116, K$67:$K$81)</f>
        <v>#VALUE!</v>
      </c>
      <c r="N116" s="637"/>
      <c r="O116" s="637"/>
      <c r="P116" s="490"/>
      <c r="Q116" s="491"/>
      <c r="R116" s="491"/>
      <c r="S116" s="490"/>
      <c r="T116" s="633"/>
      <c r="U116" s="490"/>
      <c r="V116" s="491"/>
      <c r="W116" s="491"/>
      <c r="X116" s="490"/>
      <c r="Y116" s="633"/>
      <c r="Z116" s="490"/>
      <c r="AA116" s="491"/>
      <c r="AB116" s="491"/>
      <c r="AC116" s="490"/>
      <c r="AD116" s="633"/>
      <c r="AE116" s="490"/>
      <c r="AF116" s="491"/>
      <c r="AG116" s="491"/>
      <c r="AH116" s="490"/>
      <c r="AI116" s="633"/>
      <c r="AJ116" s="490"/>
      <c r="AK116" s="491"/>
      <c r="AL116" s="491"/>
      <c r="AM116" s="490"/>
      <c r="AN116" s="633"/>
      <c r="AO116" s="490"/>
      <c r="AP116" s="491"/>
      <c r="AQ116" s="491"/>
      <c r="AR116" s="490"/>
      <c r="AS116" s="633"/>
      <c r="AT116" s="490"/>
      <c r="AU116" s="491"/>
      <c r="AV116" s="491"/>
      <c r="AW116" s="490"/>
      <c r="AX116" s="633"/>
      <c r="AZ116" s="358" t="e">
        <f t="shared" si="56"/>
        <v>#N/A</v>
      </c>
      <c r="BA116" s="713"/>
    </row>
    <row r="117" spans="2:53">
      <c r="B117" s="672"/>
      <c r="C117" s="337">
        <v>11</v>
      </c>
      <c r="D117" s="220"/>
      <c r="E117" s="176"/>
      <c r="F117" s="342"/>
      <c r="G117" s="343"/>
      <c r="H117" s="651"/>
      <c r="I117" s="352" t="str">
        <f t="shared" si="53"/>
        <v>-</v>
      </c>
      <c r="J117" s="352" t="str">
        <f t="shared" si="54"/>
        <v>-</v>
      </c>
      <c r="K117" s="194" t="str">
        <f t="shared" si="55"/>
        <v>-</v>
      </c>
      <c r="L117" s="653"/>
      <c r="M117" s="338" t="e">
        <f>RANK(K117, K$67:$K$81)</f>
        <v>#VALUE!</v>
      </c>
      <c r="N117" s="637"/>
      <c r="O117" s="637"/>
      <c r="P117" s="490"/>
      <c r="Q117" s="491"/>
      <c r="R117" s="491"/>
      <c r="S117" s="490"/>
      <c r="T117" s="633"/>
      <c r="U117" s="490"/>
      <c r="V117" s="491"/>
      <c r="W117" s="491"/>
      <c r="X117" s="490"/>
      <c r="Y117" s="633"/>
      <c r="Z117" s="490"/>
      <c r="AA117" s="491"/>
      <c r="AB117" s="491"/>
      <c r="AC117" s="490"/>
      <c r="AD117" s="633"/>
      <c r="AE117" s="490"/>
      <c r="AF117" s="491"/>
      <c r="AG117" s="491"/>
      <c r="AH117" s="490"/>
      <c r="AI117" s="633"/>
      <c r="AJ117" s="490"/>
      <c r="AK117" s="491"/>
      <c r="AL117" s="491"/>
      <c r="AM117" s="490"/>
      <c r="AN117" s="633"/>
      <c r="AO117" s="490"/>
      <c r="AP117" s="491"/>
      <c r="AQ117" s="491"/>
      <c r="AR117" s="490"/>
      <c r="AS117" s="633"/>
      <c r="AT117" s="490"/>
      <c r="AU117" s="491"/>
      <c r="AV117" s="491"/>
      <c r="AW117" s="490"/>
      <c r="AX117" s="633"/>
      <c r="AZ117" s="358" t="e">
        <f t="shared" si="56"/>
        <v>#N/A</v>
      </c>
      <c r="BA117" s="713"/>
    </row>
    <row r="118" spans="2:53">
      <c r="B118" s="672"/>
      <c r="C118" s="337">
        <v>12</v>
      </c>
      <c r="D118" s="220"/>
      <c r="E118" s="176"/>
      <c r="F118" s="342"/>
      <c r="G118" s="343"/>
      <c r="H118" s="651"/>
      <c r="I118" s="352" t="str">
        <f t="shared" si="53"/>
        <v>-</v>
      </c>
      <c r="J118" s="352" t="str">
        <f t="shared" si="54"/>
        <v>-</v>
      </c>
      <c r="K118" s="194" t="str">
        <f t="shared" si="55"/>
        <v>-</v>
      </c>
      <c r="L118" s="653"/>
      <c r="M118" s="338" t="e">
        <f>RANK(K118, K$67:$K$81)</f>
        <v>#VALUE!</v>
      </c>
      <c r="N118" s="637"/>
      <c r="O118" s="637"/>
      <c r="P118" s="490"/>
      <c r="Q118" s="491"/>
      <c r="R118" s="491"/>
      <c r="S118" s="490"/>
      <c r="T118" s="633"/>
      <c r="U118" s="490"/>
      <c r="V118" s="491"/>
      <c r="W118" s="491"/>
      <c r="X118" s="490"/>
      <c r="Y118" s="633"/>
      <c r="Z118" s="490"/>
      <c r="AA118" s="491"/>
      <c r="AB118" s="491"/>
      <c r="AC118" s="490"/>
      <c r="AD118" s="633"/>
      <c r="AE118" s="490"/>
      <c r="AF118" s="491"/>
      <c r="AG118" s="491"/>
      <c r="AH118" s="490"/>
      <c r="AI118" s="633"/>
      <c r="AJ118" s="490"/>
      <c r="AK118" s="491"/>
      <c r="AL118" s="491"/>
      <c r="AM118" s="490"/>
      <c r="AN118" s="633"/>
      <c r="AO118" s="490"/>
      <c r="AP118" s="491"/>
      <c r="AQ118" s="491"/>
      <c r="AR118" s="490"/>
      <c r="AS118" s="633"/>
      <c r="AT118" s="490"/>
      <c r="AU118" s="491"/>
      <c r="AV118" s="491"/>
      <c r="AW118" s="490"/>
      <c r="AX118" s="633"/>
      <c r="AZ118" s="358" t="e">
        <f t="shared" si="56"/>
        <v>#N/A</v>
      </c>
      <c r="BA118" s="713"/>
    </row>
    <row r="119" spans="2:53">
      <c r="B119" s="672"/>
      <c r="C119" s="337">
        <v>13</v>
      </c>
      <c r="D119" s="220"/>
      <c r="E119" s="176"/>
      <c r="F119" s="342"/>
      <c r="G119" s="343"/>
      <c r="H119" s="651"/>
      <c r="I119" s="352" t="str">
        <f t="shared" si="53"/>
        <v>-</v>
      </c>
      <c r="J119" s="352" t="str">
        <f t="shared" si="54"/>
        <v>-</v>
      </c>
      <c r="K119" s="194" t="str">
        <f t="shared" si="55"/>
        <v>-</v>
      </c>
      <c r="L119" s="653"/>
      <c r="M119" s="338" t="e">
        <f>RANK(K119, K$67:$K$81)</f>
        <v>#VALUE!</v>
      </c>
      <c r="N119" s="637"/>
      <c r="O119" s="637"/>
      <c r="P119" s="490"/>
      <c r="Q119" s="491"/>
      <c r="R119" s="491"/>
      <c r="S119" s="490"/>
      <c r="T119" s="633"/>
      <c r="U119" s="490"/>
      <c r="V119" s="491"/>
      <c r="W119" s="491"/>
      <c r="X119" s="490"/>
      <c r="Y119" s="633"/>
      <c r="Z119" s="490"/>
      <c r="AA119" s="491"/>
      <c r="AB119" s="491"/>
      <c r="AC119" s="490"/>
      <c r="AD119" s="633"/>
      <c r="AE119" s="490"/>
      <c r="AF119" s="491"/>
      <c r="AG119" s="491"/>
      <c r="AH119" s="490"/>
      <c r="AI119" s="633"/>
      <c r="AJ119" s="490"/>
      <c r="AK119" s="491"/>
      <c r="AL119" s="491"/>
      <c r="AM119" s="490"/>
      <c r="AN119" s="633"/>
      <c r="AO119" s="490"/>
      <c r="AP119" s="491"/>
      <c r="AQ119" s="491"/>
      <c r="AR119" s="490"/>
      <c r="AS119" s="633"/>
      <c r="AT119" s="490"/>
      <c r="AU119" s="491"/>
      <c r="AV119" s="491"/>
      <c r="AW119" s="490"/>
      <c r="AX119" s="633"/>
      <c r="AZ119" s="358" t="e">
        <f t="shared" si="56"/>
        <v>#N/A</v>
      </c>
      <c r="BA119" s="713"/>
    </row>
    <row r="120" spans="2:53">
      <c r="B120" s="672"/>
      <c r="C120" s="337">
        <v>14</v>
      </c>
      <c r="D120" s="220"/>
      <c r="E120" s="176"/>
      <c r="F120" s="342"/>
      <c r="G120" s="343"/>
      <c r="H120" s="651"/>
      <c r="I120" s="352" t="str">
        <f t="shared" si="53"/>
        <v>-</v>
      </c>
      <c r="J120" s="352" t="str">
        <f t="shared" si="54"/>
        <v>-</v>
      </c>
      <c r="K120" s="194" t="str">
        <f t="shared" si="55"/>
        <v>-</v>
      </c>
      <c r="L120" s="653"/>
      <c r="M120" s="338" t="e">
        <f>RANK(K120, K$67:$K$81)</f>
        <v>#VALUE!</v>
      </c>
      <c r="N120" s="637"/>
      <c r="O120" s="637"/>
      <c r="P120" s="490"/>
      <c r="Q120" s="491"/>
      <c r="R120" s="491"/>
      <c r="S120" s="490"/>
      <c r="T120" s="633"/>
      <c r="U120" s="490"/>
      <c r="V120" s="491"/>
      <c r="W120" s="491"/>
      <c r="X120" s="490"/>
      <c r="Y120" s="633"/>
      <c r="Z120" s="490"/>
      <c r="AA120" s="491"/>
      <c r="AB120" s="491"/>
      <c r="AC120" s="490"/>
      <c r="AD120" s="633"/>
      <c r="AE120" s="490"/>
      <c r="AF120" s="491"/>
      <c r="AG120" s="491"/>
      <c r="AH120" s="490"/>
      <c r="AI120" s="633"/>
      <c r="AJ120" s="490"/>
      <c r="AK120" s="491"/>
      <c r="AL120" s="491"/>
      <c r="AM120" s="490"/>
      <c r="AN120" s="633"/>
      <c r="AO120" s="490"/>
      <c r="AP120" s="491"/>
      <c r="AQ120" s="491"/>
      <c r="AR120" s="490"/>
      <c r="AS120" s="633"/>
      <c r="AT120" s="490"/>
      <c r="AU120" s="491"/>
      <c r="AV120" s="491"/>
      <c r="AW120" s="490"/>
      <c r="AX120" s="633"/>
      <c r="AZ120" s="358" t="e">
        <f t="shared" si="56"/>
        <v>#N/A</v>
      </c>
      <c r="BA120" s="713"/>
    </row>
    <row r="121" spans="2:53">
      <c r="B121" s="672"/>
      <c r="C121" s="337">
        <v>15</v>
      </c>
      <c r="D121" s="220"/>
      <c r="E121" s="176"/>
      <c r="F121" s="342"/>
      <c r="G121" s="343"/>
      <c r="H121" s="708"/>
      <c r="I121" s="354"/>
      <c r="J121" s="354"/>
      <c r="K121" s="354"/>
      <c r="L121" s="654"/>
      <c r="M121" s="338" t="e">
        <f>RANK(K121, K$67:$K$81)</f>
        <v>#N/A</v>
      </c>
      <c r="N121" s="637"/>
      <c r="O121" s="637"/>
      <c r="P121" s="490"/>
      <c r="Q121" s="491"/>
      <c r="R121" s="491"/>
      <c r="S121" s="490"/>
      <c r="T121" s="634"/>
      <c r="U121" s="490"/>
      <c r="V121" s="491"/>
      <c r="W121" s="491"/>
      <c r="X121" s="490"/>
      <c r="Y121" s="634"/>
      <c r="Z121" s="490"/>
      <c r="AA121" s="491"/>
      <c r="AB121" s="491"/>
      <c r="AC121" s="490"/>
      <c r="AD121" s="634"/>
      <c r="AE121" s="490"/>
      <c r="AF121" s="491"/>
      <c r="AG121" s="491"/>
      <c r="AH121" s="490"/>
      <c r="AI121" s="634"/>
      <c r="AJ121" s="490"/>
      <c r="AK121" s="491"/>
      <c r="AL121" s="491"/>
      <c r="AM121" s="490"/>
      <c r="AN121" s="634"/>
      <c r="AO121" s="490"/>
      <c r="AP121" s="491"/>
      <c r="AQ121" s="491"/>
      <c r="AR121" s="490"/>
      <c r="AS121" s="634"/>
      <c r="AT121" s="490"/>
      <c r="AU121" s="491"/>
      <c r="AV121" s="491"/>
      <c r="AW121" s="490"/>
      <c r="AX121" s="634"/>
      <c r="AZ121" s="358" t="e">
        <f t="shared" si="56"/>
        <v>#N/A</v>
      </c>
      <c r="BA121" s="713"/>
    </row>
    <row r="123" spans="2:53" ht="15.75">
      <c r="B123" s="645" t="s">
        <v>476</v>
      </c>
      <c r="C123" s="646"/>
      <c r="D123" s="646"/>
      <c r="E123" s="646"/>
      <c r="F123" s="646"/>
      <c r="G123" s="646"/>
      <c r="H123" s="647"/>
      <c r="I123" s="299"/>
      <c r="J123" s="299"/>
      <c r="K123" s="299"/>
      <c r="L123" s="299"/>
      <c r="M123" s="300"/>
    </row>
    <row r="124" spans="2:53" ht="15.75">
      <c r="B124" s="648"/>
      <c r="C124" s="648"/>
      <c r="D124" s="648"/>
      <c r="E124" s="648"/>
      <c r="F124" s="648"/>
      <c r="G124" s="648"/>
      <c r="H124" s="648"/>
      <c r="I124" s="301"/>
      <c r="J124" s="301"/>
      <c r="K124" s="301"/>
      <c r="L124" s="301"/>
      <c r="M124" s="302"/>
    </row>
    <row r="125" spans="2:53">
      <c r="B125" s="637" t="s">
        <v>154</v>
      </c>
      <c r="C125" s="637" t="s">
        <v>370</v>
      </c>
      <c r="D125" s="637"/>
      <c r="E125" s="637" t="s">
        <v>361</v>
      </c>
      <c r="F125" s="637"/>
      <c r="G125" s="637"/>
      <c r="H125" s="669" t="s">
        <v>357</v>
      </c>
      <c r="I125" s="649" t="s">
        <v>362</v>
      </c>
      <c r="J125" s="649"/>
      <c r="K125" s="649"/>
      <c r="L125" s="702" t="s">
        <v>357</v>
      </c>
      <c r="M125" s="705" t="s">
        <v>358</v>
      </c>
    </row>
    <row r="126" spans="2:53">
      <c r="B126" s="637"/>
      <c r="C126" s="637"/>
      <c r="D126" s="637"/>
      <c r="E126" s="637" t="s">
        <v>364</v>
      </c>
      <c r="F126" s="637"/>
      <c r="G126" s="637"/>
      <c r="H126" s="670"/>
      <c r="I126" s="649" t="s">
        <v>364</v>
      </c>
      <c r="J126" s="649"/>
      <c r="K126" s="649"/>
      <c r="L126" s="703"/>
      <c r="M126" s="706"/>
    </row>
    <row r="127" spans="2:53">
      <c r="B127" s="637"/>
      <c r="C127" s="637"/>
      <c r="D127" s="637"/>
      <c r="E127" s="296" t="s">
        <v>366</v>
      </c>
      <c r="F127" s="296" t="s">
        <v>367</v>
      </c>
      <c r="G127" s="296" t="s">
        <v>368</v>
      </c>
      <c r="H127" s="671"/>
      <c r="I127" s="303" t="s">
        <v>366</v>
      </c>
      <c r="J127" s="303" t="s">
        <v>367</v>
      </c>
      <c r="K127" s="303" t="s">
        <v>368</v>
      </c>
      <c r="L127" s="704"/>
      <c r="M127" s="707"/>
    </row>
    <row r="128" spans="2:53">
      <c r="B128" s="637" t="s">
        <v>372</v>
      </c>
      <c r="C128" s="295">
        <v>1</v>
      </c>
      <c r="D128" s="220"/>
      <c r="E128" s="176"/>
      <c r="F128" s="295"/>
      <c r="G128" s="298"/>
      <c r="H128" s="696" t="e">
        <f>AVERAGE(G128:G142)</f>
        <v>#DIV/0!</v>
      </c>
      <c r="I128" s="193" t="e">
        <f t="shared" ref="I128:J137" si="57">AVERAGEIF($D$7:$D$121,$D128,I$7:I$121)</f>
        <v>#DIV/0!</v>
      </c>
      <c r="J128" s="193" t="e">
        <f t="shared" si="57"/>
        <v>#DIV/0!</v>
      </c>
      <c r="K128" s="193" t="e">
        <f t="shared" ref="K128:K137" si="58">AVERAGEIF($D$7:$D$121,$D128,K$7:K$121)</f>
        <v>#DIV/0!</v>
      </c>
      <c r="L128" s="699" t="e">
        <f>AVERAGE(K128:K142)</f>
        <v>#DIV/0!</v>
      </c>
      <c r="M128" s="193" t="e">
        <f>RANK(K128, K$128:$K$142)</f>
        <v>#DIV/0!</v>
      </c>
    </row>
    <row r="129" spans="2:39">
      <c r="B129" s="643"/>
      <c r="C129" s="295">
        <v>2</v>
      </c>
      <c r="D129" s="220"/>
      <c r="E129" s="176"/>
      <c r="F129" s="295"/>
      <c r="G129" s="298"/>
      <c r="H129" s="697"/>
      <c r="I129" s="193" t="e">
        <f t="shared" si="57"/>
        <v>#DIV/0!</v>
      </c>
      <c r="J129" s="193" t="e">
        <f t="shared" si="57"/>
        <v>#DIV/0!</v>
      </c>
      <c r="K129" s="193" t="e">
        <f t="shared" si="58"/>
        <v>#DIV/0!</v>
      </c>
      <c r="L129" s="700"/>
      <c r="M129" s="193" t="e">
        <f>RANK(K129, K$128:$K$142)</f>
        <v>#DIV/0!</v>
      </c>
      <c r="N129" s="107"/>
      <c r="O129" s="107"/>
      <c r="P129" s="107"/>
      <c r="Q129" s="107"/>
      <c r="R129" s="107"/>
      <c r="S129" s="107"/>
      <c r="T129" s="107"/>
      <c r="X129" s="107"/>
      <c r="AC129" s="107"/>
      <c r="AH129" s="107"/>
      <c r="AM129" s="107"/>
    </row>
    <row r="130" spans="2:39">
      <c r="B130" s="643"/>
      <c r="C130" s="295">
        <v>3</v>
      </c>
      <c r="D130" s="220"/>
      <c r="E130" s="176"/>
      <c r="F130" s="295"/>
      <c r="G130" s="298"/>
      <c r="H130" s="697"/>
      <c r="I130" s="193" t="e">
        <f t="shared" si="57"/>
        <v>#DIV/0!</v>
      </c>
      <c r="J130" s="193" t="e">
        <f t="shared" si="57"/>
        <v>#DIV/0!</v>
      </c>
      <c r="K130" s="193" t="e">
        <f t="shared" si="58"/>
        <v>#DIV/0!</v>
      </c>
      <c r="L130" s="700"/>
      <c r="M130" s="193" t="e">
        <f>RANK(K130, K$128:$K$142)</f>
        <v>#DIV/0!</v>
      </c>
      <c r="N130" s="107"/>
      <c r="O130" s="107"/>
      <c r="P130" s="107"/>
      <c r="Q130" s="107"/>
      <c r="R130" s="107"/>
      <c r="S130" s="107"/>
      <c r="T130" s="107"/>
      <c r="X130" s="107"/>
      <c r="AC130" s="107"/>
      <c r="AH130" s="107"/>
      <c r="AM130" s="107"/>
    </row>
    <row r="131" spans="2:39">
      <c r="B131" s="643"/>
      <c r="C131" s="295">
        <v>4</v>
      </c>
      <c r="D131" s="220"/>
      <c r="E131" s="176"/>
      <c r="F131" s="295"/>
      <c r="G131" s="298"/>
      <c r="H131" s="697"/>
      <c r="I131" s="193" t="e">
        <f t="shared" si="57"/>
        <v>#DIV/0!</v>
      </c>
      <c r="J131" s="193" t="e">
        <f t="shared" si="57"/>
        <v>#DIV/0!</v>
      </c>
      <c r="K131" s="193" t="e">
        <f t="shared" si="58"/>
        <v>#DIV/0!</v>
      </c>
      <c r="L131" s="700"/>
      <c r="M131" s="193" t="e">
        <f>RANK(K131, K$128:$K$142)</f>
        <v>#DIV/0!</v>
      </c>
      <c r="N131" s="107"/>
      <c r="O131" s="107"/>
      <c r="P131" s="107"/>
      <c r="Q131" s="107"/>
      <c r="R131" s="107"/>
      <c r="S131" s="107"/>
      <c r="T131" s="107"/>
      <c r="X131" s="107"/>
      <c r="AC131" s="107"/>
      <c r="AH131" s="107"/>
      <c r="AM131" s="107"/>
    </row>
    <row r="132" spans="2:39">
      <c r="B132" s="643"/>
      <c r="C132" s="295">
        <v>5</v>
      </c>
      <c r="D132" s="220"/>
      <c r="E132" s="176"/>
      <c r="F132" s="295"/>
      <c r="G132" s="298"/>
      <c r="H132" s="697"/>
      <c r="I132" s="193" t="e">
        <f t="shared" si="57"/>
        <v>#DIV/0!</v>
      </c>
      <c r="J132" s="193" t="e">
        <f t="shared" si="57"/>
        <v>#DIV/0!</v>
      </c>
      <c r="K132" s="193" t="e">
        <f t="shared" si="58"/>
        <v>#DIV/0!</v>
      </c>
      <c r="L132" s="700"/>
      <c r="M132" s="193" t="e">
        <f>RANK(K132, K$128:$K$142)</f>
        <v>#DIV/0!</v>
      </c>
      <c r="N132" s="107"/>
      <c r="O132" s="107"/>
      <c r="P132" s="107"/>
      <c r="Q132" s="107"/>
      <c r="R132" s="107"/>
      <c r="S132" s="107"/>
      <c r="T132" s="107"/>
      <c r="X132" s="107"/>
      <c r="AC132" s="107"/>
      <c r="AH132" s="107"/>
      <c r="AM132" s="107"/>
    </row>
    <row r="133" spans="2:39">
      <c r="B133" s="643"/>
      <c r="C133" s="295">
        <v>6</v>
      </c>
      <c r="D133" s="304"/>
      <c r="E133" s="176"/>
      <c r="F133" s="295"/>
      <c r="G133" s="298"/>
      <c r="H133" s="697"/>
      <c r="I133" s="193" t="e">
        <f t="shared" si="57"/>
        <v>#DIV/0!</v>
      </c>
      <c r="J133" s="193" t="e">
        <f t="shared" si="57"/>
        <v>#DIV/0!</v>
      </c>
      <c r="K133" s="193" t="e">
        <f t="shared" si="58"/>
        <v>#DIV/0!</v>
      </c>
      <c r="L133" s="700"/>
      <c r="M133" s="193" t="e">
        <f>RANK(K133, K$128:$K$142)</f>
        <v>#DIV/0!</v>
      </c>
      <c r="N133" s="107"/>
      <c r="O133" s="107"/>
      <c r="P133" s="107"/>
      <c r="Q133" s="107"/>
      <c r="R133" s="107"/>
      <c r="S133" s="107"/>
      <c r="T133" s="107"/>
      <c r="X133" s="107"/>
      <c r="AC133" s="107"/>
      <c r="AH133" s="107"/>
      <c r="AM133" s="107"/>
    </row>
    <row r="134" spans="2:39">
      <c r="B134" s="643"/>
      <c r="C134" s="295">
        <v>7</v>
      </c>
      <c r="D134" s="220"/>
      <c r="E134" s="176"/>
      <c r="F134" s="295"/>
      <c r="G134" s="298"/>
      <c r="H134" s="697"/>
      <c r="I134" s="193" t="e">
        <f t="shared" si="57"/>
        <v>#DIV/0!</v>
      </c>
      <c r="J134" s="193" t="e">
        <f t="shared" si="57"/>
        <v>#DIV/0!</v>
      </c>
      <c r="K134" s="193" t="e">
        <f t="shared" si="58"/>
        <v>#DIV/0!</v>
      </c>
      <c r="L134" s="700"/>
      <c r="M134" s="193" t="e">
        <f>RANK(K134, K$128:$K$142)</f>
        <v>#DIV/0!</v>
      </c>
      <c r="N134" s="107"/>
      <c r="O134" s="107"/>
      <c r="P134" s="107"/>
      <c r="Q134" s="107"/>
      <c r="R134" s="107"/>
      <c r="S134" s="107"/>
      <c r="T134" s="107"/>
      <c r="X134" s="107"/>
      <c r="AC134" s="107"/>
      <c r="AH134" s="107"/>
      <c r="AM134" s="107"/>
    </row>
    <row r="135" spans="2:39">
      <c r="B135" s="643"/>
      <c r="C135" s="295">
        <v>8</v>
      </c>
      <c r="D135" s="220"/>
      <c r="E135" s="176"/>
      <c r="F135" s="295"/>
      <c r="G135" s="298"/>
      <c r="H135" s="697"/>
      <c r="I135" s="193" t="e">
        <f t="shared" si="57"/>
        <v>#DIV/0!</v>
      </c>
      <c r="J135" s="193" t="e">
        <f t="shared" si="57"/>
        <v>#DIV/0!</v>
      </c>
      <c r="K135" s="193" t="e">
        <f t="shared" si="58"/>
        <v>#DIV/0!</v>
      </c>
      <c r="L135" s="700"/>
      <c r="M135" s="193" t="e">
        <f>RANK(K135, K$128:$K$142)</f>
        <v>#DIV/0!</v>
      </c>
      <c r="N135" s="107"/>
      <c r="O135" s="107"/>
      <c r="P135" s="107"/>
      <c r="Q135" s="107"/>
      <c r="R135" s="107"/>
      <c r="S135" s="107"/>
      <c r="T135" s="107"/>
      <c r="X135" s="107"/>
      <c r="AC135" s="107"/>
      <c r="AH135" s="107"/>
      <c r="AM135" s="107"/>
    </row>
    <row r="136" spans="2:39">
      <c r="B136" s="643"/>
      <c r="C136" s="295">
        <v>9</v>
      </c>
      <c r="D136" s="220"/>
      <c r="E136" s="295"/>
      <c r="F136" s="295"/>
      <c r="G136" s="295"/>
      <c r="H136" s="697"/>
      <c r="I136" s="193" t="e">
        <f t="shared" si="57"/>
        <v>#DIV/0!</v>
      </c>
      <c r="J136" s="193" t="e">
        <f t="shared" si="57"/>
        <v>#DIV/0!</v>
      </c>
      <c r="K136" s="193" t="e">
        <f t="shared" si="58"/>
        <v>#DIV/0!</v>
      </c>
      <c r="L136" s="700"/>
      <c r="M136" s="193" t="e">
        <f>RANK(K136, K$128:$K$142)</f>
        <v>#DIV/0!</v>
      </c>
      <c r="N136" s="107"/>
      <c r="O136" s="107"/>
      <c r="P136" s="107"/>
      <c r="Q136" s="107"/>
      <c r="R136" s="107"/>
      <c r="S136" s="107"/>
      <c r="T136" s="107"/>
      <c r="X136" s="107"/>
      <c r="AC136" s="107"/>
      <c r="AH136" s="107"/>
      <c r="AM136" s="107"/>
    </row>
    <row r="137" spans="2:39">
      <c r="B137" s="643"/>
      <c r="C137" s="295">
        <v>10</v>
      </c>
      <c r="D137" s="220"/>
      <c r="E137" s="295"/>
      <c r="F137" s="295"/>
      <c r="G137" s="295"/>
      <c r="H137" s="697"/>
      <c r="I137" s="193" t="e">
        <f t="shared" si="57"/>
        <v>#DIV/0!</v>
      </c>
      <c r="J137" s="193" t="e">
        <f t="shared" si="57"/>
        <v>#DIV/0!</v>
      </c>
      <c r="K137" s="193" t="e">
        <f t="shared" si="58"/>
        <v>#DIV/0!</v>
      </c>
      <c r="L137" s="700"/>
      <c r="M137" s="193" t="e">
        <f>RANK(K137, K$128:$K$142)</f>
        <v>#DIV/0!</v>
      </c>
      <c r="N137" s="107"/>
      <c r="O137" s="107"/>
      <c r="P137" s="107"/>
      <c r="Q137" s="107"/>
      <c r="R137" s="107"/>
      <c r="S137" s="107"/>
      <c r="T137" s="107"/>
      <c r="X137" s="107"/>
      <c r="AC137" s="107"/>
      <c r="AH137" s="107"/>
      <c r="AM137" s="107"/>
    </row>
    <row r="138" spans="2:39">
      <c r="B138" s="643"/>
      <c r="C138" s="295">
        <v>11</v>
      </c>
      <c r="D138" s="220"/>
      <c r="E138" s="295"/>
      <c r="F138" s="295"/>
      <c r="G138" s="295"/>
      <c r="H138" s="697"/>
      <c r="I138" s="193"/>
      <c r="J138" s="193"/>
      <c r="K138" s="193"/>
      <c r="L138" s="700"/>
      <c r="M138" s="193" t="e">
        <f>RANK(K138, K$128:$K$142)</f>
        <v>#DIV/0!</v>
      </c>
      <c r="N138" s="107"/>
      <c r="O138" s="107"/>
      <c r="P138" s="107"/>
      <c r="Q138" s="107"/>
      <c r="R138" s="107"/>
      <c r="S138" s="107"/>
      <c r="T138" s="107"/>
      <c r="X138" s="107"/>
      <c r="AC138" s="107"/>
      <c r="AH138" s="107"/>
      <c r="AM138" s="107"/>
    </row>
    <row r="139" spans="2:39">
      <c r="B139" s="643"/>
      <c r="C139" s="295">
        <v>12</v>
      </c>
      <c r="D139" s="220"/>
      <c r="E139" s="295"/>
      <c r="F139" s="295"/>
      <c r="G139" s="295"/>
      <c r="H139" s="697"/>
      <c r="I139" s="193"/>
      <c r="J139" s="193"/>
      <c r="K139" s="193"/>
      <c r="L139" s="700"/>
      <c r="M139" s="193" t="e">
        <f>RANK(K139, K$128:$K$142)</f>
        <v>#DIV/0!</v>
      </c>
      <c r="N139" s="107"/>
      <c r="O139" s="107"/>
      <c r="P139" s="107"/>
      <c r="Q139" s="107"/>
      <c r="R139" s="107"/>
      <c r="S139" s="107"/>
      <c r="T139" s="107"/>
      <c r="X139" s="107"/>
      <c r="AC139" s="107"/>
      <c r="AH139" s="107"/>
      <c r="AM139" s="107"/>
    </row>
    <row r="140" spans="2:39">
      <c r="B140" s="643"/>
      <c r="C140" s="295">
        <v>13</v>
      </c>
      <c r="D140" s="220"/>
      <c r="E140" s="295"/>
      <c r="F140" s="295"/>
      <c r="G140" s="295"/>
      <c r="H140" s="697"/>
      <c r="I140" s="193"/>
      <c r="J140" s="193"/>
      <c r="K140" s="193"/>
      <c r="L140" s="700"/>
      <c r="M140" s="193" t="e">
        <f>RANK(K140, K$128:$K$142)</f>
        <v>#DIV/0!</v>
      </c>
      <c r="N140" s="107"/>
      <c r="O140" s="107"/>
      <c r="P140" s="107"/>
      <c r="Q140" s="107"/>
      <c r="R140" s="107"/>
      <c r="S140" s="107"/>
      <c r="T140" s="107"/>
      <c r="X140" s="107"/>
      <c r="AC140" s="107"/>
      <c r="AH140" s="107"/>
      <c r="AM140" s="107"/>
    </row>
    <row r="141" spans="2:39">
      <c r="B141" s="643"/>
      <c r="C141" s="295">
        <v>14</v>
      </c>
      <c r="D141" s="220"/>
      <c r="E141" s="295"/>
      <c r="F141" s="295"/>
      <c r="G141" s="295"/>
      <c r="H141" s="697"/>
      <c r="I141" s="193"/>
      <c r="J141" s="193"/>
      <c r="K141" s="193"/>
      <c r="L141" s="700"/>
      <c r="M141" s="193" t="e">
        <f>RANK(K141, K$128:$K$142)</f>
        <v>#DIV/0!</v>
      </c>
      <c r="N141" s="107"/>
      <c r="O141" s="107"/>
      <c r="P141" s="107"/>
      <c r="Q141" s="107"/>
      <c r="R141" s="107"/>
      <c r="S141" s="107"/>
      <c r="T141" s="107"/>
      <c r="X141" s="107"/>
      <c r="AC141" s="107"/>
      <c r="AH141" s="107"/>
      <c r="AM141" s="107"/>
    </row>
    <row r="142" spans="2:39">
      <c r="B142" s="643"/>
      <c r="C142" s="295">
        <v>15</v>
      </c>
      <c r="D142" s="220"/>
      <c r="E142" s="295"/>
      <c r="F142" s="295"/>
      <c r="G142" s="295"/>
      <c r="H142" s="698"/>
      <c r="I142" s="193"/>
      <c r="J142" s="193"/>
      <c r="K142" s="193"/>
      <c r="L142" s="701"/>
      <c r="M142" s="193" t="e">
        <f>RANK(K142, K$128:$K$142)</f>
        <v>#DIV/0!</v>
      </c>
      <c r="N142" s="107"/>
      <c r="O142" s="107"/>
      <c r="P142" s="107"/>
      <c r="Q142" s="107"/>
      <c r="R142" s="107"/>
      <c r="S142" s="107"/>
      <c r="T142" s="107"/>
      <c r="X142" s="107"/>
      <c r="AC142" s="107"/>
      <c r="AH142" s="107"/>
      <c r="AM142" s="107"/>
    </row>
  </sheetData>
  <mergeCells count="379">
    <mergeCell ref="BA87:BA101"/>
    <mergeCell ref="BA104:BA106"/>
    <mergeCell ref="BA107:BA121"/>
    <mergeCell ref="BA4:BA6"/>
    <mergeCell ref="BA7:BA21"/>
    <mergeCell ref="BA24:BA26"/>
    <mergeCell ref="BA27:BA41"/>
    <mergeCell ref="BA44:BA46"/>
    <mergeCell ref="BA47:BA61"/>
    <mergeCell ref="BA64:BA66"/>
    <mergeCell ref="BA67:BA81"/>
    <mergeCell ref="BA84:BA86"/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B128:B142"/>
    <mergeCell ref="H128:H142"/>
    <mergeCell ref="L128:L142"/>
    <mergeCell ref="AX107:AX121"/>
    <mergeCell ref="B123:H124"/>
    <mergeCell ref="B125:B127"/>
    <mergeCell ref="C125:D127"/>
    <mergeCell ref="E125:G125"/>
    <mergeCell ref="H125:H127"/>
    <mergeCell ref="I125:K125"/>
    <mergeCell ref="L125:L127"/>
    <mergeCell ref="M125:M127"/>
    <mergeCell ref="E126:G126"/>
    <mergeCell ref="I126:K126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</mergeCells>
  <phoneticPr fontId="13" type="noConversion"/>
  <pageMargins left="0.7" right="0.7" top="0.75" bottom="0.75" header="0.3" footer="0.3"/>
  <pageSetup paperSize="9" orientation="portrait" horizontalDpi="300" verticalDpi="3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FFFFCC"/>
  </sheetPr>
  <dimension ref="A1:BA142"/>
  <sheetViews>
    <sheetView zoomScale="40" zoomScaleNormal="40" workbookViewId="0">
      <pane xSplit="15" topLeftCell="P1" activePane="topRight" state="frozen"/>
      <selection activeCell="P3" sqref="P3:T3"/>
      <selection pane="topRight" activeCell="T27" sqref="S27:T41"/>
    </sheetView>
  </sheetViews>
  <sheetFormatPr defaultColWidth="8.85546875" defaultRowHeight="12.75"/>
  <cols>
    <col min="1" max="1" width="5.5703125" style="107" customWidth="1"/>
    <col min="2" max="2" width="12.42578125" style="107" customWidth="1"/>
    <col min="3" max="3" width="8.85546875" style="106"/>
    <col min="4" max="4" width="26.42578125" style="106" customWidth="1"/>
    <col min="5" max="7" width="8.42578125" style="106" customWidth="1"/>
    <col min="8" max="8" width="11.140625" style="106" bestFit="1" customWidth="1"/>
    <col min="9" max="12" width="11.140625" style="106" customWidth="1"/>
    <col min="13" max="13" width="13.5703125" style="106" customWidth="1"/>
    <col min="14" max="14" width="9.85546875" style="106" customWidth="1"/>
    <col min="15" max="15" width="7.140625" style="106" customWidth="1"/>
    <col min="16" max="18" width="12.85546875" style="106" customWidth="1"/>
    <col min="19" max="19" width="5.42578125" style="106" customWidth="1"/>
    <col min="20" max="20" width="12.85546875" style="106" customWidth="1"/>
    <col min="21" max="23" width="12.85546875" style="107" customWidth="1"/>
    <col min="24" max="24" width="5.42578125" style="106" customWidth="1"/>
    <col min="25" max="28" width="12.85546875" style="107" customWidth="1"/>
    <col min="29" max="29" width="5.42578125" style="106" customWidth="1"/>
    <col min="30" max="30" width="12.85546875" style="107" customWidth="1"/>
    <col min="31" max="33" width="12.5703125" style="107" customWidth="1"/>
    <col min="34" max="34" width="5.42578125" style="106" customWidth="1"/>
    <col min="35" max="35" width="13" style="107" customWidth="1"/>
    <col min="36" max="38" width="12.5703125" style="107" customWidth="1"/>
    <col min="39" max="39" width="5.42578125" style="106" customWidth="1"/>
    <col min="40" max="40" width="13" style="107" customWidth="1"/>
    <col min="41" max="43" width="13.140625" style="107" customWidth="1"/>
    <col min="44" max="44" width="5.42578125" style="107" customWidth="1"/>
    <col min="45" max="48" width="13.140625" style="107" customWidth="1"/>
    <col min="49" max="49" width="5.42578125" style="107" customWidth="1"/>
    <col min="50" max="50" width="13.140625" style="107" customWidth="1"/>
    <col min="51" max="51" width="8.85546875" style="107"/>
    <col min="52" max="52" width="5.42578125" style="107" customWidth="1"/>
    <col min="53" max="53" width="13.140625" style="107" customWidth="1"/>
    <col min="54" max="16384" width="8.85546875" style="107"/>
  </cols>
  <sheetData>
    <row r="1" spans="1:53" ht="24">
      <c r="A1" s="75"/>
      <c r="B1" s="215" t="s">
        <v>313</v>
      </c>
      <c r="C1" s="214">
        <f>AVERAGE(L7,L27,L47,L67,L87,L107)</f>
        <v>125.33722905890653</v>
      </c>
    </row>
    <row r="2" spans="1:53" ht="15.75">
      <c r="A2" s="81"/>
      <c r="B2" s="665" t="s">
        <v>162</v>
      </c>
      <c r="C2" s="665"/>
      <c r="D2" s="665"/>
      <c r="E2" s="665"/>
      <c r="F2" s="665"/>
      <c r="G2" s="665"/>
      <c r="H2" s="665"/>
      <c r="I2" s="276"/>
      <c r="J2" s="276"/>
      <c r="K2" s="276"/>
      <c r="L2" s="276"/>
      <c r="M2" s="191"/>
      <c r="N2" s="639" t="s">
        <v>156</v>
      </c>
      <c r="O2" s="639" t="s">
        <v>155</v>
      </c>
      <c r="P2" s="664">
        <v>46294</v>
      </c>
      <c r="Q2" s="643"/>
      <c r="R2" s="643"/>
      <c r="S2" s="643"/>
      <c r="T2" s="643"/>
      <c r="U2" s="661">
        <f>P2+1</f>
        <v>46295</v>
      </c>
      <c r="V2" s="662"/>
      <c r="W2" s="662"/>
      <c r="X2" s="662"/>
      <c r="Y2" s="663"/>
      <c r="Z2" s="661">
        <f>U2+1</f>
        <v>46296</v>
      </c>
      <c r="AA2" s="662"/>
      <c r="AB2" s="662"/>
      <c r="AC2" s="662"/>
      <c r="AD2" s="663"/>
      <c r="AE2" s="661">
        <f>Z2+1</f>
        <v>46297</v>
      </c>
      <c r="AF2" s="662"/>
      <c r="AG2" s="662"/>
      <c r="AH2" s="662"/>
      <c r="AI2" s="663"/>
      <c r="AJ2" s="661">
        <f>AE2+1</f>
        <v>46298</v>
      </c>
      <c r="AK2" s="662"/>
      <c r="AL2" s="662"/>
      <c r="AM2" s="662"/>
      <c r="AN2" s="663"/>
      <c r="AO2" s="661">
        <f>AJ2+1</f>
        <v>46299</v>
      </c>
      <c r="AP2" s="662"/>
      <c r="AQ2" s="662"/>
      <c r="AR2" s="662"/>
      <c r="AS2" s="663"/>
      <c r="AT2" s="661">
        <f>AO2+1</f>
        <v>46300</v>
      </c>
      <c r="AU2" s="662"/>
      <c r="AV2" s="662"/>
      <c r="AW2" s="662"/>
      <c r="AX2" s="663"/>
    </row>
    <row r="3" spans="1:53" ht="15.75">
      <c r="A3" s="81"/>
      <c r="B3" s="709"/>
      <c r="C3" s="709"/>
      <c r="D3" s="709"/>
      <c r="E3" s="709"/>
      <c r="F3" s="709"/>
      <c r="G3" s="709"/>
      <c r="H3" s="709"/>
      <c r="I3" s="277"/>
      <c r="J3" s="277"/>
      <c r="K3" s="277"/>
      <c r="L3" s="277"/>
      <c r="M3" s="192"/>
      <c r="N3" s="641"/>
      <c r="O3" s="641"/>
      <c r="P3" s="664" t="s">
        <v>158</v>
      </c>
      <c r="Q3" s="643"/>
      <c r="R3" s="643"/>
      <c r="S3" s="643"/>
      <c r="T3" s="643"/>
      <c r="U3" s="664" t="s">
        <v>114</v>
      </c>
      <c r="V3" s="643"/>
      <c r="W3" s="643"/>
      <c r="X3" s="643"/>
      <c r="Y3" s="643"/>
      <c r="Z3" s="664" t="s">
        <v>159</v>
      </c>
      <c r="AA3" s="643"/>
      <c r="AB3" s="643"/>
      <c r="AC3" s="643"/>
      <c r="AD3" s="643"/>
      <c r="AE3" s="664" t="s">
        <v>157</v>
      </c>
      <c r="AF3" s="643"/>
      <c r="AG3" s="643"/>
      <c r="AH3" s="643"/>
      <c r="AI3" s="643"/>
      <c r="AJ3" s="664" t="s">
        <v>160</v>
      </c>
      <c r="AK3" s="643"/>
      <c r="AL3" s="643"/>
      <c r="AM3" s="643"/>
      <c r="AN3" s="643"/>
      <c r="AO3" s="664" t="s">
        <v>115</v>
      </c>
      <c r="AP3" s="643"/>
      <c r="AQ3" s="643"/>
      <c r="AR3" s="643"/>
      <c r="AS3" s="643"/>
      <c r="AT3" s="664" t="s">
        <v>161</v>
      </c>
      <c r="AU3" s="643"/>
      <c r="AV3" s="643"/>
      <c r="AW3" s="643"/>
      <c r="AX3" s="643"/>
    </row>
    <row r="4" spans="1:53" ht="14.25">
      <c r="A4" s="81"/>
      <c r="B4" s="637" t="s">
        <v>743</v>
      </c>
      <c r="C4" s="637" t="s">
        <v>521</v>
      </c>
      <c r="D4" s="637"/>
      <c r="E4" s="637" t="s">
        <v>522</v>
      </c>
      <c r="F4" s="637"/>
      <c r="G4" s="637"/>
      <c r="H4" s="669" t="s">
        <v>523</v>
      </c>
      <c r="I4" s="637" t="s">
        <v>524</v>
      </c>
      <c r="J4" s="637"/>
      <c r="K4" s="637"/>
      <c r="L4" s="669" t="s">
        <v>357</v>
      </c>
      <c r="M4" s="639" t="s">
        <v>525</v>
      </c>
      <c r="N4" s="637"/>
      <c r="O4" s="637" t="s">
        <v>363</v>
      </c>
      <c r="P4" s="655" t="s">
        <v>359</v>
      </c>
      <c r="Q4" s="656"/>
      <c r="R4" s="656"/>
      <c r="S4" s="657"/>
      <c r="T4" s="637" t="s">
        <v>357</v>
      </c>
      <c r="U4" s="655" t="s">
        <v>359</v>
      </c>
      <c r="V4" s="656"/>
      <c r="W4" s="656"/>
      <c r="X4" s="657"/>
      <c r="Y4" s="637" t="s">
        <v>357</v>
      </c>
      <c r="Z4" s="655" t="s">
        <v>359</v>
      </c>
      <c r="AA4" s="656"/>
      <c r="AB4" s="656"/>
      <c r="AC4" s="657"/>
      <c r="AD4" s="637" t="s">
        <v>357</v>
      </c>
      <c r="AE4" s="655" t="s">
        <v>359</v>
      </c>
      <c r="AF4" s="656"/>
      <c r="AG4" s="656"/>
      <c r="AH4" s="657"/>
      <c r="AI4" s="637" t="s">
        <v>357</v>
      </c>
      <c r="AJ4" s="655" t="s">
        <v>359</v>
      </c>
      <c r="AK4" s="656"/>
      <c r="AL4" s="656"/>
      <c r="AM4" s="657"/>
      <c r="AN4" s="637" t="s">
        <v>357</v>
      </c>
      <c r="AO4" s="655" t="s">
        <v>359</v>
      </c>
      <c r="AP4" s="656"/>
      <c r="AQ4" s="656"/>
      <c r="AR4" s="657"/>
      <c r="AS4" s="637" t="s">
        <v>357</v>
      </c>
      <c r="AT4" s="655" t="s">
        <v>359</v>
      </c>
      <c r="AU4" s="656"/>
      <c r="AV4" s="656"/>
      <c r="AW4" s="657"/>
      <c r="AX4" s="637" t="s">
        <v>357</v>
      </c>
      <c r="BA4" s="637" t="s">
        <v>357</v>
      </c>
    </row>
    <row r="5" spans="1:53" ht="14.25">
      <c r="A5" s="81"/>
      <c r="B5" s="637"/>
      <c r="C5" s="637"/>
      <c r="D5" s="637"/>
      <c r="E5" s="637" t="s">
        <v>527</v>
      </c>
      <c r="F5" s="637"/>
      <c r="G5" s="637"/>
      <c r="H5" s="670"/>
      <c r="I5" s="637" t="s">
        <v>527</v>
      </c>
      <c r="J5" s="637"/>
      <c r="K5" s="637"/>
      <c r="L5" s="670"/>
      <c r="M5" s="640"/>
      <c r="N5" s="637"/>
      <c r="O5" s="637"/>
      <c r="P5" s="655" t="s">
        <v>365</v>
      </c>
      <c r="Q5" s="656"/>
      <c r="R5" s="656"/>
      <c r="S5" s="657"/>
      <c r="T5" s="637"/>
      <c r="U5" s="655" t="s">
        <v>365</v>
      </c>
      <c r="V5" s="656"/>
      <c r="W5" s="656"/>
      <c r="X5" s="657"/>
      <c r="Y5" s="637"/>
      <c r="Z5" s="655" t="s">
        <v>365</v>
      </c>
      <c r="AA5" s="656"/>
      <c r="AB5" s="656"/>
      <c r="AC5" s="657"/>
      <c r="AD5" s="637"/>
      <c r="AE5" s="655" t="s">
        <v>365</v>
      </c>
      <c r="AF5" s="656"/>
      <c r="AG5" s="656"/>
      <c r="AH5" s="657"/>
      <c r="AI5" s="637"/>
      <c r="AJ5" s="655" t="s">
        <v>365</v>
      </c>
      <c r="AK5" s="656"/>
      <c r="AL5" s="656"/>
      <c r="AM5" s="657"/>
      <c r="AN5" s="637"/>
      <c r="AO5" s="655" t="s">
        <v>365</v>
      </c>
      <c r="AP5" s="656"/>
      <c r="AQ5" s="656"/>
      <c r="AR5" s="657"/>
      <c r="AS5" s="637"/>
      <c r="AT5" s="655" t="s">
        <v>365</v>
      </c>
      <c r="AU5" s="656"/>
      <c r="AV5" s="656"/>
      <c r="AW5" s="657"/>
      <c r="AX5" s="637"/>
      <c r="BA5" s="637"/>
    </row>
    <row r="6" spans="1:53" ht="14.25">
      <c r="A6" s="79"/>
      <c r="B6" s="637"/>
      <c r="C6" s="637"/>
      <c r="D6" s="637"/>
      <c r="E6" s="551" t="s">
        <v>528</v>
      </c>
      <c r="F6" s="551" t="s">
        <v>529</v>
      </c>
      <c r="G6" s="551" t="s">
        <v>530</v>
      </c>
      <c r="H6" s="671"/>
      <c r="I6" s="551" t="s">
        <v>528</v>
      </c>
      <c r="J6" s="551" t="s">
        <v>529</v>
      </c>
      <c r="K6" s="551" t="s">
        <v>530</v>
      </c>
      <c r="L6" s="671"/>
      <c r="M6" s="641"/>
      <c r="N6" s="637"/>
      <c r="O6" s="637"/>
      <c r="P6" s="551" t="s">
        <v>366</v>
      </c>
      <c r="Q6" s="551" t="s">
        <v>367</v>
      </c>
      <c r="R6" s="551" t="s">
        <v>368</v>
      </c>
      <c r="S6" s="551" t="s">
        <v>358</v>
      </c>
      <c r="T6" s="637"/>
      <c r="U6" s="551" t="s">
        <v>366</v>
      </c>
      <c r="V6" s="551" t="s">
        <v>367</v>
      </c>
      <c r="W6" s="551" t="s">
        <v>368</v>
      </c>
      <c r="X6" s="551" t="s">
        <v>358</v>
      </c>
      <c r="Y6" s="637"/>
      <c r="Z6" s="551" t="s">
        <v>366</v>
      </c>
      <c r="AA6" s="551" t="s">
        <v>367</v>
      </c>
      <c r="AB6" s="551" t="s">
        <v>368</v>
      </c>
      <c r="AC6" s="551" t="s">
        <v>358</v>
      </c>
      <c r="AD6" s="637"/>
      <c r="AE6" s="551" t="s">
        <v>366</v>
      </c>
      <c r="AF6" s="551" t="s">
        <v>367</v>
      </c>
      <c r="AG6" s="551" t="s">
        <v>368</v>
      </c>
      <c r="AH6" s="551" t="s">
        <v>358</v>
      </c>
      <c r="AI6" s="637"/>
      <c r="AJ6" s="551" t="s">
        <v>366</v>
      </c>
      <c r="AK6" s="551" t="s">
        <v>367</v>
      </c>
      <c r="AL6" s="551" t="s">
        <v>368</v>
      </c>
      <c r="AM6" s="551" t="s">
        <v>358</v>
      </c>
      <c r="AN6" s="637"/>
      <c r="AO6" s="551" t="s">
        <v>366</v>
      </c>
      <c r="AP6" s="551" t="s">
        <v>367</v>
      </c>
      <c r="AQ6" s="551" t="s">
        <v>368</v>
      </c>
      <c r="AR6" s="551" t="s">
        <v>358</v>
      </c>
      <c r="AS6" s="637"/>
      <c r="AT6" s="551" t="s">
        <v>366</v>
      </c>
      <c r="AU6" s="551" t="s">
        <v>367</v>
      </c>
      <c r="AV6" s="551" t="s">
        <v>368</v>
      </c>
      <c r="AW6" s="551" t="s">
        <v>358</v>
      </c>
      <c r="AX6" s="637"/>
      <c r="AZ6" s="356" t="s">
        <v>358</v>
      </c>
      <c r="BA6" s="637"/>
    </row>
    <row r="7" spans="1:53" ht="14.25">
      <c r="A7" s="81"/>
      <c r="B7" s="637" t="s">
        <v>413</v>
      </c>
      <c r="C7" s="555">
        <v>1</v>
      </c>
      <c r="D7" s="220" t="s">
        <v>342</v>
      </c>
      <c r="E7" s="559">
        <v>20</v>
      </c>
      <c r="F7" s="553">
        <v>2400</v>
      </c>
      <c r="G7" s="552">
        <v>120</v>
      </c>
      <c r="H7" s="650">
        <f>AVERAGE(G7:G21)</f>
        <v>141.03193369453044</v>
      </c>
      <c r="I7" s="554">
        <f t="shared" ref="I7:I20" si="0">IFERROR(AVERAGE(P7,U7,Z7,AE7,AJ7,AO7,AT7),"-")</f>
        <v>20</v>
      </c>
      <c r="J7" s="554">
        <f t="shared" ref="J7:J20" si="1">IFERROR(AVERAGE(Q7,V7,AA7,AF7,AK7,AP7,AU7),"-")</f>
        <v>2256.1321657326639</v>
      </c>
      <c r="K7" s="194">
        <f t="shared" ref="K7:K20" si="2">IFERROR(AVERAGE(R7,W7,AB7,AG7,AL7,AQ7,AV7),"-")</f>
        <v>112.80660828663322</v>
      </c>
      <c r="L7" s="652">
        <f>IFERROR(AVERAGE(K7:K21),"-")</f>
        <v>125.42754444198121</v>
      </c>
      <c r="M7" s="471" t="e">
        <f>RANK(K7, K$87:$K$101)</f>
        <v>#N/A</v>
      </c>
      <c r="N7" s="637"/>
      <c r="O7" s="637"/>
      <c r="P7" s="553">
        <v>20</v>
      </c>
      <c r="Q7" s="559">
        <v>2238.375</v>
      </c>
      <c r="R7" s="559">
        <v>111.91875</v>
      </c>
      <c r="S7" s="553" t="e">
        <f t="shared" ref="S7:S21" si="3">RANK(R7, R$87:R$101)</f>
        <v>#N/A</v>
      </c>
      <c r="T7" s="638">
        <f t="shared" ref="T7" si="4">AVERAGE(R7:R21)</f>
        <v>124.71642921885474</v>
      </c>
      <c r="U7" s="553">
        <v>20</v>
      </c>
      <c r="V7" s="559">
        <v>2235.7222222222217</v>
      </c>
      <c r="W7" s="559">
        <v>111.78611111111108</v>
      </c>
      <c r="X7" s="553" t="e">
        <f t="shared" ref="X7:X21" si="5">RANK(W7, W$87:W$101)</f>
        <v>#N/A</v>
      </c>
      <c r="Y7" s="638">
        <f t="shared" ref="Y7" si="6">AVERAGE(W7:W21)</f>
        <v>125.70456506981462</v>
      </c>
      <c r="Z7" s="553">
        <v>20</v>
      </c>
      <c r="AA7" s="559">
        <v>2252.2784810126582</v>
      </c>
      <c r="AB7" s="559">
        <v>112.6139240506329</v>
      </c>
      <c r="AC7" s="553" t="e">
        <f t="shared" ref="AC7:AC21" si="7">RANK(AB7, AB$87:AB$101)</f>
        <v>#N/A</v>
      </c>
      <c r="AD7" s="638">
        <f t="shared" ref="AD7" si="8">AVERAGE(AB7:AB21)</f>
        <v>124.82556273616385</v>
      </c>
      <c r="AE7" s="553">
        <v>20</v>
      </c>
      <c r="AF7" s="559">
        <v>2248.0263157894733</v>
      </c>
      <c r="AG7" s="559">
        <v>112.40131578947367</v>
      </c>
      <c r="AH7" s="553" t="e">
        <f t="shared" ref="AH7:AH21" si="9">RANK(AG7, AG$87:AG$101)</f>
        <v>#N/A</v>
      </c>
      <c r="AI7" s="638">
        <f t="shared" ref="AI7" si="10">AVERAGE(AG7:AG21)</f>
        <v>125.13456633986266</v>
      </c>
      <c r="AJ7" s="553">
        <v>20</v>
      </c>
      <c r="AK7" s="559">
        <v>2231.7791411042949</v>
      </c>
      <c r="AL7" s="559">
        <v>111.58895705521475</v>
      </c>
      <c r="AM7" s="553" t="e">
        <f t="shared" ref="AM7:AM21" si="11">RANK(AL7, AL$87:AL$101)</f>
        <v>#N/A</v>
      </c>
      <c r="AN7" s="638">
        <f t="shared" ref="AN7" si="12">AVERAGE(AL7:AL21)</f>
        <v>125.83670807349965</v>
      </c>
      <c r="AO7" s="553">
        <v>20</v>
      </c>
      <c r="AP7" s="559">
        <v>2304.7439999999997</v>
      </c>
      <c r="AQ7" s="559">
        <v>115.23719999999999</v>
      </c>
      <c r="AR7" s="553" t="e">
        <f t="shared" ref="AR7:AR21" si="13">RANK(AQ7, AQ$87:AQ$101)</f>
        <v>#N/A</v>
      </c>
      <c r="AS7" s="638">
        <f t="shared" ref="AS7" si="14">AVERAGE(AQ7:AQ21)</f>
        <v>125.95836457174532</v>
      </c>
      <c r="AT7" s="553">
        <v>20</v>
      </c>
      <c r="AU7" s="559">
        <v>2282.0000000000009</v>
      </c>
      <c r="AV7" s="559">
        <v>114.10000000000005</v>
      </c>
      <c r="AW7" s="553" t="e">
        <f t="shared" ref="AW7:AW21" si="15">RANK(AV7, AV$87:AV$101)</f>
        <v>#N/A</v>
      </c>
      <c r="AX7" s="638">
        <f t="shared" ref="AX7" si="16">AVERAGE(AV7:AV21)</f>
        <v>125.81661508392764</v>
      </c>
      <c r="AZ7" s="358" t="e">
        <f t="shared" ref="AZ7:AZ21" si="17">RANK(AY7, AY$7:AY$21)</f>
        <v>#N/A</v>
      </c>
      <c r="BA7" s="694" t="e">
        <f t="shared" ref="BA7" si="18">AVERAGE(AY7:AY21)</f>
        <v>#DIV/0!</v>
      </c>
    </row>
    <row r="8" spans="1:53" ht="15" customHeight="1">
      <c r="A8" s="81"/>
      <c r="B8" s="643"/>
      <c r="C8" s="555">
        <v>2</v>
      </c>
      <c r="D8" s="220" t="s">
        <v>343</v>
      </c>
      <c r="E8" s="559">
        <v>18</v>
      </c>
      <c r="F8" s="553">
        <v>2769</v>
      </c>
      <c r="G8" s="552">
        <v>153.83333333333334</v>
      </c>
      <c r="H8" s="651"/>
      <c r="I8" s="554">
        <f t="shared" si="0"/>
        <v>18</v>
      </c>
      <c r="J8" s="554">
        <f t="shared" si="1"/>
        <v>2353.6384961014928</v>
      </c>
      <c r="K8" s="194">
        <f t="shared" si="2"/>
        <v>130.75769422786075</v>
      </c>
      <c r="L8" s="653"/>
      <c r="M8" s="471" t="e">
        <f>RANK(K8, K$87:$K$101)</f>
        <v>#N/A</v>
      </c>
      <c r="N8" s="637"/>
      <c r="O8" s="637"/>
      <c r="P8" s="553">
        <v>18</v>
      </c>
      <c r="Q8" s="559">
        <v>2347.4999999999964</v>
      </c>
      <c r="R8" s="559">
        <v>130.41666666666646</v>
      </c>
      <c r="S8" s="553" t="e">
        <f t="shared" si="3"/>
        <v>#N/A</v>
      </c>
      <c r="T8" s="638"/>
      <c r="U8" s="553">
        <v>18</v>
      </c>
      <c r="V8" s="559">
        <v>2373.3333333333335</v>
      </c>
      <c r="W8" s="559">
        <v>131.85185185185185</v>
      </c>
      <c r="X8" s="553" t="e">
        <f t="shared" si="5"/>
        <v>#N/A</v>
      </c>
      <c r="Y8" s="638"/>
      <c r="Z8" s="553">
        <v>18</v>
      </c>
      <c r="AA8" s="559">
        <v>2323.4042553191493</v>
      </c>
      <c r="AB8" s="559">
        <v>129.07801418439718</v>
      </c>
      <c r="AC8" s="553" t="e">
        <f t="shared" si="7"/>
        <v>#N/A</v>
      </c>
      <c r="AD8" s="638"/>
      <c r="AE8" s="553">
        <v>18</v>
      </c>
      <c r="AF8" s="559">
        <v>2346.666666666667</v>
      </c>
      <c r="AG8" s="559">
        <v>130.37037037037038</v>
      </c>
      <c r="AH8" s="553" t="e">
        <f t="shared" si="9"/>
        <v>#N/A</v>
      </c>
      <c r="AI8" s="638"/>
      <c r="AJ8" s="553">
        <v>18</v>
      </c>
      <c r="AK8" s="559">
        <v>2359.5652173913045</v>
      </c>
      <c r="AL8" s="559">
        <v>131.08695652173913</v>
      </c>
      <c r="AM8" s="553" t="e">
        <f t="shared" si="11"/>
        <v>#N/A</v>
      </c>
      <c r="AN8" s="638"/>
      <c r="AO8" s="553">
        <v>18</v>
      </c>
      <c r="AP8" s="559">
        <v>2370.0000000000009</v>
      </c>
      <c r="AQ8" s="559">
        <v>131.66666666666671</v>
      </c>
      <c r="AR8" s="553" t="e">
        <f t="shared" si="13"/>
        <v>#N/A</v>
      </c>
      <c r="AS8" s="638"/>
      <c r="AT8" s="553">
        <v>18</v>
      </c>
      <c r="AU8" s="559">
        <v>2355.0000000000009</v>
      </c>
      <c r="AV8" s="559">
        <v>130.83333333333337</v>
      </c>
      <c r="AW8" s="553" t="e">
        <f t="shared" si="15"/>
        <v>#N/A</v>
      </c>
      <c r="AX8" s="638"/>
      <c r="AZ8" s="358" t="e">
        <f t="shared" si="17"/>
        <v>#N/A</v>
      </c>
      <c r="BA8" s="694"/>
    </row>
    <row r="9" spans="1:53" ht="14.25">
      <c r="A9" s="81"/>
      <c r="B9" s="643"/>
      <c r="C9" s="555">
        <v>3</v>
      </c>
      <c r="D9" s="220" t="s">
        <v>344</v>
      </c>
      <c r="E9" s="559">
        <v>19</v>
      </c>
      <c r="F9" s="553">
        <v>2769</v>
      </c>
      <c r="G9" s="552">
        <v>145.73684210526315</v>
      </c>
      <c r="H9" s="651"/>
      <c r="I9" s="554">
        <f t="shared" si="0"/>
        <v>19</v>
      </c>
      <c r="J9" s="554">
        <f t="shared" si="1"/>
        <v>2441.9710709289307</v>
      </c>
      <c r="K9" s="194">
        <f t="shared" si="2"/>
        <v>128.5247932067858</v>
      </c>
      <c r="L9" s="653"/>
      <c r="M9" s="471" t="e">
        <f>RANK(K9, K$87:$K$101)</f>
        <v>#N/A</v>
      </c>
      <c r="N9" s="637"/>
      <c r="O9" s="637"/>
      <c r="P9" s="553">
        <v>19</v>
      </c>
      <c r="Q9" s="559">
        <v>2428.5245901639364</v>
      </c>
      <c r="R9" s="559">
        <v>127.81708369283876</v>
      </c>
      <c r="S9" s="553" t="e">
        <f t="shared" si="3"/>
        <v>#N/A</v>
      </c>
      <c r="T9" s="638"/>
      <c r="U9" s="553">
        <v>19</v>
      </c>
      <c r="V9" s="559">
        <v>2405.9016393442644</v>
      </c>
      <c r="W9" s="559">
        <v>126.62640207075076</v>
      </c>
      <c r="X9" s="553" t="e">
        <f t="shared" si="5"/>
        <v>#N/A</v>
      </c>
      <c r="Y9" s="638"/>
      <c r="Z9" s="553">
        <v>19</v>
      </c>
      <c r="AA9" s="559">
        <v>2454.9152542372899</v>
      </c>
      <c r="AB9" s="559">
        <v>129.20606601248895</v>
      </c>
      <c r="AC9" s="553" t="e">
        <f t="shared" si="7"/>
        <v>#N/A</v>
      </c>
      <c r="AD9" s="638"/>
      <c r="AE9" s="553">
        <v>19</v>
      </c>
      <c r="AF9" s="559">
        <v>2404.1379310344846</v>
      </c>
      <c r="AG9" s="559">
        <v>126.53357531760446</v>
      </c>
      <c r="AH9" s="553" t="e">
        <f t="shared" si="9"/>
        <v>#N/A</v>
      </c>
      <c r="AI9" s="638"/>
      <c r="AJ9" s="553">
        <v>19</v>
      </c>
      <c r="AK9" s="559">
        <v>2460.0000000000027</v>
      </c>
      <c r="AL9" s="559">
        <v>129.47368421052647</v>
      </c>
      <c r="AM9" s="553" t="e">
        <f t="shared" si="11"/>
        <v>#N/A</v>
      </c>
      <c r="AN9" s="638"/>
      <c r="AO9" s="553">
        <v>19</v>
      </c>
      <c r="AP9" s="559">
        <v>2473.4328358208927</v>
      </c>
      <c r="AQ9" s="559">
        <v>130.18067556952067</v>
      </c>
      <c r="AR9" s="553" t="e">
        <f t="shared" si="13"/>
        <v>#N/A</v>
      </c>
      <c r="AS9" s="638"/>
      <c r="AT9" s="553">
        <v>19</v>
      </c>
      <c r="AU9" s="559">
        <v>2466.8852459016416</v>
      </c>
      <c r="AV9" s="559">
        <v>129.83606557377061</v>
      </c>
      <c r="AW9" s="553" t="e">
        <f t="shared" si="15"/>
        <v>#N/A</v>
      </c>
      <c r="AX9" s="638"/>
      <c r="AZ9" s="358" t="e">
        <f t="shared" si="17"/>
        <v>#N/A</v>
      </c>
      <c r="BA9" s="694"/>
    </row>
    <row r="10" spans="1:53" ht="14.25">
      <c r="A10" s="81"/>
      <c r="B10" s="643"/>
      <c r="C10" s="555">
        <v>4</v>
      </c>
      <c r="D10" s="220" t="s">
        <v>345</v>
      </c>
      <c r="E10" s="559">
        <v>20</v>
      </c>
      <c r="F10" s="553">
        <v>2769</v>
      </c>
      <c r="G10" s="552">
        <v>138.44999999999999</v>
      </c>
      <c r="H10" s="651"/>
      <c r="I10" s="554">
        <f t="shared" si="0"/>
        <v>20</v>
      </c>
      <c r="J10" s="554">
        <f t="shared" si="1"/>
        <v>2456.3466367485466</v>
      </c>
      <c r="K10" s="194">
        <f t="shared" si="2"/>
        <v>122.81733183742735</v>
      </c>
      <c r="L10" s="653"/>
      <c r="M10" s="471" t="e">
        <f>RANK(K10, K$87:$K$101)</f>
        <v>#N/A</v>
      </c>
      <c r="N10" s="637"/>
      <c r="O10" s="637"/>
      <c r="P10" s="553">
        <v>20</v>
      </c>
      <c r="Q10" s="559">
        <v>2496.6233766233754</v>
      </c>
      <c r="R10" s="559">
        <v>124.83116883116877</v>
      </c>
      <c r="S10" s="553" t="e">
        <f t="shared" si="3"/>
        <v>#N/A</v>
      </c>
      <c r="T10" s="638"/>
      <c r="U10" s="553">
        <v>20</v>
      </c>
      <c r="V10" s="559">
        <v>2415.9493670886063</v>
      </c>
      <c r="W10" s="559">
        <v>120.79746835443032</v>
      </c>
      <c r="X10" s="553" t="e">
        <f t="shared" si="5"/>
        <v>#N/A</v>
      </c>
      <c r="Y10" s="638"/>
      <c r="Z10" s="553">
        <v>20</v>
      </c>
      <c r="AA10" s="559">
        <v>2420.7692307692296</v>
      </c>
      <c r="AB10" s="559">
        <v>121.03846153846148</v>
      </c>
      <c r="AC10" s="553" t="e">
        <f t="shared" si="7"/>
        <v>#N/A</v>
      </c>
      <c r="AD10" s="638"/>
      <c r="AE10" s="553">
        <v>20</v>
      </c>
      <c r="AF10" s="559">
        <v>2488.7999999999979</v>
      </c>
      <c r="AG10" s="559">
        <v>124.4399999999999</v>
      </c>
      <c r="AH10" s="553" t="e">
        <f t="shared" si="9"/>
        <v>#N/A</v>
      </c>
      <c r="AI10" s="638"/>
      <c r="AJ10" s="553">
        <v>20</v>
      </c>
      <c r="AK10" s="559">
        <v>2445.7499999999991</v>
      </c>
      <c r="AL10" s="559">
        <v>122.28749999999995</v>
      </c>
      <c r="AM10" s="553" t="e">
        <f t="shared" si="11"/>
        <v>#N/A</v>
      </c>
      <c r="AN10" s="638"/>
      <c r="AO10" s="553">
        <v>20</v>
      </c>
      <c r="AP10" s="559">
        <v>2471.0344827586205</v>
      </c>
      <c r="AQ10" s="559">
        <v>123.55172413793102</v>
      </c>
      <c r="AR10" s="553" t="e">
        <f t="shared" si="13"/>
        <v>#N/A</v>
      </c>
      <c r="AS10" s="638"/>
      <c r="AT10" s="553">
        <v>20</v>
      </c>
      <c r="AU10" s="559">
        <v>2455.4999999999991</v>
      </c>
      <c r="AV10" s="559">
        <v>122.77499999999995</v>
      </c>
      <c r="AW10" s="553" t="e">
        <f t="shared" si="15"/>
        <v>#N/A</v>
      </c>
      <c r="AX10" s="638"/>
      <c r="AZ10" s="358" t="e">
        <f t="shared" si="17"/>
        <v>#N/A</v>
      </c>
      <c r="BA10" s="694"/>
    </row>
    <row r="11" spans="1:53" ht="14.25">
      <c r="A11" s="81"/>
      <c r="B11" s="643"/>
      <c r="C11" s="555">
        <v>5</v>
      </c>
      <c r="D11" s="220" t="s">
        <v>501</v>
      </c>
      <c r="E11" s="559">
        <v>18</v>
      </c>
      <c r="F11" s="553">
        <v>2400</v>
      </c>
      <c r="G11" s="552">
        <v>133.33333333333334</v>
      </c>
      <c r="H11" s="651"/>
      <c r="I11" s="554">
        <f t="shared" si="0"/>
        <v>18</v>
      </c>
      <c r="J11" s="554">
        <f t="shared" si="1"/>
        <v>2186.0022038602124</v>
      </c>
      <c r="K11" s="194">
        <f t="shared" si="2"/>
        <v>121.44456688112292</v>
      </c>
      <c r="L11" s="653"/>
      <c r="M11" s="471" t="e">
        <f>RANK(K11, K$87:$K$101)</f>
        <v>#N/A</v>
      </c>
      <c r="N11" s="637"/>
      <c r="O11" s="637"/>
      <c r="P11" s="553">
        <v>18</v>
      </c>
      <c r="Q11" s="559">
        <v>2168.1355932203396</v>
      </c>
      <c r="R11" s="559">
        <v>120.45197740112998</v>
      </c>
      <c r="S11" s="553" t="e">
        <f t="shared" si="3"/>
        <v>#N/A</v>
      </c>
      <c r="T11" s="638"/>
      <c r="U11" s="553">
        <v>18</v>
      </c>
      <c r="V11" s="559">
        <v>2201.1864406779664</v>
      </c>
      <c r="W11" s="559">
        <v>122.28813559322036</v>
      </c>
      <c r="X11" s="553" t="e">
        <f t="shared" si="5"/>
        <v>#N/A</v>
      </c>
      <c r="Y11" s="638"/>
      <c r="Z11" s="553">
        <v>18</v>
      </c>
      <c r="AA11" s="559">
        <v>2155.2000000000007</v>
      </c>
      <c r="AB11" s="559">
        <v>119.73333333333338</v>
      </c>
      <c r="AC11" s="553" t="e">
        <f t="shared" si="7"/>
        <v>#N/A</v>
      </c>
      <c r="AD11" s="638"/>
      <c r="AE11" s="553">
        <v>18</v>
      </c>
      <c r="AF11" s="559">
        <v>2214.8717948717954</v>
      </c>
      <c r="AG11" s="559">
        <v>123.04843304843308</v>
      </c>
      <c r="AH11" s="553" t="e">
        <f t="shared" si="9"/>
        <v>#N/A</v>
      </c>
      <c r="AI11" s="638"/>
      <c r="AJ11" s="553">
        <v>18</v>
      </c>
      <c r="AK11" s="559">
        <v>2172.5806451612893</v>
      </c>
      <c r="AL11" s="559">
        <v>120.69892473118274</v>
      </c>
      <c r="AM11" s="553" t="e">
        <f t="shared" si="11"/>
        <v>#N/A</v>
      </c>
      <c r="AN11" s="638"/>
      <c r="AO11" s="553">
        <v>18</v>
      </c>
      <c r="AP11" s="559">
        <v>2179.746835443038</v>
      </c>
      <c r="AQ11" s="559">
        <v>121.09704641350211</v>
      </c>
      <c r="AR11" s="553" t="e">
        <f t="shared" si="13"/>
        <v>#N/A</v>
      </c>
      <c r="AS11" s="638"/>
      <c r="AT11" s="553">
        <v>18</v>
      </c>
      <c r="AU11" s="559">
        <v>2210.2941176470586</v>
      </c>
      <c r="AV11" s="559">
        <v>122.79411764705881</v>
      </c>
      <c r="AW11" s="553" t="e">
        <f t="shared" si="15"/>
        <v>#N/A</v>
      </c>
      <c r="AX11" s="638"/>
      <c r="AZ11" s="358" t="e">
        <f t="shared" si="17"/>
        <v>#N/A</v>
      </c>
      <c r="BA11" s="694"/>
    </row>
    <row r="12" spans="1:53" ht="14.25">
      <c r="A12" s="81"/>
      <c r="B12" s="643"/>
      <c r="C12" s="555">
        <v>6</v>
      </c>
      <c r="D12" s="220" t="s">
        <v>564</v>
      </c>
      <c r="E12" s="559">
        <v>17</v>
      </c>
      <c r="F12" s="553">
        <v>2571</v>
      </c>
      <c r="G12" s="552">
        <v>151.23529411764707</v>
      </c>
      <c r="H12" s="651"/>
      <c r="I12" s="554">
        <f t="shared" si="0"/>
        <v>17</v>
      </c>
      <c r="J12" s="554">
        <f t="shared" si="1"/>
        <v>2279.0697742389507</v>
      </c>
      <c r="K12" s="194">
        <f t="shared" si="2"/>
        <v>134.06292789640887</v>
      </c>
      <c r="L12" s="653"/>
      <c r="M12" s="471" t="e">
        <f>RANK(K12, K$87:$K$101)</f>
        <v>#N/A</v>
      </c>
      <c r="N12" s="637"/>
      <c r="O12" s="637"/>
      <c r="P12" s="553">
        <v>17</v>
      </c>
      <c r="Q12" s="559">
        <v>2258.7096774193569</v>
      </c>
      <c r="R12" s="559">
        <v>132.86527514231511</v>
      </c>
      <c r="S12" s="553" t="e">
        <f t="shared" si="3"/>
        <v>#N/A</v>
      </c>
      <c r="T12" s="638"/>
      <c r="U12" s="553">
        <v>17</v>
      </c>
      <c r="V12" s="559">
        <v>2308.1250000000027</v>
      </c>
      <c r="W12" s="559">
        <v>135.77205882352956</v>
      </c>
      <c r="X12" s="553" t="e">
        <f t="shared" si="5"/>
        <v>#N/A</v>
      </c>
      <c r="Y12" s="638"/>
      <c r="Z12" s="553">
        <v>17</v>
      </c>
      <c r="AA12" s="559">
        <v>2274.8571428571404</v>
      </c>
      <c r="AB12" s="559">
        <v>133.81512605042002</v>
      </c>
      <c r="AC12" s="553" t="e">
        <f t="shared" si="7"/>
        <v>#N/A</v>
      </c>
      <c r="AD12" s="638"/>
      <c r="AE12" s="553">
        <v>17</v>
      </c>
      <c r="AF12" s="559">
        <v>2285.8064516129052</v>
      </c>
      <c r="AG12" s="559">
        <v>134.45920303605325</v>
      </c>
      <c r="AH12" s="553" t="e">
        <f t="shared" si="9"/>
        <v>#N/A</v>
      </c>
      <c r="AI12" s="638"/>
      <c r="AJ12" s="553">
        <v>17</v>
      </c>
      <c r="AK12" s="559">
        <v>2288.2758620689674</v>
      </c>
      <c r="AL12" s="559">
        <v>134.60446247464515</v>
      </c>
      <c r="AM12" s="553" t="e">
        <f t="shared" si="11"/>
        <v>#N/A</v>
      </c>
      <c r="AN12" s="638"/>
      <c r="AO12" s="553">
        <v>17</v>
      </c>
      <c r="AP12" s="559">
        <v>2267.9999999999977</v>
      </c>
      <c r="AQ12" s="559">
        <v>133.41176470588221</v>
      </c>
      <c r="AR12" s="553" t="e">
        <f t="shared" si="13"/>
        <v>#N/A</v>
      </c>
      <c r="AS12" s="638"/>
      <c r="AT12" s="553">
        <v>17</v>
      </c>
      <c r="AU12" s="559">
        <v>2269.7142857142835</v>
      </c>
      <c r="AV12" s="559">
        <v>133.51260504201667</v>
      </c>
      <c r="AW12" s="553" t="e">
        <f t="shared" si="15"/>
        <v>#N/A</v>
      </c>
      <c r="AX12" s="638"/>
      <c r="AZ12" s="358" t="e">
        <f t="shared" si="17"/>
        <v>#N/A</v>
      </c>
      <c r="BA12" s="694"/>
    </row>
    <row r="13" spans="1:53" ht="14.25">
      <c r="A13" s="81"/>
      <c r="B13" s="643"/>
      <c r="C13" s="555">
        <v>7</v>
      </c>
      <c r="D13" s="220" t="s">
        <v>579</v>
      </c>
      <c r="E13" s="559">
        <v>18</v>
      </c>
      <c r="F13" s="553">
        <v>2571</v>
      </c>
      <c r="G13" s="552">
        <v>142.83333333333334</v>
      </c>
      <c r="H13" s="651"/>
      <c r="I13" s="554">
        <f t="shared" si="0"/>
        <v>18</v>
      </c>
      <c r="J13" s="554">
        <f t="shared" si="1"/>
        <v>2303.6720607914935</v>
      </c>
      <c r="K13" s="194">
        <f t="shared" si="2"/>
        <v>127.981781155083</v>
      </c>
      <c r="L13" s="653"/>
      <c r="M13" s="471" t="e">
        <f>RANK(K13, K$87:$K$101)</f>
        <v>#N/A</v>
      </c>
      <c r="N13" s="637"/>
      <c r="O13" s="637"/>
      <c r="P13" s="553">
        <v>18</v>
      </c>
      <c r="Q13" s="559">
        <v>2277.9310344827572</v>
      </c>
      <c r="R13" s="559">
        <v>126.55172413793096</v>
      </c>
      <c r="S13" s="553" t="e">
        <f t="shared" si="3"/>
        <v>#N/A</v>
      </c>
      <c r="T13" s="638"/>
      <c r="U13" s="553">
        <v>18</v>
      </c>
      <c r="V13" s="559">
        <v>2318.9999999999991</v>
      </c>
      <c r="W13" s="559">
        <v>128.83333333333329</v>
      </c>
      <c r="X13" s="553" t="e">
        <f t="shared" si="5"/>
        <v>#N/A</v>
      </c>
      <c r="Y13" s="638"/>
      <c r="Z13" s="553">
        <v>18</v>
      </c>
      <c r="AA13" s="559">
        <v>2280.9523809523803</v>
      </c>
      <c r="AB13" s="559">
        <v>126.71957671957668</v>
      </c>
      <c r="AC13" s="553" t="e">
        <f t="shared" si="7"/>
        <v>#N/A</v>
      </c>
      <c r="AD13" s="638"/>
      <c r="AE13" s="553">
        <v>18</v>
      </c>
      <c r="AF13" s="559">
        <v>2311.1111111111122</v>
      </c>
      <c r="AG13" s="559">
        <v>128.39506172839512</v>
      </c>
      <c r="AH13" s="553" t="e">
        <f t="shared" si="9"/>
        <v>#N/A</v>
      </c>
      <c r="AI13" s="638"/>
      <c r="AJ13" s="553">
        <v>18</v>
      </c>
      <c r="AK13" s="559">
        <v>2318.4905660377372</v>
      </c>
      <c r="AL13" s="559">
        <v>128.80503144654097</v>
      </c>
      <c r="AM13" s="553" t="e">
        <f t="shared" si="11"/>
        <v>#N/A</v>
      </c>
      <c r="AN13" s="638"/>
      <c r="AO13" s="553">
        <v>18</v>
      </c>
      <c r="AP13" s="559">
        <v>2303.7931034482745</v>
      </c>
      <c r="AQ13" s="559">
        <v>127.98850574712635</v>
      </c>
      <c r="AR13" s="553" t="e">
        <f t="shared" si="13"/>
        <v>#N/A</v>
      </c>
      <c r="AS13" s="638"/>
      <c r="AT13" s="553">
        <v>18</v>
      </c>
      <c r="AU13" s="559">
        <v>2314.4262295081958</v>
      </c>
      <c r="AV13" s="559">
        <v>128.57923497267754</v>
      </c>
      <c r="AW13" s="553" t="e">
        <f t="shared" si="15"/>
        <v>#N/A</v>
      </c>
      <c r="AX13" s="638"/>
      <c r="AZ13" s="358" t="e">
        <f t="shared" si="17"/>
        <v>#N/A</v>
      </c>
      <c r="BA13" s="694"/>
    </row>
    <row r="14" spans="1:53" ht="14.25">
      <c r="A14" s="81"/>
      <c r="B14" s="643"/>
      <c r="C14" s="555">
        <v>8</v>
      </c>
      <c r="D14" s="220" t="s">
        <v>654</v>
      </c>
      <c r="E14" s="559">
        <v>18</v>
      </c>
      <c r="F14" s="553">
        <v>2571</v>
      </c>
      <c r="G14" s="552">
        <v>142.83333333333334</v>
      </c>
      <c r="H14" s="651"/>
      <c r="I14" s="554">
        <f t="shared" si="0"/>
        <v>18</v>
      </c>
      <c r="J14" s="554">
        <f t="shared" si="1"/>
        <v>2250.4437368015006</v>
      </c>
      <c r="K14" s="194">
        <f t="shared" si="2"/>
        <v>125.02465204452781</v>
      </c>
      <c r="L14" s="653"/>
      <c r="M14" s="471" t="e">
        <f>RANK(K14, K$87:$K$101)</f>
        <v>#N/A</v>
      </c>
      <c r="N14" s="637"/>
      <c r="O14" s="637"/>
      <c r="P14" s="553">
        <v>18</v>
      </c>
      <c r="Q14" s="559">
        <v>2211.818181818182</v>
      </c>
      <c r="R14" s="559">
        <v>122.87878787878789</v>
      </c>
      <c r="S14" s="553" t="e">
        <f t="shared" si="3"/>
        <v>#N/A</v>
      </c>
      <c r="T14" s="638"/>
      <c r="U14" s="553">
        <v>18</v>
      </c>
      <c r="V14" s="559">
        <v>2298.260869565217</v>
      </c>
      <c r="W14" s="559">
        <v>127.68115942028983</v>
      </c>
      <c r="X14" s="553" t="e">
        <f t="shared" si="5"/>
        <v>#N/A</v>
      </c>
      <c r="Y14" s="638"/>
      <c r="Z14" s="553">
        <v>18</v>
      </c>
      <c r="AA14" s="559">
        <v>2275.2000000000007</v>
      </c>
      <c r="AB14" s="559">
        <v>126.40000000000003</v>
      </c>
      <c r="AC14" s="553" t="e">
        <f t="shared" si="7"/>
        <v>#N/A</v>
      </c>
      <c r="AD14" s="638"/>
      <c r="AE14" s="553">
        <v>18</v>
      </c>
      <c r="AF14" s="559">
        <v>2185.7142857142849</v>
      </c>
      <c r="AG14" s="559">
        <v>121.42857142857139</v>
      </c>
      <c r="AH14" s="553" t="e">
        <f t="shared" si="9"/>
        <v>#N/A</v>
      </c>
      <c r="AI14" s="638"/>
      <c r="AJ14" s="553">
        <v>18</v>
      </c>
      <c r="AK14" s="559">
        <v>2306.6666666666647</v>
      </c>
      <c r="AL14" s="559">
        <v>128.14814814814804</v>
      </c>
      <c r="AM14" s="553" t="e">
        <f t="shared" si="11"/>
        <v>#N/A</v>
      </c>
      <c r="AN14" s="638"/>
      <c r="AO14" s="553">
        <v>18</v>
      </c>
      <c r="AP14" s="559">
        <v>2241.6000000000008</v>
      </c>
      <c r="AQ14" s="559">
        <v>124.53333333333337</v>
      </c>
      <c r="AR14" s="553" t="e">
        <f t="shared" si="13"/>
        <v>#N/A</v>
      </c>
      <c r="AS14" s="638"/>
      <c r="AT14" s="553">
        <v>18</v>
      </c>
      <c r="AU14" s="559">
        <v>2233.8461538461547</v>
      </c>
      <c r="AV14" s="559">
        <v>124.10256410256414</v>
      </c>
      <c r="AW14" s="553" t="e">
        <f t="shared" si="15"/>
        <v>#N/A</v>
      </c>
      <c r="AX14" s="638"/>
      <c r="AZ14" s="358" t="e">
        <f t="shared" si="17"/>
        <v>#N/A</v>
      </c>
      <c r="BA14" s="694"/>
    </row>
    <row r="15" spans="1:53" ht="14.25">
      <c r="A15" s="81"/>
      <c r="B15" s="643"/>
      <c r="C15" s="555">
        <v>9</v>
      </c>
      <c r="D15" s="220"/>
      <c r="E15" s="559"/>
      <c r="F15" s="553"/>
      <c r="G15" s="552"/>
      <c r="H15" s="651"/>
      <c r="I15" s="554" t="str">
        <f t="shared" si="0"/>
        <v>-</v>
      </c>
      <c r="J15" s="554" t="str">
        <f t="shared" si="1"/>
        <v>-</v>
      </c>
      <c r="K15" s="194" t="str">
        <f t="shared" si="2"/>
        <v>-</v>
      </c>
      <c r="L15" s="653"/>
      <c r="M15" s="471" t="e">
        <f>RANK(K15, K$87:$K$101)</f>
        <v>#VALUE!</v>
      </c>
      <c r="N15" s="637"/>
      <c r="O15" s="637"/>
      <c r="P15" s="553" t="s">
        <v>557</v>
      </c>
      <c r="Q15" s="559" t="s">
        <v>557</v>
      </c>
      <c r="R15" s="559" t="s">
        <v>557</v>
      </c>
      <c r="S15" s="553" t="e">
        <f t="shared" si="3"/>
        <v>#VALUE!</v>
      </c>
      <c r="T15" s="638"/>
      <c r="U15" s="553" t="s">
        <v>557</v>
      </c>
      <c r="V15" s="559" t="s">
        <v>557</v>
      </c>
      <c r="W15" s="559" t="s">
        <v>557</v>
      </c>
      <c r="X15" s="553" t="e">
        <f t="shared" si="5"/>
        <v>#VALUE!</v>
      </c>
      <c r="Y15" s="638"/>
      <c r="Z15" s="553" t="s">
        <v>557</v>
      </c>
      <c r="AA15" s="559" t="s">
        <v>557</v>
      </c>
      <c r="AB15" s="559" t="s">
        <v>557</v>
      </c>
      <c r="AC15" s="553" t="e">
        <f t="shared" si="7"/>
        <v>#VALUE!</v>
      </c>
      <c r="AD15" s="638"/>
      <c r="AE15" s="553" t="s">
        <v>557</v>
      </c>
      <c r="AF15" s="559" t="s">
        <v>557</v>
      </c>
      <c r="AG15" s="559" t="s">
        <v>557</v>
      </c>
      <c r="AH15" s="553" t="e">
        <f t="shared" si="9"/>
        <v>#VALUE!</v>
      </c>
      <c r="AI15" s="638"/>
      <c r="AJ15" s="553" t="s">
        <v>557</v>
      </c>
      <c r="AK15" s="559" t="s">
        <v>557</v>
      </c>
      <c r="AL15" s="559" t="s">
        <v>557</v>
      </c>
      <c r="AM15" s="553" t="e">
        <f t="shared" si="11"/>
        <v>#VALUE!</v>
      </c>
      <c r="AN15" s="638"/>
      <c r="AO15" s="553" t="s">
        <v>557</v>
      </c>
      <c r="AP15" s="559" t="s">
        <v>557</v>
      </c>
      <c r="AQ15" s="559" t="s">
        <v>557</v>
      </c>
      <c r="AR15" s="553" t="e">
        <f t="shared" si="13"/>
        <v>#VALUE!</v>
      </c>
      <c r="AS15" s="638"/>
      <c r="AT15" s="553" t="s">
        <v>557</v>
      </c>
      <c r="AU15" s="559" t="s">
        <v>557</v>
      </c>
      <c r="AV15" s="559" t="s">
        <v>557</v>
      </c>
      <c r="AW15" s="553" t="e">
        <f t="shared" si="15"/>
        <v>#VALUE!</v>
      </c>
      <c r="AX15" s="638"/>
      <c r="AZ15" s="358" t="e">
        <f t="shared" si="17"/>
        <v>#N/A</v>
      </c>
      <c r="BA15" s="694"/>
    </row>
    <row r="16" spans="1:53" ht="14.25">
      <c r="A16" s="81"/>
      <c r="B16" s="643"/>
      <c r="C16" s="555">
        <v>10</v>
      </c>
      <c r="D16" s="220"/>
      <c r="E16" s="559"/>
      <c r="F16" s="553"/>
      <c r="G16" s="552"/>
      <c r="H16" s="651"/>
      <c r="I16" s="554" t="str">
        <f t="shared" si="0"/>
        <v>-</v>
      </c>
      <c r="J16" s="554" t="str">
        <f t="shared" si="1"/>
        <v>-</v>
      </c>
      <c r="K16" s="194" t="str">
        <f t="shared" si="2"/>
        <v>-</v>
      </c>
      <c r="L16" s="653"/>
      <c r="M16" s="471" t="e">
        <f>RANK(K16, K$87:$K$101)</f>
        <v>#VALUE!</v>
      </c>
      <c r="N16" s="637"/>
      <c r="O16" s="637"/>
      <c r="P16" s="553" t="s">
        <v>557</v>
      </c>
      <c r="Q16" s="559" t="s">
        <v>557</v>
      </c>
      <c r="R16" s="559" t="s">
        <v>557</v>
      </c>
      <c r="S16" s="553" t="e">
        <f t="shared" si="3"/>
        <v>#VALUE!</v>
      </c>
      <c r="T16" s="638"/>
      <c r="U16" s="553" t="s">
        <v>557</v>
      </c>
      <c r="V16" s="559" t="s">
        <v>557</v>
      </c>
      <c r="W16" s="559" t="s">
        <v>557</v>
      </c>
      <c r="X16" s="553" t="e">
        <f t="shared" si="5"/>
        <v>#VALUE!</v>
      </c>
      <c r="Y16" s="638"/>
      <c r="Z16" s="553" t="s">
        <v>557</v>
      </c>
      <c r="AA16" s="559" t="s">
        <v>557</v>
      </c>
      <c r="AB16" s="559" t="s">
        <v>557</v>
      </c>
      <c r="AC16" s="553" t="e">
        <f t="shared" si="7"/>
        <v>#VALUE!</v>
      </c>
      <c r="AD16" s="638"/>
      <c r="AE16" s="553" t="s">
        <v>557</v>
      </c>
      <c r="AF16" s="559" t="s">
        <v>557</v>
      </c>
      <c r="AG16" s="559" t="s">
        <v>557</v>
      </c>
      <c r="AH16" s="553" t="e">
        <f t="shared" si="9"/>
        <v>#VALUE!</v>
      </c>
      <c r="AI16" s="638"/>
      <c r="AJ16" s="553" t="s">
        <v>557</v>
      </c>
      <c r="AK16" s="559" t="s">
        <v>557</v>
      </c>
      <c r="AL16" s="559" t="s">
        <v>557</v>
      </c>
      <c r="AM16" s="553" t="e">
        <f t="shared" si="11"/>
        <v>#VALUE!</v>
      </c>
      <c r="AN16" s="638"/>
      <c r="AO16" s="553" t="s">
        <v>557</v>
      </c>
      <c r="AP16" s="559" t="s">
        <v>557</v>
      </c>
      <c r="AQ16" s="559" t="s">
        <v>557</v>
      </c>
      <c r="AR16" s="553" t="e">
        <f t="shared" si="13"/>
        <v>#VALUE!</v>
      </c>
      <c r="AS16" s="638"/>
      <c r="AT16" s="553" t="s">
        <v>557</v>
      </c>
      <c r="AU16" s="559" t="s">
        <v>557</v>
      </c>
      <c r="AV16" s="559" t="s">
        <v>557</v>
      </c>
      <c r="AW16" s="553" t="e">
        <f t="shared" si="15"/>
        <v>#VALUE!</v>
      </c>
      <c r="AX16" s="638"/>
      <c r="AZ16" s="358" t="e">
        <f t="shared" si="17"/>
        <v>#N/A</v>
      </c>
      <c r="BA16" s="694"/>
    </row>
    <row r="17" spans="2:53">
      <c r="B17" s="643"/>
      <c r="C17" s="555">
        <v>11</v>
      </c>
      <c r="D17" s="220"/>
      <c r="E17" s="559"/>
      <c r="F17" s="553"/>
      <c r="G17" s="552"/>
      <c r="H17" s="651"/>
      <c r="I17" s="554" t="str">
        <f t="shared" si="0"/>
        <v>-</v>
      </c>
      <c r="J17" s="554" t="str">
        <f t="shared" si="1"/>
        <v>-</v>
      </c>
      <c r="K17" s="194" t="str">
        <f t="shared" si="2"/>
        <v>-</v>
      </c>
      <c r="L17" s="653"/>
      <c r="M17" s="471" t="e">
        <f>RANK(K17, K$87:$K$101)</f>
        <v>#VALUE!</v>
      </c>
      <c r="N17" s="637"/>
      <c r="O17" s="637"/>
      <c r="P17" s="553" t="s">
        <v>557</v>
      </c>
      <c r="Q17" s="559" t="s">
        <v>557</v>
      </c>
      <c r="R17" s="559" t="s">
        <v>557</v>
      </c>
      <c r="S17" s="553" t="e">
        <f t="shared" si="3"/>
        <v>#VALUE!</v>
      </c>
      <c r="T17" s="638"/>
      <c r="U17" s="553" t="s">
        <v>557</v>
      </c>
      <c r="V17" s="559" t="s">
        <v>557</v>
      </c>
      <c r="W17" s="559" t="s">
        <v>557</v>
      </c>
      <c r="X17" s="553" t="e">
        <f t="shared" si="5"/>
        <v>#VALUE!</v>
      </c>
      <c r="Y17" s="638"/>
      <c r="Z17" s="553" t="s">
        <v>557</v>
      </c>
      <c r="AA17" s="559" t="s">
        <v>557</v>
      </c>
      <c r="AB17" s="559" t="s">
        <v>557</v>
      </c>
      <c r="AC17" s="553" t="e">
        <f t="shared" si="7"/>
        <v>#VALUE!</v>
      </c>
      <c r="AD17" s="638"/>
      <c r="AE17" s="553" t="s">
        <v>557</v>
      </c>
      <c r="AF17" s="559" t="s">
        <v>557</v>
      </c>
      <c r="AG17" s="559" t="s">
        <v>557</v>
      </c>
      <c r="AH17" s="553" t="e">
        <f t="shared" si="9"/>
        <v>#VALUE!</v>
      </c>
      <c r="AI17" s="638"/>
      <c r="AJ17" s="553" t="s">
        <v>557</v>
      </c>
      <c r="AK17" s="559" t="s">
        <v>557</v>
      </c>
      <c r="AL17" s="559" t="s">
        <v>557</v>
      </c>
      <c r="AM17" s="553" t="e">
        <f t="shared" si="11"/>
        <v>#VALUE!</v>
      </c>
      <c r="AN17" s="638"/>
      <c r="AO17" s="553" t="s">
        <v>557</v>
      </c>
      <c r="AP17" s="559" t="s">
        <v>557</v>
      </c>
      <c r="AQ17" s="559" t="s">
        <v>557</v>
      </c>
      <c r="AR17" s="553" t="e">
        <f t="shared" si="13"/>
        <v>#VALUE!</v>
      </c>
      <c r="AS17" s="638"/>
      <c r="AT17" s="553" t="s">
        <v>557</v>
      </c>
      <c r="AU17" s="559" t="s">
        <v>557</v>
      </c>
      <c r="AV17" s="559" t="s">
        <v>557</v>
      </c>
      <c r="AW17" s="553" t="e">
        <f t="shared" si="15"/>
        <v>#VALUE!</v>
      </c>
      <c r="AX17" s="638"/>
      <c r="AZ17" s="358" t="e">
        <f t="shared" si="17"/>
        <v>#N/A</v>
      </c>
      <c r="BA17" s="694"/>
    </row>
    <row r="18" spans="2:53">
      <c r="B18" s="643"/>
      <c r="C18" s="555">
        <v>12</v>
      </c>
      <c r="D18" s="220"/>
      <c r="E18" s="559"/>
      <c r="F18" s="553"/>
      <c r="G18" s="552"/>
      <c r="H18" s="651"/>
      <c r="I18" s="554" t="str">
        <f t="shared" si="0"/>
        <v>-</v>
      </c>
      <c r="J18" s="554" t="str">
        <f t="shared" si="1"/>
        <v>-</v>
      </c>
      <c r="K18" s="194" t="str">
        <f t="shared" si="2"/>
        <v>-</v>
      </c>
      <c r="L18" s="653"/>
      <c r="M18" s="471" t="e">
        <f>RANK(K18, K$87:$K$101)</f>
        <v>#VALUE!</v>
      </c>
      <c r="N18" s="637"/>
      <c r="O18" s="637"/>
      <c r="P18" s="553" t="s">
        <v>557</v>
      </c>
      <c r="Q18" s="559" t="s">
        <v>557</v>
      </c>
      <c r="R18" s="559" t="s">
        <v>557</v>
      </c>
      <c r="S18" s="553" t="e">
        <f t="shared" si="3"/>
        <v>#VALUE!</v>
      </c>
      <c r="T18" s="638"/>
      <c r="U18" s="553" t="s">
        <v>557</v>
      </c>
      <c r="V18" s="559" t="s">
        <v>557</v>
      </c>
      <c r="W18" s="559" t="s">
        <v>557</v>
      </c>
      <c r="X18" s="553" t="e">
        <f t="shared" si="5"/>
        <v>#VALUE!</v>
      </c>
      <c r="Y18" s="638"/>
      <c r="Z18" s="553" t="s">
        <v>557</v>
      </c>
      <c r="AA18" s="559" t="s">
        <v>557</v>
      </c>
      <c r="AB18" s="559" t="s">
        <v>557</v>
      </c>
      <c r="AC18" s="553" t="e">
        <f t="shared" si="7"/>
        <v>#VALUE!</v>
      </c>
      <c r="AD18" s="638"/>
      <c r="AE18" s="553" t="s">
        <v>557</v>
      </c>
      <c r="AF18" s="559" t="s">
        <v>557</v>
      </c>
      <c r="AG18" s="559" t="s">
        <v>557</v>
      </c>
      <c r="AH18" s="553" t="e">
        <f t="shared" si="9"/>
        <v>#VALUE!</v>
      </c>
      <c r="AI18" s="638"/>
      <c r="AJ18" s="553" t="s">
        <v>557</v>
      </c>
      <c r="AK18" s="559" t="s">
        <v>557</v>
      </c>
      <c r="AL18" s="559" t="s">
        <v>557</v>
      </c>
      <c r="AM18" s="553" t="e">
        <f t="shared" si="11"/>
        <v>#VALUE!</v>
      </c>
      <c r="AN18" s="638"/>
      <c r="AO18" s="553" t="s">
        <v>557</v>
      </c>
      <c r="AP18" s="559" t="s">
        <v>557</v>
      </c>
      <c r="AQ18" s="559" t="s">
        <v>557</v>
      </c>
      <c r="AR18" s="553" t="e">
        <f t="shared" si="13"/>
        <v>#VALUE!</v>
      </c>
      <c r="AS18" s="638"/>
      <c r="AT18" s="553" t="s">
        <v>557</v>
      </c>
      <c r="AU18" s="559" t="s">
        <v>557</v>
      </c>
      <c r="AV18" s="559" t="s">
        <v>557</v>
      </c>
      <c r="AW18" s="553" t="e">
        <f t="shared" si="15"/>
        <v>#VALUE!</v>
      </c>
      <c r="AX18" s="638"/>
      <c r="AZ18" s="358" t="e">
        <f t="shared" si="17"/>
        <v>#N/A</v>
      </c>
      <c r="BA18" s="694"/>
    </row>
    <row r="19" spans="2:53">
      <c r="B19" s="643"/>
      <c r="C19" s="555">
        <v>13</v>
      </c>
      <c r="D19" s="220"/>
      <c r="E19" s="559"/>
      <c r="F19" s="553"/>
      <c r="G19" s="552"/>
      <c r="H19" s="651"/>
      <c r="I19" s="554" t="str">
        <f t="shared" si="0"/>
        <v>-</v>
      </c>
      <c r="J19" s="554" t="str">
        <f t="shared" si="1"/>
        <v>-</v>
      </c>
      <c r="K19" s="194" t="str">
        <f t="shared" si="2"/>
        <v>-</v>
      </c>
      <c r="L19" s="653"/>
      <c r="M19" s="471" t="e">
        <f>RANK(K19, K$87:$K$101)</f>
        <v>#VALUE!</v>
      </c>
      <c r="N19" s="637"/>
      <c r="O19" s="637"/>
      <c r="P19" s="553" t="s">
        <v>557</v>
      </c>
      <c r="Q19" s="559" t="s">
        <v>557</v>
      </c>
      <c r="R19" s="559" t="s">
        <v>557</v>
      </c>
      <c r="S19" s="553" t="e">
        <f t="shared" si="3"/>
        <v>#VALUE!</v>
      </c>
      <c r="T19" s="638"/>
      <c r="U19" s="553" t="s">
        <v>557</v>
      </c>
      <c r="V19" s="559" t="s">
        <v>557</v>
      </c>
      <c r="W19" s="559" t="s">
        <v>557</v>
      </c>
      <c r="X19" s="553" t="e">
        <f t="shared" si="5"/>
        <v>#VALUE!</v>
      </c>
      <c r="Y19" s="638"/>
      <c r="Z19" s="553" t="s">
        <v>557</v>
      </c>
      <c r="AA19" s="559" t="s">
        <v>557</v>
      </c>
      <c r="AB19" s="559" t="s">
        <v>557</v>
      </c>
      <c r="AC19" s="553" t="e">
        <f t="shared" si="7"/>
        <v>#VALUE!</v>
      </c>
      <c r="AD19" s="638"/>
      <c r="AE19" s="553" t="s">
        <v>557</v>
      </c>
      <c r="AF19" s="559" t="s">
        <v>557</v>
      </c>
      <c r="AG19" s="559" t="s">
        <v>557</v>
      </c>
      <c r="AH19" s="553" t="e">
        <f t="shared" si="9"/>
        <v>#VALUE!</v>
      </c>
      <c r="AI19" s="638"/>
      <c r="AJ19" s="553" t="s">
        <v>557</v>
      </c>
      <c r="AK19" s="559" t="s">
        <v>557</v>
      </c>
      <c r="AL19" s="559" t="s">
        <v>557</v>
      </c>
      <c r="AM19" s="553" t="e">
        <f t="shared" si="11"/>
        <v>#VALUE!</v>
      </c>
      <c r="AN19" s="638"/>
      <c r="AO19" s="553" t="s">
        <v>557</v>
      </c>
      <c r="AP19" s="559" t="s">
        <v>557</v>
      </c>
      <c r="AQ19" s="559" t="s">
        <v>557</v>
      </c>
      <c r="AR19" s="553" t="e">
        <f t="shared" si="13"/>
        <v>#VALUE!</v>
      </c>
      <c r="AS19" s="638"/>
      <c r="AT19" s="553" t="s">
        <v>557</v>
      </c>
      <c r="AU19" s="559" t="s">
        <v>557</v>
      </c>
      <c r="AV19" s="559" t="s">
        <v>557</v>
      </c>
      <c r="AW19" s="553" t="e">
        <f t="shared" si="15"/>
        <v>#VALUE!</v>
      </c>
      <c r="AX19" s="638"/>
      <c r="AZ19" s="358" t="e">
        <f t="shared" si="17"/>
        <v>#N/A</v>
      </c>
      <c r="BA19" s="694"/>
    </row>
    <row r="20" spans="2:53">
      <c r="B20" s="643"/>
      <c r="C20" s="555">
        <v>14</v>
      </c>
      <c r="D20" s="220"/>
      <c r="E20" s="559"/>
      <c r="F20" s="553"/>
      <c r="G20" s="552"/>
      <c r="H20" s="651"/>
      <c r="I20" s="554" t="str">
        <f t="shared" si="0"/>
        <v>-</v>
      </c>
      <c r="J20" s="554" t="str">
        <f t="shared" si="1"/>
        <v>-</v>
      </c>
      <c r="K20" s="194" t="str">
        <f t="shared" si="2"/>
        <v>-</v>
      </c>
      <c r="L20" s="653"/>
      <c r="M20" s="471" t="e">
        <f>RANK(K20, K$87:$K$101)</f>
        <v>#VALUE!</v>
      </c>
      <c r="N20" s="637"/>
      <c r="O20" s="637"/>
      <c r="P20" s="553" t="s">
        <v>557</v>
      </c>
      <c r="Q20" s="559" t="s">
        <v>557</v>
      </c>
      <c r="R20" s="559" t="s">
        <v>557</v>
      </c>
      <c r="S20" s="553" t="e">
        <f t="shared" si="3"/>
        <v>#VALUE!</v>
      </c>
      <c r="T20" s="638"/>
      <c r="U20" s="553" t="s">
        <v>557</v>
      </c>
      <c r="V20" s="559" t="s">
        <v>557</v>
      </c>
      <c r="W20" s="559" t="s">
        <v>557</v>
      </c>
      <c r="X20" s="553" t="e">
        <f t="shared" si="5"/>
        <v>#VALUE!</v>
      </c>
      <c r="Y20" s="638"/>
      <c r="Z20" s="553" t="s">
        <v>557</v>
      </c>
      <c r="AA20" s="559" t="s">
        <v>557</v>
      </c>
      <c r="AB20" s="559" t="s">
        <v>557</v>
      </c>
      <c r="AC20" s="553" t="e">
        <f t="shared" si="7"/>
        <v>#VALUE!</v>
      </c>
      <c r="AD20" s="638"/>
      <c r="AE20" s="553" t="s">
        <v>557</v>
      </c>
      <c r="AF20" s="559" t="s">
        <v>557</v>
      </c>
      <c r="AG20" s="559" t="s">
        <v>557</v>
      </c>
      <c r="AH20" s="553" t="e">
        <f t="shared" si="9"/>
        <v>#VALUE!</v>
      </c>
      <c r="AI20" s="638"/>
      <c r="AJ20" s="553" t="s">
        <v>557</v>
      </c>
      <c r="AK20" s="559" t="s">
        <v>557</v>
      </c>
      <c r="AL20" s="559" t="s">
        <v>557</v>
      </c>
      <c r="AM20" s="553" t="e">
        <f t="shared" si="11"/>
        <v>#VALUE!</v>
      </c>
      <c r="AN20" s="638"/>
      <c r="AO20" s="553" t="s">
        <v>557</v>
      </c>
      <c r="AP20" s="559" t="s">
        <v>557</v>
      </c>
      <c r="AQ20" s="559" t="s">
        <v>557</v>
      </c>
      <c r="AR20" s="553" t="e">
        <f t="shared" si="13"/>
        <v>#VALUE!</v>
      </c>
      <c r="AS20" s="638"/>
      <c r="AT20" s="553" t="s">
        <v>557</v>
      </c>
      <c r="AU20" s="559" t="s">
        <v>557</v>
      </c>
      <c r="AV20" s="559" t="s">
        <v>557</v>
      </c>
      <c r="AW20" s="553" t="e">
        <f t="shared" si="15"/>
        <v>#VALUE!</v>
      </c>
      <c r="AX20" s="638"/>
      <c r="AZ20" s="358" t="e">
        <f t="shared" si="17"/>
        <v>#N/A</v>
      </c>
      <c r="BA20" s="694"/>
    </row>
    <row r="21" spans="2:53">
      <c r="B21" s="643"/>
      <c r="C21" s="555">
        <v>15</v>
      </c>
      <c r="D21" s="220"/>
      <c r="E21" s="559"/>
      <c r="F21" s="553"/>
      <c r="G21" s="552"/>
      <c r="H21" s="708"/>
      <c r="I21" s="555"/>
      <c r="J21" s="555"/>
      <c r="K21" s="555"/>
      <c r="L21" s="654"/>
      <c r="M21" s="471" t="e">
        <f>RANK(K21, K$87:$K$101)</f>
        <v>#N/A</v>
      </c>
      <c r="N21" s="637"/>
      <c r="O21" s="637"/>
      <c r="P21" s="553" t="s">
        <v>557</v>
      </c>
      <c r="Q21" s="559" t="s">
        <v>557</v>
      </c>
      <c r="R21" s="559" t="s">
        <v>557</v>
      </c>
      <c r="S21" s="553" t="e">
        <f t="shared" si="3"/>
        <v>#VALUE!</v>
      </c>
      <c r="T21" s="638"/>
      <c r="U21" s="553" t="s">
        <v>557</v>
      </c>
      <c r="V21" s="559" t="s">
        <v>557</v>
      </c>
      <c r="W21" s="559" t="s">
        <v>557</v>
      </c>
      <c r="X21" s="553" t="e">
        <f t="shared" si="5"/>
        <v>#VALUE!</v>
      </c>
      <c r="Y21" s="638"/>
      <c r="Z21" s="553" t="s">
        <v>557</v>
      </c>
      <c r="AA21" s="559" t="s">
        <v>557</v>
      </c>
      <c r="AB21" s="559" t="s">
        <v>557</v>
      </c>
      <c r="AC21" s="553" t="e">
        <f t="shared" si="7"/>
        <v>#VALUE!</v>
      </c>
      <c r="AD21" s="638"/>
      <c r="AE21" s="553" t="s">
        <v>557</v>
      </c>
      <c r="AF21" s="559" t="s">
        <v>557</v>
      </c>
      <c r="AG21" s="559" t="s">
        <v>557</v>
      </c>
      <c r="AH21" s="553" t="e">
        <f t="shared" si="9"/>
        <v>#VALUE!</v>
      </c>
      <c r="AI21" s="638"/>
      <c r="AJ21" s="553" t="s">
        <v>557</v>
      </c>
      <c r="AK21" s="559" t="s">
        <v>557</v>
      </c>
      <c r="AL21" s="559" t="s">
        <v>557</v>
      </c>
      <c r="AM21" s="553" t="e">
        <f t="shared" si="11"/>
        <v>#VALUE!</v>
      </c>
      <c r="AN21" s="638"/>
      <c r="AO21" s="553" t="s">
        <v>557</v>
      </c>
      <c r="AP21" s="559" t="s">
        <v>557</v>
      </c>
      <c r="AQ21" s="559" t="s">
        <v>557</v>
      </c>
      <c r="AR21" s="553" t="e">
        <f t="shared" si="13"/>
        <v>#VALUE!</v>
      </c>
      <c r="AS21" s="638"/>
      <c r="AT21" s="553" t="s">
        <v>557</v>
      </c>
      <c r="AU21" s="559" t="s">
        <v>557</v>
      </c>
      <c r="AV21" s="559" t="s">
        <v>557</v>
      </c>
      <c r="AW21" s="553" t="e">
        <f t="shared" si="15"/>
        <v>#VALUE!</v>
      </c>
      <c r="AX21" s="638"/>
      <c r="AZ21" s="358" t="e">
        <f t="shared" si="17"/>
        <v>#N/A</v>
      </c>
      <c r="BA21" s="694"/>
    </row>
    <row r="22" spans="2:53" ht="15.75">
      <c r="B22" s="676" t="s">
        <v>162</v>
      </c>
      <c r="C22" s="677"/>
      <c r="D22" s="677"/>
      <c r="E22" s="677"/>
      <c r="F22" s="677"/>
      <c r="G22" s="677"/>
      <c r="H22" s="677"/>
      <c r="I22" s="197"/>
      <c r="J22" s="197"/>
      <c r="K22" s="197"/>
      <c r="L22" s="197"/>
      <c r="M22" s="198"/>
      <c r="N22" s="639" t="s">
        <v>156</v>
      </c>
      <c r="O22" s="639" t="s">
        <v>105</v>
      </c>
      <c r="P22" s="664">
        <f>P2+7</f>
        <v>46301</v>
      </c>
      <c r="Q22" s="643"/>
      <c r="R22" s="643"/>
      <c r="S22" s="643"/>
      <c r="T22" s="643"/>
      <c r="U22" s="661">
        <f>P22+1</f>
        <v>46302</v>
      </c>
      <c r="V22" s="662"/>
      <c r="W22" s="662"/>
      <c r="X22" s="662"/>
      <c r="Y22" s="663"/>
      <c r="Z22" s="661">
        <f>U22+1</f>
        <v>46303</v>
      </c>
      <c r="AA22" s="662"/>
      <c r="AB22" s="662"/>
      <c r="AC22" s="662"/>
      <c r="AD22" s="663"/>
      <c r="AE22" s="661">
        <f>Z22+1</f>
        <v>46304</v>
      </c>
      <c r="AF22" s="662"/>
      <c r="AG22" s="662"/>
      <c r="AH22" s="662"/>
      <c r="AI22" s="663"/>
      <c r="AJ22" s="661">
        <f>AE22+1</f>
        <v>46305</v>
      </c>
      <c r="AK22" s="662"/>
      <c r="AL22" s="662"/>
      <c r="AM22" s="662"/>
      <c r="AN22" s="663"/>
      <c r="AO22" s="661">
        <f>AJ22+1</f>
        <v>46306</v>
      </c>
      <c r="AP22" s="662"/>
      <c r="AQ22" s="662"/>
      <c r="AR22" s="662"/>
      <c r="AS22" s="663"/>
      <c r="AT22" s="661">
        <f>AO22+1</f>
        <v>46307</v>
      </c>
      <c r="AU22" s="662"/>
      <c r="AV22" s="662"/>
      <c r="AW22" s="662"/>
      <c r="AX22" s="663"/>
    </row>
    <row r="23" spans="2:53" ht="15.75">
      <c r="B23" s="668"/>
      <c r="C23" s="668"/>
      <c r="D23" s="668"/>
      <c r="E23" s="668"/>
      <c r="F23" s="668"/>
      <c r="G23" s="668"/>
      <c r="H23" s="668"/>
      <c r="I23" s="199"/>
      <c r="J23" s="199"/>
      <c r="K23" s="199"/>
      <c r="L23" s="199"/>
      <c r="M23" s="200"/>
      <c r="N23" s="641"/>
      <c r="O23" s="641"/>
      <c r="P23" s="664" t="s">
        <v>317</v>
      </c>
      <c r="Q23" s="643"/>
      <c r="R23" s="643"/>
      <c r="S23" s="643"/>
      <c r="T23" s="643"/>
      <c r="U23" s="664" t="s">
        <v>318</v>
      </c>
      <c r="V23" s="643"/>
      <c r="W23" s="643"/>
      <c r="X23" s="643"/>
      <c r="Y23" s="643"/>
      <c r="Z23" s="664" t="s">
        <v>319</v>
      </c>
      <c r="AA23" s="643"/>
      <c r="AB23" s="643"/>
      <c r="AC23" s="643"/>
      <c r="AD23" s="643"/>
      <c r="AE23" s="664" t="s">
        <v>320</v>
      </c>
      <c r="AF23" s="643"/>
      <c r="AG23" s="643"/>
      <c r="AH23" s="643"/>
      <c r="AI23" s="643"/>
      <c r="AJ23" s="664" t="s">
        <v>321</v>
      </c>
      <c r="AK23" s="643"/>
      <c r="AL23" s="643"/>
      <c r="AM23" s="643"/>
      <c r="AN23" s="643"/>
      <c r="AO23" s="664" t="s">
        <v>322</v>
      </c>
      <c r="AP23" s="643"/>
      <c r="AQ23" s="643"/>
      <c r="AR23" s="643"/>
      <c r="AS23" s="643"/>
      <c r="AT23" s="664" t="s">
        <v>323</v>
      </c>
      <c r="AU23" s="643"/>
      <c r="AV23" s="643"/>
      <c r="AW23" s="643"/>
      <c r="AX23" s="643"/>
    </row>
    <row r="24" spans="2:53">
      <c r="B24" s="637" t="s">
        <v>154</v>
      </c>
      <c r="C24" s="637" t="s">
        <v>521</v>
      </c>
      <c r="D24" s="637"/>
      <c r="E24" s="637" t="s">
        <v>522</v>
      </c>
      <c r="F24" s="637"/>
      <c r="G24" s="637"/>
      <c r="H24" s="669" t="s">
        <v>523</v>
      </c>
      <c r="I24" s="637" t="s">
        <v>524</v>
      </c>
      <c r="J24" s="637"/>
      <c r="K24" s="637"/>
      <c r="L24" s="669" t="s">
        <v>357</v>
      </c>
      <c r="M24" s="639" t="s">
        <v>525</v>
      </c>
      <c r="N24" s="637"/>
      <c r="O24" s="637" t="s">
        <v>363</v>
      </c>
      <c r="P24" s="655" t="s">
        <v>359</v>
      </c>
      <c r="Q24" s="656"/>
      <c r="R24" s="656"/>
      <c r="S24" s="657"/>
      <c r="T24" s="637" t="s">
        <v>357</v>
      </c>
      <c r="U24" s="655" t="s">
        <v>359</v>
      </c>
      <c r="V24" s="656"/>
      <c r="W24" s="656"/>
      <c r="X24" s="657"/>
      <c r="Y24" s="637" t="s">
        <v>357</v>
      </c>
      <c r="Z24" s="655" t="s">
        <v>359</v>
      </c>
      <c r="AA24" s="656"/>
      <c r="AB24" s="656"/>
      <c r="AC24" s="657"/>
      <c r="AD24" s="637" t="s">
        <v>357</v>
      </c>
      <c r="AE24" s="655" t="s">
        <v>359</v>
      </c>
      <c r="AF24" s="656"/>
      <c r="AG24" s="656"/>
      <c r="AH24" s="657"/>
      <c r="AI24" s="637" t="s">
        <v>357</v>
      </c>
      <c r="AJ24" s="655" t="s">
        <v>359</v>
      </c>
      <c r="AK24" s="656"/>
      <c r="AL24" s="656"/>
      <c r="AM24" s="657"/>
      <c r="AN24" s="637" t="s">
        <v>357</v>
      </c>
      <c r="AO24" s="655" t="s">
        <v>359</v>
      </c>
      <c r="AP24" s="656"/>
      <c r="AQ24" s="656"/>
      <c r="AR24" s="657"/>
      <c r="AS24" s="637" t="s">
        <v>357</v>
      </c>
      <c r="AT24" s="655" t="s">
        <v>359</v>
      </c>
      <c r="AU24" s="656"/>
      <c r="AV24" s="656"/>
      <c r="AW24" s="657"/>
      <c r="AX24" s="637" t="s">
        <v>357</v>
      </c>
      <c r="BA24" s="637" t="s">
        <v>357</v>
      </c>
    </row>
    <row r="25" spans="2:53">
      <c r="B25" s="637"/>
      <c r="C25" s="637"/>
      <c r="D25" s="637"/>
      <c r="E25" s="637" t="s">
        <v>527</v>
      </c>
      <c r="F25" s="637"/>
      <c r="G25" s="637"/>
      <c r="H25" s="670"/>
      <c r="I25" s="637" t="s">
        <v>527</v>
      </c>
      <c r="J25" s="637"/>
      <c r="K25" s="637"/>
      <c r="L25" s="670"/>
      <c r="M25" s="640"/>
      <c r="N25" s="637"/>
      <c r="O25" s="637"/>
      <c r="P25" s="655" t="s">
        <v>365</v>
      </c>
      <c r="Q25" s="656"/>
      <c r="R25" s="656"/>
      <c r="S25" s="657"/>
      <c r="T25" s="637"/>
      <c r="U25" s="655" t="s">
        <v>365</v>
      </c>
      <c r="V25" s="656"/>
      <c r="W25" s="656"/>
      <c r="X25" s="657"/>
      <c r="Y25" s="637"/>
      <c r="Z25" s="655" t="s">
        <v>365</v>
      </c>
      <c r="AA25" s="656"/>
      <c r="AB25" s="656"/>
      <c r="AC25" s="657"/>
      <c r="AD25" s="637"/>
      <c r="AE25" s="655" t="s">
        <v>365</v>
      </c>
      <c r="AF25" s="656"/>
      <c r="AG25" s="656"/>
      <c r="AH25" s="657"/>
      <c r="AI25" s="637"/>
      <c r="AJ25" s="655" t="s">
        <v>365</v>
      </c>
      <c r="AK25" s="656"/>
      <c r="AL25" s="656"/>
      <c r="AM25" s="657"/>
      <c r="AN25" s="637"/>
      <c r="AO25" s="655" t="s">
        <v>365</v>
      </c>
      <c r="AP25" s="656"/>
      <c r="AQ25" s="656"/>
      <c r="AR25" s="657"/>
      <c r="AS25" s="637"/>
      <c r="AT25" s="655" t="s">
        <v>365</v>
      </c>
      <c r="AU25" s="656"/>
      <c r="AV25" s="656"/>
      <c r="AW25" s="657"/>
      <c r="AX25" s="637"/>
      <c r="BA25" s="637"/>
    </row>
    <row r="26" spans="2:53">
      <c r="B26" s="637"/>
      <c r="C26" s="637"/>
      <c r="D26" s="637"/>
      <c r="E26" s="366" t="s">
        <v>528</v>
      </c>
      <c r="F26" s="366" t="s">
        <v>529</v>
      </c>
      <c r="G26" s="366" t="s">
        <v>530</v>
      </c>
      <c r="H26" s="671"/>
      <c r="I26" s="366" t="s">
        <v>528</v>
      </c>
      <c r="J26" s="366" t="s">
        <v>529</v>
      </c>
      <c r="K26" s="366" t="s">
        <v>530</v>
      </c>
      <c r="L26" s="671"/>
      <c r="M26" s="641"/>
      <c r="N26" s="637"/>
      <c r="O26" s="637"/>
      <c r="P26" s="366" t="s">
        <v>366</v>
      </c>
      <c r="Q26" s="366" t="s">
        <v>367</v>
      </c>
      <c r="R26" s="366" t="s">
        <v>368</v>
      </c>
      <c r="S26" s="366" t="s">
        <v>358</v>
      </c>
      <c r="T26" s="637"/>
      <c r="U26" s="366" t="s">
        <v>366</v>
      </c>
      <c r="V26" s="366" t="s">
        <v>367</v>
      </c>
      <c r="W26" s="366" t="s">
        <v>368</v>
      </c>
      <c r="X26" s="366" t="s">
        <v>358</v>
      </c>
      <c r="Y26" s="637"/>
      <c r="Z26" s="366" t="s">
        <v>366</v>
      </c>
      <c r="AA26" s="366" t="s">
        <v>367</v>
      </c>
      <c r="AB26" s="366" t="s">
        <v>368</v>
      </c>
      <c r="AC26" s="366" t="s">
        <v>358</v>
      </c>
      <c r="AD26" s="637"/>
      <c r="AE26" s="366" t="s">
        <v>366</v>
      </c>
      <c r="AF26" s="366" t="s">
        <v>367</v>
      </c>
      <c r="AG26" s="366" t="s">
        <v>368</v>
      </c>
      <c r="AH26" s="366" t="s">
        <v>358</v>
      </c>
      <c r="AI26" s="637"/>
      <c r="AJ26" s="366" t="s">
        <v>366</v>
      </c>
      <c r="AK26" s="366" t="s">
        <v>367</v>
      </c>
      <c r="AL26" s="366" t="s">
        <v>368</v>
      </c>
      <c r="AM26" s="366" t="s">
        <v>358</v>
      </c>
      <c r="AN26" s="637"/>
      <c r="AO26" s="366" t="s">
        <v>366</v>
      </c>
      <c r="AP26" s="366" t="s">
        <v>367</v>
      </c>
      <c r="AQ26" s="366" t="s">
        <v>368</v>
      </c>
      <c r="AR26" s="366" t="s">
        <v>358</v>
      </c>
      <c r="AS26" s="637"/>
      <c r="AT26" s="366" t="s">
        <v>366</v>
      </c>
      <c r="AU26" s="366" t="s">
        <v>367</v>
      </c>
      <c r="AV26" s="366" t="s">
        <v>368</v>
      </c>
      <c r="AW26" s="366" t="s">
        <v>358</v>
      </c>
      <c r="AX26" s="637"/>
      <c r="AZ26" s="356" t="s">
        <v>358</v>
      </c>
      <c r="BA26" s="637"/>
    </row>
    <row r="27" spans="2:53">
      <c r="B27" s="637" t="s">
        <v>431</v>
      </c>
      <c r="C27" s="368">
        <v>1</v>
      </c>
      <c r="D27" s="220" t="s">
        <v>342</v>
      </c>
      <c r="E27" s="559">
        <v>20</v>
      </c>
      <c r="F27" s="553">
        <v>2400</v>
      </c>
      <c r="G27" s="552">
        <v>120</v>
      </c>
      <c r="H27" s="650">
        <f>AVERAGE(G27:G41)</f>
        <v>140.77459088898718</v>
      </c>
      <c r="I27" s="369">
        <f t="shared" ref="I27:I40" si="19">IFERROR(AVERAGE(P27,U27,Z27,AE27,AJ27,AO27,AT27),"-")</f>
        <v>20</v>
      </c>
      <c r="J27" s="369">
        <f t="shared" ref="J27:J40" si="20">IFERROR(AVERAGE(Q27,V27,AA27,AF27,AK27,AP27,AU27),"-")</f>
        <v>2259.6874099461775</v>
      </c>
      <c r="K27" s="194">
        <f t="shared" ref="K27:K40" si="21">IFERROR(AVERAGE(R27,W27,AB27,AG27,AL27,AQ27,AV27),"-")</f>
        <v>112.98437049730887</v>
      </c>
      <c r="L27" s="652">
        <f>IFERROR(AVERAGE(K27:K41),"-")</f>
        <v>125.24691367583185</v>
      </c>
      <c r="M27" s="372">
        <f>RANK(K27, K$24:$K$41)</f>
        <v>7</v>
      </c>
      <c r="N27" s="637"/>
      <c r="O27" s="637"/>
      <c r="P27" s="560">
        <v>20</v>
      </c>
      <c r="Q27" s="562">
        <v>2269.7999999999993</v>
      </c>
      <c r="R27" s="562">
        <v>113.48999999999997</v>
      </c>
      <c r="S27" s="560">
        <f t="shared" ref="S27:S41" si="22">RANK(R27, R$27:R$41)</f>
        <v>7</v>
      </c>
      <c r="T27" s="632">
        <f t="shared" ref="T27" si="23">AVERAGE(R27:R41)</f>
        <v>124.78819204027843</v>
      </c>
      <c r="U27" s="560">
        <v>20</v>
      </c>
      <c r="V27" s="562">
        <v>2264.7300000000009</v>
      </c>
      <c r="W27" s="562">
        <v>113.23650000000005</v>
      </c>
      <c r="X27" s="560">
        <f t="shared" ref="X27:X41" si="24">RANK(W27, W$27:W$41)</f>
        <v>7</v>
      </c>
      <c r="Y27" s="632">
        <f t="shared" ref="Y27" si="25">AVERAGE(W27:W41)</f>
        <v>124.77798098778227</v>
      </c>
      <c r="Z27" s="560">
        <v>20</v>
      </c>
      <c r="AA27" s="562">
        <v>2227.7272727272734</v>
      </c>
      <c r="AB27" s="562">
        <v>111.38636363636367</v>
      </c>
      <c r="AC27" s="560">
        <f t="shared" ref="AC27:AC41" si="26">RANK(AB27, AB$27:AB$41)</f>
        <v>7</v>
      </c>
      <c r="AD27" s="632">
        <f t="shared" ref="AD27" si="27">AVERAGE(AB27:AB41)</f>
        <v>124.66898190364122</v>
      </c>
      <c r="AE27" s="560">
        <v>20</v>
      </c>
      <c r="AF27" s="562">
        <v>2268.1578947368425</v>
      </c>
      <c r="AG27" s="562">
        <v>113.40789473684212</v>
      </c>
      <c r="AH27" s="560">
        <f t="shared" ref="AH27:AH41" si="28">RANK(AG27, AG$27:AG$41)</f>
        <v>7</v>
      </c>
      <c r="AI27" s="632">
        <f t="shared" ref="AI27" si="29">AVERAGE(AG27:AG41)</f>
        <v>125.93626031775105</v>
      </c>
      <c r="AJ27" s="560">
        <v>20</v>
      </c>
      <c r="AK27" s="562">
        <v>2244.0918367346944</v>
      </c>
      <c r="AL27" s="562">
        <v>112.20459183673472</v>
      </c>
      <c r="AM27" s="560">
        <f t="shared" ref="AM27:AM41" si="30">RANK(AL27, AL$27:AL$41)</f>
        <v>7</v>
      </c>
      <c r="AN27" s="632">
        <f t="shared" ref="AN27" si="31">AVERAGE(AL27:AL41)</f>
        <v>125.46233790161344</v>
      </c>
      <c r="AO27" s="560">
        <v>20</v>
      </c>
      <c r="AP27" s="562">
        <v>2300.3809523809532</v>
      </c>
      <c r="AQ27" s="562">
        <v>115.01904761904765</v>
      </c>
      <c r="AR27" s="560">
        <f t="shared" ref="AR27:AR41" si="32">RANK(AQ27, AQ$27:AQ$41)</f>
        <v>7</v>
      </c>
      <c r="AS27" s="632">
        <f t="shared" ref="AS27" si="33">AVERAGE(AQ27:AQ41)</f>
        <v>125.69701111909202</v>
      </c>
      <c r="AT27" s="560">
        <v>20</v>
      </c>
      <c r="AU27" s="562">
        <v>2242.9239130434785</v>
      </c>
      <c r="AV27" s="562">
        <v>112.14619565217393</v>
      </c>
      <c r="AW27" s="560">
        <f t="shared" ref="AW27:AW41" si="34">RANK(AV27, AV$27:AV$41)</f>
        <v>7</v>
      </c>
      <c r="AX27" s="632">
        <f t="shared" ref="AX27" si="35">AVERAGE(AV27:AV41)</f>
        <v>125.39763146066447</v>
      </c>
      <c r="AZ27" s="357" t="e">
        <f t="shared" ref="AZ27:AZ41" si="36">RANK(AY27, AY$27:AY$41)</f>
        <v>#N/A</v>
      </c>
      <c r="BA27" s="632" t="e">
        <f t="shared" ref="BA27" si="37">AVERAGE(AY27:AY41)</f>
        <v>#DIV/0!</v>
      </c>
    </row>
    <row r="28" spans="2:53">
      <c r="B28" s="643"/>
      <c r="C28" s="368">
        <v>2</v>
      </c>
      <c r="D28" s="220" t="s">
        <v>343</v>
      </c>
      <c r="E28" s="559">
        <v>18</v>
      </c>
      <c r="F28" s="553">
        <v>2769</v>
      </c>
      <c r="G28" s="552">
        <v>153.83333333333334</v>
      </c>
      <c r="H28" s="651"/>
      <c r="I28" s="369">
        <f t="shared" si="19"/>
        <v>18</v>
      </c>
      <c r="J28" s="369">
        <f t="shared" si="20"/>
        <v>2353.9423593055462</v>
      </c>
      <c r="K28" s="194">
        <f t="shared" si="21"/>
        <v>130.77457551697481</v>
      </c>
      <c r="L28" s="653"/>
      <c r="M28" s="375">
        <f>RANK(K28, K$24:$K$41)</f>
        <v>2</v>
      </c>
      <c r="N28" s="637"/>
      <c r="O28" s="637"/>
      <c r="P28" s="560">
        <v>18</v>
      </c>
      <c r="Q28" s="562">
        <v>2346.9767441860463</v>
      </c>
      <c r="R28" s="562">
        <v>130.3875968992248</v>
      </c>
      <c r="S28" s="560">
        <f t="shared" si="22"/>
        <v>2</v>
      </c>
      <c r="T28" s="633"/>
      <c r="U28" s="560">
        <v>18</v>
      </c>
      <c r="V28" s="562">
        <v>2362.8571428571418</v>
      </c>
      <c r="W28" s="562">
        <v>131.26984126984121</v>
      </c>
      <c r="X28" s="560">
        <f t="shared" si="24"/>
        <v>1</v>
      </c>
      <c r="Y28" s="633"/>
      <c r="Z28" s="560">
        <v>18</v>
      </c>
      <c r="AA28" s="562">
        <v>2307.9069767441856</v>
      </c>
      <c r="AB28" s="562">
        <v>128.21705426356587</v>
      </c>
      <c r="AC28" s="560">
        <f t="shared" si="26"/>
        <v>3</v>
      </c>
      <c r="AD28" s="633"/>
      <c r="AE28" s="560">
        <v>18</v>
      </c>
      <c r="AF28" s="562">
        <v>2361.333333333333</v>
      </c>
      <c r="AG28" s="562">
        <v>131.18518518518516</v>
      </c>
      <c r="AH28" s="560">
        <f t="shared" si="28"/>
        <v>2</v>
      </c>
      <c r="AI28" s="633"/>
      <c r="AJ28" s="560">
        <v>18</v>
      </c>
      <c r="AK28" s="562">
        <v>2383.6363636363635</v>
      </c>
      <c r="AL28" s="562">
        <v>132.42424242424241</v>
      </c>
      <c r="AM28" s="560">
        <f t="shared" si="30"/>
        <v>1</v>
      </c>
      <c r="AN28" s="633"/>
      <c r="AO28" s="560">
        <v>18</v>
      </c>
      <c r="AP28" s="562">
        <v>2355.2941176470599</v>
      </c>
      <c r="AQ28" s="562">
        <v>130.84967320261444</v>
      </c>
      <c r="AR28" s="560">
        <f t="shared" si="32"/>
        <v>2</v>
      </c>
      <c r="AS28" s="633"/>
      <c r="AT28" s="560">
        <v>18</v>
      </c>
      <c r="AU28" s="562">
        <v>2359.5918367346944</v>
      </c>
      <c r="AV28" s="562">
        <v>131.0884353741497</v>
      </c>
      <c r="AW28" s="560">
        <f t="shared" si="34"/>
        <v>2</v>
      </c>
      <c r="AX28" s="633"/>
      <c r="AZ28" s="357" t="e">
        <f t="shared" si="36"/>
        <v>#N/A</v>
      </c>
      <c r="BA28" s="633"/>
    </row>
    <row r="29" spans="2:53">
      <c r="B29" s="643"/>
      <c r="C29" s="368">
        <v>3</v>
      </c>
      <c r="D29" s="220" t="s">
        <v>344</v>
      </c>
      <c r="E29" s="559">
        <v>19</v>
      </c>
      <c r="F29" s="553">
        <v>2769</v>
      </c>
      <c r="G29" s="552">
        <v>145.73684210526315</v>
      </c>
      <c r="H29" s="651"/>
      <c r="I29" s="369">
        <f t="shared" si="19"/>
        <v>19</v>
      </c>
      <c r="J29" s="369">
        <f t="shared" si="20"/>
        <v>2461.2711818624052</v>
      </c>
      <c r="K29" s="194">
        <f t="shared" si="21"/>
        <v>129.54058851907396</v>
      </c>
      <c r="L29" s="653"/>
      <c r="M29" s="375">
        <f>RANK(K29, K$24:$K$41)</f>
        <v>3</v>
      </c>
      <c r="N29" s="637"/>
      <c r="O29" s="637"/>
      <c r="P29" s="560">
        <v>19</v>
      </c>
      <c r="Q29" s="562">
        <v>2432.7272727272743</v>
      </c>
      <c r="R29" s="562">
        <v>128.03827751196181</v>
      </c>
      <c r="S29" s="560">
        <f t="shared" si="22"/>
        <v>4</v>
      </c>
      <c r="T29" s="633"/>
      <c r="U29" s="560">
        <v>19</v>
      </c>
      <c r="V29" s="562">
        <v>2469.8181818181833</v>
      </c>
      <c r="W29" s="562">
        <v>129.99043062200965</v>
      </c>
      <c r="X29" s="560">
        <f t="shared" si="24"/>
        <v>2</v>
      </c>
      <c r="Y29" s="633"/>
      <c r="Z29" s="560">
        <v>19</v>
      </c>
      <c r="AA29" s="562">
        <v>2514.0495867768568</v>
      </c>
      <c r="AB29" s="562">
        <v>132.3183993040451</v>
      </c>
      <c r="AC29" s="560">
        <f t="shared" si="26"/>
        <v>1</v>
      </c>
      <c r="AD29" s="633"/>
      <c r="AE29" s="560">
        <v>19</v>
      </c>
      <c r="AF29" s="562">
        <v>2453.8095238095229</v>
      </c>
      <c r="AG29" s="562">
        <v>129.14786967418542</v>
      </c>
      <c r="AH29" s="560">
        <f t="shared" si="28"/>
        <v>3</v>
      </c>
      <c r="AI29" s="633"/>
      <c r="AJ29" s="560">
        <v>19</v>
      </c>
      <c r="AK29" s="562">
        <v>2470.1612903225814</v>
      </c>
      <c r="AL29" s="562">
        <v>130.00848896434638</v>
      </c>
      <c r="AM29" s="560">
        <f t="shared" si="30"/>
        <v>3</v>
      </c>
      <c r="AN29" s="633"/>
      <c r="AO29" s="560">
        <v>19</v>
      </c>
      <c r="AP29" s="562">
        <v>2449.5824175824173</v>
      </c>
      <c r="AQ29" s="562">
        <v>128.92539039907459</v>
      </c>
      <c r="AR29" s="560">
        <f t="shared" si="32"/>
        <v>3</v>
      </c>
      <c r="AS29" s="633"/>
      <c r="AT29" s="560">
        <v>19</v>
      </c>
      <c r="AU29" s="562">
        <v>2438.7500000000005</v>
      </c>
      <c r="AV29" s="562">
        <v>128.35526315789477</v>
      </c>
      <c r="AW29" s="560">
        <f t="shared" si="34"/>
        <v>3</v>
      </c>
      <c r="AX29" s="633"/>
      <c r="AZ29" s="357" t="e">
        <f t="shared" si="36"/>
        <v>#N/A</v>
      </c>
      <c r="BA29" s="633"/>
    </row>
    <row r="30" spans="2:53">
      <c r="B30" s="643"/>
      <c r="C30" s="368">
        <v>4</v>
      </c>
      <c r="D30" s="220" t="s">
        <v>345</v>
      </c>
      <c r="E30" s="559">
        <v>20</v>
      </c>
      <c r="F30" s="553">
        <v>2769</v>
      </c>
      <c r="G30" s="552">
        <v>138.44999999999999</v>
      </c>
      <c r="H30" s="651"/>
      <c r="I30" s="369">
        <f t="shared" si="19"/>
        <v>20</v>
      </c>
      <c r="J30" s="369">
        <f t="shared" si="20"/>
        <v>2458.7760084385382</v>
      </c>
      <c r="K30" s="194">
        <f t="shared" si="21"/>
        <v>122.93880042192691</v>
      </c>
      <c r="L30" s="653"/>
      <c r="M30" s="375">
        <f>RANK(K30, K$24:$K$41)</f>
        <v>5</v>
      </c>
      <c r="N30" s="637"/>
      <c r="O30" s="637"/>
      <c r="P30" s="560">
        <v>20</v>
      </c>
      <c r="Q30" s="562">
        <v>2426.7469879518067</v>
      </c>
      <c r="R30" s="562">
        <v>121.33734939759033</v>
      </c>
      <c r="S30" s="560">
        <f t="shared" si="22"/>
        <v>5</v>
      </c>
      <c r="T30" s="633"/>
      <c r="U30" s="560">
        <v>20</v>
      </c>
      <c r="V30" s="562">
        <v>2421.8181818181829</v>
      </c>
      <c r="W30" s="562">
        <v>121.09090909090915</v>
      </c>
      <c r="X30" s="560">
        <f t="shared" si="24"/>
        <v>5</v>
      </c>
      <c r="Y30" s="633"/>
      <c r="Z30" s="560">
        <v>20</v>
      </c>
      <c r="AA30" s="562">
        <v>2459.6407185628736</v>
      </c>
      <c r="AB30" s="562">
        <v>122.98203592814369</v>
      </c>
      <c r="AC30" s="560">
        <f t="shared" si="26"/>
        <v>5</v>
      </c>
      <c r="AD30" s="633"/>
      <c r="AE30" s="560">
        <v>20</v>
      </c>
      <c r="AF30" s="562">
        <v>2504.5398773006127</v>
      </c>
      <c r="AG30" s="562">
        <v>125.22699386503064</v>
      </c>
      <c r="AH30" s="560">
        <f t="shared" si="28"/>
        <v>5</v>
      </c>
      <c r="AI30" s="633"/>
      <c r="AJ30" s="560">
        <v>20</v>
      </c>
      <c r="AK30" s="562">
        <v>2482.8571428571431</v>
      </c>
      <c r="AL30" s="562">
        <v>124.14285714285715</v>
      </c>
      <c r="AM30" s="560">
        <f t="shared" si="30"/>
        <v>5</v>
      </c>
      <c r="AN30" s="633"/>
      <c r="AO30" s="560">
        <v>20</v>
      </c>
      <c r="AP30" s="562">
        <v>2469.7142857142849</v>
      </c>
      <c r="AQ30" s="562">
        <v>123.48571428571424</v>
      </c>
      <c r="AR30" s="560">
        <f t="shared" si="32"/>
        <v>5</v>
      </c>
      <c r="AS30" s="633"/>
      <c r="AT30" s="560">
        <v>20</v>
      </c>
      <c r="AU30" s="562">
        <v>2446.1148648648646</v>
      </c>
      <c r="AV30" s="562">
        <v>122.30574324324323</v>
      </c>
      <c r="AW30" s="560">
        <f t="shared" si="34"/>
        <v>5</v>
      </c>
      <c r="AX30" s="633"/>
      <c r="AZ30" s="357" t="e">
        <f t="shared" si="36"/>
        <v>#N/A</v>
      </c>
      <c r="BA30" s="633"/>
    </row>
    <row r="31" spans="2:53">
      <c r="B31" s="643"/>
      <c r="C31" s="368">
        <v>5</v>
      </c>
      <c r="D31" s="220" t="s">
        <v>501</v>
      </c>
      <c r="E31" s="559">
        <v>18</v>
      </c>
      <c r="F31" s="553">
        <v>2400</v>
      </c>
      <c r="G31" s="552">
        <v>133.33333333333334</v>
      </c>
      <c r="H31" s="651"/>
      <c r="I31" s="369">
        <f t="shared" si="19"/>
        <v>18</v>
      </c>
      <c r="J31" s="369">
        <f t="shared" si="20"/>
        <v>2175.6862447226986</v>
      </c>
      <c r="K31" s="194">
        <f t="shared" si="21"/>
        <v>120.87145804014993</v>
      </c>
      <c r="L31" s="653"/>
      <c r="M31" s="375">
        <f>RANK(K31, K$24:$K$41)</f>
        <v>6</v>
      </c>
      <c r="N31" s="637"/>
      <c r="O31" s="637"/>
      <c r="P31" s="560">
        <v>18</v>
      </c>
      <c r="Q31" s="562">
        <v>2148.7741935483891</v>
      </c>
      <c r="R31" s="562">
        <v>119.37634408602162</v>
      </c>
      <c r="S31" s="560">
        <f t="shared" si="22"/>
        <v>6</v>
      </c>
      <c r="T31" s="633"/>
      <c r="U31" s="560">
        <v>18</v>
      </c>
      <c r="V31" s="562">
        <v>2163.954545454545</v>
      </c>
      <c r="W31" s="562">
        <v>120.21969696969694</v>
      </c>
      <c r="X31" s="560">
        <f t="shared" si="24"/>
        <v>6</v>
      </c>
      <c r="Y31" s="633"/>
      <c r="Z31" s="560">
        <v>18</v>
      </c>
      <c r="AA31" s="562">
        <v>2182.2127659574467</v>
      </c>
      <c r="AB31" s="562">
        <v>121.23404255319149</v>
      </c>
      <c r="AC31" s="560">
        <f t="shared" si="26"/>
        <v>6</v>
      </c>
      <c r="AD31" s="633"/>
      <c r="AE31" s="560">
        <v>18</v>
      </c>
      <c r="AF31" s="562">
        <v>2207.7162162162172</v>
      </c>
      <c r="AG31" s="562">
        <v>122.65090090090095</v>
      </c>
      <c r="AH31" s="560">
        <f t="shared" si="28"/>
        <v>6</v>
      </c>
      <c r="AI31" s="633"/>
      <c r="AJ31" s="560">
        <v>18</v>
      </c>
      <c r="AK31" s="562">
        <v>2151.7407407407395</v>
      </c>
      <c r="AL31" s="562">
        <v>119.54115226337441</v>
      </c>
      <c r="AM31" s="560">
        <f t="shared" si="30"/>
        <v>6</v>
      </c>
      <c r="AN31" s="633"/>
      <c r="AO31" s="560">
        <v>18</v>
      </c>
      <c r="AP31" s="562">
        <v>2178.583333333333</v>
      </c>
      <c r="AQ31" s="562">
        <v>121.03240740740739</v>
      </c>
      <c r="AR31" s="560">
        <f t="shared" si="32"/>
        <v>6</v>
      </c>
      <c r="AS31" s="633"/>
      <c r="AT31" s="560">
        <v>18</v>
      </c>
      <c r="AU31" s="562">
        <v>2196.8219178082195</v>
      </c>
      <c r="AV31" s="562">
        <v>122.04566210045664</v>
      </c>
      <c r="AW31" s="560">
        <f t="shared" si="34"/>
        <v>6</v>
      </c>
      <c r="AX31" s="633"/>
      <c r="AZ31" s="357" t="e">
        <f t="shared" si="36"/>
        <v>#N/A</v>
      </c>
      <c r="BA31" s="633"/>
    </row>
    <row r="32" spans="2:53">
      <c r="B32" s="643"/>
      <c r="C32" s="368">
        <v>6</v>
      </c>
      <c r="D32" s="220" t="s">
        <v>564</v>
      </c>
      <c r="E32" s="559">
        <v>17</v>
      </c>
      <c r="F32" s="553">
        <v>2571</v>
      </c>
      <c r="G32" s="552">
        <v>151.23529411764707</v>
      </c>
      <c r="H32" s="651"/>
      <c r="I32" s="369">
        <f t="shared" si="19"/>
        <v>17</v>
      </c>
      <c r="J32" s="369">
        <f t="shared" si="20"/>
        <v>2246.7634922004008</v>
      </c>
      <c r="K32" s="194">
        <f t="shared" si="21"/>
        <v>132.16255836472945</v>
      </c>
      <c r="L32" s="653"/>
      <c r="M32" s="375">
        <f>RANK(K32, K$24:$K$41)</f>
        <v>1</v>
      </c>
      <c r="N32" s="637"/>
      <c r="O32" s="637"/>
      <c r="P32" s="560">
        <v>17</v>
      </c>
      <c r="Q32" s="562">
        <v>2247.9999999999959</v>
      </c>
      <c r="R32" s="562">
        <v>132.23529411764682</v>
      </c>
      <c r="S32" s="560">
        <f t="shared" si="22"/>
        <v>1</v>
      </c>
      <c r="T32" s="633"/>
      <c r="U32" s="560">
        <v>17</v>
      </c>
      <c r="V32" s="562">
        <v>2203.6363636363712</v>
      </c>
      <c r="W32" s="562">
        <v>129.62566844919832</v>
      </c>
      <c r="X32" s="560">
        <f t="shared" si="24"/>
        <v>3</v>
      </c>
      <c r="Y32" s="633"/>
      <c r="Z32" s="560">
        <v>17</v>
      </c>
      <c r="AA32" s="562">
        <v>2238.7499999999968</v>
      </c>
      <c r="AB32" s="562">
        <v>131.69117647058806</v>
      </c>
      <c r="AC32" s="560">
        <f t="shared" si="26"/>
        <v>2</v>
      </c>
      <c r="AD32" s="633"/>
      <c r="AE32" s="560">
        <v>17</v>
      </c>
      <c r="AF32" s="562">
        <v>2245.1612903225887</v>
      </c>
      <c r="AG32" s="562">
        <v>132.0683111954464</v>
      </c>
      <c r="AH32" s="560">
        <f t="shared" si="28"/>
        <v>1</v>
      </c>
      <c r="AI32" s="633"/>
      <c r="AJ32" s="560">
        <v>17</v>
      </c>
      <c r="AK32" s="562">
        <v>2218.0000000000077</v>
      </c>
      <c r="AL32" s="562">
        <v>130.47058823529457</v>
      </c>
      <c r="AM32" s="560">
        <f t="shared" si="30"/>
        <v>2</v>
      </c>
      <c r="AN32" s="633"/>
      <c r="AO32" s="560">
        <v>17</v>
      </c>
      <c r="AP32" s="562">
        <v>2269.0909090909063</v>
      </c>
      <c r="AQ32" s="562">
        <v>133.47593582887683</v>
      </c>
      <c r="AR32" s="560">
        <f t="shared" si="32"/>
        <v>1</v>
      </c>
      <c r="AS32" s="633"/>
      <c r="AT32" s="560">
        <v>17</v>
      </c>
      <c r="AU32" s="562">
        <v>2304.7058823529383</v>
      </c>
      <c r="AV32" s="562">
        <v>135.57093425605518</v>
      </c>
      <c r="AW32" s="560">
        <f t="shared" si="34"/>
        <v>1</v>
      </c>
      <c r="AX32" s="633"/>
      <c r="AZ32" s="357" t="e">
        <f t="shared" si="36"/>
        <v>#N/A</v>
      </c>
      <c r="BA32" s="633"/>
    </row>
    <row r="33" spans="2:53">
      <c r="B33" s="643"/>
      <c r="C33" s="368">
        <v>7</v>
      </c>
      <c r="D33" s="220" t="s">
        <v>579</v>
      </c>
      <c r="E33" s="559">
        <v>18</v>
      </c>
      <c r="F33" s="553">
        <v>2571</v>
      </c>
      <c r="G33" s="552">
        <v>142.83333333333334</v>
      </c>
      <c r="H33" s="651"/>
      <c r="I33" s="369">
        <f t="shared" si="19"/>
        <v>18</v>
      </c>
      <c r="J33" s="369">
        <f t="shared" si="20"/>
        <v>2294.208798671862</v>
      </c>
      <c r="K33" s="194">
        <f t="shared" si="21"/>
        <v>127.456044370659</v>
      </c>
      <c r="L33" s="653"/>
      <c r="M33" s="375">
        <f>RANK(K33, K$24:$K$41)</f>
        <v>4</v>
      </c>
      <c r="N33" s="637"/>
      <c r="O33" s="637"/>
      <c r="P33" s="560">
        <v>18</v>
      </c>
      <c r="Q33" s="562">
        <v>2315.744680851064</v>
      </c>
      <c r="R33" s="562">
        <v>128.65248226950357</v>
      </c>
      <c r="S33" s="560">
        <f t="shared" si="22"/>
        <v>3</v>
      </c>
      <c r="T33" s="633"/>
      <c r="U33" s="560">
        <v>18</v>
      </c>
      <c r="V33" s="562">
        <v>2304.2307692307704</v>
      </c>
      <c r="W33" s="562">
        <v>128.01282051282058</v>
      </c>
      <c r="X33" s="560">
        <f t="shared" si="24"/>
        <v>4</v>
      </c>
      <c r="Y33" s="633"/>
      <c r="Z33" s="560">
        <v>18</v>
      </c>
      <c r="AA33" s="562">
        <v>2247.368421052633</v>
      </c>
      <c r="AB33" s="562">
        <v>124.85380116959072</v>
      </c>
      <c r="AC33" s="560">
        <f t="shared" si="26"/>
        <v>4</v>
      </c>
      <c r="AD33" s="633"/>
      <c r="AE33" s="560">
        <v>18</v>
      </c>
      <c r="AF33" s="562">
        <v>2301.6000000000008</v>
      </c>
      <c r="AG33" s="562">
        <v>127.86666666666672</v>
      </c>
      <c r="AH33" s="560">
        <f t="shared" si="28"/>
        <v>4</v>
      </c>
      <c r="AI33" s="633"/>
      <c r="AJ33" s="560">
        <v>18</v>
      </c>
      <c r="AK33" s="562">
        <v>2330.0000000000005</v>
      </c>
      <c r="AL33" s="562">
        <v>129.44444444444446</v>
      </c>
      <c r="AM33" s="560">
        <f t="shared" si="30"/>
        <v>4</v>
      </c>
      <c r="AN33" s="633"/>
      <c r="AO33" s="560">
        <v>18</v>
      </c>
      <c r="AP33" s="562">
        <v>2287.6363636363617</v>
      </c>
      <c r="AQ33" s="562">
        <v>127.09090909090898</v>
      </c>
      <c r="AR33" s="560">
        <f t="shared" si="32"/>
        <v>4</v>
      </c>
      <c r="AS33" s="633"/>
      <c r="AT33" s="560">
        <v>18</v>
      </c>
      <c r="AU33" s="562">
        <v>2272.881355932202</v>
      </c>
      <c r="AV33" s="562">
        <v>126.27118644067789</v>
      </c>
      <c r="AW33" s="560">
        <f t="shared" si="34"/>
        <v>4</v>
      </c>
      <c r="AX33" s="633"/>
      <c r="AZ33" s="357" t="e">
        <f t="shared" si="36"/>
        <v>#N/A</v>
      </c>
      <c r="BA33" s="633"/>
    </row>
    <row r="34" spans="2:53">
      <c r="B34" s="643"/>
      <c r="C34" s="368">
        <v>8</v>
      </c>
      <c r="D34" s="220"/>
      <c r="E34" s="559"/>
      <c r="F34" s="553"/>
      <c r="G34" s="552"/>
      <c r="H34" s="651"/>
      <c r="I34" s="369" t="str">
        <f t="shared" si="19"/>
        <v>-</v>
      </c>
      <c r="J34" s="369" t="str">
        <f t="shared" si="20"/>
        <v>-</v>
      </c>
      <c r="K34" s="194" t="str">
        <f t="shared" si="21"/>
        <v>-</v>
      </c>
      <c r="L34" s="653"/>
      <c r="M34" s="375" t="e">
        <f>RANK(K34, K$24:$K$41)</f>
        <v>#VALUE!</v>
      </c>
      <c r="N34" s="637"/>
      <c r="O34" s="637"/>
      <c r="P34" s="560" t="s">
        <v>557</v>
      </c>
      <c r="Q34" s="562" t="s">
        <v>557</v>
      </c>
      <c r="R34" s="562" t="s">
        <v>557</v>
      </c>
      <c r="S34" s="560" t="e">
        <f t="shared" si="22"/>
        <v>#VALUE!</v>
      </c>
      <c r="T34" s="633"/>
      <c r="U34" s="560" t="s">
        <v>557</v>
      </c>
      <c r="V34" s="562" t="s">
        <v>557</v>
      </c>
      <c r="W34" s="562" t="s">
        <v>557</v>
      </c>
      <c r="X34" s="560" t="e">
        <f t="shared" si="24"/>
        <v>#VALUE!</v>
      </c>
      <c r="Y34" s="633"/>
      <c r="Z34" s="560" t="s">
        <v>557</v>
      </c>
      <c r="AA34" s="562" t="s">
        <v>557</v>
      </c>
      <c r="AB34" s="562" t="s">
        <v>557</v>
      </c>
      <c r="AC34" s="560" t="e">
        <f t="shared" si="26"/>
        <v>#VALUE!</v>
      </c>
      <c r="AD34" s="633"/>
      <c r="AE34" s="560" t="s">
        <v>557</v>
      </c>
      <c r="AF34" s="562" t="s">
        <v>557</v>
      </c>
      <c r="AG34" s="562" t="s">
        <v>557</v>
      </c>
      <c r="AH34" s="560" t="e">
        <f t="shared" si="28"/>
        <v>#VALUE!</v>
      </c>
      <c r="AI34" s="633"/>
      <c r="AJ34" s="560" t="s">
        <v>557</v>
      </c>
      <c r="AK34" s="562" t="s">
        <v>557</v>
      </c>
      <c r="AL34" s="562" t="s">
        <v>557</v>
      </c>
      <c r="AM34" s="560" t="e">
        <f t="shared" si="30"/>
        <v>#VALUE!</v>
      </c>
      <c r="AN34" s="633"/>
      <c r="AO34" s="560" t="s">
        <v>557</v>
      </c>
      <c r="AP34" s="562" t="s">
        <v>557</v>
      </c>
      <c r="AQ34" s="562" t="s">
        <v>557</v>
      </c>
      <c r="AR34" s="560" t="e">
        <f t="shared" si="32"/>
        <v>#VALUE!</v>
      </c>
      <c r="AS34" s="633"/>
      <c r="AT34" s="560" t="s">
        <v>557</v>
      </c>
      <c r="AU34" s="562" t="s">
        <v>557</v>
      </c>
      <c r="AV34" s="562" t="s">
        <v>557</v>
      </c>
      <c r="AW34" s="560" t="e">
        <f t="shared" si="34"/>
        <v>#VALUE!</v>
      </c>
      <c r="AX34" s="633"/>
      <c r="AZ34" s="357" t="e">
        <f t="shared" si="36"/>
        <v>#N/A</v>
      </c>
      <c r="BA34" s="633"/>
    </row>
    <row r="35" spans="2:53">
      <c r="B35" s="643"/>
      <c r="C35" s="368">
        <v>9</v>
      </c>
      <c r="D35" s="220"/>
      <c r="E35" s="559"/>
      <c r="F35" s="553"/>
      <c r="G35" s="552"/>
      <c r="H35" s="651"/>
      <c r="I35" s="369" t="str">
        <f t="shared" si="19"/>
        <v>-</v>
      </c>
      <c r="J35" s="369" t="str">
        <f t="shared" si="20"/>
        <v>-</v>
      </c>
      <c r="K35" s="194" t="str">
        <f t="shared" si="21"/>
        <v>-</v>
      </c>
      <c r="L35" s="653"/>
      <c r="M35" s="375" t="e">
        <f>RANK(K35, K$24:$K$41)</f>
        <v>#VALUE!</v>
      </c>
      <c r="N35" s="637"/>
      <c r="O35" s="637"/>
      <c r="P35" s="560" t="s">
        <v>557</v>
      </c>
      <c r="Q35" s="562" t="s">
        <v>557</v>
      </c>
      <c r="R35" s="562" t="s">
        <v>557</v>
      </c>
      <c r="S35" s="560" t="e">
        <f t="shared" si="22"/>
        <v>#VALUE!</v>
      </c>
      <c r="T35" s="633"/>
      <c r="U35" s="560" t="s">
        <v>557</v>
      </c>
      <c r="V35" s="562" t="s">
        <v>557</v>
      </c>
      <c r="W35" s="562" t="s">
        <v>557</v>
      </c>
      <c r="X35" s="560" t="e">
        <f t="shared" si="24"/>
        <v>#VALUE!</v>
      </c>
      <c r="Y35" s="633"/>
      <c r="Z35" s="560" t="s">
        <v>557</v>
      </c>
      <c r="AA35" s="562" t="s">
        <v>557</v>
      </c>
      <c r="AB35" s="562" t="s">
        <v>557</v>
      </c>
      <c r="AC35" s="560" t="e">
        <f t="shared" si="26"/>
        <v>#VALUE!</v>
      </c>
      <c r="AD35" s="633"/>
      <c r="AE35" s="560" t="s">
        <v>557</v>
      </c>
      <c r="AF35" s="562" t="s">
        <v>557</v>
      </c>
      <c r="AG35" s="562" t="s">
        <v>557</v>
      </c>
      <c r="AH35" s="560" t="e">
        <f t="shared" si="28"/>
        <v>#VALUE!</v>
      </c>
      <c r="AI35" s="633"/>
      <c r="AJ35" s="560" t="s">
        <v>557</v>
      </c>
      <c r="AK35" s="562" t="s">
        <v>557</v>
      </c>
      <c r="AL35" s="562" t="s">
        <v>557</v>
      </c>
      <c r="AM35" s="560" t="e">
        <f t="shared" si="30"/>
        <v>#VALUE!</v>
      </c>
      <c r="AN35" s="633"/>
      <c r="AO35" s="560" t="s">
        <v>557</v>
      </c>
      <c r="AP35" s="562" t="s">
        <v>557</v>
      </c>
      <c r="AQ35" s="562" t="s">
        <v>557</v>
      </c>
      <c r="AR35" s="560" t="e">
        <f t="shared" si="32"/>
        <v>#VALUE!</v>
      </c>
      <c r="AS35" s="633"/>
      <c r="AT35" s="560" t="s">
        <v>557</v>
      </c>
      <c r="AU35" s="562" t="s">
        <v>557</v>
      </c>
      <c r="AV35" s="562" t="s">
        <v>557</v>
      </c>
      <c r="AW35" s="560" t="e">
        <f t="shared" si="34"/>
        <v>#VALUE!</v>
      </c>
      <c r="AX35" s="633"/>
      <c r="AZ35" s="357" t="e">
        <f t="shared" si="36"/>
        <v>#N/A</v>
      </c>
      <c r="BA35" s="633"/>
    </row>
    <row r="36" spans="2:53">
      <c r="B36" s="643"/>
      <c r="C36" s="368">
        <v>10</v>
      </c>
      <c r="D36" s="220"/>
      <c r="E36" s="559"/>
      <c r="F36" s="553"/>
      <c r="G36" s="552"/>
      <c r="H36" s="651"/>
      <c r="I36" s="369" t="str">
        <f t="shared" si="19"/>
        <v>-</v>
      </c>
      <c r="J36" s="369" t="str">
        <f t="shared" si="20"/>
        <v>-</v>
      </c>
      <c r="K36" s="194" t="str">
        <f t="shared" si="21"/>
        <v>-</v>
      </c>
      <c r="L36" s="653"/>
      <c r="M36" s="375" t="e">
        <f>RANK(K36, K$24:$K$41)</f>
        <v>#VALUE!</v>
      </c>
      <c r="N36" s="637"/>
      <c r="O36" s="637"/>
      <c r="P36" s="560" t="s">
        <v>557</v>
      </c>
      <c r="Q36" s="562" t="s">
        <v>557</v>
      </c>
      <c r="R36" s="562" t="s">
        <v>557</v>
      </c>
      <c r="S36" s="560" t="e">
        <f t="shared" si="22"/>
        <v>#VALUE!</v>
      </c>
      <c r="T36" s="633"/>
      <c r="U36" s="560" t="s">
        <v>557</v>
      </c>
      <c r="V36" s="562" t="s">
        <v>557</v>
      </c>
      <c r="W36" s="562" t="s">
        <v>557</v>
      </c>
      <c r="X36" s="560" t="e">
        <f t="shared" si="24"/>
        <v>#VALUE!</v>
      </c>
      <c r="Y36" s="633"/>
      <c r="Z36" s="560" t="s">
        <v>557</v>
      </c>
      <c r="AA36" s="562" t="s">
        <v>557</v>
      </c>
      <c r="AB36" s="562" t="s">
        <v>557</v>
      </c>
      <c r="AC36" s="560" t="e">
        <f t="shared" si="26"/>
        <v>#VALUE!</v>
      </c>
      <c r="AD36" s="633"/>
      <c r="AE36" s="560" t="s">
        <v>557</v>
      </c>
      <c r="AF36" s="562" t="s">
        <v>557</v>
      </c>
      <c r="AG36" s="562" t="s">
        <v>557</v>
      </c>
      <c r="AH36" s="560" t="e">
        <f t="shared" si="28"/>
        <v>#VALUE!</v>
      </c>
      <c r="AI36" s="633"/>
      <c r="AJ36" s="560" t="s">
        <v>557</v>
      </c>
      <c r="AK36" s="562" t="s">
        <v>557</v>
      </c>
      <c r="AL36" s="562" t="s">
        <v>557</v>
      </c>
      <c r="AM36" s="560" t="e">
        <f t="shared" si="30"/>
        <v>#VALUE!</v>
      </c>
      <c r="AN36" s="633"/>
      <c r="AO36" s="560" t="s">
        <v>557</v>
      </c>
      <c r="AP36" s="562" t="s">
        <v>557</v>
      </c>
      <c r="AQ36" s="562" t="s">
        <v>557</v>
      </c>
      <c r="AR36" s="560" t="e">
        <f t="shared" si="32"/>
        <v>#VALUE!</v>
      </c>
      <c r="AS36" s="633"/>
      <c r="AT36" s="560" t="s">
        <v>557</v>
      </c>
      <c r="AU36" s="562" t="s">
        <v>557</v>
      </c>
      <c r="AV36" s="562" t="s">
        <v>557</v>
      </c>
      <c r="AW36" s="560" t="e">
        <f t="shared" si="34"/>
        <v>#VALUE!</v>
      </c>
      <c r="AX36" s="633"/>
      <c r="AZ36" s="357" t="e">
        <f t="shared" si="36"/>
        <v>#N/A</v>
      </c>
      <c r="BA36" s="633"/>
    </row>
    <row r="37" spans="2:53">
      <c r="B37" s="643"/>
      <c r="C37" s="368">
        <v>11</v>
      </c>
      <c r="D37" s="220"/>
      <c r="E37" s="559"/>
      <c r="F37" s="553"/>
      <c r="G37" s="552"/>
      <c r="H37" s="651"/>
      <c r="I37" s="369" t="str">
        <f t="shared" si="19"/>
        <v>-</v>
      </c>
      <c r="J37" s="369" t="str">
        <f t="shared" si="20"/>
        <v>-</v>
      </c>
      <c r="K37" s="194" t="str">
        <f t="shared" si="21"/>
        <v>-</v>
      </c>
      <c r="L37" s="653"/>
      <c r="M37" s="375" t="e">
        <f>RANK(K37, K$24:$K$41)</f>
        <v>#VALUE!</v>
      </c>
      <c r="N37" s="637"/>
      <c r="O37" s="637"/>
      <c r="P37" s="560" t="s">
        <v>557</v>
      </c>
      <c r="Q37" s="562" t="s">
        <v>557</v>
      </c>
      <c r="R37" s="562" t="s">
        <v>557</v>
      </c>
      <c r="S37" s="560" t="e">
        <f t="shared" si="22"/>
        <v>#VALUE!</v>
      </c>
      <c r="T37" s="633"/>
      <c r="U37" s="560" t="s">
        <v>557</v>
      </c>
      <c r="V37" s="562" t="s">
        <v>557</v>
      </c>
      <c r="W37" s="562" t="s">
        <v>557</v>
      </c>
      <c r="X37" s="560" t="e">
        <f t="shared" si="24"/>
        <v>#VALUE!</v>
      </c>
      <c r="Y37" s="633"/>
      <c r="Z37" s="560" t="s">
        <v>557</v>
      </c>
      <c r="AA37" s="562" t="s">
        <v>557</v>
      </c>
      <c r="AB37" s="562" t="s">
        <v>557</v>
      </c>
      <c r="AC37" s="560" t="e">
        <f t="shared" si="26"/>
        <v>#VALUE!</v>
      </c>
      <c r="AD37" s="633"/>
      <c r="AE37" s="560" t="s">
        <v>557</v>
      </c>
      <c r="AF37" s="562" t="s">
        <v>557</v>
      </c>
      <c r="AG37" s="562" t="s">
        <v>557</v>
      </c>
      <c r="AH37" s="560" t="e">
        <f t="shared" si="28"/>
        <v>#VALUE!</v>
      </c>
      <c r="AI37" s="633"/>
      <c r="AJ37" s="560" t="s">
        <v>557</v>
      </c>
      <c r="AK37" s="562" t="s">
        <v>557</v>
      </c>
      <c r="AL37" s="562" t="s">
        <v>557</v>
      </c>
      <c r="AM37" s="560" t="e">
        <f t="shared" si="30"/>
        <v>#VALUE!</v>
      </c>
      <c r="AN37" s="633"/>
      <c r="AO37" s="560" t="s">
        <v>557</v>
      </c>
      <c r="AP37" s="562" t="s">
        <v>557</v>
      </c>
      <c r="AQ37" s="562" t="s">
        <v>557</v>
      </c>
      <c r="AR37" s="560" t="e">
        <f t="shared" si="32"/>
        <v>#VALUE!</v>
      </c>
      <c r="AS37" s="633"/>
      <c r="AT37" s="560" t="s">
        <v>557</v>
      </c>
      <c r="AU37" s="562" t="s">
        <v>557</v>
      </c>
      <c r="AV37" s="562" t="s">
        <v>557</v>
      </c>
      <c r="AW37" s="560" t="e">
        <f t="shared" si="34"/>
        <v>#VALUE!</v>
      </c>
      <c r="AX37" s="633"/>
      <c r="AZ37" s="357" t="e">
        <f t="shared" si="36"/>
        <v>#N/A</v>
      </c>
      <c r="BA37" s="633"/>
    </row>
    <row r="38" spans="2:53">
      <c r="B38" s="643"/>
      <c r="C38" s="368">
        <v>12</v>
      </c>
      <c r="D38" s="220"/>
      <c r="E38" s="559"/>
      <c r="F38" s="553"/>
      <c r="G38" s="552"/>
      <c r="H38" s="651"/>
      <c r="I38" s="369" t="str">
        <f t="shared" si="19"/>
        <v>-</v>
      </c>
      <c r="J38" s="369" t="str">
        <f t="shared" si="20"/>
        <v>-</v>
      </c>
      <c r="K38" s="194" t="str">
        <f t="shared" si="21"/>
        <v>-</v>
      </c>
      <c r="L38" s="653"/>
      <c r="M38" s="375" t="e">
        <f>RANK(K38, K$24:$K$41)</f>
        <v>#VALUE!</v>
      </c>
      <c r="N38" s="637"/>
      <c r="O38" s="637"/>
      <c r="P38" s="560" t="s">
        <v>557</v>
      </c>
      <c r="Q38" s="562" t="s">
        <v>557</v>
      </c>
      <c r="R38" s="562" t="s">
        <v>557</v>
      </c>
      <c r="S38" s="560" t="e">
        <f t="shared" si="22"/>
        <v>#VALUE!</v>
      </c>
      <c r="T38" s="633"/>
      <c r="U38" s="560" t="s">
        <v>557</v>
      </c>
      <c r="V38" s="562" t="s">
        <v>557</v>
      </c>
      <c r="W38" s="562" t="s">
        <v>557</v>
      </c>
      <c r="X38" s="560" t="e">
        <f t="shared" si="24"/>
        <v>#VALUE!</v>
      </c>
      <c r="Y38" s="633"/>
      <c r="Z38" s="560" t="s">
        <v>557</v>
      </c>
      <c r="AA38" s="562" t="s">
        <v>557</v>
      </c>
      <c r="AB38" s="562" t="s">
        <v>557</v>
      </c>
      <c r="AC38" s="560" t="e">
        <f t="shared" si="26"/>
        <v>#VALUE!</v>
      </c>
      <c r="AD38" s="633"/>
      <c r="AE38" s="560" t="s">
        <v>557</v>
      </c>
      <c r="AF38" s="562" t="s">
        <v>557</v>
      </c>
      <c r="AG38" s="562" t="s">
        <v>557</v>
      </c>
      <c r="AH38" s="560" t="e">
        <f t="shared" si="28"/>
        <v>#VALUE!</v>
      </c>
      <c r="AI38" s="633"/>
      <c r="AJ38" s="560" t="s">
        <v>557</v>
      </c>
      <c r="AK38" s="562" t="s">
        <v>557</v>
      </c>
      <c r="AL38" s="562" t="s">
        <v>557</v>
      </c>
      <c r="AM38" s="560" t="e">
        <f t="shared" si="30"/>
        <v>#VALUE!</v>
      </c>
      <c r="AN38" s="633"/>
      <c r="AO38" s="560" t="s">
        <v>557</v>
      </c>
      <c r="AP38" s="562" t="s">
        <v>557</v>
      </c>
      <c r="AQ38" s="562" t="s">
        <v>557</v>
      </c>
      <c r="AR38" s="560" t="e">
        <f t="shared" si="32"/>
        <v>#VALUE!</v>
      </c>
      <c r="AS38" s="633"/>
      <c r="AT38" s="560" t="s">
        <v>557</v>
      </c>
      <c r="AU38" s="562" t="s">
        <v>557</v>
      </c>
      <c r="AV38" s="562" t="s">
        <v>557</v>
      </c>
      <c r="AW38" s="560" t="e">
        <f t="shared" si="34"/>
        <v>#VALUE!</v>
      </c>
      <c r="AX38" s="633"/>
      <c r="AZ38" s="357" t="e">
        <f t="shared" si="36"/>
        <v>#N/A</v>
      </c>
      <c r="BA38" s="633"/>
    </row>
    <row r="39" spans="2:53">
      <c r="B39" s="643"/>
      <c r="C39" s="368">
        <v>13</v>
      </c>
      <c r="D39" s="220"/>
      <c r="E39" s="559"/>
      <c r="F39" s="553"/>
      <c r="G39" s="552"/>
      <c r="H39" s="651"/>
      <c r="I39" s="369" t="str">
        <f t="shared" si="19"/>
        <v>-</v>
      </c>
      <c r="J39" s="369" t="str">
        <f t="shared" si="20"/>
        <v>-</v>
      </c>
      <c r="K39" s="194" t="str">
        <f t="shared" si="21"/>
        <v>-</v>
      </c>
      <c r="L39" s="653"/>
      <c r="M39" s="375" t="e">
        <f>RANK(K39, K$24:$K$41)</f>
        <v>#VALUE!</v>
      </c>
      <c r="N39" s="637"/>
      <c r="O39" s="637"/>
      <c r="P39" s="560" t="s">
        <v>557</v>
      </c>
      <c r="Q39" s="562" t="s">
        <v>557</v>
      </c>
      <c r="R39" s="562" t="s">
        <v>557</v>
      </c>
      <c r="S39" s="560" t="e">
        <f t="shared" si="22"/>
        <v>#VALUE!</v>
      </c>
      <c r="T39" s="633"/>
      <c r="U39" s="560" t="s">
        <v>557</v>
      </c>
      <c r="V39" s="562" t="s">
        <v>557</v>
      </c>
      <c r="W39" s="562" t="s">
        <v>557</v>
      </c>
      <c r="X39" s="560" t="e">
        <f t="shared" si="24"/>
        <v>#VALUE!</v>
      </c>
      <c r="Y39" s="633"/>
      <c r="Z39" s="560" t="s">
        <v>557</v>
      </c>
      <c r="AA39" s="562" t="s">
        <v>557</v>
      </c>
      <c r="AB39" s="562" t="s">
        <v>557</v>
      </c>
      <c r="AC39" s="560" t="e">
        <f t="shared" si="26"/>
        <v>#VALUE!</v>
      </c>
      <c r="AD39" s="633"/>
      <c r="AE39" s="560" t="s">
        <v>557</v>
      </c>
      <c r="AF39" s="562" t="s">
        <v>557</v>
      </c>
      <c r="AG39" s="562" t="s">
        <v>557</v>
      </c>
      <c r="AH39" s="560" t="e">
        <f t="shared" si="28"/>
        <v>#VALUE!</v>
      </c>
      <c r="AI39" s="633"/>
      <c r="AJ39" s="560" t="s">
        <v>557</v>
      </c>
      <c r="AK39" s="562" t="s">
        <v>557</v>
      </c>
      <c r="AL39" s="562" t="s">
        <v>557</v>
      </c>
      <c r="AM39" s="560" t="e">
        <f t="shared" si="30"/>
        <v>#VALUE!</v>
      </c>
      <c r="AN39" s="633"/>
      <c r="AO39" s="560" t="s">
        <v>557</v>
      </c>
      <c r="AP39" s="562" t="s">
        <v>557</v>
      </c>
      <c r="AQ39" s="562" t="s">
        <v>557</v>
      </c>
      <c r="AR39" s="560" t="e">
        <f t="shared" si="32"/>
        <v>#VALUE!</v>
      </c>
      <c r="AS39" s="633"/>
      <c r="AT39" s="560" t="s">
        <v>557</v>
      </c>
      <c r="AU39" s="562" t="s">
        <v>557</v>
      </c>
      <c r="AV39" s="562" t="s">
        <v>557</v>
      </c>
      <c r="AW39" s="560" t="e">
        <f t="shared" si="34"/>
        <v>#VALUE!</v>
      </c>
      <c r="AX39" s="633"/>
      <c r="AZ39" s="357" t="e">
        <f t="shared" si="36"/>
        <v>#N/A</v>
      </c>
      <c r="BA39" s="633"/>
    </row>
    <row r="40" spans="2:53">
      <c r="B40" s="643"/>
      <c r="C40" s="368">
        <v>14</v>
      </c>
      <c r="D40" s="220"/>
      <c r="E40" s="559"/>
      <c r="F40" s="553"/>
      <c r="G40" s="552"/>
      <c r="H40" s="651"/>
      <c r="I40" s="369" t="str">
        <f t="shared" si="19"/>
        <v>-</v>
      </c>
      <c r="J40" s="369" t="str">
        <f t="shared" si="20"/>
        <v>-</v>
      </c>
      <c r="K40" s="194" t="str">
        <f t="shared" si="21"/>
        <v>-</v>
      </c>
      <c r="L40" s="653"/>
      <c r="M40" s="375" t="e">
        <f>RANK(K40, K$24:$K$41)</f>
        <v>#VALUE!</v>
      </c>
      <c r="N40" s="637"/>
      <c r="O40" s="637"/>
      <c r="P40" s="560" t="s">
        <v>557</v>
      </c>
      <c r="Q40" s="562" t="s">
        <v>557</v>
      </c>
      <c r="R40" s="562" t="s">
        <v>557</v>
      </c>
      <c r="S40" s="560" t="e">
        <f t="shared" si="22"/>
        <v>#VALUE!</v>
      </c>
      <c r="T40" s="633"/>
      <c r="U40" s="560" t="s">
        <v>557</v>
      </c>
      <c r="V40" s="562" t="s">
        <v>557</v>
      </c>
      <c r="W40" s="562" t="s">
        <v>557</v>
      </c>
      <c r="X40" s="560" t="e">
        <f t="shared" si="24"/>
        <v>#VALUE!</v>
      </c>
      <c r="Y40" s="633"/>
      <c r="Z40" s="560" t="s">
        <v>557</v>
      </c>
      <c r="AA40" s="562" t="s">
        <v>557</v>
      </c>
      <c r="AB40" s="562" t="s">
        <v>557</v>
      </c>
      <c r="AC40" s="560" t="e">
        <f t="shared" si="26"/>
        <v>#VALUE!</v>
      </c>
      <c r="AD40" s="633"/>
      <c r="AE40" s="560" t="s">
        <v>557</v>
      </c>
      <c r="AF40" s="562" t="s">
        <v>557</v>
      </c>
      <c r="AG40" s="562" t="s">
        <v>557</v>
      </c>
      <c r="AH40" s="560" t="e">
        <f t="shared" si="28"/>
        <v>#VALUE!</v>
      </c>
      <c r="AI40" s="633"/>
      <c r="AJ40" s="560" t="s">
        <v>557</v>
      </c>
      <c r="AK40" s="562" t="s">
        <v>557</v>
      </c>
      <c r="AL40" s="562" t="s">
        <v>557</v>
      </c>
      <c r="AM40" s="560" t="e">
        <f t="shared" si="30"/>
        <v>#VALUE!</v>
      </c>
      <c r="AN40" s="633"/>
      <c r="AO40" s="560" t="s">
        <v>557</v>
      </c>
      <c r="AP40" s="562" t="s">
        <v>557</v>
      </c>
      <c r="AQ40" s="562" t="s">
        <v>557</v>
      </c>
      <c r="AR40" s="560" t="e">
        <f t="shared" si="32"/>
        <v>#VALUE!</v>
      </c>
      <c r="AS40" s="633"/>
      <c r="AT40" s="560" t="s">
        <v>557</v>
      </c>
      <c r="AU40" s="562" t="s">
        <v>557</v>
      </c>
      <c r="AV40" s="562" t="s">
        <v>557</v>
      </c>
      <c r="AW40" s="560" t="e">
        <f t="shared" si="34"/>
        <v>#VALUE!</v>
      </c>
      <c r="AX40" s="633"/>
      <c r="AZ40" s="357" t="e">
        <f t="shared" si="36"/>
        <v>#N/A</v>
      </c>
      <c r="BA40" s="633"/>
    </row>
    <row r="41" spans="2:53">
      <c r="B41" s="643"/>
      <c r="C41" s="368">
        <v>15</v>
      </c>
      <c r="D41" s="220"/>
      <c r="E41" s="559"/>
      <c r="F41" s="553"/>
      <c r="G41" s="552"/>
      <c r="H41" s="708"/>
      <c r="I41" s="368"/>
      <c r="J41" s="368"/>
      <c r="K41" s="368"/>
      <c r="L41" s="654"/>
      <c r="M41" s="375" t="e">
        <f>RANK(K41, K$24:$K$41)</f>
        <v>#N/A</v>
      </c>
      <c r="N41" s="637"/>
      <c r="O41" s="637"/>
      <c r="P41" s="560" t="s">
        <v>557</v>
      </c>
      <c r="Q41" s="562" t="s">
        <v>557</v>
      </c>
      <c r="R41" s="562" t="s">
        <v>557</v>
      </c>
      <c r="S41" s="560" t="e">
        <f t="shared" si="22"/>
        <v>#VALUE!</v>
      </c>
      <c r="T41" s="634"/>
      <c r="U41" s="560" t="s">
        <v>557</v>
      </c>
      <c r="V41" s="562" t="s">
        <v>557</v>
      </c>
      <c r="W41" s="562" t="s">
        <v>557</v>
      </c>
      <c r="X41" s="560" t="e">
        <f t="shared" si="24"/>
        <v>#VALUE!</v>
      </c>
      <c r="Y41" s="634"/>
      <c r="Z41" s="560" t="s">
        <v>557</v>
      </c>
      <c r="AA41" s="562" t="s">
        <v>557</v>
      </c>
      <c r="AB41" s="562" t="s">
        <v>557</v>
      </c>
      <c r="AC41" s="560" t="e">
        <f t="shared" si="26"/>
        <v>#VALUE!</v>
      </c>
      <c r="AD41" s="634"/>
      <c r="AE41" s="560" t="s">
        <v>557</v>
      </c>
      <c r="AF41" s="562" t="s">
        <v>557</v>
      </c>
      <c r="AG41" s="562" t="s">
        <v>557</v>
      </c>
      <c r="AH41" s="560" t="e">
        <f t="shared" si="28"/>
        <v>#VALUE!</v>
      </c>
      <c r="AI41" s="634"/>
      <c r="AJ41" s="560" t="s">
        <v>557</v>
      </c>
      <c r="AK41" s="562" t="s">
        <v>557</v>
      </c>
      <c r="AL41" s="562" t="s">
        <v>557</v>
      </c>
      <c r="AM41" s="560" t="e">
        <f t="shared" si="30"/>
        <v>#VALUE!</v>
      </c>
      <c r="AN41" s="634"/>
      <c r="AO41" s="560" t="s">
        <v>557</v>
      </c>
      <c r="AP41" s="562" t="s">
        <v>557</v>
      </c>
      <c r="AQ41" s="562" t="s">
        <v>557</v>
      </c>
      <c r="AR41" s="560" t="e">
        <f t="shared" si="32"/>
        <v>#VALUE!</v>
      </c>
      <c r="AS41" s="634"/>
      <c r="AT41" s="560" t="s">
        <v>557</v>
      </c>
      <c r="AU41" s="562" t="s">
        <v>557</v>
      </c>
      <c r="AV41" s="562" t="s">
        <v>557</v>
      </c>
      <c r="AW41" s="560" t="e">
        <f t="shared" si="34"/>
        <v>#VALUE!</v>
      </c>
      <c r="AX41" s="634"/>
      <c r="AZ41" s="357" t="e">
        <f t="shared" si="36"/>
        <v>#N/A</v>
      </c>
      <c r="BA41" s="634"/>
    </row>
    <row r="42" spans="2:53" ht="15.75">
      <c r="B42" s="676" t="s">
        <v>162</v>
      </c>
      <c r="C42" s="677"/>
      <c r="D42" s="677"/>
      <c r="E42" s="677"/>
      <c r="F42" s="677"/>
      <c r="G42" s="677"/>
      <c r="H42" s="677"/>
      <c r="I42" s="202"/>
      <c r="J42" s="197"/>
      <c r="K42" s="202"/>
      <c r="L42" s="202"/>
      <c r="M42" s="198"/>
      <c r="N42" s="639" t="s">
        <v>156</v>
      </c>
      <c r="O42" s="639" t="s">
        <v>105</v>
      </c>
      <c r="P42" s="664">
        <f>P22+7</f>
        <v>46308</v>
      </c>
      <c r="Q42" s="643"/>
      <c r="R42" s="643"/>
      <c r="S42" s="643"/>
      <c r="T42" s="643"/>
      <c r="U42" s="661">
        <f>P42+1</f>
        <v>46309</v>
      </c>
      <c r="V42" s="662"/>
      <c r="W42" s="662"/>
      <c r="X42" s="662"/>
      <c r="Y42" s="663"/>
      <c r="Z42" s="661">
        <f>U42+1</f>
        <v>46310</v>
      </c>
      <c r="AA42" s="662"/>
      <c r="AB42" s="662"/>
      <c r="AC42" s="662"/>
      <c r="AD42" s="663"/>
      <c r="AE42" s="661">
        <f>Z42+1</f>
        <v>46311</v>
      </c>
      <c r="AF42" s="662"/>
      <c r="AG42" s="662"/>
      <c r="AH42" s="662"/>
      <c r="AI42" s="663"/>
      <c r="AJ42" s="661">
        <f>AE42+1</f>
        <v>46312</v>
      </c>
      <c r="AK42" s="662"/>
      <c r="AL42" s="662"/>
      <c r="AM42" s="662"/>
      <c r="AN42" s="663"/>
      <c r="AO42" s="661">
        <f>AJ42+1</f>
        <v>46313</v>
      </c>
      <c r="AP42" s="662"/>
      <c r="AQ42" s="662"/>
      <c r="AR42" s="662"/>
      <c r="AS42" s="663"/>
      <c r="AT42" s="661">
        <f>AO42+1</f>
        <v>46314</v>
      </c>
      <c r="AU42" s="662"/>
      <c r="AV42" s="662"/>
      <c r="AW42" s="662"/>
      <c r="AX42" s="663"/>
    </row>
    <row r="43" spans="2:53" ht="15.75">
      <c r="B43" s="668"/>
      <c r="C43" s="668"/>
      <c r="D43" s="668"/>
      <c r="E43" s="668"/>
      <c r="F43" s="668"/>
      <c r="G43" s="668"/>
      <c r="H43" s="668"/>
      <c r="I43" s="199"/>
      <c r="J43" s="199"/>
      <c r="K43" s="199"/>
      <c r="L43" s="199"/>
      <c r="M43" s="200"/>
      <c r="N43" s="641"/>
      <c r="O43" s="641"/>
      <c r="P43" s="664" t="s">
        <v>317</v>
      </c>
      <c r="Q43" s="643"/>
      <c r="R43" s="643"/>
      <c r="S43" s="643"/>
      <c r="T43" s="643"/>
      <c r="U43" s="664" t="s">
        <v>318</v>
      </c>
      <c r="V43" s="643"/>
      <c r="W43" s="643"/>
      <c r="X43" s="643"/>
      <c r="Y43" s="643"/>
      <c r="Z43" s="664" t="s">
        <v>319</v>
      </c>
      <c r="AA43" s="643"/>
      <c r="AB43" s="643"/>
      <c r="AC43" s="643"/>
      <c r="AD43" s="643"/>
      <c r="AE43" s="664" t="s">
        <v>320</v>
      </c>
      <c r="AF43" s="643"/>
      <c r="AG43" s="643"/>
      <c r="AH43" s="643"/>
      <c r="AI43" s="643"/>
      <c r="AJ43" s="664" t="s">
        <v>321</v>
      </c>
      <c r="AK43" s="643"/>
      <c r="AL43" s="643"/>
      <c r="AM43" s="643"/>
      <c r="AN43" s="643"/>
      <c r="AO43" s="664" t="s">
        <v>322</v>
      </c>
      <c r="AP43" s="643"/>
      <c r="AQ43" s="643"/>
      <c r="AR43" s="643"/>
      <c r="AS43" s="643"/>
      <c r="AT43" s="664" t="s">
        <v>323</v>
      </c>
      <c r="AU43" s="643"/>
      <c r="AV43" s="643"/>
      <c r="AW43" s="643"/>
      <c r="AX43" s="643"/>
    </row>
    <row r="44" spans="2:53">
      <c r="B44" s="637" t="s">
        <v>444</v>
      </c>
      <c r="C44" s="637" t="s">
        <v>521</v>
      </c>
      <c r="D44" s="637"/>
      <c r="E44" s="637" t="s">
        <v>522</v>
      </c>
      <c r="F44" s="637"/>
      <c r="G44" s="637"/>
      <c r="H44" s="669" t="s">
        <v>523</v>
      </c>
      <c r="I44" s="637" t="s">
        <v>524</v>
      </c>
      <c r="J44" s="637"/>
      <c r="K44" s="637"/>
      <c r="L44" s="669" t="s">
        <v>357</v>
      </c>
      <c r="M44" s="639" t="s">
        <v>525</v>
      </c>
      <c r="N44" s="637"/>
      <c r="O44" s="637" t="s">
        <v>363</v>
      </c>
      <c r="P44" s="655" t="s">
        <v>359</v>
      </c>
      <c r="Q44" s="656"/>
      <c r="R44" s="656"/>
      <c r="S44" s="657"/>
      <c r="T44" s="637" t="s">
        <v>357</v>
      </c>
      <c r="U44" s="655" t="s">
        <v>359</v>
      </c>
      <c r="V44" s="656"/>
      <c r="W44" s="656"/>
      <c r="X44" s="657"/>
      <c r="Y44" s="637" t="s">
        <v>357</v>
      </c>
      <c r="Z44" s="655" t="s">
        <v>359</v>
      </c>
      <c r="AA44" s="656"/>
      <c r="AB44" s="656"/>
      <c r="AC44" s="657"/>
      <c r="AD44" s="637" t="s">
        <v>357</v>
      </c>
      <c r="AE44" s="655" t="s">
        <v>359</v>
      </c>
      <c r="AF44" s="656"/>
      <c r="AG44" s="656"/>
      <c r="AH44" s="657"/>
      <c r="AI44" s="637" t="s">
        <v>357</v>
      </c>
      <c r="AJ44" s="655" t="s">
        <v>359</v>
      </c>
      <c r="AK44" s="656"/>
      <c r="AL44" s="656"/>
      <c r="AM44" s="657"/>
      <c r="AN44" s="637" t="s">
        <v>357</v>
      </c>
      <c r="AO44" s="655" t="s">
        <v>359</v>
      </c>
      <c r="AP44" s="656"/>
      <c r="AQ44" s="656"/>
      <c r="AR44" s="657"/>
      <c r="AS44" s="637" t="s">
        <v>357</v>
      </c>
      <c r="AT44" s="655" t="s">
        <v>359</v>
      </c>
      <c r="AU44" s="656"/>
      <c r="AV44" s="656"/>
      <c r="AW44" s="657"/>
      <c r="AX44" s="637" t="s">
        <v>357</v>
      </c>
      <c r="BA44" s="637" t="s">
        <v>357</v>
      </c>
    </row>
    <row r="45" spans="2:53">
      <c r="B45" s="637"/>
      <c r="C45" s="637"/>
      <c r="D45" s="637"/>
      <c r="E45" s="637" t="s">
        <v>527</v>
      </c>
      <c r="F45" s="637"/>
      <c r="G45" s="637"/>
      <c r="H45" s="670"/>
      <c r="I45" s="637" t="s">
        <v>527</v>
      </c>
      <c r="J45" s="637"/>
      <c r="K45" s="637"/>
      <c r="L45" s="670"/>
      <c r="M45" s="640"/>
      <c r="N45" s="637"/>
      <c r="O45" s="637"/>
      <c r="P45" s="655" t="s">
        <v>365</v>
      </c>
      <c r="Q45" s="656"/>
      <c r="R45" s="656"/>
      <c r="S45" s="657"/>
      <c r="T45" s="637"/>
      <c r="U45" s="655" t="s">
        <v>365</v>
      </c>
      <c r="V45" s="656"/>
      <c r="W45" s="656"/>
      <c r="X45" s="657"/>
      <c r="Y45" s="637"/>
      <c r="Z45" s="655" t="s">
        <v>365</v>
      </c>
      <c r="AA45" s="656"/>
      <c r="AB45" s="656"/>
      <c r="AC45" s="657"/>
      <c r="AD45" s="637"/>
      <c r="AE45" s="655" t="s">
        <v>365</v>
      </c>
      <c r="AF45" s="656"/>
      <c r="AG45" s="656"/>
      <c r="AH45" s="657"/>
      <c r="AI45" s="637"/>
      <c r="AJ45" s="655" t="s">
        <v>365</v>
      </c>
      <c r="AK45" s="656"/>
      <c r="AL45" s="656"/>
      <c r="AM45" s="657"/>
      <c r="AN45" s="637"/>
      <c r="AO45" s="655" t="s">
        <v>365</v>
      </c>
      <c r="AP45" s="656"/>
      <c r="AQ45" s="656"/>
      <c r="AR45" s="657"/>
      <c r="AS45" s="637"/>
      <c r="AT45" s="655" t="s">
        <v>365</v>
      </c>
      <c r="AU45" s="656"/>
      <c r="AV45" s="656"/>
      <c r="AW45" s="657"/>
      <c r="AX45" s="637"/>
      <c r="BA45" s="637"/>
    </row>
    <row r="46" spans="2:53">
      <c r="B46" s="637"/>
      <c r="C46" s="637"/>
      <c r="D46" s="637"/>
      <c r="E46" s="366" t="s">
        <v>528</v>
      </c>
      <c r="F46" s="366" t="s">
        <v>529</v>
      </c>
      <c r="G46" s="366" t="s">
        <v>530</v>
      </c>
      <c r="H46" s="671"/>
      <c r="I46" s="366" t="s">
        <v>528</v>
      </c>
      <c r="J46" s="366" t="s">
        <v>529</v>
      </c>
      <c r="K46" s="366" t="s">
        <v>530</v>
      </c>
      <c r="L46" s="671"/>
      <c r="M46" s="641"/>
      <c r="N46" s="637"/>
      <c r="O46" s="637"/>
      <c r="P46" s="366" t="s">
        <v>366</v>
      </c>
      <c r="Q46" s="366" t="s">
        <v>367</v>
      </c>
      <c r="R46" s="366" t="s">
        <v>368</v>
      </c>
      <c r="S46" s="366" t="s">
        <v>358</v>
      </c>
      <c r="T46" s="637"/>
      <c r="U46" s="366" t="s">
        <v>366</v>
      </c>
      <c r="V46" s="366" t="s">
        <v>367</v>
      </c>
      <c r="W46" s="366" t="s">
        <v>368</v>
      </c>
      <c r="X46" s="366" t="s">
        <v>358</v>
      </c>
      <c r="Y46" s="637"/>
      <c r="Z46" s="366" t="s">
        <v>366</v>
      </c>
      <c r="AA46" s="366" t="s">
        <v>367</v>
      </c>
      <c r="AB46" s="366" t="s">
        <v>368</v>
      </c>
      <c r="AC46" s="366" t="s">
        <v>358</v>
      </c>
      <c r="AD46" s="637"/>
      <c r="AE46" s="366" t="s">
        <v>366</v>
      </c>
      <c r="AF46" s="366" t="s">
        <v>367</v>
      </c>
      <c r="AG46" s="366" t="s">
        <v>368</v>
      </c>
      <c r="AH46" s="366" t="s">
        <v>358</v>
      </c>
      <c r="AI46" s="637"/>
      <c r="AJ46" s="366" t="s">
        <v>366</v>
      </c>
      <c r="AK46" s="366" t="s">
        <v>367</v>
      </c>
      <c r="AL46" s="366" t="s">
        <v>368</v>
      </c>
      <c r="AM46" s="366" t="s">
        <v>358</v>
      </c>
      <c r="AN46" s="637"/>
      <c r="AO46" s="366" t="s">
        <v>366</v>
      </c>
      <c r="AP46" s="366" t="s">
        <v>367</v>
      </c>
      <c r="AQ46" s="366" t="s">
        <v>368</v>
      </c>
      <c r="AR46" s="366" t="s">
        <v>358</v>
      </c>
      <c r="AS46" s="637"/>
      <c r="AT46" s="366" t="s">
        <v>366</v>
      </c>
      <c r="AU46" s="366" t="s">
        <v>367</v>
      </c>
      <c r="AV46" s="366" t="s">
        <v>368</v>
      </c>
      <c r="AW46" s="366" t="s">
        <v>358</v>
      </c>
      <c r="AX46" s="637"/>
      <c r="AZ46" s="356" t="s">
        <v>546</v>
      </c>
      <c r="BA46" s="637"/>
    </row>
    <row r="47" spans="2:53">
      <c r="B47" s="637" t="s">
        <v>459</v>
      </c>
      <c r="C47" s="368">
        <v>1</v>
      </c>
      <c r="D47" s="220"/>
      <c r="E47" s="559"/>
      <c r="F47" s="553"/>
      <c r="G47" s="552"/>
      <c r="H47" s="650" t="e">
        <f>AVERAGE(G47:G61)</f>
        <v>#DIV/0!</v>
      </c>
      <c r="I47" s="369" t="str">
        <f t="shared" ref="I47:I60" si="38">IFERROR(AVERAGE(P47,U47,Z47,AE47,AJ47,AO47,AT47),"-")</f>
        <v>-</v>
      </c>
      <c r="J47" s="369" t="str">
        <f t="shared" ref="J47:J60" si="39">IFERROR(AVERAGE(Q47,V47,AA47,AF47,AK47,AP47,AU47),"-")</f>
        <v>-</v>
      </c>
      <c r="K47" s="194" t="str">
        <f t="shared" ref="K47:K60" si="40">IFERROR(AVERAGE(R47,W47,AB47,AG47,AL47,AQ47,AV47),"-")</f>
        <v>-</v>
      </c>
      <c r="L47" s="652" t="str">
        <f>IFERROR(AVERAGE(K47:K61),"-")</f>
        <v>-</v>
      </c>
      <c r="M47" s="372" t="e">
        <f>RANK(K47, K$47:$K$61)</f>
        <v>#VALUE!</v>
      </c>
      <c r="N47" s="637"/>
      <c r="O47" s="637"/>
      <c r="P47" s="538"/>
      <c r="Q47" s="540"/>
      <c r="R47" s="540"/>
      <c r="S47" s="538"/>
      <c r="T47" s="632"/>
      <c r="U47" s="538"/>
      <c r="V47" s="540"/>
      <c r="W47" s="540"/>
      <c r="X47" s="538"/>
      <c r="Y47" s="632"/>
      <c r="Z47" s="538"/>
      <c r="AA47" s="540"/>
      <c r="AB47" s="540"/>
      <c r="AC47" s="538"/>
      <c r="AD47" s="632"/>
      <c r="AE47" s="538"/>
      <c r="AF47" s="540"/>
      <c r="AG47" s="540"/>
      <c r="AH47" s="538"/>
      <c r="AI47" s="632"/>
      <c r="AJ47" s="538"/>
      <c r="AK47" s="540"/>
      <c r="AL47" s="540"/>
      <c r="AM47" s="538"/>
      <c r="AN47" s="632"/>
      <c r="AO47" s="538"/>
      <c r="AP47" s="540"/>
      <c r="AQ47" s="540"/>
      <c r="AR47" s="538"/>
      <c r="AS47" s="632"/>
      <c r="AT47" s="538"/>
      <c r="AU47" s="540"/>
      <c r="AV47" s="540"/>
      <c r="AW47" s="538"/>
      <c r="AX47" s="632"/>
      <c r="AZ47" s="357" t="e">
        <f t="shared" ref="AZ47:AZ61" si="41">RANK(AY47, AY$47:AY$61)</f>
        <v>#N/A</v>
      </c>
      <c r="BA47" s="632" t="e">
        <f t="shared" ref="BA47" si="42">AVERAGE(AY47:AY61)</f>
        <v>#DIV/0!</v>
      </c>
    </row>
    <row r="48" spans="2:53">
      <c r="B48" s="643"/>
      <c r="C48" s="368">
        <v>2</v>
      </c>
      <c r="D48" s="220"/>
      <c r="E48" s="559"/>
      <c r="F48" s="553"/>
      <c r="G48" s="552"/>
      <c r="H48" s="651"/>
      <c r="I48" s="369" t="str">
        <f t="shared" si="38"/>
        <v>-</v>
      </c>
      <c r="J48" s="369" t="str">
        <f t="shared" si="39"/>
        <v>-</v>
      </c>
      <c r="K48" s="194" t="str">
        <f t="shared" si="40"/>
        <v>-</v>
      </c>
      <c r="L48" s="653"/>
      <c r="M48" s="390" t="e">
        <f>RANK(K48, K$47:$K$61)</f>
        <v>#VALUE!</v>
      </c>
      <c r="N48" s="637"/>
      <c r="O48" s="637"/>
      <c r="P48" s="538"/>
      <c r="Q48" s="540"/>
      <c r="R48" s="540"/>
      <c r="S48" s="538"/>
      <c r="T48" s="633"/>
      <c r="U48" s="538"/>
      <c r="V48" s="540"/>
      <c r="W48" s="540"/>
      <c r="X48" s="538"/>
      <c r="Y48" s="633"/>
      <c r="Z48" s="538"/>
      <c r="AA48" s="540"/>
      <c r="AB48" s="540"/>
      <c r="AC48" s="538"/>
      <c r="AD48" s="633"/>
      <c r="AE48" s="538"/>
      <c r="AF48" s="540"/>
      <c r="AG48" s="540"/>
      <c r="AH48" s="538"/>
      <c r="AI48" s="633"/>
      <c r="AJ48" s="538"/>
      <c r="AK48" s="540"/>
      <c r="AL48" s="540"/>
      <c r="AM48" s="538"/>
      <c r="AN48" s="633"/>
      <c r="AO48" s="538"/>
      <c r="AP48" s="540"/>
      <c r="AQ48" s="540"/>
      <c r="AR48" s="538"/>
      <c r="AS48" s="633"/>
      <c r="AT48" s="538"/>
      <c r="AU48" s="540"/>
      <c r="AV48" s="540"/>
      <c r="AW48" s="538"/>
      <c r="AX48" s="633"/>
      <c r="AZ48" s="388" t="e">
        <f t="shared" si="41"/>
        <v>#N/A</v>
      </c>
      <c r="BA48" s="633"/>
    </row>
    <row r="49" spans="2:53">
      <c r="B49" s="643"/>
      <c r="C49" s="368">
        <v>3</v>
      </c>
      <c r="D49" s="220"/>
      <c r="E49" s="559"/>
      <c r="F49" s="553"/>
      <c r="G49" s="552"/>
      <c r="H49" s="651"/>
      <c r="I49" s="369" t="str">
        <f t="shared" si="38"/>
        <v>-</v>
      </c>
      <c r="J49" s="369" t="str">
        <f t="shared" si="39"/>
        <v>-</v>
      </c>
      <c r="K49" s="194" t="str">
        <f t="shared" si="40"/>
        <v>-</v>
      </c>
      <c r="L49" s="653"/>
      <c r="M49" s="390" t="e">
        <f>RANK(K49, K$47:$K$61)</f>
        <v>#VALUE!</v>
      </c>
      <c r="N49" s="637"/>
      <c r="O49" s="637"/>
      <c r="P49" s="538"/>
      <c r="Q49" s="540"/>
      <c r="R49" s="540"/>
      <c r="S49" s="538"/>
      <c r="T49" s="633"/>
      <c r="U49" s="538"/>
      <c r="V49" s="540"/>
      <c r="W49" s="540"/>
      <c r="X49" s="538"/>
      <c r="Y49" s="633"/>
      <c r="Z49" s="538"/>
      <c r="AA49" s="540"/>
      <c r="AB49" s="540"/>
      <c r="AC49" s="538"/>
      <c r="AD49" s="633"/>
      <c r="AE49" s="538"/>
      <c r="AF49" s="540"/>
      <c r="AG49" s="540"/>
      <c r="AH49" s="538"/>
      <c r="AI49" s="633"/>
      <c r="AJ49" s="538"/>
      <c r="AK49" s="540"/>
      <c r="AL49" s="540"/>
      <c r="AM49" s="538"/>
      <c r="AN49" s="633"/>
      <c r="AO49" s="538"/>
      <c r="AP49" s="540"/>
      <c r="AQ49" s="540"/>
      <c r="AR49" s="538"/>
      <c r="AS49" s="633"/>
      <c r="AT49" s="538"/>
      <c r="AU49" s="540"/>
      <c r="AV49" s="540"/>
      <c r="AW49" s="538"/>
      <c r="AX49" s="633"/>
      <c r="AZ49" s="388" t="e">
        <f t="shared" si="41"/>
        <v>#N/A</v>
      </c>
      <c r="BA49" s="633"/>
    </row>
    <row r="50" spans="2:53">
      <c r="B50" s="643"/>
      <c r="C50" s="368">
        <v>4</v>
      </c>
      <c r="D50" s="220"/>
      <c r="E50" s="559"/>
      <c r="F50" s="553"/>
      <c r="G50" s="552"/>
      <c r="H50" s="651"/>
      <c r="I50" s="369" t="str">
        <f t="shared" si="38"/>
        <v>-</v>
      </c>
      <c r="J50" s="369" t="str">
        <f t="shared" si="39"/>
        <v>-</v>
      </c>
      <c r="K50" s="194" t="str">
        <f t="shared" si="40"/>
        <v>-</v>
      </c>
      <c r="L50" s="653"/>
      <c r="M50" s="390" t="e">
        <f>RANK(K50, K$47:$K$61)</f>
        <v>#VALUE!</v>
      </c>
      <c r="N50" s="637"/>
      <c r="O50" s="637"/>
      <c r="P50" s="538"/>
      <c r="Q50" s="540"/>
      <c r="R50" s="540"/>
      <c r="S50" s="538"/>
      <c r="T50" s="633"/>
      <c r="U50" s="538"/>
      <c r="V50" s="540"/>
      <c r="W50" s="540"/>
      <c r="X50" s="538"/>
      <c r="Y50" s="633"/>
      <c r="Z50" s="538"/>
      <c r="AA50" s="540"/>
      <c r="AB50" s="540"/>
      <c r="AC50" s="538"/>
      <c r="AD50" s="633"/>
      <c r="AE50" s="538"/>
      <c r="AF50" s="540"/>
      <c r="AG50" s="540"/>
      <c r="AH50" s="538"/>
      <c r="AI50" s="633"/>
      <c r="AJ50" s="538"/>
      <c r="AK50" s="540"/>
      <c r="AL50" s="540"/>
      <c r="AM50" s="538"/>
      <c r="AN50" s="633"/>
      <c r="AO50" s="538"/>
      <c r="AP50" s="540"/>
      <c r="AQ50" s="540"/>
      <c r="AR50" s="538"/>
      <c r="AS50" s="633"/>
      <c r="AT50" s="538"/>
      <c r="AU50" s="540"/>
      <c r="AV50" s="540"/>
      <c r="AW50" s="538"/>
      <c r="AX50" s="633"/>
      <c r="AZ50" s="388" t="e">
        <f t="shared" si="41"/>
        <v>#N/A</v>
      </c>
      <c r="BA50" s="633"/>
    </row>
    <row r="51" spans="2:53">
      <c r="B51" s="643"/>
      <c r="C51" s="368">
        <v>5</v>
      </c>
      <c r="D51" s="220"/>
      <c r="E51" s="559"/>
      <c r="F51" s="553"/>
      <c r="G51" s="552"/>
      <c r="H51" s="651"/>
      <c r="I51" s="369" t="str">
        <f t="shared" si="38"/>
        <v>-</v>
      </c>
      <c r="J51" s="369" t="str">
        <f t="shared" si="39"/>
        <v>-</v>
      </c>
      <c r="K51" s="194" t="str">
        <f t="shared" si="40"/>
        <v>-</v>
      </c>
      <c r="L51" s="653"/>
      <c r="M51" s="390" t="e">
        <f>RANK(K51, K$47:$K$61)</f>
        <v>#VALUE!</v>
      </c>
      <c r="N51" s="637"/>
      <c r="O51" s="637"/>
      <c r="P51" s="538"/>
      <c r="Q51" s="540"/>
      <c r="R51" s="540"/>
      <c r="S51" s="538"/>
      <c r="T51" s="633"/>
      <c r="U51" s="538"/>
      <c r="V51" s="540"/>
      <c r="W51" s="540"/>
      <c r="X51" s="538"/>
      <c r="Y51" s="633"/>
      <c r="Z51" s="538"/>
      <c r="AA51" s="540"/>
      <c r="AB51" s="540"/>
      <c r="AC51" s="538"/>
      <c r="AD51" s="633"/>
      <c r="AE51" s="538"/>
      <c r="AF51" s="540"/>
      <c r="AG51" s="540"/>
      <c r="AH51" s="538"/>
      <c r="AI51" s="633"/>
      <c r="AJ51" s="538"/>
      <c r="AK51" s="540"/>
      <c r="AL51" s="540"/>
      <c r="AM51" s="538"/>
      <c r="AN51" s="633"/>
      <c r="AO51" s="538"/>
      <c r="AP51" s="540"/>
      <c r="AQ51" s="540"/>
      <c r="AR51" s="538"/>
      <c r="AS51" s="633"/>
      <c r="AT51" s="538"/>
      <c r="AU51" s="540"/>
      <c r="AV51" s="540"/>
      <c r="AW51" s="538"/>
      <c r="AX51" s="633"/>
      <c r="AZ51" s="388" t="e">
        <f t="shared" si="41"/>
        <v>#N/A</v>
      </c>
      <c r="BA51" s="633"/>
    </row>
    <row r="52" spans="2:53">
      <c r="B52" s="643"/>
      <c r="C52" s="368">
        <v>6</v>
      </c>
      <c r="D52" s="220"/>
      <c r="E52" s="559"/>
      <c r="F52" s="553"/>
      <c r="G52" s="552"/>
      <c r="H52" s="651"/>
      <c r="I52" s="369" t="str">
        <f t="shared" si="38"/>
        <v>-</v>
      </c>
      <c r="J52" s="369" t="str">
        <f t="shared" si="39"/>
        <v>-</v>
      </c>
      <c r="K52" s="194" t="str">
        <f t="shared" si="40"/>
        <v>-</v>
      </c>
      <c r="L52" s="653"/>
      <c r="M52" s="390" t="e">
        <f>RANK(K52, K$47:$K$61)</f>
        <v>#VALUE!</v>
      </c>
      <c r="N52" s="637"/>
      <c r="O52" s="637"/>
      <c r="P52" s="538"/>
      <c r="Q52" s="540"/>
      <c r="R52" s="540"/>
      <c r="S52" s="538"/>
      <c r="T52" s="633"/>
      <c r="U52" s="538"/>
      <c r="V52" s="540"/>
      <c r="W52" s="540"/>
      <c r="X52" s="538"/>
      <c r="Y52" s="633"/>
      <c r="Z52" s="538"/>
      <c r="AA52" s="540"/>
      <c r="AB52" s="540"/>
      <c r="AC52" s="538"/>
      <c r="AD52" s="633"/>
      <c r="AE52" s="538"/>
      <c r="AF52" s="540"/>
      <c r="AG52" s="540"/>
      <c r="AH52" s="538"/>
      <c r="AI52" s="633"/>
      <c r="AJ52" s="538"/>
      <c r="AK52" s="540"/>
      <c r="AL52" s="540"/>
      <c r="AM52" s="538"/>
      <c r="AN52" s="633"/>
      <c r="AO52" s="538"/>
      <c r="AP52" s="540"/>
      <c r="AQ52" s="540"/>
      <c r="AR52" s="538"/>
      <c r="AS52" s="633"/>
      <c r="AT52" s="538"/>
      <c r="AU52" s="540"/>
      <c r="AV52" s="540"/>
      <c r="AW52" s="538"/>
      <c r="AX52" s="633"/>
      <c r="AZ52" s="388" t="e">
        <f t="shared" si="41"/>
        <v>#N/A</v>
      </c>
      <c r="BA52" s="633"/>
    </row>
    <row r="53" spans="2:53">
      <c r="B53" s="643"/>
      <c r="C53" s="368">
        <v>7</v>
      </c>
      <c r="D53" s="220"/>
      <c r="E53" s="559"/>
      <c r="F53" s="553"/>
      <c r="G53" s="552"/>
      <c r="H53" s="651"/>
      <c r="I53" s="369" t="str">
        <f t="shared" si="38"/>
        <v>-</v>
      </c>
      <c r="J53" s="369" t="str">
        <f t="shared" si="39"/>
        <v>-</v>
      </c>
      <c r="K53" s="194" t="str">
        <f t="shared" si="40"/>
        <v>-</v>
      </c>
      <c r="L53" s="653"/>
      <c r="M53" s="390" t="e">
        <f>RANK(K53, K$47:$K$61)</f>
        <v>#VALUE!</v>
      </c>
      <c r="N53" s="637"/>
      <c r="O53" s="637"/>
      <c r="P53" s="538"/>
      <c r="Q53" s="540"/>
      <c r="R53" s="540"/>
      <c r="S53" s="538"/>
      <c r="T53" s="633"/>
      <c r="U53" s="538"/>
      <c r="V53" s="540"/>
      <c r="W53" s="540"/>
      <c r="X53" s="538"/>
      <c r="Y53" s="633"/>
      <c r="Z53" s="538"/>
      <c r="AA53" s="540"/>
      <c r="AB53" s="540"/>
      <c r="AC53" s="538"/>
      <c r="AD53" s="633"/>
      <c r="AE53" s="538"/>
      <c r="AF53" s="540"/>
      <c r="AG53" s="540"/>
      <c r="AH53" s="538"/>
      <c r="AI53" s="633"/>
      <c r="AJ53" s="538"/>
      <c r="AK53" s="540"/>
      <c r="AL53" s="540"/>
      <c r="AM53" s="538"/>
      <c r="AN53" s="633"/>
      <c r="AO53" s="538"/>
      <c r="AP53" s="540"/>
      <c r="AQ53" s="540"/>
      <c r="AR53" s="538"/>
      <c r="AS53" s="633"/>
      <c r="AT53" s="538"/>
      <c r="AU53" s="540"/>
      <c r="AV53" s="540"/>
      <c r="AW53" s="538"/>
      <c r="AX53" s="633"/>
      <c r="AZ53" s="388" t="e">
        <f t="shared" si="41"/>
        <v>#N/A</v>
      </c>
      <c r="BA53" s="633"/>
    </row>
    <row r="54" spans="2:53">
      <c r="B54" s="643"/>
      <c r="C54" s="368">
        <v>8</v>
      </c>
      <c r="D54" s="220"/>
      <c r="E54" s="559"/>
      <c r="F54" s="553"/>
      <c r="G54" s="552"/>
      <c r="H54" s="651"/>
      <c r="I54" s="369" t="str">
        <f t="shared" si="38"/>
        <v>-</v>
      </c>
      <c r="J54" s="369" t="str">
        <f t="shared" si="39"/>
        <v>-</v>
      </c>
      <c r="K54" s="194" t="str">
        <f t="shared" si="40"/>
        <v>-</v>
      </c>
      <c r="L54" s="653"/>
      <c r="M54" s="390" t="e">
        <f>RANK(K54, K$47:$K$61)</f>
        <v>#VALUE!</v>
      </c>
      <c r="N54" s="637"/>
      <c r="O54" s="637"/>
      <c r="P54" s="538"/>
      <c r="Q54" s="540"/>
      <c r="R54" s="540"/>
      <c r="S54" s="538"/>
      <c r="T54" s="633"/>
      <c r="U54" s="538"/>
      <c r="V54" s="540"/>
      <c r="W54" s="540"/>
      <c r="X54" s="538"/>
      <c r="Y54" s="633"/>
      <c r="Z54" s="538"/>
      <c r="AA54" s="540"/>
      <c r="AB54" s="540"/>
      <c r="AC54" s="538"/>
      <c r="AD54" s="633"/>
      <c r="AE54" s="538"/>
      <c r="AF54" s="540"/>
      <c r="AG54" s="540"/>
      <c r="AH54" s="538"/>
      <c r="AI54" s="633"/>
      <c r="AJ54" s="538"/>
      <c r="AK54" s="540"/>
      <c r="AL54" s="540"/>
      <c r="AM54" s="538"/>
      <c r="AN54" s="633"/>
      <c r="AO54" s="538"/>
      <c r="AP54" s="540"/>
      <c r="AQ54" s="540"/>
      <c r="AR54" s="538"/>
      <c r="AS54" s="633"/>
      <c r="AT54" s="538"/>
      <c r="AU54" s="540"/>
      <c r="AV54" s="540"/>
      <c r="AW54" s="538"/>
      <c r="AX54" s="633"/>
      <c r="AZ54" s="388" t="e">
        <f t="shared" si="41"/>
        <v>#N/A</v>
      </c>
      <c r="BA54" s="633"/>
    </row>
    <row r="55" spans="2:53">
      <c r="B55" s="643"/>
      <c r="C55" s="368">
        <v>9</v>
      </c>
      <c r="D55" s="220"/>
      <c r="E55" s="559"/>
      <c r="F55" s="553"/>
      <c r="G55" s="552"/>
      <c r="H55" s="651"/>
      <c r="I55" s="369" t="str">
        <f t="shared" si="38"/>
        <v>-</v>
      </c>
      <c r="J55" s="369" t="str">
        <f t="shared" si="39"/>
        <v>-</v>
      </c>
      <c r="K55" s="194" t="str">
        <f t="shared" si="40"/>
        <v>-</v>
      </c>
      <c r="L55" s="653"/>
      <c r="M55" s="390" t="e">
        <f>RANK(K55, K$47:$K$61)</f>
        <v>#VALUE!</v>
      </c>
      <c r="N55" s="637"/>
      <c r="O55" s="637"/>
      <c r="P55" s="538"/>
      <c r="Q55" s="540"/>
      <c r="R55" s="540"/>
      <c r="S55" s="538"/>
      <c r="T55" s="633"/>
      <c r="U55" s="538"/>
      <c r="V55" s="540"/>
      <c r="W55" s="540"/>
      <c r="X55" s="538"/>
      <c r="Y55" s="633"/>
      <c r="Z55" s="538"/>
      <c r="AA55" s="540"/>
      <c r="AB55" s="540"/>
      <c r="AC55" s="538"/>
      <c r="AD55" s="633"/>
      <c r="AE55" s="538"/>
      <c r="AF55" s="540"/>
      <c r="AG55" s="540"/>
      <c r="AH55" s="538"/>
      <c r="AI55" s="633"/>
      <c r="AJ55" s="538"/>
      <c r="AK55" s="540"/>
      <c r="AL55" s="540"/>
      <c r="AM55" s="538"/>
      <c r="AN55" s="633"/>
      <c r="AO55" s="538"/>
      <c r="AP55" s="540"/>
      <c r="AQ55" s="540"/>
      <c r="AR55" s="538"/>
      <c r="AS55" s="633"/>
      <c r="AT55" s="538"/>
      <c r="AU55" s="540"/>
      <c r="AV55" s="540"/>
      <c r="AW55" s="538"/>
      <c r="AX55" s="633"/>
      <c r="AZ55" s="388" t="e">
        <f t="shared" si="41"/>
        <v>#N/A</v>
      </c>
      <c r="BA55" s="633"/>
    </row>
    <row r="56" spans="2:53">
      <c r="B56" s="643"/>
      <c r="C56" s="368">
        <v>10</v>
      </c>
      <c r="D56" s="220"/>
      <c r="E56" s="559"/>
      <c r="F56" s="553"/>
      <c r="G56" s="552"/>
      <c r="H56" s="651"/>
      <c r="I56" s="369" t="str">
        <f t="shared" si="38"/>
        <v>-</v>
      </c>
      <c r="J56" s="369" t="str">
        <f t="shared" si="39"/>
        <v>-</v>
      </c>
      <c r="K56" s="194" t="str">
        <f t="shared" si="40"/>
        <v>-</v>
      </c>
      <c r="L56" s="653"/>
      <c r="M56" s="390" t="e">
        <f>RANK(K56, K$47:$K$61)</f>
        <v>#VALUE!</v>
      </c>
      <c r="N56" s="637"/>
      <c r="O56" s="637"/>
      <c r="P56" s="538"/>
      <c r="Q56" s="540"/>
      <c r="R56" s="540"/>
      <c r="S56" s="538"/>
      <c r="T56" s="633"/>
      <c r="U56" s="538"/>
      <c r="V56" s="540"/>
      <c r="W56" s="540"/>
      <c r="X56" s="538"/>
      <c r="Y56" s="633"/>
      <c r="Z56" s="538"/>
      <c r="AA56" s="540"/>
      <c r="AB56" s="540"/>
      <c r="AC56" s="538"/>
      <c r="AD56" s="633"/>
      <c r="AE56" s="538"/>
      <c r="AF56" s="540"/>
      <c r="AG56" s="540"/>
      <c r="AH56" s="538"/>
      <c r="AI56" s="633"/>
      <c r="AJ56" s="538"/>
      <c r="AK56" s="540"/>
      <c r="AL56" s="540"/>
      <c r="AM56" s="538"/>
      <c r="AN56" s="633"/>
      <c r="AO56" s="538"/>
      <c r="AP56" s="540"/>
      <c r="AQ56" s="540"/>
      <c r="AR56" s="538"/>
      <c r="AS56" s="633"/>
      <c r="AT56" s="538"/>
      <c r="AU56" s="540"/>
      <c r="AV56" s="540"/>
      <c r="AW56" s="538"/>
      <c r="AX56" s="633"/>
      <c r="AZ56" s="388" t="e">
        <f t="shared" si="41"/>
        <v>#N/A</v>
      </c>
      <c r="BA56" s="633"/>
    </row>
    <row r="57" spans="2:53">
      <c r="B57" s="643"/>
      <c r="C57" s="368">
        <v>11</v>
      </c>
      <c r="D57" s="220"/>
      <c r="E57" s="559"/>
      <c r="F57" s="553"/>
      <c r="G57" s="552"/>
      <c r="H57" s="651"/>
      <c r="I57" s="369" t="str">
        <f t="shared" si="38"/>
        <v>-</v>
      </c>
      <c r="J57" s="369" t="str">
        <f t="shared" si="39"/>
        <v>-</v>
      </c>
      <c r="K57" s="194" t="str">
        <f t="shared" si="40"/>
        <v>-</v>
      </c>
      <c r="L57" s="653"/>
      <c r="M57" s="390" t="e">
        <f>RANK(K57, K$47:$K$61)</f>
        <v>#VALUE!</v>
      </c>
      <c r="N57" s="637"/>
      <c r="O57" s="637"/>
      <c r="P57" s="538"/>
      <c r="Q57" s="540"/>
      <c r="R57" s="540"/>
      <c r="S57" s="538"/>
      <c r="T57" s="633"/>
      <c r="U57" s="538"/>
      <c r="V57" s="540"/>
      <c r="W57" s="540"/>
      <c r="X57" s="538"/>
      <c r="Y57" s="633"/>
      <c r="Z57" s="538"/>
      <c r="AA57" s="540"/>
      <c r="AB57" s="540"/>
      <c r="AC57" s="538"/>
      <c r="AD57" s="633"/>
      <c r="AE57" s="538"/>
      <c r="AF57" s="540"/>
      <c r="AG57" s="540"/>
      <c r="AH57" s="538"/>
      <c r="AI57" s="633"/>
      <c r="AJ57" s="538"/>
      <c r="AK57" s="540"/>
      <c r="AL57" s="540"/>
      <c r="AM57" s="538"/>
      <c r="AN57" s="633"/>
      <c r="AO57" s="538"/>
      <c r="AP57" s="540"/>
      <c r="AQ57" s="540"/>
      <c r="AR57" s="538"/>
      <c r="AS57" s="633"/>
      <c r="AT57" s="538"/>
      <c r="AU57" s="540"/>
      <c r="AV57" s="540"/>
      <c r="AW57" s="538"/>
      <c r="AX57" s="633"/>
      <c r="AZ57" s="388" t="e">
        <f t="shared" si="41"/>
        <v>#N/A</v>
      </c>
      <c r="BA57" s="633"/>
    </row>
    <row r="58" spans="2:53">
      <c r="B58" s="643"/>
      <c r="C58" s="368">
        <v>12</v>
      </c>
      <c r="D58" s="220"/>
      <c r="E58" s="559"/>
      <c r="F58" s="553"/>
      <c r="G58" s="552"/>
      <c r="H58" s="651"/>
      <c r="I58" s="369" t="str">
        <f t="shared" si="38"/>
        <v>-</v>
      </c>
      <c r="J58" s="369" t="str">
        <f t="shared" si="39"/>
        <v>-</v>
      </c>
      <c r="K58" s="194" t="str">
        <f t="shared" si="40"/>
        <v>-</v>
      </c>
      <c r="L58" s="653"/>
      <c r="M58" s="390" t="e">
        <f>RANK(K58, K$47:$K$61)</f>
        <v>#VALUE!</v>
      </c>
      <c r="N58" s="637"/>
      <c r="O58" s="637"/>
      <c r="P58" s="538"/>
      <c r="Q58" s="540"/>
      <c r="R58" s="540"/>
      <c r="S58" s="538"/>
      <c r="T58" s="633"/>
      <c r="U58" s="538"/>
      <c r="V58" s="540"/>
      <c r="W58" s="540"/>
      <c r="X58" s="538"/>
      <c r="Y58" s="633"/>
      <c r="Z58" s="538"/>
      <c r="AA58" s="540"/>
      <c r="AB58" s="540"/>
      <c r="AC58" s="538"/>
      <c r="AD58" s="633"/>
      <c r="AE58" s="538"/>
      <c r="AF58" s="540"/>
      <c r="AG58" s="540"/>
      <c r="AH58" s="538"/>
      <c r="AI58" s="633"/>
      <c r="AJ58" s="538"/>
      <c r="AK58" s="540"/>
      <c r="AL58" s="540"/>
      <c r="AM58" s="538"/>
      <c r="AN58" s="633"/>
      <c r="AO58" s="538"/>
      <c r="AP58" s="540"/>
      <c r="AQ58" s="540"/>
      <c r="AR58" s="538"/>
      <c r="AS58" s="633"/>
      <c r="AT58" s="538"/>
      <c r="AU58" s="540"/>
      <c r="AV58" s="540"/>
      <c r="AW58" s="538"/>
      <c r="AX58" s="633"/>
      <c r="AZ58" s="388" t="e">
        <f t="shared" si="41"/>
        <v>#N/A</v>
      </c>
      <c r="BA58" s="633"/>
    </row>
    <row r="59" spans="2:53">
      <c r="B59" s="643"/>
      <c r="C59" s="368">
        <v>13</v>
      </c>
      <c r="D59" s="220"/>
      <c r="E59" s="559"/>
      <c r="F59" s="553"/>
      <c r="G59" s="552"/>
      <c r="H59" s="651"/>
      <c r="I59" s="369" t="str">
        <f t="shared" si="38"/>
        <v>-</v>
      </c>
      <c r="J59" s="369" t="str">
        <f t="shared" si="39"/>
        <v>-</v>
      </c>
      <c r="K59" s="194" t="str">
        <f t="shared" si="40"/>
        <v>-</v>
      </c>
      <c r="L59" s="653"/>
      <c r="M59" s="390" t="e">
        <f>RANK(K59, K$47:$K$61)</f>
        <v>#VALUE!</v>
      </c>
      <c r="N59" s="637"/>
      <c r="O59" s="637"/>
      <c r="P59" s="538"/>
      <c r="Q59" s="540"/>
      <c r="R59" s="540"/>
      <c r="S59" s="538"/>
      <c r="T59" s="633"/>
      <c r="U59" s="538"/>
      <c r="V59" s="540"/>
      <c r="W59" s="540"/>
      <c r="X59" s="538"/>
      <c r="Y59" s="633"/>
      <c r="Z59" s="538"/>
      <c r="AA59" s="540"/>
      <c r="AB59" s="540"/>
      <c r="AC59" s="538"/>
      <c r="AD59" s="633"/>
      <c r="AE59" s="538"/>
      <c r="AF59" s="540"/>
      <c r="AG59" s="540"/>
      <c r="AH59" s="538"/>
      <c r="AI59" s="633"/>
      <c r="AJ59" s="538"/>
      <c r="AK59" s="540"/>
      <c r="AL59" s="540"/>
      <c r="AM59" s="538"/>
      <c r="AN59" s="633"/>
      <c r="AO59" s="538"/>
      <c r="AP59" s="540"/>
      <c r="AQ59" s="540"/>
      <c r="AR59" s="538"/>
      <c r="AS59" s="633"/>
      <c r="AT59" s="538"/>
      <c r="AU59" s="540"/>
      <c r="AV59" s="540"/>
      <c r="AW59" s="538"/>
      <c r="AX59" s="633"/>
      <c r="AZ59" s="388" t="e">
        <f t="shared" si="41"/>
        <v>#N/A</v>
      </c>
      <c r="BA59" s="633"/>
    </row>
    <row r="60" spans="2:53">
      <c r="B60" s="643"/>
      <c r="C60" s="368">
        <v>14</v>
      </c>
      <c r="D60" s="220"/>
      <c r="E60" s="559"/>
      <c r="F60" s="553"/>
      <c r="G60" s="552"/>
      <c r="H60" s="651"/>
      <c r="I60" s="369" t="str">
        <f t="shared" si="38"/>
        <v>-</v>
      </c>
      <c r="J60" s="369" t="str">
        <f t="shared" si="39"/>
        <v>-</v>
      </c>
      <c r="K60" s="194" t="str">
        <f t="shared" si="40"/>
        <v>-</v>
      </c>
      <c r="L60" s="653"/>
      <c r="M60" s="390" t="e">
        <f>RANK(K60, K$47:$K$61)</f>
        <v>#VALUE!</v>
      </c>
      <c r="N60" s="637"/>
      <c r="O60" s="637"/>
      <c r="P60" s="538"/>
      <c r="Q60" s="540"/>
      <c r="R60" s="540"/>
      <c r="S60" s="538"/>
      <c r="T60" s="633"/>
      <c r="U60" s="538"/>
      <c r="V60" s="540"/>
      <c r="W60" s="540"/>
      <c r="X60" s="538"/>
      <c r="Y60" s="633"/>
      <c r="Z60" s="538"/>
      <c r="AA60" s="540"/>
      <c r="AB60" s="540"/>
      <c r="AC60" s="538"/>
      <c r="AD60" s="633"/>
      <c r="AE60" s="538"/>
      <c r="AF60" s="540"/>
      <c r="AG60" s="540"/>
      <c r="AH60" s="538"/>
      <c r="AI60" s="633"/>
      <c r="AJ60" s="538"/>
      <c r="AK60" s="540"/>
      <c r="AL60" s="540"/>
      <c r="AM60" s="538"/>
      <c r="AN60" s="633"/>
      <c r="AO60" s="538"/>
      <c r="AP60" s="540"/>
      <c r="AQ60" s="540"/>
      <c r="AR60" s="538"/>
      <c r="AS60" s="633"/>
      <c r="AT60" s="538"/>
      <c r="AU60" s="540"/>
      <c r="AV60" s="540"/>
      <c r="AW60" s="538"/>
      <c r="AX60" s="633"/>
      <c r="AZ60" s="388" t="e">
        <f t="shared" si="41"/>
        <v>#N/A</v>
      </c>
      <c r="BA60" s="633"/>
    </row>
    <row r="61" spans="2:53">
      <c r="B61" s="643"/>
      <c r="C61" s="368">
        <v>15</v>
      </c>
      <c r="D61" s="220"/>
      <c r="E61" s="559"/>
      <c r="F61" s="553"/>
      <c r="G61" s="552"/>
      <c r="H61" s="708"/>
      <c r="I61" s="368"/>
      <c r="J61" s="368"/>
      <c r="K61" s="368"/>
      <c r="L61" s="654"/>
      <c r="M61" s="390" t="e">
        <f>RANK(K61, K$47:$K$61)</f>
        <v>#N/A</v>
      </c>
      <c r="N61" s="637"/>
      <c r="O61" s="637"/>
      <c r="P61" s="538"/>
      <c r="Q61" s="540"/>
      <c r="R61" s="540"/>
      <c r="S61" s="538"/>
      <c r="T61" s="634"/>
      <c r="U61" s="538"/>
      <c r="V61" s="540"/>
      <c r="W61" s="540"/>
      <c r="X61" s="538"/>
      <c r="Y61" s="634"/>
      <c r="Z61" s="538"/>
      <c r="AA61" s="540"/>
      <c r="AB61" s="540"/>
      <c r="AC61" s="538"/>
      <c r="AD61" s="634"/>
      <c r="AE61" s="538"/>
      <c r="AF61" s="540"/>
      <c r="AG61" s="540"/>
      <c r="AH61" s="538"/>
      <c r="AI61" s="634"/>
      <c r="AJ61" s="538"/>
      <c r="AK61" s="540"/>
      <c r="AL61" s="540"/>
      <c r="AM61" s="538"/>
      <c r="AN61" s="634"/>
      <c r="AO61" s="538"/>
      <c r="AP61" s="540"/>
      <c r="AQ61" s="540"/>
      <c r="AR61" s="538"/>
      <c r="AS61" s="634"/>
      <c r="AT61" s="538"/>
      <c r="AU61" s="540"/>
      <c r="AV61" s="540"/>
      <c r="AW61" s="538"/>
      <c r="AX61" s="634"/>
      <c r="AZ61" s="388" t="e">
        <f t="shared" si="41"/>
        <v>#N/A</v>
      </c>
      <c r="BA61" s="634"/>
    </row>
    <row r="62" spans="2:53" ht="15.75">
      <c r="B62" s="665" t="s">
        <v>162</v>
      </c>
      <c r="C62" s="666"/>
      <c r="D62" s="666"/>
      <c r="E62" s="666"/>
      <c r="F62" s="666"/>
      <c r="G62" s="666"/>
      <c r="H62" s="667"/>
      <c r="I62" s="202"/>
      <c r="J62" s="202"/>
      <c r="K62" s="202"/>
      <c r="L62" s="202"/>
      <c r="M62" s="201"/>
      <c r="N62" s="639" t="s">
        <v>156</v>
      </c>
      <c r="O62" s="639" t="s">
        <v>105</v>
      </c>
      <c r="P62" s="664">
        <f>P42+7</f>
        <v>46315</v>
      </c>
      <c r="Q62" s="643"/>
      <c r="R62" s="643"/>
      <c r="S62" s="643"/>
      <c r="T62" s="643"/>
      <c r="U62" s="661">
        <f>P62+1</f>
        <v>46316</v>
      </c>
      <c r="V62" s="662"/>
      <c r="W62" s="662"/>
      <c r="X62" s="662"/>
      <c r="Y62" s="663"/>
      <c r="Z62" s="661">
        <f>U62+1</f>
        <v>46317</v>
      </c>
      <c r="AA62" s="662"/>
      <c r="AB62" s="662"/>
      <c r="AC62" s="662"/>
      <c r="AD62" s="663"/>
      <c r="AE62" s="661">
        <f>Z62+1</f>
        <v>46318</v>
      </c>
      <c r="AF62" s="662"/>
      <c r="AG62" s="662"/>
      <c r="AH62" s="662"/>
      <c r="AI62" s="663"/>
      <c r="AJ62" s="661">
        <f>AE62+1</f>
        <v>46319</v>
      </c>
      <c r="AK62" s="662"/>
      <c r="AL62" s="662"/>
      <c r="AM62" s="662"/>
      <c r="AN62" s="663"/>
      <c r="AO62" s="661">
        <f>AJ62+1</f>
        <v>46320</v>
      </c>
      <c r="AP62" s="662"/>
      <c r="AQ62" s="662"/>
      <c r="AR62" s="662"/>
      <c r="AS62" s="663"/>
      <c r="AT62" s="661">
        <f>AO62+1</f>
        <v>46321</v>
      </c>
      <c r="AU62" s="662"/>
      <c r="AV62" s="662"/>
      <c r="AW62" s="662"/>
      <c r="AX62" s="663"/>
    </row>
    <row r="63" spans="2:53" ht="15.75">
      <c r="B63" s="668"/>
      <c r="C63" s="668"/>
      <c r="D63" s="668"/>
      <c r="E63" s="668"/>
      <c r="F63" s="668"/>
      <c r="G63" s="668"/>
      <c r="H63" s="668"/>
      <c r="I63" s="199"/>
      <c r="J63" s="199"/>
      <c r="K63" s="199"/>
      <c r="L63" s="199"/>
      <c r="M63" s="200"/>
      <c r="N63" s="641"/>
      <c r="O63" s="641"/>
      <c r="P63" s="664" t="s">
        <v>317</v>
      </c>
      <c r="Q63" s="643"/>
      <c r="R63" s="643"/>
      <c r="S63" s="643"/>
      <c r="T63" s="643"/>
      <c r="U63" s="664" t="s">
        <v>318</v>
      </c>
      <c r="V63" s="643"/>
      <c r="W63" s="643"/>
      <c r="X63" s="643"/>
      <c r="Y63" s="643"/>
      <c r="Z63" s="664" t="s">
        <v>319</v>
      </c>
      <c r="AA63" s="643"/>
      <c r="AB63" s="643"/>
      <c r="AC63" s="643"/>
      <c r="AD63" s="643"/>
      <c r="AE63" s="664" t="s">
        <v>320</v>
      </c>
      <c r="AF63" s="643"/>
      <c r="AG63" s="643"/>
      <c r="AH63" s="643"/>
      <c r="AI63" s="643"/>
      <c r="AJ63" s="664" t="s">
        <v>321</v>
      </c>
      <c r="AK63" s="643"/>
      <c r="AL63" s="643"/>
      <c r="AM63" s="643"/>
      <c r="AN63" s="643"/>
      <c r="AO63" s="664" t="s">
        <v>322</v>
      </c>
      <c r="AP63" s="643"/>
      <c r="AQ63" s="643"/>
      <c r="AR63" s="643"/>
      <c r="AS63" s="643"/>
      <c r="AT63" s="664" t="s">
        <v>323</v>
      </c>
      <c r="AU63" s="643"/>
      <c r="AV63" s="643"/>
      <c r="AW63" s="643"/>
      <c r="AX63" s="643"/>
    </row>
    <row r="64" spans="2:53">
      <c r="B64" s="637" t="s">
        <v>398</v>
      </c>
      <c r="C64" s="637" t="s">
        <v>521</v>
      </c>
      <c r="D64" s="637"/>
      <c r="E64" s="637" t="s">
        <v>522</v>
      </c>
      <c r="F64" s="637"/>
      <c r="G64" s="637"/>
      <c r="H64" s="669" t="s">
        <v>523</v>
      </c>
      <c r="I64" s="637" t="s">
        <v>524</v>
      </c>
      <c r="J64" s="637"/>
      <c r="K64" s="637"/>
      <c r="L64" s="669" t="s">
        <v>357</v>
      </c>
      <c r="M64" s="639" t="s">
        <v>525</v>
      </c>
      <c r="N64" s="637"/>
      <c r="O64" s="637" t="s">
        <v>363</v>
      </c>
      <c r="P64" s="655" t="s">
        <v>359</v>
      </c>
      <c r="Q64" s="656"/>
      <c r="R64" s="656"/>
      <c r="S64" s="657"/>
      <c r="T64" s="637" t="s">
        <v>357</v>
      </c>
      <c r="U64" s="655" t="s">
        <v>359</v>
      </c>
      <c r="V64" s="656"/>
      <c r="W64" s="656"/>
      <c r="X64" s="657"/>
      <c r="Y64" s="637" t="s">
        <v>357</v>
      </c>
      <c r="Z64" s="655" t="s">
        <v>359</v>
      </c>
      <c r="AA64" s="656"/>
      <c r="AB64" s="656"/>
      <c r="AC64" s="657"/>
      <c r="AD64" s="637" t="s">
        <v>357</v>
      </c>
      <c r="AE64" s="655" t="s">
        <v>359</v>
      </c>
      <c r="AF64" s="656"/>
      <c r="AG64" s="656"/>
      <c r="AH64" s="657"/>
      <c r="AI64" s="637" t="s">
        <v>357</v>
      </c>
      <c r="AJ64" s="655" t="s">
        <v>359</v>
      </c>
      <c r="AK64" s="656"/>
      <c r="AL64" s="656"/>
      <c r="AM64" s="657"/>
      <c r="AN64" s="637" t="s">
        <v>357</v>
      </c>
      <c r="AO64" s="655" t="s">
        <v>359</v>
      </c>
      <c r="AP64" s="656"/>
      <c r="AQ64" s="656"/>
      <c r="AR64" s="657"/>
      <c r="AS64" s="637" t="s">
        <v>357</v>
      </c>
      <c r="AT64" s="655" t="s">
        <v>359</v>
      </c>
      <c r="AU64" s="656"/>
      <c r="AV64" s="656"/>
      <c r="AW64" s="657"/>
      <c r="AX64" s="637" t="s">
        <v>357</v>
      </c>
      <c r="BA64" s="637" t="s">
        <v>357</v>
      </c>
    </row>
    <row r="65" spans="2:53">
      <c r="B65" s="637"/>
      <c r="C65" s="637"/>
      <c r="D65" s="637"/>
      <c r="E65" s="637" t="s">
        <v>527</v>
      </c>
      <c r="F65" s="637"/>
      <c r="G65" s="637"/>
      <c r="H65" s="670"/>
      <c r="I65" s="637" t="s">
        <v>527</v>
      </c>
      <c r="J65" s="637"/>
      <c r="K65" s="637"/>
      <c r="L65" s="670"/>
      <c r="M65" s="640"/>
      <c r="N65" s="637"/>
      <c r="O65" s="637"/>
      <c r="P65" s="655" t="s">
        <v>365</v>
      </c>
      <c r="Q65" s="656"/>
      <c r="R65" s="656"/>
      <c r="S65" s="657"/>
      <c r="T65" s="637"/>
      <c r="U65" s="655" t="s">
        <v>365</v>
      </c>
      <c r="V65" s="656"/>
      <c r="W65" s="656"/>
      <c r="X65" s="657"/>
      <c r="Y65" s="637"/>
      <c r="Z65" s="655" t="s">
        <v>365</v>
      </c>
      <c r="AA65" s="656"/>
      <c r="AB65" s="656"/>
      <c r="AC65" s="657"/>
      <c r="AD65" s="637"/>
      <c r="AE65" s="655" t="s">
        <v>365</v>
      </c>
      <c r="AF65" s="656"/>
      <c r="AG65" s="656"/>
      <c r="AH65" s="657"/>
      <c r="AI65" s="637"/>
      <c r="AJ65" s="655" t="s">
        <v>365</v>
      </c>
      <c r="AK65" s="656"/>
      <c r="AL65" s="656"/>
      <c r="AM65" s="657"/>
      <c r="AN65" s="637"/>
      <c r="AO65" s="655" t="s">
        <v>365</v>
      </c>
      <c r="AP65" s="656"/>
      <c r="AQ65" s="656"/>
      <c r="AR65" s="657"/>
      <c r="AS65" s="637"/>
      <c r="AT65" s="655" t="s">
        <v>365</v>
      </c>
      <c r="AU65" s="656"/>
      <c r="AV65" s="656"/>
      <c r="AW65" s="657"/>
      <c r="AX65" s="637"/>
      <c r="BA65" s="637"/>
    </row>
    <row r="66" spans="2:53">
      <c r="B66" s="637"/>
      <c r="C66" s="637"/>
      <c r="D66" s="637"/>
      <c r="E66" s="366" t="s">
        <v>528</v>
      </c>
      <c r="F66" s="366" t="s">
        <v>529</v>
      </c>
      <c r="G66" s="366" t="s">
        <v>530</v>
      </c>
      <c r="H66" s="671"/>
      <c r="I66" s="366" t="s">
        <v>528</v>
      </c>
      <c r="J66" s="366" t="s">
        <v>529</v>
      </c>
      <c r="K66" s="366" t="s">
        <v>530</v>
      </c>
      <c r="L66" s="671"/>
      <c r="M66" s="641"/>
      <c r="N66" s="637"/>
      <c r="O66" s="637"/>
      <c r="P66" s="366" t="s">
        <v>366</v>
      </c>
      <c r="Q66" s="366" t="s">
        <v>367</v>
      </c>
      <c r="R66" s="366" t="s">
        <v>368</v>
      </c>
      <c r="S66" s="366" t="s">
        <v>358</v>
      </c>
      <c r="T66" s="637"/>
      <c r="U66" s="366" t="s">
        <v>366</v>
      </c>
      <c r="V66" s="366" t="s">
        <v>367</v>
      </c>
      <c r="W66" s="366" t="s">
        <v>368</v>
      </c>
      <c r="X66" s="366" t="s">
        <v>358</v>
      </c>
      <c r="Y66" s="637"/>
      <c r="Z66" s="366" t="s">
        <v>366</v>
      </c>
      <c r="AA66" s="366" t="s">
        <v>367</v>
      </c>
      <c r="AB66" s="366" t="s">
        <v>368</v>
      </c>
      <c r="AC66" s="366" t="s">
        <v>358</v>
      </c>
      <c r="AD66" s="637"/>
      <c r="AE66" s="366" t="s">
        <v>366</v>
      </c>
      <c r="AF66" s="366" t="s">
        <v>367</v>
      </c>
      <c r="AG66" s="366" t="s">
        <v>368</v>
      </c>
      <c r="AH66" s="366" t="s">
        <v>358</v>
      </c>
      <c r="AI66" s="637"/>
      <c r="AJ66" s="366" t="s">
        <v>366</v>
      </c>
      <c r="AK66" s="366" t="s">
        <v>367</v>
      </c>
      <c r="AL66" s="366" t="s">
        <v>368</v>
      </c>
      <c r="AM66" s="366" t="s">
        <v>358</v>
      </c>
      <c r="AN66" s="637"/>
      <c r="AO66" s="366" t="s">
        <v>366</v>
      </c>
      <c r="AP66" s="366" t="s">
        <v>367</v>
      </c>
      <c r="AQ66" s="366" t="s">
        <v>368</v>
      </c>
      <c r="AR66" s="366" t="s">
        <v>358</v>
      </c>
      <c r="AS66" s="637"/>
      <c r="AT66" s="366" t="s">
        <v>366</v>
      </c>
      <c r="AU66" s="366" t="s">
        <v>367</v>
      </c>
      <c r="AV66" s="366" t="s">
        <v>368</v>
      </c>
      <c r="AW66" s="366" t="s">
        <v>358</v>
      </c>
      <c r="AX66" s="637"/>
      <c r="AZ66" s="356" t="s">
        <v>358</v>
      </c>
      <c r="BA66" s="637"/>
    </row>
    <row r="67" spans="2:53">
      <c r="B67" s="637" t="s">
        <v>413</v>
      </c>
      <c r="C67" s="368">
        <v>1</v>
      </c>
      <c r="D67" s="220"/>
      <c r="E67" s="559"/>
      <c r="F67" s="553"/>
      <c r="G67" s="552"/>
      <c r="H67" s="650" t="e">
        <f>AVERAGE(G67:G81)</f>
        <v>#DIV/0!</v>
      </c>
      <c r="I67" s="369" t="str">
        <f t="shared" ref="I67:I80" si="43">IFERROR(AVERAGE(P67,U67,Z67,AE67,AJ67,AO67,AT67),"-")</f>
        <v>-</v>
      </c>
      <c r="J67" s="369" t="str">
        <f t="shared" ref="J67:J80" si="44">IFERROR(AVERAGE(Q67,V67,AA67,AF67,AK67,AP67,AU67),"-")</f>
        <v>-</v>
      </c>
      <c r="K67" s="194" t="str">
        <f t="shared" ref="K67:K80" si="45">IFERROR(AVERAGE(R67,W67,AB67,AG67,AL67,AQ67,AV67),"-")</f>
        <v>-</v>
      </c>
      <c r="L67" s="652" t="str">
        <f>IFERROR(AVERAGE(K67:K81),"-")</f>
        <v>-</v>
      </c>
      <c r="M67" s="372" t="e">
        <f>RANK(K67, K$67:$K$81)</f>
        <v>#VALUE!</v>
      </c>
      <c r="N67" s="637"/>
      <c r="O67" s="637"/>
      <c r="P67" s="542"/>
      <c r="Q67" s="544"/>
      <c r="R67" s="544"/>
      <c r="S67" s="542"/>
      <c r="T67" s="632"/>
      <c r="U67" s="542"/>
      <c r="V67" s="544"/>
      <c r="W67" s="544"/>
      <c r="X67" s="542"/>
      <c r="Y67" s="632"/>
      <c r="Z67" s="542"/>
      <c r="AA67" s="544"/>
      <c r="AB67" s="544"/>
      <c r="AC67" s="542"/>
      <c r="AD67" s="632"/>
      <c r="AE67" s="542"/>
      <c r="AF67" s="544"/>
      <c r="AG67" s="544"/>
      <c r="AH67" s="542"/>
      <c r="AI67" s="632"/>
      <c r="AJ67" s="542"/>
      <c r="AK67" s="544"/>
      <c r="AL67" s="544"/>
      <c r="AM67" s="542"/>
      <c r="AN67" s="632"/>
      <c r="AO67" s="542"/>
      <c r="AP67" s="544"/>
      <c r="AQ67" s="544"/>
      <c r="AR67" s="542"/>
      <c r="AS67" s="632"/>
      <c r="AT67" s="542"/>
      <c r="AU67" s="544"/>
      <c r="AV67" s="544"/>
      <c r="AW67" s="542"/>
      <c r="AX67" s="632"/>
      <c r="AZ67" s="357" t="e">
        <f t="shared" ref="AZ67:AZ81" si="46">RANK(AY67, AY$67:AY$81)</f>
        <v>#N/A</v>
      </c>
      <c r="BA67" s="632" t="e">
        <f t="shared" ref="BA67" si="47">AVERAGE(AY67:AY81)</f>
        <v>#DIV/0!</v>
      </c>
    </row>
    <row r="68" spans="2:53">
      <c r="B68" s="643"/>
      <c r="C68" s="368">
        <v>2</v>
      </c>
      <c r="D68" s="220"/>
      <c r="E68" s="559"/>
      <c r="F68" s="553"/>
      <c r="G68" s="552"/>
      <c r="H68" s="651"/>
      <c r="I68" s="369" t="str">
        <f t="shared" si="43"/>
        <v>-</v>
      </c>
      <c r="J68" s="369" t="str">
        <f t="shared" si="44"/>
        <v>-</v>
      </c>
      <c r="K68" s="194" t="str">
        <f t="shared" si="45"/>
        <v>-</v>
      </c>
      <c r="L68" s="653"/>
      <c r="M68" s="372" t="e">
        <f>RANK(K68, K$67:$K$81)</f>
        <v>#VALUE!</v>
      </c>
      <c r="N68" s="637"/>
      <c r="O68" s="637"/>
      <c r="P68" s="542"/>
      <c r="Q68" s="544"/>
      <c r="R68" s="544"/>
      <c r="S68" s="542"/>
      <c r="T68" s="633"/>
      <c r="U68" s="542"/>
      <c r="V68" s="544"/>
      <c r="W68" s="544"/>
      <c r="X68" s="542"/>
      <c r="Y68" s="633"/>
      <c r="Z68" s="542"/>
      <c r="AA68" s="544"/>
      <c r="AB68" s="544"/>
      <c r="AC68" s="542"/>
      <c r="AD68" s="633"/>
      <c r="AE68" s="542"/>
      <c r="AF68" s="544"/>
      <c r="AG68" s="544"/>
      <c r="AH68" s="542"/>
      <c r="AI68" s="633"/>
      <c r="AJ68" s="542"/>
      <c r="AK68" s="544"/>
      <c r="AL68" s="544"/>
      <c r="AM68" s="542"/>
      <c r="AN68" s="633"/>
      <c r="AO68" s="542"/>
      <c r="AP68" s="544"/>
      <c r="AQ68" s="544"/>
      <c r="AR68" s="542"/>
      <c r="AS68" s="633"/>
      <c r="AT68" s="542"/>
      <c r="AU68" s="544"/>
      <c r="AV68" s="544"/>
      <c r="AW68" s="542"/>
      <c r="AX68" s="633"/>
      <c r="AZ68" s="357" t="e">
        <f t="shared" si="46"/>
        <v>#N/A</v>
      </c>
      <c r="BA68" s="633"/>
    </row>
    <row r="69" spans="2:53">
      <c r="B69" s="643"/>
      <c r="C69" s="368">
        <v>3</v>
      </c>
      <c r="D69" s="220"/>
      <c r="E69" s="559"/>
      <c r="F69" s="553"/>
      <c r="G69" s="552"/>
      <c r="H69" s="651"/>
      <c r="I69" s="369" t="str">
        <f t="shared" si="43"/>
        <v>-</v>
      </c>
      <c r="J69" s="369" t="str">
        <f t="shared" si="44"/>
        <v>-</v>
      </c>
      <c r="K69" s="194" t="str">
        <f t="shared" si="45"/>
        <v>-</v>
      </c>
      <c r="L69" s="653"/>
      <c r="M69" s="372" t="e">
        <f>RANK(K69, K$67:$K$81)</f>
        <v>#VALUE!</v>
      </c>
      <c r="N69" s="637"/>
      <c r="O69" s="637"/>
      <c r="P69" s="542"/>
      <c r="Q69" s="544"/>
      <c r="R69" s="544"/>
      <c r="S69" s="542"/>
      <c r="T69" s="633"/>
      <c r="U69" s="542"/>
      <c r="V69" s="544"/>
      <c r="W69" s="544"/>
      <c r="X69" s="542"/>
      <c r="Y69" s="633"/>
      <c r="Z69" s="542"/>
      <c r="AA69" s="544"/>
      <c r="AB69" s="544"/>
      <c r="AC69" s="542"/>
      <c r="AD69" s="633"/>
      <c r="AE69" s="542"/>
      <c r="AF69" s="544"/>
      <c r="AG69" s="544"/>
      <c r="AH69" s="542"/>
      <c r="AI69" s="633"/>
      <c r="AJ69" s="542"/>
      <c r="AK69" s="544"/>
      <c r="AL69" s="544"/>
      <c r="AM69" s="542"/>
      <c r="AN69" s="633"/>
      <c r="AO69" s="542"/>
      <c r="AP69" s="544"/>
      <c r="AQ69" s="544"/>
      <c r="AR69" s="542"/>
      <c r="AS69" s="633"/>
      <c r="AT69" s="542"/>
      <c r="AU69" s="544"/>
      <c r="AV69" s="544"/>
      <c r="AW69" s="542"/>
      <c r="AX69" s="633"/>
      <c r="AZ69" s="357" t="e">
        <f t="shared" si="46"/>
        <v>#N/A</v>
      </c>
      <c r="BA69" s="633"/>
    </row>
    <row r="70" spans="2:53">
      <c r="B70" s="643"/>
      <c r="C70" s="368">
        <v>4</v>
      </c>
      <c r="D70" s="220"/>
      <c r="E70" s="559"/>
      <c r="F70" s="553"/>
      <c r="G70" s="552"/>
      <c r="H70" s="651"/>
      <c r="I70" s="369" t="str">
        <f t="shared" si="43"/>
        <v>-</v>
      </c>
      <c r="J70" s="369" t="str">
        <f t="shared" si="44"/>
        <v>-</v>
      </c>
      <c r="K70" s="194" t="str">
        <f t="shared" si="45"/>
        <v>-</v>
      </c>
      <c r="L70" s="653"/>
      <c r="M70" s="372" t="e">
        <f>RANK(K70, K$67:$K$81)</f>
        <v>#VALUE!</v>
      </c>
      <c r="N70" s="637"/>
      <c r="O70" s="637"/>
      <c r="P70" s="542"/>
      <c r="Q70" s="544"/>
      <c r="R70" s="544"/>
      <c r="S70" s="542"/>
      <c r="T70" s="633"/>
      <c r="U70" s="542"/>
      <c r="V70" s="544"/>
      <c r="W70" s="544"/>
      <c r="X70" s="542"/>
      <c r="Y70" s="633"/>
      <c r="Z70" s="542"/>
      <c r="AA70" s="544"/>
      <c r="AB70" s="544"/>
      <c r="AC70" s="542"/>
      <c r="AD70" s="633"/>
      <c r="AE70" s="542"/>
      <c r="AF70" s="544"/>
      <c r="AG70" s="544"/>
      <c r="AH70" s="542"/>
      <c r="AI70" s="633"/>
      <c r="AJ70" s="542"/>
      <c r="AK70" s="544"/>
      <c r="AL70" s="544"/>
      <c r="AM70" s="542"/>
      <c r="AN70" s="633"/>
      <c r="AO70" s="542"/>
      <c r="AP70" s="544"/>
      <c r="AQ70" s="544"/>
      <c r="AR70" s="542"/>
      <c r="AS70" s="633"/>
      <c r="AT70" s="542"/>
      <c r="AU70" s="544"/>
      <c r="AV70" s="544"/>
      <c r="AW70" s="542"/>
      <c r="AX70" s="633"/>
      <c r="AZ70" s="357" t="e">
        <f t="shared" si="46"/>
        <v>#N/A</v>
      </c>
      <c r="BA70" s="633"/>
    </row>
    <row r="71" spans="2:53">
      <c r="B71" s="643"/>
      <c r="C71" s="368">
        <v>5</v>
      </c>
      <c r="D71" s="220"/>
      <c r="E71" s="559"/>
      <c r="F71" s="553"/>
      <c r="G71" s="552"/>
      <c r="H71" s="651"/>
      <c r="I71" s="369" t="str">
        <f t="shared" si="43"/>
        <v>-</v>
      </c>
      <c r="J71" s="369" t="str">
        <f t="shared" si="44"/>
        <v>-</v>
      </c>
      <c r="K71" s="194" t="str">
        <f t="shared" si="45"/>
        <v>-</v>
      </c>
      <c r="L71" s="653"/>
      <c r="M71" s="372" t="e">
        <f>RANK(K71, K$67:$K$81)</f>
        <v>#VALUE!</v>
      </c>
      <c r="N71" s="637"/>
      <c r="O71" s="637"/>
      <c r="P71" s="542"/>
      <c r="Q71" s="544"/>
      <c r="R71" s="544"/>
      <c r="S71" s="542"/>
      <c r="T71" s="633"/>
      <c r="U71" s="542"/>
      <c r="V71" s="544"/>
      <c r="W71" s="544"/>
      <c r="X71" s="542"/>
      <c r="Y71" s="633"/>
      <c r="Z71" s="542"/>
      <c r="AA71" s="544"/>
      <c r="AB71" s="544"/>
      <c r="AC71" s="542"/>
      <c r="AD71" s="633"/>
      <c r="AE71" s="542"/>
      <c r="AF71" s="544"/>
      <c r="AG71" s="544"/>
      <c r="AH71" s="542"/>
      <c r="AI71" s="633"/>
      <c r="AJ71" s="542"/>
      <c r="AK71" s="544"/>
      <c r="AL71" s="544"/>
      <c r="AM71" s="542"/>
      <c r="AN71" s="633"/>
      <c r="AO71" s="542"/>
      <c r="AP71" s="544"/>
      <c r="AQ71" s="544"/>
      <c r="AR71" s="542"/>
      <c r="AS71" s="633"/>
      <c r="AT71" s="542"/>
      <c r="AU71" s="544"/>
      <c r="AV71" s="544"/>
      <c r="AW71" s="542"/>
      <c r="AX71" s="633"/>
      <c r="AZ71" s="357" t="e">
        <f t="shared" si="46"/>
        <v>#N/A</v>
      </c>
      <c r="BA71" s="633"/>
    </row>
    <row r="72" spans="2:53">
      <c r="B72" s="643"/>
      <c r="C72" s="368">
        <v>6</v>
      </c>
      <c r="D72" s="220"/>
      <c r="E72" s="559"/>
      <c r="F72" s="553"/>
      <c r="G72" s="552"/>
      <c r="H72" s="651"/>
      <c r="I72" s="369" t="str">
        <f t="shared" si="43"/>
        <v>-</v>
      </c>
      <c r="J72" s="369" t="str">
        <f t="shared" si="44"/>
        <v>-</v>
      </c>
      <c r="K72" s="194" t="str">
        <f t="shared" si="45"/>
        <v>-</v>
      </c>
      <c r="L72" s="653"/>
      <c r="M72" s="372" t="e">
        <f>RANK(K72, K$67:$K$81)</f>
        <v>#VALUE!</v>
      </c>
      <c r="N72" s="637"/>
      <c r="O72" s="637"/>
      <c r="P72" s="542"/>
      <c r="Q72" s="544"/>
      <c r="R72" s="544"/>
      <c r="S72" s="542"/>
      <c r="T72" s="633"/>
      <c r="U72" s="542"/>
      <c r="V72" s="544"/>
      <c r="W72" s="544"/>
      <c r="X72" s="542"/>
      <c r="Y72" s="633"/>
      <c r="Z72" s="542"/>
      <c r="AA72" s="544"/>
      <c r="AB72" s="544"/>
      <c r="AC72" s="542"/>
      <c r="AD72" s="633"/>
      <c r="AE72" s="542"/>
      <c r="AF72" s="544"/>
      <c r="AG72" s="544"/>
      <c r="AH72" s="542"/>
      <c r="AI72" s="633"/>
      <c r="AJ72" s="542"/>
      <c r="AK72" s="544"/>
      <c r="AL72" s="544"/>
      <c r="AM72" s="542"/>
      <c r="AN72" s="633"/>
      <c r="AO72" s="542"/>
      <c r="AP72" s="544"/>
      <c r="AQ72" s="544"/>
      <c r="AR72" s="542"/>
      <c r="AS72" s="633"/>
      <c r="AT72" s="542"/>
      <c r="AU72" s="544"/>
      <c r="AV72" s="544"/>
      <c r="AW72" s="542"/>
      <c r="AX72" s="633"/>
      <c r="AZ72" s="357" t="e">
        <f t="shared" si="46"/>
        <v>#N/A</v>
      </c>
      <c r="BA72" s="633"/>
    </row>
    <row r="73" spans="2:53">
      <c r="B73" s="643"/>
      <c r="C73" s="368">
        <v>7</v>
      </c>
      <c r="D73" s="220"/>
      <c r="E73" s="559"/>
      <c r="F73" s="553"/>
      <c r="G73" s="552"/>
      <c r="H73" s="651"/>
      <c r="I73" s="369" t="str">
        <f t="shared" si="43"/>
        <v>-</v>
      </c>
      <c r="J73" s="369" t="str">
        <f t="shared" si="44"/>
        <v>-</v>
      </c>
      <c r="K73" s="194" t="str">
        <f t="shared" si="45"/>
        <v>-</v>
      </c>
      <c r="L73" s="653"/>
      <c r="M73" s="372" t="e">
        <f>RANK(K73, K$67:$K$81)</f>
        <v>#VALUE!</v>
      </c>
      <c r="N73" s="637"/>
      <c r="O73" s="637"/>
      <c r="P73" s="542"/>
      <c r="Q73" s="544"/>
      <c r="R73" s="544"/>
      <c r="S73" s="542"/>
      <c r="T73" s="633"/>
      <c r="U73" s="542"/>
      <c r="V73" s="544"/>
      <c r="W73" s="544"/>
      <c r="X73" s="542"/>
      <c r="Y73" s="633"/>
      <c r="Z73" s="542"/>
      <c r="AA73" s="544"/>
      <c r="AB73" s="544"/>
      <c r="AC73" s="542"/>
      <c r="AD73" s="633"/>
      <c r="AE73" s="542"/>
      <c r="AF73" s="544"/>
      <c r="AG73" s="544"/>
      <c r="AH73" s="542"/>
      <c r="AI73" s="633"/>
      <c r="AJ73" s="542"/>
      <c r="AK73" s="544"/>
      <c r="AL73" s="544"/>
      <c r="AM73" s="542"/>
      <c r="AN73" s="633"/>
      <c r="AO73" s="542"/>
      <c r="AP73" s="544"/>
      <c r="AQ73" s="544"/>
      <c r="AR73" s="542"/>
      <c r="AS73" s="633"/>
      <c r="AT73" s="542"/>
      <c r="AU73" s="544"/>
      <c r="AV73" s="544"/>
      <c r="AW73" s="542"/>
      <c r="AX73" s="633"/>
      <c r="AZ73" s="357" t="e">
        <f t="shared" si="46"/>
        <v>#N/A</v>
      </c>
      <c r="BA73" s="633"/>
    </row>
    <row r="74" spans="2:53">
      <c r="B74" s="643"/>
      <c r="C74" s="368">
        <v>8</v>
      </c>
      <c r="D74" s="220"/>
      <c r="E74" s="559"/>
      <c r="F74" s="553"/>
      <c r="G74" s="552"/>
      <c r="H74" s="651"/>
      <c r="I74" s="369" t="str">
        <f t="shared" si="43"/>
        <v>-</v>
      </c>
      <c r="J74" s="369" t="str">
        <f t="shared" si="44"/>
        <v>-</v>
      </c>
      <c r="K74" s="194" t="str">
        <f t="shared" si="45"/>
        <v>-</v>
      </c>
      <c r="L74" s="653"/>
      <c r="M74" s="372" t="e">
        <f>RANK(K74, K$67:$K$81)</f>
        <v>#VALUE!</v>
      </c>
      <c r="N74" s="637"/>
      <c r="O74" s="637"/>
      <c r="P74" s="542"/>
      <c r="Q74" s="544"/>
      <c r="R74" s="544"/>
      <c r="S74" s="542"/>
      <c r="T74" s="633"/>
      <c r="U74" s="542"/>
      <c r="V74" s="544"/>
      <c r="W74" s="544"/>
      <c r="X74" s="542"/>
      <c r="Y74" s="633"/>
      <c r="Z74" s="542"/>
      <c r="AA74" s="544"/>
      <c r="AB74" s="544"/>
      <c r="AC74" s="542"/>
      <c r="AD74" s="633"/>
      <c r="AE74" s="542"/>
      <c r="AF74" s="544"/>
      <c r="AG74" s="544"/>
      <c r="AH74" s="542"/>
      <c r="AI74" s="633"/>
      <c r="AJ74" s="542"/>
      <c r="AK74" s="544"/>
      <c r="AL74" s="544"/>
      <c r="AM74" s="542"/>
      <c r="AN74" s="633"/>
      <c r="AO74" s="542"/>
      <c r="AP74" s="544"/>
      <c r="AQ74" s="544"/>
      <c r="AR74" s="542"/>
      <c r="AS74" s="633"/>
      <c r="AT74" s="542"/>
      <c r="AU74" s="544"/>
      <c r="AV74" s="544"/>
      <c r="AW74" s="542"/>
      <c r="AX74" s="633"/>
      <c r="AZ74" s="357" t="e">
        <f t="shared" si="46"/>
        <v>#N/A</v>
      </c>
      <c r="BA74" s="633"/>
    </row>
    <row r="75" spans="2:53">
      <c r="B75" s="643"/>
      <c r="C75" s="368">
        <v>9</v>
      </c>
      <c r="D75" s="220"/>
      <c r="E75" s="559"/>
      <c r="F75" s="553"/>
      <c r="G75" s="552"/>
      <c r="H75" s="651"/>
      <c r="I75" s="369" t="str">
        <f t="shared" si="43"/>
        <v>-</v>
      </c>
      <c r="J75" s="369" t="str">
        <f t="shared" si="44"/>
        <v>-</v>
      </c>
      <c r="K75" s="194" t="str">
        <f t="shared" si="45"/>
        <v>-</v>
      </c>
      <c r="L75" s="653"/>
      <c r="M75" s="372" t="e">
        <f>RANK(K75, K$67:$K$81)</f>
        <v>#VALUE!</v>
      </c>
      <c r="N75" s="637"/>
      <c r="O75" s="637"/>
      <c r="P75" s="542"/>
      <c r="Q75" s="544"/>
      <c r="R75" s="544"/>
      <c r="S75" s="542"/>
      <c r="T75" s="633"/>
      <c r="U75" s="542"/>
      <c r="V75" s="544"/>
      <c r="W75" s="544"/>
      <c r="X75" s="542"/>
      <c r="Y75" s="633"/>
      <c r="Z75" s="542"/>
      <c r="AA75" s="544"/>
      <c r="AB75" s="544"/>
      <c r="AC75" s="542"/>
      <c r="AD75" s="633"/>
      <c r="AE75" s="542"/>
      <c r="AF75" s="544"/>
      <c r="AG75" s="544"/>
      <c r="AH75" s="542"/>
      <c r="AI75" s="633"/>
      <c r="AJ75" s="542"/>
      <c r="AK75" s="544"/>
      <c r="AL75" s="544"/>
      <c r="AM75" s="542"/>
      <c r="AN75" s="633"/>
      <c r="AO75" s="542"/>
      <c r="AP75" s="544"/>
      <c r="AQ75" s="544"/>
      <c r="AR75" s="542"/>
      <c r="AS75" s="633"/>
      <c r="AT75" s="542"/>
      <c r="AU75" s="544"/>
      <c r="AV75" s="544"/>
      <c r="AW75" s="542"/>
      <c r="AX75" s="633"/>
      <c r="AZ75" s="357" t="e">
        <f t="shared" si="46"/>
        <v>#N/A</v>
      </c>
      <c r="BA75" s="633"/>
    </row>
    <row r="76" spans="2:53">
      <c r="B76" s="643"/>
      <c r="C76" s="368">
        <v>10</v>
      </c>
      <c r="D76" s="220"/>
      <c r="E76" s="559"/>
      <c r="F76" s="553"/>
      <c r="G76" s="552"/>
      <c r="H76" s="651"/>
      <c r="I76" s="369" t="str">
        <f t="shared" si="43"/>
        <v>-</v>
      </c>
      <c r="J76" s="369" t="str">
        <f t="shared" si="44"/>
        <v>-</v>
      </c>
      <c r="K76" s="194" t="str">
        <f t="shared" si="45"/>
        <v>-</v>
      </c>
      <c r="L76" s="653"/>
      <c r="M76" s="372" t="e">
        <f>RANK(K76, K$67:$K$81)</f>
        <v>#VALUE!</v>
      </c>
      <c r="N76" s="637"/>
      <c r="O76" s="637"/>
      <c r="P76" s="542"/>
      <c r="Q76" s="544"/>
      <c r="R76" s="544"/>
      <c r="S76" s="542"/>
      <c r="T76" s="633"/>
      <c r="U76" s="542"/>
      <c r="V76" s="544"/>
      <c r="W76" s="544"/>
      <c r="X76" s="542"/>
      <c r="Y76" s="633"/>
      <c r="Z76" s="542"/>
      <c r="AA76" s="544"/>
      <c r="AB76" s="544"/>
      <c r="AC76" s="542"/>
      <c r="AD76" s="633"/>
      <c r="AE76" s="542"/>
      <c r="AF76" s="544"/>
      <c r="AG76" s="544"/>
      <c r="AH76" s="542"/>
      <c r="AI76" s="633"/>
      <c r="AJ76" s="542"/>
      <c r="AK76" s="544"/>
      <c r="AL76" s="544"/>
      <c r="AM76" s="542"/>
      <c r="AN76" s="633"/>
      <c r="AO76" s="542"/>
      <c r="AP76" s="544"/>
      <c r="AQ76" s="544"/>
      <c r="AR76" s="542"/>
      <c r="AS76" s="633"/>
      <c r="AT76" s="542"/>
      <c r="AU76" s="544"/>
      <c r="AV76" s="544"/>
      <c r="AW76" s="542"/>
      <c r="AX76" s="633"/>
      <c r="AZ76" s="357" t="e">
        <f t="shared" si="46"/>
        <v>#N/A</v>
      </c>
      <c r="BA76" s="633"/>
    </row>
    <row r="77" spans="2:53">
      <c r="B77" s="643"/>
      <c r="C77" s="368">
        <v>11</v>
      </c>
      <c r="D77" s="220"/>
      <c r="E77" s="559"/>
      <c r="F77" s="553"/>
      <c r="G77" s="552"/>
      <c r="H77" s="651"/>
      <c r="I77" s="369" t="str">
        <f t="shared" si="43"/>
        <v>-</v>
      </c>
      <c r="J77" s="369" t="str">
        <f t="shared" si="44"/>
        <v>-</v>
      </c>
      <c r="K77" s="194" t="str">
        <f t="shared" si="45"/>
        <v>-</v>
      </c>
      <c r="L77" s="653"/>
      <c r="M77" s="372" t="e">
        <f>RANK(K77, K$67:$K$81)</f>
        <v>#VALUE!</v>
      </c>
      <c r="N77" s="637"/>
      <c r="O77" s="637"/>
      <c r="P77" s="542"/>
      <c r="Q77" s="544"/>
      <c r="R77" s="544"/>
      <c r="S77" s="542"/>
      <c r="T77" s="633"/>
      <c r="U77" s="542"/>
      <c r="V77" s="544"/>
      <c r="W77" s="544"/>
      <c r="X77" s="542"/>
      <c r="Y77" s="633"/>
      <c r="Z77" s="542"/>
      <c r="AA77" s="544"/>
      <c r="AB77" s="544"/>
      <c r="AC77" s="542"/>
      <c r="AD77" s="633"/>
      <c r="AE77" s="542"/>
      <c r="AF77" s="544"/>
      <c r="AG77" s="544"/>
      <c r="AH77" s="542"/>
      <c r="AI77" s="633"/>
      <c r="AJ77" s="542"/>
      <c r="AK77" s="544"/>
      <c r="AL77" s="544"/>
      <c r="AM77" s="542"/>
      <c r="AN77" s="633"/>
      <c r="AO77" s="542"/>
      <c r="AP77" s="544"/>
      <c r="AQ77" s="544"/>
      <c r="AR77" s="542"/>
      <c r="AS77" s="633"/>
      <c r="AT77" s="542"/>
      <c r="AU77" s="544"/>
      <c r="AV77" s="544"/>
      <c r="AW77" s="542"/>
      <c r="AX77" s="633"/>
      <c r="AZ77" s="357" t="e">
        <f t="shared" si="46"/>
        <v>#N/A</v>
      </c>
      <c r="BA77" s="633"/>
    </row>
    <row r="78" spans="2:53">
      <c r="B78" s="643"/>
      <c r="C78" s="368">
        <v>12</v>
      </c>
      <c r="D78" s="220"/>
      <c r="E78" s="559"/>
      <c r="F78" s="553"/>
      <c r="G78" s="552"/>
      <c r="H78" s="651"/>
      <c r="I78" s="369" t="str">
        <f t="shared" si="43"/>
        <v>-</v>
      </c>
      <c r="J78" s="369" t="str">
        <f t="shared" si="44"/>
        <v>-</v>
      </c>
      <c r="K78" s="194" t="str">
        <f t="shared" si="45"/>
        <v>-</v>
      </c>
      <c r="L78" s="653"/>
      <c r="M78" s="372" t="e">
        <f>RANK(K78, K$67:$K$81)</f>
        <v>#VALUE!</v>
      </c>
      <c r="N78" s="637"/>
      <c r="O78" s="637"/>
      <c r="P78" s="542"/>
      <c r="Q78" s="544"/>
      <c r="R78" s="544"/>
      <c r="S78" s="542"/>
      <c r="T78" s="633"/>
      <c r="U78" s="542"/>
      <c r="V78" s="544"/>
      <c r="W78" s="544"/>
      <c r="X78" s="542"/>
      <c r="Y78" s="633"/>
      <c r="Z78" s="542"/>
      <c r="AA78" s="544"/>
      <c r="AB78" s="544"/>
      <c r="AC78" s="542"/>
      <c r="AD78" s="633"/>
      <c r="AE78" s="542"/>
      <c r="AF78" s="544"/>
      <c r="AG78" s="544"/>
      <c r="AH78" s="542"/>
      <c r="AI78" s="633"/>
      <c r="AJ78" s="542"/>
      <c r="AK78" s="544"/>
      <c r="AL78" s="544"/>
      <c r="AM78" s="542"/>
      <c r="AN78" s="633"/>
      <c r="AO78" s="542"/>
      <c r="AP78" s="544"/>
      <c r="AQ78" s="544"/>
      <c r="AR78" s="542"/>
      <c r="AS78" s="633"/>
      <c r="AT78" s="542"/>
      <c r="AU78" s="544"/>
      <c r="AV78" s="544"/>
      <c r="AW78" s="542"/>
      <c r="AX78" s="633"/>
      <c r="AZ78" s="357" t="e">
        <f t="shared" si="46"/>
        <v>#N/A</v>
      </c>
      <c r="BA78" s="633"/>
    </row>
    <row r="79" spans="2:53">
      <c r="B79" s="643"/>
      <c r="C79" s="368">
        <v>13</v>
      </c>
      <c r="D79" s="220"/>
      <c r="E79" s="559"/>
      <c r="F79" s="553"/>
      <c r="G79" s="552"/>
      <c r="H79" s="651"/>
      <c r="I79" s="369" t="str">
        <f t="shared" si="43"/>
        <v>-</v>
      </c>
      <c r="J79" s="369" t="str">
        <f t="shared" si="44"/>
        <v>-</v>
      </c>
      <c r="K79" s="194" t="str">
        <f t="shared" si="45"/>
        <v>-</v>
      </c>
      <c r="L79" s="653"/>
      <c r="M79" s="372" t="e">
        <f>RANK(K79, K$67:$K$81)</f>
        <v>#VALUE!</v>
      </c>
      <c r="N79" s="637"/>
      <c r="O79" s="637"/>
      <c r="P79" s="542"/>
      <c r="Q79" s="544"/>
      <c r="R79" s="544"/>
      <c r="S79" s="542"/>
      <c r="T79" s="633"/>
      <c r="U79" s="542"/>
      <c r="V79" s="544"/>
      <c r="W79" s="544"/>
      <c r="X79" s="542"/>
      <c r="Y79" s="633"/>
      <c r="Z79" s="542"/>
      <c r="AA79" s="544"/>
      <c r="AB79" s="544"/>
      <c r="AC79" s="542"/>
      <c r="AD79" s="633"/>
      <c r="AE79" s="542"/>
      <c r="AF79" s="544"/>
      <c r="AG79" s="544"/>
      <c r="AH79" s="542"/>
      <c r="AI79" s="633"/>
      <c r="AJ79" s="542"/>
      <c r="AK79" s="544"/>
      <c r="AL79" s="544"/>
      <c r="AM79" s="542"/>
      <c r="AN79" s="633"/>
      <c r="AO79" s="542"/>
      <c r="AP79" s="544"/>
      <c r="AQ79" s="544"/>
      <c r="AR79" s="542"/>
      <c r="AS79" s="633"/>
      <c r="AT79" s="542"/>
      <c r="AU79" s="544"/>
      <c r="AV79" s="544"/>
      <c r="AW79" s="542"/>
      <c r="AX79" s="633"/>
      <c r="AZ79" s="357" t="e">
        <f t="shared" si="46"/>
        <v>#N/A</v>
      </c>
      <c r="BA79" s="633"/>
    </row>
    <row r="80" spans="2:53">
      <c r="B80" s="643"/>
      <c r="C80" s="368">
        <v>14</v>
      </c>
      <c r="D80" s="220"/>
      <c r="E80" s="559"/>
      <c r="F80" s="553"/>
      <c r="G80" s="552"/>
      <c r="H80" s="651"/>
      <c r="I80" s="369" t="str">
        <f t="shared" si="43"/>
        <v>-</v>
      </c>
      <c r="J80" s="369" t="str">
        <f t="shared" si="44"/>
        <v>-</v>
      </c>
      <c r="K80" s="194" t="str">
        <f t="shared" si="45"/>
        <v>-</v>
      </c>
      <c r="L80" s="653"/>
      <c r="M80" s="372" t="e">
        <f>RANK(K80, K$67:$K$81)</f>
        <v>#VALUE!</v>
      </c>
      <c r="N80" s="637"/>
      <c r="O80" s="637"/>
      <c r="P80" s="542"/>
      <c r="Q80" s="544"/>
      <c r="R80" s="544"/>
      <c r="S80" s="542"/>
      <c r="T80" s="633"/>
      <c r="U80" s="542"/>
      <c r="V80" s="544"/>
      <c r="W80" s="544"/>
      <c r="X80" s="542"/>
      <c r="Y80" s="633"/>
      <c r="Z80" s="542"/>
      <c r="AA80" s="544"/>
      <c r="AB80" s="544"/>
      <c r="AC80" s="542"/>
      <c r="AD80" s="633"/>
      <c r="AE80" s="542"/>
      <c r="AF80" s="544"/>
      <c r="AG80" s="544"/>
      <c r="AH80" s="542"/>
      <c r="AI80" s="633"/>
      <c r="AJ80" s="542"/>
      <c r="AK80" s="544"/>
      <c r="AL80" s="544"/>
      <c r="AM80" s="542"/>
      <c r="AN80" s="633"/>
      <c r="AO80" s="542"/>
      <c r="AP80" s="544"/>
      <c r="AQ80" s="544"/>
      <c r="AR80" s="542"/>
      <c r="AS80" s="633"/>
      <c r="AT80" s="542"/>
      <c r="AU80" s="544"/>
      <c r="AV80" s="544"/>
      <c r="AW80" s="542"/>
      <c r="AX80" s="633"/>
      <c r="AZ80" s="357" t="e">
        <f t="shared" si="46"/>
        <v>#N/A</v>
      </c>
      <c r="BA80" s="633"/>
    </row>
    <row r="81" spans="2:53">
      <c r="B81" s="643"/>
      <c r="C81" s="368">
        <v>15</v>
      </c>
      <c r="D81" s="220"/>
      <c r="E81" s="559"/>
      <c r="F81" s="553"/>
      <c r="G81" s="552"/>
      <c r="H81" s="708"/>
      <c r="I81" s="391" t="str">
        <f t="shared" ref="I81" si="48">IFERROR(AVERAGE(P81,U81,Z81,AE81,AJ81,AO81,AT81),"-")</f>
        <v>-</v>
      </c>
      <c r="J81" s="391" t="str">
        <f t="shared" ref="J81" si="49">IFERROR(AVERAGE(Q81,V81,AA81,AF81,AK81,AP81,AU81),"-")</f>
        <v>-</v>
      </c>
      <c r="K81" s="194" t="str">
        <f t="shared" ref="K81" si="50">IFERROR(AVERAGE(R81,W81,AB81,AG81,AL81,AQ81,AV81),"-")</f>
        <v>-</v>
      </c>
      <c r="L81" s="654"/>
      <c r="M81" s="372" t="e">
        <f>RANK(K81, K$47:$K$61)</f>
        <v>#VALUE!</v>
      </c>
      <c r="N81" s="637"/>
      <c r="O81" s="637"/>
      <c r="P81" s="542"/>
      <c r="Q81" s="544"/>
      <c r="R81" s="544"/>
      <c r="S81" s="542"/>
      <c r="T81" s="634"/>
      <c r="U81" s="542"/>
      <c r="V81" s="544"/>
      <c r="W81" s="544"/>
      <c r="X81" s="542"/>
      <c r="Y81" s="634"/>
      <c r="Z81" s="542"/>
      <c r="AA81" s="544"/>
      <c r="AB81" s="544"/>
      <c r="AC81" s="542"/>
      <c r="AD81" s="634"/>
      <c r="AE81" s="542"/>
      <c r="AF81" s="544"/>
      <c r="AG81" s="544"/>
      <c r="AH81" s="542"/>
      <c r="AI81" s="634"/>
      <c r="AJ81" s="542"/>
      <c r="AK81" s="544"/>
      <c r="AL81" s="544"/>
      <c r="AM81" s="542"/>
      <c r="AN81" s="634"/>
      <c r="AO81" s="542"/>
      <c r="AP81" s="544"/>
      <c r="AQ81" s="544"/>
      <c r="AR81" s="542"/>
      <c r="AS81" s="634"/>
      <c r="AT81" s="542"/>
      <c r="AU81" s="544"/>
      <c r="AV81" s="544"/>
      <c r="AW81" s="542"/>
      <c r="AX81" s="634"/>
      <c r="AZ81" s="357" t="e">
        <f t="shared" si="46"/>
        <v>#N/A</v>
      </c>
      <c r="BA81" s="634"/>
    </row>
    <row r="82" spans="2:53" ht="15.75">
      <c r="B82" s="665" t="s">
        <v>162</v>
      </c>
      <c r="C82" s="666"/>
      <c r="D82" s="666"/>
      <c r="E82" s="666"/>
      <c r="F82" s="666"/>
      <c r="G82" s="666"/>
      <c r="H82" s="667"/>
      <c r="I82" s="202"/>
      <c r="J82" s="202"/>
      <c r="K82" s="202"/>
      <c r="L82" s="202"/>
      <c r="M82" s="201"/>
      <c r="N82" s="639" t="s">
        <v>156</v>
      </c>
      <c r="O82" s="639" t="s">
        <v>105</v>
      </c>
      <c r="P82" s="664">
        <f>P62+7</f>
        <v>46322</v>
      </c>
      <c r="Q82" s="643"/>
      <c r="R82" s="643"/>
      <c r="S82" s="643"/>
      <c r="T82" s="643"/>
      <c r="U82" s="661">
        <f>P82+1</f>
        <v>46323</v>
      </c>
      <c r="V82" s="662"/>
      <c r="W82" s="662"/>
      <c r="X82" s="662"/>
      <c r="Y82" s="663"/>
      <c r="Z82" s="661">
        <f>U82+1</f>
        <v>46324</v>
      </c>
      <c r="AA82" s="662"/>
      <c r="AB82" s="662"/>
      <c r="AC82" s="662"/>
      <c r="AD82" s="663"/>
      <c r="AE82" s="661">
        <f>Z82+1</f>
        <v>46325</v>
      </c>
      <c r="AF82" s="662"/>
      <c r="AG82" s="662"/>
      <c r="AH82" s="662"/>
      <c r="AI82" s="663"/>
      <c r="AJ82" s="661">
        <f>AE82+1</f>
        <v>46326</v>
      </c>
      <c r="AK82" s="662"/>
      <c r="AL82" s="662"/>
      <c r="AM82" s="662"/>
      <c r="AN82" s="663"/>
      <c r="AO82" s="661">
        <f>AJ82+1</f>
        <v>46327</v>
      </c>
      <c r="AP82" s="662"/>
      <c r="AQ82" s="662"/>
      <c r="AR82" s="662"/>
      <c r="AS82" s="663"/>
      <c r="AT82" s="661">
        <f>AO82+1</f>
        <v>46328</v>
      </c>
      <c r="AU82" s="662"/>
      <c r="AV82" s="662"/>
      <c r="AW82" s="662"/>
      <c r="AX82" s="663"/>
    </row>
    <row r="83" spans="2:53" ht="15.75">
      <c r="B83" s="668"/>
      <c r="C83" s="668"/>
      <c r="D83" s="668"/>
      <c r="E83" s="668"/>
      <c r="F83" s="668"/>
      <c r="G83" s="668"/>
      <c r="H83" s="668"/>
      <c r="I83" s="199"/>
      <c r="J83" s="199"/>
      <c r="K83" s="199"/>
      <c r="L83" s="199"/>
      <c r="M83" s="200"/>
      <c r="N83" s="641"/>
      <c r="O83" s="641"/>
      <c r="P83" s="664" t="s">
        <v>317</v>
      </c>
      <c r="Q83" s="643"/>
      <c r="R83" s="643"/>
      <c r="S83" s="643"/>
      <c r="T83" s="643"/>
      <c r="U83" s="664" t="s">
        <v>318</v>
      </c>
      <c r="V83" s="643"/>
      <c r="W83" s="643"/>
      <c r="X83" s="643"/>
      <c r="Y83" s="643"/>
      <c r="Z83" s="664" t="s">
        <v>319</v>
      </c>
      <c r="AA83" s="643"/>
      <c r="AB83" s="643"/>
      <c r="AC83" s="643"/>
      <c r="AD83" s="643"/>
      <c r="AE83" s="664" t="s">
        <v>320</v>
      </c>
      <c r="AF83" s="643"/>
      <c r="AG83" s="643"/>
      <c r="AH83" s="643"/>
      <c r="AI83" s="643"/>
      <c r="AJ83" s="664" t="s">
        <v>321</v>
      </c>
      <c r="AK83" s="643"/>
      <c r="AL83" s="643"/>
      <c r="AM83" s="643"/>
      <c r="AN83" s="643"/>
      <c r="AO83" s="664" t="s">
        <v>322</v>
      </c>
      <c r="AP83" s="643"/>
      <c r="AQ83" s="643"/>
      <c r="AR83" s="643"/>
      <c r="AS83" s="643"/>
      <c r="AT83" s="664" t="s">
        <v>323</v>
      </c>
      <c r="AU83" s="643"/>
      <c r="AV83" s="643"/>
      <c r="AW83" s="643"/>
      <c r="AX83" s="643"/>
    </row>
    <row r="84" spans="2:53">
      <c r="B84" s="637" t="s">
        <v>743</v>
      </c>
      <c r="C84" s="637" t="s">
        <v>521</v>
      </c>
      <c r="D84" s="637"/>
      <c r="E84" s="637" t="s">
        <v>522</v>
      </c>
      <c r="F84" s="637"/>
      <c r="G84" s="637"/>
      <c r="H84" s="669" t="s">
        <v>523</v>
      </c>
      <c r="I84" s="637" t="s">
        <v>524</v>
      </c>
      <c r="J84" s="637"/>
      <c r="K84" s="637"/>
      <c r="L84" s="669" t="s">
        <v>357</v>
      </c>
      <c r="M84" s="639" t="s">
        <v>525</v>
      </c>
      <c r="N84" s="637"/>
      <c r="O84" s="637" t="s">
        <v>363</v>
      </c>
      <c r="P84" s="655" t="s">
        <v>359</v>
      </c>
      <c r="Q84" s="656"/>
      <c r="R84" s="656"/>
      <c r="S84" s="657"/>
      <c r="T84" s="637" t="s">
        <v>357</v>
      </c>
      <c r="U84" s="655" t="s">
        <v>359</v>
      </c>
      <c r="V84" s="656"/>
      <c r="W84" s="656"/>
      <c r="X84" s="657"/>
      <c r="Y84" s="637" t="s">
        <v>357</v>
      </c>
      <c r="Z84" s="655" t="s">
        <v>359</v>
      </c>
      <c r="AA84" s="656"/>
      <c r="AB84" s="656"/>
      <c r="AC84" s="657"/>
      <c r="AD84" s="637" t="s">
        <v>357</v>
      </c>
      <c r="AE84" s="655" t="s">
        <v>359</v>
      </c>
      <c r="AF84" s="656"/>
      <c r="AG84" s="656"/>
      <c r="AH84" s="657"/>
      <c r="AI84" s="637" t="s">
        <v>357</v>
      </c>
      <c r="AJ84" s="655" t="s">
        <v>359</v>
      </c>
      <c r="AK84" s="656"/>
      <c r="AL84" s="656"/>
      <c r="AM84" s="657"/>
      <c r="AN84" s="637" t="s">
        <v>357</v>
      </c>
      <c r="AO84" s="655" t="s">
        <v>359</v>
      </c>
      <c r="AP84" s="656"/>
      <c r="AQ84" s="656"/>
      <c r="AR84" s="657"/>
      <c r="AS84" s="637" t="s">
        <v>357</v>
      </c>
      <c r="AT84" s="655" t="s">
        <v>359</v>
      </c>
      <c r="AU84" s="656"/>
      <c r="AV84" s="656"/>
      <c r="AW84" s="657"/>
      <c r="AX84" s="637" t="s">
        <v>357</v>
      </c>
      <c r="BA84" s="637" t="s">
        <v>357</v>
      </c>
    </row>
    <row r="85" spans="2:53">
      <c r="B85" s="637"/>
      <c r="C85" s="637"/>
      <c r="D85" s="637"/>
      <c r="E85" s="637" t="s">
        <v>527</v>
      </c>
      <c r="F85" s="637"/>
      <c r="G85" s="637"/>
      <c r="H85" s="670"/>
      <c r="I85" s="637" t="s">
        <v>527</v>
      </c>
      <c r="J85" s="637"/>
      <c r="K85" s="637"/>
      <c r="L85" s="670"/>
      <c r="M85" s="640"/>
      <c r="N85" s="637"/>
      <c r="O85" s="637"/>
      <c r="P85" s="655" t="s">
        <v>365</v>
      </c>
      <c r="Q85" s="656"/>
      <c r="R85" s="656"/>
      <c r="S85" s="657"/>
      <c r="T85" s="637"/>
      <c r="U85" s="655" t="s">
        <v>365</v>
      </c>
      <c r="V85" s="656"/>
      <c r="W85" s="656"/>
      <c r="X85" s="657"/>
      <c r="Y85" s="637"/>
      <c r="Z85" s="655" t="s">
        <v>365</v>
      </c>
      <c r="AA85" s="656"/>
      <c r="AB85" s="656"/>
      <c r="AC85" s="657"/>
      <c r="AD85" s="637"/>
      <c r="AE85" s="655" t="s">
        <v>365</v>
      </c>
      <c r="AF85" s="656"/>
      <c r="AG85" s="656"/>
      <c r="AH85" s="657"/>
      <c r="AI85" s="637"/>
      <c r="AJ85" s="655" t="s">
        <v>365</v>
      </c>
      <c r="AK85" s="656"/>
      <c r="AL85" s="656"/>
      <c r="AM85" s="657"/>
      <c r="AN85" s="637"/>
      <c r="AO85" s="655" t="s">
        <v>365</v>
      </c>
      <c r="AP85" s="656"/>
      <c r="AQ85" s="656"/>
      <c r="AR85" s="657"/>
      <c r="AS85" s="637"/>
      <c r="AT85" s="655" t="s">
        <v>365</v>
      </c>
      <c r="AU85" s="656"/>
      <c r="AV85" s="656"/>
      <c r="AW85" s="657"/>
      <c r="AX85" s="637"/>
      <c r="BA85" s="637"/>
    </row>
    <row r="86" spans="2:53">
      <c r="B86" s="637"/>
      <c r="C86" s="637"/>
      <c r="D86" s="637"/>
      <c r="E86" s="366" t="s">
        <v>528</v>
      </c>
      <c r="F86" s="366" t="s">
        <v>529</v>
      </c>
      <c r="G86" s="366" t="s">
        <v>530</v>
      </c>
      <c r="H86" s="671"/>
      <c r="I86" s="366" t="s">
        <v>528</v>
      </c>
      <c r="J86" s="366" t="s">
        <v>529</v>
      </c>
      <c r="K86" s="366" t="s">
        <v>530</v>
      </c>
      <c r="L86" s="671"/>
      <c r="M86" s="641"/>
      <c r="N86" s="637"/>
      <c r="O86" s="637"/>
      <c r="P86" s="366" t="s">
        <v>366</v>
      </c>
      <c r="Q86" s="366" t="s">
        <v>367</v>
      </c>
      <c r="R86" s="366" t="s">
        <v>368</v>
      </c>
      <c r="S86" s="366" t="s">
        <v>358</v>
      </c>
      <c r="T86" s="637"/>
      <c r="U86" s="366" t="s">
        <v>366</v>
      </c>
      <c r="V86" s="366" t="s">
        <v>367</v>
      </c>
      <c r="W86" s="366" t="s">
        <v>368</v>
      </c>
      <c r="X86" s="366" t="s">
        <v>358</v>
      </c>
      <c r="Y86" s="637"/>
      <c r="Z86" s="366" t="s">
        <v>366</v>
      </c>
      <c r="AA86" s="366" t="s">
        <v>367</v>
      </c>
      <c r="AB86" s="366" t="s">
        <v>368</v>
      </c>
      <c r="AC86" s="366" t="s">
        <v>358</v>
      </c>
      <c r="AD86" s="637"/>
      <c r="AE86" s="366" t="s">
        <v>366</v>
      </c>
      <c r="AF86" s="366" t="s">
        <v>367</v>
      </c>
      <c r="AG86" s="366" t="s">
        <v>368</v>
      </c>
      <c r="AH86" s="366" t="s">
        <v>358</v>
      </c>
      <c r="AI86" s="637"/>
      <c r="AJ86" s="366" t="s">
        <v>366</v>
      </c>
      <c r="AK86" s="366" t="s">
        <v>367</v>
      </c>
      <c r="AL86" s="366" t="s">
        <v>368</v>
      </c>
      <c r="AM86" s="366" t="s">
        <v>358</v>
      </c>
      <c r="AN86" s="637"/>
      <c r="AO86" s="366" t="s">
        <v>366</v>
      </c>
      <c r="AP86" s="366" t="s">
        <v>367</v>
      </c>
      <c r="AQ86" s="366" t="s">
        <v>368</v>
      </c>
      <c r="AR86" s="366" t="s">
        <v>358</v>
      </c>
      <c r="AS86" s="637"/>
      <c r="AT86" s="366" t="s">
        <v>366</v>
      </c>
      <c r="AU86" s="366" t="s">
        <v>367</v>
      </c>
      <c r="AV86" s="366" t="s">
        <v>368</v>
      </c>
      <c r="AW86" s="366" t="s">
        <v>358</v>
      </c>
      <c r="AX86" s="637"/>
      <c r="AZ86" s="356" t="s">
        <v>358</v>
      </c>
      <c r="BA86" s="637"/>
    </row>
    <row r="87" spans="2:53">
      <c r="B87" s="637" t="s">
        <v>413</v>
      </c>
      <c r="C87" s="368">
        <v>1</v>
      </c>
      <c r="D87" s="220"/>
      <c r="E87" s="477"/>
      <c r="F87" s="474"/>
      <c r="G87" s="473"/>
      <c r="H87" s="650" t="e">
        <f>AVERAGE(G87:G101)</f>
        <v>#DIV/0!</v>
      </c>
      <c r="I87" s="369" t="str">
        <f t="shared" ref="I87:I100" si="51">IFERROR(AVERAGE(P87,U87,Z87,AE87,AJ87,AO87,AT87),"-")</f>
        <v>-</v>
      </c>
      <c r="J87" s="369" t="str">
        <f t="shared" ref="J87:J100" si="52">IFERROR(AVERAGE(Q87,V87,AA87,AF87,AK87,AP87,AU87),"-")</f>
        <v>-</v>
      </c>
      <c r="K87" s="194" t="str">
        <f t="shared" ref="K87:K100" si="53">IFERROR(AVERAGE(R87,W87,AB87,AG87,AL87,AQ87,AV87),"-")</f>
        <v>-</v>
      </c>
      <c r="L87" s="652" t="str">
        <f>IFERROR(AVERAGE(K87:K101),"-")</f>
        <v>-</v>
      </c>
      <c r="M87" s="372" t="e">
        <f>RANK(K87, K$87:$K$101)</f>
        <v>#VALUE!</v>
      </c>
      <c r="N87" s="637"/>
      <c r="O87" s="637"/>
      <c r="P87" s="546"/>
      <c r="Q87" s="547"/>
      <c r="R87" s="547"/>
      <c r="S87" s="546"/>
      <c r="T87" s="638"/>
      <c r="U87" s="546"/>
      <c r="V87" s="547"/>
      <c r="W87" s="547"/>
      <c r="X87" s="546"/>
      <c r="Y87" s="638"/>
      <c r="Z87" s="546"/>
      <c r="AA87" s="547"/>
      <c r="AB87" s="547"/>
      <c r="AC87" s="546"/>
      <c r="AD87" s="638"/>
      <c r="AE87" s="546"/>
      <c r="AF87" s="547"/>
      <c r="AG87" s="547"/>
      <c r="AH87" s="546"/>
      <c r="AI87" s="638"/>
      <c r="AJ87" s="546"/>
      <c r="AK87" s="547"/>
      <c r="AL87" s="547"/>
      <c r="AM87" s="546"/>
      <c r="AN87" s="638"/>
      <c r="AO87" s="546"/>
      <c r="AP87" s="547"/>
      <c r="AQ87" s="547"/>
      <c r="AR87" s="546"/>
      <c r="AS87" s="638"/>
      <c r="AT87" s="546"/>
      <c r="AU87" s="547"/>
      <c r="AV87" s="547"/>
      <c r="AW87" s="546"/>
      <c r="AX87" s="638"/>
      <c r="AZ87" s="357" t="e">
        <f t="shared" ref="AZ87:AZ101" si="54">RANK(AY87, AY$87:AY$101)</f>
        <v>#N/A</v>
      </c>
      <c r="BA87" s="638" t="e">
        <f t="shared" ref="BA87" si="55">AVERAGE(AY87:AY101)</f>
        <v>#DIV/0!</v>
      </c>
    </row>
    <row r="88" spans="2:53">
      <c r="B88" s="643"/>
      <c r="C88" s="368">
        <v>2</v>
      </c>
      <c r="D88" s="220"/>
      <c r="E88" s="477"/>
      <c r="F88" s="474"/>
      <c r="G88" s="473"/>
      <c r="H88" s="651"/>
      <c r="I88" s="369" t="str">
        <f t="shared" si="51"/>
        <v>-</v>
      </c>
      <c r="J88" s="369" t="str">
        <f t="shared" si="52"/>
        <v>-</v>
      </c>
      <c r="K88" s="194" t="str">
        <f t="shared" si="53"/>
        <v>-</v>
      </c>
      <c r="L88" s="653"/>
      <c r="M88" s="394" t="e">
        <f>RANK(K88, K$87:$K$101)</f>
        <v>#VALUE!</v>
      </c>
      <c r="N88" s="637"/>
      <c r="O88" s="637"/>
      <c r="P88" s="546"/>
      <c r="Q88" s="547"/>
      <c r="R88" s="547"/>
      <c r="S88" s="546"/>
      <c r="T88" s="638"/>
      <c r="U88" s="546"/>
      <c r="V88" s="547"/>
      <c r="W88" s="547"/>
      <c r="X88" s="546"/>
      <c r="Y88" s="638"/>
      <c r="Z88" s="546"/>
      <c r="AA88" s="547"/>
      <c r="AB88" s="547"/>
      <c r="AC88" s="546"/>
      <c r="AD88" s="638"/>
      <c r="AE88" s="546"/>
      <c r="AF88" s="547"/>
      <c r="AG88" s="547"/>
      <c r="AH88" s="546"/>
      <c r="AI88" s="638"/>
      <c r="AJ88" s="546"/>
      <c r="AK88" s="547"/>
      <c r="AL88" s="547"/>
      <c r="AM88" s="546"/>
      <c r="AN88" s="638"/>
      <c r="AO88" s="546"/>
      <c r="AP88" s="547"/>
      <c r="AQ88" s="547"/>
      <c r="AR88" s="546"/>
      <c r="AS88" s="638"/>
      <c r="AT88" s="546"/>
      <c r="AU88" s="547"/>
      <c r="AV88" s="547"/>
      <c r="AW88" s="546"/>
      <c r="AX88" s="638"/>
      <c r="AZ88" s="357" t="e">
        <f t="shared" si="54"/>
        <v>#N/A</v>
      </c>
      <c r="BA88" s="638"/>
    </row>
    <row r="89" spans="2:53">
      <c r="B89" s="643"/>
      <c r="C89" s="368">
        <v>3</v>
      </c>
      <c r="D89" s="220"/>
      <c r="E89" s="477"/>
      <c r="F89" s="474"/>
      <c r="G89" s="473"/>
      <c r="H89" s="651"/>
      <c r="I89" s="369" t="str">
        <f t="shared" si="51"/>
        <v>-</v>
      </c>
      <c r="J89" s="369" t="str">
        <f t="shared" si="52"/>
        <v>-</v>
      </c>
      <c r="K89" s="194" t="str">
        <f t="shared" si="53"/>
        <v>-</v>
      </c>
      <c r="L89" s="653"/>
      <c r="M89" s="394" t="e">
        <f>RANK(K89, K$87:$K$101)</f>
        <v>#VALUE!</v>
      </c>
      <c r="N89" s="637"/>
      <c r="O89" s="637"/>
      <c r="P89" s="546"/>
      <c r="Q89" s="547"/>
      <c r="R89" s="547"/>
      <c r="S89" s="546"/>
      <c r="T89" s="638"/>
      <c r="U89" s="546"/>
      <c r="V89" s="547"/>
      <c r="W89" s="547"/>
      <c r="X89" s="546"/>
      <c r="Y89" s="638"/>
      <c r="Z89" s="546"/>
      <c r="AA89" s="547"/>
      <c r="AB89" s="547"/>
      <c r="AC89" s="546"/>
      <c r="AD89" s="638"/>
      <c r="AE89" s="546"/>
      <c r="AF89" s="547"/>
      <c r="AG89" s="547"/>
      <c r="AH89" s="546"/>
      <c r="AI89" s="638"/>
      <c r="AJ89" s="546"/>
      <c r="AK89" s="547"/>
      <c r="AL89" s="547"/>
      <c r="AM89" s="546"/>
      <c r="AN89" s="638"/>
      <c r="AO89" s="546"/>
      <c r="AP89" s="547"/>
      <c r="AQ89" s="547"/>
      <c r="AR89" s="546"/>
      <c r="AS89" s="638"/>
      <c r="AT89" s="546"/>
      <c r="AU89" s="547"/>
      <c r="AV89" s="547"/>
      <c r="AW89" s="546"/>
      <c r="AX89" s="638"/>
      <c r="AZ89" s="357" t="e">
        <f t="shared" si="54"/>
        <v>#N/A</v>
      </c>
      <c r="BA89" s="638"/>
    </row>
    <row r="90" spans="2:53">
      <c r="B90" s="643"/>
      <c r="C90" s="368">
        <v>4</v>
      </c>
      <c r="D90" s="220"/>
      <c r="E90" s="477"/>
      <c r="F90" s="474"/>
      <c r="G90" s="473"/>
      <c r="H90" s="651"/>
      <c r="I90" s="369" t="str">
        <f t="shared" si="51"/>
        <v>-</v>
      </c>
      <c r="J90" s="369" t="str">
        <f t="shared" si="52"/>
        <v>-</v>
      </c>
      <c r="K90" s="194" t="str">
        <f t="shared" si="53"/>
        <v>-</v>
      </c>
      <c r="L90" s="653"/>
      <c r="M90" s="394" t="e">
        <f>RANK(K90, K$87:$K$101)</f>
        <v>#VALUE!</v>
      </c>
      <c r="N90" s="637"/>
      <c r="O90" s="637"/>
      <c r="P90" s="546"/>
      <c r="Q90" s="547"/>
      <c r="R90" s="547"/>
      <c r="S90" s="546"/>
      <c r="T90" s="638"/>
      <c r="U90" s="546"/>
      <c r="V90" s="547"/>
      <c r="W90" s="547"/>
      <c r="X90" s="546"/>
      <c r="Y90" s="638"/>
      <c r="Z90" s="546"/>
      <c r="AA90" s="547"/>
      <c r="AB90" s="547"/>
      <c r="AC90" s="546"/>
      <c r="AD90" s="638"/>
      <c r="AE90" s="546"/>
      <c r="AF90" s="547"/>
      <c r="AG90" s="547"/>
      <c r="AH90" s="546"/>
      <c r="AI90" s="638"/>
      <c r="AJ90" s="546"/>
      <c r="AK90" s="547"/>
      <c r="AL90" s="547"/>
      <c r="AM90" s="546"/>
      <c r="AN90" s="638"/>
      <c r="AO90" s="546"/>
      <c r="AP90" s="547"/>
      <c r="AQ90" s="547"/>
      <c r="AR90" s="546"/>
      <c r="AS90" s="638"/>
      <c r="AT90" s="546"/>
      <c r="AU90" s="547"/>
      <c r="AV90" s="547"/>
      <c r="AW90" s="546"/>
      <c r="AX90" s="638"/>
      <c r="AZ90" s="357" t="e">
        <f t="shared" si="54"/>
        <v>#N/A</v>
      </c>
      <c r="BA90" s="638"/>
    </row>
    <row r="91" spans="2:53">
      <c r="B91" s="643"/>
      <c r="C91" s="368">
        <v>5</v>
      </c>
      <c r="D91" s="220"/>
      <c r="E91" s="477"/>
      <c r="F91" s="474"/>
      <c r="G91" s="473"/>
      <c r="H91" s="651"/>
      <c r="I91" s="369" t="str">
        <f t="shared" si="51"/>
        <v>-</v>
      </c>
      <c r="J91" s="369" t="str">
        <f t="shared" si="52"/>
        <v>-</v>
      </c>
      <c r="K91" s="194" t="str">
        <f t="shared" si="53"/>
        <v>-</v>
      </c>
      <c r="L91" s="653"/>
      <c r="M91" s="394" t="e">
        <f>RANK(K91, K$87:$K$101)</f>
        <v>#VALUE!</v>
      </c>
      <c r="N91" s="637"/>
      <c r="O91" s="637"/>
      <c r="P91" s="546"/>
      <c r="Q91" s="547"/>
      <c r="R91" s="547"/>
      <c r="S91" s="546"/>
      <c r="T91" s="638"/>
      <c r="U91" s="546"/>
      <c r="V91" s="547"/>
      <c r="W91" s="547"/>
      <c r="X91" s="546"/>
      <c r="Y91" s="638"/>
      <c r="Z91" s="546"/>
      <c r="AA91" s="547"/>
      <c r="AB91" s="547"/>
      <c r="AC91" s="546"/>
      <c r="AD91" s="638"/>
      <c r="AE91" s="546"/>
      <c r="AF91" s="547"/>
      <c r="AG91" s="547"/>
      <c r="AH91" s="546"/>
      <c r="AI91" s="638"/>
      <c r="AJ91" s="546"/>
      <c r="AK91" s="547"/>
      <c r="AL91" s="547"/>
      <c r="AM91" s="546"/>
      <c r="AN91" s="638"/>
      <c r="AO91" s="546"/>
      <c r="AP91" s="547"/>
      <c r="AQ91" s="547"/>
      <c r="AR91" s="546"/>
      <c r="AS91" s="638"/>
      <c r="AT91" s="546"/>
      <c r="AU91" s="547"/>
      <c r="AV91" s="547"/>
      <c r="AW91" s="546"/>
      <c r="AX91" s="638"/>
      <c r="AZ91" s="357" t="e">
        <f t="shared" si="54"/>
        <v>#N/A</v>
      </c>
      <c r="BA91" s="638"/>
    </row>
    <row r="92" spans="2:53">
      <c r="B92" s="643"/>
      <c r="C92" s="368">
        <v>6</v>
      </c>
      <c r="D92" s="220"/>
      <c r="E92" s="477"/>
      <c r="F92" s="474"/>
      <c r="G92" s="473"/>
      <c r="H92" s="651"/>
      <c r="I92" s="369" t="str">
        <f t="shared" si="51"/>
        <v>-</v>
      </c>
      <c r="J92" s="369" t="str">
        <f t="shared" si="52"/>
        <v>-</v>
      </c>
      <c r="K92" s="194" t="str">
        <f t="shared" si="53"/>
        <v>-</v>
      </c>
      <c r="L92" s="653"/>
      <c r="M92" s="394" t="e">
        <f>RANK(K92, K$87:$K$101)</f>
        <v>#VALUE!</v>
      </c>
      <c r="N92" s="637"/>
      <c r="O92" s="637"/>
      <c r="P92" s="546"/>
      <c r="Q92" s="547"/>
      <c r="R92" s="547"/>
      <c r="S92" s="546"/>
      <c r="T92" s="638"/>
      <c r="U92" s="546"/>
      <c r="V92" s="547"/>
      <c r="W92" s="547"/>
      <c r="X92" s="546"/>
      <c r="Y92" s="638"/>
      <c r="Z92" s="546"/>
      <c r="AA92" s="547"/>
      <c r="AB92" s="547"/>
      <c r="AC92" s="546"/>
      <c r="AD92" s="638"/>
      <c r="AE92" s="546"/>
      <c r="AF92" s="547"/>
      <c r="AG92" s="547"/>
      <c r="AH92" s="546"/>
      <c r="AI92" s="638"/>
      <c r="AJ92" s="546"/>
      <c r="AK92" s="547"/>
      <c r="AL92" s="547"/>
      <c r="AM92" s="546"/>
      <c r="AN92" s="638"/>
      <c r="AO92" s="546"/>
      <c r="AP92" s="547"/>
      <c r="AQ92" s="547"/>
      <c r="AR92" s="546"/>
      <c r="AS92" s="638"/>
      <c r="AT92" s="546"/>
      <c r="AU92" s="547"/>
      <c r="AV92" s="547"/>
      <c r="AW92" s="546"/>
      <c r="AX92" s="638"/>
      <c r="AZ92" s="357" t="e">
        <f t="shared" si="54"/>
        <v>#N/A</v>
      </c>
      <c r="BA92" s="638"/>
    </row>
    <row r="93" spans="2:53">
      <c r="B93" s="643"/>
      <c r="C93" s="368">
        <v>7</v>
      </c>
      <c r="D93" s="220"/>
      <c r="E93" s="477"/>
      <c r="F93" s="474"/>
      <c r="G93" s="473"/>
      <c r="H93" s="651"/>
      <c r="I93" s="369" t="str">
        <f t="shared" si="51"/>
        <v>-</v>
      </c>
      <c r="J93" s="369" t="str">
        <f t="shared" si="52"/>
        <v>-</v>
      </c>
      <c r="K93" s="194" t="str">
        <f t="shared" si="53"/>
        <v>-</v>
      </c>
      <c r="L93" s="653"/>
      <c r="M93" s="394" t="e">
        <f>RANK(K93, K$87:$K$101)</f>
        <v>#VALUE!</v>
      </c>
      <c r="N93" s="637"/>
      <c r="O93" s="637"/>
      <c r="P93" s="546"/>
      <c r="Q93" s="547"/>
      <c r="R93" s="547"/>
      <c r="S93" s="546"/>
      <c r="T93" s="638"/>
      <c r="U93" s="546"/>
      <c r="V93" s="547"/>
      <c r="W93" s="547"/>
      <c r="X93" s="546"/>
      <c r="Y93" s="638"/>
      <c r="Z93" s="546"/>
      <c r="AA93" s="547"/>
      <c r="AB93" s="547"/>
      <c r="AC93" s="546"/>
      <c r="AD93" s="638"/>
      <c r="AE93" s="546"/>
      <c r="AF93" s="547"/>
      <c r="AG93" s="547"/>
      <c r="AH93" s="546"/>
      <c r="AI93" s="638"/>
      <c r="AJ93" s="546"/>
      <c r="AK93" s="547"/>
      <c r="AL93" s="547"/>
      <c r="AM93" s="546"/>
      <c r="AN93" s="638"/>
      <c r="AO93" s="546"/>
      <c r="AP93" s="547"/>
      <c r="AQ93" s="547"/>
      <c r="AR93" s="546"/>
      <c r="AS93" s="638"/>
      <c r="AT93" s="546"/>
      <c r="AU93" s="547"/>
      <c r="AV93" s="547"/>
      <c r="AW93" s="546"/>
      <c r="AX93" s="638"/>
      <c r="AZ93" s="357" t="e">
        <f t="shared" si="54"/>
        <v>#N/A</v>
      </c>
      <c r="BA93" s="638"/>
    </row>
    <row r="94" spans="2:53">
      <c r="B94" s="643"/>
      <c r="C94" s="368">
        <v>8</v>
      </c>
      <c r="D94" s="220"/>
      <c r="E94" s="477"/>
      <c r="F94" s="474"/>
      <c r="G94" s="473"/>
      <c r="H94" s="651"/>
      <c r="I94" s="369" t="str">
        <f t="shared" si="51"/>
        <v>-</v>
      </c>
      <c r="J94" s="369" t="str">
        <f t="shared" si="52"/>
        <v>-</v>
      </c>
      <c r="K94" s="194" t="str">
        <f t="shared" si="53"/>
        <v>-</v>
      </c>
      <c r="L94" s="653"/>
      <c r="M94" s="394" t="e">
        <f>RANK(K94, K$87:$K$101)</f>
        <v>#VALUE!</v>
      </c>
      <c r="N94" s="637"/>
      <c r="O94" s="637"/>
      <c r="P94" s="546"/>
      <c r="Q94" s="547"/>
      <c r="R94" s="547"/>
      <c r="S94" s="546"/>
      <c r="T94" s="638"/>
      <c r="U94" s="546"/>
      <c r="V94" s="547"/>
      <c r="W94" s="547"/>
      <c r="X94" s="546"/>
      <c r="Y94" s="638"/>
      <c r="Z94" s="546"/>
      <c r="AA94" s="547"/>
      <c r="AB94" s="547"/>
      <c r="AC94" s="546"/>
      <c r="AD94" s="638"/>
      <c r="AE94" s="546"/>
      <c r="AF94" s="547"/>
      <c r="AG94" s="547"/>
      <c r="AH94" s="546"/>
      <c r="AI94" s="638"/>
      <c r="AJ94" s="546"/>
      <c r="AK94" s="547"/>
      <c r="AL94" s="547"/>
      <c r="AM94" s="546"/>
      <c r="AN94" s="638"/>
      <c r="AO94" s="546"/>
      <c r="AP94" s="547"/>
      <c r="AQ94" s="547"/>
      <c r="AR94" s="546"/>
      <c r="AS94" s="638"/>
      <c r="AT94" s="546"/>
      <c r="AU94" s="547"/>
      <c r="AV94" s="547"/>
      <c r="AW94" s="546"/>
      <c r="AX94" s="638"/>
      <c r="AZ94" s="357" t="e">
        <f t="shared" si="54"/>
        <v>#N/A</v>
      </c>
      <c r="BA94" s="638"/>
    </row>
    <row r="95" spans="2:53">
      <c r="B95" s="643"/>
      <c r="C95" s="368">
        <v>9</v>
      </c>
      <c r="D95" s="220"/>
      <c r="E95" s="477"/>
      <c r="F95" s="474"/>
      <c r="G95" s="473"/>
      <c r="H95" s="651"/>
      <c r="I95" s="369" t="str">
        <f t="shared" si="51"/>
        <v>-</v>
      </c>
      <c r="J95" s="369" t="str">
        <f t="shared" si="52"/>
        <v>-</v>
      </c>
      <c r="K95" s="194" t="str">
        <f t="shared" si="53"/>
        <v>-</v>
      </c>
      <c r="L95" s="653"/>
      <c r="M95" s="394" t="e">
        <f>RANK(K95, K$87:$K$101)</f>
        <v>#VALUE!</v>
      </c>
      <c r="N95" s="637"/>
      <c r="O95" s="637"/>
      <c r="P95" s="546"/>
      <c r="Q95" s="547"/>
      <c r="R95" s="547"/>
      <c r="S95" s="546"/>
      <c r="T95" s="638"/>
      <c r="U95" s="546"/>
      <c r="V95" s="547"/>
      <c r="W95" s="547"/>
      <c r="X95" s="546"/>
      <c r="Y95" s="638"/>
      <c r="Z95" s="546"/>
      <c r="AA95" s="547"/>
      <c r="AB95" s="547"/>
      <c r="AC95" s="546"/>
      <c r="AD95" s="638"/>
      <c r="AE95" s="546"/>
      <c r="AF95" s="547"/>
      <c r="AG95" s="547"/>
      <c r="AH95" s="546"/>
      <c r="AI95" s="638"/>
      <c r="AJ95" s="546"/>
      <c r="AK95" s="547"/>
      <c r="AL95" s="547"/>
      <c r="AM95" s="546"/>
      <c r="AN95" s="638"/>
      <c r="AO95" s="546"/>
      <c r="AP95" s="547"/>
      <c r="AQ95" s="547"/>
      <c r="AR95" s="546"/>
      <c r="AS95" s="638"/>
      <c r="AT95" s="546"/>
      <c r="AU95" s="547"/>
      <c r="AV95" s="547"/>
      <c r="AW95" s="546"/>
      <c r="AX95" s="638"/>
      <c r="AZ95" s="357" t="e">
        <f t="shared" si="54"/>
        <v>#N/A</v>
      </c>
      <c r="BA95" s="638"/>
    </row>
    <row r="96" spans="2:53">
      <c r="B96" s="643"/>
      <c r="C96" s="368">
        <v>10</v>
      </c>
      <c r="D96" s="220"/>
      <c r="E96" s="477"/>
      <c r="F96" s="474"/>
      <c r="G96" s="473"/>
      <c r="H96" s="651"/>
      <c r="I96" s="369" t="str">
        <f t="shared" si="51"/>
        <v>-</v>
      </c>
      <c r="J96" s="369" t="str">
        <f t="shared" si="52"/>
        <v>-</v>
      </c>
      <c r="K96" s="194" t="str">
        <f t="shared" si="53"/>
        <v>-</v>
      </c>
      <c r="L96" s="653"/>
      <c r="M96" s="394" t="e">
        <f>RANK(K96, K$87:$K$101)</f>
        <v>#VALUE!</v>
      </c>
      <c r="N96" s="637"/>
      <c r="O96" s="637"/>
      <c r="P96" s="546"/>
      <c r="Q96" s="547"/>
      <c r="R96" s="547"/>
      <c r="S96" s="546"/>
      <c r="T96" s="638"/>
      <c r="U96" s="546"/>
      <c r="V96" s="547"/>
      <c r="W96" s="547"/>
      <c r="X96" s="546"/>
      <c r="Y96" s="638"/>
      <c r="Z96" s="546"/>
      <c r="AA96" s="547"/>
      <c r="AB96" s="547"/>
      <c r="AC96" s="546"/>
      <c r="AD96" s="638"/>
      <c r="AE96" s="546"/>
      <c r="AF96" s="547"/>
      <c r="AG96" s="547"/>
      <c r="AH96" s="546"/>
      <c r="AI96" s="638"/>
      <c r="AJ96" s="546"/>
      <c r="AK96" s="547"/>
      <c r="AL96" s="547"/>
      <c r="AM96" s="546"/>
      <c r="AN96" s="638"/>
      <c r="AO96" s="546"/>
      <c r="AP96" s="547"/>
      <c r="AQ96" s="547"/>
      <c r="AR96" s="546"/>
      <c r="AS96" s="638"/>
      <c r="AT96" s="546"/>
      <c r="AU96" s="547"/>
      <c r="AV96" s="547"/>
      <c r="AW96" s="546"/>
      <c r="AX96" s="638"/>
      <c r="AZ96" s="357" t="e">
        <f t="shared" si="54"/>
        <v>#N/A</v>
      </c>
      <c r="BA96" s="638"/>
    </row>
    <row r="97" spans="2:53">
      <c r="B97" s="643"/>
      <c r="C97" s="368">
        <v>11</v>
      </c>
      <c r="D97" s="220"/>
      <c r="E97" s="477"/>
      <c r="F97" s="474"/>
      <c r="G97" s="473"/>
      <c r="H97" s="651"/>
      <c r="I97" s="369" t="str">
        <f t="shared" si="51"/>
        <v>-</v>
      </c>
      <c r="J97" s="369" t="str">
        <f t="shared" si="52"/>
        <v>-</v>
      </c>
      <c r="K97" s="194" t="str">
        <f t="shared" si="53"/>
        <v>-</v>
      </c>
      <c r="L97" s="653"/>
      <c r="M97" s="394" t="e">
        <f>RANK(K97, K$87:$K$101)</f>
        <v>#VALUE!</v>
      </c>
      <c r="N97" s="637"/>
      <c r="O97" s="637"/>
      <c r="P97" s="546"/>
      <c r="Q97" s="547"/>
      <c r="R97" s="547"/>
      <c r="S97" s="546"/>
      <c r="T97" s="638"/>
      <c r="U97" s="546"/>
      <c r="V97" s="547"/>
      <c r="W97" s="547"/>
      <c r="X97" s="546"/>
      <c r="Y97" s="638"/>
      <c r="Z97" s="546"/>
      <c r="AA97" s="547"/>
      <c r="AB97" s="547"/>
      <c r="AC97" s="546"/>
      <c r="AD97" s="638"/>
      <c r="AE97" s="546"/>
      <c r="AF97" s="547"/>
      <c r="AG97" s="547"/>
      <c r="AH97" s="546"/>
      <c r="AI97" s="638"/>
      <c r="AJ97" s="546"/>
      <c r="AK97" s="547"/>
      <c r="AL97" s="547"/>
      <c r="AM97" s="546"/>
      <c r="AN97" s="638"/>
      <c r="AO97" s="546"/>
      <c r="AP97" s="547"/>
      <c r="AQ97" s="547"/>
      <c r="AR97" s="546"/>
      <c r="AS97" s="638"/>
      <c r="AT97" s="546"/>
      <c r="AU97" s="547"/>
      <c r="AV97" s="547"/>
      <c r="AW97" s="546"/>
      <c r="AX97" s="638"/>
      <c r="AZ97" s="357" t="e">
        <f t="shared" si="54"/>
        <v>#N/A</v>
      </c>
      <c r="BA97" s="638"/>
    </row>
    <row r="98" spans="2:53">
      <c r="B98" s="643"/>
      <c r="C98" s="368">
        <v>12</v>
      </c>
      <c r="D98" s="220"/>
      <c r="E98" s="477"/>
      <c r="F98" s="474"/>
      <c r="G98" s="473"/>
      <c r="H98" s="651"/>
      <c r="I98" s="369" t="str">
        <f t="shared" si="51"/>
        <v>-</v>
      </c>
      <c r="J98" s="369" t="str">
        <f t="shared" si="52"/>
        <v>-</v>
      </c>
      <c r="K98" s="194" t="str">
        <f t="shared" si="53"/>
        <v>-</v>
      </c>
      <c r="L98" s="653"/>
      <c r="M98" s="394" t="e">
        <f>RANK(K98, K$87:$K$101)</f>
        <v>#VALUE!</v>
      </c>
      <c r="N98" s="637"/>
      <c r="O98" s="637"/>
      <c r="P98" s="546"/>
      <c r="Q98" s="547"/>
      <c r="R98" s="547"/>
      <c r="S98" s="546"/>
      <c r="T98" s="638"/>
      <c r="U98" s="546"/>
      <c r="V98" s="547"/>
      <c r="W98" s="547"/>
      <c r="X98" s="546"/>
      <c r="Y98" s="638"/>
      <c r="Z98" s="546"/>
      <c r="AA98" s="547"/>
      <c r="AB98" s="547"/>
      <c r="AC98" s="546"/>
      <c r="AD98" s="638"/>
      <c r="AE98" s="546"/>
      <c r="AF98" s="547"/>
      <c r="AG98" s="547"/>
      <c r="AH98" s="546"/>
      <c r="AI98" s="638"/>
      <c r="AJ98" s="546"/>
      <c r="AK98" s="547"/>
      <c r="AL98" s="547"/>
      <c r="AM98" s="546"/>
      <c r="AN98" s="638"/>
      <c r="AO98" s="546"/>
      <c r="AP98" s="547"/>
      <c r="AQ98" s="547"/>
      <c r="AR98" s="546"/>
      <c r="AS98" s="638"/>
      <c r="AT98" s="546"/>
      <c r="AU98" s="547"/>
      <c r="AV98" s="547"/>
      <c r="AW98" s="546"/>
      <c r="AX98" s="638"/>
      <c r="AZ98" s="357" t="e">
        <f t="shared" si="54"/>
        <v>#N/A</v>
      </c>
      <c r="BA98" s="638"/>
    </row>
    <row r="99" spans="2:53">
      <c r="B99" s="643"/>
      <c r="C99" s="368">
        <v>13</v>
      </c>
      <c r="D99" s="220"/>
      <c r="E99" s="477"/>
      <c r="F99" s="474"/>
      <c r="G99" s="473"/>
      <c r="H99" s="651"/>
      <c r="I99" s="369" t="str">
        <f t="shared" si="51"/>
        <v>-</v>
      </c>
      <c r="J99" s="369" t="str">
        <f t="shared" si="52"/>
        <v>-</v>
      </c>
      <c r="K99" s="194" t="str">
        <f t="shared" si="53"/>
        <v>-</v>
      </c>
      <c r="L99" s="653"/>
      <c r="M99" s="394" t="e">
        <f>RANK(K99, K$87:$K$101)</f>
        <v>#VALUE!</v>
      </c>
      <c r="N99" s="637"/>
      <c r="O99" s="637"/>
      <c r="P99" s="546"/>
      <c r="Q99" s="547"/>
      <c r="R99" s="547"/>
      <c r="S99" s="546"/>
      <c r="T99" s="638"/>
      <c r="U99" s="546"/>
      <c r="V99" s="547"/>
      <c r="W99" s="547"/>
      <c r="X99" s="546"/>
      <c r="Y99" s="638"/>
      <c r="Z99" s="546"/>
      <c r="AA99" s="547"/>
      <c r="AB99" s="547"/>
      <c r="AC99" s="546"/>
      <c r="AD99" s="638"/>
      <c r="AE99" s="546"/>
      <c r="AF99" s="547"/>
      <c r="AG99" s="547"/>
      <c r="AH99" s="546"/>
      <c r="AI99" s="638"/>
      <c r="AJ99" s="546"/>
      <c r="AK99" s="547"/>
      <c r="AL99" s="547"/>
      <c r="AM99" s="546"/>
      <c r="AN99" s="638"/>
      <c r="AO99" s="546"/>
      <c r="AP99" s="547"/>
      <c r="AQ99" s="547"/>
      <c r="AR99" s="546"/>
      <c r="AS99" s="638"/>
      <c r="AT99" s="546"/>
      <c r="AU99" s="547"/>
      <c r="AV99" s="547"/>
      <c r="AW99" s="546"/>
      <c r="AX99" s="638"/>
      <c r="AZ99" s="357" t="e">
        <f t="shared" si="54"/>
        <v>#N/A</v>
      </c>
      <c r="BA99" s="638"/>
    </row>
    <row r="100" spans="2:53">
      <c r="B100" s="643"/>
      <c r="C100" s="368">
        <v>14</v>
      </c>
      <c r="D100" s="220"/>
      <c r="E100" s="477"/>
      <c r="F100" s="474"/>
      <c r="G100" s="473"/>
      <c r="H100" s="651"/>
      <c r="I100" s="369" t="str">
        <f t="shared" si="51"/>
        <v>-</v>
      </c>
      <c r="J100" s="369" t="str">
        <f t="shared" si="52"/>
        <v>-</v>
      </c>
      <c r="K100" s="194" t="str">
        <f t="shared" si="53"/>
        <v>-</v>
      </c>
      <c r="L100" s="653"/>
      <c r="M100" s="394" t="e">
        <f>RANK(K100, K$87:$K$101)</f>
        <v>#VALUE!</v>
      </c>
      <c r="N100" s="637"/>
      <c r="O100" s="637"/>
      <c r="P100" s="546"/>
      <c r="Q100" s="547"/>
      <c r="R100" s="547"/>
      <c r="S100" s="546"/>
      <c r="T100" s="638"/>
      <c r="U100" s="546"/>
      <c r="V100" s="547"/>
      <c r="W100" s="547"/>
      <c r="X100" s="546"/>
      <c r="Y100" s="638"/>
      <c r="Z100" s="546"/>
      <c r="AA100" s="547"/>
      <c r="AB100" s="547"/>
      <c r="AC100" s="546"/>
      <c r="AD100" s="638"/>
      <c r="AE100" s="546"/>
      <c r="AF100" s="547"/>
      <c r="AG100" s="547"/>
      <c r="AH100" s="546"/>
      <c r="AI100" s="638"/>
      <c r="AJ100" s="546"/>
      <c r="AK100" s="547"/>
      <c r="AL100" s="547"/>
      <c r="AM100" s="546"/>
      <c r="AN100" s="638"/>
      <c r="AO100" s="546"/>
      <c r="AP100" s="547"/>
      <c r="AQ100" s="547"/>
      <c r="AR100" s="546"/>
      <c r="AS100" s="638"/>
      <c r="AT100" s="546"/>
      <c r="AU100" s="547"/>
      <c r="AV100" s="547"/>
      <c r="AW100" s="546"/>
      <c r="AX100" s="638"/>
      <c r="AZ100" s="357" t="e">
        <f t="shared" si="54"/>
        <v>#N/A</v>
      </c>
      <c r="BA100" s="638"/>
    </row>
    <row r="101" spans="2:53">
      <c r="B101" s="643"/>
      <c r="C101" s="368">
        <v>15</v>
      </c>
      <c r="D101" s="220"/>
      <c r="E101" s="477"/>
      <c r="F101" s="474"/>
      <c r="G101" s="473"/>
      <c r="H101" s="708"/>
      <c r="I101" s="368"/>
      <c r="J101" s="368"/>
      <c r="K101" s="368"/>
      <c r="L101" s="654"/>
      <c r="M101" s="394" t="e">
        <f>RANK(K101, K$87:$K$101)</f>
        <v>#N/A</v>
      </c>
      <c r="N101" s="637"/>
      <c r="O101" s="637"/>
      <c r="P101" s="546"/>
      <c r="Q101" s="547"/>
      <c r="R101" s="547"/>
      <c r="S101" s="546"/>
      <c r="T101" s="638"/>
      <c r="U101" s="546"/>
      <c r="V101" s="547"/>
      <c r="W101" s="547"/>
      <c r="X101" s="546"/>
      <c r="Y101" s="638"/>
      <c r="Z101" s="546"/>
      <c r="AA101" s="547"/>
      <c r="AB101" s="547"/>
      <c r="AC101" s="546"/>
      <c r="AD101" s="638"/>
      <c r="AE101" s="546"/>
      <c r="AF101" s="547"/>
      <c r="AG101" s="547"/>
      <c r="AH101" s="546"/>
      <c r="AI101" s="638"/>
      <c r="AJ101" s="546"/>
      <c r="AK101" s="547"/>
      <c r="AL101" s="547"/>
      <c r="AM101" s="546"/>
      <c r="AN101" s="638"/>
      <c r="AO101" s="546"/>
      <c r="AP101" s="547"/>
      <c r="AQ101" s="547"/>
      <c r="AR101" s="546"/>
      <c r="AS101" s="638"/>
      <c r="AT101" s="546"/>
      <c r="AU101" s="547"/>
      <c r="AV101" s="547"/>
      <c r="AW101" s="546"/>
      <c r="AX101" s="638"/>
      <c r="AZ101" s="357" t="e">
        <f t="shared" si="54"/>
        <v>#N/A</v>
      </c>
      <c r="BA101" s="638"/>
    </row>
    <row r="102" spans="2:53" ht="15.75">
      <c r="B102" s="665" t="s">
        <v>162</v>
      </c>
      <c r="C102" s="666"/>
      <c r="D102" s="666"/>
      <c r="E102" s="666"/>
      <c r="F102" s="666"/>
      <c r="G102" s="666"/>
      <c r="H102" s="667"/>
      <c r="I102" s="202"/>
      <c r="J102" s="202"/>
      <c r="K102" s="202"/>
      <c r="L102" s="202"/>
      <c r="M102" s="201"/>
      <c r="N102" s="639" t="s">
        <v>156</v>
      </c>
      <c r="O102" s="639" t="s">
        <v>105</v>
      </c>
      <c r="P102" s="664">
        <f>P82+7</f>
        <v>46329</v>
      </c>
      <c r="Q102" s="643"/>
      <c r="R102" s="643"/>
      <c r="S102" s="643"/>
      <c r="T102" s="643"/>
      <c r="U102" s="661">
        <f>P102+1</f>
        <v>46330</v>
      </c>
      <c r="V102" s="662"/>
      <c r="W102" s="662"/>
      <c r="X102" s="662"/>
      <c r="Y102" s="663"/>
      <c r="Z102" s="661">
        <f>U102+1</f>
        <v>46331</v>
      </c>
      <c r="AA102" s="662"/>
      <c r="AB102" s="662"/>
      <c r="AC102" s="662"/>
      <c r="AD102" s="663"/>
      <c r="AE102" s="661">
        <f>Z102+1</f>
        <v>46332</v>
      </c>
      <c r="AF102" s="662"/>
      <c r="AG102" s="662"/>
      <c r="AH102" s="662"/>
      <c r="AI102" s="663"/>
      <c r="AJ102" s="661">
        <f>AE102+1</f>
        <v>46333</v>
      </c>
      <c r="AK102" s="662"/>
      <c r="AL102" s="662"/>
      <c r="AM102" s="662"/>
      <c r="AN102" s="663"/>
      <c r="AO102" s="661">
        <f>AJ102+1</f>
        <v>46334</v>
      </c>
      <c r="AP102" s="662"/>
      <c r="AQ102" s="662"/>
      <c r="AR102" s="662"/>
      <c r="AS102" s="663"/>
      <c r="AT102" s="661">
        <f>AO102+1</f>
        <v>46335</v>
      </c>
      <c r="AU102" s="662"/>
      <c r="AV102" s="662"/>
      <c r="AW102" s="662"/>
      <c r="AX102" s="663"/>
    </row>
    <row r="103" spans="2:53" ht="15.75">
      <c r="B103" s="668"/>
      <c r="C103" s="668"/>
      <c r="D103" s="668"/>
      <c r="E103" s="668"/>
      <c r="F103" s="668"/>
      <c r="G103" s="668"/>
      <c r="H103" s="668"/>
      <c r="I103" s="199"/>
      <c r="J103" s="199"/>
      <c r="K103" s="199"/>
      <c r="L103" s="199"/>
      <c r="M103" s="200"/>
      <c r="N103" s="641"/>
      <c r="O103" s="641"/>
      <c r="P103" s="664" t="s">
        <v>158</v>
      </c>
      <c r="Q103" s="643"/>
      <c r="R103" s="643"/>
      <c r="S103" s="643"/>
      <c r="T103" s="643"/>
      <c r="U103" s="664" t="s">
        <v>114</v>
      </c>
      <c r="V103" s="643"/>
      <c r="W103" s="643"/>
      <c r="X103" s="643"/>
      <c r="Y103" s="643"/>
      <c r="Z103" s="664" t="s">
        <v>159</v>
      </c>
      <c r="AA103" s="643"/>
      <c r="AB103" s="643"/>
      <c r="AC103" s="643"/>
      <c r="AD103" s="643"/>
      <c r="AE103" s="664" t="s">
        <v>157</v>
      </c>
      <c r="AF103" s="643"/>
      <c r="AG103" s="643"/>
      <c r="AH103" s="643"/>
      <c r="AI103" s="643"/>
      <c r="AJ103" s="664" t="s">
        <v>160</v>
      </c>
      <c r="AK103" s="643"/>
      <c r="AL103" s="643"/>
      <c r="AM103" s="643"/>
      <c r="AN103" s="643"/>
      <c r="AO103" s="664" t="s">
        <v>115</v>
      </c>
      <c r="AP103" s="643"/>
      <c r="AQ103" s="643"/>
      <c r="AR103" s="643"/>
      <c r="AS103" s="643"/>
      <c r="AT103" s="664" t="s">
        <v>161</v>
      </c>
      <c r="AU103" s="643"/>
      <c r="AV103" s="643"/>
      <c r="AW103" s="643"/>
      <c r="AX103" s="643"/>
    </row>
    <row r="104" spans="2:53">
      <c r="B104" s="637" t="s">
        <v>520</v>
      </c>
      <c r="C104" s="637" t="s">
        <v>521</v>
      </c>
      <c r="D104" s="637"/>
      <c r="E104" s="637" t="s">
        <v>522</v>
      </c>
      <c r="F104" s="637"/>
      <c r="G104" s="637"/>
      <c r="H104" s="669" t="s">
        <v>523</v>
      </c>
      <c r="I104" s="637" t="s">
        <v>524</v>
      </c>
      <c r="J104" s="637"/>
      <c r="K104" s="637"/>
      <c r="L104" s="669" t="s">
        <v>357</v>
      </c>
      <c r="M104" s="639" t="s">
        <v>525</v>
      </c>
      <c r="N104" s="637"/>
      <c r="O104" s="637" t="s">
        <v>511</v>
      </c>
      <c r="P104" s="655" t="s">
        <v>512</v>
      </c>
      <c r="Q104" s="656"/>
      <c r="R104" s="656"/>
      <c r="S104" s="657"/>
      <c r="T104" s="637" t="s">
        <v>508</v>
      </c>
      <c r="U104" s="655" t="s">
        <v>512</v>
      </c>
      <c r="V104" s="656"/>
      <c r="W104" s="656"/>
      <c r="X104" s="657"/>
      <c r="Y104" s="637" t="s">
        <v>508</v>
      </c>
      <c r="Z104" s="655" t="s">
        <v>512</v>
      </c>
      <c r="AA104" s="656"/>
      <c r="AB104" s="656"/>
      <c r="AC104" s="657"/>
      <c r="AD104" s="637" t="s">
        <v>508</v>
      </c>
      <c r="AE104" s="655" t="s">
        <v>512</v>
      </c>
      <c r="AF104" s="656"/>
      <c r="AG104" s="656"/>
      <c r="AH104" s="657"/>
      <c r="AI104" s="637" t="s">
        <v>508</v>
      </c>
      <c r="AJ104" s="655" t="s">
        <v>512</v>
      </c>
      <c r="AK104" s="656"/>
      <c r="AL104" s="656"/>
      <c r="AM104" s="657"/>
      <c r="AN104" s="637" t="s">
        <v>508</v>
      </c>
      <c r="AO104" s="655" t="s">
        <v>512</v>
      </c>
      <c r="AP104" s="656"/>
      <c r="AQ104" s="656"/>
      <c r="AR104" s="657"/>
      <c r="AS104" s="637" t="s">
        <v>508</v>
      </c>
      <c r="AT104" s="655" t="s">
        <v>512</v>
      </c>
      <c r="AU104" s="656"/>
      <c r="AV104" s="656"/>
      <c r="AW104" s="657"/>
      <c r="AX104" s="637" t="s">
        <v>508</v>
      </c>
      <c r="BA104" s="637" t="s">
        <v>357</v>
      </c>
    </row>
    <row r="105" spans="2:53">
      <c r="B105" s="637"/>
      <c r="C105" s="637"/>
      <c r="D105" s="637"/>
      <c r="E105" s="637" t="s">
        <v>527</v>
      </c>
      <c r="F105" s="637"/>
      <c r="G105" s="637"/>
      <c r="H105" s="670"/>
      <c r="I105" s="637" t="s">
        <v>527</v>
      </c>
      <c r="J105" s="637"/>
      <c r="K105" s="637"/>
      <c r="L105" s="670"/>
      <c r="M105" s="640"/>
      <c r="N105" s="637"/>
      <c r="O105" s="637"/>
      <c r="P105" s="655" t="s">
        <v>514</v>
      </c>
      <c r="Q105" s="656"/>
      <c r="R105" s="656"/>
      <c r="S105" s="657"/>
      <c r="T105" s="637"/>
      <c r="U105" s="655" t="s">
        <v>514</v>
      </c>
      <c r="V105" s="656"/>
      <c r="W105" s="656"/>
      <c r="X105" s="657"/>
      <c r="Y105" s="637"/>
      <c r="Z105" s="655" t="s">
        <v>514</v>
      </c>
      <c r="AA105" s="656"/>
      <c r="AB105" s="656"/>
      <c r="AC105" s="657"/>
      <c r="AD105" s="637"/>
      <c r="AE105" s="655" t="s">
        <v>514</v>
      </c>
      <c r="AF105" s="656"/>
      <c r="AG105" s="656"/>
      <c r="AH105" s="657"/>
      <c r="AI105" s="637"/>
      <c r="AJ105" s="655" t="s">
        <v>514</v>
      </c>
      <c r="AK105" s="656"/>
      <c r="AL105" s="656"/>
      <c r="AM105" s="657"/>
      <c r="AN105" s="637"/>
      <c r="AO105" s="655" t="s">
        <v>514</v>
      </c>
      <c r="AP105" s="656"/>
      <c r="AQ105" s="656"/>
      <c r="AR105" s="657"/>
      <c r="AS105" s="637"/>
      <c r="AT105" s="655" t="s">
        <v>514</v>
      </c>
      <c r="AU105" s="656"/>
      <c r="AV105" s="656"/>
      <c r="AW105" s="657"/>
      <c r="AX105" s="637"/>
      <c r="BA105" s="637"/>
    </row>
    <row r="106" spans="2:53">
      <c r="B106" s="637"/>
      <c r="C106" s="637"/>
      <c r="D106" s="637"/>
      <c r="E106" s="334" t="s">
        <v>528</v>
      </c>
      <c r="F106" s="334" t="s">
        <v>529</v>
      </c>
      <c r="G106" s="334" t="s">
        <v>530</v>
      </c>
      <c r="H106" s="671"/>
      <c r="I106" s="334" t="s">
        <v>528</v>
      </c>
      <c r="J106" s="334" t="s">
        <v>529</v>
      </c>
      <c r="K106" s="334" t="s">
        <v>530</v>
      </c>
      <c r="L106" s="671"/>
      <c r="M106" s="641"/>
      <c r="N106" s="637"/>
      <c r="O106" s="637"/>
      <c r="P106" s="334" t="s">
        <v>515</v>
      </c>
      <c r="Q106" s="334" t="s">
        <v>516</v>
      </c>
      <c r="R106" s="334" t="s">
        <v>517</v>
      </c>
      <c r="S106" s="334" t="s">
        <v>510</v>
      </c>
      <c r="T106" s="637"/>
      <c r="U106" s="334" t="s">
        <v>515</v>
      </c>
      <c r="V106" s="334" t="s">
        <v>516</v>
      </c>
      <c r="W106" s="334" t="s">
        <v>517</v>
      </c>
      <c r="X106" s="334" t="s">
        <v>510</v>
      </c>
      <c r="Y106" s="637"/>
      <c r="Z106" s="334" t="s">
        <v>515</v>
      </c>
      <c r="AA106" s="334" t="s">
        <v>516</v>
      </c>
      <c r="AB106" s="334" t="s">
        <v>517</v>
      </c>
      <c r="AC106" s="334" t="s">
        <v>510</v>
      </c>
      <c r="AD106" s="637"/>
      <c r="AE106" s="334" t="s">
        <v>515</v>
      </c>
      <c r="AF106" s="334" t="s">
        <v>516</v>
      </c>
      <c r="AG106" s="334" t="s">
        <v>517</v>
      </c>
      <c r="AH106" s="334" t="s">
        <v>510</v>
      </c>
      <c r="AI106" s="637"/>
      <c r="AJ106" s="334" t="s">
        <v>515</v>
      </c>
      <c r="AK106" s="334" t="s">
        <v>516</v>
      </c>
      <c r="AL106" s="334" t="s">
        <v>517</v>
      </c>
      <c r="AM106" s="334" t="s">
        <v>510</v>
      </c>
      <c r="AN106" s="637"/>
      <c r="AO106" s="334" t="s">
        <v>515</v>
      </c>
      <c r="AP106" s="334" t="s">
        <v>516</v>
      </c>
      <c r="AQ106" s="334" t="s">
        <v>517</v>
      </c>
      <c r="AR106" s="334" t="s">
        <v>510</v>
      </c>
      <c r="AS106" s="637"/>
      <c r="AT106" s="334" t="s">
        <v>515</v>
      </c>
      <c r="AU106" s="334" t="s">
        <v>516</v>
      </c>
      <c r="AV106" s="334" t="s">
        <v>517</v>
      </c>
      <c r="AW106" s="334" t="s">
        <v>510</v>
      </c>
      <c r="AX106" s="637"/>
      <c r="AZ106" s="356" t="s">
        <v>510</v>
      </c>
      <c r="BA106" s="637"/>
    </row>
    <row r="107" spans="2:53">
      <c r="B107" s="637" t="s">
        <v>136</v>
      </c>
      <c r="C107" s="337">
        <v>1</v>
      </c>
      <c r="D107" s="220"/>
      <c r="E107" s="176"/>
      <c r="F107" s="342"/>
      <c r="G107" s="343"/>
      <c r="H107" s="650" t="e">
        <f>AVERAGE(G107:G121)</f>
        <v>#DIV/0!</v>
      </c>
      <c r="I107" s="352" t="str">
        <f t="shared" ref="I107:I120" si="56">IFERROR(AVERAGE(P107,U107,Z107,AE107,AJ107,AO107,AT107),"-")</f>
        <v>-</v>
      </c>
      <c r="J107" s="352" t="str">
        <f t="shared" ref="J107:J120" si="57">IFERROR(AVERAGE(Q107,V107,AA107,AF107,AK107,AP107,AU107),"-")</f>
        <v>-</v>
      </c>
      <c r="K107" s="194" t="str">
        <f t="shared" ref="K107:K120" si="58">IFERROR(AVERAGE(R107,W107,AB107,AG107,AL107,AQ107,AV107),"-")</f>
        <v>-</v>
      </c>
      <c r="L107" s="652" t="str">
        <f>IFERROR(AVERAGE(K107:K121),"-")</f>
        <v>-</v>
      </c>
      <c r="M107" s="338" t="e">
        <f>RANK(K107, K$67:$K$81)</f>
        <v>#VALUE!</v>
      </c>
      <c r="N107" s="637"/>
      <c r="O107" s="637"/>
      <c r="P107" s="490"/>
      <c r="Q107" s="491"/>
      <c r="R107" s="491"/>
      <c r="S107" s="490"/>
      <c r="T107" s="632"/>
      <c r="U107" s="490"/>
      <c r="V107" s="491"/>
      <c r="W107" s="491"/>
      <c r="X107" s="490"/>
      <c r="Y107" s="632"/>
      <c r="Z107" s="490"/>
      <c r="AA107" s="491"/>
      <c r="AB107" s="491"/>
      <c r="AC107" s="490"/>
      <c r="AD107" s="632"/>
      <c r="AE107" s="490"/>
      <c r="AF107" s="491"/>
      <c r="AG107" s="491"/>
      <c r="AH107" s="490"/>
      <c r="AI107" s="632"/>
      <c r="AJ107" s="490"/>
      <c r="AK107" s="491"/>
      <c r="AL107" s="491"/>
      <c r="AM107" s="490"/>
      <c r="AN107" s="632"/>
      <c r="AO107" s="490"/>
      <c r="AP107" s="491"/>
      <c r="AQ107" s="491"/>
      <c r="AR107" s="490"/>
      <c r="AS107" s="632"/>
      <c r="AT107" s="490"/>
      <c r="AU107" s="491"/>
      <c r="AV107" s="491"/>
      <c r="AW107" s="490"/>
      <c r="AX107" s="632"/>
      <c r="AZ107" s="358" t="e">
        <f>RANK(AY107, AY$67:AY$81)</f>
        <v>#N/A</v>
      </c>
      <c r="BA107" s="694" t="e">
        <f>AVERAGE(AY107:AY121)</f>
        <v>#DIV/0!</v>
      </c>
    </row>
    <row r="108" spans="2:53">
      <c r="B108" s="672"/>
      <c r="C108" s="337">
        <v>2</v>
      </c>
      <c r="D108" s="220"/>
      <c r="E108" s="176"/>
      <c r="F108" s="342"/>
      <c r="G108" s="343"/>
      <c r="H108" s="651"/>
      <c r="I108" s="352" t="str">
        <f t="shared" si="56"/>
        <v>-</v>
      </c>
      <c r="J108" s="352" t="str">
        <f t="shared" si="57"/>
        <v>-</v>
      </c>
      <c r="K108" s="194" t="str">
        <f t="shared" si="58"/>
        <v>-</v>
      </c>
      <c r="L108" s="653"/>
      <c r="M108" s="338" t="e">
        <f>RANK(K108, K$67:$K$81)</f>
        <v>#VALUE!</v>
      </c>
      <c r="N108" s="637"/>
      <c r="O108" s="637"/>
      <c r="P108" s="490"/>
      <c r="Q108" s="491"/>
      <c r="R108" s="491"/>
      <c r="S108" s="490"/>
      <c r="T108" s="633"/>
      <c r="U108" s="490"/>
      <c r="V108" s="491"/>
      <c r="W108" s="491"/>
      <c r="X108" s="490"/>
      <c r="Y108" s="633"/>
      <c r="Z108" s="490"/>
      <c r="AA108" s="491"/>
      <c r="AB108" s="491"/>
      <c r="AC108" s="490"/>
      <c r="AD108" s="633"/>
      <c r="AE108" s="490"/>
      <c r="AF108" s="491"/>
      <c r="AG108" s="491"/>
      <c r="AH108" s="490"/>
      <c r="AI108" s="633"/>
      <c r="AJ108" s="490"/>
      <c r="AK108" s="491"/>
      <c r="AL108" s="491"/>
      <c r="AM108" s="490"/>
      <c r="AN108" s="633"/>
      <c r="AO108" s="490"/>
      <c r="AP108" s="491"/>
      <c r="AQ108" s="491"/>
      <c r="AR108" s="490"/>
      <c r="AS108" s="633"/>
      <c r="AT108" s="490"/>
      <c r="AU108" s="491"/>
      <c r="AV108" s="491"/>
      <c r="AW108" s="490"/>
      <c r="AX108" s="633"/>
      <c r="AZ108" s="358" t="e">
        <f t="shared" ref="AZ108:AZ121" si="59">RANK(AY108, AY$67:AY$81)</f>
        <v>#N/A</v>
      </c>
      <c r="BA108" s="694"/>
    </row>
    <row r="109" spans="2:53">
      <c r="B109" s="672"/>
      <c r="C109" s="337">
        <v>3</v>
      </c>
      <c r="D109" s="220"/>
      <c r="E109" s="176"/>
      <c r="F109" s="342"/>
      <c r="G109" s="343"/>
      <c r="H109" s="651"/>
      <c r="I109" s="352" t="str">
        <f t="shared" si="56"/>
        <v>-</v>
      </c>
      <c r="J109" s="352" t="str">
        <f t="shared" si="57"/>
        <v>-</v>
      </c>
      <c r="K109" s="194" t="str">
        <f t="shared" si="58"/>
        <v>-</v>
      </c>
      <c r="L109" s="653"/>
      <c r="M109" s="338" t="e">
        <f>RANK(K109, K$67:$K$81)</f>
        <v>#VALUE!</v>
      </c>
      <c r="N109" s="637"/>
      <c r="O109" s="637"/>
      <c r="P109" s="490"/>
      <c r="Q109" s="491"/>
      <c r="R109" s="491"/>
      <c r="S109" s="490"/>
      <c r="T109" s="633"/>
      <c r="U109" s="490"/>
      <c r="V109" s="491"/>
      <c r="W109" s="491"/>
      <c r="X109" s="490"/>
      <c r="Y109" s="633"/>
      <c r="Z109" s="490"/>
      <c r="AA109" s="491"/>
      <c r="AB109" s="491"/>
      <c r="AC109" s="490"/>
      <c r="AD109" s="633"/>
      <c r="AE109" s="490"/>
      <c r="AF109" s="491"/>
      <c r="AG109" s="491"/>
      <c r="AH109" s="490"/>
      <c r="AI109" s="633"/>
      <c r="AJ109" s="490"/>
      <c r="AK109" s="491"/>
      <c r="AL109" s="491"/>
      <c r="AM109" s="490"/>
      <c r="AN109" s="633"/>
      <c r="AO109" s="490"/>
      <c r="AP109" s="491"/>
      <c r="AQ109" s="491"/>
      <c r="AR109" s="490"/>
      <c r="AS109" s="633"/>
      <c r="AT109" s="490"/>
      <c r="AU109" s="491"/>
      <c r="AV109" s="491"/>
      <c r="AW109" s="490"/>
      <c r="AX109" s="633"/>
      <c r="AZ109" s="358" t="e">
        <f t="shared" si="59"/>
        <v>#N/A</v>
      </c>
      <c r="BA109" s="694"/>
    </row>
    <row r="110" spans="2:53">
      <c r="B110" s="672"/>
      <c r="C110" s="337">
        <v>4</v>
      </c>
      <c r="D110" s="220"/>
      <c r="E110" s="176"/>
      <c r="F110" s="342"/>
      <c r="G110" s="343"/>
      <c r="H110" s="651"/>
      <c r="I110" s="352" t="str">
        <f t="shared" si="56"/>
        <v>-</v>
      </c>
      <c r="J110" s="352" t="str">
        <f t="shared" si="57"/>
        <v>-</v>
      </c>
      <c r="K110" s="194" t="str">
        <f t="shared" si="58"/>
        <v>-</v>
      </c>
      <c r="L110" s="653"/>
      <c r="M110" s="338" t="e">
        <f>RANK(K110, K$67:$K$81)</f>
        <v>#VALUE!</v>
      </c>
      <c r="N110" s="637"/>
      <c r="O110" s="637"/>
      <c r="P110" s="490"/>
      <c r="Q110" s="491"/>
      <c r="R110" s="491"/>
      <c r="S110" s="490"/>
      <c r="T110" s="633"/>
      <c r="U110" s="490"/>
      <c r="V110" s="491"/>
      <c r="W110" s="491"/>
      <c r="X110" s="490"/>
      <c r="Y110" s="633"/>
      <c r="Z110" s="490"/>
      <c r="AA110" s="491"/>
      <c r="AB110" s="491"/>
      <c r="AC110" s="490"/>
      <c r="AD110" s="633"/>
      <c r="AE110" s="490"/>
      <c r="AF110" s="491"/>
      <c r="AG110" s="491"/>
      <c r="AH110" s="490"/>
      <c r="AI110" s="633"/>
      <c r="AJ110" s="490"/>
      <c r="AK110" s="491"/>
      <c r="AL110" s="491"/>
      <c r="AM110" s="490"/>
      <c r="AN110" s="633"/>
      <c r="AO110" s="490"/>
      <c r="AP110" s="491"/>
      <c r="AQ110" s="491"/>
      <c r="AR110" s="490"/>
      <c r="AS110" s="633"/>
      <c r="AT110" s="490"/>
      <c r="AU110" s="491"/>
      <c r="AV110" s="491"/>
      <c r="AW110" s="490"/>
      <c r="AX110" s="633"/>
      <c r="AZ110" s="358" t="e">
        <f t="shared" si="59"/>
        <v>#N/A</v>
      </c>
      <c r="BA110" s="694"/>
    </row>
    <row r="111" spans="2:53">
      <c r="B111" s="672"/>
      <c r="C111" s="337">
        <v>5</v>
      </c>
      <c r="D111" s="220"/>
      <c r="E111" s="176"/>
      <c r="F111" s="342"/>
      <c r="G111" s="343"/>
      <c r="H111" s="651"/>
      <c r="I111" s="352" t="str">
        <f t="shared" si="56"/>
        <v>-</v>
      </c>
      <c r="J111" s="352" t="str">
        <f t="shared" si="57"/>
        <v>-</v>
      </c>
      <c r="K111" s="194" t="str">
        <f t="shared" si="58"/>
        <v>-</v>
      </c>
      <c r="L111" s="653"/>
      <c r="M111" s="338" t="e">
        <f>RANK(K111, K$67:$K$81)</f>
        <v>#VALUE!</v>
      </c>
      <c r="N111" s="637"/>
      <c r="O111" s="637"/>
      <c r="P111" s="490"/>
      <c r="Q111" s="491"/>
      <c r="R111" s="491"/>
      <c r="S111" s="490"/>
      <c r="T111" s="633"/>
      <c r="U111" s="490"/>
      <c r="V111" s="491"/>
      <c r="W111" s="491"/>
      <c r="X111" s="490"/>
      <c r="Y111" s="633"/>
      <c r="Z111" s="490"/>
      <c r="AA111" s="491"/>
      <c r="AB111" s="491"/>
      <c r="AC111" s="490"/>
      <c r="AD111" s="633"/>
      <c r="AE111" s="490"/>
      <c r="AF111" s="491"/>
      <c r="AG111" s="491"/>
      <c r="AH111" s="490"/>
      <c r="AI111" s="633"/>
      <c r="AJ111" s="490"/>
      <c r="AK111" s="491"/>
      <c r="AL111" s="491"/>
      <c r="AM111" s="490"/>
      <c r="AN111" s="633"/>
      <c r="AO111" s="490"/>
      <c r="AP111" s="491"/>
      <c r="AQ111" s="491"/>
      <c r="AR111" s="490"/>
      <c r="AS111" s="633"/>
      <c r="AT111" s="490"/>
      <c r="AU111" s="491"/>
      <c r="AV111" s="491"/>
      <c r="AW111" s="490"/>
      <c r="AX111" s="633"/>
      <c r="AZ111" s="358" t="e">
        <f t="shared" si="59"/>
        <v>#N/A</v>
      </c>
      <c r="BA111" s="694"/>
    </row>
    <row r="112" spans="2:53">
      <c r="B112" s="672"/>
      <c r="C112" s="337">
        <v>6</v>
      </c>
      <c r="D112" s="220"/>
      <c r="E112" s="176"/>
      <c r="F112" s="342"/>
      <c r="G112" s="343"/>
      <c r="H112" s="651"/>
      <c r="I112" s="352" t="str">
        <f t="shared" si="56"/>
        <v>-</v>
      </c>
      <c r="J112" s="352" t="str">
        <f t="shared" si="57"/>
        <v>-</v>
      </c>
      <c r="K112" s="194" t="str">
        <f t="shared" si="58"/>
        <v>-</v>
      </c>
      <c r="L112" s="653"/>
      <c r="M112" s="338" t="e">
        <f>RANK(K112, K$67:$K$81)</f>
        <v>#VALUE!</v>
      </c>
      <c r="N112" s="637"/>
      <c r="O112" s="637"/>
      <c r="P112" s="490"/>
      <c r="Q112" s="491"/>
      <c r="R112" s="491"/>
      <c r="S112" s="490"/>
      <c r="T112" s="633"/>
      <c r="U112" s="490"/>
      <c r="V112" s="491"/>
      <c r="W112" s="491"/>
      <c r="X112" s="490"/>
      <c r="Y112" s="633"/>
      <c r="Z112" s="490"/>
      <c r="AA112" s="491"/>
      <c r="AB112" s="491"/>
      <c r="AC112" s="490"/>
      <c r="AD112" s="633"/>
      <c r="AE112" s="490"/>
      <c r="AF112" s="491"/>
      <c r="AG112" s="491"/>
      <c r="AH112" s="490"/>
      <c r="AI112" s="633"/>
      <c r="AJ112" s="490"/>
      <c r="AK112" s="491"/>
      <c r="AL112" s="491"/>
      <c r="AM112" s="490"/>
      <c r="AN112" s="633"/>
      <c r="AO112" s="490"/>
      <c r="AP112" s="491"/>
      <c r="AQ112" s="491"/>
      <c r="AR112" s="490"/>
      <c r="AS112" s="633"/>
      <c r="AT112" s="490"/>
      <c r="AU112" s="491"/>
      <c r="AV112" s="491"/>
      <c r="AW112" s="490"/>
      <c r="AX112" s="633"/>
      <c r="AZ112" s="358" t="e">
        <f t="shared" si="59"/>
        <v>#N/A</v>
      </c>
      <c r="BA112" s="694"/>
    </row>
    <row r="113" spans="2:53">
      <c r="B113" s="672"/>
      <c r="C113" s="337">
        <v>7</v>
      </c>
      <c r="D113" s="220"/>
      <c r="E113" s="176"/>
      <c r="F113" s="342"/>
      <c r="G113" s="343"/>
      <c r="H113" s="651"/>
      <c r="I113" s="352" t="str">
        <f t="shared" si="56"/>
        <v>-</v>
      </c>
      <c r="J113" s="352" t="str">
        <f t="shared" si="57"/>
        <v>-</v>
      </c>
      <c r="K113" s="194" t="str">
        <f t="shared" si="58"/>
        <v>-</v>
      </c>
      <c r="L113" s="653"/>
      <c r="M113" s="338" t="e">
        <f>RANK(K113, K$67:$K$81)</f>
        <v>#VALUE!</v>
      </c>
      <c r="N113" s="637"/>
      <c r="O113" s="637"/>
      <c r="P113" s="490"/>
      <c r="Q113" s="491"/>
      <c r="R113" s="491"/>
      <c r="S113" s="490"/>
      <c r="T113" s="633"/>
      <c r="U113" s="490"/>
      <c r="V113" s="491"/>
      <c r="W113" s="491"/>
      <c r="X113" s="490"/>
      <c r="Y113" s="633"/>
      <c r="Z113" s="490"/>
      <c r="AA113" s="491"/>
      <c r="AB113" s="491"/>
      <c r="AC113" s="490"/>
      <c r="AD113" s="633"/>
      <c r="AE113" s="490"/>
      <c r="AF113" s="491"/>
      <c r="AG113" s="491"/>
      <c r="AH113" s="490"/>
      <c r="AI113" s="633"/>
      <c r="AJ113" s="490"/>
      <c r="AK113" s="491"/>
      <c r="AL113" s="491"/>
      <c r="AM113" s="490"/>
      <c r="AN113" s="633"/>
      <c r="AO113" s="490"/>
      <c r="AP113" s="491"/>
      <c r="AQ113" s="491"/>
      <c r="AR113" s="490"/>
      <c r="AS113" s="633"/>
      <c r="AT113" s="490"/>
      <c r="AU113" s="491"/>
      <c r="AV113" s="491"/>
      <c r="AW113" s="490"/>
      <c r="AX113" s="633"/>
      <c r="AZ113" s="358" t="e">
        <f t="shared" si="59"/>
        <v>#N/A</v>
      </c>
      <c r="BA113" s="694"/>
    </row>
    <row r="114" spans="2:53">
      <c r="B114" s="672"/>
      <c r="C114" s="337">
        <v>8</v>
      </c>
      <c r="D114" s="220"/>
      <c r="E114" s="176"/>
      <c r="F114" s="342"/>
      <c r="G114" s="343"/>
      <c r="H114" s="651"/>
      <c r="I114" s="352" t="str">
        <f t="shared" si="56"/>
        <v>-</v>
      </c>
      <c r="J114" s="352" t="str">
        <f t="shared" si="57"/>
        <v>-</v>
      </c>
      <c r="K114" s="194" t="str">
        <f t="shared" si="58"/>
        <v>-</v>
      </c>
      <c r="L114" s="653"/>
      <c r="M114" s="338" t="e">
        <f>RANK(K114, K$67:$K$81)</f>
        <v>#VALUE!</v>
      </c>
      <c r="N114" s="637"/>
      <c r="O114" s="637"/>
      <c r="P114" s="490"/>
      <c r="Q114" s="491"/>
      <c r="R114" s="491"/>
      <c r="S114" s="490"/>
      <c r="T114" s="633"/>
      <c r="U114" s="490"/>
      <c r="V114" s="491"/>
      <c r="W114" s="491"/>
      <c r="X114" s="490"/>
      <c r="Y114" s="633"/>
      <c r="Z114" s="490"/>
      <c r="AA114" s="491"/>
      <c r="AB114" s="491"/>
      <c r="AC114" s="490"/>
      <c r="AD114" s="633"/>
      <c r="AE114" s="490"/>
      <c r="AF114" s="491"/>
      <c r="AG114" s="491"/>
      <c r="AH114" s="490"/>
      <c r="AI114" s="633"/>
      <c r="AJ114" s="490"/>
      <c r="AK114" s="491"/>
      <c r="AL114" s="491"/>
      <c r="AM114" s="490"/>
      <c r="AN114" s="633"/>
      <c r="AO114" s="490"/>
      <c r="AP114" s="491"/>
      <c r="AQ114" s="491"/>
      <c r="AR114" s="490"/>
      <c r="AS114" s="633"/>
      <c r="AT114" s="490"/>
      <c r="AU114" s="491"/>
      <c r="AV114" s="491"/>
      <c r="AW114" s="490"/>
      <c r="AX114" s="633"/>
      <c r="AZ114" s="358" t="e">
        <f t="shared" si="59"/>
        <v>#N/A</v>
      </c>
      <c r="BA114" s="694"/>
    </row>
    <row r="115" spans="2:53">
      <c r="B115" s="672"/>
      <c r="C115" s="337">
        <v>9</v>
      </c>
      <c r="D115" s="220"/>
      <c r="E115" s="176"/>
      <c r="F115" s="342"/>
      <c r="G115" s="343"/>
      <c r="H115" s="651"/>
      <c r="I115" s="352" t="str">
        <f t="shared" si="56"/>
        <v>-</v>
      </c>
      <c r="J115" s="352" t="str">
        <f t="shared" si="57"/>
        <v>-</v>
      </c>
      <c r="K115" s="194" t="str">
        <f t="shared" si="58"/>
        <v>-</v>
      </c>
      <c r="L115" s="653"/>
      <c r="M115" s="338" t="e">
        <f>RANK(K115, K$67:$K$81)</f>
        <v>#VALUE!</v>
      </c>
      <c r="N115" s="637"/>
      <c r="O115" s="637"/>
      <c r="P115" s="490"/>
      <c r="Q115" s="491"/>
      <c r="R115" s="491"/>
      <c r="S115" s="490"/>
      <c r="T115" s="633"/>
      <c r="U115" s="490"/>
      <c r="V115" s="491"/>
      <c r="W115" s="491"/>
      <c r="X115" s="490"/>
      <c r="Y115" s="633"/>
      <c r="Z115" s="490"/>
      <c r="AA115" s="491"/>
      <c r="AB115" s="491"/>
      <c r="AC115" s="490"/>
      <c r="AD115" s="633"/>
      <c r="AE115" s="490"/>
      <c r="AF115" s="491"/>
      <c r="AG115" s="491"/>
      <c r="AH115" s="490"/>
      <c r="AI115" s="633"/>
      <c r="AJ115" s="490"/>
      <c r="AK115" s="491"/>
      <c r="AL115" s="491"/>
      <c r="AM115" s="490"/>
      <c r="AN115" s="633"/>
      <c r="AO115" s="490"/>
      <c r="AP115" s="491"/>
      <c r="AQ115" s="491"/>
      <c r="AR115" s="490"/>
      <c r="AS115" s="633"/>
      <c r="AT115" s="490"/>
      <c r="AU115" s="491"/>
      <c r="AV115" s="491"/>
      <c r="AW115" s="490"/>
      <c r="AX115" s="633"/>
      <c r="AZ115" s="358" t="e">
        <f t="shared" si="59"/>
        <v>#N/A</v>
      </c>
      <c r="BA115" s="694"/>
    </row>
    <row r="116" spans="2:53">
      <c r="B116" s="672"/>
      <c r="C116" s="337">
        <v>10</v>
      </c>
      <c r="D116" s="220"/>
      <c r="E116" s="176"/>
      <c r="F116" s="342"/>
      <c r="G116" s="343"/>
      <c r="H116" s="651"/>
      <c r="I116" s="352" t="str">
        <f t="shared" si="56"/>
        <v>-</v>
      </c>
      <c r="J116" s="352" t="str">
        <f t="shared" si="57"/>
        <v>-</v>
      </c>
      <c r="K116" s="194" t="str">
        <f t="shared" si="58"/>
        <v>-</v>
      </c>
      <c r="L116" s="653"/>
      <c r="M116" s="338" t="e">
        <f>RANK(K116, K$67:$K$81)</f>
        <v>#VALUE!</v>
      </c>
      <c r="N116" s="637"/>
      <c r="O116" s="637"/>
      <c r="P116" s="490"/>
      <c r="Q116" s="491"/>
      <c r="R116" s="491"/>
      <c r="S116" s="490"/>
      <c r="T116" s="633"/>
      <c r="U116" s="490"/>
      <c r="V116" s="491"/>
      <c r="W116" s="491"/>
      <c r="X116" s="490"/>
      <c r="Y116" s="633"/>
      <c r="Z116" s="490"/>
      <c r="AA116" s="491"/>
      <c r="AB116" s="491"/>
      <c r="AC116" s="490"/>
      <c r="AD116" s="633"/>
      <c r="AE116" s="490"/>
      <c r="AF116" s="491"/>
      <c r="AG116" s="491"/>
      <c r="AH116" s="490"/>
      <c r="AI116" s="633"/>
      <c r="AJ116" s="490"/>
      <c r="AK116" s="491"/>
      <c r="AL116" s="491"/>
      <c r="AM116" s="490"/>
      <c r="AN116" s="633"/>
      <c r="AO116" s="490"/>
      <c r="AP116" s="491"/>
      <c r="AQ116" s="491"/>
      <c r="AR116" s="490"/>
      <c r="AS116" s="633"/>
      <c r="AT116" s="490"/>
      <c r="AU116" s="491"/>
      <c r="AV116" s="491"/>
      <c r="AW116" s="490"/>
      <c r="AX116" s="633"/>
      <c r="AZ116" s="358" t="e">
        <f t="shared" si="59"/>
        <v>#N/A</v>
      </c>
      <c r="BA116" s="694"/>
    </row>
    <row r="117" spans="2:53">
      <c r="B117" s="672"/>
      <c r="C117" s="337">
        <v>11</v>
      </c>
      <c r="D117" s="220"/>
      <c r="E117" s="176"/>
      <c r="F117" s="342"/>
      <c r="G117" s="343"/>
      <c r="H117" s="651"/>
      <c r="I117" s="352" t="str">
        <f t="shared" si="56"/>
        <v>-</v>
      </c>
      <c r="J117" s="352" t="str">
        <f t="shared" si="57"/>
        <v>-</v>
      </c>
      <c r="K117" s="194" t="str">
        <f t="shared" si="58"/>
        <v>-</v>
      </c>
      <c r="L117" s="653"/>
      <c r="M117" s="338" t="e">
        <f>RANK(K117, K$67:$K$81)</f>
        <v>#VALUE!</v>
      </c>
      <c r="N117" s="637"/>
      <c r="O117" s="637"/>
      <c r="P117" s="490"/>
      <c r="Q117" s="491"/>
      <c r="R117" s="491"/>
      <c r="S117" s="490"/>
      <c r="T117" s="633"/>
      <c r="U117" s="490"/>
      <c r="V117" s="491"/>
      <c r="W117" s="491"/>
      <c r="X117" s="490"/>
      <c r="Y117" s="633"/>
      <c r="Z117" s="490"/>
      <c r="AA117" s="491"/>
      <c r="AB117" s="491"/>
      <c r="AC117" s="490"/>
      <c r="AD117" s="633"/>
      <c r="AE117" s="490"/>
      <c r="AF117" s="491"/>
      <c r="AG117" s="491"/>
      <c r="AH117" s="490"/>
      <c r="AI117" s="633"/>
      <c r="AJ117" s="490"/>
      <c r="AK117" s="491"/>
      <c r="AL117" s="491"/>
      <c r="AM117" s="490"/>
      <c r="AN117" s="633"/>
      <c r="AO117" s="490"/>
      <c r="AP117" s="491"/>
      <c r="AQ117" s="491"/>
      <c r="AR117" s="490"/>
      <c r="AS117" s="633"/>
      <c r="AT117" s="490"/>
      <c r="AU117" s="491"/>
      <c r="AV117" s="491"/>
      <c r="AW117" s="490"/>
      <c r="AX117" s="633"/>
      <c r="AZ117" s="358" t="e">
        <f t="shared" si="59"/>
        <v>#N/A</v>
      </c>
      <c r="BA117" s="694"/>
    </row>
    <row r="118" spans="2:53">
      <c r="B118" s="672"/>
      <c r="C118" s="337">
        <v>12</v>
      </c>
      <c r="D118" s="220"/>
      <c r="E118" s="176"/>
      <c r="F118" s="342"/>
      <c r="G118" s="343"/>
      <c r="H118" s="651"/>
      <c r="I118" s="352" t="str">
        <f t="shared" si="56"/>
        <v>-</v>
      </c>
      <c r="J118" s="352" t="str">
        <f t="shared" si="57"/>
        <v>-</v>
      </c>
      <c r="K118" s="194" t="str">
        <f t="shared" si="58"/>
        <v>-</v>
      </c>
      <c r="L118" s="653"/>
      <c r="M118" s="338" t="e">
        <f>RANK(K118, K$67:$K$81)</f>
        <v>#VALUE!</v>
      </c>
      <c r="N118" s="637"/>
      <c r="O118" s="637"/>
      <c r="P118" s="490"/>
      <c r="Q118" s="491"/>
      <c r="R118" s="491"/>
      <c r="S118" s="490"/>
      <c r="T118" s="633"/>
      <c r="U118" s="490"/>
      <c r="V118" s="491"/>
      <c r="W118" s="491"/>
      <c r="X118" s="490"/>
      <c r="Y118" s="633"/>
      <c r="Z118" s="490"/>
      <c r="AA118" s="491"/>
      <c r="AB118" s="491"/>
      <c r="AC118" s="490"/>
      <c r="AD118" s="633"/>
      <c r="AE118" s="490"/>
      <c r="AF118" s="491"/>
      <c r="AG118" s="491"/>
      <c r="AH118" s="490"/>
      <c r="AI118" s="633"/>
      <c r="AJ118" s="490"/>
      <c r="AK118" s="491"/>
      <c r="AL118" s="491"/>
      <c r="AM118" s="490"/>
      <c r="AN118" s="633"/>
      <c r="AO118" s="490"/>
      <c r="AP118" s="491"/>
      <c r="AQ118" s="491"/>
      <c r="AR118" s="490"/>
      <c r="AS118" s="633"/>
      <c r="AT118" s="490"/>
      <c r="AU118" s="491"/>
      <c r="AV118" s="491"/>
      <c r="AW118" s="490"/>
      <c r="AX118" s="633"/>
      <c r="AZ118" s="358" t="e">
        <f t="shared" si="59"/>
        <v>#N/A</v>
      </c>
      <c r="BA118" s="694"/>
    </row>
    <row r="119" spans="2:53">
      <c r="B119" s="672"/>
      <c r="C119" s="337">
        <v>13</v>
      </c>
      <c r="D119" s="220"/>
      <c r="E119" s="176"/>
      <c r="F119" s="342"/>
      <c r="G119" s="343"/>
      <c r="H119" s="651"/>
      <c r="I119" s="352" t="str">
        <f t="shared" si="56"/>
        <v>-</v>
      </c>
      <c r="J119" s="352" t="str">
        <f t="shared" si="57"/>
        <v>-</v>
      </c>
      <c r="K119" s="194" t="str">
        <f t="shared" si="58"/>
        <v>-</v>
      </c>
      <c r="L119" s="653"/>
      <c r="M119" s="338" t="e">
        <f>RANK(K119, K$67:$K$81)</f>
        <v>#VALUE!</v>
      </c>
      <c r="N119" s="637"/>
      <c r="O119" s="637"/>
      <c r="P119" s="490"/>
      <c r="Q119" s="491"/>
      <c r="R119" s="491"/>
      <c r="S119" s="490"/>
      <c r="T119" s="633"/>
      <c r="U119" s="490"/>
      <c r="V119" s="491"/>
      <c r="W119" s="491"/>
      <c r="X119" s="490"/>
      <c r="Y119" s="633"/>
      <c r="Z119" s="490"/>
      <c r="AA119" s="491"/>
      <c r="AB119" s="491"/>
      <c r="AC119" s="490"/>
      <c r="AD119" s="633"/>
      <c r="AE119" s="490"/>
      <c r="AF119" s="491"/>
      <c r="AG119" s="491"/>
      <c r="AH119" s="490"/>
      <c r="AI119" s="633"/>
      <c r="AJ119" s="490"/>
      <c r="AK119" s="491"/>
      <c r="AL119" s="491"/>
      <c r="AM119" s="490"/>
      <c r="AN119" s="633"/>
      <c r="AO119" s="490"/>
      <c r="AP119" s="491"/>
      <c r="AQ119" s="491"/>
      <c r="AR119" s="490"/>
      <c r="AS119" s="633"/>
      <c r="AT119" s="490"/>
      <c r="AU119" s="491"/>
      <c r="AV119" s="491"/>
      <c r="AW119" s="490"/>
      <c r="AX119" s="633"/>
      <c r="AZ119" s="358" t="e">
        <f t="shared" si="59"/>
        <v>#N/A</v>
      </c>
      <c r="BA119" s="694"/>
    </row>
    <row r="120" spans="2:53">
      <c r="B120" s="672"/>
      <c r="C120" s="337">
        <v>14</v>
      </c>
      <c r="D120" s="220"/>
      <c r="E120" s="176"/>
      <c r="F120" s="342"/>
      <c r="G120" s="343"/>
      <c r="H120" s="651"/>
      <c r="I120" s="352" t="str">
        <f t="shared" si="56"/>
        <v>-</v>
      </c>
      <c r="J120" s="352" t="str">
        <f t="shared" si="57"/>
        <v>-</v>
      </c>
      <c r="K120" s="194" t="str">
        <f t="shared" si="58"/>
        <v>-</v>
      </c>
      <c r="L120" s="653"/>
      <c r="M120" s="338" t="e">
        <f>RANK(K120, K$67:$K$81)</f>
        <v>#VALUE!</v>
      </c>
      <c r="N120" s="637"/>
      <c r="O120" s="637"/>
      <c r="P120" s="490"/>
      <c r="Q120" s="491"/>
      <c r="R120" s="491"/>
      <c r="S120" s="490"/>
      <c r="T120" s="633"/>
      <c r="U120" s="490"/>
      <c r="V120" s="491"/>
      <c r="W120" s="491"/>
      <c r="X120" s="490"/>
      <c r="Y120" s="633"/>
      <c r="Z120" s="490"/>
      <c r="AA120" s="491"/>
      <c r="AB120" s="491"/>
      <c r="AC120" s="490"/>
      <c r="AD120" s="633"/>
      <c r="AE120" s="490"/>
      <c r="AF120" s="491"/>
      <c r="AG120" s="491"/>
      <c r="AH120" s="490"/>
      <c r="AI120" s="633"/>
      <c r="AJ120" s="490"/>
      <c r="AK120" s="491"/>
      <c r="AL120" s="491"/>
      <c r="AM120" s="490"/>
      <c r="AN120" s="633"/>
      <c r="AO120" s="490"/>
      <c r="AP120" s="491"/>
      <c r="AQ120" s="491"/>
      <c r="AR120" s="490"/>
      <c r="AS120" s="633"/>
      <c r="AT120" s="490"/>
      <c r="AU120" s="491"/>
      <c r="AV120" s="491"/>
      <c r="AW120" s="490"/>
      <c r="AX120" s="633"/>
      <c r="AZ120" s="358" t="e">
        <f t="shared" si="59"/>
        <v>#N/A</v>
      </c>
      <c r="BA120" s="694"/>
    </row>
    <row r="121" spans="2:53">
      <c r="B121" s="672"/>
      <c r="C121" s="337">
        <v>15</v>
      </c>
      <c r="D121" s="220"/>
      <c r="E121" s="176"/>
      <c r="F121" s="342"/>
      <c r="G121" s="343"/>
      <c r="H121" s="708"/>
      <c r="I121" s="354"/>
      <c r="J121" s="354"/>
      <c r="K121" s="354"/>
      <c r="L121" s="654"/>
      <c r="M121" s="338" t="e">
        <f>RANK(K121, K$47:$K$61)</f>
        <v>#N/A</v>
      </c>
      <c r="N121" s="637"/>
      <c r="O121" s="637"/>
      <c r="P121" s="490"/>
      <c r="Q121" s="491"/>
      <c r="R121" s="491"/>
      <c r="S121" s="490"/>
      <c r="T121" s="634"/>
      <c r="U121" s="490"/>
      <c r="V121" s="491"/>
      <c r="W121" s="491"/>
      <c r="X121" s="490"/>
      <c r="Y121" s="634"/>
      <c r="Z121" s="490"/>
      <c r="AA121" s="491"/>
      <c r="AB121" s="491"/>
      <c r="AC121" s="490"/>
      <c r="AD121" s="634"/>
      <c r="AE121" s="490"/>
      <c r="AF121" s="491"/>
      <c r="AG121" s="491"/>
      <c r="AH121" s="490"/>
      <c r="AI121" s="634"/>
      <c r="AJ121" s="490"/>
      <c r="AK121" s="491"/>
      <c r="AL121" s="491"/>
      <c r="AM121" s="490"/>
      <c r="AN121" s="634"/>
      <c r="AO121" s="490"/>
      <c r="AP121" s="491"/>
      <c r="AQ121" s="491"/>
      <c r="AR121" s="490"/>
      <c r="AS121" s="634"/>
      <c r="AT121" s="490"/>
      <c r="AU121" s="491"/>
      <c r="AV121" s="491"/>
      <c r="AW121" s="490"/>
      <c r="AX121" s="634"/>
      <c r="AZ121" s="358" t="e">
        <f t="shared" si="59"/>
        <v>#N/A</v>
      </c>
      <c r="BA121" s="694"/>
    </row>
    <row r="123" spans="2:53" ht="15.75">
      <c r="B123" s="645" t="s">
        <v>463</v>
      </c>
      <c r="C123" s="646"/>
      <c r="D123" s="646"/>
      <c r="E123" s="646"/>
      <c r="F123" s="646"/>
      <c r="G123" s="646"/>
      <c r="H123" s="647"/>
      <c r="I123" s="299"/>
      <c r="J123" s="299"/>
      <c r="K123" s="299"/>
      <c r="L123" s="299"/>
      <c r="M123" s="300"/>
    </row>
    <row r="124" spans="2:53" ht="15.75">
      <c r="B124" s="648"/>
      <c r="C124" s="648"/>
      <c r="D124" s="648"/>
      <c r="E124" s="648"/>
      <c r="F124" s="648"/>
      <c r="G124" s="648"/>
      <c r="H124" s="648"/>
      <c r="I124" s="301"/>
      <c r="J124" s="301"/>
      <c r="K124" s="301"/>
      <c r="L124" s="301"/>
      <c r="M124" s="302"/>
    </row>
    <row r="125" spans="2:53">
      <c r="B125" s="637" t="s">
        <v>464</v>
      </c>
      <c r="C125" s="637" t="s">
        <v>465</v>
      </c>
      <c r="D125" s="637"/>
      <c r="E125" s="637" t="s">
        <v>466</v>
      </c>
      <c r="F125" s="637"/>
      <c r="G125" s="637"/>
      <c r="H125" s="669" t="s">
        <v>467</v>
      </c>
      <c r="I125" s="649" t="s">
        <v>468</v>
      </c>
      <c r="J125" s="649"/>
      <c r="K125" s="649"/>
      <c r="L125" s="702" t="s">
        <v>467</v>
      </c>
      <c r="M125" s="705" t="s">
        <v>469</v>
      </c>
    </row>
    <row r="126" spans="2:53">
      <c r="B126" s="637"/>
      <c r="C126" s="637"/>
      <c r="D126" s="637"/>
      <c r="E126" s="637" t="s">
        <v>470</v>
      </c>
      <c r="F126" s="637"/>
      <c r="G126" s="637"/>
      <c r="H126" s="670"/>
      <c r="I126" s="649" t="s">
        <v>470</v>
      </c>
      <c r="J126" s="649"/>
      <c r="K126" s="649"/>
      <c r="L126" s="703"/>
      <c r="M126" s="706"/>
    </row>
    <row r="127" spans="2:53">
      <c r="B127" s="637"/>
      <c r="C127" s="637"/>
      <c r="D127" s="637"/>
      <c r="E127" s="296" t="s">
        <v>471</v>
      </c>
      <c r="F127" s="296" t="s">
        <v>472</v>
      </c>
      <c r="G127" s="296" t="s">
        <v>473</v>
      </c>
      <c r="H127" s="671"/>
      <c r="I127" s="303" t="s">
        <v>471</v>
      </c>
      <c r="J127" s="303" t="s">
        <v>472</v>
      </c>
      <c r="K127" s="303" t="s">
        <v>473</v>
      </c>
      <c r="L127" s="704"/>
      <c r="M127" s="707"/>
    </row>
    <row r="128" spans="2:53">
      <c r="B128" s="637" t="s">
        <v>480</v>
      </c>
      <c r="C128" s="295">
        <v>1</v>
      </c>
      <c r="D128" s="220"/>
      <c r="E128" s="176"/>
      <c r="F128" s="295"/>
      <c r="G128" s="298"/>
      <c r="H128" s="696" t="e">
        <f>AVERAGE(G128:G142)</f>
        <v>#DIV/0!</v>
      </c>
      <c r="I128" s="193" t="e">
        <f t="shared" ref="I128:J132" si="60">AVERAGEIF($D$7:$D$121,$D128,I$7:I$121)</f>
        <v>#DIV/0!</v>
      </c>
      <c r="J128" s="193" t="e">
        <f t="shared" si="60"/>
        <v>#DIV/0!</v>
      </c>
      <c r="K128" s="193" t="e">
        <f>AVERAGEIF($D$7:$D$121,$D128,K$7:K$121)</f>
        <v>#DIV/0!</v>
      </c>
      <c r="L128" s="699" t="e">
        <f>AVERAGE(K128:K142)</f>
        <v>#DIV/0!</v>
      </c>
      <c r="M128" s="193" t="e">
        <f>RANK(K128, K$128:$K$142)</f>
        <v>#DIV/0!</v>
      </c>
    </row>
    <row r="129" spans="2:39">
      <c r="B129" s="643"/>
      <c r="C129" s="295">
        <v>2</v>
      </c>
      <c r="D129" s="220"/>
      <c r="E129" s="176"/>
      <c r="F129" s="295"/>
      <c r="G129" s="298"/>
      <c r="H129" s="697"/>
      <c r="I129" s="193" t="e">
        <f t="shared" si="60"/>
        <v>#DIV/0!</v>
      </c>
      <c r="J129" s="193" t="e">
        <f t="shared" si="60"/>
        <v>#DIV/0!</v>
      </c>
      <c r="K129" s="193" t="e">
        <f>AVERAGEIF($D$7:$D$121,$D129,K$7:K$121)</f>
        <v>#DIV/0!</v>
      </c>
      <c r="L129" s="700"/>
      <c r="M129" s="193" t="e">
        <f>RANK(K129, K$128:$K$142)</f>
        <v>#DIV/0!</v>
      </c>
      <c r="N129" s="107"/>
      <c r="O129" s="107"/>
      <c r="P129" s="107"/>
      <c r="Q129" s="107"/>
      <c r="R129" s="107"/>
      <c r="S129" s="107"/>
      <c r="T129" s="107"/>
      <c r="X129" s="107"/>
      <c r="AC129" s="107"/>
      <c r="AH129" s="107"/>
      <c r="AM129" s="107"/>
    </row>
    <row r="130" spans="2:39">
      <c r="B130" s="643"/>
      <c r="C130" s="295">
        <v>3</v>
      </c>
      <c r="D130" s="220"/>
      <c r="E130" s="176"/>
      <c r="F130" s="295"/>
      <c r="G130" s="298"/>
      <c r="H130" s="697"/>
      <c r="I130" s="193" t="e">
        <f t="shared" si="60"/>
        <v>#DIV/0!</v>
      </c>
      <c r="J130" s="193" t="e">
        <f t="shared" si="60"/>
        <v>#DIV/0!</v>
      </c>
      <c r="K130" s="193" t="e">
        <f>AVERAGEIF($D$7:$D$121,$D130,K$7:K$121)</f>
        <v>#DIV/0!</v>
      </c>
      <c r="L130" s="700"/>
      <c r="M130" s="193" t="e">
        <f>RANK(K130, K$128:$K$142)</f>
        <v>#DIV/0!</v>
      </c>
      <c r="N130" s="107"/>
      <c r="O130" s="107"/>
      <c r="P130" s="107"/>
      <c r="Q130" s="107"/>
      <c r="R130" s="107"/>
      <c r="S130" s="107"/>
      <c r="T130" s="107"/>
      <c r="X130" s="107"/>
      <c r="AC130" s="107"/>
      <c r="AH130" s="107"/>
      <c r="AM130" s="107"/>
    </row>
    <row r="131" spans="2:39">
      <c r="B131" s="643"/>
      <c r="C131" s="295">
        <v>4</v>
      </c>
      <c r="D131" s="220"/>
      <c r="E131" s="176"/>
      <c r="F131" s="295"/>
      <c r="G131" s="298"/>
      <c r="H131" s="697"/>
      <c r="I131" s="193" t="e">
        <f t="shared" si="60"/>
        <v>#DIV/0!</v>
      </c>
      <c r="J131" s="193" t="e">
        <f t="shared" si="60"/>
        <v>#DIV/0!</v>
      </c>
      <c r="K131" s="193" t="e">
        <f>AVERAGEIF($D$7:$D$121,$D131,K$7:K$121)</f>
        <v>#DIV/0!</v>
      </c>
      <c r="L131" s="700"/>
      <c r="M131" s="193" t="e">
        <f>RANK(K131, K$128:$K$142)</f>
        <v>#DIV/0!</v>
      </c>
      <c r="N131" s="107"/>
      <c r="O131" s="107"/>
      <c r="P131" s="107"/>
      <c r="Q131" s="107"/>
      <c r="R131" s="107"/>
      <c r="S131" s="107"/>
      <c r="T131" s="107"/>
      <c r="X131" s="107"/>
      <c r="AC131" s="107"/>
      <c r="AH131" s="107"/>
      <c r="AM131" s="107"/>
    </row>
    <row r="132" spans="2:39">
      <c r="B132" s="643"/>
      <c r="C132" s="295">
        <v>5</v>
      </c>
      <c r="D132" s="220"/>
      <c r="E132" s="176"/>
      <c r="F132" s="295"/>
      <c r="G132" s="298"/>
      <c r="H132" s="697"/>
      <c r="I132" s="193" t="e">
        <f t="shared" si="60"/>
        <v>#DIV/0!</v>
      </c>
      <c r="J132" s="193" t="e">
        <f t="shared" si="60"/>
        <v>#DIV/0!</v>
      </c>
      <c r="K132" s="193" t="e">
        <f>AVERAGEIF($D$7:$D$121,$D132,K$7:K$121)</f>
        <v>#DIV/0!</v>
      </c>
      <c r="L132" s="700"/>
      <c r="M132" s="193" t="e">
        <f>RANK(K132, K$128:$K$142)</f>
        <v>#DIV/0!</v>
      </c>
      <c r="N132" s="107"/>
      <c r="O132" s="107"/>
      <c r="P132" s="107"/>
      <c r="Q132" s="107"/>
      <c r="R132" s="107"/>
      <c r="S132" s="107"/>
      <c r="T132" s="107"/>
      <c r="X132" s="107"/>
      <c r="AC132" s="107"/>
      <c r="AH132" s="107"/>
      <c r="AM132" s="107"/>
    </row>
    <row r="133" spans="2:39">
      <c r="B133" s="643"/>
      <c r="C133" s="295">
        <v>6</v>
      </c>
      <c r="D133" s="304"/>
      <c r="E133" s="176"/>
      <c r="F133" s="295"/>
      <c r="G133" s="298"/>
      <c r="H133" s="697"/>
      <c r="I133" s="193"/>
      <c r="J133" s="193"/>
      <c r="K133" s="193"/>
      <c r="L133" s="700"/>
      <c r="M133" s="193" t="e">
        <f>RANK(K133, K$128:$K$142)</f>
        <v>#DIV/0!</v>
      </c>
      <c r="N133" s="107"/>
      <c r="O133" s="107"/>
      <c r="P133" s="107"/>
      <c r="Q133" s="107"/>
      <c r="R133" s="107"/>
      <c r="S133" s="107"/>
      <c r="T133" s="107"/>
      <c r="X133" s="107"/>
      <c r="AC133" s="107"/>
      <c r="AH133" s="107"/>
      <c r="AM133" s="107"/>
    </row>
    <row r="134" spans="2:39">
      <c r="B134" s="643"/>
      <c r="C134" s="295">
        <v>7</v>
      </c>
      <c r="D134" s="220"/>
      <c r="E134" s="176"/>
      <c r="F134" s="295"/>
      <c r="G134" s="298"/>
      <c r="H134" s="697"/>
      <c r="I134" s="193"/>
      <c r="J134" s="193"/>
      <c r="K134" s="193"/>
      <c r="L134" s="700"/>
      <c r="M134" s="193" t="e">
        <f>RANK(K134, K$128:$K$142)</f>
        <v>#DIV/0!</v>
      </c>
      <c r="N134" s="107"/>
      <c r="O134" s="107"/>
      <c r="P134" s="107"/>
      <c r="Q134" s="107"/>
      <c r="R134" s="107"/>
      <c r="S134" s="107"/>
      <c r="T134" s="107"/>
      <c r="X134" s="107"/>
      <c r="AC134" s="107"/>
      <c r="AH134" s="107"/>
      <c r="AM134" s="107"/>
    </row>
    <row r="135" spans="2:39">
      <c r="B135" s="643"/>
      <c r="C135" s="295">
        <v>8</v>
      </c>
      <c r="D135" s="220"/>
      <c r="E135" s="176"/>
      <c r="F135" s="295"/>
      <c r="G135" s="298"/>
      <c r="H135" s="697"/>
      <c r="I135" s="193"/>
      <c r="J135" s="193"/>
      <c r="K135" s="193"/>
      <c r="L135" s="700"/>
      <c r="M135" s="193" t="e">
        <f>RANK(K135, K$128:$K$142)</f>
        <v>#DIV/0!</v>
      </c>
      <c r="N135" s="107"/>
      <c r="O135" s="107"/>
      <c r="P135" s="107"/>
      <c r="Q135" s="107"/>
      <c r="R135" s="107"/>
      <c r="S135" s="107"/>
      <c r="T135" s="107"/>
      <c r="X135" s="107"/>
      <c r="AC135" s="107"/>
      <c r="AH135" s="107"/>
      <c r="AM135" s="107"/>
    </row>
    <row r="136" spans="2:39">
      <c r="B136" s="643"/>
      <c r="C136" s="295">
        <v>9</v>
      </c>
      <c r="D136" s="220"/>
      <c r="E136" s="295"/>
      <c r="F136" s="295"/>
      <c r="G136" s="295"/>
      <c r="H136" s="697"/>
      <c r="I136" s="193"/>
      <c r="J136" s="193"/>
      <c r="K136" s="193"/>
      <c r="L136" s="700"/>
      <c r="M136" s="193" t="e">
        <f>RANK(K136, K$128:$K$142)</f>
        <v>#DIV/0!</v>
      </c>
      <c r="N136" s="107"/>
      <c r="O136" s="107"/>
      <c r="P136" s="107"/>
      <c r="Q136" s="107"/>
      <c r="R136" s="107"/>
      <c r="S136" s="107"/>
      <c r="T136" s="107"/>
      <c r="X136" s="107"/>
      <c r="AC136" s="107"/>
      <c r="AH136" s="107"/>
      <c r="AM136" s="107"/>
    </row>
    <row r="137" spans="2:39">
      <c r="B137" s="643"/>
      <c r="C137" s="295">
        <v>10</v>
      </c>
      <c r="D137" s="220"/>
      <c r="E137" s="295"/>
      <c r="F137" s="295"/>
      <c r="G137" s="295"/>
      <c r="H137" s="697"/>
      <c r="I137" s="193"/>
      <c r="J137" s="193"/>
      <c r="K137" s="193"/>
      <c r="L137" s="700"/>
      <c r="M137" s="193" t="e">
        <f>RANK(K137, K$128:$K$142)</f>
        <v>#DIV/0!</v>
      </c>
      <c r="N137" s="107"/>
      <c r="O137" s="107"/>
      <c r="P137" s="107"/>
      <c r="Q137" s="107"/>
      <c r="R137" s="107"/>
      <c r="S137" s="107"/>
      <c r="T137" s="107"/>
      <c r="X137" s="107"/>
      <c r="AC137" s="107"/>
      <c r="AH137" s="107"/>
      <c r="AM137" s="107"/>
    </row>
    <row r="138" spans="2:39">
      <c r="B138" s="643"/>
      <c r="C138" s="295">
        <v>11</v>
      </c>
      <c r="D138" s="220"/>
      <c r="E138" s="295"/>
      <c r="F138" s="295"/>
      <c r="G138" s="295"/>
      <c r="H138" s="697"/>
      <c r="I138" s="193"/>
      <c r="J138" s="193"/>
      <c r="K138" s="193"/>
      <c r="L138" s="700"/>
      <c r="M138" s="193" t="e">
        <f>RANK(K138, K$128:$K$142)</f>
        <v>#DIV/0!</v>
      </c>
      <c r="N138" s="107"/>
      <c r="O138" s="107"/>
      <c r="P138" s="107"/>
      <c r="Q138" s="107"/>
      <c r="R138" s="107"/>
      <c r="S138" s="107"/>
      <c r="T138" s="107"/>
      <c r="X138" s="107"/>
      <c r="AC138" s="107"/>
      <c r="AH138" s="107"/>
      <c r="AM138" s="107"/>
    </row>
    <row r="139" spans="2:39">
      <c r="B139" s="643"/>
      <c r="C139" s="295">
        <v>12</v>
      </c>
      <c r="D139" s="220"/>
      <c r="E139" s="295"/>
      <c r="F139" s="295"/>
      <c r="G139" s="295"/>
      <c r="H139" s="697"/>
      <c r="I139" s="193"/>
      <c r="J139" s="193"/>
      <c r="K139" s="193"/>
      <c r="L139" s="700"/>
      <c r="M139" s="193" t="e">
        <f>RANK(K139, K$128:$K$142)</f>
        <v>#DIV/0!</v>
      </c>
      <c r="N139" s="107"/>
      <c r="O139" s="107"/>
      <c r="P139" s="107"/>
      <c r="Q139" s="107"/>
      <c r="R139" s="107"/>
      <c r="S139" s="107"/>
      <c r="T139" s="107"/>
      <c r="X139" s="107"/>
      <c r="AC139" s="107"/>
      <c r="AH139" s="107"/>
      <c r="AM139" s="107"/>
    </row>
    <row r="140" spans="2:39">
      <c r="B140" s="643"/>
      <c r="C140" s="295">
        <v>13</v>
      </c>
      <c r="D140" s="220"/>
      <c r="E140" s="295"/>
      <c r="F140" s="295"/>
      <c r="G140" s="295"/>
      <c r="H140" s="697"/>
      <c r="I140" s="193"/>
      <c r="J140" s="193"/>
      <c r="K140" s="193"/>
      <c r="L140" s="700"/>
      <c r="M140" s="193" t="e">
        <f>RANK(K140, K$128:$K$142)</f>
        <v>#DIV/0!</v>
      </c>
      <c r="N140" s="107"/>
      <c r="O140" s="107"/>
      <c r="P140" s="107"/>
      <c r="Q140" s="107"/>
      <c r="R140" s="107"/>
      <c r="S140" s="107"/>
      <c r="T140" s="107"/>
      <c r="X140" s="107"/>
      <c r="AC140" s="107"/>
      <c r="AH140" s="107"/>
      <c r="AM140" s="107"/>
    </row>
    <row r="141" spans="2:39">
      <c r="B141" s="643"/>
      <c r="C141" s="295">
        <v>14</v>
      </c>
      <c r="D141" s="220"/>
      <c r="E141" s="295"/>
      <c r="F141" s="295"/>
      <c r="G141" s="295"/>
      <c r="H141" s="697"/>
      <c r="I141" s="193"/>
      <c r="J141" s="193"/>
      <c r="K141" s="193"/>
      <c r="L141" s="700"/>
      <c r="M141" s="193" t="e">
        <f>RANK(K141, K$128:$K$142)</f>
        <v>#DIV/0!</v>
      </c>
      <c r="N141" s="107"/>
      <c r="O141" s="107"/>
      <c r="P141" s="107"/>
      <c r="Q141" s="107"/>
      <c r="R141" s="107"/>
      <c r="S141" s="107"/>
      <c r="T141" s="107"/>
      <c r="X141" s="107"/>
      <c r="AC141" s="107"/>
      <c r="AH141" s="107"/>
      <c r="AM141" s="107"/>
    </row>
    <row r="142" spans="2:39">
      <c r="B142" s="643"/>
      <c r="C142" s="295">
        <v>15</v>
      </c>
      <c r="D142" s="220"/>
      <c r="E142" s="295"/>
      <c r="F142" s="295"/>
      <c r="G142" s="295"/>
      <c r="H142" s="698"/>
      <c r="I142" s="193"/>
      <c r="J142" s="193"/>
      <c r="K142" s="193"/>
      <c r="L142" s="701"/>
      <c r="M142" s="193" t="e">
        <f>RANK(K142, K$128:$K$142)</f>
        <v>#DIV/0!</v>
      </c>
      <c r="N142" s="107"/>
      <c r="O142" s="107"/>
      <c r="P142" s="107"/>
      <c r="Q142" s="107"/>
      <c r="R142" s="107"/>
      <c r="S142" s="107"/>
      <c r="T142" s="107"/>
      <c r="X142" s="107"/>
      <c r="AC142" s="107"/>
      <c r="AH142" s="107"/>
      <c r="AM142" s="107"/>
    </row>
  </sheetData>
  <mergeCells count="379">
    <mergeCell ref="BA87:BA101"/>
    <mergeCell ref="BA104:BA106"/>
    <mergeCell ref="BA107:BA121"/>
    <mergeCell ref="BA4:BA6"/>
    <mergeCell ref="BA7:BA21"/>
    <mergeCell ref="BA24:BA26"/>
    <mergeCell ref="BA27:BA41"/>
    <mergeCell ref="BA44:BA46"/>
    <mergeCell ref="BA47:BA61"/>
    <mergeCell ref="BA64:BA66"/>
    <mergeCell ref="BA67:BA81"/>
    <mergeCell ref="BA84:BA86"/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B128:B142"/>
    <mergeCell ref="H128:H142"/>
    <mergeCell ref="L128:L142"/>
    <mergeCell ref="AX107:AX121"/>
    <mergeCell ref="E125:G125"/>
    <mergeCell ref="I125:K125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B123:H124"/>
    <mergeCell ref="B125:B127"/>
    <mergeCell ref="C125:D127"/>
    <mergeCell ref="H125:H127"/>
    <mergeCell ref="L125:L127"/>
    <mergeCell ref="M125:M127"/>
    <mergeCell ref="E126:G126"/>
    <mergeCell ref="I126:K126"/>
  </mergeCells>
  <phoneticPr fontId="13" type="noConversion"/>
  <pageMargins left="0.7" right="0.7" top="0.75" bottom="0.75" header="0.3" footer="0.3"/>
  <pageSetup paperSize="9" orientation="portrait" horizontalDpi="300" verticalDpi="3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FFFFCC"/>
  </sheetPr>
  <dimension ref="A1:BA142"/>
  <sheetViews>
    <sheetView zoomScale="40" zoomScaleNormal="40" workbookViewId="0">
      <pane xSplit="15" topLeftCell="P1" activePane="topRight" state="frozen"/>
      <selection activeCell="P3" sqref="P3:T3"/>
      <selection pane="topRight" activeCell="T7" sqref="T7:T21"/>
    </sheetView>
  </sheetViews>
  <sheetFormatPr defaultColWidth="8.85546875" defaultRowHeight="12.75"/>
  <cols>
    <col min="1" max="1" width="5.5703125" style="107" customWidth="1"/>
    <col min="2" max="2" width="12.42578125" style="107" customWidth="1"/>
    <col min="3" max="3" width="8.85546875" style="106"/>
    <col min="4" max="4" width="26.42578125" style="106" customWidth="1"/>
    <col min="5" max="7" width="8.42578125" style="106" customWidth="1"/>
    <col min="8" max="8" width="11.140625" style="106" bestFit="1" customWidth="1"/>
    <col min="9" max="12" width="11.140625" style="106" customWidth="1"/>
    <col min="13" max="13" width="13.5703125" style="106" customWidth="1"/>
    <col min="14" max="14" width="9.85546875" style="106" customWidth="1"/>
    <col min="15" max="15" width="7.140625" style="106" customWidth="1"/>
    <col min="16" max="18" width="12.85546875" style="106" customWidth="1"/>
    <col min="19" max="19" width="5.42578125" style="106" customWidth="1"/>
    <col min="20" max="20" width="12.85546875" style="106" customWidth="1"/>
    <col min="21" max="23" width="12.85546875" style="107" customWidth="1"/>
    <col min="24" max="24" width="5.42578125" style="106" customWidth="1"/>
    <col min="25" max="28" width="12.85546875" style="107" customWidth="1"/>
    <col min="29" max="29" width="5.42578125" style="106" customWidth="1"/>
    <col min="30" max="30" width="12.85546875" style="107" customWidth="1"/>
    <col min="31" max="33" width="12.5703125" style="107" customWidth="1"/>
    <col min="34" max="34" width="5.42578125" style="106" customWidth="1"/>
    <col min="35" max="35" width="13" style="107" customWidth="1"/>
    <col min="36" max="38" width="12.5703125" style="107" customWidth="1"/>
    <col min="39" max="39" width="5.42578125" style="106" customWidth="1"/>
    <col min="40" max="40" width="13" style="107" customWidth="1"/>
    <col min="41" max="43" width="13.140625" style="107" customWidth="1"/>
    <col min="44" max="44" width="5.42578125" style="107" customWidth="1"/>
    <col min="45" max="48" width="13.140625" style="107" customWidth="1"/>
    <col min="49" max="49" width="5.42578125" style="107" customWidth="1"/>
    <col min="50" max="50" width="13.140625" style="107" customWidth="1"/>
    <col min="51" max="51" width="8.85546875" style="107"/>
    <col min="52" max="52" width="5.42578125" style="107" customWidth="1"/>
    <col min="53" max="53" width="13.140625" style="107" customWidth="1"/>
    <col min="54" max="16384" width="8.85546875" style="107"/>
  </cols>
  <sheetData>
    <row r="1" spans="1:53" ht="24">
      <c r="A1" s="75"/>
      <c r="B1" s="215" t="s">
        <v>313</v>
      </c>
      <c r="C1" s="214">
        <f>AVERAGE(L7,L27,L47,L67,L87,L107)</f>
        <v>161.50422008679055</v>
      </c>
    </row>
    <row r="2" spans="1:53" ht="15.75">
      <c r="A2" s="81"/>
      <c r="B2" s="665" t="s">
        <v>162</v>
      </c>
      <c r="C2" s="665"/>
      <c r="D2" s="665"/>
      <c r="E2" s="665"/>
      <c r="F2" s="665"/>
      <c r="G2" s="665"/>
      <c r="H2" s="665"/>
      <c r="I2" s="276"/>
      <c r="J2" s="276"/>
      <c r="K2" s="276"/>
      <c r="L2" s="276"/>
      <c r="M2" s="191"/>
      <c r="N2" s="639" t="s">
        <v>156</v>
      </c>
      <c r="O2" s="639" t="s">
        <v>155</v>
      </c>
      <c r="P2" s="664">
        <v>46294</v>
      </c>
      <c r="Q2" s="643"/>
      <c r="R2" s="643"/>
      <c r="S2" s="643"/>
      <c r="T2" s="643"/>
      <c r="U2" s="661">
        <f>P2+1</f>
        <v>46295</v>
      </c>
      <c r="V2" s="662"/>
      <c r="W2" s="662"/>
      <c r="X2" s="662"/>
      <c r="Y2" s="663"/>
      <c r="Z2" s="661">
        <f>U2+1</f>
        <v>46296</v>
      </c>
      <c r="AA2" s="662"/>
      <c r="AB2" s="662"/>
      <c r="AC2" s="662"/>
      <c r="AD2" s="663"/>
      <c r="AE2" s="661">
        <f>Z2+1</f>
        <v>46297</v>
      </c>
      <c r="AF2" s="662"/>
      <c r="AG2" s="662"/>
      <c r="AH2" s="662"/>
      <c r="AI2" s="663"/>
      <c r="AJ2" s="661">
        <f>AE2+1</f>
        <v>46298</v>
      </c>
      <c r="AK2" s="662"/>
      <c r="AL2" s="662"/>
      <c r="AM2" s="662"/>
      <c r="AN2" s="663"/>
      <c r="AO2" s="661">
        <f>AJ2+1</f>
        <v>46299</v>
      </c>
      <c r="AP2" s="662"/>
      <c r="AQ2" s="662"/>
      <c r="AR2" s="662"/>
      <c r="AS2" s="663"/>
      <c r="AT2" s="661">
        <f>AO2+1</f>
        <v>46300</v>
      </c>
      <c r="AU2" s="662"/>
      <c r="AV2" s="662"/>
      <c r="AW2" s="662"/>
      <c r="AX2" s="663"/>
    </row>
    <row r="3" spans="1:53" ht="15.75">
      <c r="A3" s="81"/>
      <c r="B3" s="709"/>
      <c r="C3" s="709"/>
      <c r="D3" s="709"/>
      <c r="E3" s="709"/>
      <c r="F3" s="709"/>
      <c r="G3" s="709"/>
      <c r="H3" s="709"/>
      <c r="I3" s="277"/>
      <c r="J3" s="277"/>
      <c r="K3" s="277"/>
      <c r="L3" s="277"/>
      <c r="M3" s="192"/>
      <c r="N3" s="641"/>
      <c r="O3" s="641"/>
      <c r="P3" s="664" t="s">
        <v>158</v>
      </c>
      <c r="Q3" s="643"/>
      <c r="R3" s="643"/>
      <c r="S3" s="643"/>
      <c r="T3" s="643"/>
      <c r="U3" s="664" t="s">
        <v>114</v>
      </c>
      <c r="V3" s="643"/>
      <c r="W3" s="643"/>
      <c r="X3" s="643"/>
      <c r="Y3" s="643"/>
      <c r="Z3" s="664" t="s">
        <v>159</v>
      </c>
      <c r="AA3" s="643"/>
      <c r="AB3" s="643"/>
      <c r="AC3" s="643"/>
      <c r="AD3" s="643"/>
      <c r="AE3" s="664" t="s">
        <v>157</v>
      </c>
      <c r="AF3" s="643"/>
      <c r="AG3" s="643"/>
      <c r="AH3" s="643"/>
      <c r="AI3" s="643"/>
      <c r="AJ3" s="664" t="s">
        <v>160</v>
      </c>
      <c r="AK3" s="643"/>
      <c r="AL3" s="643"/>
      <c r="AM3" s="643"/>
      <c r="AN3" s="643"/>
      <c r="AO3" s="664" t="s">
        <v>115</v>
      </c>
      <c r="AP3" s="643"/>
      <c r="AQ3" s="643"/>
      <c r="AR3" s="643"/>
      <c r="AS3" s="643"/>
      <c r="AT3" s="664" t="s">
        <v>161</v>
      </c>
      <c r="AU3" s="643"/>
      <c r="AV3" s="643"/>
      <c r="AW3" s="643"/>
      <c r="AX3" s="643"/>
    </row>
    <row r="4" spans="1:53" ht="14.25">
      <c r="A4" s="81"/>
      <c r="B4" s="637" t="s">
        <v>743</v>
      </c>
      <c r="C4" s="637" t="s">
        <v>521</v>
      </c>
      <c r="D4" s="637"/>
      <c r="E4" s="637" t="s">
        <v>522</v>
      </c>
      <c r="F4" s="637"/>
      <c r="G4" s="637"/>
      <c r="H4" s="669" t="s">
        <v>523</v>
      </c>
      <c r="I4" s="637" t="s">
        <v>524</v>
      </c>
      <c r="J4" s="637"/>
      <c r="K4" s="637"/>
      <c r="L4" s="669" t="s">
        <v>357</v>
      </c>
      <c r="M4" s="639" t="s">
        <v>525</v>
      </c>
      <c r="N4" s="637"/>
      <c r="O4" s="637" t="s">
        <v>363</v>
      </c>
      <c r="P4" s="655" t="s">
        <v>359</v>
      </c>
      <c r="Q4" s="656"/>
      <c r="R4" s="656"/>
      <c r="S4" s="657"/>
      <c r="T4" s="637" t="s">
        <v>357</v>
      </c>
      <c r="U4" s="655" t="s">
        <v>359</v>
      </c>
      <c r="V4" s="656"/>
      <c r="W4" s="656"/>
      <c r="X4" s="657"/>
      <c r="Y4" s="637" t="s">
        <v>357</v>
      </c>
      <c r="Z4" s="655" t="s">
        <v>359</v>
      </c>
      <c r="AA4" s="656"/>
      <c r="AB4" s="656"/>
      <c r="AC4" s="657"/>
      <c r="AD4" s="637" t="s">
        <v>357</v>
      </c>
      <c r="AE4" s="655" t="s">
        <v>359</v>
      </c>
      <c r="AF4" s="656"/>
      <c r="AG4" s="656"/>
      <c r="AH4" s="657"/>
      <c r="AI4" s="637" t="s">
        <v>357</v>
      </c>
      <c r="AJ4" s="655" t="s">
        <v>359</v>
      </c>
      <c r="AK4" s="656"/>
      <c r="AL4" s="656"/>
      <c r="AM4" s="657"/>
      <c r="AN4" s="637" t="s">
        <v>357</v>
      </c>
      <c r="AO4" s="655" t="s">
        <v>359</v>
      </c>
      <c r="AP4" s="656"/>
      <c r="AQ4" s="656"/>
      <c r="AR4" s="657"/>
      <c r="AS4" s="637" t="s">
        <v>357</v>
      </c>
      <c r="AT4" s="655" t="s">
        <v>359</v>
      </c>
      <c r="AU4" s="656"/>
      <c r="AV4" s="656"/>
      <c r="AW4" s="657"/>
      <c r="AX4" s="637" t="s">
        <v>357</v>
      </c>
      <c r="BA4" s="637" t="s">
        <v>357</v>
      </c>
    </row>
    <row r="5" spans="1:53" ht="14.25">
      <c r="A5" s="81"/>
      <c r="B5" s="637"/>
      <c r="C5" s="637"/>
      <c r="D5" s="637"/>
      <c r="E5" s="637" t="s">
        <v>527</v>
      </c>
      <c r="F5" s="637"/>
      <c r="G5" s="637"/>
      <c r="H5" s="670"/>
      <c r="I5" s="637" t="s">
        <v>527</v>
      </c>
      <c r="J5" s="637"/>
      <c r="K5" s="637"/>
      <c r="L5" s="670"/>
      <c r="M5" s="640"/>
      <c r="N5" s="637"/>
      <c r="O5" s="637"/>
      <c r="P5" s="655" t="s">
        <v>365</v>
      </c>
      <c r="Q5" s="656"/>
      <c r="R5" s="656"/>
      <c r="S5" s="657"/>
      <c r="T5" s="637"/>
      <c r="U5" s="655" t="s">
        <v>365</v>
      </c>
      <c r="V5" s="656"/>
      <c r="W5" s="656"/>
      <c r="X5" s="657"/>
      <c r="Y5" s="637"/>
      <c r="Z5" s="655" t="s">
        <v>365</v>
      </c>
      <c r="AA5" s="656"/>
      <c r="AB5" s="656"/>
      <c r="AC5" s="657"/>
      <c r="AD5" s="637"/>
      <c r="AE5" s="655" t="s">
        <v>365</v>
      </c>
      <c r="AF5" s="656"/>
      <c r="AG5" s="656"/>
      <c r="AH5" s="657"/>
      <c r="AI5" s="637"/>
      <c r="AJ5" s="655" t="s">
        <v>365</v>
      </c>
      <c r="AK5" s="656"/>
      <c r="AL5" s="656"/>
      <c r="AM5" s="657"/>
      <c r="AN5" s="637"/>
      <c r="AO5" s="655" t="s">
        <v>365</v>
      </c>
      <c r="AP5" s="656"/>
      <c r="AQ5" s="656"/>
      <c r="AR5" s="657"/>
      <c r="AS5" s="637"/>
      <c r="AT5" s="655" t="s">
        <v>365</v>
      </c>
      <c r="AU5" s="656"/>
      <c r="AV5" s="656"/>
      <c r="AW5" s="657"/>
      <c r="AX5" s="637"/>
      <c r="BA5" s="637"/>
    </row>
    <row r="6" spans="1:53" ht="14.25">
      <c r="A6" s="79"/>
      <c r="B6" s="637"/>
      <c r="C6" s="637"/>
      <c r="D6" s="637"/>
      <c r="E6" s="551" t="s">
        <v>528</v>
      </c>
      <c r="F6" s="551" t="s">
        <v>529</v>
      </c>
      <c r="G6" s="551" t="s">
        <v>530</v>
      </c>
      <c r="H6" s="671"/>
      <c r="I6" s="551" t="s">
        <v>528</v>
      </c>
      <c r="J6" s="551" t="s">
        <v>529</v>
      </c>
      <c r="K6" s="551" t="s">
        <v>530</v>
      </c>
      <c r="L6" s="671"/>
      <c r="M6" s="641"/>
      <c r="N6" s="637"/>
      <c r="O6" s="637"/>
      <c r="P6" s="551" t="s">
        <v>366</v>
      </c>
      <c r="Q6" s="551" t="s">
        <v>367</v>
      </c>
      <c r="R6" s="551" t="s">
        <v>368</v>
      </c>
      <c r="S6" s="551" t="s">
        <v>358</v>
      </c>
      <c r="T6" s="637"/>
      <c r="U6" s="551" t="s">
        <v>366</v>
      </c>
      <c r="V6" s="551" t="s">
        <v>367</v>
      </c>
      <c r="W6" s="551" t="s">
        <v>368</v>
      </c>
      <c r="X6" s="551" t="s">
        <v>358</v>
      </c>
      <c r="Y6" s="637"/>
      <c r="Z6" s="551" t="s">
        <v>366</v>
      </c>
      <c r="AA6" s="551" t="s">
        <v>367</v>
      </c>
      <c r="AB6" s="551" t="s">
        <v>368</v>
      </c>
      <c r="AC6" s="551" t="s">
        <v>358</v>
      </c>
      <c r="AD6" s="637"/>
      <c r="AE6" s="551" t="s">
        <v>366</v>
      </c>
      <c r="AF6" s="551" t="s">
        <v>367</v>
      </c>
      <c r="AG6" s="551" t="s">
        <v>368</v>
      </c>
      <c r="AH6" s="551" t="s">
        <v>358</v>
      </c>
      <c r="AI6" s="637"/>
      <c r="AJ6" s="551" t="s">
        <v>366</v>
      </c>
      <c r="AK6" s="551" t="s">
        <v>367</v>
      </c>
      <c r="AL6" s="551" t="s">
        <v>368</v>
      </c>
      <c r="AM6" s="551" t="s">
        <v>358</v>
      </c>
      <c r="AN6" s="637"/>
      <c r="AO6" s="551" t="s">
        <v>366</v>
      </c>
      <c r="AP6" s="551" t="s">
        <v>367</v>
      </c>
      <c r="AQ6" s="551" t="s">
        <v>368</v>
      </c>
      <c r="AR6" s="551" t="s">
        <v>358</v>
      </c>
      <c r="AS6" s="637"/>
      <c r="AT6" s="551" t="s">
        <v>366</v>
      </c>
      <c r="AU6" s="551" t="s">
        <v>367</v>
      </c>
      <c r="AV6" s="551" t="s">
        <v>368</v>
      </c>
      <c r="AW6" s="551" t="s">
        <v>358</v>
      </c>
      <c r="AX6" s="637"/>
      <c r="AZ6" s="356" t="s">
        <v>358</v>
      </c>
      <c r="BA6" s="637"/>
    </row>
    <row r="7" spans="1:53" ht="14.25">
      <c r="A7" s="81"/>
      <c r="B7" s="637" t="s">
        <v>412</v>
      </c>
      <c r="C7" s="555">
        <v>1</v>
      </c>
      <c r="D7" s="220" t="s">
        <v>346</v>
      </c>
      <c r="E7" s="559">
        <v>7</v>
      </c>
      <c r="F7" s="553">
        <v>1500</v>
      </c>
      <c r="G7" s="552">
        <v>214.28571428571428</v>
      </c>
      <c r="H7" s="650">
        <f>AVERAGE(G7:G21)</f>
        <v>180.67226890756302</v>
      </c>
      <c r="I7" s="554">
        <f t="shared" ref="I7:I20" si="0">IFERROR(AVERAGE(P7,U7,Z7,AE7,AJ7,AO7,AT7),"-")</f>
        <v>7</v>
      </c>
      <c r="J7" s="554">
        <f t="shared" ref="J7:J20" si="1">IFERROR(AVERAGE(Q7,V7,AA7,AF7,AK7,AP7,AU7),"-")</f>
        <v>1447.688495778862</v>
      </c>
      <c r="K7" s="194">
        <f t="shared" ref="K7:K20" si="2">IFERROR(AVERAGE(R7,W7,AB7,AG7,AL7,AQ7,AV7),"-")</f>
        <v>206.81264225412312</v>
      </c>
      <c r="L7" s="652">
        <f>IFERROR(AVERAGE(K7:K21),"-")</f>
        <v>161.19271910162431</v>
      </c>
      <c r="M7" s="471" t="e">
        <f>RANK(K7, K$87:$K$101)</f>
        <v>#N/A</v>
      </c>
      <c r="N7" s="637"/>
      <c r="O7" s="637"/>
      <c r="P7" s="560">
        <v>7</v>
      </c>
      <c r="Q7" s="562">
        <v>1455</v>
      </c>
      <c r="R7" s="562">
        <v>207.85714285714286</v>
      </c>
      <c r="S7" s="561">
        <f t="shared" ref="S7:S21" si="3">RANK(R7, R$7:R$21)</f>
        <v>4</v>
      </c>
      <c r="T7" s="694">
        <f t="shared" ref="T7" si="4">AVERAGE(R7:R21)</f>
        <v>163.75776763400287</v>
      </c>
      <c r="U7" s="560">
        <v>7</v>
      </c>
      <c r="V7" s="562">
        <v>1434.4186046511641</v>
      </c>
      <c r="W7" s="562">
        <v>204.91694352159487</v>
      </c>
      <c r="X7" s="561">
        <f t="shared" ref="X7:X21" si="5">RANK(W7, W$7:W$21)</f>
        <v>4</v>
      </c>
      <c r="Y7" s="694">
        <f t="shared" ref="Y7" si="6">AVERAGE(W7:W21)</f>
        <v>160.12752763784925</v>
      </c>
      <c r="Z7" s="560">
        <v>7</v>
      </c>
      <c r="AA7" s="562">
        <v>1468.5714285714296</v>
      </c>
      <c r="AB7" s="562">
        <v>209.79591836734707</v>
      </c>
      <c r="AC7" s="561">
        <f t="shared" ref="AC7:AC21" si="7">RANK(AB7, AB$7:AB$21)</f>
        <v>3</v>
      </c>
      <c r="AD7" s="694">
        <f t="shared" ref="AD7" si="8">AVERAGE(AB7:AB21)</f>
        <v>160.19534562680226</v>
      </c>
      <c r="AE7" s="560">
        <v>7</v>
      </c>
      <c r="AF7" s="562">
        <v>1465.714285714286</v>
      </c>
      <c r="AG7" s="562">
        <v>209.38775510204087</v>
      </c>
      <c r="AH7" s="561">
        <f t="shared" ref="AH7:AH21" si="9">RANK(AG7, AG$7:AG$21)</f>
        <v>1</v>
      </c>
      <c r="AI7" s="694">
        <f t="shared" ref="AI7" si="10">AVERAGE(AG7:AG21)</f>
        <v>159.90371362551957</v>
      </c>
      <c r="AJ7" s="560">
        <v>7</v>
      </c>
      <c r="AK7" s="562">
        <v>1418.3333333333335</v>
      </c>
      <c r="AL7" s="562">
        <v>202.61904761904765</v>
      </c>
      <c r="AM7" s="561">
        <f t="shared" ref="AM7:AM21" si="11">RANK(AL7, AL$7:AL$21)</f>
        <v>4</v>
      </c>
      <c r="AN7" s="694">
        <f t="shared" ref="AN7" si="12">AVERAGE(AL7:AL21)</f>
        <v>161.99848394440809</v>
      </c>
      <c r="AO7" s="560">
        <v>7</v>
      </c>
      <c r="AP7" s="562">
        <v>1437.6000000000004</v>
      </c>
      <c r="AQ7" s="562">
        <v>205.37142857142862</v>
      </c>
      <c r="AR7" s="561">
        <f t="shared" ref="AR7:AR21" si="13">RANK(AQ7, AQ$7:AQ$21)</f>
        <v>2</v>
      </c>
      <c r="AS7" s="694">
        <f t="shared" ref="AS7" si="14">AVERAGE(AQ7:AQ21)</f>
        <v>159.23211779198073</v>
      </c>
      <c r="AT7" s="560">
        <v>7</v>
      </c>
      <c r="AU7" s="562">
        <v>1454.1818181818192</v>
      </c>
      <c r="AV7" s="562">
        <v>207.74025974025989</v>
      </c>
      <c r="AW7" s="561">
        <f t="shared" ref="AW7:AW21" si="15">RANK(AV7, AV$7:AV$21)</f>
        <v>3</v>
      </c>
      <c r="AX7" s="694">
        <f t="shared" ref="AX7" si="16">AVERAGE(AV7:AV21)</f>
        <v>163.13407745080744</v>
      </c>
      <c r="AZ7" s="358" t="e">
        <f t="shared" ref="AZ7:AZ21" si="17">RANK(AY7, AY$7:AY$21)</f>
        <v>#N/A</v>
      </c>
      <c r="BA7" s="694" t="e">
        <f t="shared" ref="BA7" si="18">AVERAGE(AY7:AY21)</f>
        <v>#DIV/0!</v>
      </c>
    </row>
    <row r="8" spans="1:53" ht="15" customHeight="1">
      <c r="A8" s="81"/>
      <c r="B8" s="643"/>
      <c r="C8" s="555">
        <v>2</v>
      </c>
      <c r="D8" s="220" t="s">
        <v>347</v>
      </c>
      <c r="E8" s="559">
        <v>7</v>
      </c>
      <c r="F8" s="553">
        <v>1500</v>
      </c>
      <c r="G8" s="552">
        <v>214.28571428571428</v>
      </c>
      <c r="H8" s="651"/>
      <c r="I8" s="554">
        <f t="shared" si="0"/>
        <v>7</v>
      </c>
      <c r="J8" s="554">
        <f t="shared" si="1"/>
        <v>1458.251640488601</v>
      </c>
      <c r="K8" s="194">
        <f t="shared" si="2"/>
        <v>208.32166292694299</v>
      </c>
      <c r="L8" s="653"/>
      <c r="M8" s="471" t="e">
        <f>RANK(K8, K$87:$K$101)</f>
        <v>#N/A</v>
      </c>
      <c r="N8" s="637"/>
      <c r="O8" s="637"/>
      <c r="P8" s="560">
        <v>7</v>
      </c>
      <c r="Q8" s="562">
        <v>1461.7777777777778</v>
      </c>
      <c r="R8" s="562">
        <v>208.82539682539684</v>
      </c>
      <c r="S8" s="561">
        <f t="shared" si="3"/>
        <v>3</v>
      </c>
      <c r="T8" s="694"/>
      <c r="U8" s="560">
        <v>7</v>
      </c>
      <c r="V8" s="562">
        <v>1464.9230769230767</v>
      </c>
      <c r="W8" s="562">
        <v>209.27472527472523</v>
      </c>
      <c r="X8" s="561">
        <f t="shared" si="5"/>
        <v>1</v>
      </c>
      <c r="Y8" s="694"/>
      <c r="Z8" s="560">
        <v>7</v>
      </c>
      <c r="AA8" s="562">
        <v>1470.9523809523805</v>
      </c>
      <c r="AB8" s="562">
        <v>210.13605442176865</v>
      </c>
      <c r="AC8" s="561">
        <f t="shared" si="7"/>
        <v>1</v>
      </c>
      <c r="AD8" s="694"/>
      <c r="AE8" s="560">
        <v>7</v>
      </c>
      <c r="AF8" s="562">
        <v>1464.4444444444443</v>
      </c>
      <c r="AG8" s="562">
        <v>209.20634920634919</v>
      </c>
      <c r="AH8" s="561">
        <f t="shared" si="9"/>
        <v>2</v>
      </c>
      <c r="AI8" s="694"/>
      <c r="AJ8" s="560">
        <v>7</v>
      </c>
      <c r="AK8" s="562">
        <v>1445.5045871559632</v>
      </c>
      <c r="AL8" s="562">
        <v>206.50065530799475</v>
      </c>
      <c r="AM8" s="561">
        <f t="shared" si="11"/>
        <v>3</v>
      </c>
      <c r="AN8" s="694"/>
      <c r="AO8" s="560">
        <v>7</v>
      </c>
      <c r="AP8" s="562">
        <v>1435.6521739130435</v>
      </c>
      <c r="AQ8" s="562">
        <v>205.09316770186336</v>
      </c>
      <c r="AR8" s="561">
        <f t="shared" si="13"/>
        <v>3</v>
      </c>
      <c r="AS8" s="694"/>
      <c r="AT8" s="560">
        <v>7</v>
      </c>
      <c r="AU8" s="562">
        <v>1464.5070422535214</v>
      </c>
      <c r="AV8" s="562">
        <v>209.21529175050304</v>
      </c>
      <c r="AW8" s="561">
        <f t="shared" si="15"/>
        <v>1</v>
      </c>
      <c r="AX8" s="694"/>
      <c r="AZ8" s="358" t="e">
        <f t="shared" si="17"/>
        <v>#N/A</v>
      </c>
      <c r="BA8" s="694"/>
    </row>
    <row r="9" spans="1:53" ht="14.25">
      <c r="A9" s="81"/>
      <c r="B9" s="643"/>
      <c r="C9" s="555">
        <v>3</v>
      </c>
      <c r="D9" s="220" t="s">
        <v>348</v>
      </c>
      <c r="E9" s="559">
        <v>17</v>
      </c>
      <c r="F9" s="553">
        <v>1500</v>
      </c>
      <c r="G9" s="552">
        <v>88.235294117647058</v>
      </c>
      <c r="H9" s="651"/>
      <c r="I9" s="554">
        <f t="shared" si="0"/>
        <v>17</v>
      </c>
      <c r="J9" s="554">
        <f t="shared" si="1"/>
        <v>1332.5739772705881</v>
      </c>
      <c r="K9" s="194">
        <f t="shared" si="2"/>
        <v>78.386704545328712</v>
      </c>
      <c r="L9" s="653"/>
      <c r="M9" s="471" t="e">
        <f>RANK(K9, K$87:$K$101)</f>
        <v>#N/A</v>
      </c>
      <c r="N9" s="637"/>
      <c r="O9" s="637"/>
      <c r="P9" s="560">
        <v>17</v>
      </c>
      <c r="Q9" s="562">
        <v>1354.1999999999994</v>
      </c>
      <c r="R9" s="562">
        <v>79.658823529411734</v>
      </c>
      <c r="S9" s="561">
        <f t="shared" si="3"/>
        <v>8</v>
      </c>
      <c r="T9" s="694"/>
      <c r="U9" s="560">
        <v>17</v>
      </c>
      <c r="V9" s="562">
        <v>1358.8636363636365</v>
      </c>
      <c r="W9" s="562">
        <v>79.933155080213908</v>
      </c>
      <c r="X9" s="561">
        <f t="shared" si="5"/>
        <v>8</v>
      </c>
      <c r="Y9" s="694"/>
      <c r="Z9" s="560">
        <v>17</v>
      </c>
      <c r="AA9" s="562">
        <v>1358.8235294117646</v>
      </c>
      <c r="AB9" s="562">
        <v>79.930795847750858</v>
      </c>
      <c r="AC9" s="561">
        <f t="shared" si="7"/>
        <v>8</v>
      </c>
      <c r="AD9" s="694"/>
      <c r="AE9" s="560">
        <v>17</v>
      </c>
      <c r="AF9" s="562">
        <v>1329.3559322033893</v>
      </c>
      <c r="AG9" s="562">
        <v>78.197407776669962</v>
      </c>
      <c r="AH9" s="561">
        <f t="shared" si="9"/>
        <v>8</v>
      </c>
      <c r="AI9" s="694"/>
      <c r="AJ9" s="560">
        <v>17</v>
      </c>
      <c r="AK9" s="562">
        <v>1249.9200000000046</v>
      </c>
      <c r="AL9" s="562">
        <v>73.524705882353217</v>
      </c>
      <c r="AM9" s="561">
        <f t="shared" si="11"/>
        <v>8</v>
      </c>
      <c r="AN9" s="694"/>
      <c r="AO9" s="560">
        <v>17</v>
      </c>
      <c r="AP9" s="562">
        <v>1343.6619718309862</v>
      </c>
      <c r="AQ9" s="562">
        <v>79.038939519469778</v>
      </c>
      <c r="AR9" s="561">
        <f t="shared" si="13"/>
        <v>8</v>
      </c>
      <c r="AS9" s="694"/>
      <c r="AT9" s="560">
        <v>17</v>
      </c>
      <c r="AU9" s="562">
        <v>1333.192771084337</v>
      </c>
      <c r="AV9" s="562">
        <v>78.423104181431583</v>
      </c>
      <c r="AW9" s="561">
        <f t="shared" si="15"/>
        <v>8</v>
      </c>
      <c r="AX9" s="694"/>
      <c r="AZ9" s="358" t="e">
        <f t="shared" si="17"/>
        <v>#N/A</v>
      </c>
      <c r="BA9" s="694"/>
    </row>
    <row r="10" spans="1:53" ht="14.25">
      <c r="A10" s="81"/>
      <c r="B10" s="643"/>
      <c r="C10" s="555">
        <v>4</v>
      </c>
      <c r="D10" s="220" t="s">
        <v>379</v>
      </c>
      <c r="E10" s="559">
        <v>7</v>
      </c>
      <c r="F10" s="553">
        <v>1500</v>
      </c>
      <c r="G10" s="552">
        <v>214.28571428571428</v>
      </c>
      <c r="H10" s="651"/>
      <c r="I10" s="554">
        <f t="shared" si="0"/>
        <v>7</v>
      </c>
      <c r="J10" s="554">
        <f t="shared" si="1"/>
        <v>1463.610196905792</v>
      </c>
      <c r="K10" s="194">
        <f t="shared" si="2"/>
        <v>209.08717098654168</v>
      </c>
      <c r="L10" s="653"/>
      <c r="M10" s="471" t="e">
        <f>RANK(K10, K$87:$K$101)</f>
        <v>#N/A</v>
      </c>
      <c r="N10" s="637"/>
      <c r="O10" s="637"/>
      <c r="P10" s="560">
        <v>7</v>
      </c>
      <c r="Q10" s="562">
        <v>1474.1007194244601</v>
      </c>
      <c r="R10" s="562">
        <v>210.58581706063714</v>
      </c>
      <c r="S10" s="561">
        <f t="shared" si="3"/>
        <v>1</v>
      </c>
      <c r="T10" s="694"/>
      <c r="U10" s="560">
        <v>7</v>
      </c>
      <c r="V10" s="562">
        <v>1459.8561151079134</v>
      </c>
      <c r="W10" s="562">
        <v>208.55087358684477</v>
      </c>
      <c r="X10" s="561">
        <f t="shared" si="5"/>
        <v>2</v>
      </c>
      <c r="Y10" s="694"/>
      <c r="Z10" s="560">
        <v>7</v>
      </c>
      <c r="AA10" s="562">
        <v>1469.3023255813957</v>
      </c>
      <c r="AB10" s="562">
        <v>209.90033222591367</v>
      </c>
      <c r="AC10" s="561">
        <f t="shared" si="7"/>
        <v>2</v>
      </c>
      <c r="AD10" s="694"/>
      <c r="AE10" s="560">
        <v>7</v>
      </c>
      <c r="AF10" s="562">
        <v>1443.6842105263158</v>
      </c>
      <c r="AG10" s="562">
        <v>206.24060150375939</v>
      </c>
      <c r="AH10" s="561">
        <f t="shared" si="9"/>
        <v>4</v>
      </c>
      <c r="AI10" s="694"/>
      <c r="AJ10" s="560">
        <v>7</v>
      </c>
      <c r="AK10" s="562">
        <v>1476.6101694915253</v>
      </c>
      <c r="AL10" s="562">
        <v>210.94430992736076</v>
      </c>
      <c r="AM10" s="561">
        <f t="shared" si="11"/>
        <v>1</v>
      </c>
      <c r="AN10" s="694"/>
      <c r="AO10" s="560">
        <v>7</v>
      </c>
      <c r="AP10" s="562">
        <v>1476.6878980891718</v>
      </c>
      <c r="AQ10" s="562">
        <v>210.95541401273883</v>
      </c>
      <c r="AR10" s="561">
        <f t="shared" si="13"/>
        <v>1</v>
      </c>
      <c r="AS10" s="694"/>
      <c r="AT10" s="560">
        <v>7</v>
      </c>
      <c r="AU10" s="562">
        <v>1445.0299401197603</v>
      </c>
      <c r="AV10" s="562">
        <v>206.43284858853718</v>
      </c>
      <c r="AW10" s="561">
        <f t="shared" si="15"/>
        <v>4</v>
      </c>
      <c r="AX10" s="694"/>
      <c r="AZ10" s="358" t="e">
        <f t="shared" si="17"/>
        <v>#N/A</v>
      </c>
      <c r="BA10" s="694"/>
    </row>
    <row r="11" spans="1:53" ht="14.25">
      <c r="A11" s="81"/>
      <c r="B11" s="643"/>
      <c r="C11" s="555">
        <v>5</v>
      </c>
      <c r="D11" s="220" t="s">
        <v>551</v>
      </c>
      <c r="E11" s="559">
        <v>12</v>
      </c>
      <c r="F11" s="553">
        <v>2000</v>
      </c>
      <c r="G11" s="552">
        <v>166.66666666666666</v>
      </c>
      <c r="H11" s="651"/>
      <c r="I11" s="554">
        <f t="shared" si="0"/>
        <v>12</v>
      </c>
      <c r="J11" s="554">
        <f t="shared" si="1"/>
        <v>1554.1737107763026</v>
      </c>
      <c r="K11" s="194">
        <f t="shared" si="2"/>
        <v>129.51447589802524</v>
      </c>
      <c r="L11" s="653"/>
      <c r="M11" s="471" t="e">
        <f>RANK(K11, K$87:$K$101)</f>
        <v>#N/A</v>
      </c>
      <c r="N11" s="637"/>
      <c r="O11" s="637"/>
      <c r="P11" s="560">
        <v>12</v>
      </c>
      <c r="Q11" s="562">
        <v>1527.0769230769222</v>
      </c>
      <c r="R11" s="562">
        <v>127.25641025641018</v>
      </c>
      <c r="S11" s="561">
        <f t="shared" si="3"/>
        <v>7</v>
      </c>
      <c r="T11" s="694"/>
      <c r="U11" s="560">
        <v>12</v>
      </c>
      <c r="V11" s="562">
        <v>1559.3846153846143</v>
      </c>
      <c r="W11" s="562">
        <v>129.94871794871787</v>
      </c>
      <c r="X11" s="561">
        <f t="shared" si="5"/>
        <v>6</v>
      </c>
      <c r="Y11" s="694"/>
      <c r="Z11" s="560">
        <v>12</v>
      </c>
      <c r="AA11" s="562">
        <v>1544.3076923076912</v>
      </c>
      <c r="AB11" s="562">
        <v>128.69230769230759</v>
      </c>
      <c r="AC11" s="561">
        <f t="shared" si="7"/>
        <v>6</v>
      </c>
      <c r="AD11" s="694"/>
      <c r="AE11" s="560">
        <v>12</v>
      </c>
      <c r="AF11" s="562">
        <v>1571.6129032258077</v>
      </c>
      <c r="AG11" s="562">
        <v>130.96774193548399</v>
      </c>
      <c r="AH11" s="561">
        <f t="shared" si="9"/>
        <v>6</v>
      </c>
      <c r="AI11" s="694"/>
      <c r="AJ11" s="560">
        <v>12</v>
      </c>
      <c r="AK11" s="562">
        <v>1577.0322580645175</v>
      </c>
      <c r="AL11" s="562">
        <v>131.41935483870978</v>
      </c>
      <c r="AM11" s="561">
        <f t="shared" si="11"/>
        <v>6</v>
      </c>
      <c r="AN11" s="694"/>
      <c r="AO11" s="560">
        <v>12</v>
      </c>
      <c r="AP11" s="562">
        <v>1557.4186046511625</v>
      </c>
      <c r="AQ11" s="562">
        <v>129.7848837209302</v>
      </c>
      <c r="AR11" s="561">
        <f t="shared" si="13"/>
        <v>6</v>
      </c>
      <c r="AS11" s="694"/>
      <c r="AT11" s="560">
        <v>12</v>
      </c>
      <c r="AU11" s="562">
        <v>1542.3829787234042</v>
      </c>
      <c r="AV11" s="562">
        <v>128.53191489361703</v>
      </c>
      <c r="AW11" s="561">
        <f t="shared" si="15"/>
        <v>6</v>
      </c>
      <c r="AX11" s="694"/>
      <c r="AZ11" s="358" t="e">
        <f t="shared" si="17"/>
        <v>#N/A</v>
      </c>
      <c r="BA11" s="694"/>
    </row>
    <row r="12" spans="1:53" ht="14.25">
      <c r="A12" s="81"/>
      <c r="B12" s="643"/>
      <c r="C12" s="555">
        <v>6</v>
      </c>
      <c r="D12" s="220" t="s">
        <v>574</v>
      </c>
      <c r="E12" s="559">
        <v>12</v>
      </c>
      <c r="F12" s="553">
        <v>2000</v>
      </c>
      <c r="G12" s="552">
        <v>166.66666666666666</v>
      </c>
      <c r="H12" s="651"/>
      <c r="I12" s="554">
        <f t="shared" si="0"/>
        <v>12</v>
      </c>
      <c r="J12" s="554">
        <f t="shared" si="1"/>
        <v>1638.0363145258107</v>
      </c>
      <c r="K12" s="194">
        <f t="shared" si="2"/>
        <v>136.50302621048422</v>
      </c>
      <c r="L12" s="653"/>
      <c r="M12" s="471" t="e">
        <f>RANK(K12, K$87:$K$101)</f>
        <v>#N/A</v>
      </c>
      <c r="N12" s="637"/>
      <c r="O12" s="637"/>
      <c r="P12" s="560">
        <v>12</v>
      </c>
      <c r="Q12" s="562">
        <v>1653.1666666666665</v>
      </c>
      <c r="R12" s="562">
        <v>137.76388888888889</v>
      </c>
      <c r="S12" s="561">
        <f t="shared" si="3"/>
        <v>5</v>
      </c>
      <c r="T12" s="694"/>
      <c r="U12" s="560">
        <v>12</v>
      </c>
      <c r="V12" s="562">
        <v>1632.6470588235288</v>
      </c>
      <c r="W12" s="562">
        <v>136.0539215686274</v>
      </c>
      <c r="X12" s="561">
        <f t="shared" si="5"/>
        <v>5</v>
      </c>
      <c r="Y12" s="694"/>
      <c r="Z12" s="560">
        <v>12</v>
      </c>
      <c r="AA12" s="562">
        <v>1637.2499999999995</v>
      </c>
      <c r="AB12" s="562">
        <v>136.43749999999997</v>
      </c>
      <c r="AC12" s="561">
        <f t="shared" si="7"/>
        <v>5</v>
      </c>
      <c r="AD12" s="694"/>
      <c r="AE12" s="560">
        <v>12</v>
      </c>
      <c r="AF12" s="562">
        <v>1631.0000000000005</v>
      </c>
      <c r="AG12" s="562">
        <v>135.91666666666671</v>
      </c>
      <c r="AH12" s="561">
        <f t="shared" si="9"/>
        <v>5</v>
      </c>
      <c r="AI12" s="694"/>
      <c r="AJ12" s="560">
        <v>12</v>
      </c>
      <c r="AK12" s="562">
        <v>1616.1904761904768</v>
      </c>
      <c r="AL12" s="562">
        <v>134.68253968253973</v>
      </c>
      <c r="AM12" s="561">
        <f t="shared" si="11"/>
        <v>5</v>
      </c>
      <c r="AN12" s="694"/>
      <c r="AO12" s="560">
        <v>12</v>
      </c>
      <c r="AP12" s="562">
        <v>1644.6666666666672</v>
      </c>
      <c r="AQ12" s="562">
        <v>137.0555555555556</v>
      </c>
      <c r="AR12" s="561">
        <f t="shared" si="13"/>
        <v>5</v>
      </c>
      <c r="AS12" s="694"/>
      <c r="AT12" s="560">
        <v>12</v>
      </c>
      <c r="AU12" s="562">
        <v>1651.3333333333337</v>
      </c>
      <c r="AV12" s="562">
        <v>137.61111111111114</v>
      </c>
      <c r="AW12" s="561">
        <f t="shared" si="15"/>
        <v>5</v>
      </c>
      <c r="AX12" s="694"/>
      <c r="AZ12" s="358" t="e">
        <f t="shared" si="17"/>
        <v>#N/A</v>
      </c>
      <c r="BA12" s="694"/>
    </row>
    <row r="13" spans="1:53" ht="14.25">
      <c r="A13" s="81"/>
      <c r="B13" s="643"/>
      <c r="C13" s="555">
        <v>7</v>
      </c>
      <c r="D13" s="220" t="s">
        <v>575</v>
      </c>
      <c r="E13" s="559">
        <v>12</v>
      </c>
      <c r="F13" s="553">
        <v>2000</v>
      </c>
      <c r="G13" s="552">
        <v>166.66666666666666</v>
      </c>
      <c r="H13" s="651"/>
      <c r="I13" s="554">
        <f t="shared" si="0"/>
        <v>11.142857142857142</v>
      </c>
      <c r="J13" s="554">
        <f t="shared" si="1"/>
        <v>1255.8131960918331</v>
      </c>
      <c r="K13" s="194">
        <f t="shared" si="2"/>
        <v>113.76729926420323</v>
      </c>
      <c r="L13" s="653"/>
      <c r="M13" s="471" t="e">
        <f>RANK(K13, K$87:$K$101)</f>
        <v>#N/A</v>
      </c>
      <c r="N13" s="637"/>
      <c r="O13" s="637"/>
      <c r="P13" s="560">
        <v>10</v>
      </c>
      <c r="Q13" s="562">
        <v>1275.7894736842095</v>
      </c>
      <c r="R13" s="562">
        <v>127.57894736842096</v>
      </c>
      <c r="S13" s="561">
        <f t="shared" si="3"/>
        <v>6</v>
      </c>
      <c r="T13" s="694"/>
      <c r="U13" s="560">
        <v>12</v>
      </c>
      <c r="V13" s="562">
        <v>1274.1176470588221</v>
      </c>
      <c r="W13" s="562">
        <v>106.17647058823518</v>
      </c>
      <c r="X13" s="561">
        <f t="shared" si="5"/>
        <v>7</v>
      </c>
      <c r="Y13" s="694"/>
      <c r="Z13" s="560">
        <v>12</v>
      </c>
      <c r="AA13" s="562">
        <v>1218.9473684210516</v>
      </c>
      <c r="AB13" s="562">
        <v>101.57894736842097</v>
      </c>
      <c r="AC13" s="561">
        <f t="shared" si="7"/>
        <v>7</v>
      </c>
      <c r="AD13" s="694"/>
      <c r="AE13" s="560">
        <v>12</v>
      </c>
      <c r="AF13" s="562">
        <v>1229.9999999999961</v>
      </c>
      <c r="AG13" s="562">
        <v>102.49999999999967</v>
      </c>
      <c r="AH13" s="561">
        <f t="shared" si="9"/>
        <v>7</v>
      </c>
      <c r="AI13" s="694"/>
      <c r="AJ13" s="560">
        <v>10</v>
      </c>
      <c r="AK13" s="562">
        <v>1270.9090909090955</v>
      </c>
      <c r="AL13" s="562">
        <v>127.09090909090955</v>
      </c>
      <c r="AM13" s="561">
        <f t="shared" si="11"/>
        <v>7</v>
      </c>
      <c r="AN13" s="694"/>
      <c r="AO13" s="560">
        <v>12</v>
      </c>
      <c r="AP13" s="562">
        <v>1238.823529411763</v>
      </c>
      <c r="AQ13" s="562">
        <v>103.23529411764692</v>
      </c>
      <c r="AR13" s="561">
        <f t="shared" si="13"/>
        <v>7</v>
      </c>
      <c r="AS13" s="694"/>
      <c r="AT13" s="560">
        <v>10</v>
      </c>
      <c r="AU13" s="562">
        <v>1282.1052631578939</v>
      </c>
      <c r="AV13" s="562">
        <v>128.21052631578939</v>
      </c>
      <c r="AW13" s="561">
        <f t="shared" si="15"/>
        <v>7</v>
      </c>
      <c r="AX13" s="694"/>
      <c r="AZ13" s="358" t="e">
        <f t="shared" si="17"/>
        <v>#N/A</v>
      </c>
      <c r="BA13" s="694"/>
    </row>
    <row r="14" spans="1:53" ht="14.25">
      <c r="A14" s="81"/>
      <c r="B14" s="643"/>
      <c r="C14" s="555">
        <v>8</v>
      </c>
      <c r="D14" s="220" t="s">
        <v>581</v>
      </c>
      <c r="E14" s="559">
        <v>7</v>
      </c>
      <c r="F14" s="553">
        <v>1500</v>
      </c>
      <c r="G14" s="552">
        <v>214.28571428571428</v>
      </c>
      <c r="H14" s="651"/>
      <c r="I14" s="554">
        <f t="shared" si="0"/>
        <v>7</v>
      </c>
      <c r="J14" s="554">
        <f t="shared" si="1"/>
        <v>1450.0413950914169</v>
      </c>
      <c r="K14" s="194">
        <f t="shared" si="2"/>
        <v>207.14877072734529</v>
      </c>
      <c r="L14" s="653"/>
      <c r="M14" s="471" t="e">
        <f>RANK(K14, K$87:$K$101)</f>
        <v>#N/A</v>
      </c>
      <c r="N14" s="637"/>
      <c r="O14" s="637"/>
      <c r="P14" s="560">
        <v>7</v>
      </c>
      <c r="Q14" s="562">
        <v>1473.7500000000005</v>
      </c>
      <c r="R14" s="562">
        <v>210.53571428571436</v>
      </c>
      <c r="S14" s="561">
        <f t="shared" si="3"/>
        <v>2</v>
      </c>
      <c r="T14" s="694"/>
      <c r="U14" s="560">
        <v>7</v>
      </c>
      <c r="V14" s="562">
        <v>1443.1578947368432</v>
      </c>
      <c r="W14" s="562">
        <v>206.16541353383474</v>
      </c>
      <c r="X14" s="561">
        <f t="shared" si="5"/>
        <v>3</v>
      </c>
      <c r="Y14" s="694"/>
      <c r="Z14" s="560">
        <v>7</v>
      </c>
      <c r="AA14" s="562">
        <v>1435.6363636363646</v>
      </c>
      <c r="AB14" s="562">
        <v>205.09090909090924</v>
      </c>
      <c r="AC14" s="561">
        <f t="shared" si="7"/>
        <v>4</v>
      </c>
      <c r="AD14" s="694"/>
      <c r="AE14" s="560">
        <v>7</v>
      </c>
      <c r="AF14" s="562">
        <v>1447.6923076923067</v>
      </c>
      <c r="AG14" s="562">
        <v>206.81318681318666</v>
      </c>
      <c r="AH14" s="561">
        <f t="shared" si="9"/>
        <v>3</v>
      </c>
      <c r="AI14" s="694"/>
      <c r="AJ14" s="560">
        <v>7</v>
      </c>
      <c r="AK14" s="562">
        <v>1464.4444444444453</v>
      </c>
      <c r="AL14" s="562">
        <v>209.20634920634933</v>
      </c>
      <c r="AM14" s="561">
        <f t="shared" si="11"/>
        <v>2</v>
      </c>
      <c r="AN14" s="694"/>
      <c r="AO14" s="560">
        <v>7</v>
      </c>
      <c r="AP14" s="562">
        <v>1423.2558139534881</v>
      </c>
      <c r="AQ14" s="562">
        <v>203.32225913621258</v>
      </c>
      <c r="AR14" s="561">
        <f t="shared" si="13"/>
        <v>4</v>
      </c>
      <c r="AS14" s="694"/>
      <c r="AT14" s="560">
        <v>7</v>
      </c>
      <c r="AU14" s="562">
        <v>1462.3529411764712</v>
      </c>
      <c r="AV14" s="562">
        <v>208.90756302521018</v>
      </c>
      <c r="AW14" s="561">
        <f t="shared" si="15"/>
        <v>2</v>
      </c>
      <c r="AX14" s="694"/>
      <c r="AZ14" s="358" t="e">
        <f t="shared" si="17"/>
        <v>#N/A</v>
      </c>
      <c r="BA14" s="694"/>
    </row>
    <row r="15" spans="1:53" ht="14.25">
      <c r="A15" s="81"/>
      <c r="B15" s="643"/>
      <c r="C15" s="555">
        <v>9</v>
      </c>
      <c r="D15" s="220"/>
      <c r="E15" s="559" t="s">
        <v>557</v>
      </c>
      <c r="F15" s="553" t="s">
        <v>557</v>
      </c>
      <c r="G15" s="552" t="s">
        <v>557</v>
      </c>
      <c r="H15" s="651"/>
      <c r="I15" s="554" t="str">
        <f t="shared" si="0"/>
        <v>-</v>
      </c>
      <c r="J15" s="554" t="str">
        <f t="shared" si="1"/>
        <v>-</v>
      </c>
      <c r="K15" s="194" t="str">
        <f t="shared" si="2"/>
        <v>-</v>
      </c>
      <c r="L15" s="653"/>
      <c r="M15" s="471" t="e">
        <f>RANK(K15, K$87:$K$101)</f>
        <v>#VALUE!</v>
      </c>
      <c r="N15" s="637"/>
      <c r="O15" s="637"/>
      <c r="P15" s="560" t="s">
        <v>557</v>
      </c>
      <c r="Q15" s="562" t="s">
        <v>557</v>
      </c>
      <c r="R15" s="562" t="s">
        <v>557</v>
      </c>
      <c r="S15" s="561" t="e">
        <f t="shared" si="3"/>
        <v>#VALUE!</v>
      </c>
      <c r="T15" s="694"/>
      <c r="U15" s="560" t="s">
        <v>557</v>
      </c>
      <c r="V15" s="562" t="s">
        <v>557</v>
      </c>
      <c r="W15" s="562" t="s">
        <v>557</v>
      </c>
      <c r="X15" s="561" t="e">
        <f t="shared" si="5"/>
        <v>#VALUE!</v>
      </c>
      <c r="Y15" s="694"/>
      <c r="Z15" s="560" t="s">
        <v>557</v>
      </c>
      <c r="AA15" s="562" t="s">
        <v>557</v>
      </c>
      <c r="AB15" s="562" t="s">
        <v>557</v>
      </c>
      <c r="AC15" s="561" t="e">
        <f t="shared" si="7"/>
        <v>#VALUE!</v>
      </c>
      <c r="AD15" s="694"/>
      <c r="AE15" s="560" t="s">
        <v>557</v>
      </c>
      <c r="AF15" s="562" t="s">
        <v>557</v>
      </c>
      <c r="AG15" s="562" t="s">
        <v>557</v>
      </c>
      <c r="AH15" s="561" t="e">
        <f t="shared" si="9"/>
        <v>#VALUE!</v>
      </c>
      <c r="AI15" s="694"/>
      <c r="AJ15" s="560" t="s">
        <v>557</v>
      </c>
      <c r="AK15" s="562" t="s">
        <v>557</v>
      </c>
      <c r="AL15" s="562" t="s">
        <v>557</v>
      </c>
      <c r="AM15" s="561" t="e">
        <f t="shared" si="11"/>
        <v>#VALUE!</v>
      </c>
      <c r="AN15" s="694"/>
      <c r="AO15" s="560" t="s">
        <v>557</v>
      </c>
      <c r="AP15" s="562" t="s">
        <v>557</v>
      </c>
      <c r="AQ15" s="562" t="s">
        <v>557</v>
      </c>
      <c r="AR15" s="561" t="e">
        <f t="shared" si="13"/>
        <v>#VALUE!</v>
      </c>
      <c r="AS15" s="694"/>
      <c r="AT15" s="560" t="s">
        <v>557</v>
      </c>
      <c r="AU15" s="562" t="s">
        <v>557</v>
      </c>
      <c r="AV15" s="562" t="s">
        <v>557</v>
      </c>
      <c r="AW15" s="561" t="e">
        <f t="shared" si="15"/>
        <v>#VALUE!</v>
      </c>
      <c r="AX15" s="694"/>
      <c r="AZ15" s="358" t="e">
        <f t="shared" si="17"/>
        <v>#N/A</v>
      </c>
      <c r="BA15" s="694"/>
    </row>
    <row r="16" spans="1:53" ht="14.25">
      <c r="A16" s="81"/>
      <c r="B16" s="643"/>
      <c r="C16" s="555">
        <v>10</v>
      </c>
      <c r="D16" s="220"/>
      <c r="E16" s="559"/>
      <c r="F16" s="553"/>
      <c r="G16" s="552"/>
      <c r="H16" s="651"/>
      <c r="I16" s="554" t="str">
        <f t="shared" si="0"/>
        <v>-</v>
      </c>
      <c r="J16" s="554" t="str">
        <f t="shared" si="1"/>
        <v>-</v>
      </c>
      <c r="K16" s="194" t="str">
        <f t="shared" si="2"/>
        <v>-</v>
      </c>
      <c r="L16" s="653"/>
      <c r="M16" s="471" t="e">
        <f>RANK(K16, K$87:$K$101)</f>
        <v>#VALUE!</v>
      </c>
      <c r="N16" s="637"/>
      <c r="O16" s="637"/>
      <c r="P16" s="560" t="s">
        <v>557</v>
      </c>
      <c r="Q16" s="562" t="s">
        <v>557</v>
      </c>
      <c r="R16" s="562" t="s">
        <v>557</v>
      </c>
      <c r="S16" s="561" t="e">
        <f t="shared" si="3"/>
        <v>#VALUE!</v>
      </c>
      <c r="T16" s="694"/>
      <c r="U16" s="560" t="s">
        <v>557</v>
      </c>
      <c r="V16" s="562" t="s">
        <v>557</v>
      </c>
      <c r="W16" s="562" t="s">
        <v>557</v>
      </c>
      <c r="X16" s="561" t="e">
        <f t="shared" si="5"/>
        <v>#VALUE!</v>
      </c>
      <c r="Y16" s="694"/>
      <c r="Z16" s="560" t="s">
        <v>557</v>
      </c>
      <c r="AA16" s="562" t="s">
        <v>557</v>
      </c>
      <c r="AB16" s="562" t="s">
        <v>557</v>
      </c>
      <c r="AC16" s="561" t="e">
        <f t="shared" si="7"/>
        <v>#VALUE!</v>
      </c>
      <c r="AD16" s="694"/>
      <c r="AE16" s="560" t="s">
        <v>557</v>
      </c>
      <c r="AF16" s="562" t="s">
        <v>557</v>
      </c>
      <c r="AG16" s="562" t="s">
        <v>557</v>
      </c>
      <c r="AH16" s="561" t="e">
        <f t="shared" si="9"/>
        <v>#VALUE!</v>
      </c>
      <c r="AI16" s="694"/>
      <c r="AJ16" s="560" t="s">
        <v>557</v>
      </c>
      <c r="AK16" s="562" t="s">
        <v>557</v>
      </c>
      <c r="AL16" s="562" t="s">
        <v>557</v>
      </c>
      <c r="AM16" s="561" t="e">
        <f t="shared" si="11"/>
        <v>#VALUE!</v>
      </c>
      <c r="AN16" s="694"/>
      <c r="AO16" s="560" t="s">
        <v>557</v>
      </c>
      <c r="AP16" s="562" t="s">
        <v>557</v>
      </c>
      <c r="AQ16" s="562" t="s">
        <v>557</v>
      </c>
      <c r="AR16" s="561" t="e">
        <f t="shared" si="13"/>
        <v>#VALUE!</v>
      </c>
      <c r="AS16" s="694"/>
      <c r="AT16" s="560" t="s">
        <v>557</v>
      </c>
      <c r="AU16" s="562" t="s">
        <v>557</v>
      </c>
      <c r="AV16" s="562" t="s">
        <v>557</v>
      </c>
      <c r="AW16" s="561" t="e">
        <f t="shared" si="15"/>
        <v>#VALUE!</v>
      </c>
      <c r="AX16" s="694"/>
      <c r="AZ16" s="358" t="e">
        <f t="shared" si="17"/>
        <v>#N/A</v>
      </c>
      <c r="BA16" s="694"/>
    </row>
    <row r="17" spans="2:53">
      <c r="B17" s="643"/>
      <c r="C17" s="555">
        <v>11</v>
      </c>
      <c r="D17" s="220"/>
      <c r="E17" s="559"/>
      <c r="F17" s="553"/>
      <c r="G17" s="552"/>
      <c r="H17" s="651"/>
      <c r="I17" s="554" t="str">
        <f t="shared" si="0"/>
        <v>-</v>
      </c>
      <c r="J17" s="554" t="str">
        <f t="shared" si="1"/>
        <v>-</v>
      </c>
      <c r="K17" s="194" t="str">
        <f t="shared" si="2"/>
        <v>-</v>
      </c>
      <c r="L17" s="653"/>
      <c r="M17" s="471" t="e">
        <f>RANK(K17, K$87:$K$101)</f>
        <v>#VALUE!</v>
      </c>
      <c r="N17" s="637"/>
      <c r="O17" s="637"/>
      <c r="P17" s="560" t="s">
        <v>557</v>
      </c>
      <c r="Q17" s="562" t="s">
        <v>557</v>
      </c>
      <c r="R17" s="562" t="s">
        <v>557</v>
      </c>
      <c r="S17" s="561" t="e">
        <f t="shared" si="3"/>
        <v>#VALUE!</v>
      </c>
      <c r="T17" s="694"/>
      <c r="U17" s="560" t="s">
        <v>557</v>
      </c>
      <c r="V17" s="562" t="s">
        <v>557</v>
      </c>
      <c r="W17" s="562" t="s">
        <v>557</v>
      </c>
      <c r="X17" s="561" t="e">
        <f t="shared" si="5"/>
        <v>#VALUE!</v>
      </c>
      <c r="Y17" s="694"/>
      <c r="Z17" s="560" t="s">
        <v>557</v>
      </c>
      <c r="AA17" s="562" t="s">
        <v>557</v>
      </c>
      <c r="AB17" s="562" t="s">
        <v>557</v>
      </c>
      <c r="AC17" s="561" t="e">
        <f t="shared" si="7"/>
        <v>#VALUE!</v>
      </c>
      <c r="AD17" s="694"/>
      <c r="AE17" s="560" t="s">
        <v>557</v>
      </c>
      <c r="AF17" s="562" t="s">
        <v>557</v>
      </c>
      <c r="AG17" s="562" t="s">
        <v>557</v>
      </c>
      <c r="AH17" s="561" t="e">
        <f t="shared" si="9"/>
        <v>#VALUE!</v>
      </c>
      <c r="AI17" s="694"/>
      <c r="AJ17" s="560" t="s">
        <v>557</v>
      </c>
      <c r="AK17" s="562" t="s">
        <v>557</v>
      </c>
      <c r="AL17" s="562" t="s">
        <v>557</v>
      </c>
      <c r="AM17" s="561" t="e">
        <f t="shared" si="11"/>
        <v>#VALUE!</v>
      </c>
      <c r="AN17" s="694"/>
      <c r="AO17" s="560" t="s">
        <v>557</v>
      </c>
      <c r="AP17" s="562" t="s">
        <v>557</v>
      </c>
      <c r="AQ17" s="562" t="s">
        <v>557</v>
      </c>
      <c r="AR17" s="561" t="e">
        <f t="shared" si="13"/>
        <v>#VALUE!</v>
      </c>
      <c r="AS17" s="694"/>
      <c r="AT17" s="560" t="s">
        <v>557</v>
      </c>
      <c r="AU17" s="562" t="s">
        <v>557</v>
      </c>
      <c r="AV17" s="562" t="s">
        <v>557</v>
      </c>
      <c r="AW17" s="561" t="e">
        <f t="shared" si="15"/>
        <v>#VALUE!</v>
      </c>
      <c r="AX17" s="694"/>
      <c r="AZ17" s="358" t="e">
        <f t="shared" si="17"/>
        <v>#N/A</v>
      </c>
      <c r="BA17" s="694"/>
    </row>
    <row r="18" spans="2:53">
      <c r="B18" s="643"/>
      <c r="C18" s="555">
        <v>12</v>
      </c>
      <c r="D18" s="220"/>
      <c r="E18" s="559"/>
      <c r="F18" s="553"/>
      <c r="G18" s="552"/>
      <c r="H18" s="651"/>
      <c r="I18" s="554" t="str">
        <f t="shared" si="0"/>
        <v>-</v>
      </c>
      <c r="J18" s="554" t="str">
        <f t="shared" si="1"/>
        <v>-</v>
      </c>
      <c r="K18" s="194" t="str">
        <f t="shared" si="2"/>
        <v>-</v>
      </c>
      <c r="L18" s="653"/>
      <c r="M18" s="471" t="e">
        <f>RANK(K18, K$87:$K$101)</f>
        <v>#VALUE!</v>
      </c>
      <c r="N18" s="637"/>
      <c r="O18" s="637"/>
      <c r="P18" s="560" t="s">
        <v>557</v>
      </c>
      <c r="Q18" s="562" t="s">
        <v>557</v>
      </c>
      <c r="R18" s="562" t="s">
        <v>557</v>
      </c>
      <c r="S18" s="561" t="e">
        <f t="shared" si="3"/>
        <v>#VALUE!</v>
      </c>
      <c r="T18" s="694"/>
      <c r="U18" s="560" t="s">
        <v>557</v>
      </c>
      <c r="V18" s="562" t="s">
        <v>557</v>
      </c>
      <c r="W18" s="562" t="s">
        <v>557</v>
      </c>
      <c r="X18" s="561" t="e">
        <f t="shared" si="5"/>
        <v>#VALUE!</v>
      </c>
      <c r="Y18" s="694"/>
      <c r="Z18" s="560" t="s">
        <v>557</v>
      </c>
      <c r="AA18" s="562" t="s">
        <v>557</v>
      </c>
      <c r="AB18" s="562" t="s">
        <v>557</v>
      </c>
      <c r="AC18" s="561" t="e">
        <f t="shared" si="7"/>
        <v>#VALUE!</v>
      </c>
      <c r="AD18" s="694"/>
      <c r="AE18" s="560" t="s">
        <v>557</v>
      </c>
      <c r="AF18" s="562" t="s">
        <v>557</v>
      </c>
      <c r="AG18" s="562" t="s">
        <v>557</v>
      </c>
      <c r="AH18" s="561" t="e">
        <f t="shared" si="9"/>
        <v>#VALUE!</v>
      </c>
      <c r="AI18" s="694"/>
      <c r="AJ18" s="560" t="s">
        <v>557</v>
      </c>
      <c r="AK18" s="562" t="s">
        <v>557</v>
      </c>
      <c r="AL18" s="562" t="s">
        <v>557</v>
      </c>
      <c r="AM18" s="561" t="e">
        <f t="shared" si="11"/>
        <v>#VALUE!</v>
      </c>
      <c r="AN18" s="694"/>
      <c r="AO18" s="560" t="s">
        <v>557</v>
      </c>
      <c r="AP18" s="562" t="s">
        <v>557</v>
      </c>
      <c r="AQ18" s="562" t="s">
        <v>557</v>
      </c>
      <c r="AR18" s="561" t="e">
        <f t="shared" si="13"/>
        <v>#VALUE!</v>
      </c>
      <c r="AS18" s="694"/>
      <c r="AT18" s="560" t="s">
        <v>557</v>
      </c>
      <c r="AU18" s="562" t="s">
        <v>557</v>
      </c>
      <c r="AV18" s="562" t="s">
        <v>557</v>
      </c>
      <c r="AW18" s="561" t="e">
        <f t="shared" si="15"/>
        <v>#VALUE!</v>
      </c>
      <c r="AX18" s="694"/>
      <c r="AZ18" s="358" t="e">
        <f t="shared" si="17"/>
        <v>#N/A</v>
      </c>
      <c r="BA18" s="694"/>
    </row>
    <row r="19" spans="2:53">
      <c r="B19" s="643"/>
      <c r="C19" s="555">
        <v>13</v>
      </c>
      <c r="D19" s="220"/>
      <c r="E19" s="559"/>
      <c r="F19" s="553"/>
      <c r="G19" s="552"/>
      <c r="H19" s="651"/>
      <c r="I19" s="554" t="str">
        <f t="shared" si="0"/>
        <v>-</v>
      </c>
      <c r="J19" s="554" t="str">
        <f t="shared" si="1"/>
        <v>-</v>
      </c>
      <c r="K19" s="194" t="str">
        <f t="shared" si="2"/>
        <v>-</v>
      </c>
      <c r="L19" s="653"/>
      <c r="M19" s="471" t="e">
        <f>RANK(K19, K$87:$K$101)</f>
        <v>#VALUE!</v>
      </c>
      <c r="N19" s="637"/>
      <c r="O19" s="637"/>
      <c r="P19" s="560" t="s">
        <v>557</v>
      </c>
      <c r="Q19" s="562" t="s">
        <v>557</v>
      </c>
      <c r="R19" s="562" t="s">
        <v>557</v>
      </c>
      <c r="S19" s="561" t="e">
        <f t="shared" si="3"/>
        <v>#VALUE!</v>
      </c>
      <c r="T19" s="694"/>
      <c r="U19" s="560" t="s">
        <v>557</v>
      </c>
      <c r="V19" s="562" t="s">
        <v>557</v>
      </c>
      <c r="W19" s="562" t="s">
        <v>557</v>
      </c>
      <c r="X19" s="561" t="e">
        <f t="shared" si="5"/>
        <v>#VALUE!</v>
      </c>
      <c r="Y19" s="694"/>
      <c r="Z19" s="560" t="s">
        <v>557</v>
      </c>
      <c r="AA19" s="562" t="s">
        <v>557</v>
      </c>
      <c r="AB19" s="562" t="s">
        <v>557</v>
      </c>
      <c r="AC19" s="561" t="e">
        <f t="shared" si="7"/>
        <v>#VALUE!</v>
      </c>
      <c r="AD19" s="694"/>
      <c r="AE19" s="560" t="s">
        <v>557</v>
      </c>
      <c r="AF19" s="562" t="s">
        <v>557</v>
      </c>
      <c r="AG19" s="562" t="s">
        <v>557</v>
      </c>
      <c r="AH19" s="561" t="e">
        <f t="shared" si="9"/>
        <v>#VALUE!</v>
      </c>
      <c r="AI19" s="694"/>
      <c r="AJ19" s="560" t="s">
        <v>557</v>
      </c>
      <c r="AK19" s="562" t="s">
        <v>557</v>
      </c>
      <c r="AL19" s="562" t="s">
        <v>557</v>
      </c>
      <c r="AM19" s="561" t="e">
        <f t="shared" si="11"/>
        <v>#VALUE!</v>
      </c>
      <c r="AN19" s="694"/>
      <c r="AO19" s="560" t="s">
        <v>557</v>
      </c>
      <c r="AP19" s="562" t="s">
        <v>557</v>
      </c>
      <c r="AQ19" s="562" t="s">
        <v>557</v>
      </c>
      <c r="AR19" s="561" t="e">
        <f t="shared" si="13"/>
        <v>#VALUE!</v>
      </c>
      <c r="AS19" s="694"/>
      <c r="AT19" s="560" t="s">
        <v>557</v>
      </c>
      <c r="AU19" s="562" t="s">
        <v>557</v>
      </c>
      <c r="AV19" s="562" t="s">
        <v>557</v>
      </c>
      <c r="AW19" s="561" t="e">
        <f t="shared" si="15"/>
        <v>#VALUE!</v>
      </c>
      <c r="AX19" s="694"/>
      <c r="AZ19" s="358" t="e">
        <f t="shared" si="17"/>
        <v>#N/A</v>
      </c>
      <c r="BA19" s="694"/>
    </row>
    <row r="20" spans="2:53">
      <c r="B20" s="643"/>
      <c r="C20" s="555">
        <v>14</v>
      </c>
      <c r="D20" s="220"/>
      <c r="E20" s="559"/>
      <c r="F20" s="553"/>
      <c r="G20" s="552"/>
      <c r="H20" s="651"/>
      <c r="I20" s="554" t="str">
        <f t="shared" si="0"/>
        <v>-</v>
      </c>
      <c r="J20" s="554" t="str">
        <f t="shared" si="1"/>
        <v>-</v>
      </c>
      <c r="K20" s="194" t="str">
        <f t="shared" si="2"/>
        <v>-</v>
      </c>
      <c r="L20" s="653"/>
      <c r="M20" s="471" t="e">
        <f>RANK(K20, K$87:$K$101)</f>
        <v>#VALUE!</v>
      </c>
      <c r="N20" s="637"/>
      <c r="O20" s="637"/>
      <c r="P20" s="560" t="s">
        <v>557</v>
      </c>
      <c r="Q20" s="562" t="s">
        <v>557</v>
      </c>
      <c r="R20" s="562" t="s">
        <v>557</v>
      </c>
      <c r="S20" s="561" t="e">
        <f t="shared" si="3"/>
        <v>#VALUE!</v>
      </c>
      <c r="T20" s="694"/>
      <c r="U20" s="560" t="s">
        <v>557</v>
      </c>
      <c r="V20" s="562" t="s">
        <v>557</v>
      </c>
      <c r="W20" s="562" t="s">
        <v>557</v>
      </c>
      <c r="X20" s="561" t="e">
        <f t="shared" si="5"/>
        <v>#VALUE!</v>
      </c>
      <c r="Y20" s="694"/>
      <c r="Z20" s="560" t="s">
        <v>557</v>
      </c>
      <c r="AA20" s="562" t="s">
        <v>557</v>
      </c>
      <c r="AB20" s="562" t="s">
        <v>557</v>
      </c>
      <c r="AC20" s="561" t="e">
        <f t="shared" si="7"/>
        <v>#VALUE!</v>
      </c>
      <c r="AD20" s="694"/>
      <c r="AE20" s="560" t="s">
        <v>557</v>
      </c>
      <c r="AF20" s="562" t="s">
        <v>557</v>
      </c>
      <c r="AG20" s="562" t="s">
        <v>557</v>
      </c>
      <c r="AH20" s="561" t="e">
        <f t="shared" si="9"/>
        <v>#VALUE!</v>
      </c>
      <c r="AI20" s="694"/>
      <c r="AJ20" s="560" t="s">
        <v>557</v>
      </c>
      <c r="AK20" s="562" t="s">
        <v>557</v>
      </c>
      <c r="AL20" s="562" t="s">
        <v>557</v>
      </c>
      <c r="AM20" s="561" t="e">
        <f t="shared" si="11"/>
        <v>#VALUE!</v>
      </c>
      <c r="AN20" s="694"/>
      <c r="AO20" s="560" t="s">
        <v>557</v>
      </c>
      <c r="AP20" s="562" t="s">
        <v>557</v>
      </c>
      <c r="AQ20" s="562" t="s">
        <v>557</v>
      </c>
      <c r="AR20" s="561" t="e">
        <f t="shared" si="13"/>
        <v>#VALUE!</v>
      </c>
      <c r="AS20" s="694"/>
      <c r="AT20" s="560" t="s">
        <v>557</v>
      </c>
      <c r="AU20" s="562" t="s">
        <v>557</v>
      </c>
      <c r="AV20" s="562" t="s">
        <v>557</v>
      </c>
      <c r="AW20" s="561" t="e">
        <f t="shared" si="15"/>
        <v>#VALUE!</v>
      </c>
      <c r="AX20" s="694"/>
      <c r="AZ20" s="358" t="e">
        <f t="shared" si="17"/>
        <v>#N/A</v>
      </c>
      <c r="BA20" s="694"/>
    </row>
    <row r="21" spans="2:53">
      <c r="B21" s="643"/>
      <c r="C21" s="555">
        <v>15</v>
      </c>
      <c r="D21" s="220"/>
      <c r="E21" s="559"/>
      <c r="F21" s="553"/>
      <c r="G21" s="552"/>
      <c r="H21" s="708"/>
      <c r="I21" s="555"/>
      <c r="J21" s="555"/>
      <c r="K21" s="555"/>
      <c r="L21" s="654"/>
      <c r="M21" s="471" t="e">
        <f>RANK(K21, K$87:$K$101)</f>
        <v>#N/A</v>
      </c>
      <c r="N21" s="637"/>
      <c r="O21" s="637"/>
      <c r="P21" s="560" t="s">
        <v>557</v>
      </c>
      <c r="Q21" s="562" t="s">
        <v>557</v>
      </c>
      <c r="R21" s="562" t="s">
        <v>557</v>
      </c>
      <c r="S21" s="561" t="e">
        <f t="shared" si="3"/>
        <v>#VALUE!</v>
      </c>
      <c r="T21" s="694"/>
      <c r="U21" s="560" t="s">
        <v>557</v>
      </c>
      <c r="V21" s="562" t="s">
        <v>557</v>
      </c>
      <c r="W21" s="562" t="s">
        <v>557</v>
      </c>
      <c r="X21" s="561" t="e">
        <f t="shared" si="5"/>
        <v>#VALUE!</v>
      </c>
      <c r="Y21" s="694"/>
      <c r="Z21" s="560" t="s">
        <v>557</v>
      </c>
      <c r="AA21" s="562" t="s">
        <v>557</v>
      </c>
      <c r="AB21" s="562" t="s">
        <v>557</v>
      </c>
      <c r="AC21" s="561" t="e">
        <f t="shared" si="7"/>
        <v>#VALUE!</v>
      </c>
      <c r="AD21" s="694"/>
      <c r="AE21" s="560" t="s">
        <v>557</v>
      </c>
      <c r="AF21" s="562" t="s">
        <v>557</v>
      </c>
      <c r="AG21" s="562" t="s">
        <v>557</v>
      </c>
      <c r="AH21" s="561" t="e">
        <f t="shared" si="9"/>
        <v>#VALUE!</v>
      </c>
      <c r="AI21" s="694"/>
      <c r="AJ21" s="560" t="s">
        <v>557</v>
      </c>
      <c r="AK21" s="562" t="s">
        <v>557</v>
      </c>
      <c r="AL21" s="562" t="s">
        <v>557</v>
      </c>
      <c r="AM21" s="561" t="e">
        <f t="shared" si="11"/>
        <v>#VALUE!</v>
      </c>
      <c r="AN21" s="694"/>
      <c r="AO21" s="560" t="s">
        <v>557</v>
      </c>
      <c r="AP21" s="562" t="s">
        <v>557</v>
      </c>
      <c r="AQ21" s="562" t="s">
        <v>557</v>
      </c>
      <c r="AR21" s="561" t="e">
        <f t="shared" si="13"/>
        <v>#VALUE!</v>
      </c>
      <c r="AS21" s="694"/>
      <c r="AT21" s="560" t="s">
        <v>557</v>
      </c>
      <c r="AU21" s="562" t="s">
        <v>557</v>
      </c>
      <c r="AV21" s="562" t="s">
        <v>557</v>
      </c>
      <c r="AW21" s="561" t="e">
        <f t="shared" si="15"/>
        <v>#VALUE!</v>
      </c>
      <c r="AX21" s="694"/>
      <c r="AZ21" s="358" t="e">
        <f t="shared" si="17"/>
        <v>#N/A</v>
      </c>
      <c r="BA21" s="694"/>
    </row>
    <row r="22" spans="2:53" ht="15.75">
      <c r="B22" s="676" t="s">
        <v>162</v>
      </c>
      <c r="C22" s="677"/>
      <c r="D22" s="677"/>
      <c r="E22" s="677"/>
      <c r="F22" s="677"/>
      <c r="G22" s="677"/>
      <c r="H22" s="677"/>
      <c r="I22" s="197"/>
      <c r="J22" s="197"/>
      <c r="K22" s="197"/>
      <c r="L22" s="197"/>
      <c r="M22" s="198"/>
      <c r="N22" s="639" t="s">
        <v>156</v>
      </c>
      <c r="O22" s="639" t="s">
        <v>105</v>
      </c>
      <c r="P22" s="664">
        <f>P2+7</f>
        <v>46301</v>
      </c>
      <c r="Q22" s="643"/>
      <c r="R22" s="643"/>
      <c r="S22" s="643"/>
      <c r="T22" s="643"/>
      <c r="U22" s="661">
        <f>P22+1</f>
        <v>46302</v>
      </c>
      <c r="V22" s="662"/>
      <c r="W22" s="662"/>
      <c r="X22" s="662"/>
      <c r="Y22" s="663"/>
      <c r="Z22" s="661">
        <f>U22+1</f>
        <v>46303</v>
      </c>
      <c r="AA22" s="662"/>
      <c r="AB22" s="662"/>
      <c r="AC22" s="662"/>
      <c r="AD22" s="663"/>
      <c r="AE22" s="661">
        <f>Z22+1</f>
        <v>46304</v>
      </c>
      <c r="AF22" s="662"/>
      <c r="AG22" s="662"/>
      <c r="AH22" s="662"/>
      <c r="AI22" s="663"/>
      <c r="AJ22" s="661">
        <f>AE22+1</f>
        <v>46305</v>
      </c>
      <c r="AK22" s="662"/>
      <c r="AL22" s="662"/>
      <c r="AM22" s="662"/>
      <c r="AN22" s="663"/>
      <c r="AO22" s="661">
        <f>AJ22+1</f>
        <v>46306</v>
      </c>
      <c r="AP22" s="662"/>
      <c r="AQ22" s="662"/>
      <c r="AR22" s="662"/>
      <c r="AS22" s="663"/>
      <c r="AT22" s="661">
        <f>AO22+1</f>
        <v>46307</v>
      </c>
      <c r="AU22" s="662"/>
      <c r="AV22" s="662"/>
      <c r="AW22" s="662"/>
      <c r="AX22" s="663"/>
    </row>
    <row r="23" spans="2:53" ht="15.75">
      <c r="B23" s="668"/>
      <c r="C23" s="668"/>
      <c r="D23" s="668"/>
      <c r="E23" s="668"/>
      <c r="F23" s="668"/>
      <c r="G23" s="668"/>
      <c r="H23" s="668"/>
      <c r="I23" s="199"/>
      <c r="J23" s="199"/>
      <c r="K23" s="199"/>
      <c r="L23" s="199"/>
      <c r="M23" s="200"/>
      <c r="N23" s="641"/>
      <c r="O23" s="641"/>
      <c r="P23" s="664" t="s">
        <v>317</v>
      </c>
      <c r="Q23" s="643"/>
      <c r="R23" s="643"/>
      <c r="S23" s="643"/>
      <c r="T23" s="643"/>
      <c r="U23" s="664" t="s">
        <v>318</v>
      </c>
      <c r="V23" s="643"/>
      <c r="W23" s="643"/>
      <c r="X23" s="643"/>
      <c r="Y23" s="643"/>
      <c r="Z23" s="664" t="s">
        <v>319</v>
      </c>
      <c r="AA23" s="643"/>
      <c r="AB23" s="643"/>
      <c r="AC23" s="643"/>
      <c r="AD23" s="643"/>
      <c r="AE23" s="664" t="s">
        <v>320</v>
      </c>
      <c r="AF23" s="643"/>
      <c r="AG23" s="643"/>
      <c r="AH23" s="643"/>
      <c r="AI23" s="643"/>
      <c r="AJ23" s="664" t="s">
        <v>321</v>
      </c>
      <c r="AK23" s="643"/>
      <c r="AL23" s="643"/>
      <c r="AM23" s="643"/>
      <c r="AN23" s="643"/>
      <c r="AO23" s="664" t="s">
        <v>322</v>
      </c>
      <c r="AP23" s="643"/>
      <c r="AQ23" s="643"/>
      <c r="AR23" s="643"/>
      <c r="AS23" s="643"/>
      <c r="AT23" s="664" t="s">
        <v>323</v>
      </c>
      <c r="AU23" s="643"/>
      <c r="AV23" s="643"/>
      <c r="AW23" s="643"/>
      <c r="AX23" s="643"/>
    </row>
    <row r="24" spans="2:53">
      <c r="B24" s="637" t="s">
        <v>432</v>
      </c>
      <c r="C24" s="637" t="s">
        <v>521</v>
      </c>
      <c r="D24" s="637"/>
      <c r="E24" s="637" t="s">
        <v>522</v>
      </c>
      <c r="F24" s="637"/>
      <c r="G24" s="637"/>
      <c r="H24" s="669" t="s">
        <v>523</v>
      </c>
      <c r="I24" s="637" t="s">
        <v>524</v>
      </c>
      <c r="J24" s="637"/>
      <c r="K24" s="637"/>
      <c r="L24" s="669" t="s">
        <v>357</v>
      </c>
      <c r="M24" s="639" t="s">
        <v>525</v>
      </c>
      <c r="N24" s="637"/>
      <c r="O24" s="637" t="s">
        <v>363</v>
      </c>
      <c r="P24" s="655" t="s">
        <v>359</v>
      </c>
      <c r="Q24" s="656"/>
      <c r="R24" s="656"/>
      <c r="S24" s="657"/>
      <c r="T24" s="637" t="s">
        <v>357</v>
      </c>
      <c r="U24" s="655" t="s">
        <v>359</v>
      </c>
      <c r="V24" s="656"/>
      <c r="W24" s="656"/>
      <c r="X24" s="657"/>
      <c r="Y24" s="637" t="s">
        <v>357</v>
      </c>
      <c r="Z24" s="655" t="s">
        <v>359</v>
      </c>
      <c r="AA24" s="656"/>
      <c r="AB24" s="656"/>
      <c r="AC24" s="657"/>
      <c r="AD24" s="637" t="s">
        <v>357</v>
      </c>
      <c r="AE24" s="655" t="s">
        <v>359</v>
      </c>
      <c r="AF24" s="656"/>
      <c r="AG24" s="656"/>
      <c r="AH24" s="657"/>
      <c r="AI24" s="637" t="s">
        <v>357</v>
      </c>
      <c r="AJ24" s="655" t="s">
        <v>359</v>
      </c>
      <c r="AK24" s="656"/>
      <c r="AL24" s="656"/>
      <c r="AM24" s="657"/>
      <c r="AN24" s="637" t="s">
        <v>357</v>
      </c>
      <c r="AO24" s="655" t="s">
        <v>359</v>
      </c>
      <c r="AP24" s="656"/>
      <c r="AQ24" s="656"/>
      <c r="AR24" s="657"/>
      <c r="AS24" s="637" t="s">
        <v>357</v>
      </c>
      <c r="AT24" s="655" t="s">
        <v>359</v>
      </c>
      <c r="AU24" s="656"/>
      <c r="AV24" s="656"/>
      <c r="AW24" s="657"/>
      <c r="AX24" s="637" t="s">
        <v>357</v>
      </c>
      <c r="BA24" s="637" t="s">
        <v>357</v>
      </c>
    </row>
    <row r="25" spans="2:53">
      <c r="B25" s="637"/>
      <c r="C25" s="637"/>
      <c r="D25" s="637"/>
      <c r="E25" s="637" t="s">
        <v>527</v>
      </c>
      <c r="F25" s="637"/>
      <c r="G25" s="637"/>
      <c r="H25" s="670"/>
      <c r="I25" s="637" t="s">
        <v>527</v>
      </c>
      <c r="J25" s="637"/>
      <c r="K25" s="637"/>
      <c r="L25" s="670"/>
      <c r="M25" s="640"/>
      <c r="N25" s="637"/>
      <c r="O25" s="637"/>
      <c r="P25" s="655" t="s">
        <v>365</v>
      </c>
      <c r="Q25" s="656"/>
      <c r="R25" s="656"/>
      <c r="S25" s="657"/>
      <c r="T25" s="637"/>
      <c r="U25" s="655" t="s">
        <v>365</v>
      </c>
      <c r="V25" s="656"/>
      <c r="W25" s="656"/>
      <c r="X25" s="657"/>
      <c r="Y25" s="637"/>
      <c r="Z25" s="655" t="s">
        <v>365</v>
      </c>
      <c r="AA25" s="656"/>
      <c r="AB25" s="656"/>
      <c r="AC25" s="657"/>
      <c r="AD25" s="637"/>
      <c r="AE25" s="655" t="s">
        <v>365</v>
      </c>
      <c r="AF25" s="656"/>
      <c r="AG25" s="656"/>
      <c r="AH25" s="657"/>
      <c r="AI25" s="637"/>
      <c r="AJ25" s="655" t="s">
        <v>365</v>
      </c>
      <c r="AK25" s="656"/>
      <c r="AL25" s="656"/>
      <c r="AM25" s="657"/>
      <c r="AN25" s="637"/>
      <c r="AO25" s="655" t="s">
        <v>365</v>
      </c>
      <c r="AP25" s="656"/>
      <c r="AQ25" s="656"/>
      <c r="AR25" s="657"/>
      <c r="AS25" s="637"/>
      <c r="AT25" s="655" t="s">
        <v>365</v>
      </c>
      <c r="AU25" s="656"/>
      <c r="AV25" s="656"/>
      <c r="AW25" s="657"/>
      <c r="AX25" s="637"/>
      <c r="BA25" s="637"/>
    </row>
    <row r="26" spans="2:53">
      <c r="B26" s="637"/>
      <c r="C26" s="637"/>
      <c r="D26" s="637"/>
      <c r="E26" s="366" t="s">
        <v>528</v>
      </c>
      <c r="F26" s="366" t="s">
        <v>529</v>
      </c>
      <c r="G26" s="366" t="s">
        <v>530</v>
      </c>
      <c r="H26" s="671"/>
      <c r="I26" s="366" t="s">
        <v>528</v>
      </c>
      <c r="J26" s="366" t="s">
        <v>529</v>
      </c>
      <c r="K26" s="366" t="s">
        <v>530</v>
      </c>
      <c r="L26" s="671"/>
      <c r="M26" s="641"/>
      <c r="N26" s="637"/>
      <c r="O26" s="637"/>
      <c r="P26" s="366" t="s">
        <v>366</v>
      </c>
      <c r="Q26" s="366" t="s">
        <v>367</v>
      </c>
      <c r="R26" s="366" t="s">
        <v>368</v>
      </c>
      <c r="S26" s="366" t="s">
        <v>358</v>
      </c>
      <c r="T26" s="637"/>
      <c r="U26" s="366" t="s">
        <v>366</v>
      </c>
      <c r="V26" s="366" t="s">
        <v>367</v>
      </c>
      <c r="W26" s="366" t="s">
        <v>368</v>
      </c>
      <c r="X26" s="366" t="s">
        <v>358</v>
      </c>
      <c r="Y26" s="637"/>
      <c r="Z26" s="366" t="s">
        <v>366</v>
      </c>
      <c r="AA26" s="366" t="s">
        <v>367</v>
      </c>
      <c r="AB26" s="366" t="s">
        <v>368</v>
      </c>
      <c r="AC26" s="366" t="s">
        <v>358</v>
      </c>
      <c r="AD26" s="637"/>
      <c r="AE26" s="366" t="s">
        <v>366</v>
      </c>
      <c r="AF26" s="366" t="s">
        <v>367</v>
      </c>
      <c r="AG26" s="366" t="s">
        <v>368</v>
      </c>
      <c r="AH26" s="366" t="s">
        <v>358</v>
      </c>
      <c r="AI26" s="637"/>
      <c r="AJ26" s="366" t="s">
        <v>366</v>
      </c>
      <c r="AK26" s="366" t="s">
        <v>367</v>
      </c>
      <c r="AL26" s="366" t="s">
        <v>368</v>
      </c>
      <c r="AM26" s="366" t="s">
        <v>358</v>
      </c>
      <c r="AN26" s="637"/>
      <c r="AO26" s="366" t="s">
        <v>366</v>
      </c>
      <c r="AP26" s="366" t="s">
        <v>367</v>
      </c>
      <c r="AQ26" s="366" t="s">
        <v>368</v>
      </c>
      <c r="AR26" s="366" t="s">
        <v>358</v>
      </c>
      <c r="AS26" s="637"/>
      <c r="AT26" s="366" t="s">
        <v>366</v>
      </c>
      <c r="AU26" s="366" t="s">
        <v>367</v>
      </c>
      <c r="AV26" s="366" t="s">
        <v>368</v>
      </c>
      <c r="AW26" s="366" t="s">
        <v>358</v>
      </c>
      <c r="AX26" s="637"/>
      <c r="AZ26" s="356" t="s">
        <v>358</v>
      </c>
      <c r="BA26" s="637"/>
    </row>
    <row r="27" spans="2:53">
      <c r="B27" s="637" t="s">
        <v>433</v>
      </c>
      <c r="C27" s="368">
        <v>1</v>
      </c>
      <c r="D27" s="220" t="s">
        <v>346</v>
      </c>
      <c r="E27" s="559">
        <v>7</v>
      </c>
      <c r="F27" s="553">
        <v>1500</v>
      </c>
      <c r="G27" s="552">
        <v>214.28571428571428</v>
      </c>
      <c r="H27" s="650">
        <f>AVERAGE(G27:G41)</f>
        <v>180.67226890756302</v>
      </c>
      <c r="I27" s="369">
        <f t="shared" ref="I27:I40" si="19">IFERROR(AVERAGE(P27,U27,Z27,AE27,AJ27,AO27,AT27),"-")</f>
        <v>7</v>
      </c>
      <c r="J27" s="369">
        <f t="shared" ref="J27:J40" si="20">IFERROR(AVERAGE(Q27,V27,AA27,AF27,AK27,AP27,AU27),"-")</f>
        <v>1447.3205735402505</v>
      </c>
      <c r="K27" s="194">
        <f t="shared" ref="K27:K40" si="21">IFERROR(AVERAGE(R27,W27,AB27,AG27,AL27,AQ27,AV27),"-")</f>
        <v>206.76008193432148</v>
      </c>
      <c r="L27" s="652">
        <f>IFERROR(AVERAGE(K27:K41),"-")</f>
        <v>161.81572107195677</v>
      </c>
      <c r="M27" s="372">
        <f>RANK(K27, K$24:$K$41)</f>
        <v>4</v>
      </c>
      <c r="N27" s="637"/>
      <c r="O27" s="637"/>
      <c r="P27" s="560">
        <v>7</v>
      </c>
      <c r="Q27" s="562">
        <v>1465.909090909091</v>
      </c>
      <c r="R27" s="562">
        <v>209.41558441558442</v>
      </c>
      <c r="S27" s="560">
        <f t="shared" ref="S27:S41" si="22">RANK(R27, R$27:R$41)</f>
        <v>1</v>
      </c>
      <c r="T27" s="632">
        <f t="shared" ref="T27" si="23">AVERAGE(R27:R41)</f>
        <v>160.86458011822833</v>
      </c>
      <c r="U27" s="560">
        <v>7</v>
      </c>
      <c r="V27" s="562">
        <v>1430.0000000000009</v>
      </c>
      <c r="W27" s="562">
        <v>204.28571428571442</v>
      </c>
      <c r="X27" s="560">
        <f t="shared" ref="X27:X41" si="24">RANK(W27, W$27:W$41)</f>
        <v>3</v>
      </c>
      <c r="Y27" s="632">
        <f t="shared" ref="Y27" si="25">AVERAGE(W27:W41)</f>
        <v>159.30509602811105</v>
      </c>
      <c r="Z27" s="560">
        <v>7</v>
      </c>
      <c r="AA27" s="562">
        <v>1436.7567567567555</v>
      </c>
      <c r="AB27" s="562">
        <v>205.25096525096507</v>
      </c>
      <c r="AC27" s="560">
        <f t="shared" ref="AC27:AC41" si="26">RANK(AB27, AB$27:AB$41)</f>
        <v>4</v>
      </c>
      <c r="AD27" s="632">
        <f t="shared" ref="AD27" si="27">AVERAGE(AB27:AB41)</f>
        <v>159.6632236978445</v>
      </c>
      <c r="AE27" s="560">
        <v>7</v>
      </c>
      <c r="AF27" s="562">
        <v>1445.0000000000005</v>
      </c>
      <c r="AG27" s="562">
        <v>206.4285714285715</v>
      </c>
      <c r="AH27" s="560">
        <f t="shared" ref="AH27:AH41" si="28">RANK(AG27, AG$27:AG$41)</f>
        <v>3</v>
      </c>
      <c r="AI27" s="632">
        <f t="shared" ref="AI27" si="29">AVERAGE(AG27:AG41)</f>
        <v>163.05293250733573</v>
      </c>
      <c r="AJ27" s="560">
        <v>7</v>
      </c>
      <c r="AK27" s="562">
        <v>1432.4999999999998</v>
      </c>
      <c r="AL27" s="562">
        <v>204.64285714285711</v>
      </c>
      <c r="AM27" s="560">
        <f t="shared" ref="AM27:AM41" si="30">RANK(AL27, AL$27:AL$41)</f>
        <v>4</v>
      </c>
      <c r="AN27" s="632">
        <f t="shared" ref="AN27" si="31">AVERAGE(AL27:AL41)</f>
        <v>162.23038492691293</v>
      </c>
      <c r="AO27" s="560">
        <v>7</v>
      </c>
      <c r="AP27" s="562">
        <v>1446.7924528301894</v>
      </c>
      <c r="AQ27" s="562">
        <v>206.68463611859849</v>
      </c>
      <c r="AR27" s="560">
        <f t="shared" ref="AR27:AR41" si="32">RANK(AQ27, AQ$27:AQ$41)</f>
        <v>2</v>
      </c>
      <c r="AS27" s="632">
        <f t="shared" ref="AS27" si="33">AVERAGE(AQ27:AQ41)</f>
        <v>163.83270601432849</v>
      </c>
      <c r="AT27" s="560">
        <v>7</v>
      </c>
      <c r="AU27" s="562">
        <v>1474.2857142857154</v>
      </c>
      <c r="AV27" s="562">
        <v>210.61224489795933</v>
      </c>
      <c r="AW27" s="560">
        <f t="shared" ref="AW27:AW41" si="34">RANK(AV27, AV$27:AV$41)</f>
        <v>1</v>
      </c>
      <c r="AX27" s="632">
        <f t="shared" ref="AX27" si="35">AVERAGE(AV27:AV41)</f>
        <v>163.76112421093643</v>
      </c>
      <c r="AZ27" s="357" t="e">
        <f t="shared" ref="AZ27:AZ41" si="36">RANK(AY27, AY$27:AY$41)</f>
        <v>#N/A</v>
      </c>
      <c r="BA27" s="632" t="e">
        <f t="shared" ref="BA27" si="37">AVERAGE(AY27:AY41)</f>
        <v>#DIV/0!</v>
      </c>
    </row>
    <row r="28" spans="2:53">
      <c r="B28" s="643"/>
      <c r="C28" s="368">
        <v>2</v>
      </c>
      <c r="D28" s="220" t="s">
        <v>347</v>
      </c>
      <c r="E28" s="559">
        <v>7</v>
      </c>
      <c r="F28" s="553">
        <v>1500</v>
      </c>
      <c r="G28" s="552">
        <v>214.28571428571428</v>
      </c>
      <c r="H28" s="651"/>
      <c r="I28" s="369">
        <f t="shared" si="19"/>
        <v>7</v>
      </c>
      <c r="J28" s="369">
        <f t="shared" si="20"/>
        <v>1451.0042206921883</v>
      </c>
      <c r="K28" s="194">
        <f t="shared" si="21"/>
        <v>207.28631724174122</v>
      </c>
      <c r="L28" s="653"/>
      <c r="M28" s="375">
        <f>RANK(K28, K$24:$K$41)</f>
        <v>3</v>
      </c>
      <c r="N28" s="637"/>
      <c r="O28" s="637"/>
      <c r="P28" s="560">
        <v>7</v>
      </c>
      <c r="Q28" s="562">
        <v>1451.7391304347825</v>
      </c>
      <c r="R28" s="562">
        <v>207.39130434782606</v>
      </c>
      <c r="S28" s="560">
        <f t="shared" si="22"/>
        <v>4</v>
      </c>
      <c r="T28" s="633"/>
      <c r="U28" s="560">
        <v>7</v>
      </c>
      <c r="V28" s="562">
        <v>1449.4029850746269</v>
      </c>
      <c r="W28" s="562">
        <v>207.05756929637528</v>
      </c>
      <c r="X28" s="560">
        <f t="shared" si="24"/>
        <v>2</v>
      </c>
      <c r="Y28" s="633"/>
      <c r="Z28" s="560">
        <v>7</v>
      </c>
      <c r="AA28" s="562">
        <v>1451.9008264462814</v>
      </c>
      <c r="AB28" s="562">
        <v>207.4144037780402</v>
      </c>
      <c r="AC28" s="560">
        <f t="shared" si="26"/>
        <v>3</v>
      </c>
      <c r="AD28" s="633"/>
      <c r="AE28" s="560">
        <v>7</v>
      </c>
      <c r="AF28" s="562">
        <v>1437.3913043478262</v>
      </c>
      <c r="AG28" s="562">
        <v>205.34161490683232</v>
      </c>
      <c r="AH28" s="560">
        <f t="shared" si="28"/>
        <v>4</v>
      </c>
      <c r="AI28" s="633"/>
      <c r="AJ28" s="560">
        <v>7</v>
      </c>
      <c r="AK28" s="562">
        <v>1456.2616822429909</v>
      </c>
      <c r="AL28" s="562">
        <v>208.03738317757012</v>
      </c>
      <c r="AM28" s="560">
        <f t="shared" si="30"/>
        <v>2</v>
      </c>
      <c r="AN28" s="633"/>
      <c r="AO28" s="560">
        <v>7</v>
      </c>
      <c r="AP28" s="562">
        <v>1467.2368421052629</v>
      </c>
      <c r="AQ28" s="562">
        <v>209.60526315789471</v>
      </c>
      <c r="AR28" s="560">
        <f t="shared" si="32"/>
        <v>1</v>
      </c>
      <c r="AS28" s="633"/>
      <c r="AT28" s="560">
        <v>7</v>
      </c>
      <c r="AU28" s="562">
        <v>1443.0967741935483</v>
      </c>
      <c r="AV28" s="562">
        <v>206.15668202764977</v>
      </c>
      <c r="AW28" s="560">
        <f t="shared" si="34"/>
        <v>3</v>
      </c>
      <c r="AX28" s="633"/>
      <c r="AZ28" s="357" t="e">
        <f t="shared" si="36"/>
        <v>#N/A</v>
      </c>
      <c r="BA28" s="633"/>
    </row>
    <row r="29" spans="2:53">
      <c r="B29" s="643"/>
      <c r="C29" s="368">
        <v>3</v>
      </c>
      <c r="D29" s="220" t="s">
        <v>348</v>
      </c>
      <c r="E29" s="559">
        <v>17</v>
      </c>
      <c r="F29" s="553">
        <v>1500</v>
      </c>
      <c r="G29" s="552">
        <v>88.235294117647058</v>
      </c>
      <c r="H29" s="651"/>
      <c r="I29" s="369">
        <f t="shared" si="19"/>
        <v>17</v>
      </c>
      <c r="J29" s="369">
        <f t="shared" si="20"/>
        <v>1336.724294618203</v>
      </c>
      <c r="K29" s="194">
        <f t="shared" si="21"/>
        <v>78.630840859894278</v>
      </c>
      <c r="L29" s="653"/>
      <c r="M29" s="375">
        <f>RANK(K29, K$24:$K$41)</f>
        <v>8</v>
      </c>
      <c r="N29" s="637"/>
      <c r="O29" s="637"/>
      <c r="P29" s="560">
        <v>17</v>
      </c>
      <c r="Q29" s="562">
        <v>1331.0294117647059</v>
      </c>
      <c r="R29" s="562">
        <v>78.29584775086505</v>
      </c>
      <c r="S29" s="560">
        <f t="shared" si="22"/>
        <v>8</v>
      </c>
      <c r="T29" s="633"/>
      <c r="U29" s="560">
        <v>17</v>
      </c>
      <c r="V29" s="562">
        <v>1320.5084745762706</v>
      </c>
      <c r="W29" s="562">
        <v>77.676969092721805</v>
      </c>
      <c r="X29" s="560">
        <f t="shared" si="24"/>
        <v>8</v>
      </c>
      <c r="Y29" s="633"/>
      <c r="Z29" s="560">
        <v>17</v>
      </c>
      <c r="AA29" s="562">
        <v>1308.4615384615392</v>
      </c>
      <c r="AB29" s="562">
        <v>76.96832579185525</v>
      </c>
      <c r="AC29" s="560">
        <f t="shared" si="26"/>
        <v>8</v>
      </c>
      <c r="AD29" s="633"/>
      <c r="AE29" s="560">
        <v>17</v>
      </c>
      <c r="AF29" s="562">
        <v>1352.7500000000002</v>
      </c>
      <c r="AG29" s="562">
        <v>79.573529411764724</v>
      </c>
      <c r="AH29" s="560">
        <f t="shared" si="28"/>
        <v>8</v>
      </c>
      <c r="AI29" s="633"/>
      <c r="AJ29" s="560">
        <v>17</v>
      </c>
      <c r="AK29" s="562">
        <v>1345.8113207547176</v>
      </c>
      <c r="AL29" s="562">
        <v>79.165371809101032</v>
      </c>
      <c r="AM29" s="560">
        <f t="shared" si="30"/>
        <v>8</v>
      </c>
      <c r="AN29" s="633"/>
      <c r="AO29" s="560">
        <v>17</v>
      </c>
      <c r="AP29" s="562">
        <v>1353.8571428571427</v>
      </c>
      <c r="AQ29" s="562">
        <v>79.638655462184857</v>
      </c>
      <c r="AR29" s="560">
        <f t="shared" si="32"/>
        <v>8</v>
      </c>
      <c r="AS29" s="633"/>
      <c r="AT29" s="560">
        <v>17</v>
      </c>
      <c r="AU29" s="562">
        <v>1344.6521739130435</v>
      </c>
      <c r="AV29" s="562">
        <v>79.097186700767267</v>
      </c>
      <c r="AW29" s="560">
        <f t="shared" si="34"/>
        <v>8</v>
      </c>
      <c r="AX29" s="633"/>
      <c r="AZ29" s="357" t="e">
        <f t="shared" si="36"/>
        <v>#N/A</v>
      </c>
      <c r="BA29" s="633"/>
    </row>
    <row r="30" spans="2:53">
      <c r="B30" s="643"/>
      <c r="C30" s="368">
        <v>4</v>
      </c>
      <c r="D30" s="220" t="s">
        <v>379</v>
      </c>
      <c r="E30" s="559">
        <v>7</v>
      </c>
      <c r="F30" s="553">
        <v>1500</v>
      </c>
      <c r="G30" s="552">
        <v>214.28571428571428</v>
      </c>
      <c r="H30" s="651"/>
      <c r="I30" s="369">
        <f t="shared" si="19"/>
        <v>7</v>
      </c>
      <c r="J30" s="369">
        <f t="shared" si="20"/>
        <v>1457.9461242441428</v>
      </c>
      <c r="K30" s="194">
        <f t="shared" si="21"/>
        <v>208.2780177491633</v>
      </c>
      <c r="L30" s="653"/>
      <c r="M30" s="375">
        <f>RANK(K30, K$24:$K$41)</f>
        <v>1</v>
      </c>
      <c r="N30" s="637"/>
      <c r="O30" s="637"/>
      <c r="P30" s="560">
        <v>7</v>
      </c>
      <c r="Q30" s="562">
        <v>1462.3529411764705</v>
      </c>
      <c r="R30" s="562">
        <v>208.90756302521007</v>
      </c>
      <c r="S30" s="560">
        <f t="shared" si="22"/>
        <v>2</v>
      </c>
      <c r="T30" s="633"/>
      <c r="U30" s="560">
        <v>7</v>
      </c>
      <c r="V30" s="562">
        <v>1449.7872340425529</v>
      </c>
      <c r="W30" s="562">
        <v>207.11246200607897</v>
      </c>
      <c r="X30" s="560">
        <f t="shared" si="24"/>
        <v>1</v>
      </c>
      <c r="Y30" s="633"/>
      <c r="Z30" s="560">
        <v>7</v>
      </c>
      <c r="AA30" s="562">
        <v>1468.3928571428571</v>
      </c>
      <c r="AB30" s="562">
        <v>209.7704081632653</v>
      </c>
      <c r="AC30" s="560">
        <f t="shared" si="26"/>
        <v>1</v>
      </c>
      <c r="AD30" s="633"/>
      <c r="AE30" s="560">
        <v>7</v>
      </c>
      <c r="AF30" s="562">
        <v>1471.0714285714284</v>
      </c>
      <c r="AG30" s="562">
        <v>210.15306122448979</v>
      </c>
      <c r="AH30" s="560">
        <f t="shared" si="28"/>
        <v>2</v>
      </c>
      <c r="AI30" s="633"/>
      <c r="AJ30" s="560">
        <v>7</v>
      </c>
      <c r="AK30" s="562">
        <v>1442.3300970873788</v>
      </c>
      <c r="AL30" s="562">
        <v>206.04715672676841</v>
      </c>
      <c r="AM30" s="560">
        <f t="shared" si="30"/>
        <v>3</v>
      </c>
      <c r="AN30" s="633"/>
      <c r="AO30" s="560">
        <v>7</v>
      </c>
      <c r="AP30" s="562">
        <v>1445.1428571428573</v>
      </c>
      <c r="AQ30" s="562">
        <v>206.44897959183677</v>
      </c>
      <c r="AR30" s="560">
        <f t="shared" si="32"/>
        <v>3</v>
      </c>
      <c r="AS30" s="633"/>
      <c r="AT30" s="560">
        <v>7</v>
      </c>
      <c r="AU30" s="562">
        <v>1466.5454545454545</v>
      </c>
      <c r="AV30" s="562">
        <v>209.50649350649351</v>
      </c>
      <c r="AW30" s="560">
        <f t="shared" si="34"/>
        <v>2</v>
      </c>
      <c r="AX30" s="633"/>
      <c r="AZ30" s="357" t="e">
        <f t="shared" si="36"/>
        <v>#N/A</v>
      </c>
      <c r="BA30" s="633"/>
    </row>
    <row r="31" spans="2:53">
      <c r="B31" s="643"/>
      <c r="C31" s="368">
        <v>5</v>
      </c>
      <c r="D31" s="220" t="s">
        <v>551</v>
      </c>
      <c r="E31" s="559">
        <v>12</v>
      </c>
      <c r="F31" s="553">
        <v>2000</v>
      </c>
      <c r="G31" s="552">
        <v>166.66666666666666</v>
      </c>
      <c r="H31" s="651"/>
      <c r="I31" s="369">
        <f t="shared" si="19"/>
        <v>12</v>
      </c>
      <c r="J31" s="369">
        <f t="shared" si="20"/>
        <v>1552.5288134085363</v>
      </c>
      <c r="K31" s="194">
        <f t="shared" si="21"/>
        <v>129.37740111737801</v>
      </c>
      <c r="L31" s="653"/>
      <c r="M31" s="375">
        <f>RANK(K31, K$24:$K$41)</f>
        <v>6</v>
      </c>
      <c r="N31" s="637"/>
      <c r="O31" s="637"/>
      <c r="P31" s="560">
        <v>12</v>
      </c>
      <c r="Q31" s="562">
        <v>1584.4864864864851</v>
      </c>
      <c r="R31" s="562">
        <v>132.04054054054043</v>
      </c>
      <c r="S31" s="560">
        <f t="shared" si="22"/>
        <v>6</v>
      </c>
      <c r="T31" s="633"/>
      <c r="U31" s="560">
        <v>12</v>
      </c>
      <c r="V31" s="562">
        <v>1581.9428571428555</v>
      </c>
      <c r="W31" s="562">
        <v>131.82857142857128</v>
      </c>
      <c r="X31" s="560">
        <f t="shared" si="24"/>
        <v>6</v>
      </c>
      <c r="Y31" s="633"/>
      <c r="Z31" s="560">
        <v>12</v>
      </c>
      <c r="AA31" s="562">
        <v>1564.2580645161302</v>
      </c>
      <c r="AB31" s="562">
        <v>130.35483870967752</v>
      </c>
      <c r="AC31" s="560">
        <f t="shared" si="26"/>
        <v>6</v>
      </c>
      <c r="AD31" s="633"/>
      <c r="AE31" s="560">
        <v>12</v>
      </c>
      <c r="AF31" s="562">
        <v>1543.8000000000015</v>
      </c>
      <c r="AG31" s="562">
        <v>128.65000000000012</v>
      </c>
      <c r="AH31" s="560">
        <f t="shared" si="28"/>
        <v>7</v>
      </c>
      <c r="AI31" s="633"/>
      <c r="AJ31" s="560">
        <v>12</v>
      </c>
      <c r="AK31" s="562">
        <v>1511.3571428571438</v>
      </c>
      <c r="AL31" s="562">
        <v>125.94642857142865</v>
      </c>
      <c r="AM31" s="560">
        <f t="shared" si="30"/>
        <v>7</v>
      </c>
      <c r="AN31" s="633"/>
      <c r="AO31" s="560">
        <v>12</v>
      </c>
      <c r="AP31" s="562">
        <v>1560.8571428571397</v>
      </c>
      <c r="AQ31" s="562">
        <v>130.0714285714283</v>
      </c>
      <c r="AR31" s="560">
        <f t="shared" si="32"/>
        <v>7</v>
      </c>
      <c r="AS31" s="633"/>
      <c r="AT31" s="560">
        <v>12</v>
      </c>
      <c r="AU31" s="562">
        <v>1520.9999999999968</v>
      </c>
      <c r="AV31" s="562">
        <v>126.74999999999973</v>
      </c>
      <c r="AW31" s="560">
        <f t="shared" si="34"/>
        <v>7</v>
      </c>
      <c r="AX31" s="633"/>
      <c r="AZ31" s="357" t="e">
        <f t="shared" si="36"/>
        <v>#N/A</v>
      </c>
      <c r="BA31" s="633"/>
    </row>
    <row r="32" spans="2:53">
      <c r="B32" s="643"/>
      <c r="C32" s="368">
        <v>6</v>
      </c>
      <c r="D32" s="220" t="s">
        <v>574</v>
      </c>
      <c r="E32" s="559">
        <v>12</v>
      </c>
      <c r="F32" s="553">
        <v>2000</v>
      </c>
      <c r="G32" s="552">
        <v>166.66666666666666</v>
      </c>
      <c r="H32" s="651"/>
      <c r="I32" s="369">
        <f t="shared" si="19"/>
        <v>12</v>
      </c>
      <c r="J32" s="369">
        <f t="shared" si="20"/>
        <v>1624.02406838823</v>
      </c>
      <c r="K32" s="194">
        <f t="shared" si="21"/>
        <v>135.33533903235249</v>
      </c>
      <c r="L32" s="653"/>
      <c r="M32" s="375">
        <f>RANK(K32, K$24:$K$41)</f>
        <v>5</v>
      </c>
      <c r="N32" s="637"/>
      <c r="O32" s="637"/>
      <c r="P32" s="560">
        <v>12</v>
      </c>
      <c r="Q32" s="562">
        <v>1645.818181818182</v>
      </c>
      <c r="R32" s="562">
        <v>137.15151515151516</v>
      </c>
      <c r="S32" s="560">
        <f t="shared" si="22"/>
        <v>5</v>
      </c>
      <c r="T32" s="633"/>
      <c r="U32" s="560">
        <v>12</v>
      </c>
      <c r="V32" s="562">
        <v>1632.7741935483866</v>
      </c>
      <c r="W32" s="562">
        <v>136.06451612903223</v>
      </c>
      <c r="X32" s="560">
        <f t="shared" si="24"/>
        <v>5</v>
      </c>
      <c r="Y32" s="633"/>
      <c r="Z32" s="560">
        <v>12</v>
      </c>
      <c r="AA32" s="562">
        <v>1644.9230769230778</v>
      </c>
      <c r="AB32" s="562">
        <v>137.07692307692315</v>
      </c>
      <c r="AC32" s="560">
        <f t="shared" si="26"/>
        <v>5</v>
      </c>
      <c r="AD32" s="633"/>
      <c r="AE32" s="560">
        <v>12</v>
      </c>
      <c r="AF32" s="562">
        <v>1606.0000000000009</v>
      </c>
      <c r="AG32" s="562">
        <v>133.8333333333334</v>
      </c>
      <c r="AH32" s="560">
        <f t="shared" si="28"/>
        <v>5</v>
      </c>
      <c r="AI32" s="633"/>
      <c r="AJ32" s="560">
        <v>12</v>
      </c>
      <c r="AK32" s="562">
        <v>1590.2608695652175</v>
      </c>
      <c r="AL32" s="562">
        <v>132.52173913043478</v>
      </c>
      <c r="AM32" s="560">
        <f t="shared" si="30"/>
        <v>5</v>
      </c>
      <c r="AN32" s="633"/>
      <c r="AO32" s="560">
        <v>12</v>
      </c>
      <c r="AP32" s="562">
        <v>1609.3333333333335</v>
      </c>
      <c r="AQ32" s="562">
        <v>134.11111111111111</v>
      </c>
      <c r="AR32" s="560">
        <f t="shared" si="32"/>
        <v>6</v>
      </c>
      <c r="AS32" s="633"/>
      <c r="AT32" s="560">
        <v>12</v>
      </c>
      <c r="AU32" s="562">
        <v>1639.0588235294119</v>
      </c>
      <c r="AV32" s="562">
        <v>136.58823529411765</v>
      </c>
      <c r="AW32" s="560">
        <f t="shared" si="34"/>
        <v>5</v>
      </c>
      <c r="AX32" s="633"/>
      <c r="AZ32" s="357" t="e">
        <f t="shared" si="36"/>
        <v>#N/A</v>
      </c>
      <c r="BA32" s="633"/>
    </row>
    <row r="33" spans="2:53">
      <c r="B33" s="643"/>
      <c r="C33" s="368">
        <v>7</v>
      </c>
      <c r="D33" s="220" t="s">
        <v>575</v>
      </c>
      <c r="E33" s="559">
        <v>12</v>
      </c>
      <c r="F33" s="553">
        <v>2000</v>
      </c>
      <c r="G33" s="552">
        <v>166.66666666666666</v>
      </c>
      <c r="H33" s="651"/>
      <c r="I33" s="369">
        <f t="shared" si="19"/>
        <v>12</v>
      </c>
      <c r="J33" s="369">
        <f t="shared" si="20"/>
        <v>1455.8092621664025</v>
      </c>
      <c r="K33" s="194">
        <f t="shared" si="21"/>
        <v>121.31743851386686</v>
      </c>
      <c r="L33" s="653"/>
      <c r="M33" s="375">
        <f>RANK(K33, K$24:$K$41)</f>
        <v>7</v>
      </c>
      <c r="N33" s="637"/>
      <c r="O33" s="637"/>
      <c r="P33" s="560">
        <v>12</v>
      </c>
      <c r="Q33" s="562">
        <v>1272.8571428571402</v>
      </c>
      <c r="R33" s="562">
        <v>106.07142857142834</v>
      </c>
      <c r="S33" s="560">
        <f t="shared" si="22"/>
        <v>7</v>
      </c>
      <c r="T33" s="633"/>
      <c r="U33" s="560">
        <v>12</v>
      </c>
      <c r="V33" s="562">
        <v>1275.9999999999977</v>
      </c>
      <c r="W33" s="562">
        <v>106.33333333333314</v>
      </c>
      <c r="X33" s="560">
        <f t="shared" si="24"/>
        <v>7</v>
      </c>
      <c r="Y33" s="633"/>
      <c r="Z33" s="560">
        <v>12</v>
      </c>
      <c r="AA33" s="562">
        <v>1229.9999999999982</v>
      </c>
      <c r="AB33" s="562">
        <v>102.49999999999984</v>
      </c>
      <c r="AC33" s="560">
        <f t="shared" si="26"/>
        <v>7</v>
      </c>
      <c r="AD33" s="633"/>
      <c r="AE33" s="560">
        <v>12</v>
      </c>
      <c r="AF33" s="562">
        <v>1559.9999999999916</v>
      </c>
      <c r="AG33" s="562">
        <v>129.99999999999929</v>
      </c>
      <c r="AH33" s="560">
        <f t="shared" si="28"/>
        <v>6</v>
      </c>
      <c r="AI33" s="633"/>
      <c r="AJ33" s="560">
        <v>12</v>
      </c>
      <c r="AK33" s="562">
        <v>1567.5000000000055</v>
      </c>
      <c r="AL33" s="562">
        <v>130.62500000000045</v>
      </c>
      <c r="AM33" s="560">
        <f t="shared" si="30"/>
        <v>6</v>
      </c>
      <c r="AN33" s="633"/>
      <c r="AO33" s="560">
        <v>12</v>
      </c>
      <c r="AP33" s="562">
        <v>1652.3076923076878</v>
      </c>
      <c r="AQ33" s="562">
        <v>137.69230769230731</v>
      </c>
      <c r="AR33" s="560">
        <f t="shared" si="32"/>
        <v>5</v>
      </c>
      <c r="AS33" s="633"/>
      <c r="AT33" s="560">
        <v>12</v>
      </c>
      <c r="AU33" s="562">
        <v>1631.9999999999973</v>
      </c>
      <c r="AV33" s="562">
        <v>135.99999999999977</v>
      </c>
      <c r="AW33" s="560">
        <f t="shared" si="34"/>
        <v>6</v>
      </c>
      <c r="AX33" s="633"/>
      <c r="AZ33" s="357" t="e">
        <f t="shared" si="36"/>
        <v>#N/A</v>
      </c>
      <c r="BA33" s="633"/>
    </row>
    <row r="34" spans="2:53">
      <c r="B34" s="643"/>
      <c r="C34" s="368">
        <v>8</v>
      </c>
      <c r="D34" s="220" t="s">
        <v>581</v>
      </c>
      <c r="E34" s="559">
        <v>7</v>
      </c>
      <c r="F34" s="553">
        <v>1500</v>
      </c>
      <c r="G34" s="552">
        <v>214.28571428571428</v>
      </c>
      <c r="H34" s="651"/>
      <c r="I34" s="369">
        <f t="shared" si="19"/>
        <v>7</v>
      </c>
      <c r="J34" s="369">
        <f t="shared" si="20"/>
        <v>1452.7823248885563</v>
      </c>
      <c r="K34" s="194">
        <f t="shared" si="21"/>
        <v>207.54033212693662</v>
      </c>
      <c r="L34" s="653"/>
      <c r="M34" s="375">
        <f>RANK(K34, K$24:$K$41)</f>
        <v>2</v>
      </c>
      <c r="N34" s="637"/>
      <c r="O34" s="637"/>
      <c r="P34" s="560">
        <v>7</v>
      </c>
      <c r="Q34" s="562">
        <v>1453.4999999999995</v>
      </c>
      <c r="R34" s="562">
        <v>207.64285714285708</v>
      </c>
      <c r="S34" s="560">
        <f t="shared" si="22"/>
        <v>3</v>
      </c>
      <c r="T34" s="633"/>
      <c r="U34" s="560">
        <v>7</v>
      </c>
      <c r="V34" s="562">
        <v>1428.5714285714282</v>
      </c>
      <c r="W34" s="562">
        <v>204.08163265306118</v>
      </c>
      <c r="X34" s="560">
        <f t="shared" si="24"/>
        <v>4</v>
      </c>
      <c r="Y34" s="633"/>
      <c r="Z34" s="560">
        <v>7</v>
      </c>
      <c r="AA34" s="562">
        <v>1455.7894736842095</v>
      </c>
      <c r="AB34" s="562">
        <v>207.96992481202992</v>
      </c>
      <c r="AC34" s="560">
        <f t="shared" si="26"/>
        <v>2</v>
      </c>
      <c r="AD34" s="633"/>
      <c r="AE34" s="560">
        <v>7</v>
      </c>
      <c r="AF34" s="562">
        <v>1473.1034482758632</v>
      </c>
      <c r="AG34" s="562">
        <v>210.44334975369475</v>
      </c>
      <c r="AH34" s="560">
        <f t="shared" si="28"/>
        <v>1</v>
      </c>
      <c r="AI34" s="633"/>
      <c r="AJ34" s="560">
        <v>7</v>
      </c>
      <c r="AK34" s="562">
        <v>1476.0000000000005</v>
      </c>
      <c r="AL34" s="562">
        <v>210.85714285714292</v>
      </c>
      <c r="AM34" s="560">
        <f t="shared" si="30"/>
        <v>1</v>
      </c>
      <c r="AN34" s="633"/>
      <c r="AO34" s="560">
        <v>7</v>
      </c>
      <c r="AP34" s="562">
        <v>1444.8648648648639</v>
      </c>
      <c r="AQ34" s="562">
        <v>206.40926640926628</v>
      </c>
      <c r="AR34" s="560">
        <f t="shared" si="32"/>
        <v>4</v>
      </c>
      <c r="AS34" s="633"/>
      <c r="AT34" s="560">
        <v>7</v>
      </c>
      <c r="AU34" s="562">
        <v>1437.64705882353</v>
      </c>
      <c r="AV34" s="562">
        <v>205.37815126050427</v>
      </c>
      <c r="AW34" s="560">
        <f t="shared" si="34"/>
        <v>4</v>
      </c>
      <c r="AX34" s="633"/>
      <c r="AZ34" s="357" t="e">
        <f t="shared" si="36"/>
        <v>#N/A</v>
      </c>
      <c r="BA34" s="633"/>
    </row>
    <row r="35" spans="2:53">
      <c r="B35" s="643"/>
      <c r="C35" s="368">
        <v>9</v>
      </c>
      <c r="D35" s="220"/>
      <c r="E35" s="559"/>
      <c r="F35" s="553"/>
      <c r="G35" s="552"/>
      <c r="H35" s="651"/>
      <c r="I35" s="369" t="str">
        <f t="shared" si="19"/>
        <v>-</v>
      </c>
      <c r="J35" s="369" t="str">
        <f t="shared" si="20"/>
        <v>-</v>
      </c>
      <c r="K35" s="194" t="str">
        <f t="shared" si="21"/>
        <v>-</v>
      </c>
      <c r="L35" s="653"/>
      <c r="M35" s="375" t="e">
        <f>RANK(K35, K$24:$K$41)</f>
        <v>#VALUE!</v>
      </c>
      <c r="N35" s="637"/>
      <c r="O35" s="637"/>
      <c r="P35" s="560" t="s">
        <v>557</v>
      </c>
      <c r="Q35" s="562" t="s">
        <v>557</v>
      </c>
      <c r="R35" s="562" t="s">
        <v>557</v>
      </c>
      <c r="S35" s="560" t="e">
        <f t="shared" si="22"/>
        <v>#VALUE!</v>
      </c>
      <c r="T35" s="633"/>
      <c r="U35" s="560" t="s">
        <v>557</v>
      </c>
      <c r="V35" s="562" t="s">
        <v>557</v>
      </c>
      <c r="W35" s="562" t="s">
        <v>557</v>
      </c>
      <c r="X35" s="560" t="e">
        <f t="shared" si="24"/>
        <v>#VALUE!</v>
      </c>
      <c r="Y35" s="633"/>
      <c r="Z35" s="560" t="s">
        <v>557</v>
      </c>
      <c r="AA35" s="562" t="s">
        <v>557</v>
      </c>
      <c r="AB35" s="562" t="s">
        <v>557</v>
      </c>
      <c r="AC35" s="560" t="e">
        <f t="shared" si="26"/>
        <v>#VALUE!</v>
      </c>
      <c r="AD35" s="633"/>
      <c r="AE35" s="560" t="s">
        <v>557</v>
      </c>
      <c r="AF35" s="562" t="s">
        <v>557</v>
      </c>
      <c r="AG35" s="562" t="s">
        <v>557</v>
      </c>
      <c r="AH35" s="560" t="e">
        <f t="shared" si="28"/>
        <v>#VALUE!</v>
      </c>
      <c r="AI35" s="633"/>
      <c r="AJ35" s="560" t="s">
        <v>557</v>
      </c>
      <c r="AK35" s="562" t="s">
        <v>557</v>
      </c>
      <c r="AL35" s="562" t="s">
        <v>557</v>
      </c>
      <c r="AM35" s="560" t="e">
        <f t="shared" si="30"/>
        <v>#VALUE!</v>
      </c>
      <c r="AN35" s="633"/>
      <c r="AO35" s="560" t="s">
        <v>557</v>
      </c>
      <c r="AP35" s="562" t="s">
        <v>557</v>
      </c>
      <c r="AQ35" s="562" t="s">
        <v>557</v>
      </c>
      <c r="AR35" s="560" t="e">
        <f t="shared" si="32"/>
        <v>#VALUE!</v>
      </c>
      <c r="AS35" s="633"/>
      <c r="AT35" s="560" t="s">
        <v>557</v>
      </c>
      <c r="AU35" s="562" t="s">
        <v>557</v>
      </c>
      <c r="AV35" s="562" t="s">
        <v>557</v>
      </c>
      <c r="AW35" s="560" t="e">
        <f t="shared" si="34"/>
        <v>#VALUE!</v>
      </c>
      <c r="AX35" s="633"/>
      <c r="AZ35" s="357" t="e">
        <f t="shared" si="36"/>
        <v>#N/A</v>
      </c>
      <c r="BA35" s="633"/>
    </row>
    <row r="36" spans="2:53">
      <c r="B36" s="643"/>
      <c r="C36" s="368">
        <v>10</v>
      </c>
      <c r="D36" s="220"/>
      <c r="E36" s="559"/>
      <c r="F36" s="553"/>
      <c r="G36" s="552"/>
      <c r="H36" s="651"/>
      <c r="I36" s="369" t="str">
        <f t="shared" si="19"/>
        <v>-</v>
      </c>
      <c r="J36" s="369" t="str">
        <f t="shared" si="20"/>
        <v>-</v>
      </c>
      <c r="K36" s="194" t="str">
        <f t="shared" si="21"/>
        <v>-</v>
      </c>
      <c r="L36" s="653"/>
      <c r="M36" s="375" t="e">
        <f>RANK(K36, K$24:$K$41)</f>
        <v>#VALUE!</v>
      </c>
      <c r="N36" s="637"/>
      <c r="O36" s="637"/>
      <c r="P36" s="560" t="s">
        <v>557</v>
      </c>
      <c r="Q36" s="562" t="s">
        <v>557</v>
      </c>
      <c r="R36" s="562" t="s">
        <v>557</v>
      </c>
      <c r="S36" s="560" t="e">
        <f t="shared" si="22"/>
        <v>#VALUE!</v>
      </c>
      <c r="T36" s="633"/>
      <c r="U36" s="560" t="s">
        <v>557</v>
      </c>
      <c r="V36" s="562" t="s">
        <v>557</v>
      </c>
      <c r="W36" s="562" t="s">
        <v>557</v>
      </c>
      <c r="X36" s="560" t="e">
        <f t="shared" si="24"/>
        <v>#VALUE!</v>
      </c>
      <c r="Y36" s="633"/>
      <c r="Z36" s="560" t="s">
        <v>557</v>
      </c>
      <c r="AA36" s="562" t="s">
        <v>557</v>
      </c>
      <c r="AB36" s="562" t="s">
        <v>557</v>
      </c>
      <c r="AC36" s="560" t="e">
        <f t="shared" si="26"/>
        <v>#VALUE!</v>
      </c>
      <c r="AD36" s="633"/>
      <c r="AE36" s="560" t="s">
        <v>557</v>
      </c>
      <c r="AF36" s="562" t="s">
        <v>557</v>
      </c>
      <c r="AG36" s="562" t="s">
        <v>557</v>
      </c>
      <c r="AH36" s="560" t="e">
        <f t="shared" si="28"/>
        <v>#VALUE!</v>
      </c>
      <c r="AI36" s="633"/>
      <c r="AJ36" s="560" t="s">
        <v>557</v>
      </c>
      <c r="AK36" s="562" t="s">
        <v>557</v>
      </c>
      <c r="AL36" s="562" t="s">
        <v>557</v>
      </c>
      <c r="AM36" s="560" t="e">
        <f t="shared" si="30"/>
        <v>#VALUE!</v>
      </c>
      <c r="AN36" s="633"/>
      <c r="AO36" s="560" t="s">
        <v>557</v>
      </c>
      <c r="AP36" s="562" t="s">
        <v>557</v>
      </c>
      <c r="AQ36" s="562" t="s">
        <v>557</v>
      </c>
      <c r="AR36" s="560" t="e">
        <f t="shared" si="32"/>
        <v>#VALUE!</v>
      </c>
      <c r="AS36" s="633"/>
      <c r="AT36" s="560" t="s">
        <v>557</v>
      </c>
      <c r="AU36" s="562" t="s">
        <v>557</v>
      </c>
      <c r="AV36" s="562" t="s">
        <v>557</v>
      </c>
      <c r="AW36" s="560" t="e">
        <f t="shared" si="34"/>
        <v>#VALUE!</v>
      </c>
      <c r="AX36" s="633"/>
      <c r="AZ36" s="357" t="e">
        <f t="shared" si="36"/>
        <v>#N/A</v>
      </c>
      <c r="BA36" s="633"/>
    </row>
    <row r="37" spans="2:53">
      <c r="B37" s="643"/>
      <c r="C37" s="368">
        <v>11</v>
      </c>
      <c r="D37" s="220"/>
      <c r="E37" s="559"/>
      <c r="F37" s="553"/>
      <c r="G37" s="552"/>
      <c r="H37" s="651"/>
      <c r="I37" s="369" t="str">
        <f t="shared" si="19"/>
        <v>-</v>
      </c>
      <c r="J37" s="369" t="str">
        <f t="shared" si="20"/>
        <v>-</v>
      </c>
      <c r="K37" s="194" t="str">
        <f t="shared" si="21"/>
        <v>-</v>
      </c>
      <c r="L37" s="653"/>
      <c r="M37" s="375" t="e">
        <f>RANK(K37, K$24:$K$41)</f>
        <v>#VALUE!</v>
      </c>
      <c r="N37" s="637"/>
      <c r="O37" s="637"/>
      <c r="P37" s="560" t="s">
        <v>557</v>
      </c>
      <c r="Q37" s="562" t="s">
        <v>557</v>
      </c>
      <c r="R37" s="562" t="s">
        <v>557</v>
      </c>
      <c r="S37" s="560" t="e">
        <f t="shared" si="22"/>
        <v>#VALUE!</v>
      </c>
      <c r="T37" s="633"/>
      <c r="U37" s="560" t="s">
        <v>557</v>
      </c>
      <c r="V37" s="562" t="s">
        <v>557</v>
      </c>
      <c r="W37" s="562" t="s">
        <v>557</v>
      </c>
      <c r="X37" s="560" t="e">
        <f t="shared" si="24"/>
        <v>#VALUE!</v>
      </c>
      <c r="Y37" s="633"/>
      <c r="Z37" s="560" t="s">
        <v>557</v>
      </c>
      <c r="AA37" s="562" t="s">
        <v>557</v>
      </c>
      <c r="AB37" s="562" t="s">
        <v>557</v>
      </c>
      <c r="AC37" s="560" t="e">
        <f t="shared" si="26"/>
        <v>#VALUE!</v>
      </c>
      <c r="AD37" s="633"/>
      <c r="AE37" s="560" t="s">
        <v>557</v>
      </c>
      <c r="AF37" s="562" t="s">
        <v>557</v>
      </c>
      <c r="AG37" s="562" t="s">
        <v>557</v>
      </c>
      <c r="AH37" s="560" t="e">
        <f t="shared" si="28"/>
        <v>#VALUE!</v>
      </c>
      <c r="AI37" s="633"/>
      <c r="AJ37" s="560" t="s">
        <v>557</v>
      </c>
      <c r="AK37" s="562" t="s">
        <v>557</v>
      </c>
      <c r="AL37" s="562" t="s">
        <v>557</v>
      </c>
      <c r="AM37" s="560" t="e">
        <f t="shared" si="30"/>
        <v>#VALUE!</v>
      </c>
      <c r="AN37" s="633"/>
      <c r="AO37" s="560" t="s">
        <v>557</v>
      </c>
      <c r="AP37" s="562" t="s">
        <v>557</v>
      </c>
      <c r="AQ37" s="562" t="s">
        <v>557</v>
      </c>
      <c r="AR37" s="560" t="e">
        <f t="shared" si="32"/>
        <v>#VALUE!</v>
      </c>
      <c r="AS37" s="633"/>
      <c r="AT37" s="560" t="s">
        <v>557</v>
      </c>
      <c r="AU37" s="562" t="s">
        <v>557</v>
      </c>
      <c r="AV37" s="562" t="s">
        <v>557</v>
      </c>
      <c r="AW37" s="560" t="e">
        <f t="shared" si="34"/>
        <v>#VALUE!</v>
      </c>
      <c r="AX37" s="633"/>
      <c r="AZ37" s="357" t="e">
        <f t="shared" si="36"/>
        <v>#N/A</v>
      </c>
      <c r="BA37" s="633"/>
    </row>
    <row r="38" spans="2:53">
      <c r="B38" s="643"/>
      <c r="C38" s="368">
        <v>12</v>
      </c>
      <c r="D38" s="220"/>
      <c r="E38" s="559"/>
      <c r="F38" s="553"/>
      <c r="G38" s="552"/>
      <c r="H38" s="651"/>
      <c r="I38" s="369" t="str">
        <f t="shared" si="19"/>
        <v>-</v>
      </c>
      <c r="J38" s="369" t="str">
        <f t="shared" si="20"/>
        <v>-</v>
      </c>
      <c r="K38" s="194" t="str">
        <f t="shared" si="21"/>
        <v>-</v>
      </c>
      <c r="L38" s="653"/>
      <c r="M38" s="375" t="e">
        <f>RANK(K38, K$24:$K$41)</f>
        <v>#VALUE!</v>
      </c>
      <c r="N38" s="637"/>
      <c r="O38" s="637"/>
      <c r="P38" s="560" t="s">
        <v>557</v>
      </c>
      <c r="Q38" s="562" t="s">
        <v>557</v>
      </c>
      <c r="R38" s="562" t="s">
        <v>557</v>
      </c>
      <c r="S38" s="560" t="e">
        <f t="shared" si="22"/>
        <v>#VALUE!</v>
      </c>
      <c r="T38" s="633"/>
      <c r="U38" s="560" t="s">
        <v>557</v>
      </c>
      <c r="V38" s="562" t="s">
        <v>557</v>
      </c>
      <c r="W38" s="562" t="s">
        <v>557</v>
      </c>
      <c r="X38" s="560" t="e">
        <f t="shared" si="24"/>
        <v>#VALUE!</v>
      </c>
      <c r="Y38" s="633"/>
      <c r="Z38" s="560" t="s">
        <v>557</v>
      </c>
      <c r="AA38" s="562" t="s">
        <v>557</v>
      </c>
      <c r="AB38" s="562" t="s">
        <v>557</v>
      </c>
      <c r="AC38" s="560" t="e">
        <f t="shared" si="26"/>
        <v>#VALUE!</v>
      </c>
      <c r="AD38" s="633"/>
      <c r="AE38" s="560" t="s">
        <v>557</v>
      </c>
      <c r="AF38" s="562" t="s">
        <v>557</v>
      </c>
      <c r="AG38" s="562" t="s">
        <v>557</v>
      </c>
      <c r="AH38" s="560" t="e">
        <f t="shared" si="28"/>
        <v>#VALUE!</v>
      </c>
      <c r="AI38" s="633"/>
      <c r="AJ38" s="560" t="s">
        <v>557</v>
      </c>
      <c r="AK38" s="562" t="s">
        <v>557</v>
      </c>
      <c r="AL38" s="562" t="s">
        <v>557</v>
      </c>
      <c r="AM38" s="560" t="e">
        <f t="shared" si="30"/>
        <v>#VALUE!</v>
      </c>
      <c r="AN38" s="633"/>
      <c r="AO38" s="560" t="s">
        <v>557</v>
      </c>
      <c r="AP38" s="562" t="s">
        <v>557</v>
      </c>
      <c r="AQ38" s="562" t="s">
        <v>557</v>
      </c>
      <c r="AR38" s="560" t="e">
        <f t="shared" si="32"/>
        <v>#VALUE!</v>
      </c>
      <c r="AS38" s="633"/>
      <c r="AT38" s="560" t="s">
        <v>557</v>
      </c>
      <c r="AU38" s="562" t="s">
        <v>557</v>
      </c>
      <c r="AV38" s="562" t="s">
        <v>557</v>
      </c>
      <c r="AW38" s="560" t="e">
        <f t="shared" si="34"/>
        <v>#VALUE!</v>
      </c>
      <c r="AX38" s="633"/>
      <c r="AZ38" s="357" t="e">
        <f t="shared" si="36"/>
        <v>#N/A</v>
      </c>
      <c r="BA38" s="633"/>
    </row>
    <row r="39" spans="2:53">
      <c r="B39" s="643"/>
      <c r="C39" s="368">
        <v>13</v>
      </c>
      <c r="D39" s="220"/>
      <c r="E39" s="559"/>
      <c r="F39" s="553"/>
      <c r="G39" s="552"/>
      <c r="H39" s="651"/>
      <c r="I39" s="369" t="str">
        <f t="shared" si="19"/>
        <v>-</v>
      </c>
      <c r="J39" s="369" t="str">
        <f t="shared" si="20"/>
        <v>-</v>
      </c>
      <c r="K39" s="194" t="str">
        <f t="shared" si="21"/>
        <v>-</v>
      </c>
      <c r="L39" s="653"/>
      <c r="M39" s="375" t="e">
        <f>RANK(K39, K$24:$K$41)</f>
        <v>#VALUE!</v>
      </c>
      <c r="N39" s="637"/>
      <c r="O39" s="637"/>
      <c r="P39" s="560" t="s">
        <v>557</v>
      </c>
      <c r="Q39" s="562" t="s">
        <v>557</v>
      </c>
      <c r="R39" s="562" t="s">
        <v>557</v>
      </c>
      <c r="S39" s="560" t="e">
        <f t="shared" si="22"/>
        <v>#VALUE!</v>
      </c>
      <c r="T39" s="633"/>
      <c r="U39" s="560" t="s">
        <v>557</v>
      </c>
      <c r="V39" s="562" t="s">
        <v>557</v>
      </c>
      <c r="W39" s="562" t="s">
        <v>557</v>
      </c>
      <c r="X39" s="560" t="e">
        <f t="shared" si="24"/>
        <v>#VALUE!</v>
      </c>
      <c r="Y39" s="633"/>
      <c r="Z39" s="560" t="s">
        <v>557</v>
      </c>
      <c r="AA39" s="562" t="s">
        <v>557</v>
      </c>
      <c r="AB39" s="562" t="s">
        <v>557</v>
      </c>
      <c r="AC39" s="560" t="e">
        <f t="shared" si="26"/>
        <v>#VALUE!</v>
      </c>
      <c r="AD39" s="633"/>
      <c r="AE39" s="560" t="s">
        <v>557</v>
      </c>
      <c r="AF39" s="562" t="s">
        <v>557</v>
      </c>
      <c r="AG39" s="562" t="s">
        <v>557</v>
      </c>
      <c r="AH39" s="560" t="e">
        <f t="shared" si="28"/>
        <v>#VALUE!</v>
      </c>
      <c r="AI39" s="633"/>
      <c r="AJ39" s="560" t="s">
        <v>557</v>
      </c>
      <c r="AK39" s="562" t="s">
        <v>557</v>
      </c>
      <c r="AL39" s="562" t="s">
        <v>557</v>
      </c>
      <c r="AM39" s="560" t="e">
        <f t="shared" si="30"/>
        <v>#VALUE!</v>
      </c>
      <c r="AN39" s="633"/>
      <c r="AO39" s="560" t="s">
        <v>557</v>
      </c>
      <c r="AP39" s="562" t="s">
        <v>557</v>
      </c>
      <c r="AQ39" s="562" t="s">
        <v>557</v>
      </c>
      <c r="AR39" s="560" t="e">
        <f t="shared" si="32"/>
        <v>#VALUE!</v>
      </c>
      <c r="AS39" s="633"/>
      <c r="AT39" s="560" t="s">
        <v>557</v>
      </c>
      <c r="AU39" s="562" t="s">
        <v>557</v>
      </c>
      <c r="AV39" s="562" t="s">
        <v>557</v>
      </c>
      <c r="AW39" s="560" t="e">
        <f t="shared" si="34"/>
        <v>#VALUE!</v>
      </c>
      <c r="AX39" s="633"/>
      <c r="AZ39" s="357" t="e">
        <f t="shared" si="36"/>
        <v>#N/A</v>
      </c>
      <c r="BA39" s="633"/>
    </row>
    <row r="40" spans="2:53">
      <c r="B40" s="643"/>
      <c r="C40" s="368">
        <v>14</v>
      </c>
      <c r="D40" s="220"/>
      <c r="E40" s="559"/>
      <c r="F40" s="553"/>
      <c r="G40" s="552"/>
      <c r="H40" s="651"/>
      <c r="I40" s="369" t="str">
        <f t="shared" si="19"/>
        <v>-</v>
      </c>
      <c r="J40" s="369" t="str">
        <f t="shared" si="20"/>
        <v>-</v>
      </c>
      <c r="K40" s="194" t="str">
        <f t="shared" si="21"/>
        <v>-</v>
      </c>
      <c r="L40" s="653"/>
      <c r="M40" s="375" t="e">
        <f>RANK(K40, K$24:$K$41)</f>
        <v>#VALUE!</v>
      </c>
      <c r="N40" s="637"/>
      <c r="O40" s="637"/>
      <c r="P40" s="560" t="s">
        <v>557</v>
      </c>
      <c r="Q40" s="562" t="s">
        <v>557</v>
      </c>
      <c r="R40" s="562" t="s">
        <v>557</v>
      </c>
      <c r="S40" s="560" t="e">
        <f t="shared" si="22"/>
        <v>#VALUE!</v>
      </c>
      <c r="T40" s="633"/>
      <c r="U40" s="560" t="s">
        <v>557</v>
      </c>
      <c r="V40" s="562" t="s">
        <v>557</v>
      </c>
      <c r="W40" s="562" t="s">
        <v>557</v>
      </c>
      <c r="X40" s="560" t="e">
        <f t="shared" si="24"/>
        <v>#VALUE!</v>
      </c>
      <c r="Y40" s="633"/>
      <c r="Z40" s="560" t="s">
        <v>557</v>
      </c>
      <c r="AA40" s="562" t="s">
        <v>557</v>
      </c>
      <c r="AB40" s="562" t="s">
        <v>557</v>
      </c>
      <c r="AC40" s="560" t="e">
        <f t="shared" si="26"/>
        <v>#VALUE!</v>
      </c>
      <c r="AD40" s="633"/>
      <c r="AE40" s="560" t="s">
        <v>557</v>
      </c>
      <c r="AF40" s="562" t="s">
        <v>557</v>
      </c>
      <c r="AG40" s="562" t="s">
        <v>557</v>
      </c>
      <c r="AH40" s="560" t="e">
        <f t="shared" si="28"/>
        <v>#VALUE!</v>
      </c>
      <c r="AI40" s="633"/>
      <c r="AJ40" s="560" t="s">
        <v>557</v>
      </c>
      <c r="AK40" s="562" t="s">
        <v>557</v>
      </c>
      <c r="AL40" s="562" t="s">
        <v>557</v>
      </c>
      <c r="AM40" s="560" t="e">
        <f t="shared" si="30"/>
        <v>#VALUE!</v>
      </c>
      <c r="AN40" s="633"/>
      <c r="AO40" s="560" t="s">
        <v>557</v>
      </c>
      <c r="AP40" s="562" t="s">
        <v>557</v>
      </c>
      <c r="AQ40" s="562" t="s">
        <v>557</v>
      </c>
      <c r="AR40" s="560" t="e">
        <f t="shared" si="32"/>
        <v>#VALUE!</v>
      </c>
      <c r="AS40" s="633"/>
      <c r="AT40" s="560" t="s">
        <v>557</v>
      </c>
      <c r="AU40" s="562" t="s">
        <v>557</v>
      </c>
      <c r="AV40" s="562" t="s">
        <v>557</v>
      </c>
      <c r="AW40" s="560" t="e">
        <f t="shared" si="34"/>
        <v>#VALUE!</v>
      </c>
      <c r="AX40" s="633"/>
      <c r="AZ40" s="357" t="e">
        <f t="shared" si="36"/>
        <v>#N/A</v>
      </c>
      <c r="BA40" s="633"/>
    </row>
    <row r="41" spans="2:53">
      <c r="B41" s="643"/>
      <c r="C41" s="368">
        <v>15</v>
      </c>
      <c r="D41" s="220"/>
      <c r="E41" s="559"/>
      <c r="F41" s="553"/>
      <c r="G41" s="552"/>
      <c r="H41" s="708"/>
      <c r="I41" s="368"/>
      <c r="J41" s="368"/>
      <c r="K41" s="368"/>
      <c r="L41" s="654"/>
      <c r="M41" s="375" t="e">
        <f>RANK(K41, K$24:$K$41)</f>
        <v>#N/A</v>
      </c>
      <c r="N41" s="637"/>
      <c r="O41" s="637"/>
      <c r="P41" s="560" t="s">
        <v>557</v>
      </c>
      <c r="Q41" s="562" t="s">
        <v>557</v>
      </c>
      <c r="R41" s="562" t="s">
        <v>557</v>
      </c>
      <c r="S41" s="560" t="e">
        <f t="shared" si="22"/>
        <v>#VALUE!</v>
      </c>
      <c r="T41" s="634"/>
      <c r="U41" s="560" t="s">
        <v>557</v>
      </c>
      <c r="V41" s="562" t="s">
        <v>557</v>
      </c>
      <c r="W41" s="562" t="s">
        <v>557</v>
      </c>
      <c r="X41" s="560" t="e">
        <f t="shared" si="24"/>
        <v>#VALUE!</v>
      </c>
      <c r="Y41" s="634"/>
      <c r="Z41" s="560" t="s">
        <v>557</v>
      </c>
      <c r="AA41" s="562" t="s">
        <v>557</v>
      </c>
      <c r="AB41" s="562" t="s">
        <v>557</v>
      </c>
      <c r="AC41" s="560" t="e">
        <f t="shared" si="26"/>
        <v>#VALUE!</v>
      </c>
      <c r="AD41" s="634"/>
      <c r="AE41" s="560" t="s">
        <v>557</v>
      </c>
      <c r="AF41" s="562" t="s">
        <v>557</v>
      </c>
      <c r="AG41" s="562" t="s">
        <v>557</v>
      </c>
      <c r="AH41" s="560" t="e">
        <f t="shared" si="28"/>
        <v>#VALUE!</v>
      </c>
      <c r="AI41" s="634"/>
      <c r="AJ41" s="560" t="s">
        <v>557</v>
      </c>
      <c r="AK41" s="562" t="s">
        <v>557</v>
      </c>
      <c r="AL41" s="562" t="s">
        <v>557</v>
      </c>
      <c r="AM41" s="560" t="e">
        <f t="shared" si="30"/>
        <v>#VALUE!</v>
      </c>
      <c r="AN41" s="634"/>
      <c r="AO41" s="560" t="s">
        <v>557</v>
      </c>
      <c r="AP41" s="562" t="s">
        <v>557</v>
      </c>
      <c r="AQ41" s="562" t="s">
        <v>557</v>
      </c>
      <c r="AR41" s="560" t="e">
        <f t="shared" si="32"/>
        <v>#VALUE!</v>
      </c>
      <c r="AS41" s="634"/>
      <c r="AT41" s="560" t="s">
        <v>557</v>
      </c>
      <c r="AU41" s="562" t="s">
        <v>557</v>
      </c>
      <c r="AV41" s="562" t="s">
        <v>557</v>
      </c>
      <c r="AW41" s="560" t="e">
        <f t="shared" si="34"/>
        <v>#VALUE!</v>
      </c>
      <c r="AX41" s="634"/>
      <c r="AZ41" s="357" t="e">
        <f t="shared" si="36"/>
        <v>#N/A</v>
      </c>
      <c r="BA41" s="634"/>
    </row>
    <row r="42" spans="2:53" ht="15.75">
      <c r="B42" s="676" t="s">
        <v>162</v>
      </c>
      <c r="C42" s="677"/>
      <c r="D42" s="677"/>
      <c r="E42" s="677"/>
      <c r="F42" s="677"/>
      <c r="G42" s="677"/>
      <c r="H42" s="677"/>
      <c r="I42" s="202"/>
      <c r="J42" s="197"/>
      <c r="K42" s="202"/>
      <c r="L42" s="202"/>
      <c r="M42" s="198"/>
      <c r="N42" s="639" t="s">
        <v>156</v>
      </c>
      <c r="O42" s="639" t="s">
        <v>105</v>
      </c>
      <c r="P42" s="664">
        <f>P22+7</f>
        <v>46308</v>
      </c>
      <c r="Q42" s="643"/>
      <c r="R42" s="643"/>
      <c r="S42" s="643"/>
      <c r="T42" s="643"/>
      <c r="U42" s="661">
        <f>P42+1</f>
        <v>46309</v>
      </c>
      <c r="V42" s="662"/>
      <c r="W42" s="662"/>
      <c r="X42" s="662"/>
      <c r="Y42" s="663"/>
      <c r="Z42" s="661">
        <f>U42+1</f>
        <v>46310</v>
      </c>
      <c r="AA42" s="662"/>
      <c r="AB42" s="662"/>
      <c r="AC42" s="662"/>
      <c r="AD42" s="663"/>
      <c r="AE42" s="661">
        <f>Z42+1</f>
        <v>46311</v>
      </c>
      <c r="AF42" s="662"/>
      <c r="AG42" s="662"/>
      <c r="AH42" s="662"/>
      <c r="AI42" s="663"/>
      <c r="AJ42" s="661">
        <f>AE42+1</f>
        <v>46312</v>
      </c>
      <c r="AK42" s="662"/>
      <c r="AL42" s="662"/>
      <c r="AM42" s="662"/>
      <c r="AN42" s="663"/>
      <c r="AO42" s="661">
        <f>AJ42+1</f>
        <v>46313</v>
      </c>
      <c r="AP42" s="662"/>
      <c r="AQ42" s="662"/>
      <c r="AR42" s="662"/>
      <c r="AS42" s="663"/>
      <c r="AT42" s="661">
        <f>AO42+1</f>
        <v>46314</v>
      </c>
      <c r="AU42" s="662"/>
      <c r="AV42" s="662"/>
      <c r="AW42" s="662"/>
      <c r="AX42" s="663"/>
    </row>
    <row r="43" spans="2:53" ht="15.75">
      <c r="B43" s="668"/>
      <c r="C43" s="668"/>
      <c r="D43" s="668"/>
      <c r="E43" s="668"/>
      <c r="F43" s="668"/>
      <c r="G43" s="668"/>
      <c r="H43" s="668"/>
      <c r="I43" s="199"/>
      <c r="J43" s="199"/>
      <c r="K43" s="199"/>
      <c r="L43" s="199"/>
      <c r="M43" s="200"/>
      <c r="N43" s="641"/>
      <c r="O43" s="641"/>
      <c r="P43" s="664" t="s">
        <v>317</v>
      </c>
      <c r="Q43" s="643"/>
      <c r="R43" s="643"/>
      <c r="S43" s="643"/>
      <c r="T43" s="643"/>
      <c r="U43" s="664" t="s">
        <v>318</v>
      </c>
      <c r="V43" s="643"/>
      <c r="W43" s="643"/>
      <c r="X43" s="643"/>
      <c r="Y43" s="643"/>
      <c r="Z43" s="664" t="s">
        <v>319</v>
      </c>
      <c r="AA43" s="643"/>
      <c r="AB43" s="643"/>
      <c r="AC43" s="643"/>
      <c r="AD43" s="643"/>
      <c r="AE43" s="664" t="s">
        <v>320</v>
      </c>
      <c r="AF43" s="643"/>
      <c r="AG43" s="643"/>
      <c r="AH43" s="643"/>
      <c r="AI43" s="643"/>
      <c r="AJ43" s="664" t="s">
        <v>321</v>
      </c>
      <c r="AK43" s="643"/>
      <c r="AL43" s="643"/>
      <c r="AM43" s="643"/>
      <c r="AN43" s="643"/>
      <c r="AO43" s="664" t="s">
        <v>322</v>
      </c>
      <c r="AP43" s="643"/>
      <c r="AQ43" s="643"/>
      <c r="AR43" s="643"/>
      <c r="AS43" s="643"/>
      <c r="AT43" s="664" t="s">
        <v>323</v>
      </c>
      <c r="AU43" s="643"/>
      <c r="AV43" s="643"/>
      <c r="AW43" s="643"/>
      <c r="AX43" s="643"/>
    </row>
    <row r="44" spans="2:53">
      <c r="B44" s="637" t="s">
        <v>444</v>
      </c>
      <c r="C44" s="637" t="s">
        <v>521</v>
      </c>
      <c r="D44" s="637"/>
      <c r="E44" s="637" t="s">
        <v>522</v>
      </c>
      <c r="F44" s="637"/>
      <c r="G44" s="637"/>
      <c r="H44" s="669" t="s">
        <v>523</v>
      </c>
      <c r="I44" s="637" t="s">
        <v>524</v>
      </c>
      <c r="J44" s="637"/>
      <c r="K44" s="637"/>
      <c r="L44" s="669" t="s">
        <v>357</v>
      </c>
      <c r="M44" s="639" t="s">
        <v>525</v>
      </c>
      <c r="N44" s="637"/>
      <c r="O44" s="637" t="s">
        <v>363</v>
      </c>
      <c r="P44" s="655" t="s">
        <v>359</v>
      </c>
      <c r="Q44" s="656"/>
      <c r="R44" s="656"/>
      <c r="S44" s="657"/>
      <c r="T44" s="637" t="s">
        <v>357</v>
      </c>
      <c r="U44" s="655" t="s">
        <v>359</v>
      </c>
      <c r="V44" s="656"/>
      <c r="W44" s="656"/>
      <c r="X44" s="657"/>
      <c r="Y44" s="637" t="s">
        <v>357</v>
      </c>
      <c r="Z44" s="655" t="s">
        <v>359</v>
      </c>
      <c r="AA44" s="656"/>
      <c r="AB44" s="656"/>
      <c r="AC44" s="657"/>
      <c r="AD44" s="637" t="s">
        <v>357</v>
      </c>
      <c r="AE44" s="655" t="s">
        <v>359</v>
      </c>
      <c r="AF44" s="656"/>
      <c r="AG44" s="656"/>
      <c r="AH44" s="657"/>
      <c r="AI44" s="637" t="s">
        <v>357</v>
      </c>
      <c r="AJ44" s="655" t="s">
        <v>359</v>
      </c>
      <c r="AK44" s="656"/>
      <c r="AL44" s="656"/>
      <c r="AM44" s="657"/>
      <c r="AN44" s="637" t="s">
        <v>357</v>
      </c>
      <c r="AO44" s="655" t="s">
        <v>359</v>
      </c>
      <c r="AP44" s="656"/>
      <c r="AQ44" s="656"/>
      <c r="AR44" s="657"/>
      <c r="AS44" s="637" t="s">
        <v>357</v>
      </c>
      <c r="AT44" s="655" t="s">
        <v>359</v>
      </c>
      <c r="AU44" s="656"/>
      <c r="AV44" s="656"/>
      <c r="AW44" s="657"/>
      <c r="AX44" s="637" t="s">
        <v>357</v>
      </c>
      <c r="BA44" s="637" t="s">
        <v>357</v>
      </c>
    </row>
    <row r="45" spans="2:53">
      <c r="B45" s="637"/>
      <c r="C45" s="637"/>
      <c r="D45" s="637"/>
      <c r="E45" s="637" t="s">
        <v>527</v>
      </c>
      <c r="F45" s="637"/>
      <c r="G45" s="637"/>
      <c r="H45" s="670"/>
      <c r="I45" s="637" t="s">
        <v>527</v>
      </c>
      <c r="J45" s="637"/>
      <c r="K45" s="637"/>
      <c r="L45" s="670"/>
      <c r="M45" s="640"/>
      <c r="N45" s="637"/>
      <c r="O45" s="637"/>
      <c r="P45" s="655" t="s">
        <v>365</v>
      </c>
      <c r="Q45" s="656"/>
      <c r="R45" s="656"/>
      <c r="S45" s="657"/>
      <c r="T45" s="637"/>
      <c r="U45" s="655" t="s">
        <v>365</v>
      </c>
      <c r="V45" s="656"/>
      <c r="W45" s="656"/>
      <c r="X45" s="657"/>
      <c r="Y45" s="637"/>
      <c r="Z45" s="655" t="s">
        <v>365</v>
      </c>
      <c r="AA45" s="656"/>
      <c r="AB45" s="656"/>
      <c r="AC45" s="657"/>
      <c r="AD45" s="637"/>
      <c r="AE45" s="655" t="s">
        <v>365</v>
      </c>
      <c r="AF45" s="656"/>
      <c r="AG45" s="656"/>
      <c r="AH45" s="657"/>
      <c r="AI45" s="637"/>
      <c r="AJ45" s="655" t="s">
        <v>365</v>
      </c>
      <c r="AK45" s="656"/>
      <c r="AL45" s="656"/>
      <c r="AM45" s="657"/>
      <c r="AN45" s="637"/>
      <c r="AO45" s="655" t="s">
        <v>365</v>
      </c>
      <c r="AP45" s="656"/>
      <c r="AQ45" s="656"/>
      <c r="AR45" s="657"/>
      <c r="AS45" s="637"/>
      <c r="AT45" s="655" t="s">
        <v>365</v>
      </c>
      <c r="AU45" s="656"/>
      <c r="AV45" s="656"/>
      <c r="AW45" s="657"/>
      <c r="AX45" s="637"/>
      <c r="BA45" s="637"/>
    </row>
    <row r="46" spans="2:53">
      <c r="B46" s="637"/>
      <c r="C46" s="637"/>
      <c r="D46" s="637"/>
      <c r="E46" s="366" t="s">
        <v>528</v>
      </c>
      <c r="F46" s="366" t="s">
        <v>529</v>
      </c>
      <c r="G46" s="366" t="s">
        <v>530</v>
      </c>
      <c r="H46" s="671"/>
      <c r="I46" s="366" t="s">
        <v>528</v>
      </c>
      <c r="J46" s="366" t="s">
        <v>529</v>
      </c>
      <c r="K46" s="366" t="s">
        <v>530</v>
      </c>
      <c r="L46" s="671"/>
      <c r="M46" s="641"/>
      <c r="N46" s="637"/>
      <c r="O46" s="637"/>
      <c r="P46" s="366" t="s">
        <v>366</v>
      </c>
      <c r="Q46" s="366" t="s">
        <v>367</v>
      </c>
      <c r="R46" s="366" t="s">
        <v>368</v>
      </c>
      <c r="S46" s="366" t="s">
        <v>358</v>
      </c>
      <c r="T46" s="637"/>
      <c r="U46" s="366" t="s">
        <v>366</v>
      </c>
      <c r="V46" s="366" t="s">
        <v>367</v>
      </c>
      <c r="W46" s="366" t="s">
        <v>368</v>
      </c>
      <c r="X46" s="366" t="s">
        <v>358</v>
      </c>
      <c r="Y46" s="637"/>
      <c r="Z46" s="366" t="s">
        <v>366</v>
      </c>
      <c r="AA46" s="366" t="s">
        <v>367</v>
      </c>
      <c r="AB46" s="366" t="s">
        <v>368</v>
      </c>
      <c r="AC46" s="366" t="s">
        <v>358</v>
      </c>
      <c r="AD46" s="637"/>
      <c r="AE46" s="366" t="s">
        <v>366</v>
      </c>
      <c r="AF46" s="366" t="s">
        <v>367</v>
      </c>
      <c r="AG46" s="366" t="s">
        <v>368</v>
      </c>
      <c r="AH46" s="366" t="s">
        <v>358</v>
      </c>
      <c r="AI46" s="637"/>
      <c r="AJ46" s="366" t="s">
        <v>366</v>
      </c>
      <c r="AK46" s="366" t="s">
        <v>367</v>
      </c>
      <c r="AL46" s="366" t="s">
        <v>368</v>
      </c>
      <c r="AM46" s="366" t="s">
        <v>358</v>
      </c>
      <c r="AN46" s="637"/>
      <c r="AO46" s="366" t="s">
        <v>366</v>
      </c>
      <c r="AP46" s="366" t="s">
        <v>367</v>
      </c>
      <c r="AQ46" s="366" t="s">
        <v>368</v>
      </c>
      <c r="AR46" s="366" t="s">
        <v>358</v>
      </c>
      <c r="AS46" s="637"/>
      <c r="AT46" s="366" t="s">
        <v>366</v>
      </c>
      <c r="AU46" s="366" t="s">
        <v>367</v>
      </c>
      <c r="AV46" s="366" t="s">
        <v>368</v>
      </c>
      <c r="AW46" s="366" t="s">
        <v>358</v>
      </c>
      <c r="AX46" s="637"/>
      <c r="AZ46" s="356" t="s">
        <v>546</v>
      </c>
      <c r="BA46" s="637"/>
    </row>
    <row r="47" spans="2:53">
      <c r="B47" s="637" t="s">
        <v>460</v>
      </c>
      <c r="C47" s="368">
        <v>1</v>
      </c>
      <c r="D47" s="220"/>
      <c r="E47" s="559"/>
      <c r="F47" s="553"/>
      <c r="G47" s="552"/>
      <c r="H47" s="650" t="e">
        <f>AVERAGE(G47:G61)</f>
        <v>#DIV/0!</v>
      </c>
      <c r="I47" s="369" t="str">
        <f t="shared" ref="I47:I60" si="38">IFERROR(AVERAGE(P47,U47,Z47,AE47,AJ47,AO47,AT47),"-")</f>
        <v>-</v>
      </c>
      <c r="J47" s="369" t="str">
        <f t="shared" ref="J47:J60" si="39">IFERROR(AVERAGE(Q47,V47,AA47,AF47,AK47,AP47,AU47),"-")</f>
        <v>-</v>
      </c>
      <c r="K47" s="194" t="str">
        <f t="shared" ref="K47:K60" si="40">IFERROR(AVERAGE(R47,W47,AB47,AG47,AL47,AQ47,AV47),"-")</f>
        <v>-</v>
      </c>
      <c r="L47" s="652" t="str">
        <f>IFERROR(AVERAGE(K47:K61),"-")</f>
        <v>-</v>
      </c>
      <c r="M47" s="372" t="e">
        <f>RANK(K47, K$47:$K$61)</f>
        <v>#VALUE!</v>
      </c>
      <c r="N47" s="637"/>
      <c r="O47" s="637"/>
      <c r="P47" s="538"/>
      <c r="Q47" s="540"/>
      <c r="R47" s="540"/>
      <c r="S47" s="538"/>
      <c r="T47" s="632"/>
      <c r="U47" s="538"/>
      <c r="V47" s="540"/>
      <c r="W47" s="540"/>
      <c r="X47" s="538"/>
      <c r="Y47" s="632"/>
      <c r="Z47" s="538"/>
      <c r="AA47" s="540"/>
      <c r="AB47" s="540"/>
      <c r="AC47" s="538"/>
      <c r="AD47" s="632"/>
      <c r="AE47" s="538"/>
      <c r="AF47" s="540"/>
      <c r="AG47" s="540"/>
      <c r="AH47" s="538"/>
      <c r="AI47" s="632"/>
      <c r="AJ47" s="538"/>
      <c r="AK47" s="540"/>
      <c r="AL47" s="540"/>
      <c r="AM47" s="538"/>
      <c r="AN47" s="632"/>
      <c r="AO47" s="538"/>
      <c r="AP47" s="540"/>
      <c r="AQ47" s="540"/>
      <c r="AR47" s="538"/>
      <c r="AS47" s="632"/>
      <c r="AT47" s="538"/>
      <c r="AU47" s="540"/>
      <c r="AV47" s="540"/>
      <c r="AW47" s="538"/>
      <c r="AX47" s="632"/>
      <c r="AZ47" s="357" t="e">
        <f t="shared" ref="AZ47:AZ61" si="41">RANK(AY47, AY$47:AY$61)</f>
        <v>#N/A</v>
      </c>
      <c r="BA47" s="632" t="e">
        <f t="shared" ref="BA47" si="42">AVERAGE(AY47:AY61)</f>
        <v>#DIV/0!</v>
      </c>
    </row>
    <row r="48" spans="2:53">
      <c r="B48" s="643"/>
      <c r="C48" s="368">
        <v>2</v>
      </c>
      <c r="D48" s="220"/>
      <c r="E48" s="559"/>
      <c r="F48" s="553"/>
      <c r="G48" s="552"/>
      <c r="H48" s="651"/>
      <c r="I48" s="369" t="str">
        <f t="shared" si="38"/>
        <v>-</v>
      </c>
      <c r="J48" s="369" t="str">
        <f t="shared" si="39"/>
        <v>-</v>
      </c>
      <c r="K48" s="194" t="str">
        <f t="shared" si="40"/>
        <v>-</v>
      </c>
      <c r="L48" s="653"/>
      <c r="M48" s="390" t="e">
        <f>RANK(K48, K$47:$K$61)</f>
        <v>#VALUE!</v>
      </c>
      <c r="N48" s="637"/>
      <c r="O48" s="637"/>
      <c r="P48" s="538"/>
      <c r="Q48" s="540"/>
      <c r="R48" s="540"/>
      <c r="S48" s="538"/>
      <c r="T48" s="633"/>
      <c r="U48" s="538"/>
      <c r="V48" s="540"/>
      <c r="W48" s="540"/>
      <c r="X48" s="538"/>
      <c r="Y48" s="633"/>
      <c r="Z48" s="538"/>
      <c r="AA48" s="540"/>
      <c r="AB48" s="540"/>
      <c r="AC48" s="538"/>
      <c r="AD48" s="633"/>
      <c r="AE48" s="538"/>
      <c r="AF48" s="540"/>
      <c r="AG48" s="540"/>
      <c r="AH48" s="538"/>
      <c r="AI48" s="633"/>
      <c r="AJ48" s="538"/>
      <c r="AK48" s="540"/>
      <c r="AL48" s="540"/>
      <c r="AM48" s="538"/>
      <c r="AN48" s="633"/>
      <c r="AO48" s="538"/>
      <c r="AP48" s="540"/>
      <c r="AQ48" s="540"/>
      <c r="AR48" s="538"/>
      <c r="AS48" s="633"/>
      <c r="AT48" s="538"/>
      <c r="AU48" s="540"/>
      <c r="AV48" s="540"/>
      <c r="AW48" s="538"/>
      <c r="AX48" s="633"/>
      <c r="AZ48" s="357" t="e">
        <f t="shared" si="41"/>
        <v>#N/A</v>
      </c>
      <c r="BA48" s="633"/>
    </row>
    <row r="49" spans="2:53">
      <c r="B49" s="643"/>
      <c r="C49" s="368">
        <v>3</v>
      </c>
      <c r="D49" s="220"/>
      <c r="E49" s="559"/>
      <c r="F49" s="553"/>
      <c r="G49" s="552"/>
      <c r="H49" s="651"/>
      <c r="I49" s="369" t="str">
        <f t="shared" si="38"/>
        <v>-</v>
      </c>
      <c r="J49" s="369" t="str">
        <f t="shared" si="39"/>
        <v>-</v>
      </c>
      <c r="K49" s="194" t="str">
        <f t="shared" si="40"/>
        <v>-</v>
      </c>
      <c r="L49" s="653"/>
      <c r="M49" s="390" t="e">
        <f>RANK(K49, K$47:$K$61)</f>
        <v>#VALUE!</v>
      </c>
      <c r="N49" s="637"/>
      <c r="O49" s="637"/>
      <c r="P49" s="538"/>
      <c r="Q49" s="540"/>
      <c r="R49" s="540"/>
      <c r="S49" s="538"/>
      <c r="T49" s="633"/>
      <c r="U49" s="538"/>
      <c r="V49" s="540"/>
      <c r="W49" s="540"/>
      <c r="X49" s="538"/>
      <c r="Y49" s="633"/>
      <c r="Z49" s="538"/>
      <c r="AA49" s="540"/>
      <c r="AB49" s="540"/>
      <c r="AC49" s="538"/>
      <c r="AD49" s="633"/>
      <c r="AE49" s="538"/>
      <c r="AF49" s="540"/>
      <c r="AG49" s="540"/>
      <c r="AH49" s="538"/>
      <c r="AI49" s="633"/>
      <c r="AJ49" s="538"/>
      <c r="AK49" s="540"/>
      <c r="AL49" s="540"/>
      <c r="AM49" s="538"/>
      <c r="AN49" s="633"/>
      <c r="AO49" s="538"/>
      <c r="AP49" s="540"/>
      <c r="AQ49" s="540"/>
      <c r="AR49" s="538"/>
      <c r="AS49" s="633"/>
      <c r="AT49" s="538"/>
      <c r="AU49" s="540"/>
      <c r="AV49" s="540"/>
      <c r="AW49" s="538"/>
      <c r="AX49" s="633"/>
      <c r="AZ49" s="357" t="e">
        <f t="shared" si="41"/>
        <v>#N/A</v>
      </c>
      <c r="BA49" s="633"/>
    </row>
    <row r="50" spans="2:53">
      <c r="B50" s="643"/>
      <c r="C50" s="368">
        <v>4</v>
      </c>
      <c r="D50" s="220"/>
      <c r="E50" s="559"/>
      <c r="F50" s="553"/>
      <c r="G50" s="552"/>
      <c r="H50" s="651"/>
      <c r="I50" s="369" t="str">
        <f t="shared" si="38"/>
        <v>-</v>
      </c>
      <c r="J50" s="369" t="str">
        <f t="shared" si="39"/>
        <v>-</v>
      </c>
      <c r="K50" s="194" t="str">
        <f t="shared" si="40"/>
        <v>-</v>
      </c>
      <c r="L50" s="653"/>
      <c r="M50" s="390" t="e">
        <f>RANK(K50, K$47:$K$61)</f>
        <v>#VALUE!</v>
      </c>
      <c r="N50" s="637"/>
      <c r="O50" s="637"/>
      <c r="P50" s="538"/>
      <c r="Q50" s="540"/>
      <c r="R50" s="540"/>
      <c r="S50" s="538"/>
      <c r="T50" s="633"/>
      <c r="U50" s="538"/>
      <c r="V50" s="540"/>
      <c r="W50" s="540"/>
      <c r="X50" s="538"/>
      <c r="Y50" s="633"/>
      <c r="Z50" s="538"/>
      <c r="AA50" s="540"/>
      <c r="AB50" s="540"/>
      <c r="AC50" s="538"/>
      <c r="AD50" s="633"/>
      <c r="AE50" s="538"/>
      <c r="AF50" s="540"/>
      <c r="AG50" s="540"/>
      <c r="AH50" s="538"/>
      <c r="AI50" s="633"/>
      <c r="AJ50" s="538"/>
      <c r="AK50" s="540"/>
      <c r="AL50" s="540"/>
      <c r="AM50" s="538"/>
      <c r="AN50" s="633"/>
      <c r="AO50" s="538"/>
      <c r="AP50" s="540"/>
      <c r="AQ50" s="540"/>
      <c r="AR50" s="538"/>
      <c r="AS50" s="633"/>
      <c r="AT50" s="538"/>
      <c r="AU50" s="540"/>
      <c r="AV50" s="540"/>
      <c r="AW50" s="538"/>
      <c r="AX50" s="633"/>
      <c r="AZ50" s="357" t="e">
        <f t="shared" si="41"/>
        <v>#N/A</v>
      </c>
      <c r="BA50" s="633"/>
    </row>
    <row r="51" spans="2:53">
      <c r="B51" s="643"/>
      <c r="C51" s="368">
        <v>5</v>
      </c>
      <c r="D51" s="220"/>
      <c r="E51" s="559"/>
      <c r="F51" s="553"/>
      <c r="G51" s="552"/>
      <c r="H51" s="651"/>
      <c r="I51" s="369" t="str">
        <f t="shared" si="38"/>
        <v>-</v>
      </c>
      <c r="J51" s="369" t="str">
        <f t="shared" si="39"/>
        <v>-</v>
      </c>
      <c r="K51" s="194" t="str">
        <f t="shared" si="40"/>
        <v>-</v>
      </c>
      <c r="L51" s="653"/>
      <c r="M51" s="390" t="e">
        <f>RANK(K51, K$47:$K$61)</f>
        <v>#VALUE!</v>
      </c>
      <c r="N51" s="637"/>
      <c r="O51" s="637"/>
      <c r="P51" s="538"/>
      <c r="Q51" s="540"/>
      <c r="R51" s="540"/>
      <c r="S51" s="538"/>
      <c r="T51" s="633"/>
      <c r="U51" s="538"/>
      <c r="V51" s="540"/>
      <c r="W51" s="540"/>
      <c r="X51" s="538"/>
      <c r="Y51" s="633"/>
      <c r="Z51" s="538"/>
      <c r="AA51" s="540"/>
      <c r="AB51" s="540"/>
      <c r="AC51" s="538"/>
      <c r="AD51" s="633"/>
      <c r="AE51" s="538"/>
      <c r="AF51" s="540"/>
      <c r="AG51" s="540"/>
      <c r="AH51" s="538"/>
      <c r="AI51" s="633"/>
      <c r="AJ51" s="538"/>
      <c r="AK51" s="540"/>
      <c r="AL51" s="540"/>
      <c r="AM51" s="538"/>
      <c r="AN51" s="633"/>
      <c r="AO51" s="538"/>
      <c r="AP51" s="540"/>
      <c r="AQ51" s="540"/>
      <c r="AR51" s="538"/>
      <c r="AS51" s="633"/>
      <c r="AT51" s="538"/>
      <c r="AU51" s="540"/>
      <c r="AV51" s="540"/>
      <c r="AW51" s="538"/>
      <c r="AX51" s="633"/>
      <c r="AZ51" s="357" t="e">
        <f t="shared" si="41"/>
        <v>#N/A</v>
      </c>
      <c r="BA51" s="633"/>
    </row>
    <row r="52" spans="2:53">
      <c r="B52" s="643"/>
      <c r="C52" s="368">
        <v>6</v>
      </c>
      <c r="D52" s="220"/>
      <c r="E52" s="559"/>
      <c r="F52" s="553"/>
      <c r="G52" s="552"/>
      <c r="H52" s="651"/>
      <c r="I52" s="369" t="str">
        <f t="shared" si="38"/>
        <v>-</v>
      </c>
      <c r="J52" s="369" t="str">
        <f t="shared" si="39"/>
        <v>-</v>
      </c>
      <c r="K52" s="194" t="str">
        <f t="shared" si="40"/>
        <v>-</v>
      </c>
      <c r="L52" s="653"/>
      <c r="M52" s="390" t="e">
        <f>RANK(K52, K$47:$K$61)</f>
        <v>#VALUE!</v>
      </c>
      <c r="N52" s="637"/>
      <c r="O52" s="637"/>
      <c r="P52" s="538"/>
      <c r="Q52" s="540"/>
      <c r="R52" s="540"/>
      <c r="S52" s="538"/>
      <c r="T52" s="633"/>
      <c r="U52" s="538"/>
      <c r="V52" s="540"/>
      <c r="W52" s="540"/>
      <c r="X52" s="538"/>
      <c r="Y52" s="633"/>
      <c r="Z52" s="538"/>
      <c r="AA52" s="540"/>
      <c r="AB52" s="540"/>
      <c r="AC52" s="538"/>
      <c r="AD52" s="633"/>
      <c r="AE52" s="538"/>
      <c r="AF52" s="540"/>
      <c r="AG52" s="540"/>
      <c r="AH52" s="538"/>
      <c r="AI52" s="633"/>
      <c r="AJ52" s="538"/>
      <c r="AK52" s="540"/>
      <c r="AL52" s="540"/>
      <c r="AM52" s="538"/>
      <c r="AN52" s="633"/>
      <c r="AO52" s="538"/>
      <c r="AP52" s="540"/>
      <c r="AQ52" s="540"/>
      <c r="AR52" s="538"/>
      <c r="AS52" s="633"/>
      <c r="AT52" s="538"/>
      <c r="AU52" s="540"/>
      <c r="AV52" s="540"/>
      <c r="AW52" s="538"/>
      <c r="AX52" s="633"/>
      <c r="AZ52" s="357" t="e">
        <f t="shared" si="41"/>
        <v>#N/A</v>
      </c>
      <c r="BA52" s="633"/>
    </row>
    <row r="53" spans="2:53">
      <c r="B53" s="643"/>
      <c r="C53" s="368">
        <v>7</v>
      </c>
      <c r="D53" s="220"/>
      <c r="E53" s="559"/>
      <c r="F53" s="553"/>
      <c r="G53" s="552"/>
      <c r="H53" s="651"/>
      <c r="I53" s="369" t="str">
        <f t="shared" si="38"/>
        <v>-</v>
      </c>
      <c r="J53" s="369" t="str">
        <f t="shared" si="39"/>
        <v>-</v>
      </c>
      <c r="K53" s="194" t="str">
        <f t="shared" si="40"/>
        <v>-</v>
      </c>
      <c r="L53" s="653"/>
      <c r="M53" s="390" t="e">
        <f>RANK(K53, K$47:$K$61)</f>
        <v>#VALUE!</v>
      </c>
      <c r="N53" s="637"/>
      <c r="O53" s="637"/>
      <c r="P53" s="538"/>
      <c r="Q53" s="540"/>
      <c r="R53" s="540"/>
      <c r="S53" s="538"/>
      <c r="T53" s="633"/>
      <c r="U53" s="538"/>
      <c r="V53" s="540"/>
      <c r="W53" s="540"/>
      <c r="X53" s="538"/>
      <c r="Y53" s="633"/>
      <c r="Z53" s="538"/>
      <c r="AA53" s="540"/>
      <c r="AB53" s="540"/>
      <c r="AC53" s="538"/>
      <c r="AD53" s="633"/>
      <c r="AE53" s="538"/>
      <c r="AF53" s="540"/>
      <c r="AG53" s="540"/>
      <c r="AH53" s="538"/>
      <c r="AI53" s="633"/>
      <c r="AJ53" s="538"/>
      <c r="AK53" s="540"/>
      <c r="AL53" s="540"/>
      <c r="AM53" s="538"/>
      <c r="AN53" s="633"/>
      <c r="AO53" s="538"/>
      <c r="AP53" s="540"/>
      <c r="AQ53" s="540"/>
      <c r="AR53" s="538"/>
      <c r="AS53" s="633"/>
      <c r="AT53" s="538"/>
      <c r="AU53" s="540"/>
      <c r="AV53" s="540"/>
      <c r="AW53" s="538"/>
      <c r="AX53" s="633"/>
      <c r="AZ53" s="357" t="e">
        <f t="shared" si="41"/>
        <v>#N/A</v>
      </c>
      <c r="BA53" s="633"/>
    </row>
    <row r="54" spans="2:53">
      <c r="B54" s="643"/>
      <c r="C54" s="368">
        <v>8</v>
      </c>
      <c r="D54" s="220"/>
      <c r="E54" s="559"/>
      <c r="F54" s="553"/>
      <c r="G54" s="552"/>
      <c r="H54" s="651"/>
      <c r="I54" s="369" t="str">
        <f t="shared" si="38"/>
        <v>-</v>
      </c>
      <c r="J54" s="369" t="str">
        <f t="shared" si="39"/>
        <v>-</v>
      </c>
      <c r="K54" s="194" t="str">
        <f t="shared" si="40"/>
        <v>-</v>
      </c>
      <c r="L54" s="653"/>
      <c r="M54" s="390" t="e">
        <f>RANK(K54, K$47:$K$61)</f>
        <v>#VALUE!</v>
      </c>
      <c r="N54" s="637"/>
      <c r="O54" s="637"/>
      <c r="P54" s="538"/>
      <c r="Q54" s="540"/>
      <c r="R54" s="540"/>
      <c r="S54" s="538"/>
      <c r="T54" s="633"/>
      <c r="U54" s="538"/>
      <c r="V54" s="540"/>
      <c r="W54" s="540"/>
      <c r="X54" s="538"/>
      <c r="Y54" s="633"/>
      <c r="Z54" s="538"/>
      <c r="AA54" s="540"/>
      <c r="AB54" s="540"/>
      <c r="AC54" s="538"/>
      <c r="AD54" s="633"/>
      <c r="AE54" s="538"/>
      <c r="AF54" s="540"/>
      <c r="AG54" s="540"/>
      <c r="AH54" s="538"/>
      <c r="AI54" s="633"/>
      <c r="AJ54" s="538"/>
      <c r="AK54" s="540"/>
      <c r="AL54" s="540"/>
      <c r="AM54" s="538"/>
      <c r="AN54" s="633"/>
      <c r="AO54" s="538"/>
      <c r="AP54" s="540"/>
      <c r="AQ54" s="540"/>
      <c r="AR54" s="538"/>
      <c r="AS54" s="633"/>
      <c r="AT54" s="538"/>
      <c r="AU54" s="540"/>
      <c r="AV54" s="540"/>
      <c r="AW54" s="538"/>
      <c r="AX54" s="633"/>
      <c r="AZ54" s="357" t="e">
        <f t="shared" si="41"/>
        <v>#N/A</v>
      </c>
      <c r="BA54" s="633"/>
    </row>
    <row r="55" spans="2:53">
      <c r="B55" s="643"/>
      <c r="C55" s="368">
        <v>9</v>
      </c>
      <c r="D55" s="220"/>
      <c r="E55" s="559"/>
      <c r="F55" s="553"/>
      <c r="G55" s="552"/>
      <c r="H55" s="651"/>
      <c r="I55" s="369" t="str">
        <f t="shared" si="38"/>
        <v>-</v>
      </c>
      <c r="J55" s="369" t="str">
        <f t="shared" si="39"/>
        <v>-</v>
      </c>
      <c r="K55" s="194" t="str">
        <f t="shared" si="40"/>
        <v>-</v>
      </c>
      <c r="L55" s="653"/>
      <c r="M55" s="390" t="e">
        <f>RANK(K55, K$47:$K$61)</f>
        <v>#VALUE!</v>
      </c>
      <c r="N55" s="637"/>
      <c r="O55" s="637"/>
      <c r="P55" s="538"/>
      <c r="Q55" s="540"/>
      <c r="R55" s="540"/>
      <c r="S55" s="538"/>
      <c r="T55" s="633"/>
      <c r="U55" s="538"/>
      <c r="V55" s="540"/>
      <c r="W55" s="540"/>
      <c r="X55" s="538"/>
      <c r="Y55" s="633"/>
      <c r="Z55" s="538"/>
      <c r="AA55" s="540"/>
      <c r="AB55" s="540"/>
      <c r="AC55" s="538"/>
      <c r="AD55" s="633"/>
      <c r="AE55" s="538"/>
      <c r="AF55" s="540"/>
      <c r="AG55" s="540"/>
      <c r="AH55" s="538"/>
      <c r="AI55" s="633"/>
      <c r="AJ55" s="538"/>
      <c r="AK55" s="540"/>
      <c r="AL55" s="540"/>
      <c r="AM55" s="538"/>
      <c r="AN55" s="633"/>
      <c r="AO55" s="538"/>
      <c r="AP55" s="540"/>
      <c r="AQ55" s="540"/>
      <c r="AR55" s="538"/>
      <c r="AS55" s="633"/>
      <c r="AT55" s="538"/>
      <c r="AU55" s="540"/>
      <c r="AV55" s="540"/>
      <c r="AW55" s="538"/>
      <c r="AX55" s="633"/>
      <c r="AZ55" s="388" t="e">
        <f t="shared" si="41"/>
        <v>#N/A</v>
      </c>
      <c r="BA55" s="633"/>
    </row>
    <row r="56" spans="2:53">
      <c r="B56" s="643"/>
      <c r="C56" s="368">
        <v>10</v>
      </c>
      <c r="D56" s="220"/>
      <c r="E56" s="559"/>
      <c r="F56" s="553"/>
      <c r="G56" s="552"/>
      <c r="H56" s="651"/>
      <c r="I56" s="369" t="str">
        <f t="shared" si="38"/>
        <v>-</v>
      </c>
      <c r="J56" s="369" t="str">
        <f t="shared" si="39"/>
        <v>-</v>
      </c>
      <c r="K56" s="194" t="str">
        <f t="shared" si="40"/>
        <v>-</v>
      </c>
      <c r="L56" s="653"/>
      <c r="M56" s="390" t="e">
        <f>RANK(K56, K$47:$K$61)</f>
        <v>#VALUE!</v>
      </c>
      <c r="N56" s="637"/>
      <c r="O56" s="637"/>
      <c r="P56" s="538"/>
      <c r="Q56" s="540"/>
      <c r="R56" s="540"/>
      <c r="S56" s="538"/>
      <c r="T56" s="633"/>
      <c r="U56" s="538"/>
      <c r="V56" s="540"/>
      <c r="W56" s="540"/>
      <c r="X56" s="538"/>
      <c r="Y56" s="633"/>
      <c r="Z56" s="538"/>
      <c r="AA56" s="540"/>
      <c r="AB56" s="540"/>
      <c r="AC56" s="538"/>
      <c r="AD56" s="633"/>
      <c r="AE56" s="538"/>
      <c r="AF56" s="540"/>
      <c r="AG56" s="540"/>
      <c r="AH56" s="538"/>
      <c r="AI56" s="633"/>
      <c r="AJ56" s="538"/>
      <c r="AK56" s="540"/>
      <c r="AL56" s="540"/>
      <c r="AM56" s="538"/>
      <c r="AN56" s="633"/>
      <c r="AO56" s="538"/>
      <c r="AP56" s="540"/>
      <c r="AQ56" s="540"/>
      <c r="AR56" s="538"/>
      <c r="AS56" s="633"/>
      <c r="AT56" s="538"/>
      <c r="AU56" s="540"/>
      <c r="AV56" s="540"/>
      <c r="AW56" s="538"/>
      <c r="AX56" s="633"/>
      <c r="AZ56" s="388" t="e">
        <f t="shared" si="41"/>
        <v>#N/A</v>
      </c>
      <c r="BA56" s="633"/>
    </row>
    <row r="57" spans="2:53">
      <c r="B57" s="643"/>
      <c r="C57" s="368">
        <v>11</v>
      </c>
      <c r="D57" s="220"/>
      <c r="E57" s="559"/>
      <c r="F57" s="553"/>
      <c r="G57" s="552"/>
      <c r="H57" s="651"/>
      <c r="I57" s="369" t="str">
        <f t="shared" si="38"/>
        <v>-</v>
      </c>
      <c r="J57" s="369" t="str">
        <f t="shared" si="39"/>
        <v>-</v>
      </c>
      <c r="K57" s="194" t="str">
        <f t="shared" si="40"/>
        <v>-</v>
      </c>
      <c r="L57" s="653"/>
      <c r="M57" s="390" t="e">
        <f>RANK(K57, K$47:$K$61)</f>
        <v>#VALUE!</v>
      </c>
      <c r="N57" s="637"/>
      <c r="O57" s="637"/>
      <c r="P57" s="538"/>
      <c r="Q57" s="540"/>
      <c r="R57" s="540"/>
      <c r="S57" s="538"/>
      <c r="T57" s="633"/>
      <c r="U57" s="538"/>
      <c r="V57" s="540"/>
      <c r="W57" s="540"/>
      <c r="X57" s="538"/>
      <c r="Y57" s="633"/>
      <c r="Z57" s="538"/>
      <c r="AA57" s="540"/>
      <c r="AB57" s="540"/>
      <c r="AC57" s="538"/>
      <c r="AD57" s="633"/>
      <c r="AE57" s="538"/>
      <c r="AF57" s="540"/>
      <c r="AG57" s="540"/>
      <c r="AH57" s="538"/>
      <c r="AI57" s="633"/>
      <c r="AJ57" s="538"/>
      <c r="AK57" s="540"/>
      <c r="AL57" s="540"/>
      <c r="AM57" s="538"/>
      <c r="AN57" s="633"/>
      <c r="AO57" s="538"/>
      <c r="AP57" s="540"/>
      <c r="AQ57" s="540"/>
      <c r="AR57" s="538"/>
      <c r="AS57" s="633"/>
      <c r="AT57" s="538"/>
      <c r="AU57" s="540"/>
      <c r="AV57" s="540"/>
      <c r="AW57" s="538"/>
      <c r="AX57" s="633"/>
      <c r="AZ57" s="388" t="e">
        <f t="shared" si="41"/>
        <v>#N/A</v>
      </c>
      <c r="BA57" s="633"/>
    </row>
    <row r="58" spans="2:53">
      <c r="B58" s="643"/>
      <c r="C58" s="368">
        <v>12</v>
      </c>
      <c r="D58" s="220"/>
      <c r="E58" s="559"/>
      <c r="F58" s="553"/>
      <c r="G58" s="552"/>
      <c r="H58" s="651"/>
      <c r="I58" s="369" t="str">
        <f t="shared" si="38"/>
        <v>-</v>
      </c>
      <c r="J58" s="369" t="str">
        <f t="shared" si="39"/>
        <v>-</v>
      </c>
      <c r="K58" s="194" t="str">
        <f t="shared" si="40"/>
        <v>-</v>
      </c>
      <c r="L58" s="653"/>
      <c r="M58" s="390" t="e">
        <f>RANK(K58, K$47:$K$61)</f>
        <v>#VALUE!</v>
      </c>
      <c r="N58" s="637"/>
      <c r="O58" s="637"/>
      <c r="P58" s="538"/>
      <c r="Q58" s="540"/>
      <c r="R58" s="540"/>
      <c r="S58" s="538"/>
      <c r="T58" s="633"/>
      <c r="U58" s="538"/>
      <c r="V58" s="540"/>
      <c r="W58" s="540"/>
      <c r="X58" s="538"/>
      <c r="Y58" s="633"/>
      <c r="Z58" s="538"/>
      <c r="AA58" s="540"/>
      <c r="AB58" s="540"/>
      <c r="AC58" s="538"/>
      <c r="AD58" s="633"/>
      <c r="AE58" s="538"/>
      <c r="AF58" s="540"/>
      <c r="AG58" s="540"/>
      <c r="AH58" s="538"/>
      <c r="AI58" s="633"/>
      <c r="AJ58" s="538"/>
      <c r="AK58" s="540"/>
      <c r="AL58" s="540"/>
      <c r="AM58" s="538"/>
      <c r="AN58" s="633"/>
      <c r="AO58" s="538"/>
      <c r="AP58" s="540"/>
      <c r="AQ58" s="540"/>
      <c r="AR58" s="538"/>
      <c r="AS58" s="633"/>
      <c r="AT58" s="538"/>
      <c r="AU58" s="540"/>
      <c r="AV58" s="540"/>
      <c r="AW58" s="538"/>
      <c r="AX58" s="633"/>
      <c r="AZ58" s="388" t="e">
        <f t="shared" si="41"/>
        <v>#N/A</v>
      </c>
      <c r="BA58" s="633"/>
    </row>
    <row r="59" spans="2:53">
      <c r="B59" s="643"/>
      <c r="C59" s="368">
        <v>13</v>
      </c>
      <c r="D59" s="220"/>
      <c r="E59" s="559"/>
      <c r="F59" s="553"/>
      <c r="G59" s="552"/>
      <c r="H59" s="651"/>
      <c r="I59" s="369" t="str">
        <f t="shared" si="38"/>
        <v>-</v>
      </c>
      <c r="J59" s="369" t="str">
        <f t="shared" si="39"/>
        <v>-</v>
      </c>
      <c r="K59" s="194" t="str">
        <f t="shared" si="40"/>
        <v>-</v>
      </c>
      <c r="L59" s="653"/>
      <c r="M59" s="390" t="e">
        <f>RANK(K59, K$47:$K$61)</f>
        <v>#VALUE!</v>
      </c>
      <c r="N59" s="637"/>
      <c r="O59" s="637"/>
      <c r="P59" s="538"/>
      <c r="Q59" s="540"/>
      <c r="R59" s="540"/>
      <c r="S59" s="538"/>
      <c r="T59" s="633"/>
      <c r="U59" s="538"/>
      <c r="V59" s="540"/>
      <c r="W59" s="540"/>
      <c r="X59" s="538"/>
      <c r="Y59" s="633"/>
      <c r="Z59" s="538"/>
      <c r="AA59" s="540"/>
      <c r="AB59" s="540"/>
      <c r="AC59" s="538"/>
      <c r="AD59" s="633"/>
      <c r="AE59" s="538"/>
      <c r="AF59" s="540"/>
      <c r="AG59" s="540"/>
      <c r="AH59" s="538"/>
      <c r="AI59" s="633"/>
      <c r="AJ59" s="538"/>
      <c r="AK59" s="540"/>
      <c r="AL59" s="540"/>
      <c r="AM59" s="538"/>
      <c r="AN59" s="633"/>
      <c r="AO59" s="538"/>
      <c r="AP59" s="540"/>
      <c r="AQ59" s="540"/>
      <c r="AR59" s="538"/>
      <c r="AS59" s="633"/>
      <c r="AT59" s="538"/>
      <c r="AU59" s="540"/>
      <c r="AV59" s="540"/>
      <c r="AW59" s="538"/>
      <c r="AX59" s="633"/>
      <c r="AZ59" s="388" t="e">
        <f t="shared" si="41"/>
        <v>#N/A</v>
      </c>
      <c r="BA59" s="633"/>
    </row>
    <row r="60" spans="2:53">
      <c r="B60" s="643"/>
      <c r="C60" s="368">
        <v>14</v>
      </c>
      <c r="D60" s="220"/>
      <c r="E60" s="559"/>
      <c r="F60" s="553"/>
      <c r="G60" s="552"/>
      <c r="H60" s="651"/>
      <c r="I60" s="369" t="str">
        <f t="shared" si="38"/>
        <v>-</v>
      </c>
      <c r="J60" s="369" t="str">
        <f t="shared" si="39"/>
        <v>-</v>
      </c>
      <c r="K60" s="194" t="str">
        <f t="shared" si="40"/>
        <v>-</v>
      </c>
      <c r="L60" s="653"/>
      <c r="M60" s="390" t="e">
        <f>RANK(K60, K$47:$K$61)</f>
        <v>#VALUE!</v>
      </c>
      <c r="N60" s="637"/>
      <c r="O60" s="637"/>
      <c r="P60" s="538"/>
      <c r="Q60" s="540"/>
      <c r="R60" s="540"/>
      <c r="S60" s="538"/>
      <c r="T60" s="633"/>
      <c r="U60" s="538"/>
      <c r="V60" s="540"/>
      <c r="W60" s="540"/>
      <c r="X60" s="538"/>
      <c r="Y60" s="633"/>
      <c r="Z60" s="538"/>
      <c r="AA60" s="540"/>
      <c r="AB60" s="540"/>
      <c r="AC60" s="538"/>
      <c r="AD60" s="633"/>
      <c r="AE60" s="538"/>
      <c r="AF60" s="540"/>
      <c r="AG60" s="540"/>
      <c r="AH60" s="538"/>
      <c r="AI60" s="633"/>
      <c r="AJ60" s="538"/>
      <c r="AK60" s="540"/>
      <c r="AL60" s="540"/>
      <c r="AM60" s="538"/>
      <c r="AN60" s="633"/>
      <c r="AO60" s="538"/>
      <c r="AP60" s="540"/>
      <c r="AQ60" s="540"/>
      <c r="AR60" s="538"/>
      <c r="AS60" s="633"/>
      <c r="AT60" s="538"/>
      <c r="AU60" s="540"/>
      <c r="AV60" s="540"/>
      <c r="AW60" s="538"/>
      <c r="AX60" s="633"/>
      <c r="AZ60" s="388" t="e">
        <f t="shared" si="41"/>
        <v>#N/A</v>
      </c>
      <c r="BA60" s="633"/>
    </row>
    <row r="61" spans="2:53">
      <c r="B61" s="643"/>
      <c r="C61" s="368">
        <v>15</v>
      </c>
      <c r="D61" s="220"/>
      <c r="E61" s="559"/>
      <c r="F61" s="553"/>
      <c r="G61" s="552"/>
      <c r="H61" s="708"/>
      <c r="I61" s="368"/>
      <c r="J61" s="368"/>
      <c r="K61" s="368"/>
      <c r="L61" s="654"/>
      <c r="M61" s="390" t="e">
        <f>RANK(K61, K$47:$K$61)</f>
        <v>#N/A</v>
      </c>
      <c r="N61" s="637"/>
      <c r="O61" s="637"/>
      <c r="P61" s="538"/>
      <c r="Q61" s="540"/>
      <c r="R61" s="540"/>
      <c r="S61" s="538"/>
      <c r="T61" s="634"/>
      <c r="U61" s="538"/>
      <c r="V61" s="540"/>
      <c r="W61" s="540"/>
      <c r="X61" s="538"/>
      <c r="Y61" s="634"/>
      <c r="Z61" s="538"/>
      <c r="AA61" s="540"/>
      <c r="AB61" s="540"/>
      <c r="AC61" s="538"/>
      <c r="AD61" s="634"/>
      <c r="AE61" s="538"/>
      <c r="AF61" s="540"/>
      <c r="AG61" s="540"/>
      <c r="AH61" s="538"/>
      <c r="AI61" s="634"/>
      <c r="AJ61" s="538"/>
      <c r="AK61" s="540"/>
      <c r="AL61" s="540"/>
      <c r="AM61" s="538"/>
      <c r="AN61" s="634"/>
      <c r="AO61" s="538"/>
      <c r="AP61" s="540"/>
      <c r="AQ61" s="540"/>
      <c r="AR61" s="538"/>
      <c r="AS61" s="634"/>
      <c r="AT61" s="538"/>
      <c r="AU61" s="540"/>
      <c r="AV61" s="540"/>
      <c r="AW61" s="538"/>
      <c r="AX61" s="634"/>
      <c r="AZ61" s="388" t="e">
        <f t="shared" si="41"/>
        <v>#N/A</v>
      </c>
      <c r="BA61" s="634"/>
    </row>
    <row r="62" spans="2:53" ht="15.75">
      <c r="B62" s="665" t="s">
        <v>162</v>
      </c>
      <c r="C62" s="666"/>
      <c r="D62" s="666"/>
      <c r="E62" s="666"/>
      <c r="F62" s="666"/>
      <c r="G62" s="666"/>
      <c r="H62" s="667"/>
      <c r="I62" s="202"/>
      <c r="J62" s="202"/>
      <c r="K62" s="202"/>
      <c r="L62" s="202"/>
      <c r="M62" s="201"/>
      <c r="N62" s="639" t="s">
        <v>156</v>
      </c>
      <c r="O62" s="639" t="s">
        <v>105</v>
      </c>
      <c r="P62" s="664">
        <f>P42+7</f>
        <v>46315</v>
      </c>
      <c r="Q62" s="643"/>
      <c r="R62" s="643"/>
      <c r="S62" s="643"/>
      <c r="T62" s="643"/>
      <c r="U62" s="661">
        <f>P62+1</f>
        <v>46316</v>
      </c>
      <c r="V62" s="662"/>
      <c r="W62" s="662"/>
      <c r="X62" s="662"/>
      <c r="Y62" s="663"/>
      <c r="Z62" s="661">
        <f>U62+1</f>
        <v>46317</v>
      </c>
      <c r="AA62" s="662"/>
      <c r="AB62" s="662"/>
      <c r="AC62" s="662"/>
      <c r="AD62" s="663"/>
      <c r="AE62" s="661">
        <f>Z62+1</f>
        <v>46318</v>
      </c>
      <c r="AF62" s="662"/>
      <c r="AG62" s="662"/>
      <c r="AH62" s="662"/>
      <c r="AI62" s="663"/>
      <c r="AJ62" s="661">
        <f>AE62+1</f>
        <v>46319</v>
      </c>
      <c r="AK62" s="662"/>
      <c r="AL62" s="662"/>
      <c r="AM62" s="662"/>
      <c r="AN62" s="663"/>
      <c r="AO62" s="661">
        <f>AJ62+1</f>
        <v>46320</v>
      </c>
      <c r="AP62" s="662"/>
      <c r="AQ62" s="662"/>
      <c r="AR62" s="662"/>
      <c r="AS62" s="663"/>
      <c r="AT62" s="661">
        <f>AO62+1</f>
        <v>46321</v>
      </c>
      <c r="AU62" s="662"/>
      <c r="AV62" s="662"/>
      <c r="AW62" s="662"/>
      <c r="AX62" s="663"/>
    </row>
    <row r="63" spans="2:53" ht="15.75">
      <c r="B63" s="668"/>
      <c r="C63" s="668"/>
      <c r="D63" s="668"/>
      <c r="E63" s="668"/>
      <c r="F63" s="668"/>
      <c r="G63" s="668"/>
      <c r="H63" s="668"/>
      <c r="I63" s="199"/>
      <c r="J63" s="199"/>
      <c r="K63" s="199"/>
      <c r="L63" s="199"/>
      <c r="M63" s="200"/>
      <c r="N63" s="641"/>
      <c r="O63" s="641"/>
      <c r="P63" s="664" t="s">
        <v>317</v>
      </c>
      <c r="Q63" s="643"/>
      <c r="R63" s="643"/>
      <c r="S63" s="643"/>
      <c r="T63" s="643"/>
      <c r="U63" s="664" t="s">
        <v>318</v>
      </c>
      <c r="V63" s="643"/>
      <c r="W63" s="643"/>
      <c r="X63" s="643"/>
      <c r="Y63" s="643"/>
      <c r="Z63" s="664" t="s">
        <v>319</v>
      </c>
      <c r="AA63" s="643"/>
      <c r="AB63" s="643"/>
      <c r="AC63" s="643"/>
      <c r="AD63" s="643"/>
      <c r="AE63" s="664" t="s">
        <v>320</v>
      </c>
      <c r="AF63" s="643"/>
      <c r="AG63" s="643"/>
      <c r="AH63" s="643"/>
      <c r="AI63" s="643"/>
      <c r="AJ63" s="664" t="s">
        <v>321</v>
      </c>
      <c r="AK63" s="643"/>
      <c r="AL63" s="643"/>
      <c r="AM63" s="643"/>
      <c r="AN63" s="643"/>
      <c r="AO63" s="664" t="s">
        <v>322</v>
      </c>
      <c r="AP63" s="643"/>
      <c r="AQ63" s="643"/>
      <c r="AR63" s="643"/>
      <c r="AS63" s="643"/>
      <c r="AT63" s="664" t="s">
        <v>323</v>
      </c>
      <c r="AU63" s="643"/>
      <c r="AV63" s="643"/>
      <c r="AW63" s="643"/>
      <c r="AX63" s="643"/>
    </row>
    <row r="64" spans="2:53">
      <c r="B64" s="637" t="s">
        <v>398</v>
      </c>
      <c r="C64" s="637" t="s">
        <v>521</v>
      </c>
      <c r="D64" s="637"/>
      <c r="E64" s="637" t="s">
        <v>522</v>
      </c>
      <c r="F64" s="637"/>
      <c r="G64" s="637"/>
      <c r="H64" s="669" t="s">
        <v>523</v>
      </c>
      <c r="I64" s="637" t="s">
        <v>524</v>
      </c>
      <c r="J64" s="637"/>
      <c r="K64" s="637"/>
      <c r="L64" s="669" t="s">
        <v>357</v>
      </c>
      <c r="M64" s="639" t="s">
        <v>525</v>
      </c>
      <c r="N64" s="637"/>
      <c r="O64" s="637" t="s">
        <v>363</v>
      </c>
      <c r="P64" s="655" t="s">
        <v>359</v>
      </c>
      <c r="Q64" s="656"/>
      <c r="R64" s="656"/>
      <c r="S64" s="657"/>
      <c r="T64" s="637" t="s">
        <v>357</v>
      </c>
      <c r="U64" s="655" t="s">
        <v>359</v>
      </c>
      <c r="V64" s="656"/>
      <c r="W64" s="656"/>
      <c r="X64" s="657"/>
      <c r="Y64" s="637" t="s">
        <v>357</v>
      </c>
      <c r="Z64" s="655" t="s">
        <v>359</v>
      </c>
      <c r="AA64" s="656"/>
      <c r="AB64" s="656"/>
      <c r="AC64" s="657"/>
      <c r="AD64" s="637" t="s">
        <v>357</v>
      </c>
      <c r="AE64" s="655" t="s">
        <v>359</v>
      </c>
      <c r="AF64" s="656"/>
      <c r="AG64" s="656"/>
      <c r="AH64" s="657"/>
      <c r="AI64" s="637" t="s">
        <v>357</v>
      </c>
      <c r="AJ64" s="655" t="s">
        <v>359</v>
      </c>
      <c r="AK64" s="656"/>
      <c r="AL64" s="656"/>
      <c r="AM64" s="657"/>
      <c r="AN64" s="637" t="s">
        <v>357</v>
      </c>
      <c r="AO64" s="655" t="s">
        <v>359</v>
      </c>
      <c r="AP64" s="656"/>
      <c r="AQ64" s="656"/>
      <c r="AR64" s="657"/>
      <c r="AS64" s="637" t="s">
        <v>357</v>
      </c>
      <c r="AT64" s="655" t="s">
        <v>359</v>
      </c>
      <c r="AU64" s="656"/>
      <c r="AV64" s="656"/>
      <c r="AW64" s="657"/>
      <c r="AX64" s="637" t="s">
        <v>357</v>
      </c>
      <c r="BA64" s="637" t="s">
        <v>357</v>
      </c>
    </row>
    <row r="65" spans="2:53">
      <c r="B65" s="637"/>
      <c r="C65" s="637"/>
      <c r="D65" s="637"/>
      <c r="E65" s="637" t="s">
        <v>527</v>
      </c>
      <c r="F65" s="637"/>
      <c r="G65" s="637"/>
      <c r="H65" s="670"/>
      <c r="I65" s="637" t="s">
        <v>527</v>
      </c>
      <c r="J65" s="637"/>
      <c r="K65" s="637"/>
      <c r="L65" s="670"/>
      <c r="M65" s="640"/>
      <c r="N65" s="637"/>
      <c r="O65" s="637"/>
      <c r="P65" s="655" t="s">
        <v>365</v>
      </c>
      <c r="Q65" s="656"/>
      <c r="R65" s="656"/>
      <c r="S65" s="657"/>
      <c r="T65" s="637"/>
      <c r="U65" s="655" t="s">
        <v>365</v>
      </c>
      <c r="V65" s="656"/>
      <c r="W65" s="656"/>
      <c r="X65" s="657"/>
      <c r="Y65" s="637"/>
      <c r="Z65" s="655" t="s">
        <v>365</v>
      </c>
      <c r="AA65" s="656"/>
      <c r="AB65" s="656"/>
      <c r="AC65" s="657"/>
      <c r="AD65" s="637"/>
      <c r="AE65" s="655" t="s">
        <v>365</v>
      </c>
      <c r="AF65" s="656"/>
      <c r="AG65" s="656"/>
      <c r="AH65" s="657"/>
      <c r="AI65" s="637"/>
      <c r="AJ65" s="655" t="s">
        <v>365</v>
      </c>
      <c r="AK65" s="656"/>
      <c r="AL65" s="656"/>
      <c r="AM65" s="657"/>
      <c r="AN65" s="637"/>
      <c r="AO65" s="655" t="s">
        <v>365</v>
      </c>
      <c r="AP65" s="656"/>
      <c r="AQ65" s="656"/>
      <c r="AR65" s="657"/>
      <c r="AS65" s="637"/>
      <c r="AT65" s="655" t="s">
        <v>365</v>
      </c>
      <c r="AU65" s="656"/>
      <c r="AV65" s="656"/>
      <c r="AW65" s="657"/>
      <c r="AX65" s="637"/>
      <c r="BA65" s="637"/>
    </row>
    <row r="66" spans="2:53">
      <c r="B66" s="637"/>
      <c r="C66" s="637"/>
      <c r="D66" s="637"/>
      <c r="E66" s="366" t="s">
        <v>528</v>
      </c>
      <c r="F66" s="366" t="s">
        <v>529</v>
      </c>
      <c r="G66" s="366" t="s">
        <v>530</v>
      </c>
      <c r="H66" s="671"/>
      <c r="I66" s="366" t="s">
        <v>528</v>
      </c>
      <c r="J66" s="366" t="s">
        <v>529</v>
      </c>
      <c r="K66" s="366" t="s">
        <v>530</v>
      </c>
      <c r="L66" s="671"/>
      <c r="M66" s="641"/>
      <c r="N66" s="637"/>
      <c r="O66" s="637"/>
      <c r="P66" s="366" t="s">
        <v>366</v>
      </c>
      <c r="Q66" s="366" t="s">
        <v>367</v>
      </c>
      <c r="R66" s="366" t="s">
        <v>368</v>
      </c>
      <c r="S66" s="366" t="s">
        <v>358</v>
      </c>
      <c r="T66" s="637"/>
      <c r="U66" s="366" t="s">
        <v>366</v>
      </c>
      <c r="V66" s="366" t="s">
        <v>367</v>
      </c>
      <c r="W66" s="366" t="s">
        <v>368</v>
      </c>
      <c r="X66" s="366" t="s">
        <v>358</v>
      </c>
      <c r="Y66" s="637"/>
      <c r="Z66" s="366" t="s">
        <v>366</v>
      </c>
      <c r="AA66" s="366" t="s">
        <v>367</v>
      </c>
      <c r="AB66" s="366" t="s">
        <v>368</v>
      </c>
      <c r="AC66" s="366" t="s">
        <v>358</v>
      </c>
      <c r="AD66" s="637"/>
      <c r="AE66" s="366" t="s">
        <v>366</v>
      </c>
      <c r="AF66" s="366" t="s">
        <v>367</v>
      </c>
      <c r="AG66" s="366" t="s">
        <v>368</v>
      </c>
      <c r="AH66" s="366" t="s">
        <v>358</v>
      </c>
      <c r="AI66" s="637"/>
      <c r="AJ66" s="366" t="s">
        <v>366</v>
      </c>
      <c r="AK66" s="366" t="s">
        <v>367</v>
      </c>
      <c r="AL66" s="366" t="s">
        <v>368</v>
      </c>
      <c r="AM66" s="366" t="s">
        <v>358</v>
      </c>
      <c r="AN66" s="637"/>
      <c r="AO66" s="366" t="s">
        <v>366</v>
      </c>
      <c r="AP66" s="366" t="s">
        <v>367</v>
      </c>
      <c r="AQ66" s="366" t="s">
        <v>368</v>
      </c>
      <c r="AR66" s="366" t="s">
        <v>358</v>
      </c>
      <c r="AS66" s="637"/>
      <c r="AT66" s="366" t="s">
        <v>366</v>
      </c>
      <c r="AU66" s="366" t="s">
        <v>367</v>
      </c>
      <c r="AV66" s="366" t="s">
        <v>368</v>
      </c>
      <c r="AW66" s="366" t="s">
        <v>358</v>
      </c>
      <c r="AX66" s="637"/>
      <c r="AZ66" s="356" t="s">
        <v>358</v>
      </c>
      <c r="BA66" s="637"/>
    </row>
    <row r="67" spans="2:53">
      <c r="B67" s="637" t="s">
        <v>412</v>
      </c>
      <c r="C67" s="368">
        <v>1</v>
      </c>
      <c r="D67" s="220"/>
      <c r="E67" s="559"/>
      <c r="F67" s="553"/>
      <c r="G67" s="552"/>
      <c r="H67" s="650" t="e">
        <f>AVERAGE(G67:G81)</f>
        <v>#DIV/0!</v>
      </c>
      <c r="I67" s="369" t="str">
        <f t="shared" ref="I67:I80" si="43">IFERROR(AVERAGE(P67,U67,Z67,AE67,AJ67,AO67,AT67),"-")</f>
        <v>-</v>
      </c>
      <c r="J67" s="369" t="str">
        <f t="shared" ref="J67:J80" si="44">IFERROR(AVERAGE(Q67,V67,AA67,AF67,AK67,AP67,AU67),"-")</f>
        <v>-</v>
      </c>
      <c r="K67" s="194" t="str">
        <f t="shared" ref="K67:K80" si="45">IFERROR(AVERAGE(R67,W67,AB67,AG67,AL67,AQ67,AV67),"-")</f>
        <v>-</v>
      </c>
      <c r="L67" s="652" t="str">
        <f>IFERROR(AVERAGE(K67:K81),"-")</f>
        <v>-</v>
      </c>
      <c r="M67" s="372" t="e">
        <f>RANK(K67, K$67:$K$81)</f>
        <v>#VALUE!</v>
      </c>
      <c r="N67" s="637"/>
      <c r="O67" s="637"/>
      <c r="P67" s="542"/>
      <c r="Q67" s="544"/>
      <c r="R67" s="544"/>
      <c r="S67" s="542"/>
      <c r="T67" s="632"/>
      <c r="U67" s="542"/>
      <c r="V67" s="544"/>
      <c r="W67" s="544"/>
      <c r="X67" s="542"/>
      <c r="Y67" s="632"/>
      <c r="Z67" s="542"/>
      <c r="AA67" s="544"/>
      <c r="AB67" s="544"/>
      <c r="AC67" s="542"/>
      <c r="AD67" s="632"/>
      <c r="AE67" s="542"/>
      <c r="AF67" s="544"/>
      <c r="AG67" s="544"/>
      <c r="AH67" s="542"/>
      <c r="AI67" s="632"/>
      <c r="AJ67" s="542"/>
      <c r="AK67" s="544"/>
      <c r="AL67" s="544"/>
      <c r="AM67" s="542"/>
      <c r="AN67" s="632"/>
      <c r="AO67" s="542"/>
      <c r="AP67" s="544"/>
      <c r="AQ67" s="544"/>
      <c r="AR67" s="542"/>
      <c r="AS67" s="632"/>
      <c r="AT67" s="542"/>
      <c r="AU67" s="544"/>
      <c r="AV67" s="544"/>
      <c r="AW67" s="542"/>
      <c r="AX67" s="632"/>
      <c r="AZ67" s="357" t="e">
        <f t="shared" ref="AZ67:AZ81" si="46">RANK(AY67, AY$67:AY$81)</f>
        <v>#N/A</v>
      </c>
      <c r="BA67" s="632" t="e">
        <f t="shared" ref="BA67" si="47">AVERAGE(AY67:AY81)</f>
        <v>#DIV/0!</v>
      </c>
    </row>
    <row r="68" spans="2:53">
      <c r="B68" s="643"/>
      <c r="C68" s="368">
        <v>2</v>
      </c>
      <c r="D68" s="220"/>
      <c r="E68" s="559"/>
      <c r="F68" s="553"/>
      <c r="G68" s="552"/>
      <c r="H68" s="651"/>
      <c r="I68" s="369" t="str">
        <f t="shared" si="43"/>
        <v>-</v>
      </c>
      <c r="J68" s="369" t="str">
        <f t="shared" si="44"/>
        <v>-</v>
      </c>
      <c r="K68" s="194" t="str">
        <f t="shared" si="45"/>
        <v>-</v>
      </c>
      <c r="L68" s="653"/>
      <c r="M68" s="372" t="e">
        <f>RANK(K68, K$67:$K$81)</f>
        <v>#VALUE!</v>
      </c>
      <c r="N68" s="637"/>
      <c r="O68" s="637"/>
      <c r="P68" s="542"/>
      <c r="Q68" s="544"/>
      <c r="R68" s="544"/>
      <c r="S68" s="542"/>
      <c r="T68" s="633"/>
      <c r="U68" s="542"/>
      <c r="V68" s="544"/>
      <c r="W68" s="544"/>
      <c r="X68" s="542"/>
      <c r="Y68" s="633"/>
      <c r="Z68" s="542"/>
      <c r="AA68" s="544"/>
      <c r="AB68" s="544"/>
      <c r="AC68" s="542"/>
      <c r="AD68" s="633"/>
      <c r="AE68" s="542"/>
      <c r="AF68" s="544"/>
      <c r="AG68" s="544"/>
      <c r="AH68" s="542"/>
      <c r="AI68" s="633"/>
      <c r="AJ68" s="542"/>
      <c r="AK68" s="544"/>
      <c r="AL68" s="544"/>
      <c r="AM68" s="542"/>
      <c r="AN68" s="633"/>
      <c r="AO68" s="542"/>
      <c r="AP68" s="544"/>
      <c r="AQ68" s="544"/>
      <c r="AR68" s="542"/>
      <c r="AS68" s="633"/>
      <c r="AT68" s="542"/>
      <c r="AU68" s="544"/>
      <c r="AV68" s="544"/>
      <c r="AW68" s="542"/>
      <c r="AX68" s="633"/>
      <c r="AZ68" s="357" t="e">
        <f t="shared" si="46"/>
        <v>#N/A</v>
      </c>
      <c r="BA68" s="633"/>
    </row>
    <row r="69" spans="2:53">
      <c r="B69" s="643"/>
      <c r="C69" s="368">
        <v>3</v>
      </c>
      <c r="D69" s="220"/>
      <c r="E69" s="559"/>
      <c r="F69" s="553"/>
      <c r="G69" s="552"/>
      <c r="H69" s="651"/>
      <c r="I69" s="369" t="str">
        <f t="shared" si="43"/>
        <v>-</v>
      </c>
      <c r="J69" s="369" t="str">
        <f t="shared" si="44"/>
        <v>-</v>
      </c>
      <c r="K69" s="194" t="str">
        <f t="shared" si="45"/>
        <v>-</v>
      </c>
      <c r="L69" s="653"/>
      <c r="M69" s="372" t="e">
        <f>RANK(K69, K$67:$K$81)</f>
        <v>#VALUE!</v>
      </c>
      <c r="N69" s="637"/>
      <c r="O69" s="637"/>
      <c r="P69" s="542"/>
      <c r="Q69" s="544"/>
      <c r="R69" s="544"/>
      <c r="S69" s="542"/>
      <c r="T69" s="633"/>
      <c r="U69" s="542"/>
      <c r="V69" s="544"/>
      <c r="W69" s="544"/>
      <c r="X69" s="542"/>
      <c r="Y69" s="633"/>
      <c r="Z69" s="542"/>
      <c r="AA69" s="544"/>
      <c r="AB69" s="544"/>
      <c r="AC69" s="542"/>
      <c r="AD69" s="633"/>
      <c r="AE69" s="542"/>
      <c r="AF69" s="544"/>
      <c r="AG69" s="544"/>
      <c r="AH69" s="542"/>
      <c r="AI69" s="633"/>
      <c r="AJ69" s="542"/>
      <c r="AK69" s="544"/>
      <c r="AL69" s="544"/>
      <c r="AM69" s="542"/>
      <c r="AN69" s="633"/>
      <c r="AO69" s="542"/>
      <c r="AP69" s="544"/>
      <c r="AQ69" s="544"/>
      <c r="AR69" s="542"/>
      <c r="AS69" s="633"/>
      <c r="AT69" s="542"/>
      <c r="AU69" s="544"/>
      <c r="AV69" s="544"/>
      <c r="AW69" s="542"/>
      <c r="AX69" s="633"/>
      <c r="AZ69" s="357" t="e">
        <f t="shared" si="46"/>
        <v>#N/A</v>
      </c>
      <c r="BA69" s="633"/>
    </row>
    <row r="70" spans="2:53">
      <c r="B70" s="643"/>
      <c r="C70" s="368">
        <v>4</v>
      </c>
      <c r="D70" s="220"/>
      <c r="E70" s="559"/>
      <c r="F70" s="553"/>
      <c r="G70" s="552"/>
      <c r="H70" s="651"/>
      <c r="I70" s="369" t="str">
        <f t="shared" si="43"/>
        <v>-</v>
      </c>
      <c r="J70" s="369" t="str">
        <f t="shared" si="44"/>
        <v>-</v>
      </c>
      <c r="K70" s="194" t="str">
        <f t="shared" si="45"/>
        <v>-</v>
      </c>
      <c r="L70" s="653"/>
      <c r="M70" s="372" t="e">
        <f>RANK(K70, K$67:$K$81)</f>
        <v>#VALUE!</v>
      </c>
      <c r="N70" s="637"/>
      <c r="O70" s="637"/>
      <c r="P70" s="542"/>
      <c r="Q70" s="544"/>
      <c r="R70" s="544"/>
      <c r="S70" s="542"/>
      <c r="T70" s="633"/>
      <c r="U70" s="542"/>
      <c r="V70" s="544"/>
      <c r="W70" s="544"/>
      <c r="X70" s="542"/>
      <c r="Y70" s="633"/>
      <c r="Z70" s="542"/>
      <c r="AA70" s="544"/>
      <c r="AB70" s="544"/>
      <c r="AC70" s="542"/>
      <c r="AD70" s="633"/>
      <c r="AE70" s="542"/>
      <c r="AF70" s="544"/>
      <c r="AG70" s="544"/>
      <c r="AH70" s="542"/>
      <c r="AI70" s="633"/>
      <c r="AJ70" s="542"/>
      <c r="AK70" s="544"/>
      <c r="AL70" s="544"/>
      <c r="AM70" s="542"/>
      <c r="AN70" s="633"/>
      <c r="AO70" s="542"/>
      <c r="AP70" s="544"/>
      <c r="AQ70" s="544"/>
      <c r="AR70" s="542"/>
      <c r="AS70" s="633"/>
      <c r="AT70" s="542"/>
      <c r="AU70" s="544"/>
      <c r="AV70" s="544"/>
      <c r="AW70" s="542"/>
      <c r="AX70" s="633"/>
      <c r="AZ70" s="357" t="e">
        <f t="shared" si="46"/>
        <v>#N/A</v>
      </c>
      <c r="BA70" s="633"/>
    </row>
    <row r="71" spans="2:53">
      <c r="B71" s="643"/>
      <c r="C71" s="368">
        <v>5</v>
      </c>
      <c r="D71" s="220"/>
      <c r="E71" s="559"/>
      <c r="F71" s="553"/>
      <c r="G71" s="552"/>
      <c r="H71" s="651"/>
      <c r="I71" s="369" t="str">
        <f t="shared" si="43"/>
        <v>-</v>
      </c>
      <c r="J71" s="369" t="str">
        <f t="shared" si="44"/>
        <v>-</v>
      </c>
      <c r="K71" s="194" t="str">
        <f t="shared" si="45"/>
        <v>-</v>
      </c>
      <c r="L71" s="653"/>
      <c r="M71" s="372" t="e">
        <f>RANK(K71, K$67:$K$81)</f>
        <v>#VALUE!</v>
      </c>
      <c r="N71" s="637"/>
      <c r="O71" s="637"/>
      <c r="P71" s="542"/>
      <c r="Q71" s="544"/>
      <c r="R71" s="544"/>
      <c r="S71" s="542"/>
      <c r="T71" s="633"/>
      <c r="U71" s="542"/>
      <c r="V71" s="544"/>
      <c r="W71" s="544"/>
      <c r="X71" s="542"/>
      <c r="Y71" s="633"/>
      <c r="Z71" s="542"/>
      <c r="AA71" s="544"/>
      <c r="AB71" s="544"/>
      <c r="AC71" s="542"/>
      <c r="AD71" s="633"/>
      <c r="AE71" s="542"/>
      <c r="AF71" s="544"/>
      <c r="AG71" s="544"/>
      <c r="AH71" s="542"/>
      <c r="AI71" s="633"/>
      <c r="AJ71" s="542"/>
      <c r="AK71" s="544"/>
      <c r="AL71" s="544"/>
      <c r="AM71" s="542"/>
      <c r="AN71" s="633"/>
      <c r="AO71" s="542"/>
      <c r="AP71" s="544"/>
      <c r="AQ71" s="544"/>
      <c r="AR71" s="542"/>
      <c r="AS71" s="633"/>
      <c r="AT71" s="542"/>
      <c r="AU71" s="544"/>
      <c r="AV71" s="544"/>
      <c r="AW71" s="542"/>
      <c r="AX71" s="633"/>
      <c r="AZ71" s="357" t="e">
        <f t="shared" si="46"/>
        <v>#N/A</v>
      </c>
      <c r="BA71" s="633"/>
    </row>
    <row r="72" spans="2:53">
      <c r="B72" s="643"/>
      <c r="C72" s="368">
        <v>6</v>
      </c>
      <c r="D72" s="220"/>
      <c r="E72" s="559"/>
      <c r="F72" s="553"/>
      <c r="G72" s="552"/>
      <c r="H72" s="651"/>
      <c r="I72" s="369" t="str">
        <f t="shared" si="43"/>
        <v>-</v>
      </c>
      <c r="J72" s="369" t="str">
        <f t="shared" si="44"/>
        <v>-</v>
      </c>
      <c r="K72" s="194" t="str">
        <f t="shared" si="45"/>
        <v>-</v>
      </c>
      <c r="L72" s="653"/>
      <c r="M72" s="372" t="e">
        <f>RANK(K72, K$67:$K$81)</f>
        <v>#VALUE!</v>
      </c>
      <c r="N72" s="637"/>
      <c r="O72" s="637"/>
      <c r="P72" s="542"/>
      <c r="Q72" s="544"/>
      <c r="R72" s="544"/>
      <c r="S72" s="542"/>
      <c r="T72" s="633"/>
      <c r="U72" s="542"/>
      <c r="V72" s="544"/>
      <c r="W72" s="544"/>
      <c r="X72" s="542"/>
      <c r="Y72" s="633"/>
      <c r="Z72" s="542"/>
      <c r="AA72" s="544"/>
      <c r="AB72" s="544"/>
      <c r="AC72" s="542"/>
      <c r="AD72" s="633"/>
      <c r="AE72" s="542"/>
      <c r="AF72" s="544"/>
      <c r="AG72" s="544"/>
      <c r="AH72" s="542"/>
      <c r="AI72" s="633"/>
      <c r="AJ72" s="542"/>
      <c r="AK72" s="544"/>
      <c r="AL72" s="544"/>
      <c r="AM72" s="542"/>
      <c r="AN72" s="633"/>
      <c r="AO72" s="542"/>
      <c r="AP72" s="544"/>
      <c r="AQ72" s="544"/>
      <c r="AR72" s="542"/>
      <c r="AS72" s="633"/>
      <c r="AT72" s="542"/>
      <c r="AU72" s="544"/>
      <c r="AV72" s="544"/>
      <c r="AW72" s="542"/>
      <c r="AX72" s="633"/>
      <c r="AZ72" s="357" t="e">
        <f t="shared" si="46"/>
        <v>#N/A</v>
      </c>
      <c r="BA72" s="633"/>
    </row>
    <row r="73" spans="2:53">
      <c r="B73" s="643"/>
      <c r="C73" s="368">
        <v>7</v>
      </c>
      <c r="D73" s="220"/>
      <c r="E73" s="559"/>
      <c r="F73" s="553"/>
      <c r="G73" s="552"/>
      <c r="H73" s="651"/>
      <c r="I73" s="369" t="str">
        <f t="shared" si="43"/>
        <v>-</v>
      </c>
      <c r="J73" s="369" t="str">
        <f t="shared" si="44"/>
        <v>-</v>
      </c>
      <c r="K73" s="194" t="str">
        <f t="shared" si="45"/>
        <v>-</v>
      </c>
      <c r="L73" s="653"/>
      <c r="M73" s="372" t="e">
        <f>RANK(K73, K$67:$K$81)</f>
        <v>#VALUE!</v>
      </c>
      <c r="N73" s="637"/>
      <c r="O73" s="637"/>
      <c r="P73" s="542"/>
      <c r="Q73" s="544"/>
      <c r="R73" s="544"/>
      <c r="S73" s="542"/>
      <c r="T73" s="633"/>
      <c r="U73" s="542"/>
      <c r="V73" s="544"/>
      <c r="W73" s="544"/>
      <c r="X73" s="542"/>
      <c r="Y73" s="633"/>
      <c r="Z73" s="542"/>
      <c r="AA73" s="544"/>
      <c r="AB73" s="544"/>
      <c r="AC73" s="542"/>
      <c r="AD73" s="633"/>
      <c r="AE73" s="542"/>
      <c r="AF73" s="544"/>
      <c r="AG73" s="544"/>
      <c r="AH73" s="542"/>
      <c r="AI73" s="633"/>
      <c r="AJ73" s="542"/>
      <c r="AK73" s="544"/>
      <c r="AL73" s="544"/>
      <c r="AM73" s="542"/>
      <c r="AN73" s="633"/>
      <c r="AO73" s="542"/>
      <c r="AP73" s="544"/>
      <c r="AQ73" s="544"/>
      <c r="AR73" s="542"/>
      <c r="AS73" s="633"/>
      <c r="AT73" s="542"/>
      <c r="AU73" s="544"/>
      <c r="AV73" s="544"/>
      <c r="AW73" s="542"/>
      <c r="AX73" s="633"/>
      <c r="AZ73" s="357" t="e">
        <f t="shared" si="46"/>
        <v>#N/A</v>
      </c>
      <c r="BA73" s="633"/>
    </row>
    <row r="74" spans="2:53">
      <c r="B74" s="643"/>
      <c r="C74" s="368">
        <v>8</v>
      </c>
      <c r="D74" s="220"/>
      <c r="E74" s="559"/>
      <c r="F74" s="553"/>
      <c r="G74" s="552"/>
      <c r="H74" s="651"/>
      <c r="I74" s="369" t="str">
        <f t="shared" si="43"/>
        <v>-</v>
      </c>
      <c r="J74" s="369" t="str">
        <f t="shared" si="44"/>
        <v>-</v>
      </c>
      <c r="K74" s="194" t="str">
        <f t="shared" si="45"/>
        <v>-</v>
      </c>
      <c r="L74" s="653"/>
      <c r="M74" s="372" t="e">
        <f>RANK(K74, K$67:$K$81)</f>
        <v>#VALUE!</v>
      </c>
      <c r="N74" s="637"/>
      <c r="O74" s="637"/>
      <c r="P74" s="542"/>
      <c r="Q74" s="544"/>
      <c r="R74" s="544"/>
      <c r="S74" s="542"/>
      <c r="T74" s="633"/>
      <c r="U74" s="542"/>
      <c r="V74" s="544"/>
      <c r="W74" s="544"/>
      <c r="X74" s="542"/>
      <c r="Y74" s="633"/>
      <c r="Z74" s="542"/>
      <c r="AA74" s="544"/>
      <c r="AB74" s="544"/>
      <c r="AC74" s="542"/>
      <c r="AD74" s="633"/>
      <c r="AE74" s="542"/>
      <c r="AF74" s="544"/>
      <c r="AG74" s="544"/>
      <c r="AH74" s="542"/>
      <c r="AI74" s="633"/>
      <c r="AJ74" s="542"/>
      <c r="AK74" s="544"/>
      <c r="AL74" s="544"/>
      <c r="AM74" s="542"/>
      <c r="AN74" s="633"/>
      <c r="AO74" s="542"/>
      <c r="AP74" s="544"/>
      <c r="AQ74" s="544"/>
      <c r="AR74" s="542"/>
      <c r="AS74" s="633"/>
      <c r="AT74" s="542"/>
      <c r="AU74" s="544"/>
      <c r="AV74" s="544"/>
      <c r="AW74" s="542"/>
      <c r="AX74" s="633"/>
      <c r="AZ74" s="357" t="e">
        <f t="shared" si="46"/>
        <v>#N/A</v>
      </c>
      <c r="BA74" s="633"/>
    </row>
    <row r="75" spans="2:53">
      <c r="B75" s="643"/>
      <c r="C75" s="368">
        <v>9</v>
      </c>
      <c r="D75" s="220"/>
      <c r="E75" s="559"/>
      <c r="F75" s="553"/>
      <c r="G75" s="552"/>
      <c r="H75" s="651"/>
      <c r="I75" s="369" t="str">
        <f t="shared" si="43"/>
        <v>-</v>
      </c>
      <c r="J75" s="369" t="str">
        <f t="shared" si="44"/>
        <v>-</v>
      </c>
      <c r="K75" s="194" t="str">
        <f t="shared" si="45"/>
        <v>-</v>
      </c>
      <c r="L75" s="653"/>
      <c r="M75" s="372" t="e">
        <f>RANK(K75, K$67:$K$81)</f>
        <v>#VALUE!</v>
      </c>
      <c r="N75" s="637"/>
      <c r="O75" s="637"/>
      <c r="P75" s="542"/>
      <c r="Q75" s="544"/>
      <c r="R75" s="544"/>
      <c r="S75" s="542"/>
      <c r="T75" s="633"/>
      <c r="U75" s="542"/>
      <c r="V75" s="544"/>
      <c r="W75" s="544"/>
      <c r="X75" s="542"/>
      <c r="Y75" s="633"/>
      <c r="Z75" s="542"/>
      <c r="AA75" s="544"/>
      <c r="AB75" s="544"/>
      <c r="AC75" s="542"/>
      <c r="AD75" s="633"/>
      <c r="AE75" s="542"/>
      <c r="AF75" s="544"/>
      <c r="AG75" s="544"/>
      <c r="AH75" s="542"/>
      <c r="AI75" s="633"/>
      <c r="AJ75" s="542"/>
      <c r="AK75" s="544"/>
      <c r="AL75" s="544"/>
      <c r="AM75" s="542"/>
      <c r="AN75" s="633"/>
      <c r="AO75" s="542"/>
      <c r="AP75" s="544"/>
      <c r="AQ75" s="544"/>
      <c r="AR75" s="542"/>
      <c r="AS75" s="633"/>
      <c r="AT75" s="542"/>
      <c r="AU75" s="544"/>
      <c r="AV75" s="544"/>
      <c r="AW75" s="542"/>
      <c r="AX75" s="633"/>
      <c r="AZ75" s="357" t="e">
        <f t="shared" si="46"/>
        <v>#N/A</v>
      </c>
      <c r="BA75" s="633"/>
    </row>
    <row r="76" spans="2:53">
      <c r="B76" s="643"/>
      <c r="C76" s="368">
        <v>10</v>
      </c>
      <c r="D76" s="220"/>
      <c r="E76" s="559"/>
      <c r="F76" s="553"/>
      <c r="G76" s="552"/>
      <c r="H76" s="651"/>
      <c r="I76" s="369" t="str">
        <f t="shared" si="43"/>
        <v>-</v>
      </c>
      <c r="J76" s="369" t="str">
        <f t="shared" si="44"/>
        <v>-</v>
      </c>
      <c r="K76" s="194" t="str">
        <f t="shared" si="45"/>
        <v>-</v>
      </c>
      <c r="L76" s="653"/>
      <c r="M76" s="372" t="e">
        <f>RANK(K76, K$67:$K$81)</f>
        <v>#VALUE!</v>
      </c>
      <c r="N76" s="637"/>
      <c r="O76" s="637"/>
      <c r="P76" s="542"/>
      <c r="Q76" s="544"/>
      <c r="R76" s="544"/>
      <c r="S76" s="542"/>
      <c r="T76" s="633"/>
      <c r="U76" s="542"/>
      <c r="V76" s="544"/>
      <c r="W76" s="544"/>
      <c r="X76" s="542"/>
      <c r="Y76" s="633"/>
      <c r="Z76" s="542"/>
      <c r="AA76" s="544"/>
      <c r="AB76" s="544"/>
      <c r="AC76" s="542"/>
      <c r="AD76" s="633"/>
      <c r="AE76" s="542"/>
      <c r="AF76" s="544"/>
      <c r="AG76" s="544"/>
      <c r="AH76" s="542"/>
      <c r="AI76" s="633"/>
      <c r="AJ76" s="542"/>
      <c r="AK76" s="544"/>
      <c r="AL76" s="544"/>
      <c r="AM76" s="542"/>
      <c r="AN76" s="633"/>
      <c r="AO76" s="542"/>
      <c r="AP76" s="544"/>
      <c r="AQ76" s="544"/>
      <c r="AR76" s="542"/>
      <c r="AS76" s="633"/>
      <c r="AT76" s="542"/>
      <c r="AU76" s="544"/>
      <c r="AV76" s="544"/>
      <c r="AW76" s="542"/>
      <c r="AX76" s="633"/>
      <c r="AZ76" s="357" t="e">
        <f t="shared" si="46"/>
        <v>#N/A</v>
      </c>
      <c r="BA76" s="633"/>
    </row>
    <row r="77" spans="2:53">
      <c r="B77" s="643"/>
      <c r="C77" s="368">
        <v>11</v>
      </c>
      <c r="D77" s="220"/>
      <c r="E77" s="559"/>
      <c r="F77" s="553"/>
      <c r="G77" s="552"/>
      <c r="H77" s="651"/>
      <c r="I77" s="369" t="str">
        <f t="shared" si="43"/>
        <v>-</v>
      </c>
      <c r="J77" s="369" t="str">
        <f t="shared" si="44"/>
        <v>-</v>
      </c>
      <c r="K77" s="194" t="str">
        <f t="shared" si="45"/>
        <v>-</v>
      </c>
      <c r="L77" s="653"/>
      <c r="M77" s="372" t="e">
        <f>RANK(K77, K$67:$K$81)</f>
        <v>#VALUE!</v>
      </c>
      <c r="N77" s="637"/>
      <c r="O77" s="637"/>
      <c r="P77" s="542"/>
      <c r="Q77" s="544"/>
      <c r="R77" s="544"/>
      <c r="S77" s="542"/>
      <c r="T77" s="633"/>
      <c r="U77" s="542"/>
      <c r="V77" s="544"/>
      <c r="W77" s="544"/>
      <c r="X77" s="542"/>
      <c r="Y77" s="633"/>
      <c r="Z77" s="542"/>
      <c r="AA77" s="544"/>
      <c r="AB77" s="544"/>
      <c r="AC77" s="542"/>
      <c r="AD77" s="633"/>
      <c r="AE77" s="542"/>
      <c r="AF77" s="544"/>
      <c r="AG77" s="544"/>
      <c r="AH77" s="542"/>
      <c r="AI77" s="633"/>
      <c r="AJ77" s="542"/>
      <c r="AK77" s="544"/>
      <c r="AL77" s="544"/>
      <c r="AM77" s="542"/>
      <c r="AN77" s="633"/>
      <c r="AO77" s="542"/>
      <c r="AP77" s="544"/>
      <c r="AQ77" s="544"/>
      <c r="AR77" s="542"/>
      <c r="AS77" s="633"/>
      <c r="AT77" s="542"/>
      <c r="AU77" s="544"/>
      <c r="AV77" s="544"/>
      <c r="AW77" s="542"/>
      <c r="AX77" s="633"/>
      <c r="AZ77" s="357" t="e">
        <f t="shared" si="46"/>
        <v>#N/A</v>
      </c>
      <c r="BA77" s="633"/>
    </row>
    <row r="78" spans="2:53">
      <c r="B78" s="643"/>
      <c r="C78" s="368">
        <v>12</v>
      </c>
      <c r="D78" s="220"/>
      <c r="E78" s="559"/>
      <c r="F78" s="553"/>
      <c r="G78" s="552"/>
      <c r="H78" s="651"/>
      <c r="I78" s="369" t="str">
        <f t="shared" si="43"/>
        <v>-</v>
      </c>
      <c r="J78" s="369" t="str">
        <f t="shared" si="44"/>
        <v>-</v>
      </c>
      <c r="K78" s="194" t="str">
        <f t="shared" si="45"/>
        <v>-</v>
      </c>
      <c r="L78" s="653"/>
      <c r="M78" s="372" t="e">
        <f>RANK(K78, K$67:$K$81)</f>
        <v>#VALUE!</v>
      </c>
      <c r="N78" s="637"/>
      <c r="O78" s="637"/>
      <c r="P78" s="542"/>
      <c r="Q78" s="544"/>
      <c r="R78" s="544"/>
      <c r="S78" s="542"/>
      <c r="T78" s="633"/>
      <c r="U78" s="542"/>
      <c r="V78" s="544"/>
      <c r="W78" s="544"/>
      <c r="X78" s="542"/>
      <c r="Y78" s="633"/>
      <c r="Z78" s="542"/>
      <c r="AA78" s="544"/>
      <c r="AB78" s="544"/>
      <c r="AC78" s="542"/>
      <c r="AD78" s="633"/>
      <c r="AE78" s="542"/>
      <c r="AF78" s="544"/>
      <c r="AG78" s="544"/>
      <c r="AH78" s="542"/>
      <c r="AI78" s="633"/>
      <c r="AJ78" s="542"/>
      <c r="AK78" s="544"/>
      <c r="AL78" s="544"/>
      <c r="AM78" s="542"/>
      <c r="AN78" s="633"/>
      <c r="AO78" s="542"/>
      <c r="AP78" s="544"/>
      <c r="AQ78" s="544"/>
      <c r="AR78" s="542"/>
      <c r="AS78" s="633"/>
      <c r="AT78" s="542"/>
      <c r="AU78" s="544"/>
      <c r="AV78" s="544"/>
      <c r="AW78" s="542"/>
      <c r="AX78" s="633"/>
      <c r="AZ78" s="357" t="e">
        <f t="shared" si="46"/>
        <v>#N/A</v>
      </c>
      <c r="BA78" s="633"/>
    </row>
    <row r="79" spans="2:53">
      <c r="B79" s="643"/>
      <c r="C79" s="368">
        <v>13</v>
      </c>
      <c r="D79" s="220"/>
      <c r="E79" s="559"/>
      <c r="F79" s="553"/>
      <c r="G79" s="552"/>
      <c r="H79" s="651"/>
      <c r="I79" s="369" t="str">
        <f t="shared" si="43"/>
        <v>-</v>
      </c>
      <c r="J79" s="369" t="str">
        <f t="shared" si="44"/>
        <v>-</v>
      </c>
      <c r="K79" s="194" t="str">
        <f t="shared" si="45"/>
        <v>-</v>
      </c>
      <c r="L79" s="653"/>
      <c r="M79" s="372" t="e">
        <f>RANK(K79, K$67:$K$81)</f>
        <v>#VALUE!</v>
      </c>
      <c r="N79" s="637"/>
      <c r="O79" s="637"/>
      <c r="P79" s="542"/>
      <c r="Q79" s="544"/>
      <c r="R79" s="544"/>
      <c r="S79" s="542"/>
      <c r="T79" s="633"/>
      <c r="U79" s="542"/>
      <c r="V79" s="544"/>
      <c r="W79" s="544"/>
      <c r="X79" s="542"/>
      <c r="Y79" s="633"/>
      <c r="Z79" s="542"/>
      <c r="AA79" s="544"/>
      <c r="AB79" s="544"/>
      <c r="AC79" s="542"/>
      <c r="AD79" s="633"/>
      <c r="AE79" s="542"/>
      <c r="AF79" s="544"/>
      <c r="AG79" s="544"/>
      <c r="AH79" s="542"/>
      <c r="AI79" s="633"/>
      <c r="AJ79" s="542"/>
      <c r="AK79" s="544"/>
      <c r="AL79" s="544"/>
      <c r="AM79" s="542"/>
      <c r="AN79" s="633"/>
      <c r="AO79" s="542"/>
      <c r="AP79" s="544"/>
      <c r="AQ79" s="544"/>
      <c r="AR79" s="542"/>
      <c r="AS79" s="633"/>
      <c r="AT79" s="542"/>
      <c r="AU79" s="544"/>
      <c r="AV79" s="544"/>
      <c r="AW79" s="542"/>
      <c r="AX79" s="633"/>
      <c r="AZ79" s="357" t="e">
        <f t="shared" si="46"/>
        <v>#N/A</v>
      </c>
      <c r="BA79" s="633"/>
    </row>
    <row r="80" spans="2:53">
      <c r="B80" s="643"/>
      <c r="C80" s="368">
        <v>14</v>
      </c>
      <c r="D80" s="220"/>
      <c r="E80" s="559"/>
      <c r="F80" s="553"/>
      <c r="G80" s="552"/>
      <c r="H80" s="651"/>
      <c r="I80" s="369" t="str">
        <f t="shared" si="43"/>
        <v>-</v>
      </c>
      <c r="J80" s="369" t="str">
        <f t="shared" si="44"/>
        <v>-</v>
      </c>
      <c r="K80" s="194" t="str">
        <f t="shared" si="45"/>
        <v>-</v>
      </c>
      <c r="L80" s="653"/>
      <c r="M80" s="372" t="e">
        <f>RANK(K80, K$67:$K$81)</f>
        <v>#VALUE!</v>
      </c>
      <c r="N80" s="637"/>
      <c r="O80" s="637"/>
      <c r="P80" s="542"/>
      <c r="Q80" s="544"/>
      <c r="R80" s="544"/>
      <c r="S80" s="542"/>
      <c r="T80" s="633"/>
      <c r="U80" s="542"/>
      <c r="V80" s="544"/>
      <c r="W80" s="544"/>
      <c r="X80" s="542"/>
      <c r="Y80" s="633"/>
      <c r="Z80" s="542"/>
      <c r="AA80" s="544"/>
      <c r="AB80" s="544"/>
      <c r="AC80" s="542"/>
      <c r="AD80" s="633"/>
      <c r="AE80" s="542"/>
      <c r="AF80" s="544"/>
      <c r="AG80" s="544"/>
      <c r="AH80" s="542"/>
      <c r="AI80" s="633"/>
      <c r="AJ80" s="542"/>
      <c r="AK80" s="544"/>
      <c r="AL80" s="544"/>
      <c r="AM80" s="542"/>
      <c r="AN80" s="633"/>
      <c r="AO80" s="542"/>
      <c r="AP80" s="544"/>
      <c r="AQ80" s="544"/>
      <c r="AR80" s="542"/>
      <c r="AS80" s="633"/>
      <c r="AT80" s="542"/>
      <c r="AU80" s="544"/>
      <c r="AV80" s="544"/>
      <c r="AW80" s="542"/>
      <c r="AX80" s="633"/>
      <c r="AZ80" s="357" t="e">
        <f t="shared" si="46"/>
        <v>#N/A</v>
      </c>
      <c r="BA80" s="633"/>
    </row>
    <row r="81" spans="2:53">
      <c r="B81" s="643"/>
      <c r="C81" s="368">
        <v>15</v>
      </c>
      <c r="D81" s="220"/>
      <c r="E81" s="559"/>
      <c r="F81" s="553"/>
      <c r="G81" s="552"/>
      <c r="H81" s="708"/>
      <c r="I81" s="368"/>
      <c r="J81" s="368"/>
      <c r="K81" s="368"/>
      <c r="L81" s="654"/>
      <c r="M81" s="372" t="e">
        <f>RANK(K81, K$47:$K$61)</f>
        <v>#N/A</v>
      </c>
      <c r="N81" s="637"/>
      <c r="O81" s="637"/>
      <c r="P81" s="542"/>
      <c r="Q81" s="544"/>
      <c r="R81" s="544"/>
      <c r="S81" s="542"/>
      <c r="T81" s="634"/>
      <c r="U81" s="542"/>
      <c r="V81" s="544"/>
      <c r="W81" s="544"/>
      <c r="X81" s="542"/>
      <c r="Y81" s="634"/>
      <c r="Z81" s="542"/>
      <c r="AA81" s="544"/>
      <c r="AB81" s="544"/>
      <c r="AC81" s="542"/>
      <c r="AD81" s="634"/>
      <c r="AE81" s="542"/>
      <c r="AF81" s="544"/>
      <c r="AG81" s="544"/>
      <c r="AH81" s="542"/>
      <c r="AI81" s="634"/>
      <c r="AJ81" s="542"/>
      <c r="AK81" s="544"/>
      <c r="AL81" s="544"/>
      <c r="AM81" s="542"/>
      <c r="AN81" s="634"/>
      <c r="AO81" s="542"/>
      <c r="AP81" s="544"/>
      <c r="AQ81" s="544"/>
      <c r="AR81" s="542"/>
      <c r="AS81" s="634"/>
      <c r="AT81" s="542"/>
      <c r="AU81" s="544"/>
      <c r="AV81" s="544"/>
      <c r="AW81" s="542"/>
      <c r="AX81" s="634"/>
      <c r="AZ81" s="357" t="e">
        <f t="shared" si="46"/>
        <v>#N/A</v>
      </c>
      <c r="BA81" s="634"/>
    </row>
    <row r="82" spans="2:53" ht="15.75">
      <c r="B82" s="665" t="s">
        <v>162</v>
      </c>
      <c r="C82" s="666"/>
      <c r="D82" s="666"/>
      <c r="E82" s="666"/>
      <c r="F82" s="666"/>
      <c r="G82" s="666"/>
      <c r="H82" s="667"/>
      <c r="I82" s="202"/>
      <c r="J82" s="202"/>
      <c r="K82" s="202"/>
      <c r="L82" s="202"/>
      <c r="M82" s="201"/>
      <c r="N82" s="639" t="s">
        <v>156</v>
      </c>
      <c r="O82" s="639" t="s">
        <v>105</v>
      </c>
      <c r="P82" s="664">
        <f>P62+7</f>
        <v>46322</v>
      </c>
      <c r="Q82" s="643"/>
      <c r="R82" s="643"/>
      <c r="S82" s="643"/>
      <c r="T82" s="643"/>
      <c r="U82" s="661">
        <f>P82+1</f>
        <v>46323</v>
      </c>
      <c r="V82" s="662"/>
      <c r="W82" s="662"/>
      <c r="X82" s="662"/>
      <c r="Y82" s="663"/>
      <c r="Z82" s="661">
        <f>U82+1</f>
        <v>46324</v>
      </c>
      <c r="AA82" s="662"/>
      <c r="AB82" s="662"/>
      <c r="AC82" s="662"/>
      <c r="AD82" s="663"/>
      <c r="AE82" s="661">
        <f>Z82+1</f>
        <v>46325</v>
      </c>
      <c r="AF82" s="662"/>
      <c r="AG82" s="662"/>
      <c r="AH82" s="662"/>
      <c r="AI82" s="663"/>
      <c r="AJ82" s="661">
        <f>AE82+1</f>
        <v>46326</v>
      </c>
      <c r="AK82" s="662"/>
      <c r="AL82" s="662"/>
      <c r="AM82" s="662"/>
      <c r="AN82" s="663"/>
      <c r="AO82" s="661">
        <f>AJ82+1</f>
        <v>46327</v>
      </c>
      <c r="AP82" s="662"/>
      <c r="AQ82" s="662"/>
      <c r="AR82" s="662"/>
      <c r="AS82" s="663"/>
      <c r="AT82" s="661">
        <f>AO82+1</f>
        <v>46328</v>
      </c>
      <c r="AU82" s="662"/>
      <c r="AV82" s="662"/>
      <c r="AW82" s="662"/>
      <c r="AX82" s="663"/>
    </row>
    <row r="83" spans="2:53" ht="15.75">
      <c r="B83" s="668"/>
      <c r="C83" s="668"/>
      <c r="D83" s="668"/>
      <c r="E83" s="668"/>
      <c r="F83" s="668"/>
      <c r="G83" s="668"/>
      <c r="H83" s="668"/>
      <c r="I83" s="199"/>
      <c r="J83" s="199"/>
      <c r="K83" s="199"/>
      <c r="L83" s="199"/>
      <c r="M83" s="200"/>
      <c r="N83" s="641"/>
      <c r="O83" s="641"/>
      <c r="P83" s="664" t="s">
        <v>317</v>
      </c>
      <c r="Q83" s="643"/>
      <c r="R83" s="643"/>
      <c r="S83" s="643"/>
      <c r="T83" s="643"/>
      <c r="U83" s="664" t="s">
        <v>318</v>
      </c>
      <c r="V83" s="643"/>
      <c r="W83" s="643"/>
      <c r="X83" s="643"/>
      <c r="Y83" s="643"/>
      <c r="Z83" s="664" t="s">
        <v>319</v>
      </c>
      <c r="AA83" s="643"/>
      <c r="AB83" s="643"/>
      <c r="AC83" s="643"/>
      <c r="AD83" s="643"/>
      <c r="AE83" s="664" t="s">
        <v>320</v>
      </c>
      <c r="AF83" s="643"/>
      <c r="AG83" s="643"/>
      <c r="AH83" s="643"/>
      <c r="AI83" s="643"/>
      <c r="AJ83" s="664" t="s">
        <v>321</v>
      </c>
      <c r="AK83" s="643"/>
      <c r="AL83" s="643"/>
      <c r="AM83" s="643"/>
      <c r="AN83" s="643"/>
      <c r="AO83" s="664" t="s">
        <v>322</v>
      </c>
      <c r="AP83" s="643"/>
      <c r="AQ83" s="643"/>
      <c r="AR83" s="643"/>
      <c r="AS83" s="643"/>
      <c r="AT83" s="664" t="s">
        <v>323</v>
      </c>
      <c r="AU83" s="643"/>
      <c r="AV83" s="643"/>
      <c r="AW83" s="643"/>
      <c r="AX83" s="643"/>
    </row>
    <row r="84" spans="2:53">
      <c r="B84" s="637" t="s">
        <v>743</v>
      </c>
      <c r="C84" s="637" t="s">
        <v>521</v>
      </c>
      <c r="D84" s="637"/>
      <c r="E84" s="637" t="s">
        <v>522</v>
      </c>
      <c r="F84" s="637"/>
      <c r="G84" s="637"/>
      <c r="H84" s="669" t="s">
        <v>523</v>
      </c>
      <c r="I84" s="637" t="s">
        <v>524</v>
      </c>
      <c r="J84" s="637"/>
      <c r="K84" s="637"/>
      <c r="L84" s="669" t="s">
        <v>357</v>
      </c>
      <c r="M84" s="639" t="s">
        <v>525</v>
      </c>
      <c r="N84" s="637"/>
      <c r="O84" s="637" t="s">
        <v>363</v>
      </c>
      <c r="P84" s="655" t="s">
        <v>359</v>
      </c>
      <c r="Q84" s="656"/>
      <c r="R84" s="656"/>
      <c r="S84" s="657"/>
      <c r="T84" s="637" t="s">
        <v>357</v>
      </c>
      <c r="U84" s="655" t="s">
        <v>359</v>
      </c>
      <c r="V84" s="656"/>
      <c r="W84" s="656"/>
      <c r="X84" s="657"/>
      <c r="Y84" s="637" t="s">
        <v>357</v>
      </c>
      <c r="Z84" s="655" t="s">
        <v>359</v>
      </c>
      <c r="AA84" s="656"/>
      <c r="AB84" s="656"/>
      <c r="AC84" s="657"/>
      <c r="AD84" s="637" t="s">
        <v>357</v>
      </c>
      <c r="AE84" s="655" t="s">
        <v>359</v>
      </c>
      <c r="AF84" s="656"/>
      <c r="AG84" s="656"/>
      <c r="AH84" s="657"/>
      <c r="AI84" s="637" t="s">
        <v>357</v>
      </c>
      <c r="AJ84" s="655" t="s">
        <v>359</v>
      </c>
      <c r="AK84" s="656"/>
      <c r="AL84" s="656"/>
      <c r="AM84" s="657"/>
      <c r="AN84" s="637" t="s">
        <v>357</v>
      </c>
      <c r="AO84" s="655" t="s">
        <v>359</v>
      </c>
      <c r="AP84" s="656"/>
      <c r="AQ84" s="656"/>
      <c r="AR84" s="657"/>
      <c r="AS84" s="637" t="s">
        <v>357</v>
      </c>
      <c r="AT84" s="655" t="s">
        <v>359</v>
      </c>
      <c r="AU84" s="656"/>
      <c r="AV84" s="656"/>
      <c r="AW84" s="657"/>
      <c r="AX84" s="637" t="s">
        <v>357</v>
      </c>
      <c r="BA84" s="637" t="s">
        <v>357</v>
      </c>
    </row>
    <row r="85" spans="2:53">
      <c r="B85" s="637"/>
      <c r="C85" s="637"/>
      <c r="D85" s="637"/>
      <c r="E85" s="637" t="s">
        <v>527</v>
      </c>
      <c r="F85" s="637"/>
      <c r="G85" s="637"/>
      <c r="H85" s="670"/>
      <c r="I85" s="637" t="s">
        <v>527</v>
      </c>
      <c r="J85" s="637"/>
      <c r="K85" s="637"/>
      <c r="L85" s="670"/>
      <c r="M85" s="640"/>
      <c r="N85" s="637"/>
      <c r="O85" s="637"/>
      <c r="P85" s="655" t="s">
        <v>365</v>
      </c>
      <c r="Q85" s="656"/>
      <c r="R85" s="656"/>
      <c r="S85" s="657"/>
      <c r="T85" s="637"/>
      <c r="U85" s="655" t="s">
        <v>365</v>
      </c>
      <c r="V85" s="656"/>
      <c r="W85" s="656"/>
      <c r="X85" s="657"/>
      <c r="Y85" s="637"/>
      <c r="Z85" s="655" t="s">
        <v>365</v>
      </c>
      <c r="AA85" s="656"/>
      <c r="AB85" s="656"/>
      <c r="AC85" s="657"/>
      <c r="AD85" s="637"/>
      <c r="AE85" s="655" t="s">
        <v>365</v>
      </c>
      <c r="AF85" s="656"/>
      <c r="AG85" s="656"/>
      <c r="AH85" s="657"/>
      <c r="AI85" s="637"/>
      <c r="AJ85" s="655" t="s">
        <v>365</v>
      </c>
      <c r="AK85" s="656"/>
      <c r="AL85" s="656"/>
      <c r="AM85" s="657"/>
      <c r="AN85" s="637"/>
      <c r="AO85" s="655" t="s">
        <v>365</v>
      </c>
      <c r="AP85" s="656"/>
      <c r="AQ85" s="656"/>
      <c r="AR85" s="657"/>
      <c r="AS85" s="637"/>
      <c r="AT85" s="655" t="s">
        <v>365</v>
      </c>
      <c r="AU85" s="656"/>
      <c r="AV85" s="656"/>
      <c r="AW85" s="657"/>
      <c r="AX85" s="637"/>
      <c r="BA85" s="637"/>
    </row>
    <row r="86" spans="2:53">
      <c r="B86" s="637"/>
      <c r="C86" s="637"/>
      <c r="D86" s="637"/>
      <c r="E86" s="366" t="s">
        <v>528</v>
      </c>
      <c r="F86" s="366" t="s">
        <v>529</v>
      </c>
      <c r="G86" s="366" t="s">
        <v>530</v>
      </c>
      <c r="H86" s="671"/>
      <c r="I86" s="366" t="s">
        <v>528</v>
      </c>
      <c r="J86" s="366" t="s">
        <v>529</v>
      </c>
      <c r="K86" s="366" t="s">
        <v>530</v>
      </c>
      <c r="L86" s="671"/>
      <c r="M86" s="641"/>
      <c r="N86" s="637"/>
      <c r="O86" s="637"/>
      <c r="P86" s="366" t="s">
        <v>366</v>
      </c>
      <c r="Q86" s="366" t="s">
        <v>367</v>
      </c>
      <c r="R86" s="366" t="s">
        <v>368</v>
      </c>
      <c r="S86" s="366" t="s">
        <v>358</v>
      </c>
      <c r="T86" s="637"/>
      <c r="U86" s="366" t="s">
        <v>366</v>
      </c>
      <c r="V86" s="366" t="s">
        <v>367</v>
      </c>
      <c r="W86" s="366" t="s">
        <v>368</v>
      </c>
      <c r="X86" s="366" t="s">
        <v>358</v>
      </c>
      <c r="Y86" s="637"/>
      <c r="Z86" s="366" t="s">
        <v>366</v>
      </c>
      <c r="AA86" s="366" t="s">
        <v>367</v>
      </c>
      <c r="AB86" s="366" t="s">
        <v>368</v>
      </c>
      <c r="AC86" s="366" t="s">
        <v>358</v>
      </c>
      <c r="AD86" s="637"/>
      <c r="AE86" s="366" t="s">
        <v>366</v>
      </c>
      <c r="AF86" s="366" t="s">
        <v>367</v>
      </c>
      <c r="AG86" s="366" t="s">
        <v>368</v>
      </c>
      <c r="AH86" s="366" t="s">
        <v>358</v>
      </c>
      <c r="AI86" s="637"/>
      <c r="AJ86" s="366" t="s">
        <v>366</v>
      </c>
      <c r="AK86" s="366" t="s">
        <v>367</v>
      </c>
      <c r="AL86" s="366" t="s">
        <v>368</v>
      </c>
      <c r="AM86" s="366" t="s">
        <v>358</v>
      </c>
      <c r="AN86" s="637"/>
      <c r="AO86" s="366" t="s">
        <v>366</v>
      </c>
      <c r="AP86" s="366" t="s">
        <v>367</v>
      </c>
      <c r="AQ86" s="366" t="s">
        <v>368</v>
      </c>
      <c r="AR86" s="366" t="s">
        <v>358</v>
      </c>
      <c r="AS86" s="637"/>
      <c r="AT86" s="366" t="s">
        <v>366</v>
      </c>
      <c r="AU86" s="366" t="s">
        <v>367</v>
      </c>
      <c r="AV86" s="366" t="s">
        <v>368</v>
      </c>
      <c r="AW86" s="366" t="s">
        <v>358</v>
      </c>
      <c r="AX86" s="637"/>
      <c r="AZ86" s="356" t="s">
        <v>358</v>
      </c>
      <c r="BA86" s="637"/>
    </row>
    <row r="87" spans="2:53">
      <c r="B87" s="637" t="s">
        <v>412</v>
      </c>
      <c r="C87" s="368">
        <v>1</v>
      </c>
      <c r="D87" s="220"/>
      <c r="E87" s="477"/>
      <c r="F87" s="474"/>
      <c r="G87" s="473"/>
      <c r="H87" s="650" t="e">
        <f>AVERAGE(G87:G101)</f>
        <v>#DIV/0!</v>
      </c>
      <c r="I87" s="369" t="str">
        <f t="shared" ref="I87:I100" si="48">IFERROR(AVERAGE(P87,U87,Z87,AE87,AJ87,AO87,AT87),"-")</f>
        <v>-</v>
      </c>
      <c r="J87" s="369" t="str">
        <f t="shared" ref="J87:J100" si="49">IFERROR(AVERAGE(Q87,V87,AA87,AF87,AK87,AP87,AU87),"-")</f>
        <v>-</v>
      </c>
      <c r="K87" s="194" t="str">
        <f t="shared" ref="K87:K100" si="50">IFERROR(AVERAGE(R87,W87,AB87,AG87,AL87,AQ87,AV87),"-")</f>
        <v>-</v>
      </c>
      <c r="L87" s="652" t="str">
        <f>IFERROR(AVERAGE(K87:K101),"-")</f>
        <v>-</v>
      </c>
      <c r="M87" s="372" t="e">
        <f>RANK(K87, K$87:$K$101)</f>
        <v>#VALUE!</v>
      </c>
      <c r="N87" s="637"/>
      <c r="O87" s="637"/>
      <c r="P87" s="546"/>
      <c r="Q87" s="547"/>
      <c r="R87" s="547"/>
      <c r="S87" s="546"/>
      <c r="T87" s="638"/>
      <c r="U87" s="546"/>
      <c r="V87" s="547"/>
      <c r="W87" s="547"/>
      <c r="X87" s="546"/>
      <c r="Y87" s="638"/>
      <c r="Z87" s="546"/>
      <c r="AA87" s="547"/>
      <c r="AB87" s="547"/>
      <c r="AC87" s="546"/>
      <c r="AD87" s="638"/>
      <c r="AE87" s="546"/>
      <c r="AF87" s="547"/>
      <c r="AG87" s="547"/>
      <c r="AH87" s="546"/>
      <c r="AI87" s="638"/>
      <c r="AJ87" s="546"/>
      <c r="AK87" s="547"/>
      <c r="AL87" s="547"/>
      <c r="AM87" s="546"/>
      <c r="AN87" s="638"/>
      <c r="AO87" s="546"/>
      <c r="AP87" s="547"/>
      <c r="AQ87" s="547"/>
      <c r="AR87" s="546"/>
      <c r="AS87" s="638"/>
      <c r="AT87" s="546"/>
      <c r="AU87" s="547"/>
      <c r="AV87" s="547"/>
      <c r="AW87" s="546"/>
      <c r="AX87" s="638"/>
      <c r="AZ87" s="357" t="e">
        <f t="shared" ref="AZ87:AZ101" si="51">RANK(AY87, AY$87:AY$101)</f>
        <v>#N/A</v>
      </c>
      <c r="BA87" s="638" t="e">
        <f t="shared" ref="BA87" si="52">AVERAGE(AY87:AY101)</f>
        <v>#DIV/0!</v>
      </c>
    </row>
    <row r="88" spans="2:53">
      <c r="B88" s="643"/>
      <c r="C88" s="368">
        <v>2</v>
      </c>
      <c r="D88" s="220"/>
      <c r="E88" s="477"/>
      <c r="F88" s="474"/>
      <c r="G88" s="473"/>
      <c r="H88" s="651"/>
      <c r="I88" s="369" t="str">
        <f t="shared" si="48"/>
        <v>-</v>
      </c>
      <c r="J88" s="369" t="str">
        <f t="shared" si="49"/>
        <v>-</v>
      </c>
      <c r="K88" s="194" t="str">
        <f t="shared" si="50"/>
        <v>-</v>
      </c>
      <c r="L88" s="653"/>
      <c r="M88" s="435" t="e">
        <f>RANK(K88, K$87:$K$101)</f>
        <v>#VALUE!</v>
      </c>
      <c r="N88" s="637"/>
      <c r="O88" s="637"/>
      <c r="P88" s="546"/>
      <c r="Q88" s="547"/>
      <c r="R88" s="547"/>
      <c r="S88" s="546"/>
      <c r="T88" s="638"/>
      <c r="U88" s="546"/>
      <c r="V88" s="547"/>
      <c r="W88" s="547"/>
      <c r="X88" s="546"/>
      <c r="Y88" s="638"/>
      <c r="Z88" s="546"/>
      <c r="AA88" s="547"/>
      <c r="AB88" s="547"/>
      <c r="AC88" s="546"/>
      <c r="AD88" s="638"/>
      <c r="AE88" s="546"/>
      <c r="AF88" s="547"/>
      <c r="AG88" s="547"/>
      <c r="AH88" s="546"/>
      <c r="AI88" s="638"/>
      <c r="AJ88" s="546"/>
      <c r="AK88" s="547"/>
      <c r="AL88" s="547"/>
      <c r="AM88" s="546"/>
      <c r="AN88" s="638"/>
      <c r="AO88" s="546"/>
      <c r="AP88" s="547"/>
      <c r="AQ88" s="547"/>
      <c r="AR88" s="546"/>
      <c r="AS88" s="638"/>
      <c r="AT88" s="546"/>
      <c r="AU88" s="547"/>
      <c r="AV88" s="547"/>
      <c r="AW88" s="546"/>
      <c r="AX88" s="638"/>
      <c r="AZ88" s="357" t="e">
        <f t="shared" si="51"/>
        <v>#N/A</v>
      </c>
      <c r="BA88" s="638"/>
    </row>
    <row r="89" spans="2:53">
      <c r="B89" s="643"/>
      <c r="C89" s="368">
        <v>3</v>
      </c>
      <c r="D89" s="220"/>
      <c r="E89" s="477"/>
      <c r="F89" s="474"/>
      <c r="G89" s="473"/>
      <c r="H89" s="651"/>
      <c r="I89" s="369" t="str">
        <f t="shared" si="48"/>
        <v>-</v>
      </c>
      <c r="J89" s="369" t="str">
        <f t="shared" si="49"/>
        <v>-</v>
      </c>
      <c r="K89" s="194" t="str">
        <f t="shared" si="50"/>
        <v>-</v>
      </c>
      <c r="L89" s="653"/>
      <c r="M89" s="435" t="e">
        <f>RANK(K89, K$87:$K$101)</f>
        <v>#VALUE!</v>
      </c>
      <c r="N89" s="637"/>
      <c r="O89" s="637"/>
      <c r="P89" s="546"/>
      <c r="Q89" s="547"/>
      <c r="R89" s="547"/>
      <c r="S89" s="546"/>
      <c r="T89" s="638"/>
      <c r="U89" s="546"/>
      <c r="V89" s="547"/>
      <c r="W89" s="547"/>
      <c r="X89" s="546"/>
      <c r="Y89" s="638"/>
      <c r="Z89" s="546"/>
      <c r="AA89" s="547"/>
      <c r="AB89" s="547"/>
      <c r="AC89" s="546"/>
      <c r="AD89" s="638"/>
      <c r="AE89" s="546"/>
      <c r="AF89" s="547"/>
      <c r="AG89" s="547"/>
      <c r="AH89" s="546"/>
      <c r="AI89" s="638"/>
      <c r="AJ89" s="546"/>
      <c r="AK89" s="547"/>
      <c r="AL89" s="547"/>
      <c r="AM89" s="546"/>
      <c r="AN89" s="638"/>
      <c r="AO89" s="546"/>
      <c r="AP89" s="547"/>
      <c r="AQ89" s="547"/>
      <c r="AR89" s="546"/>
      <c r="AS89" s="638"/>
      <c r="AT89" s="546"/>
      <c r="AU89" s="547"/>
      <c r="AV89" s="547"/>
      <c r="AW89" s="546"/>
      <c r="AX89" s="638"/>
      <c r="AZ89" s="357" t="e">
        <f t="shared" si="51"/>
        <v>#N/A</v>
      </c>
      <c r="BA89" s="638"/>
    </row>
    <row r="90" spans="2:53">
      <c r="B90" s="643"/>
      <c r="C90" s="368">
        <v>4</v>
      </c>
      <c r="D90" s="220"/>
      <c r="E90" s="477"/>
      <c r="F90" s="474"/>
      <c r="G90" s="473"/>
      <c r="H90" s="651"/>
      <c r="I90" s="369" t="str">
        <f t="shared" si="48"/>
        <v>-</v>
      </c>
      <c r="J90" s="369" t="str">
        <f t="shared" si="49"/>
        <v>-</v>
      </c>
      <c r="K90" s="194" t="str">
        <f t="shared" si="50"/>
        <v>-</v>
      </c>
      <c r="L90" s="653"/>
      <c r="M90" s="435" t="e">
        <f>RANK(K90, K$87:$K$101)</f>
        <v>#VALUE!</v>
      </c>
      <c r="N90" s="637"/>
      <c r="O90" s="637"/>
      <c r="P90" s="546"/>
      <c r="Q90" s="547"/>
      <c r="R90" s="547"/>
      <c r="S90" s="546"/>
      <c r="T90" s="638"/>
      <c r="U90" s="546"/>
      <c r="V90" s="547"/>
      <c r="W90" s="547"/>
      <c r="X90" s="546"/>
      <c r="Y90" s="638"/>
      <c r="Z90" s="546"/>
      <c r="AA90" s="547"/>
      <c r="AB90" s="547"/>
      <c r="AC90" s="546"/>
      <c r="AD90" s="638"/>
      <c r="AE90" s="546"/>
      <c r="AF90" s="547"/>
      <c r="AG90" s="547"/>
      <c r="AH90" s="546"/>
      <c r="AI90" s="638"/>
      <c r="AJ90" s="546"/>
      <c r="AK90" s="547"/>
      <c r="AL90" s="547"/>
      <c r="AM90" s="546"/>
      <c r="AN90" s="638"/>
      <c r="AO90" s="546"/>
      <c r="AP90" s="547"/>
      <c r="AQ90" s="547"/>
      <c r="AR90" s="546"/>
      <c r="AS90" s="638"/>
      <c r="AT90" s="546"/>
      <c r="AU90" s="547"/>
      <c r="AV90" s="547"/>
      <c r="AW90" s="546"/>
      <c r="AX90" s="638"/>
      <c r="AZ90" s="357" t="e">
        <f t="shared" si="51"/>
        <v>#N/A</v>
      </c>
      <c r="BA90" s="638"/>
    </row>
    <row r="91" spans="2:53">
      <c r="B91" s="643"/>
      <c r="C91" s="368">
        <v>5</v>
      </c>
      <c r="D91" s="220"/>
      <c r="E91" s="477"/>
      <c r="F91" s="474"/>
      <c r="G91" s="473"/>
      <c r="H91" s="651"/>
      <c r="I91" s="369" t="str">
        <f t="shared" si="48"/>
        <v>-</v>
      </c>
      <c r="J91" s="369" t="str">
        <f t="shared" si="49"/>
        <v>-</v>
      </c>
      <c r="K91" s="194" t="str">
        <f t="shared" si="50"/>
        <v>-</v>
      </c>
      <c r="L91" s="653"/>
      <c r="M91" s="435" t="e">
        <f>RANK(K91, K$87:$K$101)</f>
        <v>#VALUE!</v>
      </c>
      <c r="N91" s="637"/>
      <c r="O91" s="637"/>
      <c r="P91" s="546"/>
      <c r="Q91" s="547"/>
      <c r="R91" s="547"/>
      <c r="S91" s="546"/>
      <c r="T91" s="638"/>
      <c r="U91" s="546"/>
      <c r="V91" s="547"/>
      <c r="W91" s="547"/>
      <c r="X91" s="546"/>
      <c r="Y91" s="638"/>
      <c r="Z91" s="546"/>
      <c r="AA91" s="547"/>
      <c r="AB91" s="547"/>
      <c r="AC91" s="546"/>
      <c r="AD91" s="638"/>
      <c r="AE91" s="546"/>
      <c r="AF91" s="547"/>
      <c r="AG91" s="547"/>
      <c r="AH91" s="546"/>
      <c r="AI91" s="638"/>
      <c r="AJ91" s="546"/>
      <c r="AK91" s="547"/>
      <c r="AL91" s="547"/>
      <c r="AM91" s="546"/>
      <c r="AN91" s="638"/>
      <c r="AO91" s="546"/>
      <c r="AP91" s="547"/>
      <c r="AQ91" s="547"/>
      <c r="AR91" s="546"/>
      <c r="AS91" s="638"/>
      <c r="AT91" s="546"/>
      <c r="AU91" s="547"/>
      <c r="AV91" s="547"/>
      <c r="AW91" s="546"/>
      <c r="AX91" s="638"/>
      <c r="AZ91" s="357" t="e">
        <f t="shared" si="51"/>
        <v>#N/A</v>
      </c>
      <c r="BA91" s="638"/>
    </row>
    <row r="92" spans="2:53">
      <c r="B92" s="643"/>
      <c r="C92" s="368">
        <v>6</v>
      </c>
      <c r="D92" s="220"/>
      <c r="E92" s="477"/>
      <c r="F92" s="474"/>
      <c r="G92" s="473"/>
      <c r="H92" s="651"/>
      <c r="I92" s="369" t="str">
        <f t="shared" si="48"/>
        <v>-</v>
      </c>
      <c r="J92" s="369" t="str">
        <f t="shared" si="49"/>
        <v>-</v>
      </c>
      <c r="K92" s="194" t="str">
        <f t="shared" si="50"/>
        <v>-</v>
      </c>
      <c r="L92" s="653"/>
      <c r="M92" s="435" t="e">
        <f>RANK(K92, K$87:$K$101)</f>
        <v>#VALUE!</v>
      </c>
      <c r="N92" s="637"/>
      <c r="O92" s="637"/>
      <c r="P92" s="546"/>
      <c r="Q92" s="547"/>
      <c r="R92" s="547"/>
      <c r="S92" s="546"/>
      <c r="T92" s="638"/>
      <c r="U92" s="546"/>
      <c r="V92" s="547"/>
      <c r="W92" s="547"/>
      <c r="X92" s="546"/>
      <c r="Y92" s="638"/>
      <c r="Z92" s="546"/>
      <c r="AA92" s="547"/>
      <c r="AB92" s="547"/>
      <c r="AC92" s="546"/>
      <c r="AD92" s="638"/>
      <c r="AE92" s="546"/>
      <c r="AF92" s="547"/>
      <c r="AG92" s="547"/>
      <c r="AH92" s="546"/>
      <c r="AI92" s="638"/>
      <c r="AJ92" s="546"/>
      <c r="AK92" s="547"/>
      <c r="AL92" s="547"/>
      <c r="AM92" s="546"/>
      <c r="AN92" s="638"/>
      <c r="AO92" s="546"/>
      <c r="AP92" s="547"/>
      <c r="AQ92" s="547"/>
      <c r="AR92" s="546"/>
      <c r="AS92" s="638"/>
      <c r="AT92" s="546"/>
      <c r="AU92" s="547"/>
      <c r="AV92" s="547"/>
      <c r="AW92" s="546"/>
      <c r="AX92" s="638"/>
      <c r="AZ92" s="357" t="e">
        <f t="shared" si="51"/>
        <v>#N/A</v>
      </c>
      <c r="BA92" s="638"/>
    </row>
    <row r="93" spans="2:53">
      <c r="B93" s="643"/>
      <c r="C93" s="368">
        <v>7</v>
      </c>
      <c r="D93" s="220"/>
      <c r="E93" s="477"/>
      <c r="F93" s="474"/>
      <c r="G93" s="473"/>
      <c r="H93" s="651"/>
      <c r="I93" s="369" t="str">
        <f t="shared" si="48"/>
        <v>-</v>
      </c>
      <c r="J93" s="369" t="str">
        <f t="shared" si="49"/>
        <v>-</v>
      </c>
      <c r="K93" s="194" t="str">
        <f t="shared" si="50"/>
        <v>-</v>
      </c>
      <c r="L93" s="653"/>
      <c r="M93" s="435" t="e">
        <f>RANK(K93, K$87:$K$101)</f>
        <v>#VALUE!</v>
      </c>
      <c r="N93" s="637"/>
      <c r="O93" s="637"/>
      <c r="P93" s="546"/>
      <c r="Q93" s="547"/>
      <c r="R93" s="547"/>
      <c r="S93" s="546"/>
      <c r="T93" s="638"/>
      <c r="U93" s="546"/>
      <c r="V93" s="547"/>
      <c r="W93" s="547"/>
      <c r="X93" s="546"/>
      <c r="Y93" s="638"/>
      <c r="Z93" s="546"/>
      <c r="AA93" s="547"/>
      <c r="AB93" s="547"/>
      <c r="AC93" s="546"/>
      <c r="AD93" s="638"/>
      <c r="AE93" s="546"/>
      <c r="AF93" s="547"/>
      <c r="AG93" s="547"/>
      <c r="AH93" s="546"/>
      <c r="AI93" s="638"/>
      <c r="AJ93" s="546"/>
      <c r="AK93" s="547"/>
      <c r="AL93" s="547"/>
      <c r="AM93" s="546"/>
      <c r="AN93" s="638"/>
      <c r="AO93" s="546"/>
      <c r="AP93" s="547"/>
      <c r="AQ93" s="547"/>
      <c r="AR93" s="546"/>
      <c r="AS93" s="638"/>
      <c r="AT93" s="546"/>
      <c r="AU93" s="547"/>
      <c r="AV93" s="547"/>
      <c r="AW93" s="546"/>
      <c r="AX93" s="638"/>
      <c r="AZ93" s="357" t="e">
        <f t="shared" si="51"/>
        <v>#N/A</v>
      </c>
      <c r="BA93" s="638"/>
    </row>
    <row r="94" spans="2:53">
      <c r="B94" s="643"/>
      <c r="C94" s="368">
        <v>8</v>
      </c>
      <c r="D94" s="220"/>
      <c r="E94" s="477"/>
      <c r="F94" s="474"/>
      <c r="G94" s="473"/>
      <c r="H94" s="651"/>
      <c r="I94" s="369" t="str">
        <f t="shared" si="48"/>
        <v>-</v>
      </c>
      <c r="J94" s="369" t="str">
        <f t="shared" si="49"/>
        <v>-</v>
      </c>
      <c r="K94" s="194" t="str">
        <f t="shared" si="50"/>
        <v>-</v>
      </c>
      <c r="L94" s="653"/>
      <c r="M94" s="435" t="e">
        <f>RANK(K94, K$87:$K$101)</f>
        <v>#VALUE!</v>
      </c>
      <c r="N94" s="637"/>
      <c r="O94" s="637"/>
      <c r="P94" s="546"/>
      <c r="Q94" s="547"/>
      <c r="R94" s="547"/>
      <c r="S94" s="546"/>
      <c r="T94" s="638"/>
      <c r="U94" s="546"/>
      <c r="V94" s="547"/>
      <c r="W94" s="547"/>
      <c r="X94" s="546"/>
      <c r="Y94" s="638"/>
      <c r="Z94" s="546"/>
      <c r="AA94" s="547"/>
      <c r="AB94" s="547"/>
      <c r="AC94" s="546"/>
      <c r="AD94" s="638"/>
      <c r="AE94" s="546"/>
      <c r="AF94" s="547"/>
      <c r="AG94" s="547"/>
      <c r="AH94" s="546"/>
      <c r="AI94" s="638"/>
      <c r="AJ94" s="546"/>
      <c r="AK94" s="547"/>
      <c r="AL94" s="547"/>
      <c r="AM94" s="546"/>
      <c r="AN94" s="638"/>
      <c r="AO94" s="546"/>
      <c r="AP94" s="547"/>
      <c r="AQ94" s="547"/>
      <c r="AR94" s="546"/>
      <c r="AS94" s="638"/>
      <c r="AT94" s="546"/>
      <c r="AU94" s="547"/>
      <c r="AV94" s="547"/>
      <c r="AW94" s="546"/>
      <c r="AX94" s="638"/>
      <c r="AZ94" s="357" t="e">
        <f t="shared" si="51"/>
        <v>#N/A</v>
      </c>
      <c r="BA94" s="638"/>
    </row>
    <row r="95" spans="2:53">
      <c r="B95" s="643"/>
      <c r="C95" s="368">
        <v>9</v>
      </c>
      <c r="D95" s="220"/>
      <c r="E95" s="477"/>
      <c r="F95" s="474"/>
      <c r="G95" s="473"/>
      <c r="H95" s="651"/>
      <c r="I95" s="369" t="str">
        <f t="shared" si="48"/>
        <v>-</v>
      </c>
      <c r="J95" s="369" t="str">
        <f t="shared" si="49"/>
        <v>-</v>
      </c>
      <c r="K95" s="194" t="str">
        <f t="shared" si="50"/>
        <v>-</v>
      </c>
      <c r="L95" s="653"/>
      <c r="M95" s="435" t="e">
        <f>RANK(K95, K$87:$K$101)</f>
        <v>#VALUE!</v>
      </c>
      <c r="N95" s="637"/>
      <c r="O95" s="637"/>
      <c r="P95" s="546"/>
      <c r="Q95" s="547"/>
      <c r="R95" s="547"/>
      <c r="S95" s="546"/>
      <c r="T95" s="638"/>
      <c r="U95" s="546"/>
      <c r="V95" s="547"/>
      <c r="W95" s="547"/>
      <c r="X95" s="546"/>
      <c r="Y95" s="638"/>
      <c r="Z95" s="546"/>
      <c r="AA95" s="547"/>
      <c r="AB95" s="547"/>
      <c r="AC95" s="546"/>
      <c r="AD95" s="638"/>
      <c r="AE95" s="546"/>
      <c r="AF95" s="547"/>
      <c r="AG95" s="547"/>
      <c r="AH95" s="546"/>
      <c r="AI95" s="638"/>
      <c r="AJ95" s="546"/>
      <c r="AK95" s="547"/>
      <c r="AL95" s="547"/>
      <c r="AM95" s="546"/>
      <c r="AN95" s="638"/>
      <c r="AO95" s="546"/>
      <c r="AP95" s="547"/>
      <c r="AQ95" s="547"/>
      <c r="AR95" s="546"/>
      <c r="AS95" s="638"/>
      <c r="AT95" s="546"/>
      <c r="AU95" s="547"/>
      <c r="AV95" s="547"/>
      <c r="AW95" s="546"/>
      <c r="AX95" s="638"/>
      <c r="AZ95" s="357" t="e">
        <f t="shared" si="51"/>
        <v>#N/A</v>
      </c>
      <c r="BA95" s="638"/>
    </row>
    <row r="96" spans="2:53">
      <c r="B96" s="643"/>
      <c r="C96" s="368">
        <v>10</v>
      </c>
      <c r="D96" s="220"/>
      <c r="E96" s="477"/>
      <c r="F96" s="474"/>
      <c r="G96" s="473"/>
      <c r="H96" s="651"/>
      <c r="I96" s="369" t="str">
        <f t="shared" si="48"/>
        <v>-</v>
      </c>
      <c r="J96" s="369" t="str">
        <f t="shared" si="49"/>
        <v>-</v>
      </c>
      <c r="K96" s="194" t="str">
        <f t="shared" si="50"/>
        <v>-</v>
      </c>
      <c r="L96" s="653"/>
      <c r="M96" s="435" t="e">
        <f>RANK(K96, K$87:$K$101)</f>
        <v>#VALUE!</v>
      </c>
      <c r="N96" s="637"/>
      <c r="O96" s="637"/>
      <c r="P96" s="546"/>
      <c r="Q96" s="547"/>
      <c r="R96" s="547"/>
      <c r="S96" s="546"/>
      <c r="T96" s="638"/>
      <c r="U96" s="546"/>
      <c r="V96" s="547"/>
      <c r="W96" s="547"/>
      <c r="X96" s="546"/>
      <c r="Y96" s="638"/>
      <c r="Z96" s="546"/>
      <c r="AA96" s="547"/>
      <c r="AB96" s="547"/>
      <c r="AC96" s="546"/>
      <c r="AD96" s="638"/>
      <c r="AE96" s="546"/>
      <c r="AF96" s="547"/>
      <c r="AG96" s="547"/>
      <c r="AH96" s="546"/>
      <c r="AI96" s="638"/>
      <c r="AJ96" s="546"/>
      <c r="AK96" s="547"/>
      <c r="AL96" s="547"/>
      <c r="AM96" s="546"/>
      <c r="AN96" s="638"/>
      <c r="AO96" s="546"/>
      <c r="AP96" s="547"/>
      <c r="AQ96" s="547"/>
      <c r="AR96" s="546"/>
      <c r="AS96" s="638"/>
      <c r="AT96" s="546"/>
      <c r="AU96" s="547"/>
      <c r="AV96" s="547"/>
      <c r="AW96" s="546"/>
      <c r="AX96" s="638"/>
      <c r="AZ96" s="357" t="e">
        <f t="shared" si="51"/>
        <v>#N/A</v>
      </c>
      <c r="BA96" s="638"/>
    </row>
    <row r="97" spans="2:53">
      <c r="B97" s="643"/>
      <c r="C97" s="368">
        <v>11</v>
      </c>
      <c r="D97" s="220"/>
      <c r="E97" s="477"/>
      <c r="F97" s="474"/>
      <c r="G97" s="473"/>
      <c r="H97" s="651"/>
      <c r="I97" s="369" t="str">
        <f t="shared" si="48"/>
        <v>-</v>
      </c>
      <c r="J97" s="369" t="str">
        <f t="shared" si="49"/>
        <v>-</v>
      </c>
      <c r="K97" s="194" t="str">
        <f t="shared" si="50"/>
        <v>-</v>
      </c>
      <c r="L97" s="653"/>
      <c r="M97" s="435" t="e">
        <f>RANK(K97, K$87:$K$101)</f>
        <v>#VALUE!</v>
      </c>
      <c r="N97" s="637"/>
      <c r="O97" s="637"/>
      <c r="P97" s="546"/>
      <c r="Q97" s="547"/>
      <c r="R97" s="547"/>
      <c r="S97" s="546"/>
      <c r="T97" s="638"/>
      <c r="U97" s="546"/>
      <c r="V97" s="547"/>
      <c r="W97" s="547"/>
      <c r="X97" s="546"/>
      <c r="Y97" s="638"/>
      <c r="Z97" s="546"/>
      <c r="AA97" s="547"/>
      <c r="AB97" s="547"/>
      <c r="AC97" s="546"/>
      <c r="AD97" s="638"/>
      <c r="AE97" s="546"/>
      <c r="AF97" s="547"/>
      <c r="AG97" s="547"/>
      <c r="AH97" s="546"/>
      <c r="AI97" s="638"/>
      <c r="AJ97" s="546"/>
      <c r="AK97" s="547"/>
      <c r="AL97" s="547"/>
      <c r="AM97" s="546"/>
      <c r="AN97" s="638"/>
      <c r="AO97" s="546"/>
      <c r="AP97" s="547"/>
      <c r="AQ97" s="547"/>
      <c r="AR97" s="546"/>
      <c r="AS97" s="638"/>
      <c r="AT97" s="546"/>
      <c r="AU97" s="547"/>
      <c r="AV97" s="547"/>
      <c r="AW97" s="546"/>
      <c r="AX97" s="638"/>
      <c r="AZ97" s="357" t="e">
        <f t="shared" si="51"/>
        <v>#N/A</v>
      </c>
      <c r="BA97" s="638"/>
    </row>
    <row r="98" spans="2:53">
      <c r="B98" s="643"/>
      <c r="C98" s="368">
        <v>12</v>
      </c>
      <c r="D98" s="220"/>
      <c r="E98" s="477"/>
      <c r="F98" s="474"/>
      <c r="G98" s="473"/>
      <c r="H98" s="651"/>
      <c r="I98" s="369" t="str">
        <f t="shared" si="48"/>
        <v>-</v>
      </c>
      <c r="J98" s="369" t="str">
        <f t="shared" si="49"/>
        <v>-</v>
      </c>
      <c r="K98" s="194" t="str">
        <f t="shared" si="50"/>
        <v>-</v>
      </c>
      <c r="L98" s="653"/>
      <c r="M98" s="435" t="e">
        <f>RANK(K98, K$87:$K$101)</f>
        <v>#VALUE!</v>
      </c>
      <c r="N98" s="637"/>
      <c r="O98" s="637"/>
      <c r="P98" s="546"/>
      <c r="Q98" s="547"/>
      <c r="R98" s="547"/>
      <c r="S98" s="546"/>
      <c r="T98" s="638"/>
      <c r="U98" s="546"/>
      <c r="V98" s="547"/>
      <c r="W98" s="547"/>
      <c r="X98" s="546"/>
      <c r="Y98" s="638"/>
      <c r="Z98" s="546"/>
      <c r="AA98" s="547"/>
      <c r="AB98" s="547"/>
      <c r="AC98" s="546"/>
      <c r="AD98" s="638"/>
      <c r="AE98" s="546"/>
      <c r="AF98" s="547"/>
      <c r="AG98" s="547"/>
      <c r="AH98" s="546"/>
      <c r="AI98" s="638"/>
      <c r="AJ98" s="546"/>
      <c r="AK98" s="547"/>
      <c r="AL98" s="547"/>
      <c r="AM98" s="546"/>
      <c r="AN98" s="638"/>
      <c r="AO98" s="546"/>
      <c r="AP98" s="547"/>
      <c r="AQ98" s="547"/>
      <c r="AR98" s="546"/>
      <c r="AS98" s="638"/>
      <c r="AT98" s="546"/>
      <c r="AU98" s="547"/>
      <c r="AV98" s="547"/>
      <c r="AW98" s="546"/>
      <c r="AX98" s="638"/>
      <c r="AZ98" s="357" t="e">
        <f t="shared" si="51"/>
        <v>#N/A</v>
      </c>
      <c r="BA98" s="638"/>
    </row>
    <row r="99" spans="2:53">
      <c r="B99" s="643"/>
      <c r="C99" s="368">
        <v>13</v>
      </c>
      <c r="D99" s="220"/>
      <c r="E99" s="477"/>
      <c r="F99" s="474"/>
      <c r="G99" s="473"/>
      <c r="H99" s="651"/>
      <c r="I99" s="369" t="str">
        <f t="shared" si="48"/>
        <v>-</v>
      </c>
      <c r="J99" s="369" t="str">
        <f t="shared" si="49"/>
        <v>-</v>
      </c>
      <c r="K99" s="194" t="str">
        <f t="shared" si="50"/>
        <v>-</v>
      </c>
      <c r="L99" s="653"/>
      <c r="M99" s="435" t="e">
        <f>RANK(K99, K$87:$K$101)</f>
        <v>#VALUE!</v>
      </c>
      <c r="N99" s="637"/>
      <c r="O99" s="637"/>
      <c r="P99" s="546"/>
      <c r="Q99" s="547"/>
      <c r="R99" s="547"/>
      <c r="S99" s="546"/>
      <c r="T99" s="638"/>
      <c r="U99" s="546"/>
      <c r="V99" s="547"/>
      <c r="W99" s="547"/>
      <c r="X99" s="546"/>
      <c r="Y99" s="638"/>
      <c r="Z99" s="546"/>
      <c r="AA99" s="547"/>
      <c r="AB99" s="547"/>
      <c r="AC99" s="546"/>
      <c r="AD99" s="638"/>
      <c r="AE99" s="546"/>
      <c r="AF99" s="547"/>
      <c r="AG99" s="547"/>
      <c r="AH99" s="546"/>
      <c r="AI99" s="638"/>
      <c r="AJ99" s="546"/>
      <c r="AK99" s="547"/>
      <c r="AL99" s="547"/>
      <c r="AM99" s="546"/>
      <c r="AN99" s="638"/>
      <c r="AO99" s="546"/>
      <c r="AP99" s="547"/>
      <c r="AQ99" s="547"/>
      <c r="AR99" s="546"/>
      <c r="AS99" s="638"/>
      <c r="AT99" s="546"/>
      <c r="AU99" s="547"/>
      <c r="AV99" s="547"/>
      <c r="AW99" s="546"/>
      <c r="AX99" s="638"/>
      <c r="AZ99" s="357" t="e">
        <f t="shared" si="51"/>
        <v>#N/A</v>
      </c>
      <c r="BA99" s="638"/>
    </row>
    <row r="100" spans="2:53">
      <c r="B100" s="643"/>
      <c r="C100" s="368">
        <v>14</v>
      </c>
      <c r="D100" s="220"/>
      <c r="E100" s="477"/>
      <c r="F100" s="474"/>
      <c r="G100" s="473"/>
      <c r="H100" s="651"/>
      <c r="I100" s="369" t="str">
        <f t="shared" si="48"/>
        <v>-</v>
      </c>
      <c r="J100" s="369" t="str">
        <f t="shared" si="49"/>
        <v>-</v>
      </c>
      <c r="K100" s="194" t="str">
        <f t="shared" si="50"/>
        <v>-</v>
      </c>
      <c r="L100" s="653"/>
      <c r="M100" s="435" t="e">
        <f>RANK(K100, K$87:$K$101)</f>
        <v>#VALUE!</v>
      </c>
      <c r="N100" s="637"/>
      <c r="O100" s="637"/>
      <c r="P100" s="546"/>
      <c r="Q100" s="547"/>
      <c r="R100" s="547"/>
      <c r="S100" s="546"/>
      <c r="T100" s="638"/>
      <c r="U100" s="546"/>
      <c r="V100" s="547"/>
      <c r="W100" s="547"/>
      <c r="X100" s="546"/>
      <c r="Y100" s="638"/>
      <c r="Z100" s="546"/>
      <c r="AA100" s="547"/>
      <c r="AB100" s="547"/>
      <c r="AC100" s="546"/>
      <c r="AD100" s="638"/>
      <c r="AE100" s="546"/>
      <c r="AF100" s="547"/>
      <c r="AG100" s="547"/>
      <c r="AH100" s="546"/>
      <c r="AI100" s="638"/>
      <c r="AJ100" s="546"/>
      <c r="AK100" s="547"/>
      <c r="AL100" s="547"/>
      <c r="AM100" s="546"/>
      <c r="AN100" s="638"/>
      <c r="AO100" s="546"/>
      <c r="AP100" s="547"/>
      <c r="AQ100" s="547"/>
      <c r="AR100" s="546"/>
      <c r="AS100" s="638"/>
      <c r="AT100" s="546"/>
      <c r="AU100" s="547"/>
      <c r="AV100" s="547"/>
      <c r="AW100" s="546"/>
      <c r="AX100" s="638"/>
      <c r="AZ100" s="357" t="e">
        <f t="shared" si="51"/>
        <v>#N/A</v>
      </c>
      <c r="BA100" s="638"/>
    </row>
    <row r="101" spans="2:53">
      <c r="B101" s="643"/>
      <c r="C101" s="368">
        <v>15</v>
      </c>
      <c r="D101" s="220"/>
      <c r="E101" s="477"/>
      <c r="F101" s="474"/>
      <c r="G101" s="473"/>
      <c r="H101" s="708"/>
      <c r="I101" s="368"/>
      <c r="J101" s="368"/>
      <c r="K101" s="368"/>
      <c r="L101" s="654"/>
      <c r="M101" s="435" t="e">
        <f>RANK(K101, K$87:$K$101)</f>
        <v>#N/A</v>
      </c>
      <c r="N101" s="637"/>
      <c r="O101" s="637"/>
      <c r="P101" s="546"/>
      <c r="Q101" s="547"/>
      <c r="R101" s="547"/>
      <c r="S101" s="546"/>
      <c r="T101" s="638"/>
      <c r="U101" s="546"/>
      <c r="V101" s="547"/>
      <c r="W101" s="547"/>
      <c r="X101" s="546"/>
      <c r="Y101" s="638"/>
      <c r="Z101" s="546"/>
      <c r="AA101" s="547"/>
      <c r="AB101" s="547"/>
      <c r="AC101" s="546"/>
      <c r="AD101" s="638"/>
      <c r="AE101" s="546"/>
      <c r="AF101" s="547"/>
      <c r="AG101" s="547"/>
      <c r="AH101" s="546"/>
      <c r="AI101" s="638"/>
      <c r="AJ101" s="546"/>
      <c r="AK101" s="547"/>
      <c r="AL101" s="547"/>
      <c r="AM101" s="546"/>
      <c r="AN101" s="638"/>
      <c r="AO101" s="546"/>
      <c r="AP101" s="547"/>
      <c r="AQ101" s="547"/>
      <c r="AR101" s="546"/>
      <c r="AS101" s="638"/>
      <c r="AT101" s="546"/>
      <c r="AU101" s="547"/>
      <c r="AV101" s="547"/>
      <c r="AW101" s="546"/>
      <c r="AX101" s="638"/>
      <c r="AZ101" s="357" t="e">
        <f t="shared" si="51"/>
        <v>#N/A</v>
      </c>
      <c r="BA101" s="638"/>
    </row>
    <row r="102" spans="2:53" ht="15.75">
      <c r="B102" s="665" t="s">
        <v>162</v>
      </c>
      <c r="C102" s="666"/>
      <c r="D102" s="666"/>
      <c r="E102" s="666"/>
      <c r="F102" s="666"/>
      <c r="G102" s="666"/>
      <c r="H102" s="667"/>
      <c r="I102" s="202"/>
      <c r="J102" s="202"/>
      <c r="K102" s="202"/>
      <c r="L102" s="202"/>
      <c r="M102" s="201"/>
      <c r="N102" s="639" t="s">
        <v>156</v>
      </c>
      <c r="O102" s="639" t="s">
        <v>105</v>
      </c>
      <c r="P102" s="664">
        <f>P82+7</f>
        <v>46329</v>
      </c>
      <c r="Q102" s="643"/>
      <c r="R102" s="643"/>
      <c r="S102" s="643"/>
      <c r="T102" s="643"/>
      <c r="U102" s="661">
        <f>P102+1</f>
        <v>46330</v>
      </c>
      <c r="V102" s="662"/>
      <c r="W102" s="662"/>
      <c r="X102" s="662"/>
      <c r="Y102" s="663"/>
      <c r="Z102" s="661">
        <f>U102+1</f>
        <v>46331</v>
      </c>
      <c r="AA102" s="662"/>
      <c r="AB102" s="662"/>
      <c r="AC102" s="662"/>
      <c r="AD102" s="663"/>
      <c r="AE102" s="661">
        <f>Z102+1</f>
        <v>46332</v>
      </c>
      <c r="AF102" s="662"/>
      <c r="AG102" s="662"/>
      <c r="AH102" s="662"/>
      <c r="AI102" s="663"/>
      <c r="AJ102" s="661">
        <f>AE102+1</f>
        <v>46333</v>
      </c>
      <c r="AK102" s="662"/>
      <c r="AL102" s="662"/>
      <c r="AM102" s="662"/>
      <c r="AN102" s="663"/>
      <c r="AO102" s="661">
        <f>AJ102+1</f>
        <v>46334</v>
      </c>
      <c r="AP102" s="662"/>
      <c r="AQ102" s="662"/>
      <c r="AR102" s="662"/>
      <c r="AS102" s="663"/>
      <c r="AT102" s="661">
        <f>AO102+1</f>
        <v>46335</v>
      </c>
      <c r="AU102" s="662"/>
      <c r="AV102" s="662"/>
      <c r="AW102" s="662"/>
      <c r="AX102" s="663"/>
    </row>
    <row r="103" spans="2:53" ht="15.75">
      <c r="B103" s="668"/>
      <c r="C103" s="668"/>
      <c r="D103" s="668"/>
      <c r="E103" s="668"/>
      <c r="F103" s="668"/>
      <c r="G103" s="668"/>
      <c r="H103" s="668"/>
      <c r="I103" s="199"/>
      <c r="J103" s="199"/>
      <c r="K103" s="199"/>
      <c r="L103" s="199"/>
      <c r="M103" s="200"/>
      <c r="N103" s="641"/>
      <c r="O103" s="641"/>
      <c r="P103" s="664" t="s">
        <v>158</v>
      </c>
      <c r="Q103" s="643"/>
      <c r="R103" s="643"/>
      <c r="S103" s="643"/>
      <c r="T103" s="643"/>
      <c r="U103" s="664" t="s">
        <v>114</v>
      </c>
      <c r="V103" s="643"/>
      <c r="W103" s="643"/>
      <c r="X103" s="643"/>
      <c r="Y103" s="643"/>
      <c r="Z103" s="664" t="s">
        <v>159</v>
      </c>
      <c r="AA103" s="643"/>
      <c r="AB103" s="643"/>
      <c r="AC103" s="643"/>
      <c r="AD103" s="643"/>
      <c r="AE103" s="664" t="s">
        <v>157</v>
      </c>
      <c r="AF103" s="643"/>
      <c r="AG103" s="643"/>
      <c r="AH103" s="643"/>
      <c r="AI103" s="643"/>
      <c r="AJ103" s="664" t="s">
        <v>160</v>
      </c>
      <c r="AK103" s="643"/>
      <c r="AL103" s="643"/>
      <c r="AM103" s="643"/>
      <c r="AN103" s="643"/>
      <c r="AO103" s="664" t="s">
        <v>115</v>
      </c>
      <c r="AP103" s="643"/>
      <c r="AQ103" s="643"/>
      <c r="AR103" s="643"/>
      <c r="AS103" s="643"/>
      <c r="AT103" s="664" t="s">
        <v>161</v>
      </c>
      <c r="AU103" s="643"/>
      <c r="AV103" s="643"/>
      <c r="AW103" s="643"/>
      <c r="AX103" s="643"/>
    </row>
    <row r="104" spans="2:53">
      <c r="B104" s="637" t="s">
        <v>520</v>
      </c>
      <c r="C104" s="637" t="s">
        <v>521</v>
      </c>
      <c r="D104" s="637"/>
      <c r="E104" s="637" t="s">
        <v>522</v>
      </c>
      <c r="F104" s="637"/>
      <c r="G104" s="637"/>
      <c r="H104" s="669" t="s">
        <v>523</v>
      </c>
      <c r="I104" s="637" t="s">
        <v>524</v>
      </c>
      <c r="J104" s="637"/>
      <c r="K104" s="637"/>
      <c r="L104" s="669" t="s">
        <v>357</v>
      </c>
      <c r="M104" s="639" t="s">
        <v>525</v>
      </c>
      <c r="N104" s="637"/>
      <c r="O104" s="637" t="s">
        <v>511</v>
      </c>
      <c r="P104" s="655" t="s">
        <v>512</v>
      </c>
      <c r="Q104" s="656"/>
      <c r="R104" s="656"/>
      <c r="S104" s="657"/>
      <c r="T104" s="637" t="s">
        <v>508</v>
      </c>
      <c r="U104" s="655" t="s">
        <v>512</v>
      </c>
      <c r="V104" s="656"/>
      <c r="W104" s="656"/>
      <c r="X104" s="657"/>
      <c r="Y104" s="637" t="s">
        <v>508</v>
      </c>
      <c r="Z104" s="655" t="s">
        <v>512</v>
      </c>
      <c r="AA104" s="656"/>
      <c r="AB104" s="656"/>
      <c r="AC104" s="657"/>
      <c r="AD104" s="637" t="s">
        <v>508</v>
      </c>
      <c r="AE104" s="655" t="s">
        <v>512</v>
      </c>
      <c r="AF104" s="656"/>
      <c r="AG104" s="656"/>
      <c r="AH104" s="657"/>
      <c r="AI104" s="637" t="s">
        <v>508</v>
      </c>
      <c r="AJ104" s="655" t="s">
        <v>512</v>
      </c>
      <c r="AK104" s="656"/>
      <c r="AL104" s="656"/>
      <c r="AM104" s="657"/>
      <c r="AN104" s="637" t="s">
        <v>508</v>
      </c>
      <c r="AO104" s="655" t="s">
        <v>512</v>
      </c>
      <c r="AP104" s="656"/>
      <c r="AQ104" s="656"/>
      <c r="AR104" s="657"/>
      <c r="AS104" s="637" t="s">
        <v>508</v>
      </c>
      <c r="AT104" s="655" t="s">
        <v>512</v>
      </c>
      <c r="AU104" s="656"/>
      <c r="AV104" s="656"/>
      <c r="AW104" s="657"/>
      <c r="AX104" s="637" t="s">
        <v>508</v>
      </c>
      <c r="BA104" s="637" t="s">
        <v>357</v>
      </c>
    </row>
    <row r="105" spans="2:53">
      <c r="B105" s="637"/>
      <c r="C105" s="637"/>
      <c r="D105" s="637"/>
      <c r="E105" s="637" t="s">
        <v>527</v>
      </c>
      <c r="F105" s="637"/>
      <c r="G105" s="637"/>
      <c r="H105" s="670"/>
      <c r="I105" s="637" t="s">
        <v>527</v>
      </c>
      <c r="J105" s="637"/>
      <c r="K105" s="637"/>
      <c r="L105" s="670"/>
      <c r="M105" s="640"/>
      <c r="N105" s="637"/>
      <c r="O105" s="637"/>
      <c r="P105" s="655" t="s">
        <v>514</v>
      </c>
      <c r="Q105" s="656"/>
      <c r="R105" s="656"/>
      <c r="S105" s="657"/>
      <c r="T105" s="637"/>
      <c r="U105" s="655" t="s">
        <v>514</v>
      </c>
      <c r="V105" s="656"/>
      <c r="W105" s="656"/>
      <c r="X105" s="657"/>
      <c r="Y105" s="637"/>
      <c r="Z105" s="655" t="s">
        <v>514</v>
      </c>
      <c r="AA105" s="656"/>
      <c r="AB105" s="656"/>
      <c r="AC105" s="657"/>
      <c r="AD105" s="637"/>
      <c r="AE105" s="655" t="s">
        <v>514</v>
      </c>
      <c r="AF105" s="656"/>
      <c r="AG105" s="656"/>
      <c r="AH105" s="657"/>
      <c r="AI105" s="637"/>
      <c r="AJ105" s="655" t="s">
        <v>514</v>
      </c>
      <c r="AK105" s="656"/>
      <c r="AL105" s="656"/>
      <c r="AM105" s="657"/>
      <c r="AN105" s="637"/>
      <c r="AO105" s="655" t="s">
        <v>514</v>
      </c>
      <c r="AP105" s="656"/>
      <c r="AQ105" s="656"/>
      <c r="AR105" s="657"/>
      <c r="AS105" s="637"/>
      <c r="AT105" s="655" t="s">
        <v>514</v>
      </c>
      <c r="AU105" s="656"/>
      <c r="AV105" s="656"/>
      <c r="AW105" s="657"/>
      <c r="AX105" s="637"/>
      <c r="BA105" s="637"/>
    </row>
    <row r="106" spans="2:53">
      <c r="B106" s="637"/>
      <c r="C106" s="637"/>
      <c r="D106" s="637"/>
      <c r="E106" s="334" t="s">
        <v>528</v>
      </c>
      <c r="F106" s="334" t="s">
        <v>529</v>
      </c>
      <c r="G106" s="334" t="s">
        <v>530</v>
      </c>
      <c r="H106" s="671"/>
      <c r="I106" s="334" t="s">
        <v>528</v>
      </c>
      <c r="J106" s="334" t="s">
        <v>529</v>
      </c>
      <c r="K106" s="334" t="s">
        <v>530</v>
      </c>
      <c r="L106" s="671"/>
      <c r="M106" s="641"/>
      <c r="N106" s="637"/>
      <c r="O106" s="637"/>
      <c r="P106" s="334" t="s">
        <v>515</v>
      </c>
      <c r="Q106" s="334" t="s">
        <v>516</v>
      </c>
      <c r="R106" s="334" t="s">
        <v>517</v>
      </c>
      <c r="S106" s="334" t="s">
        <v>510</v>
      </c>
      <c r="T106" s="637"/>
      <c r="U106" s="334" t="s">
        <v>515</v>
      </c>
      <c r="V106" s="334" t="s">
        <v>516</v>
      </c>
      <c r="W106" s="334" t="s">
        <v>517</v>
      </c>
      <c r="X106" s="334" t="s">
        <v>510</v>
      </c>
      <c r="Y106" s="637"/>
      <c r="Z106" s="334" t="s">
        <v>515</v>
      </c>
      <c r="AA106" s="334" t="s">
        <v>516</v>
      </c>
      <c r="AB106" s="334" t="s">
        <v>517</v>
      </c>
      <c r="AC106" s="334" t="s">
        <v>510</v>
      </c>
      <c r="AD106" s="637"/>
      <c r="AE106" s="334" t="s">
        <v>515</v>
      </c>
      <c r="AF106" s="334" t="s">
        <v>516</v>
      </c>
      <c r="AG106" s="334" t="s">
        <v>517</v>
      </c>
      <c r="AH106" s="334" t="s">
        <v>510</v>
      </c>
      <c r="AI106" s="637"/>
      <c r="AJ106" s="334" t="s">
        <v>515</v>
      </c>
      <c r="AK106" s="334" t="s">
        <v>516</v>
      </c>
      <c r="AL106" s="334" t="s">
        <v>517</v>
      </c>
      <c r="AM106" s="334" t="s">
        <v>510</v>
      </c>
      <c r="AN106" s="637"/>
      <c r="AO106" s="334" t="s">
        <v>515</v>
      </c>
      <c r="AP106" s="334" t="s">
        <v>516</v>
      </c>
      <c r="AQ106" s="334" t="s">
        <v>517</v>
      </c>
      <c r="AR106" s="334" t="s">
        <v>510</v>
      </c>
      <c r="AS106" s="637"/>
      <c r="AT106" s="334" t="s">
        <v>515</v>
      </c>
      <c r="AU106" s="334" t="s">
        <v>516</v>
      </c>
      <c r="AV106" s="334" t="s">
        <v>517</v>
      </c>
      <c r="AW106" s="334" t="s">
        <v>510</v>
      </c>
      <c r="AX106" s="637"/>
      <c r="AZ106" s="356" t="s">
        <v>510</v>
      </c>
      <c r="BA106" s="637"/>
    </row>
    <row r="107" spans="2:53">
      <c r="B107" s="637" t="s">
        <v>136</v>
      </c>
      <c r="C107" s="337">
        <v>1</v>
      </c>
      <c r="D107" s="220"/>
      <c r="E107" s="176"/>
      <c r="F107" s="342"/>
      <c r="G107" s="343"/>
      <c r="H107" s="650" t="e">
        <f>AVERAGE(G107:G121)</f>
        <v>#DIV/0!</v>
      </c>
      <c r="I107" s="352" t="str">
        <f t="shared" ref="I107:I120" si="53">IFERROR(AVERAGE(P107,U107,Z107,AE107,AJ107,AO107,AT107),"-")</f>
        <v>-</v>
      </c>
      <c r="J107" s="352" t="str">
        <f t="shared" ref="J107:J120" si="54">IFERROR(AVERAGE(Q107,V107,AA107,AF107,AK107,AP107,AU107),"-")</f>
        <v>-</v>
      </c>
      <c r="K107" s="194" t="str">
        <f t="shared" ref="K107:K120" si="55">IFERROR(AVERAGE(R107,W107,AB107,AG107,AL107,AQ107,AV107),"-")</f>
        <v>-</v>
      </c>
      <c r="L107" s="652" t="str">
        <f>IFERROR(AVERAGE(K107:K121),"-")</f>
        <v>-</v>
      </c>
      <c r="M107" s="338" t="e">
        <f>RANK(K107, K$67:$K$81)</f>
        <v>#VALUE!</v>
      </c>
      <c r="N107" s="637"/>
      <c r="O107" s="637"/>
      <c r="P107" s="490"/>
      <c r="Q107" s="491"/>
      <c r="R107" s="491"/>
      <c r="S107" s="490"/>
      <c r="T107" s="632"/>
      <c r="U107" s="490"/>
      <c r="V107" s="491"/>
      <c r="W107" s="491"/>
      <c r="X107" s="490"/>
      <c r="Y107" s="632"/>
      <c r="Z107" s="490"/>
      <c r="AA107" s="491"/>
      <c r="AB107" s="491"/>
      <c r="AC107" s="490"/>
      <c r="AD107" s="632"/>
      <c r="AE107" s="490"/>
      <c r="AF107" s="491"/>
      <c r="AG107" s="491"/>
      <c r="AH107" s="490"/>
      <c r="AI107" s="632"/>
      <c r="AJ107" s="490"/>
      <c r="AK107" s="491"/>
      <c r="AL107" s="491"/>
      <c r="AM107" s="490"/>
      <c r="AN107" s="632"/>
      <c r="AO107" s="490"/>
      <c r="AP107" s="491"/>
      <c r="AQ107" s="491"/>
      <c r="AR107" s="490"/>
      <c r="AS107" s="632"/>
      <c r="AT107" s="490"/>
      <c r="AU107" s="491"/>
      <c r="AV107" s="491"/>
      <c r="AW107" s="490"/>
      <c r="AX107" s="632"/>
      <c r="AZ107" s="358" t="e">
        <f>RANK(AY107, AY$67:AY$81)</f>
        <v>#N/A</v>
      </c>
      <c r="BA107" s="694" t="e">
        <f>AVERAGE(AY107:AY121)</f>
        <v>#DIV/0!</v>
      </c>
    </row>
    <row r="108" spans="2:53">
      <c r="B108" s="672"/>
      <c r="C108" s="337">
        <v>2</v>
      </c>
      <c r="D108" s="220"/>
      <c r="E108" s="176"/>
      <c r="F108" s="342"/>
      <c r="G108" s="343"/>
      <c r="H108" s="651"/>
      <c r="I108" s="352" t="str">
        <f t="shared" si="53"/>
        <v>-</v>
      </c>
      <c r="J108" s="352" t="str">
        <f t="shared" si="54"/>
        <v>-</v>
      </c>
      <c r="K108" s="194" t="str">
        <f t="shared" si="55"/>
        <v>-</v>
      </c>
      <c r="L108" s="653"/>
      <c r="M108" s="338" t="e">
        <f>RANK(K108, K$67:$K$81)</f>
        <v>#VALUE!</v>
      </c>
      <c r="N108" s="637"/>
      <c r="O108" s="637"/>
      <c r="P108" s="490"/>
      <c r="Q108" s="491"/>
      <c r="R108" s="491"/>
      <c r="S108" s="490"/>
      <c r="T108" s="633"/>
      <c r="U108" s="490"/>
      <c r="V108" s="491"/>
      <c r="W108" s="491"/>
      <c r="X108" s="490"/>
      <c r="Y108" s="633"/>
      <c r="Z108" s="490"/>
      <c r="AA108" s="491"/>
      <c r="AB108" s="491"/>
      <c r="AC108" s="490"/>
      <c r="AD108" s="633"/>
      <c r="AE108" s="490"/>
      <c r="AF108" s="491"/>
      <c r="AG108" s="491"/>
      <c r="AH108" s="490"/>
      <c r="AI108" s="633"/>
      <c r="AJ108" s="490"/>
      <c r="AK108" s="491"/>
      <c r="AL108" s="491"/>
      <c r="AM108" s="490"/>
      <c r="AN108" s="633"/>
      <c r="AO108" s="490"/>
      <c r="AP108" s="491"/>
      <c r="AQ108" s="491"/>
      <c r="AR108" s="490"/>
      <c r="AS108" s="633"/>
      <c r="AT108" s="490"/>
      <c r="AU108" s="491"/>
      <c r="AV108" s="491"/>
      <c r="AW108" s="490"/>
      <c r="AX108" s="633"/>
      <c r="AZ108" s="358" t="e">
        <f t="shared" ref="AZ108:AZ121" si="56">RANK(AY108, AY$67:AY$81)</f>
        <v>#N/A</v>
      </c>
      <c r="BA108" s="694"/>
    </row>
    <row r="109" spans="2:53">
      <c r="B109" s="672"/>
      <c r="C109" s="337">
        <v>3</v>
      </c>
      <c r="D109" s="220"/>
      <c r="E109" s="176"/>
      <c r="F109" s="342"/>
      <c r="G109" s="343"/>
      <c r="H109" s="651"/>
      <c r="I109" s="352" t="str">
        <f t="shared" si="53"/>
        <v>-</v>
      </c>
      <c r="J109" s="352" t="str">
        <f t="shared" si="54"/>
        <v>-</v>
      </c>
      <c r="K109" s="194" t="str">
        <f t="shared" si="55"/>
        <v>-</v>
      </c>
      <c r="L109" s="653"/>
      <c r="M109" s="338" t="e">
        <f>RANK(K109, K$67:$K$81)</f>
        <v>#VALUE!</v>
      </c>
      <c r="N109" s="637"/>
      <c r="O109" s="637"/>
      <c r="P109" s="490"/>
      <c r="Q109" s="491"/>
      <c r="R109" s="491"/>
      <c r="S109" s="490"/>
      <c r="T109" s="633"/>
      <c r="U109" s="490"/>
      <c r="V109" s="491"/>
      <c r="W109" s="491"/>
      <c r="X109" s="490"/>
      <c r="Y109" s="633"/>
      <c r="Z109" s="490"/>
      <c r="AA109" s="491"/>
      <c r="AB109" s="491"/>
      <c r="AC109" s="490"/>
      <c r="AD109" s="633"/>
      <c r="AE109" s="490"/>
      <c r="AF109" s="491"/>
      <c r="AG109" s="491"/>
      <c r="AH109" s="490"/>
      <c r="AI109" s="633"/>
      <c r="AJ109" s="490"/>
      <c r="AK109" s="491"/>
      <c r="AL109" s="491"/>
      <c r="AM109" s="490"/>
      <c r="AN109" s="633"/>
      <c r="AO109" s="490"/>
      <c r="AP109" s="491"/>
      <c r="AQ109" s="491"/>
      <c r="AR109" s="490"/>
      <c r="AS109" s="633"/>
      <c r="AT109" s="490"/>
      <c r="AU109" s="491"/>
      <c r="AV109" s="491"/>
      <c r="AW109" s="490"/>
      <c r="AX109" s="633"/>
      <c r="AZ109" s="358" t="e">
        <f t="shared" si="56"/>
        <v>#N/A</v>
      </c>
      <c r="BA109" s="694"/>
    </row>
    <row r="110" spans="2:53">
      <c r="B110" s="672"/>
      <c r="C110" s="337">
        <v>4</v>
      </c>
      <c r="D110" s="220"/>
      <c r="E110" s="176"/>
      <c r="F110" s="342"/>
      <c r="G110" s="343"/>
      <c r="H110" s="651"/>
      <c r="I110" s="352" t="str">
        <f t="shared" si="53"/>
        <v>-</v>
      </c>
      <c r="J110" s="352" t="str">
        <f t="shared" si="54"/>
        <v>-</v>
      </c>
      <c r="K110" s="194" t="str">
        <f t="shared" si="55"/>
        <v>-</v>
      </c>
      <c r="L110" s="653"/>
      <c r="M110" s="338" t="e">
        <f>RANK(K110, K$67:$K$81)</f>
        <v>#VALUE!</v>
      </c>
      <c r="N110" s="637"/>
      <c r="O110" s="637"/>
      <c r="P110" s="490"/>
      <c r="Q110" s="491"/>
      <c r="R110" s="491"/>
      <c r="S110" s="490"/>
      <c r="T110" s="633"/>
      <c r="U110" s="490"/>
      <c r="V110" s="491"/>
      <c r="W110" s="491"/>
      <c r="X110" s="490"/>
      <c r="Y110" s="633"/>
      <c r="Z110" s="490"/>
      <c r="AA110" s="491"/>
      <c r="AB110" s="491"/>
      <c r="AC110" s="490"/>
      <c r="AD110" s="633"/>
      <c r="AE110" s="490"/>
      <c r="AF110" s="491"/>
      <c r="AG110" s="491"/>
      <c r="AH110" s="490"/>
      <c r="AI110" s="633"/>
      <c r="AJ110" s="490"/>
      <c r="AK110" s="491"/>
      <c r="AL110" s="491"/>
      <c r="AM110" s="490"/>
      <c r="AN110" s="633"/>
      <c r="AO110" s="490"/>
      <c r="AP110" s="491"/>
      <c r="AQ110" s="491"/>
      <c r="AR110" s="490"/>
      <c r="AS110" s="633"/>
      <c r="AT110" s="490"/>
      <c r="AU110" s="491"/>
      <c r="AV110" s="491"/>
      <c r="AW110" s="490"/>
      <c r="AX110" s="633"/>
      <c r="AZ110" s="358" t="e">
        <f t="shared" si="56"/>
        <v>#N/A</v>
      </c>
      <c r="BA110" s="694"/>
    </row>
    <row r="111" spans="2:53">
      <c r="B111" s="672"/>
      <c r="C111" s="337">
        <v>5</v>
      </c>
      <c r="D111" s="220"/>
      <c r="E111" s="176"/>
      <c r="F111" s="342"/>
      <c r="G111" s="343"/>
      <c r="H111" s="651"/>
      <c r="I111" s="352" t="str">
        <f t="shared" si="53"/>
        <v>-</v>
      </c>
      <c r="J111" s="352" t="str">
        <f t="shared" si="54"/>
        <v>-</v>
      </c>
      <c r="K111" s="194" t="str">
        <f t="shared" si="55"/>
        <v>-</v>
      </c>
      <c r="L111" s="653"/>
      <c r="M111" s="338" t="e">
        <f>RANK(K111, K$67:$K$81)</f>
        <v>#VALUE!</v>
      </c>
      <c r="N111" s="637"/>
      <c r="O111" s="637"/>
      <c r="P111" s="490"/>
      <c r="Q111" s="491"/>
      <c r="R111" s="491"/>
      <c r="S111" s="490"/>
      <c r="T111" s="633"/>
      <c r="U111" s="490"/>
      <c r="V111" s="491"/>
      <c r="W111" s="491"/>
      <c r="X111" s="490"/>
      <c r="Y111" s="633"/>
      <c r="Z111" s="490"/>
      <c r="AA111" s="491"/>
      <c r="AB111" s="491"/>
      <c r="AC111" s="490"/>
      <c r="AD111" s="633"/>
      <c r="AE111" s="490"/>
      <c r="AF111" s="491"/>
      <c r="AG111" s="491"/>
      <c r="AH111" s="490"/>
      <c r="AI111" s="633"/>
      <c r="AJ111" s="490"/>
      <c r="AK111" s="491"/>
      <c r="AL111" s="491"/>
      <c r="AM111" s="490"/>
      <c r="AN111" s="633"/>
      <c r="AO111" s="490"/>
      <c r="AP111" s="491"/>
      <c r="AQ111" s="491"/>
      <c r="AR111" s="490"/>
      <c r="AS111" s="633"/>
      <c r="AT111" s="490"/>
      <c r="AU111" s="491"/>
      <c r="AV111" s="491"/>
      <c r="AW111" s="490"/>
      <c r="AX111" s="633"/>
      <c r="AZ111" s="358" t="e">
        <f t="shared" si="56"/>
        <v>#N/A</v>
      </c>
      <c r="BA111" s="694"/>
    </row>
    <row r="112" spans="2:53">
      <c r="B112" s="672"/>
      <c r="C112" s="337">
        <v>6</v>
      </c>
      <c r="D112" s="220"/>
      <c r="E112" s="176"/>
      <c r="F112" s="342"/>
      <c r="G112" s="343"/>
      <c r="H112" s="651"/>
      <c r="I112" s="352" t="str">
        <f t="shared" si="53"/>
        <v>-</v>
      </c>
      <c r="J112" s="352" t="str">
        <f t="shared" si="54"/>
        <v>-</v>
      </c>
      <c r="K112" s="194" t="str">
        <f t="shared" si="55"/>
        <v>-</v>
      </c>
      <c r="L112" s="653"/>
      <c r="M112" s="338" t="e">
        <f>RANK(K112, K$67:$K$81)</f>
        <v>#VALUE!</v>
      </c>
      <c r="N112" s="637"/>
      <c r="O112" s="637"/>
      <c r="P112" s="490"/>
      <c r="Q112" s="491"/>
      <c r="R112" s="491"/>
      <c r="S112" s="490"/>
      <c r="T112" s="633"/>
      <c r="U112" s="490"/>
      <c r="V112" s="491"/>
      <c r="W112" s="491"/>
      <c r="X112" s="490"/>
      <c r="Y112" s="633"/>
      <c r="Z112" s="490"/>
      <c r="AA112" s="491"/>
      <c r="AB112" s="491"/>
      <c r="AC112" s="490"/>
      <c r="AD112" s="633"/>
      <c r="AE112" s="490"/>
      <c r="AF112" s="491"/>
      <c r="AG112" s="491"/>
      <c r="AH112" s="490"/>
      <c r="AI112" s="633"/>
      <c r="AJ112" s="490"/>
      <c r="AK112" s="491"/>
      <c r="AL112" s="491"/>
      <c r="AM112" s="490"/>
      <c r="AN112" s="633"/>
      <c r="AO112" s="490"/>
      <c r="AP112" s="491"/>
      <c r="AQ112" s="491"/>
      <c r="AR112" s="490"/>
      <c r="AS112" s="633"/>
      <c r="AT112" s="490"/>
      <c r="AU112" s="491"/>
      <c r="AV112" s="491"/>
      <c r="AW112" s="490"/>
      <c r="AX112" s="633"/>
      <c r="AZ112" s="358" t="e">
        <f t="shared" si="56"/>
        <v>#N/A</v>
      </c>
      <c r="BA112" s="694"/>
    </row>
    <row r="113" spans="2:53">
      <c r="B113" s="672"/>
      <c r="C113" s="337">
        <v>7</v>
      </c>
      <c r="D113" s="220"/>
      <c r="E113" s="176"/>
      <c r="F113" s="342"/>
      <c r="G113" s="343"/>
      <c r="H113" s="651"/>
      <c r="I113" s="352" t="str">
        <f t="shared" si="53"/>
        <v>-</v>
      </c>
      <c r="J113" s="352" t="str">
        <f t="shared" si="54"/>
        <v>-</v>
      </c>
      <c r="K113" s="194" t="str">
        <f t="shared" si="55"/>
        <v>-</v>
      </c>
      <c r="L113" s="653"/>
      <c r="M113" s="338" t="e">
        <f>RANK(K113, K$67:$K$81)</f>
        <v>#VALUE!</v>
      </c>
      <c r="N113" s="637"/>
      <c r="O113" s="637"/>
      <c r="P113" s="490"/>
      <c r="Q113" s="491"/>
      <c r="R113" s="491"/>
      <c r="S113" s="490"/>
      <c r="T113" s="633"/>
      <c r="U113" s="490"/>
      <c r="V113" s="491"/>
      <c r="W113" s="491"/>
      <c r="X113" s="490"/>
      <c r="Y113" s="633"/>
      <c r="Z113" s="490"/>
      <c r="AA113" s="491"/>
      <c r="AB113" s="491"/>
      <c r="AC113" s="490"/>
      <c r="AD113" s="633"/>
      <c r="AE113" s="490"/>
      <c r="AF113" s="491"/>
      <c r="AG113" s="491"/>
      <c r="AH113" s="490"/>
      <c r="AI113" s="633"/>
      <c r="AJ113" s="490"/>
      <c r="AK113" s="491"/>
      <c r="AL113" s="491"/>
      <c r="AM113" s="490"/>
      <c r="AN113" s="633"/>
      <c r="AO113" s="490"/>
      <c r="AP113" s="491"/>
      <c r="AQ113" s="491"/>
      <c r="AR113" s="490"/>
      <c r="AS113" s="633"/>
      <c r="AT113" s="490"/>
      <c r="AU113" s="491"/>
      <c r="AV113" s="491"/>
      <c r="AW113" s="490"/>
      <c r="AX113" s="633"/>
      <c r="AZ113" s="358" t="e">
        <f t="shared" si="56"/>
        <v>#N/A</v>
      </c>
      <c r="BA113" s="694"/>
    </row>
    <row r="114" spans="2:53">
      <c r="B114" s="672"/>
      <c r="C114" s="337">
        <v>8</v>
      </c>
      <c r="D114" s="220"/>
      <c r="E114" s="176"/>
      <c r="F114" s="342"/>
      <c r="G114" s="343"/>
      <c r="H114" s="651"/>
      <c r="I114" s="352" t="str">
        <f t="shared" si="53"/>
        <v>-</v>
      </c>
      <c r="J114" s="352" t="str">
        <f t="shared" si="54"/>
        <v>-</v>
      </c>
      <c r="K114" s="194" t="str">
        <f t="shared" si="55"/>
        <v>-</v>
      </c>
      <c r="L114" s="653"/>
      <c r="M114" s="338" t="e">
        <f>RANK(K114, K$67:$K$81)</f>
        <v>#VALUE!</v>
      </c>
      <c r="N114" s="637"/>
      <c r="O114" s="637"/>
      <c r="P114" s="490"/>
      <c r="Q114" s="491"/>
      <c r="R114" s="491"/>
      <c r="S114" s="490"/>
      <c r="T114" s="633"/>
      <c r="U114" s="490"/>
      <c r="V114" s="491"/>
      <c r="W114" s="491"/>
      <c r="X114" s="490"/>
      <c r="Y114" s="633"/>
      <c r="Z114" s="490"/>
      <c r="AA114" s="491"/>
      <c r="AB114" s="491"/>
      <c r="AC114" s="490"/>
      <c r="AD114" s="633"/>
      <c r="AE114" s="490"/>
      <c r="AF114" s="491"/>
      <c r="AG114" s="491"/>
      <c r="AH114" s="490"/>
      <c r="AI114" s="633"/>
      <c r="AJ114" s="490"/>
      <c r="AK114" s="491"/>
      <c r="AL114" s="491"/>
      <c r="AM114" s="490"/>
      <c r="AN114" s="633"/>
      <c r="AO114" s="490"/>
      <c r="AP114" s="491"/>
      <c r="AQ114" s="491"/>
      <c r="AR114" s="490"/>
      <c r="AS114" s="633"/>
      <c r="AT114" s="490"/>
      <c r="AU114" s="491"/>
      <c r="AV114" s="491"/>
      <c r="AW114" s="490"/>
      <c r="AX114" s="633"/>
      <c r="AZ114" s="358" t="e">
        <f t="shared" si="56"/>
        <v>#N/A</v>
      </c>
      <c r="BA114" s="694"/>
    </row>
    <row r="115" spans="2:53">
      <c r="B115" s="672"/>
      <c r="C115" s="337">
        <v>9</v>
      </c>
      <c r="D115" s="220"/>
      <c r="E115" s="176"/>
      <c r="F115" s="342"/>
      <c r="G115" s="343"/>
      <c r="H115" s="651"/>
      <c r="I115" s="352" t="str">
        <f t="shared" si="53"/>
        <v>-</v>
      </c>
      <c r="J115" s="352" t="str">
        <f t="shared" si="54"/>
        <v>-</v>
      </c>
      <c r="K115" s="194" t="str">
        <f t="shared" si="55"/>
        <v>-</v>
      </c>
      <c r="L115" s="653"/>
      <c r="M115" s="338" t="e">
        <f>RANK(K115, K$67:$K$81)</f>
        <v>#VALUE!</v>
      </c>
      <c r="N115" s="637"/>
      <c r="O115" s="637"/>
      <c r="P115" s="490"/>
      <c r="Q115" s="491"/>
      <c r="R115" s="491"/>
      <c r="S115" s="490"/>
      <c r="T115" s="633"/>
      <c r="U115" s="490"/>
      <c r="V115" s="491"/>
      <c r="W115" s="491"/>
      <c r="X115" s="490"/>
      <c r="Y115" s="633"/>
      <c r="Z115" s="490"/>
      <c r="AA115" s="491"/>
      <c r="AB115" s="491"/>
      <c r="AC115" s="490"/>
      <c r="AD115" s="633"/>
      <c r="AE115" s="490"/>
      <c r="AF115" s="491"/>
      <c r="AG115" s="491"/>
      <c r="AH115" s="490"/>
      <c r="AI115" s="633"/>
      <c r="AJ115" s="490"/>
      <c r="AK115" s="491"/>
      <c r="AL115" s="491"/>
      <c r="AM115" s="490"/>
      <c r="AN115" s="633"/>
      <c r="AO115" s="490"/>
      <c r="AP115" s="491"/>
      <c r="AQ115" s="491"/>
      <c r="AR115" s="490"/>
      <c r="AS115" s="633"/>
      <c r="AT115" s="490"/>
      <c r="AU115" s="491"/>
      <c r="AV115" s="491"/>
      <c r="AW115" s="490"/>
      <c r="AX115" s="633"/>
      <c r="AZ115" s="358" t="e">
        <f t="shared" si="56"/>
        <v>#N/A</v>
      </c>
      <c r="BA115" s="694"/>
    </row>
    <row r="116" spans="2:53">
      <c r="B116" s="672"/>
      <c r="C116" s="337">
        <v>10</v>
      </c>
      <c r="D116" s="220"/>
      <c r="E116" s="176"/>
      <c r="F116" s="342"/>
      <c r="G116" s="343"/>
      <c r="H116" s="651"/>
      <c r="I116" s="352" t="str">
        <f t="shared" si="53"/>
        <v>-</v>
      </c>
      <c r="J116" s="352" t="str">
        <f t="shared" si="54"/>
        <v>-</v>
      </c>
      <c r="K116" s="194" t="str">
        <f t="shared" si="55"/>
        <v>-</v>
      </c>
      <c r="L116" s="653"/>
      <c r="M116" s="338" t="e">
        <f>RANK(K116, K$67:$K$81)</f>
        <v>#VALUE!</v>
      </c>
      <c r="N116" s="637"/>
      <c r="O116" s="637"/>
      <c r="P116" s="490"/>
      <c r="Q116" s="491"/>
      <c r="R116" s="491"/>
      <c r="S116" s="490"/>
      <c r="T116" s="633"/>
      <c r="U116" s="490"/>
      <c r="V116" s="491"/>
      <c r="W116" s="491"/>
      <c r="X116" s="490"/>
      <c r="Y116" s="633"/>
      <c r="Z116" s="490"/>
      <c r="AA116" s="491"/>
      <c r="AB116" s="491"/>
      <c r="AC116" s="490"/>
      <c r="AD116" s="633"/>
      <c r="AE116" s="490"/>
      <c r="AF116" s="491"/>
      <c r="AG116" s="491"/>
      <c r="AH116" s="490"/>
      <c r="AI116" s="633"/>
      <c r="AJ116" s="490"/>
      <c r="AK116" s="491"/>
      <c r="AL116" s="491"/>
      <c r="AM116" s="490"/>
      <c r="AN116" s="633"/>
      <c r="AO116" s="490"/>
      <c r="AP116" s="491"/>
      <c r="AQ116" s="491"/>
      <c r="AR116" s="490"/>
      <c r="AS116" s="633"/>
      <c r="AT116" s="490"/>
      <c r="AU116" s="491"/>
      <c r="AV116" s="491"/>
      <c r="AW116" s="490"/>
      <c r="AX116" s="633"/>
      <c r="AZ116" s="358" t="e">
        <f t="shared" si="56"/>
        <v>#N/A</v>
      </c>
      <c r="BA116" s="694"/>
    </row>
    <row r="117" spans="2:53">
      <c r="B117" s="672"/>
      <c r="C117" s="337">
        <v>11</v>
      </c>
      <c r="D117" s="220"/>
      <c r="E117" s="176"/>
      <c r="F117" s="342"/>
      <c r="G117" s="343"/>
      <c r="H117" s="651"/>
      <c r="I117" s="352" t="str">
        <f t="shared" si="53"/>
        <v>-</v>
      </c>
      <c r="J117" s="352" t="str">
        <f t="shared" si="54"/>
        <v>-</v>
      </c>
      <c r="K117" s="194" t="str">
        <f t="shared" si="55"/>
        <v>-</v>
      </c>
      <c r="L117" s="653"/>
      <c r="M117" s="338" t="e">
        <f>RANK(K117, K$67:$K$81)</f>
        <v>#VALUE!</v>
      </c>
      <c r="N117" s="637"/>
      <c r="O117" s="637"/>
      <c r="P117" s="490"/>
      <c r="Q117" s="491"/>
      <c r="R117" s="491"/>
      <c r="S117" s="490"/>
      <c r="T117" s="633"/>
      <c r="U117" s="490"/>
      <c r="V117" s="491"/>
      <c r="W117" s="491"/>
      <c r="X117" s="490"/>
      <c r="Y117" s="633"/>
      <c r="Z117" s="490"/>
      <c r="AA117" s="491"/>
      <c r="AB117" s="491"/>
      <c r="AC117" s="490"/>
      <c r="AD117" s="633"/>
      <c r="AE117" s="490"/>
      <c r="AF117" s="491"/>
      <c r="AG117" s="491"/>
      <c r="AH117" s="490"/>
      <c r="AI117" s="633"/>
      <c r="AJ117" s="490"/>
      <c r="AK117" s="491"/>
      <c r="AL117" s="491"/>
      <c r="AM117" s="490"/>
      <c r="AN117" s="633"/>
      <c r="AO117" s="490"/>
      <c r="AP117" s="491"/>
      <c r="AQ117" s="491"/>
      <c r="AR117" s="490"/>
      <c r="AS117" s="633"/>
      <c r="AT117" s="490"/>
      <c r="AU117" s="491"/>
      <c r="AV117" s="491"/>
      <c r="AW117" s="490"/>
      <c r="AX117" s="633"/>
      <c r="AZ117" s="358" t="e">
        <f t="shared" si="56"/>
        <v>#N/A</v>
      </c>
      <c r="BA117" s="694"/>
    </row>
    <row r="118" spans="2:53">
      <c r="B118" s="672"/>
      <c r="C118" s="337">
        <v>12</v>
      </c>
      <c r="D118" s="220"/>
      <c r="E118" s="176"/>
      <c r="F118" s="342"/>
      <c r="G118" s="343"/>
      <c r="H118" s="651"/>
      <c r="I118" s="352" t="str">
        <f t="shared" si="53"/>
        <v>-</v>
      </c>
      <c r="J118" s="352" t="str">
        <f t="shared" si="54"/>
        <v>-</v>
      </c>
      <c r="K118" s="194" t="str">
        <f t="shared" si="55"/>
        <v>-</v>
      </c>
      <c r="L118" s="653"/>
      <c r="M118" s="338" t="e">
        <f>RANK(K118, K$67:$K$81)</f>
        <v>#VALUE!</v>
      </c>
      <c r="N118" s="637"/>
      <c r="O118" s="637"/>
      <c r="P118" s="490"/>
      <c r="Q118" s="491"/>
      <c r="R118" s="491"/>
      <c r="S118" s="490"/>
      <c r="T118" s="633"/>
      <c r="U118" s="490"/>
      <c r="V118" s="491"/>
      <c r="W118" s="491"/>
      <c r="X118" s="490"/>
      <c r="Y118" s="633"/>
      <c r="Z118" s="490"/>
      <c r="AA118" s="491"/>
      <c r="AB118" s="491"/>
      <c r="AC118" s="490"/>
      <c r="AD118" s="633"/>
      <c r="AE118" s="490"/>
      <c r="AF118" s="491"/>
      <c r="AG118" s="491"/>
      <c r="AH118" s="490"/>
      <c r="AI118" s="633"/>
      <c r="AJ118" s="490"/>
      <c r="AK118" s="491"/>
      <c r="AL118" s="491"/>
      <c r="AM118" s="490"/>
      <c r="AN118" s="633"/>
      <c r="AO118" s="490"/>
      <c r="AP118" s="491"/>
      <c r="AQ118" s="491"/>
      <c r="AR118" s="490"/>
      <c r="AS118" s="633"/>
      <c r="AT118" s="490"/>
      <c r="AU118" s="491"/>
      <c r="AV118" s="491"/>
      <c r="AW118" s="490"/>
      <c r="AX118" s="633"/>
      <c r="AZ118" s="358" t="e">
        <f t="shared" si="56"/>
        <v>#N/A</v>
      </c>
      <c r="BA118" s="694"/>
    </row>
    <row r="119" spans="2:53">
      <c r="B119" s="672"/>
      <c r="C119" s="337">
        <v>13</v>
      </c>
      <c r="D119" s="220"/>
      <c r="E119" s="176"/>
      <c r="F119" s="342"/>
      <c r="G119" s="343"/>
      <c r="H119" s="651"/>
      <c r="I119" s="352" t="str">
        <f t="shared" si="53"/>
        <v>-</v>
      </c>
      <c r="J119" s="352" t="str">
        <f t="shared" si="54"/>
        <v>-</v>
      </c>
      <c r="K119" s="194" t="str">
        <f t="shared" si="55"/>
        <v>-</v>
      </c>
      <c r="L119" s="653"/>
      <c r="M119" s="338" t="e">
        <f>RANK(K119, K$67:$K$81)</f>
        <v>#VALUE!</v>
      </c>
      <c r="N119" s="637"/>
      <c r="O119" s="637"/>
      <c r="P119" s="490"/>
      <c r="Q119" s="491"/>
      <c r="R119" s="491"/>
      <c r="S119" s="490"/>
      <c r="T119" s="633"/>
      <c r="U119" s="490"/>
      <c r="V119" s="491"/>
      <c r="W119" s="491"/>
      <c r="X119" s="490"/>
      <c r="Y119" s="633"/>
      <c r="Z119" s="490"/>
      <c r="AA119" s="491"/>
      <c r="AB119" s="491"/>
      <c r="AC119" s="490"/>
      <c r="AD119" s="633"/>
      <c r="AE119" s="490"/>
      <c r="AF119" s="491"/>
      <c r="AG119" s="491"/>
      <c r="AH119" s="490"/>
      <c r="AI119" s="633"/>
      <c r="AJ119" s="490"/>
      <c r="AK119" s="491"/>
      <c r="AL119" s="491"/>
      <c r="AM119" s="490"/>
      <c r="AN119" s="633"/>
      <c r="AO119" s="490"/>
      <c r="AP119" s="491"/>
      <c r="AQ119" s="491"/>
      <c r="AR119" s="490"/>
      <c r="AS119" s="633"/>
      <c r="AT119" s="490"/>
      <c r="AU119" s="491"/>
      <c r="AV119" s="491"/>
      <c r="AW119" s="490"/>
      <c r="AX119" s="633"/>
      <c r="AZ119" s="358" t="e">
        <f t="shared" si="56"/>
        <v>#N/A</v>
      </c>
      <c r="BA119" s="694"/>
    </row>
    <row r="120" spans="2:53">
      <c r="B120" s="672"/>
      <c r="C120" s="337">
        <v>14</v>
      </c>
      <c r="D120" s="220"/>
      <c r="E120" s="176"/>
      <c r="F120" s="342"/>
      <c r="G120" s="343"/>
      <c r="H120" s="651"/>
      <c r="I120" s="352" t="str">
        <f t="shared" si="53"/>
        <v>-</v>
      </c>
      <c r="J120" s="352" t="str">
        <f t="shared" si="54"/>
        <v>-</v>
      </c>
      <c r="K120" s="194" t="str">
        <f t="shared" si="55"/>
        <v>-</v>
      </c>
      <c r="L120" s="653"/>
      <c r="M120" s="338" t="e">
        <f>RANK(K120, K$67:$K$81)</f>
        <v>#VALUE!</v>
      </c>
      <c r="N120" s="637"/>
      <c r="O120" s="637"/>
      <c r="P120" s="490"/>
      <c r="Q120" s="491"/>
      <c r="R120" s="491"/>
      <c r="S120" s="490"/>
      <c r="T120" s="633"/>
      <c r="U120" s="490"/>
      <c r="V120" s="491"/>
      <c r="W120" s="491"/>
      <c r="X120" s="490"/>
      <c r="Y120" s="633"/>
      <c r="Z120" s="490"/>
      <c r="AA120" s="491"/>
      <c r="AB120" s="491"/>
      <c r="AC120" s="490"/>
      <c r="AD120" s="633"/>
      <c r="AE120" s="490"/>
      <c r="AF120" s="491"/>
      <c r="AG120" s="491"/>
      <c r="AH120" s="490"/>
      <c r="AI120" s="633"/>
      <c r="AJ120" s="490"/>
      <c r="AK120" s="491"/>
      <c r="AL120" s="491"/>
      <c r="AM120" s="490"/>
      <c r="AN120" s="633"/>
      <c r="AO120" s="490"/>
      <c r="AP120" s="491"/>
      <c r="AQ120" s="491"/>
      <c r="AR120" s="490"/>
      <c r="AS120" s="633"/>
      <c r="AT120" s="490"/>
      <c r="AU120" s="491"/>
      <c r="AV120" s="491"/>
      <c r="AW120" s="490"/>
      <c r="AX120" s="633"/>
      <c r="AZ120" s="358" t="e">
        <f t="shared" si="56"/>
        <v>#N/A</v>
      </c>
      <c r="BA120" s="694"/>
    </row>
    <row r="121" spans="2:53">
      <c r="B121" s="672"/>
      <c r="C121" s="337">
        <v>15</v>
      </c>
      <c r="D121" s="220"/>
      <c r="E121" s="176"/>
      <c r="F121" s="342"/>
      <c r="G121" s="343"/>
      <c r="H121" s="708"/>
      <c r="I121" s="354"/>
      <c r="J121" s="354"/>
      <c r="K121" s="354"/>
      <c r="L121" s="654"/>
      <c r="M121" s="338" t="e">
        <f>RANK(K121, K$47:$K$61)</f>
        <v>#N/A</v>
      </c>
      <c r="N121" s="637"/>
      <c r="O121" s="637"/>
      <c r="P121" s="490"/>
      <c r="Q121" s="491"/>
      <c r="R121" s="491"/>
      <c r="S121" s="490"/>
      <c r="T121" s="634"/>
      <c r="U121" s="490"/>
      <c r="V121" s="491"/>
      <c r="W121" s="491"/>
      <c r="X121" s="490"/>
      <c r="Y121" s="634"/>
      <c r="Z121" s="490"/>
      <c r="AA121" s="491"/>
      <c r="AB121" s="491"/>
      <c r="AC121" s="490"/>
      <c r="AD121" s="634"/>
      <c r="AE121" s="490"/>
      <c r="AF121" s="491"/>
      <c r="AG121" s="491"/>
      <c r="AH121" s="490"/>
      <c r="AI121" s="634"/>
      <c r="AJ121" s="490"/>
      <c r="AK121" s="491"/>
      <c r="AL121" s="491"/>
      <c r="AM121" s="490"/>
      <c r="AN121" s="634"/>
      <c r="AO121" s="490"/>
      <c r="AP121" s="491"/>
      <c r="AQ121" s="491"/>
      <c r="AR121" s="490"/>
      <c r="AS121" s="634"/>
      <c r="AT121" s="490"/>
      <c r="AU121" s="491"/>
      <c r="AV121" s="491"/>
      <c r="AW121" s="490"/>
      <c r="AX121" s="634"/>
      <c r="AZ121" s="358" t="e">
        <f t="shared" si="56"/>
        <v>#N/A</v>
      </c>
      <c r="BA121" s="694"/>
    </row>
    <row r="123" spans="2:53" ht="15.75">
      <c r="B123" s="645" t="s">
        <v>463</v>
      </c>
      <c r="C123" s="646"/>
      <c r="D123" s="646"/>
      <c r="E123" s="646"/>
      <c r="F123" s="646"/>
      <c r="G123" s="646"/>
      <c r="H123" s="647"/>
      <c r="I123" s="299"/>
      <c r="J123" s="299"/>
      <c r="K123" s="299"/>
      <c r="L123" s="299"/>
      <c r="M123" s="300"/>
    </row>
    <row r="124" spans="2:53" ht="15.75">
      <c r="B124" s="648"/>
      <c r="C124" s="648"/>
      <c r="D124" s="648"/>
      <c r="E124" s="648"/>
      <c r="F124" s="648"/>
      <c r="G124" s="648"/>
      <c r="H124" s="648"/>
      <c r="I124" s="301"/>
      <c r="J124" s="301"/>
      <c r="K124" s="301"/>
      <c r="L124" s="301"/>
      <c r="M124" s="302"/>
    </row>
    <row r="125" spans="2:53">
      <c r="B125" s="637" t="s">
        <v>464</v>
      </c>
      <c r="C125" s="637" t="s">
        <v>465</v>
      </c>
      <c r="D125" s="637"/>
      <c r="E125" s="637" t="s">
        <v>466</v>
      </c>
      <c r="F125" s="637"/>
      <c r="G125" s="637"/>
      <c r="H125" s="669" t="s">
        <v>467</v>
      </c>
      <c r="I125" s="649" t="s">
        <v>468</v>
      </c>
      <c r="J125" s="649"/>
      <c r="K125" s="649"/>
      <c r="L125" s="702" t="s">
        <v>467</v>
      </c>
      <c r="M125" s="705" t="s">
        <v>469</v>
      </c>
    </row>
    <row r="126" spans="2:53">
      <c r="B126" s="637"/>
      <c r="C126" s="637"/>
      <c r="D126" s="637"/>
      <c r="E126" s="637" t="s">
        <v>470</v>
      </c>
      <c r="F126" s="637"/>
      <c r="G126" s="637"/>
      <c r="H126" s="670"/>
      <c r="I126" s="649" t="s">
        <v>470</v>
      </c>
      <c r="J126" s="649"/>
      <c r="K126" s="649"/>
      <c r="L126" s="703"/>
      <c r="M126" s="706"/>
    </row>
    <row r="127" spans="2:53">
      <c r="B127" s="637"/>
      <c r="C127" s="637"/>
      <c r="D127" s="637"/>
      <c r="E127" s="296" t="s">
        <v>471</v>
      </c>
      <c r="F127" s="296" t="s">
        <v>472</v>
      </c>
      <c r="G127" s="296" t="s">
        <v>473</v>
      </c>
      <c r="H127" s="671"/>
      <c r="I127" s="303" t="s">
        <v>471</v>
      </c>
      <c r="J127" s="303" t="s">
        <v>472</v>
      </c>
      <c r="K127" s="303" t="s">
        <v>473</v>
      </c>
      <c r="L127" s="704"/>
      <c r="M127" s="707"/>
    </row>
    <row r="128" spans="2:53">
      <c r="B128" s="637" t="s">
        <v>481</v>
      </c>
      <c r="C128" s="295">
        <v>1</v>
      </c>
      <c r="D128" s="220"/>
      <c r="E128" s="176"/>
      <c r="F128" s="295"/>
      <c r="G128" s="298"/>
      <c r="H128" s="696" t="e">
        <f>AVERAGE(G128:G142)</f>
        <v>#DIV/0!</v>
      </c>
      <c r="I128" s="193" t="e">
        <f t="shared" ref="I128:J133" si="57">AVERAGEIF($D$7:$D$121,$D128,I$7:I$121)</f>
        <v>#DIV/0!</v>
      </c>
      <c r="J128" s="193" t="e">
        <f t="shared" si="57"/>
        <v>#DIV/0!</v>
      </c>
      <c r="K128" s="193" t="e">
        <f t="shared" ref="K128:K133" si="58">AVERAGEIF($D$7:$D$121,$D128,K$7:K$121)</f>
        <v>#DIV/0!</v>
      </c>
      <c r="L128" s="699" t="e">
        <f>AVERAGE(K128:K142)</f>
        <v>#DIV/0!</v>
      </c>
      <c r="M128" s="193" t="e">
        <f>RANK(K128, K$128:$K$142)</f>
        <v>#DIV/0!</v>
      </c>
    </row>
    <row r="129" spans="2:13">
      <c r="B129" s="643"/>
      <c r="C129" s="295">
        <v>2</v>
      </c>
      <c r="D129" s="220"/>
      <c r="E129" s="176"/>
      <c r="F129" s="295"/>
      <c r="G129" s="298"/>
      <c r="H129" s="697"/>
      <c r="I129" s="193" t="e">
        <f t="shared" si="57"/>
        <v>#DIV/0!</v>
      </c>
      <c r="J129" s="193" t="e">
        <f t="shared" si="57"/>
        <v>#DIV/0!</v>
      </c>
      <c r="K129" s="193" t="e">
        <f t="shared" si="58"/>
        <v>#DIV/0!</v>
      </c>
      <c r="L129" s="700"/>
      <c r="M129" s="193" t="e">
        <f>RANK(K129, K$128:$K$142)</f>
        <v>#DIV/0!</v>
      </c>
    </row>
    <row r="130" spans="2:13">
      <c r="B130" s="643"/>
      <c r="C130" s="295">
        <v>3</v>
      </c>
      <c r="D130" s="220"/>
      <c r="E130" s="176"/>
      <c r="F130" s="295"/>
      <c r="G130" s="298"/>
      <c r="H130" s="697"/>
      <c r="I130" s="193" t="e">
        <f t="shared" si="57"/>
        <v>#DIV/0!</v>
      </c>
      <c r="J130" s="193" t="e">
        <f t="shared" si="57"/>
        <v>#DIV/0!</v>
      </c>
      <c r="K130" s="193" t="e">
        <f t="shared" si="58"/>
        <v>#DIV/0!</v>
      </c>
      <c r="L130" s="700"/>
      <c r="M130" s="193" t="e">
        <f>RANK(K130, K$128:$K$142)</f>
        <v>#DIV/0!</v>
      </c>
    </row>
    <row r="131" spans="2:13">
      <c r="B131" s="643"/>
      <c r="C131" s="295">
        <v>4</v>
      </c>
      <c r="D131" s="220"/>
      <c r="E131" s="176"/>
      <c r="F131" s="295"/>
      <c r="G131" s="298"/>
      <c r="H131" s="697"/>
      <c r="I131" s="193" t="e">
        <f t="shared" si="57"/>
        <v>#DIV/0!</v>
      </c>
      <c r="J131" s="193" t="e">
        <f t="shared" si="57"/>
        <v>#DIV/0!</v>
      </c>
      <c r="K131" s="193" t="e">
        <f t="shared" si="58"/>
        <v>#DIV/0!</v>
      </c>
      <c r="L131" s="700"/>
      <c r="M131" s="193" t="e">
        <f>RANK(K131, K$128:$K$142)</f>
        <v>#DIV/0!</v>
      </c>
    </row>
    <row r="132" spans="2:13">
      <c r="B132" s="643"/>
      <c r="C132" s="295">
        <v>5</v>
      </c>
      <c r="D132" s="220"/>
      <c r="E132" s="176"/>
      <c r="F132" s="295"/>
      <c r="G132" s="298"/>
      <c r="H132" s="697"/>
      <c r="I132" s="193" t="e">
        <f t="shared" si="57"/>
        <v>#DIV/0!</v>
      </c>
      <c r="J132" s="193" t="e">
        <f t="shared" si="57"/>
        <v>#DIV/0!</v>
      </c>
      <c r="K132" s="193" t="e">
        <f t="shared" si="58"/>
        <v>#DIV/0!</v>
      </c>
      <c r="L132" s="700"/>
      <c r="M132" s="193" t="e">
        <f>RANK(K132, K$128:$K$142)</f>
        <v>#DIV/0!</v>
      </c>
    </row>
    <row r="133" spans="2:13">
      <c r="B133" s="643"/>
      <c r="C133" s="295">
        <v>6</v>
      </c>
      <c r="D133" s="304"/>
      <c r="E133" s="176"/>
      <c r="F133" s="295"/>
      <c r="G133" s="298"/>
      <c r="H133" s="697"/>
      <c r="I133" s="193" t="e">
        <f t="shared" si="57"/>
        <v>#DIV/0!</v>
      </c>
      <c r="J133" s="193" t="e">
        <f t="shared" si="57"/>
        <v>#DIV/0!</v>
      </c>
      <c r="K133" s="193" t="e">
        <f t="shared" si="58"/>
        <v>#DIV/0!</v>
      </c>
      <c r="L133" s="700"/>
      <c r="M133" s="193" t="e">
        <f>RANK(K133, K$128:$K$142)</f>
        <v>#DIV/0!</v>
      </c>
    </row>
    <row r="134" spans="2:13">
      <c r="B134" s="643"/>
      <c r="C134" s="295">
        <v>7</v>
      </c>
      <c r="D134" s="220"/>
      <c r="E134" s="176"/>
      <c r="F134" s="295"/>
      <c r="G134" s="298"/>
      <c r="H134" s="697"/>
      <c r="I134" s="193"/>
      <c r="J134" s="193"/>
      <c r="K134" s="193"/>
      <c r="L134" s="700"/>
      <c r="M134" s="193" t="e">
        <f>RANK(K134, K$128:$K$142)</f>
        <v>#DIV/0!</v>
      </c>
    </row>
    <row r="135" spans="2:13">
      <c r="B135" s="643"/>
      <c r="C135" s="295">
        <v>8</v>
      </c>
      <c r="D135" s="220"/>
      <c r="E135" s="176"/>
      <c r="F135" s="295"/>
      <c r="G135" s="298"/>
      <c r="H135" s="697"/>
      <c r="I135" s="193"/>
      <c r="J135" s="193"/>
      <c r="K135" s="193"/>
      <c r="L135" s="700"/>
      <c r="M135" s="193" t="e">
        <f>RANK(K135, K$128:$K$142)</f>
        <v>#DIV/0!</v>
      </c>
    </row>
    <row r="136" spans="2:13">
      <c r="B136" s="643"/>
      <c r="C136" s="295">
        <v>9</v>
      </c>
      <c r="D136" s="220"/>
      <c r="E136" s="295"/>
      <c r="F136" s="295"/>
      <c r="G136" s="295"/>
      <c r="H136" s="697"/>
      <c r="I136" s="193"/>
      <c r="J136" s="193"/>
      <c r="K136" s="193"/>
      <c r="L136" s="700"/>
      <c r="M136" s="193" t="e">
        <f>RANK(K136, K$128:$K$142)</f>
        <v>#DIV/0!</v>
      </c>
    </row>
    <row r="137" spans="2:13">
      <c r="B137" s="643"/>
      <c r="C137" s="295">
        <v>10</v>
      </c>
      <c r="D137" s="220"/>
      <c r="E137" s="295"/>
      <c r="F137" s="295"/>
      <c r="G137" s="295"/>
      <c r="H137" s="697"/>
      <c r="I137" s="193"/>
      <c r="J137" s="193"/>
      <c r="K137" s="193"/>
      <c r="L137" s="700"/>
      <c r="M137" s="193" t="e">
        <f>RANK(K137, K$128:$K$142)</f>
        <v>#DIV/0!</v>
      </c>
    </row>
    <row r="138" spans="2:13">
      <c r="B138" s="643"/>
      <c r="C138" s="295">
        <v>11</v>
      </c>
      <c r="D138" s="220"/>
      <c r="E138" s="295"/>
      <c r="F138" s="295"/>
      <c r="G138" s="295"/>
      <c r="H138" s="697"/>
      <c r="I138" s="193"/>
      <c r="J138" s="193"/>
      <c r="K138" s="193"/>
      <c r="L138" s="700"/>
      <c r="M138" s="193" t="e">
        <f>RANK(K138, K$128:$K$142)</f>
        <v>#DIV/0!</v>
      </c>
    </row>
    <row r="139" spans="2:13">
      <c r="B139" s="643"/>
      <c r="C139" s="295">
        <v>12</v>
      </c>
      <c r="D139" s="220"/>
      <c r="E139" s="295"/>
      <c r="F139" s="295"/>
      <c r="G139" s="295"/>
      <c r="H139" s="697"/>
      <c r="I139" s="193"/>
      <c r="J139" s="193"/>
      <c r="K139" s="193"/>
      <c r="L139" s="700"/>
      <c r="M139" s="193" t="e">
        <f>RANK(K139, K$128:$K$142)</f>
        <v>#DIV/0!</v>
      </c>
    </row>
    <row r="140" spans="2:13">
      <c r="B140" s="643"/>
      <c r="C140" s="295">
        <v>13</v>
      </c>
      <c r="D140" s="220"/>
      <c r="E140" s="295"/>
      <c r="F140" s="295"/>
      <c r="G140" s="295"/>
      <c r="H140" s="697"/>
      <c r="I140" s="193"/>
      <c r="J140" s="193"/>
      <c r="K140" s="193"/>
      <c r="L140" s="700"/>
      <c r="M140" s="193" t="e">
        <f>RANK(K140, K$128:$K$142)</f>
        <v>#DIV/0!</v>
      </c>
    </row>
    <row r="141" spans="2:13">
      <c r="B141" s="643"/>
      <c r="C141" s="295">
        <v>14</v>
      </c>
      <c r="D141" s="220"/>
      <c r="E141" s="295"/>
      <c r="F141" s="295"/>
      <c r="G141" s="295"/>
      <c r="H141" s="697"/>
      <c r="I141" s="193"/>
      <c r="J141" s="193"/>
      <c r="K141" s="193"/>
      <c r="L141" s="700"/>
      <c r="M141" s="193" t="e">
        <f>RANK(K141, K$128:$K$142)</f>
        <v>#DIV/0!</v>
      </c>
    </row>
    <row r="142" spans="2:13">
      <c r="B142" s="643"/>
      <c r="C142" s="295">
        <v>15</v>
      </c>
      <c r="D142" s="220"/>
      <c r="E142" s="295"/>
      <c r="F142" s="295"/>
      <c r="G142" s="295"/>
      <c r="H142" s="698"/>
      <c r="I142" s="193"/>
      <c r="J142" s="193"/>
      <c r="K142" s="193"/>
      <c r="L142" s="701"/>
      <c r="M142" s="193" t="e">
        <f>RANK(K142, K$128:$K$142)</f>
        <v>#DIV/0!</v>
      </c>
    </row>
  </sheetData>
  <mergeCells count="379">
    <mergeCell ref="BA87:BA101"/>
    <mergeCell ref="BA104:BA106"/>
    <mergeCell ref="BA107:BA121"/>
    <mergeCell ref="BA4:BA6"/>
    <mergeCell ref="BA7:BA21"/>
    <mergeCell ref="BA24:BA26"/>
    <mergeCell ref="BA27:BA41"/>
    <mergeCell ref="BA44:BA46"/>
    <mergeCell ref="BA47:BA61"/>
    <mergeCell ref="BA64:BA66"/>
    <mergeCell ref="BA67:BA81"/>
    <mergeCell ref="BA84:BA86"/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B128:B142"/>
    <mergeCell ref="H128:H142"/>
    <mergeCell ref="L128:L142"/>
    <mergeCell ref="AX107:AX121"/>
    <mergeCell ref="B123:H124"/>
    <mergeCell ref="B125:B127"/>
    <mergeCell ref="C125:D127"/>
    <mergeCell ref="E125:G125"/>
    <mergeCell ref="H125:H127"/>
    <mergeCell ref="I125:K125"/>
    <mergeCell ref="L125:L127"/>
    <mergeCell ref="M125:M127"/>
    <mergeCell ref="E126:G126"/>
    <mergeCell ref="I126:K126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</mergeCells>
  <phoneticPr fontId="13" type="noConversion"/>
  <pageMargins left="0.7" right="0.7" top="0.75" bottom="0.75" header="0.3" footer="0.3"/>
  <pageSetup paperSize="9" orientation="portrait" horizontalDpi="300" verticalDpi="3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92D050"/>
    <outlinePr summaryBelow="0" summaryRight="0"/>
  </sheetPr>
  <dimension ref="A1:M36"/>
  <sheetViews>
    <sheetView zoomScale="70" zoomScaleNormal="70" zoomScaleSheetLayoutView="100" workbookViewId="0">
      <selection activeCell="A8" sqref="A8:L28"/>
    </sheetView>
  </sheetViews>
  <sheetFormatPr defaultColWidth="12.5703125" defaultRowHeight="15.75" customHeight="1"/>
  <cols>
    <col min="1" max="1" width="6.42578125" style="114" customWidth="1"/>
    <col min="2" max="10" width="11.5703125" style="114" customWidth="1"/>
    <col min="11" max="12" width="12.85546875" style="114" customWidth="1"/>
    <col min="13" max="13" width="12.5703125" style="115"/>
    <col min="14" max="16384" width="12.5703125" style="114"/>
  </cols>
  <sheetData>
    <row r="1" spans="1:13" ht="15.75" customHeight="1">
      <c r="A1" s="604" t="s">
        <v>185</v>
      </c>
      <c r="B1" s="604"/>
      <c r="C1" s="604"/>
      <c r="D1" s="604"/>
      <c r="E1" s="604"/>
      <c r="F1" s="604"/>
      <c r="G1" s="604"/>
      <c r="H1" s="604"/>
      <c r="I1" s="604"/>
      <c r="J1" s="604"/>
      <c r="K1" s="604"/>
      <c r="L1" s="604"/>
      <c r="M1" s="114"/>
    </row>
    <row r="2" spans="1:13" s="115" customFormat="1" ht="15.75" customHeight="1">
      <c r="A2" s="604"/>
      <c r="B2" s="604"/>
      <c r="C2" s="604"/>
      <c r="D2" s="604"/>
      <c r="E2" s="604"/>
      <c r="F2" s="604"/>
      <c r="G2" s="604"/>
      <c r="H2" s="604"/>
      <c r="I2" s="604"/>
      <c r="J2" s="604"/>
      <c r="K2" s="604"/>
      <c r="L2" s="604"/>
    </row>
    <row r="3" spans="1:13" ht="15.75" customHeight="1">
      <c r="A3" s="720" t="s">
        <v>186</v>
      </c>
      <c r="B3" s="721"/>
      <c r="C3" s="721"/>
      <c r="D3" s="721"/>
      <c r="E3" s="721"/>
      <c r="F3" s="721"/>
      <c r="G3" s="721"/>
      <c r="H3" s="721"/>
      <c r="I3" s="721"/>
      <c r="J3" s="721"/>
      <c r="K3" s="721"/>
      <c r="L3" s="721"/>
      <c r="M3" s="146"/>
    </row>
    <row r="4" spans="1:13" s="115" customFormat="1" ht="15.75" customHeight="1">
      <c r="A4" s="721"/>
      <c r="B4" s="721"/>
      <c r="C4" s="721"/>
      <c r="D4" s="721"/>
      <c r="E4" s="721"/>
      <c r="F4" s="721"/>
      <c r="G4" s="721"/>
      <c r="H4" s="721"/>
      <c r="I4" s="721"/>
      <c r="J4" s="721"/>
      <c r="K4" s="721"/>
      <c r="L4" s="721"/>
      <c r="M4" s="125"/>
    </row>
    <row r="5" spans="1:13" s="148" customFormat="1" ht="16.350000000000001" customHeight="1">
      <c r="A5" s="717" t="s">
        <v>154</v>
      </c>
      <c r="B5" s="160">
        <v>1</v>
      </c>
      <c r="C5" s="160">
        <v>2</v>
      </c>
      <c r="D5" s="150">
        <v>3</v>
      </c>
      <c r="E5" s="150">
        <v>4</v>
      </c>
      <c r="F5" s="150">
        <v>5</v>
      </c>
      <c r="G5" s="150">
        <v>6</v>
      </c>
      <c r="H5" s="150">
        <v>7</v>
      </c>
      <c r="I5" s="150">
        <v>8</v>
      </c>
      <c r="J5" s="150">
        <v>9</v>
      </c>
      <c r="K5" s="147"/>
      <c r="L5" s="147"/>
      <c r="M5" s="147"/>
    </row>
    <row r="6" spans="1:13" ht="16.350000000000001" customHeight="1">
      <c r="A6" s="717"/>
      <c r="B6" s="161" t="s">
        <v>187</v>
      </c>
      <c r="C6" s="161" t="s">
        <v>151</v>
      </c>
      <c r="D6" s="151" t="s">
        <v>188</v>
      </c>
      <c r="E6" s="151" t="s">
        <v>153</v>
      </c>
      <c r="F6" s="152" t="s">
        <v>133</v>
      </c>
      <c r="G6" s="153" t="s">
        <v>131</v>
      </c>
      <c r="H6" s="154" t="s">
        <v>189</v>
      </c>
      <c r="I6" s="153" t="s">
        <v>190</v>
      </c>
      <c r="J6" s="153" t="s">
        <v>137</v>
      </c>
      <c r="K6" s="149"/>
      <c r="L6" s="149"/>
      <c r="M6" s="125"/>
    </row>
    <row r="7" spans="1:13" s="148" customFormat="1" ht="15.75" customHeight="1">
      <c r="A7" s="718" t="s">
        <v>168</v>
      </c>
      <c r="B7" s="718"/>
      <c r="C7" s="335" t="s">
        <v>376</v>
      </c>
      <c r="D7" s="718" t="s">
        <v>12</v>
      </c>
      <c r="E7" s="719"/>
      <c r="F7" s="719"/>
      <c r="G7" s="335" t="s">
        <v>46</v>
      </c>
      <c r="H7" s="335" t="s">
        <v>497</v>
      </c>
      <c r="I7" s="335" t="s">
        <v>373</v>
      </c>
      <c r="J7" s="216" t="s">
        <v>374</v>
      </c>
      <c r="K7" s="718" t="s">
        <v>375</v>
      </c>
      <c r="L7" s="719"/>
      <c r="M7" s="147"/>
    </row>
    <row r="8" spans="1:13" ht="15.75" customHeight="1">
      <c r="A8" s="717">
        <v>1</v>
      </c>
      <c r="B8" s="718" t="s">
        <v>150</v>
      </c>
      <c r="C8" s="563">
        <v>1</v>
      </c>
      <c r="D8" s="351" t="s">
        <v>571</v>
      </c>
      <c r="E8" s="332"/>
      <c r="F8" s="333"/>
      <c r="G8" s="346">
        <v>3</v>
      </c>
      <c r="H8" s="346">
        <v>3222.7265214317886</v>
      </c>
      <c r="I8" s="346">
        <v>1074.2421738105963</v>
      </c>
      <c r="J8" s="235" t="s">
        <v>649</v>
      </c>
      <c r="K8" s="723" t="s">
        <v>706</v>
      </c>
      <c r="L8" s="724"/>
      <c r="M8" s="125"/>
    </row>
    <row r="9" spans="1:13" ht="15.75" customHeight="1">
      <c r="A9" s="717"/>
      <c r="B9" s="718"/>
      <c r="C9" s="563">
        <v>2</v>
      </c>
      <c r="D9" s="345" t="s">
        <v>332</v>
      </c>
      <c r="E9" s="332"/>
      <c r="F9" s="333"/>
      <c r="G9" s="346">
        <v>3</v>
      </c>
      <c r="H9" s="346">
        <v>3221.9059061785388</v>
      </c>
      <c r="I9" s="346">
        <v>1073.9686353928462</v>
      </c>
      <c r="J9" s="235" t="s">
        <v>649</v>
      </c>
      <c r="K9" s="725"/>
      <c r="L9" s="726"/>
      <c r="M9" s="125"/>
    </row>
    <row r="10" spans="1:13" ht="15.75" customHeight="1">
      <c r="A10" s="717"/>
      <c r="B10" s="718"/>
      <c r="C10" s="563">
        <v>3</v>
      </c>
      <c r="D10" s="351" t="s">
        <v>673</v>
      </c>
      <c r="E10" s="332"/>
      <c r="F10" s="333"/>
      <c r="G10" s="346">
        <v>3</v>
      </c>
      <c r="H10" s="346">
        <v>3199.8998150476</v>
      </c>
      <c r="I10" s="346">
        <v>1066.6332716825332</v>
      </c>
      <c r="J10" s="236" t="s">
        <v>650</v>
      </c>
      <c r="K10" s="725"/>
      <c r="L10" s="726"/>
      <c r="M10" s="125"/>
    </row>
    <row r="11" spans="1:13" ht="15.75" customHeight="1">
      <c r="A11" s="717"/>
      <c r="B11" s="718"/>
      <c r="C11" s="563">
        <v>4</v>
      </c>
      <c r="D11" s="433" t="s">
        <v>670</v>
      </c>
      <c r="E11" s="332"/>
      <c r="F11" s="333"/>
      <c r="G11" s="346">
        <v>3</v>
      </c>
      <c r="H11" s="346">
        <v>3195.5583553468391</v>
      </c>
      <c r="I11" s="346">
        <v>1065.1861184489464</v>
      </c>
      <c r="J11" s="235" t="s">
        <v>649</v>
      </c>
      <c r="K11" s="725"/>
      <c r="L11" s="726"/>
      <c r="M11" s="125"/>
    </row>
    <row r="12" spans="1:13" ht="15.75" customHeight="1">
      <c r="A12" s="717"/>
      <c r="B12" s="718"/>
      <c r="C12" s="563">
        <v>5</v>
      </c>
      <c r="D12" s="351" t="s">
        <v>335</v>
      </c>
      <c r="E12" s="332"/>
      <c r="F12" s="333"/>
      <c r="G12" s="346">
        <v>3</v>
      </c>
      <c r="H12" s="346">
        <v>3194.5288373048779</v>
      </c>
      <c r="I12" s="346">
        <v>1064.8429457682926</v>
      </c>
      <c r="J12" s="235" t="s">
        <v>649</v>
      </c>
      <c r="K12" s="727"/>
      <c r="L12" s="728"/>
      <c r="M12" s="125"/>
    </row>
    <row r="13" spans="1:13" ht="15.75" customHeight="1">
      <c r="A13" s="717"/>
      <c r="B13" s="718"/>
      <c r="C13" s="159" t="s">
        <v>643</v>
      </c>
      <c r="D13" s="345" t="s">
        <v>565</v>
      </c>
      <c r="E13" s="332"/>
      <c r="F13" s="333"/>
      <c r="G13" s="346">
        <v>8.2857142857142865</v>
      </c>
      <c r="H13" s="346">
        <v>1499.6847862188795</v>
      </c>
      <c r="I13" s="346">
        <v>181.9259043998089</v>
      </c>
      <c r="J13" s="234" t="s">
        <v>648</v>
      </c>
      <c r="K13" s="722"/>
      <c r="L13" s="719"/>
      <c r="M13" s="125"/>
    </row>
    <row r="14" spans="1:13" ht="15.75" customHeight="1">
      <c r="A14" s="717"/>
      <c r="B14" s="718"/>
      <c r="C14" s="159" t="s">
        <v>644</v>
      </c>
      <c r="D14" s="345" t="s">
        <v>655</v>
      </c>
      <c r="E14" s="332"/>
      <c r="F14" s="333"/>
      <c r="G14" s="346">
        <v>4</v>
      </c>
      <c r="H14" s="346">
        <v>2741.7755102040796</v>
      </c>
      <c r="I14" s="346">
        <v>685.44387755101991</v>
      </c>
      <c r="J14" s="234" t="s">
        <v>648</v>
      </c>
      <c r="K14" s="722"/>
      <c r="L14" s="719"/>
      <c r="M14" s="125"/>
    </row>
    <row r="15" spans="1:13" ht="15.75" customHeight="1">
      <c r="A15" s="717"/>
      <c r="B15" s="718"/>
      <c r="C15" s="159" t="s">
        <v>645</v>
      </c>
      <c r="D15" s="431" t="s">
        <v>674</v>
      </c>
      <c r="E15" s="332"/>
      <c r="F15" s="333"/>
      <c r="G15" s="346">
        <v>4</v>
      </c>
      <c r="H15" s="346">
        <v>2775.335712876456</v>
      </c>
      <c r="I15" s="346">
        <v>693.833928219114</v>
      </c>
      <c r="J15" s="234" t="s">
        <v>648</v>
      </c>
      <c r="K15" s="729"/>
      <c r="L15" s="729"/>
      <c r="M15" s="125"/>
    </row>
    <row r="16" spans="1:13" ht="15.75" customHeight="1">
      <c r="A16" s="717"/>
      <c r="B16" s="718"/>
      <c r="C16" s="159" t="s">
        <v>646</v>
      </c>
      <c r="D16" s="345" t="s">
        <v>336</v>
      </c>
      <c r="E16" s="332"/>
      <c r="F16" s="333"/>
      <c r="G16" s="346">
        <v>4</v>
      </c>
      <c r="H16" s="346">
        <v>2790.2940900319068</v>
      </c>
      <c r="I16" s="346">
        <v>697.57352250797669</v>
      </c>
      <c r="J16" s="234" t="s">
        <v>648</v>
      </c>
      <c r="K16" s="722"/>
      <c r="L16" s="719"/>
      <c r="M16" s="146"/>
    </row>
    <row r="17" spans="1:13" ht="15.75" customHeight="1">
      <c r="A17" s="717"/>
      <c r="B17" s="718"/>
      <c r="C17" s="159" t="s">
        <v>647</v>
      </c>
      <c r="D17" s="433" t="s">
        <v>664</v>
      </c>
      <c r="E17" s="332"/>
      <c r="F17" s="333"/>
      <c r="G17" s="346">
        <v>4</v>
      </c>
      <c r="H17" s="346">
        <v>2908.5883006900799</v>
      </c>
      <c r="I17" s="346">
        <v>727.14707517251998</v>
      </c>
      <c r="J17" s="236" t="s">
        <v>650</v>
      </c>
      <c r="K17" s="722" t="s">
        <v>651</v>
      </c>
      <c r="L17" s="719"/>
      <c r="M17" s="146"/>
    </row>
    <row r="18" spans="1:13" s="156" customFormat="1" ht="15.75" customHeight="1">
      <c r="A18" s="732" t="s">
        <v>167</v>
      </c>
      <c r="B18" s="732"/>
      <c r="C18" s="564" t="s">
        <v>47</v>
      </c>
      <c r="D18" s="732" t="s">
        <v>12</v>
      </c>
      <c r="E18" s="733"/>
      <c r="F18" s="733"/>
      <c r="G18" s="564" t="s">
        <v>46</v>
      </c>
      <c r="H18" s="564" t="s">
        <v>497</v>
      </c>
      <c r="I18" s="564" t="s">
        <v>373</v>
      </c>
      <c r="J18" s="216" t="s">
        <v>374</v>
      </c>
      <c r="K18" s="732" t="s">
        <v>51</v>
      </c>
      <c r="L18" s="733"/>
      <c r="M18" s="149"/>
    </row>
    <row r="19" spans="1:13" ht="15.75" customHeight="1">
      <c r="A19" s="717">
        <v>2</v>
      </c>
      <c r="B19" s="718" t="s">
        <v>151</v>
      </c>
      <c r="C19" s="563">
        <v>1</v>
      </c>
      <c r="D19" s="331" t="s">
        <v>548</v>
      </c>
      <c r="E19" s="332"/>
      <c r="F19" s="333"/>
      <c r="G19" s="346">
        <v>9.8571428571428577</v>
      </c>
      <c r="H19" s="346">
        <v>1451.4545688545682</v>
      </c>
      <c r="I19" s="346">
        <v>147.51307593307587</v>
      </c>
      <c r="J19" s="235" t="s">
        <v>649</v>
      </c>
      <c r="K19" s="735" t="s">
        <v>651</v>
      </c>
      <c r="L19" s="736"/>
      <c r="M19" s="146"/>
    </row>
    <row r="20" spans="1:13" ht="15.75" customHeight="1">
      <c r="A20" s="717"/>
      <c r="B20" s="718"/>
      <c r="C20" s="563">
        <v>2</v>
      </c>
      <c r="D20" s="331" t="s">
        <v>562</v>
      </c>
      <c r="E20" s="332"/>
      <c r="F20" s="333"/>
      <c r="G20" s="346">
        <v>12.857142857142858</v>
      </c>
      <c r="H20" s="346">
        <v>1820.2474025974082</v>
      </c>
      <c r="I20" s="346">
        <v>141.5620712620717</v>
      </c>
      <c r="J20" s="235" t="s">
        <v>649</v>
      </c>
      <c r="K20" s="737"/>
      <c r="L20" s="738"/>
      <c r="M20" s="146"/>
    </row>
    <row r="21" spans="1:13" ht="15.75" customHeight="1">
      <c r="A21" s="717"/>
      <c r="B21" s="718"/>
      <c r="C21" s="563">
        <v>3</v>
      </c>
      <c r="D21" s="347" t="s">
        <v>563</v>
      </c>
      <c r="E21" s="332"/>
      <c r="F21" s="333"/>
      <c r="G21" s="346">
        <v>12.857142857142858</v>
      </c>
      <c r="H21" s="346">
        <v>1795.7764103981849</v>
      </c>
      <c r="I21" s="346">
        <v>139.81507379002809</v>
      </c>
      <c r="J21" s="236" t="s">
        <v>650</v>
      </c>
      <c r="K21" s="739"/>
      <c r="L21" s="740"/>
      <c r="M21" s="146"/>
    </row>
    <row r="22" spans="1:13" ht="15.75" customHeight="1">
      <c r="A22" s="717"/>
      <c r="B22" s="718"/>
      <c r="C22" s="563">
        <v>4</v>
      </c>
      <c r="D22" s="347" t="s">
        <v>727</v>
      </c>
      <c r="E22" s="332"/>
      <c r="F22" s="333"/>
      <c r="G22" s="346">
        <v>12.833333333333334</v>
      </c>
      <c r="H22" s="346">
        <v>1659.4939056463245</v>
      </c>
      <c r="I22" s="346">
        <v>129.56683889587109</v>
      </c>
      <c r="J22" s="234" t="s">
        <v>648</v>
      </c>
      <c r="K22" s="730"/>
      <c r="L22" s="731"/>
      <c r="M22" s="146"/>
    </row>
    <row r="23" spans="1:13" ht="15.75" customHeight="1">
      <c r="A23" s="717"/>
      <c r="B23" s="718"/>
      <c r="C23" s="563">
        <v>5</v>
      </c>
      <c r="D23" s="347" t="s">
        <v>641</v>
      </c>
      <c r="E23" s="332"/>
      <c r="F23" s="333"/>
      <c r="G23" s="346">
        <v>12.857142857142858</v>
      </c>
      <c r="H23" s="346">
        <v>1032.0333333333331</v>
      </c>
      <c r="I23" s="346">
        <v>80.925641025640999</v>
      </c>
      <c r="J23" s="234" t="s">
        <v>648</v>
      </c>
      <c r="K23" s="730"/>
      <c r="L23" s="731"/>
      <c r="M23" s="146"/>
    </row>
    <row r="24" spans="1:13" ht="15.75" customHeight="1">
      <c r="A24" s="717"/>
      <c r="B24" s="718"/>
      <c r="C24" s="159" t="s">
        <v>643</v>
      </c>
      <c r="D24" s="331"/>
      <c r="E24" s="332"/>
      <c r="F24" s="333"/>
      <c r="G24" s="346"/>
      <c r="H24" s="346"/>
      <c r="I24" s="346"/>
      <c r="J24" s="234"/>
      <c r="K24" s="734"/>
      <c r="L24" s="731"/>
      <c r="M24" s="146"/>
    </row>
    <row r="25" spans="1:13" ht="15.75" customHeight="1">
      <c r="A25" s="717"/>
      <c r="B25" s="718"/>
      <c r="C25" s="159" t="s">
        <v>644</v>
      </c>
      <c r="D25" s="331"/>
      <c r="E25" s="332"/>
      <c r="F25" s="333"/>
      <c r="G25" s="346"/>
      <c r="H25" s="346"/>
      <c r="I25" s="346"/>
      <c r="J25" s="234"/>
      <c r="K25" s="730"/>
      <c r="L25" s="731"/>
      <c r="M25" s="146"/>
    </row>
    <row r="26" spans="1:13" ht="15.75" customHeight="1">
      <c r="A26" s="717"/>
      <c r="B26" s="718"/>
      <c r="C26" s="159" t="s">
        <v>645</v>
      </c>
      <c r="E26" s="332"/>
      <c r="F26" s="333"/>
      <c r="G26" s="346"/>
      <c r="H26" s="346"/>
      <c r="I26" s="346"/>
      <c r="J26" s="565"/>
      <c r="K26" s="730"/>
      <c r="L26" s="731"/>
      <c r="M26" s="146"/>
    </row>
    <row r="27" spans="1:13" ht="15.75" customHeight="1">
      <c r="A27" s="717"/>
      <c r="B27" s="718"/>
      <c r="C27" s="159" t="s">
        <v>646</v>
      </c>
      <c r="D27" s="331"/>
      <c r="E27" s="332"/>
      <c r="F27" s="333"/>
      <c r="G27" s="346"/>
      <c r="H27" s="346"/>
      <c r="I27" s="346"/>
      <c r="J27" s="565"/>
      <c r="K27" s="730"/>
      <c r="L27" s="731"/>
      <c r="M27" s="146"/>
    </row>
    <row r="28" spans="1:13" ht="15.75" customHeight="1">
      <c r="A28" s="717"/>
      <c r="B28" s="718"/>
      <c r="C28" s="159" t="s">
        <v>647</v>
      </c>
      <c r="D28" s="331"/>
      <c r="E28" s="332"/>
      <c r="F28" s="333"/>
      <c r="G28" s="565"/>
      <c r="H28" s="565"/>
      <c r="I28" s="565"/>
      <c r="J28" s="565"/>
      <c r="K28" s="730"/>
      <c r="L28" s="731"/>
      <c r="M28" s="146"/>
    </row>
    <row r="29" spans="1:13" ht="15.75" customHeight="1">
      <c r="A29" s="146"/>
      <c r="B29" s="146"/>
      <c r="C29" s="146"/>
      <c r="D29" s="146"/>
      <c r="E29" s="146"/>
      <c r="F29" s="146"/>
      <c r="G29" s="146"/>
      <c r="H29" s="146"/>
      <c r="I29" s="146"/>
      <c r="J29" s="146"/>
      <c r="K29" s="146"/>
      <c r="L29" s="146"/>
      <c r="M29" s="125"/>
    </row>
    <row r="30" spans="1:13" ht="15.75" customHeight="1">
      <c r="A30" s="146"/>
      <c r="B30" s="146"/>
      <c r="C30" s="146"/>
      <c r="D30" s="146"/>
      <c r="E30" s="146"/>
      <c r="F30" s="146"/>
      <c r="G30" s="146"/>
      <c r="H30" s="146"/>
      <c r="I30" s="146"/>
      <c r="J30" s="146"/>
      <c r="K30" s="146"/>
      <c r="L30" s="146"/>
      <c r="M30" s="146"/>
    </row>
    <row r="31" spans="1:13" ht="15.75" customHeight="1">
      <c r="A31" s="146"/>
      <c r="B31" s="146"/>
      <c r="C31" s="146"/>
      <c r="D31" s="146"/>
      <c r="E31" s="146"/>
      <c r="F31" s="146"/>
      <c r="G31" s="146"/>
      <c r="H31" s="146"/>
      <c r="I31" s="146"/>
      <c r="J31" s="146"/>
      <c r="K31" s="146"/>
      <c r="L31" s="146"/>
      <c r="M31" s="125"/>
    </row>
    <row r="32" spans="1:13" ht="15.75" customHeight="1">
      <c r="A32" s="146"/>
      <c r="B32" s="146"/>
      <c r="C32" s="146"/>
      <c r="D32" s="146"/>
      <c r="E32" s="146"/>
      <c r="F32" s="146"/>
      <c r="G32" s="146"/>
      <c r="H32" s="146"/>
      <c r="I32" s="146"/>
      <c r="J32" s="146"/>
      <c r="K32" s="146"/>
      <c r="L32" s="146"/>
      <c r="M32" s="125"/>
    </row>
    <row r="33" spans="1:13" ht="15.75" customHeight="1">
      <c r="A33" s="146"/>
      <c r="B33" s="146"/>
      <c r="C33" s="146"/>
      <c r="D33" s="146"/>
      <c r="E33" s="146"/>
      <c r="F33" s="146"/>
      <c r="G33" s="146"/>
      <c r="H33" s="146"/>
      <c r="I33" s="146"/>
      <c r="J33" s="146"/>
      <c r="K33" s="146"/>
      <c r="L33" s="146"/>
      <c r="M33" s="125"/>
    </row>
    <row r="34" spans="1:13" ht="15.75" customHeight="1">
      <c r="A34" s="146"/>
      <c r="B34" s="146"/>
      <c r="C34" s="146"/>
      <c r="D34" s="146"/>
      <c r="E34" s="146"/>
      <c r="F34" s="146"/>
      <c r="G34" s="146"/>
      <c r="H34" s="146"/>
      <c r="I34" s="146"/>
      <c r="J34" s="146"/>
      <c r="K34" s="146"/>
      <c r="L34" s="146"/>
      <c r="M34" s="125"/>
    </row>
    <row r="35" spans="1:13" ht="15.75" customHeight="1">
      <c r="A35" s="146"/>
      <c r="B35" s="146"/>
      <c r="C35" s="146"/>
      <c r="D35" s="146"/>
      <c r="E35" s="146"/>
      <c r="F35" s="146"/>
      <c r="G35" s="146"/>
      <c r="H35" s="146"/>
      <c r="I35" s="146"/>
      <c r="J35" s="146"/>
      <c r="K35" s="146"/>
      <c r="L35" s="146"/>
      <c r="M35" s="125"/>
    </row>
    <row r="36" spans="1:13" ht="15.75" customHeight="1">
      <c r="M36" s="146"/>
    </row>
  </sheetData>
  <mergeCells count="27">
    <mergeCell ref="K23:L23"/>
    <mergeCell ref="A18:B18"/>
    <mergeCell ref="D18:F18"/>
    <mergeCell ref="K18:L18"/>
    <mergeCell ref="A19:A28"/>
    <mergeCell ref="K28:L28"/>
    <mergeCell ref="B19:B28"/>
    <mergeCell ref="K27:L27"/>
    <mergeCell ref="K26:L26"/>
    <mergeCell ref="K24:L24"/>
    <mergeCell ref="K25:L25"/>
    <mergeCell ref="K22:L22"/>
    <mergeCell ref="K19:L21"/>
    <mergeCell ref="K13:L13"/>
    <mergeCell ref="A8:A17"/>
    <mergeCell ref="B8:B17"/>
    <mergeCell ref="K14:L14"/>
    <mergeCell ref="K17:L17"/>
    <mergeCell ref="K8:L12"/>
    <mergeCell ref="K15:L15"/>
    <mergeCell ref="K16:L16"/>
    <mergeCell ref="A1:L2"/>
    <mergeCell ref="A5:A6"/>
    <mergeCell ref="A7:B7"/>
    <mergeCell ref="D7:F7"/>
    <mergeCell ref="K7:L7"/>
    <mergeCell ref="A3:L4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92D050"/>
    <outlinePr summaryBelow="0" summaryRight="0"/>
  </sheetPr>
  <dimension ref="A1:M35"/>
  <sheetViews>
    <sheetView zoomScale="70" zoomScaleNormal="70" zoomScaleSheetLayoutView="100" workbookViewId="0">
      <selection activeCell="A8" sqref="A8:L28"/>
    </sheetView>
  </sheetViews>
  <sheetFormatPr defaultColWidth="12.5703125" defaultRowHeight="15.75" customHeight="1"/>
  <cols>
    <col min="1" max="1" width="6.42578125" style="114" customWidth="1"/>
    <col min="2" max="10" width="11.5703125" style="114" customWidth="1"/>
    <col min="11" max="12" width="12.85546875" style="114" customWidth="1"/>
    <col min="13" max="13" width="12.5703125" style="115"/>
    <col min="14" max="16384" width="12.5703125" style="114"/>
  </cols>
  <sheetData>
    <row r="1" spans="1:13" ht="15.75" customHeight="1">
      <c r="A1" s="604" t="s">
        <v>185</v>
      </c>
      <c r="B1" s="604"/>
      <c r="C1" s="604"/>
      <c r="D1" s="604"/>
      <c r="E1" s="604"/>
      <c r="F1" s="604"/>
      <c r="G1" s="604"/>
      <c r="H1" s="604"/>
      <c r="I1" s="604"/>
      <c r="J1" s="604"/>
      <c r="K1" s="604"/>
      <c r="L1" s="604"/>
      <c r="M1" s="114"/>
    </row>
    <row r="2" spans="1:13" s="115" customFormat="1" ht="15.75" customHeight="1">
      <c r="A2" s="604"/>
      <c r="B2" s="604"/>
      <c r="C2" s="604"/>
      <c r="D2" s="604"/>
      <c r="E2" s="604"/>
      <c r="F2" s="604"/>
      <c r="G2" s="604"/>
      <c r="H2" s="604"/>
      <c r="I2" s="604"/>
      <c r="J2" s="604"/>
      <c r="K2" s="604"/>
      <c r="L2" s="604"/>
    </row>
    <row r="3" spans="1:13" ht="15.75" customHeight="1">
      <c r="A3" s="720" t="s">
        <v>186</v>
      </c>
      <c r="B3" s="721"/>
      <c r="C3" s="721"/>
      <c r="D3" s="721"/>
      <c r="E3" s="721"/>
      <c r="F3" s="721"/>
      <c r="G3" s="721"/>
      <c r="H3" s="721"/>
      <c r="I3" s="721"/>
      <c r="J3" s="721"/>
      <c r="K3" s="721"/>
      <c r="L3" s="721"/>
      <c r="M3" s="146"/>
    </row>
    <row r="4" spans="1:13" s="115" customFormat="1" ht="15.75" customHeight="1">
      <c r="A4" s="721"/>
      <c r="B4" s="721"/>
      <c r="C4" s="721"/>
      <c r="D4" s="721"/>
      <c r="E4" s="721"/>
      <c r="F4" s="721"/>
      <c r="G4" s="721"/>
      <c r="H4" s="721"/>
      <c r="I4" s="721"/>
      <c r="J4" s="721"/>
      <c r="K4" s="721"/>
      <c r="L4" s="721"/>
      <c r="M4" s="125"/>
    </row>
    <row r="5" spans="1:13" s="148" customFormat="1" ht="16.350000000000001" customHeight="1">
      <c r="A5" s="717" t="s">
        <v>154</v>
      </c>
      <c r="B5" s="150">
        <v>1</v>
      </c>
      <c r="C5" s="150">
        <v>2</v>
      </c>
      <c r="D5" s="160">
        <v>3</v>
      </c>
      <c r="E5" s="160">
        <v>4</v>
      </c>
      <c r="F5" s="150">
        <v>5</v>
      </c>
      <c r="G5" s="150">
        <v>6</v>
      </c>
      <c r="H5" s="150">
        <v>7</v>
      </c>
      <c r="I5" s="150">
        <v>8</v>
      </c>
      <c r="J5" s="150">
        <v>9</v>
      </c>
      <c r="K5" s="147"/>
      <c r="L5" s="147"/>
      <c r="M5" s="147"/>
    </row>
    <row r="6" spans="1:13" ht="16.350000000000001" customHeight="1">
      <c r="A6" s="717"/>
      <c r="B6" s="151" t="s">
        <v>187</v>
      </c>
      <c r="C6" s="151" t="s">
        <v>151</v>
      </c>
      <c r="D6" s="161" t="s">
        <v>188</v>
      </c>
      <c r="E6" s="161" t="s">
        <v>153</v>
      </c>
      <c r="F6" s="152" t="s">
        <v>133</v>
      </c>
      <c r="G6" s="153" t="s">
        <v>131</v>
      </c>
      <c r="H6" s="154" t="s">
        <v>189</v>
      </c>
      <c r="I6" s="153" t="s">
        <v>190</v>
      </c>
      <c r="J6" s="153" t="s">
        <v>137</v>
      </c>
      <c r="K6" s="149"/>
      <c r="L6" s="149"/>
      <c r="M6" s="125"/>
    </row>
    <row r="7" spans="1:13" s="148" customFormat="1" ht="15.75" customHeight="1">
      <c r="A7" s="718" t="s">
        <v>168</v>
      </c>
      <c r="B7" s="718"/>
      <c r="C7" s="335" t="s">
        <v>376</v>
      </c>
      <c r="D7" s="718" t="s">
        <v>12</v>
      </c>
      <c r="E7" s="719"/>
      <c r="F7" s="719"/>
      <c r="G7" s="350" t="s">
        <v>538</v>
      </c>
      <c r="H7" s="350" t="s">
        <v>539</v>
      </c>
      <c r="I7" s="350" t="s">
        <v>540</v>
      </c>
      <c r="J7" s="216" t="s">
        <v>541</v>
      </c>
      <c r="K7" s="718" t="s">
        <v>542</v>
      </c>
      <c r="L7" s="719"/>
      <c r="M7" s="147"/>
    </row>
    <row r="8" spans="1:13" ht="15.75" customHeight="1">
      <c r="A8" s="717">
        <v>3</v>
      </c>
      <c r="B8" s="718" t="s">
        <v>152</v>
      </c>
      <c r="C8" s="563">
        <v>1</v>
      </c>
      <c r="D8" s="331" t="s">
        <v>419</v>
      </c>
      <c r="E8" s="332"/>
      <c r="F8" s="333"/>
      <c r="G8" s="346">
        <v>5</v>
      </c>
      <c r="H8" s="346">
        <v>2083.0831970780778</v>
      </c>
      <c r="I8" s="346">
        <v>416.61663941561562</v>
      </c>
      <c r="J8" s="235" t="s">
        <v>649</v>
      </c>
      <c r="K8" s="744" t="s">
        <v>720</v>
      </c>
      <c r="L8" s="745"/>
      <c r="M8" s="125"/>
    </row>
    <row r="9" spans="1:13" ht="15.75" customHeight="1">
      <c r="A9" s="717"/>
      <c r="B9" s="718"/>
      <c r="C9" s="563">
        <v>2</v>
      </c>
      <c r="D9" s="331" t="s">
        <v>350</v>
      </c>
      <c r="E9" s="332"/>
      <c r="F9" s="333"/>
      <c r="G9" s="346">
        <v>5</v>
      </c>
      <c r="H9" s="346">
        <v>2076.3561172464024</v>
      </c>
      <c r="I9" s="346">
        <v>415.27122344928051</v>
      </c>
      <c r="J9" s="236" t="s">
        <v>650</v>
      </c>
      <c r="K9" s="746"/>
      <c r="L9" s="747"/>
      <c r="M9" s="125"/>
    </row>
    <row r="10" spans="1:13" ht="15.75" customHeight="1">
      <c r="A10" s="717"/>
      <c r="B10" s="718"/>
      <c r="C10" s="563">
        <v>3</v>
      </c>
      <c r="D10" s="331" t="s">
        <v>352</v>
      </c>
      <c r="E10" s="332"/>
      <c r="F10" s="333"/>
      <c r="G10" s="346">
        <v>10</v>
      </c>
      <c r="H10" s="346">
        <v>2427.6376304547343</v>
      </c>
      <c r="I10" s="346">
        <v>242.76376304547338</v>
      </c>
      <c r="J10" s="234" t="s">
        <v>648</v>
      </c>
      <c r="K10" s="741"/>
      <c r="L10" s="742"/>
      <c r="M10" s="125"/>
    </row>
    <row r="11" spans="1:13" ht="15.75" customHeight="1">
      <c r="A11" s="717"/>
      <c r="B11" s="718"/>
      <c r="C11" s="563">
        <v>4</v>
      </c>
      <c r="D11" s="331" t="s">
        <v>629</v>
      </c>
      <c r="E11" s="332"/>
      <c r="F11" s="333"/>
      <c r="G11" s="346">
        <v>11</v>
      </c>
      <c r="H11" s="346">
        <v>2134.699991755776</v>
      </c>
      <c r="I11" s="346">
        <v>194.06363561416148</v>
      </c>
      <c r="J11" s="234" t="s">
        <v>648</v>
      </c>
      <c r="K11" s="751"/>
      <c r="L11" s="733"/>
      <c r="M11" s="125"/>
    </row>
    <row r="12" spans="1:13" ht="15.75" customHeight="1">
      <c r="A12" s="717"/>
      <c r="B12" s="718"/>
      <c r="C12" s="563">
        <v>5</v>
      </c>
      <c r="D12" s="331" t="s">
        <v>660</v>
      </c>
      <c r="E12" s="332"/>
      <c r="F12" s="333"/>
      <c r="G12" s="346">
        <v>11</v>
      </c>
      <c r="H12" s="346">
        <v>2069.4045287167364</v>
      </c>
      <c r="I12" s="346">
        <v>188.12768442879423</v>
      </c>
      <c r="J12" s="234" t="s">
        <v>648</v>
      </c>
      <c r="K12" s="752"/>
      <c r="L12" s="753"/>
      <c r="M12" s="125"/>
    </row>
    <row r="13" spans="1:13" ht="15.75" customHeight="1">
      <c r="A13" s="717"/>
      <c r="B13" s="718"/>
      <c r="C13" s="159" t="s">
        <v>643</v>
      </c>
      <c r="D13" s="331" t="s">
        <v>582</v>
      </c>
      <c r="E13" s="332"/>
      <c r="F13" s="333"/>
      <c r="G13" s="346">
        <v>18</v>
      </c>
      <c r="H13" s="346">
        <v>1075.8111589276807</v>
      </c>
      <c r="I13" s="346">
        <v>59.767286607093368</v>
      </c>
      <c r="J13" s="236" t="s">
        <v>650</v>
      </c>
      <c r="K13" s="754" t="s">
        <v>744</v>
      </c>
      <c r="L13" s="755"/>
      <c r="M13" s="125"/>
    </row>
    <row r="14" spans="1:13" ht="15.75" customHeight="1">
      <c r="A14" s="717"/>
      <c r="B14" s="718"/>
      <c r="C14" s="159" t="s">
        <v>644</v>
      </c>
      <c r="D14" s="331" t="s">
        <v>349</v>
      </c>
      <c r="E14" s="332"/>
      <c r="F14" s="333"/>
      <c r="G14" s="346">
        <v>18</v>
      </c>
      <c r="H14" s="346">
        <v>1078.7965621221133</v>
      </c>
      <c r="I14" s="346">
        <v>59.933142340117406</v>
      </c>
      <c r="J14" s="235" t="s">
        <v>649</v>
      </c>
      <c r="K14" s="756"/>
      <c r="L14" s="757"/>
      <c r="M14" s="125"/>
    </row>
    <row r="15" spans="1:13" ht="15.75" customHeight="1">
      <c r="A15" s="717"/>
      <c r="B15" s="718"/>
      <c r="C15" s="159" t="s">
        <v>645</v>
      </c>
      <c r="D15" s="331" t="s">
        <v>549</v>
      </c>
      <c r="E15" s="332"/>
      <c r="F15" s="333"/>
      <c r="G15" s="346">
        <v>13</v>
      </c>
      <c r="H15" s="346">
        <v>2099.8028682382383</v>
      </c>
      <c r="I15" s="346">
        <v>161.52329755678758</v>
      </c>
      <c r="J15" s="234" t="s">
        <v>648</v>
      </c>
      <c r="K15" s="743"/>
      <c r="L15" s="733"/>
      <c r="M15" s="125"/>
    </row>
    <row r="16" spans="1:13" ht="15.75" customHeight="1">
      <c r="A16" s="717"/>
      <c r="B16" s="718"/>
      <c r="C16" s="159" t="s">
        <v>646</v>
      </c>
      <c r="D16" s="331" t="s">
        <v>351</v>
      </c>
      <c r="E16" s="332"/>
      <c r="F16" s="333"/>
      <c r="G16" s="346">
        <v>13</v>
      </c>
      <c r="H16" s="346">
        <v>2150.5540569413552</v>
      </c>
      <c r="I16" s="346">
        <v>165.42723514933502</v>
      </c>
      <c r="J16" s="234" t="s">
        <v>648</v>
      </c>
      <c r="K16" s="743"/>
      <c r="L16" s="733"/>
      <c r="M16" s="146"/>
    </row>
    <row r="17" spans="1:13" ht="15.75" customHeight="1">
      <c r="A17" s="717"/>
      <c r="B17" s="718"/>
      <c r="C17" s="159" t="s">
        <v>647</v>
      </c>
      <c r="D17" s="331"/>
      <c r="E17" s="332"/>
      <c r="F17" s="333"/>
      <c r="G17" s="346"/>
      <c r="H17" s="346"/>
      <c r="I17" s="346"/>
      <c r="J17" s="234"/>
      <c r="K17" s="743"/>
      <c r="L17" s="733"/>
      <c r="M17" s="146"/>
    </row>
    <row r="18" spans="1:13" s="156" customFormat="1" ht="15.75" customHeight="1">
      <c r="A18" s="732" t="s">
        <v>167</v>
      </c>
      <c r="B18" s="732"/>
      <c r="C18" s="564" t="s">
        <v>47</v>
      </c>
      <c r="D18" s="732" t="s">
        <v>12</v>
      </c>
      <c r="E18" s="733"/>
      <c r="F18" s="733"/>
      <c r="G18" s="564" t="s">
        <v>46</v>
      </c>
      <c r="H18" s="564" t="s">
        <v>497</v>
      </c>
      <c r="I18" s="564" t="s">
        <v>373</v>
      </c>
      <c r="J18" s="216" t="s">
        <v>374</v>
      </c>
      <c r="K18" s="732" t="s">
        <v>51</v>
      </c>
      <c r="L18" s="733"/>
      <c r="M18" s="149"/>
    </row>
    <row r="19" spans="1:13" ht="15.75" customHeight="1">
      <c r="A19" s="717">
        <v>4</v>
      </c>
      <c r="B19" s="718" t="s">
        <v>153</v>
      </c>
      <c r="C19" s="563">
        <v>1</v>
      </c>
      <c r="D19" s="432"/>
      <c r="E19" s="332"/>
      <c r="F19" s="333"/>
      <c r="G19" s="346"/>
      <c r="H19" s="346"/>
      <c r="I19" s="346"/>
      <c r="J19" s="235"/>
      <c r="K19" s="749"/>
      <c r="L19" s="731"/>
      <c r="M19" s="146"/>
    </row>
    <row r="20" spans="1:13" ht="15.75" customHeight="1">
      <c r="A20" s="717"/>
      <c r="B20" s="718"/>
      <c r="C20" s="563">
        <v>2</v>
      </c>
      <c r="D20" s="432"/>
      <c r="E20" s="332"/>
      <c r="F20" s="333"/>
      <c r="G20" s="346"/>
      <c r="H20" s="346"/>
      <c r="I20" s="346"/>
      <c r="J20" s="236"/>
      <c r="K20" s="750"/>
      <c r="L20" s="719"/>
      <c r="M20" s="146"/>
    </row>
    <row r="21" spans="1:13" ht="15.75" customHeight="1">
      <c r="A21" s="717"/>
      <c r="B21" s="718"/>
      <c r="C21" s="563">
        <v>3</v>
      </c>
      <c r="D21" s="347"/>
      <c r="E21" s="332"/>
      <c r="F21" s="333"/>
      <c r="G21" s="346"/>
      <c r="H21" s="346"/>
      <c r="I21" s="346"/>
      <c r="J21" s="236"/>
      <c r="K21" s="730"/>
      <c r="L21" s="731"/>
      <c r="M21" s="146"/>
    </row>
    <row r="22" spans="1:13" ht="15.75" customHeight="1">
      <c r="A22" s="717"/>
      <c r="B22" s="718"/>
      <c r="C22" s="563">
        <v>4</v>
      </c>
      <c r="D22" s="347"/>
      <c r="E22" s="332"/>
      <c r="F22" s="333"/>
      <c r="G22" s="565"/>
      <c r="H22" s="346"/>
      <c r="I22" s="346"/>
      <c r="J22" s="234"/>
      <c r="K22" s="730"/>
      <c r="L22" s="731"/>
      <c r="M22" s="146"/>
    </row>
    <row r="23" spans="1:13" ht="15.75" customHeight="1">
      <c r="A23" s="717"/>
      <c r="B23" s="718"/>
      <c r="C23" s="563">
        <v>5</v>
      </c>
      <c r="D23" s="331"/>
      <c r="E23" s="332"/>
      <c r="F23" s="333"/>
      <c r="G23" s="565"/>
      <c r="H23" s="565"/>
      <c r="I23" s="565"/>
      <c r="J23" s="565"/>
      <c r="K23" s="730"/>
      <c r="L23" s="731"/>
      <c r="M23" s="146"/>
    </row>
    <row r="24" spans="1:13" ht="15.75" customHeight="1">
      <c r="A24" s="717"/>
      <c r="B24" s="718"/>
      <c r="C24" s="159" t="s">
        <v>643</v>
      </c>
      <c r="D24" s="347"/>
      <c r="E24" s="332"/>
      <c r="F24" s="333"/>
      <c r="G24" s="346"/>
      <c r="H24" s="346"/>
      <c r="I24" s="346"/>
      <c r="J24" s="234"/>
      <c r="K24" s="748"/>
      <c r="L24" s="731"/>
      <c r="M24" s="146"/>
    </row>
    <row r="25" spans="1:13" ht="15.75" customHeight="1">
      <c r="A25" s="717"/>
      <c r="B25" s="718"/>
      <c r="C25" s="159" t="s">
        <v>644</v>
      </c>
      <c r="D25" s="331"/>
      <c r="E25" s="332"/>
      <c r="F25" s="333"/>
      <c r="G25" s="565"/>
      <c r="H25" s="565"/>
      <c r="I25" s="565"/>
      <c r="J25" s="565"/>
      <c r="K25" s="730"/>
      <c r="L25" s="731"/>
      <c r="M25" s="146"/>
    </row>
    <row r="26" spans="1:13" ht="15.75" customHeight="1">
      <c r="A26" s="717"/>
      <c r="B26" s="718"/>
      <c r="C26" s="159" t="s">
        <v>645</v>
      </c>
      <c r="D26" s="331"/>
      <c r="E26" s="332"/>
      <c r="F26" s="333"/>
      <c r="G26" s="565"/>
      <c r="H26" s="565"/>
      <c r="I26" s="565"/>
      <c r="J26" s="565"/>
      <c r="K26" s="730"/>
      <c r="L26" s="731"/>
      <c r="M26" s="146"/>
    </row>
    <row r="27" spans="1:13" ht="15.75" customHeight="1">
      <c r="A27" s="717"/>
      <c r="B27" s="718"/>
      <c r="C27" s="159" t="s">
        <v>646</v>
      </c>
      <c r="D27" s="331"/>
      <c r="E27" s="332"/>
      <c r="F27" s="333"/>
      <c r="G27" s="565"/>
      <c r="H27" s="565"/>
      <c r="I27" s="565"/>
      <c r="J27" s="565"/>
      <c r="K27" s="730"/>
      <c r="L27" s="731"/>
      <c r="M27" s="146"/>
    </row>
    <row r="28" spans="1:13" ht="15.75" customHeight="1">
      <c r="A28" s="717"/>
      <c r="B28" s="718"/>
      <c r="C28" s="159" t="s">
        <v>647</v>
      </c>
      <c r="D28" s="331"/>
      <c r="E28" s="332"/>
      <c r="F28" s="333"/>
      <c r="G28" s="565"/>
      <c r="H28" s="565"/>
      <c r="I28" s="565"/>
      <c r="J28" s="565"/>
      <c r="K28" s="730"/>
      <c r="L28" s="731"/>
      <c r="M28" s="146"/>
    </row>
    <row r="29" spans="1:13" ht="15.75" customHeight="1">
      <c r="A29" s="146"/>
      <c r="B29" s="146"/>
      <c r="C29" s="146"/>
      <c r="D29" s="146"/>
      <c r="E29" s="146"/>
      <c r="F29" s="146"/>
      <c r="G29" s="146"/>
      <c r="H29" s="146"/>
      <c r="I29" s="146"/>
      <c r="J29" s="146"/>
      <c r="K29" s="146"/>
      <c r="L29" s="146"/>
      <c r="M29" s="125"/>
    </row>
    <row r="30" spans="1:13" ht="15.75" customHeight="1">
      <c r="A30" s="146"/>
      <c r="B30" s="146"/>
      <c r="C30" s="146"/>
      <c r="D30" s="146"/>
      <c r="E30" s="146"/>
      <c r="F30" s="146"/>
      <c r="G30" s="146"/>
      <c r="H30" s="146"/>
      <c r="I30" s="146"/>
      <c r="J30" s="146"/>
      <c r="K30" s="146"/>
      <c r="L30" s="146"/>
      <c r="M30" s="125"/>
    </row>
    <row r="31" spans="1:13" ht="15.75" customHeight="1">
      <c r="A31" s="146"/>
      <c r="B31" s="146"/>
      <c r="C31" s="146"/>
      <c r="D31" s="146"/>
      <c r="E31" s="146"/>
      <c r="F31" s="146"/>
      <c r="G31" s="146"/>
      <c r="H31" s="146"/>
      <c r="I31" s="146"/>
      <c r="J31" s="146"/>
      <c r="K31" s="146"/>
      <c r="L31" s="146"/>
      <c r="M31" s="125"/>
    </row>
    <row r="32" spans="1:13" ht="15.75" customHeight="1">
      <c r="A32" s="146"/>
      <c r="B32" s="146"/>
      <c r="C32" s="146"/>
      <c r="D32" s="146"/>
      <c r="E32" s="146"/>
      <c r="F32" s="146"/>
      <c r="G32" s="146"/>
      <c r="H32" s="146"/>
      <c r="I32" s="146"/>
      <c r="J32" s="146"/>
      <c r="K32" s="146"/>
      <c r="L32" s="146"/>
      <c r="M32" s="125"/>
    </row>
    <row r="33" spans="1:13" ht="15.75" customHeight="1">
      <c r="A33" s="146"/>
      <c r="B33" s="146"/>
      <c r="C33" s="146"/>
      <c r="D33" s="146"/>
      <c r="E33" s="146"/>
      <c r="F33" s="146"/>
      <c r="G33" s="146"/>
      <c r="H33" s="146"/>
      <c r="I33" s="146"/>
      <c r="J33" s="146"/>
      <c r="K33" s="146"/>
      <c r="L33" s="146"/>
      <c r="M33" s="125"/>
    </row>
    <row r="34" spans="1:13" ht="15.75" customHeight="1">
      <c r="A34" s="146"/>
      <c r="B34" s="146"/>
      <c r="C34" s="146"/>
      <c r="D34" s="146"/>
      <c r="E34" s="146"/>
      <c r="F34" s="146"/>
      <c r="G34" s="146"/>
      <c r="H34" s="146"/>
      <c r="I34" s="146"/>
      <c r="J34" s="146"/>
      <c r="K34" s="146"/>
      <c r="L34" s="146"/>
      <c r="M34" s="125"/>
    </row>
    <row r="35" spans="1:13" ht="15.75" customHeight="1">
      <c r="A35" s="146"/>
      <c r="B35" s="146"/>
      <c r="C35" s="146"/>
      <c r="D35" s="146"/>
      <c r="E35" s="146"/>
      <c r="F35" s="146"/>
      <c r="G35" s="146"/>
      <c r="H35" s="146"/>
      <c r="I35" s="146"/>
      <c r="J35" s="146"/>
      <c r="K35" s="146"/>
      <c r="L35" s="146"/>
      <c r="M35" s="125"/>
    </row>
  </sheetData>
  <mergeCells count="31">
    <mergeCell ref="A18:B18"/>
    <mergeCell ref="K17:L17"/>
    <mergeCell ref="D18:F18"/>
    <mergeCell ref="K11:L11"/>
    <mergeCell ref="K12:L12"/>
    <mergeCell ref="K18:L18"/>
    <mergeCell ref="K13:L14"/>
    <mergeCell ref="A19:A28"/>
    <mergeCell ref="K25:L25"/>
    <mergeCell ref="K26:L26"/>
    <mergeCell ref="K28:L28"/>
    <mergeCell ref="K22:L22"/>
    <mergeCell ref="K23:L23"/>
    <mergeCell ref="K27:L27"/>
    <mergeCell ref="K24:L24"/>
    <mergeCell ref="K19:L19"/>
    <mergeCell ref="B19:B28"/>
    <mergeCell ref="K20:L20"/>
    <mergeCell ref="K21:L21"/>
    <mergeCell ref="A1:L2"/>
    <mergeCell ref="A3:L4"/>
    <mergeCell ref="K10:L10"/>
    <mergeCell ref="A5:A6"/>
    <mergeCell ref="A7:B7"/>
    <mergeCell ref="D7:F7"/>
    <mergeCell ref="K7:L7"/>
    <mergeCell ref="A8:A17"/>
    <mergeCell ref="B8:B17"/>
    <mergeCell ref="K16:L16"/>
    <mergeCell ref="K15:L15"/>
    <mergeCell ref="K8:L9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92D050"/>
    <outlinePr summaryBelow="0" summaryRight="0"/>
  </sheetPr>
  <dimension ref="A1:R35"/>
  <sheetViews>
    <sheetView zoomScale="70" zoomScaleNormal="70" zoomScaleSheetLayoutView="100" workbookViewId="0">
      <selection activeCell="A8" sqref="A8:L28"/>
    </sheetView>
  </sheetViews>
  <sheetFormatPr defaultColWidth="12.5703125" defaultRowHeight="15.75" customHeight="1"/>
  <cols>
    <col min="1" max="1" width="6.42578125" style="114" customWidth="1"/>
    <col min="2" max="10" width="11.5703125" style="114" customWidth="1"/>
    <col min="11" max="12" width="12.85546875" style="114" customWidth="1"/>
    <col min="13" max="13" width="12.5703125" style="115"/>
    <col min="14" max="16384" width="12.5703125" style="114"/>
  </cols>
  <sheetData>
    <row r="1" spans="1:18" ht="15.75" customHeight="1">
      <c r="A1" s="604" t="s">
        <v>185</v>
      </c>
      <c r="B1" s="604"/>
      <c r="C1" s="604"/>
      <c r="D1" s="604"/>
      <c r="E1" s="604"/>
      <c r="F1" s="604"/>
      <c r="G1" s="604"/>
      <c r="H1" s="604"/>
      <c r="I1" s="604"/>
      <c r="J1" s="604"/>
      <c r="K1" s="604"/>
      <c r="L1" s="604"/>
      <c r="M1" s="114"/>
    </row>
    <row r="2" spans="1:18" s="115" customFormat="1" ht="15.75" customHeight="1">
      <c r="A2" s="604"/>
      <c r="B2" s="604"/>
      <c r="C2" s="604"/>
      <c r="D2" s="604"/>
      <c r="E2" s="604"/>
      <c r="F2" s="604"/>
      <c r="G2" s="604"/>
      <c r="H2" s="604"/>
      <c r="I2" s="604"/>
      <c r="J2" s="604"/>
      <c r="K2" s="604"/>
      <c r="L2" s="604"/>
    </row>
    <row r="3" spans="1:18" ht="15.75" customHeight="1">
      <c r="A3" s="720" t="s">
        <v>186</v>
      </c>
      <c r="B3" s="721"/>
      <c r="C3" s="721"/>
      <c r="D3" s="721"/>
      <c r="E3" s="721"/>
      <c r="F3" s="721"/>
      <c r="G3" s="721"/>
      <c r="H3" s="721"/>
      <c r="I3" s="721"/>
      <c r="J3" s="721"/>
      <c r="K3" s="721"/>
      <c r="L3" s="721"/>
      <c r="M3" s="146"/>
    </row>
    <row r="4" spans="1:18" s="115" customFormat="1" ht="15.75" customHeight="1">
      <c r="A4" s="721"/>
      <c r="B4" s="721"/>
      <c r="C4" s="721"/>
      <c r="D4" s="721"/>
      <c r="E4" s="721"/>
      <c r="F4" s="721"/>
      <c r="G4" s="721"/>
      <c r="H4" s="721"/>
      <c r="I4" s="721"/>
      <c r="J4" s="721"/>
      <c r="K4" s="721"/>
      <c r="L4" s="721"/>
      <c r="M4" s="125"/>
    </row>
    <row r="5" spans="1:18" s="148" customFormat="1" ht="16.350000000000001" customHeight="1">
      <c r="A5" s="717" t="s">
        <v>154</v>
      </c>
      <c r="B5" s="150">
        <v>1</v>
      </c>
      <c r="C5" s="150">
        <v>2</v>
      </c>
      <c r="D5" s="150">
        <v>3</v>
      </c>
      <c r="E5" s="150">
        <v>4</v>
      </c>
      <c r="F5" s="160">
        <v>5</v>
      </c>
      <c r="G5" s="160">
        <v>6</v>
      </c>
      <c r="H5" s="150">
        <v>7</v>
      </c>
      <c r="I5" s="150">
        <v>8</v>
      </c>
      <c r="J5" s="150">
        <v>9</v>
      </c>
      <c r="K5" s="147"/>
      <c r="L5" s="147"/>
      <c r="M5" s="147"/>
    </row>
    <row r="6" spans="1:18" ht="16.350000000000001" customHeight="1">
      <c r="A6" s="717"/>
      <c r="B6" s="151" t="s">
        <v>187</v>
      </c>
      <c r="C6" s="151" t="s">
        <v>151</v>
      </c>
      <c r="D6" s="151" t="s">
        <v>188</v>
      </c>
      <c r="E6" s="151" t="s">
        <v>153</v>
      </c>
      <c r="F6" s="162" t="s">
        <v>133</v>
      </c>
      <c r="G6" s="163" t="s">
        <v>131</v>
      </c>
      <c r="H6" s="154" t="s">
        <v>189</v>
      </c>
      <c r="I6" s="153" t="s">
        <v>190</v>
      </c>
      <c r="J6" s="153" t="s">
        <v>137</v>
      </c>
      <c r="K6" s="149"/>
      <c r="L6" s="149"/>
      <c r="M6" s="125"/>
    </row>
    <row r="7" spans="1:18" s="148" customFormat="1" ht="15.75" customHeight="1">
      <c r="A7" s="718" t="s">
        <v>531</v>
      </c>
      <c r="B7" s="718"/>
      <c r="C7" s="335" t="s">
        <v>532</v>
      </c>
      <c r="D7" s="718" t="s">
        <v>12</v>
      </c>
      <c r="E7" s="719"/>
      <c r="F7" s="719"/>
      <c r="G7" s="350" t="s">
        <v>538</v>
      </c>
      <c r="H7" s="350" t="s">
        <v>539</v>
      </c>
      <c r="I7" s="350" t="s">
        <v>540</v>
      </c>
      <c r="J7" s="216" t="s">
        <v>541</v>
      </c>
      <c r="K7" s="718" t="s">
        <v>542</v>
      </c>
      <c r="L7" s="719"/>
      <c r="M7" s="147"/>
    </row>
    <row r="8" spans="1:18" ht="15.75" customHeight="1">
      <c r="A8" s="717">
        <v>5</v>
      </c>
      <c r="B8" s="718" t="s">
        <v>133</v>
      </c>
      <c r="C8" s="563">
        <v>1</v>
      </c>
      <c r="D8" s="360" t="s">
        <v>337</v>
      </c>
      <c r="E8" s="332"/>
      <c r="F8" s="333"/>
      <c r="G8" s="346">
        <v>6</v>
      </c>
      <c r="H8" s="346">
        <v>1481.4436879667326</v>
      </c>
      <c r="I8" s="346">
        <v>246.90728132778881</v>
      </c>
      <c r="J8" s="234" t="s">
        <v>648</v>
      </c>
      <c r="K8" s="758"/>
      <c r="L8" s="719"/>
      <c r="M8" s="125"/>
      <c r="P8" s="244"/>
      <c r="Q8" s="244"/>
      <c r="R8" s="244"/>
    </row>
    <row r="9" spans="1:18" ht="15.75" customHeight="1">
      <c r="A9" s="717"/>
      <c r="B9" s="718"/>
      <c r="C9" s="563">
        <v>2</v>
      </c>
      <c r="D9" s="347" t="s">
        <v>558</v>
      </c>
      <c r="E9" s="332"/>
      <c r="F9" s="333"/>
      <c r="G9" s="346">
        <v>6</v>
      </c>
      <c r="H9" s="346">
        <v>1453.4733504723079</v>
      </c>
      <c r="I9" s="346">
        <v>242.24555841205134</v>
      </c>
      <c r="J9" s="234" t="s">
        <v>648</v>
      </c>
      <c r="K9" s="758"/>
      <c r="L9" s="719"/>
      <c r="M9" s="125"/>
      <c r="P9" s="244"/>
      <c r="Q9" s="244"/>
      <c r="R9" s="244"/>
    </row>
    <row r="10" spans="1:18" ht="15.75" customHeight="1">
      <c r="A10" s="717"/>
      <c r="B10" s="718"/>
      <c r="C10" s="563">
        <v>3</v>
      </c>
      <c r="D10" s="331" t="s">
        <v>338</v>
      </c>
      <c r="E10" s="332"/>
      <c r="F10" s="333"/>
      <c r="G10" s="346">
        <v>14</v>
      </c>
      <c r="H10" s="346">
        <v>1367.361635991912</v>
      </c>
      <c r="I10" s="346">
        <v>97.668688285136568</v>
      </c>
      <c r="J10" s="235" t="s">
        <v>649</v>
      </c>
      <c r="K10" s="759" t="s">
        <v>651</v>
      </c>
      <c r="L10" s="760"/>
      <c r="M10" s="125"/>
      <c r="P10" s="244"/>
      <c r="Q10" s="244"/>
      <c r="R10" s="244"/>
    </row>
    <row r="11" spans="1:18" ht="15.75" customHeight="1">
      <c r="A11" s="717"/>
      <c r="B11" s="718"/>
      <c r="C11" s="563">
        <v>4</v>
      </c>
      <c r="D11" s="432" t="s">
        <v>572</v>
      </c>
      <c r="E11" s="332"/>
      <c r="F11" s="333"/>
      <c r="G11" s="346">
        <v>16</v>
      </c>
      <c r="H11" s="346">
        <v>1559.6153846153859</v>
      </c>
      <c r="I11" s="346">
        <v>97.475961538461618</v>
      </c>
      <c r="J11" s="236" t="s">
        <v>650</v>
      </c>
      <c r="K11" s="761"/>
      <c r="L11" s="762"/>
      <c r="M11" s="125"/>
      <c r="P11" s="244"/>
      <c r="Q11" s="244"/>
      <c r="R11" s="244"/>
    </row>
    <row r="12" spans="1:18" ht="15.75" customHeight="1">
      <c r="A12" s="717"/>
      <c r="B12" s="718"/>
      <c r="C12" s="563">
        <v>5</v>
      </c>
      <c r="D12" s="432" t="s">
        <v>653</v>
      </c>
      <c r="E12" s="332"/>
      <c r="F12" s="333"/>
      <c r="G12" s="346">
        <v>14</v>
      </c>
      <c r="H12" s="346">
        <v>1355.2636220921934</v>
      </c>
      <c r="I12" s="346">
        <v>96.804544435156672</v>
      </c>
      <c r="J12" s="236" t="s">
        <v>650</v>
      </c>
      <c r="K12" s="763"/>
      <c r="L12" s="764"/>
      <c r="M12" s="125"/>
      <c r="P12" s="244"/>
      <c r="Q12" s="244"/>
      <c r="R12" s="244"/>
    </row>
    <row r="13" spans="1:18" ht="15.75" customHeight="1">
      <c r="A13" s="717"/>
      <c r="B13" s="718"/>
      <c r="C13" s="159" t="s">
        <v>643</v>
      </c>
      <c r="D13" s="432" t="s">
        <v>633</v>
      </c>
      <c r="E13" s="332"/>
      <c r="F13" s="333"/>
      <c r="G13" s="346">
        <v>20.857142857142858</v>
      </c>
      <c r="H13" s="346">
        <v>1043.626937768106</v>
      </c>
      <c r="I13" s="346">
        <v>50.062940141091005</v>
      </c>
      <c r="J13" s="234" t="s">
        <v>648</v>
      </c>
      <c r="K13" s="758"/>
      <c r="L13" s="719"/>
      <c r="M13" s="125"/>
      <c r="P13" s="244"/>
      <c r="Q13" s="244"/>
      <c r="R13" s="244"/>
    </row>
    <row r="14" spans="1:18" ht="15.75" customHeight="1">
      <c r="A14" s="717"/>
      <c r="B14" s="718"/>
      <c r="C14" s="159" t="s">
        <v>644</v>
      </c>
      <c r="D14" s="432" t="s">
        <v>585</v>
      </c>
      <c r="E14" s="332"/>
      <c r="F14" s="333"/>
      <c r="G14" s="346">
        <v>20</v>
      </c>
      <c r="H14" s="346">
        <v>1176.954433211898</v>
      </c>
      <c r="I14" s="346">
        <v>58.847721660594893</v>
      </c>
      <c r="J14" s="234" t="s">
        <v>648</v>
      </c>
      <c r="K14" s="758"/>
      <c r="L14" s="719"/>
      <c r="M14" s="125"/>
      <c r="P14" s="244"/>
      <c r="Q14" s="244"/>
      <c r="R14" s="244"/>
    </row>
    <row r="15" spans="1:18" ht="15.75" customHeight="1">
      <c r="A15" s="717"/>
      <c r="B15" s="718"/>
      <c r="C15" s="159" t="s">
        <v>645</v>
      </c>
      <c r="D15" s="331" t="s">
        <v>703</v>
      </c>
      <c r="E15" s="332"/>
      <c r="F15" s="333"/>
      <c r="G15" s="346">
        <v>20.857142857142858</v>
      </c>
      <c r="H15" s="346">
        <v>1366.8962793753265</v>
      </c>
      <c r="I15" s="346">
        <v>65.514385135836349</v>
      </c>
      <c r="J15" s="234" t="s">
        <v>648</v>
      </c>
      <c r="K15" s="758"/>
      <c r="L15" s="719"/>
      <c r="M15" s="125"/>
      <c r="P15" s="244"/>
      <c r="Q15" s="244"/>
      <c r="R15" s="244"/>
    </row>
    <row r="16" spans="1:18" ht="15.75" customHeight="1">
      <c r="A16" s="717"/>
      <c r="B16" s="718"/>
      <c r="C16" s="159" t="s">
        <v>646</v>
      </c>
      <c r="D16" s="347" t="s">
        <v>704</v>
      </c>
      <c r="E16" s="332"/>
      <c r="F16" s="333"/>
      <c r="G16" s="346">
        <v>19</v>
      </c>
      <c r="H16" s="346">
        <v>1278.1908074316368</v>
      </c>
      <c r="I16" s="346">
        <v>67.273200391138786</v>
      </c>
      <c r="J16" s="234" t="s">
        <v>648</v>
      </c>
      <c r="K16" s="758"/>
      <c r="L16" s="719"/>
      <c r="M16" s="146"/>
      <c r="P16" s="244"/>
      <c r="Q16" s="244"/>
      <c r="R16" s="244"/>
    </row>
    <row r="17" spans="1:18" ht="15.75" customHeight="1">
      <c r="A17" s="717"/>
      <c r="B17" s="718"/>
      <c r="C17" s="159" t="s">
        <v>647</v>
      </c>
      <c r="D17" s="432" t="s">
        <v>719</v>
      </c>
      <c r="E17" s="332"/>
      <c r="F17" s="333"/>
      <c r="G17" s="346">
        <v>19</v>
      </c>
      <c r="H17" s="346">
        <v>1279.9467157049155</v>
      </c>
      <c r="I17" s="346">
        <v>67.365616616048186</v>
      </c>
      <c r="J17" s="234" t="s">
        <v>648</v>
      </c>
      <c r="K17" s="758"/>
      <c r="L17" s="719"/>
      <c r="M17" s="146"/>
      <c r="P17" s="244"/>
      <c r="Q17" s="244"/>
      <c r="R17" s="244"/>
    </row>
    <row r="18" spans="1:18" s="156" customFormat="1" ht="15.75" customHeight="1">
      <c r="A18" s="732" t="s">
        <v>167</v>
      </c>
      <c r="B18" s="732"/>
      <c r="C18" s="564" t="s">
        <v>47</v>
      </c>
      <c r="D18" s="732" t="s">
        <v>12</v>
      </c>
      <c r="E18" s="733"/>
      <c r="F18" s="733"/>
      <c r="G18" s="564" t="s">
        <v>46</v>
      </c>
      <c r="H18" s="564" t="s">
        <v>497</v>
      </c>
      <c r="I18" s="564" t="s">
        <v>373</v>
      </c>
      <c r="J18" s="216" t="s">
        <v>374</v>
      </c>
      <c r="K18" s="732" t="s">
        <v>51</v>
      </c>
      <c r="L18" s="733"/>
      <c r="M18" s="149"/>
    </row>
    <row r="19" spans="1:18" ht="15.75" customHeight="1">
      <c r="A19" s="717">
        <v>6</v>
      </c>
      <c r="B19" s="718" t="s">
        <v>131</v>
      </c>
      <c r="C19" s="563">
        <v>1</v>
      </c>
      <c r="D19" s="331" t="s">
        <v>500</v>
      </c>
      <c r="E19" s="332"/>
      <c r="F19" s="333"/>
      <c r="G19" s="346">
        <v>16</v>
      </c>
      <c r="H19" s="346">
        <v>1341.2856670603462</v>
      </c>
      <c r="I19" s="346">
        <v>83.830354191271638</v>
      </c>
      <c r="J19" s="234" t="s">
        <v>648</v>
      </c>
      <c r="K19" s="765"/>
      <c r="L19" s="719"/>
      <c r="M19" s="146"/>
      <c r="P19" s="244"/>
      <c r="Q19" s="244"/>
      <c r="R19" s="244"/>
    </row>
    <row r="20" spans="1:18" ht="15.75" customHeight="1">
      <c r="A20" s="717"/>
      <c r="B20" s="718"/>
      <c r="C20" s="563">
        <v>2</v>
      </c>
      <c r="D20" s="432" t="s">
        <v>560</v>
      </c>
      <c r="E20" s="332"/>
      <c r="F20" s="333"/>
      <c r="G20" s="346">
        <v>16</v>
      </c>
      <c r="H20" s="346">
        <v>1286.399898724432</v>
      </c>
      <c r="I20" s="346">
        <v>80.399993670276999</v>
      </c>
      <c r="J20" s="234" t="s">
        <v>648</v>
      </c>
      <c r="K20" s="765"/>
      <c r="L20" s="719"/>
      <c r="M20" s="146"/>
      <c r="P20" s="244"/>
      <c r="Q20" s="244"/>
      <c r="R20" s="244"/>
    </row>
    <row r="21" spans="1:18" ht="15.75" customHeight="1">
      <c r="A21" s="717"/>
      <c r="B21" s="718"/>
      <c r="C21" s="563">
        <v>3</v>
      </c>
      <c r="D21" s="331" t="s">
        <v>339</v>
      </c>
      <c r="E21" s="332"/>
      <c r="F21" s="333"/>
      <c r="G21" s="346">
        <v>17</v>
      </c>
      <c r="H21" s="346">
        <v>1335.7396761675896</v>
      </c>
      <c r="I21" s="346">
        <v>78.572922127505265</v>
      </c>
      <c r="J21" s="234" t="s">
        <v>648</v>
      </c>
      <c r="K21" s="765"/>
      <c r="L21" s="719"/>
      <c r="M21" s="146"/>
      <c r="P21" s="244"/>
      <c r="Q21" s="244"/>
      <c r="R21" s="244"/>
    </row>
    <row r="22" spans="1:18" ht="15.75" customHeight="1">
      <c r="A22" s="717"/>
      <c r="B22" s="718"/>
      <c r="C22" s="563">
        <v>4</v>
      </c>
      <c r="D22" s="331" t="s">
        <v>573</v>
      </c>
      <c r="E22" s="332"/>
      <c r="F22" s="333"/>
      <c r="G22" s="346">
        <v>17</v>
      </c>
      <c r="H22" s="346">
        <v>1304.664810883743</v>
      </c>
      <c r="I22" s="346">
        <v>76.744988875514281</v>
      </c>
      <c r="J22" s="234" t="s">
        <v>648</v>
      </c>
      <c r="K22" s="765"/>
      <c r="L22" s="719"/>
      <c r="M22" s="146"/>
      <c r="P22" s="244"/>
      <c r="Q22" s="244"/>
      <c r="R22" s="244"/>
    </row>
    <row r="23" spans="1:18" ht="15.75" customHeight="1">
      <c r="A23" s="717"/>
      <c r="B23" s="718"/>
      <c r="C23" s="563">
        <v>5</v>
      </c>
      <c r="D23" s="331" t="s">
        <v>691</v>
      </c>
      <c r="E23" s="332"/>
      <c r="F23" s="333"/>
      <c r="G23" s="346">
        <v>18</v>
      </c>
      <c r="H23" s="346">
        <v>1328.8873645028045</v>
      </c>
      <c r="I23" s="346">
        <v>73.827075805711374</v>
      </c>
      <c r="J23" s="234" t="s">
        <v>648</v>
      </c>
      <c r="K23" s="765"/>
      <c r="L23" s="719"/>
      <c r="M23" s="146"/>
      <c r="P23" s="244"/>
      <c r="Q23" s="244"/>
      <c r="R23" s="244"/>
    </row>
    <row r="24" spans="1:18" ht="15.75" customHeight="1">
      <c r="A24" s="717"/>
      <c r="B24" s="718"/>
      <c r="C24" s="159" t="s">
        <v>643</v>
      </c>
      <c r="D24" s="432" t="s">
        <v>340</v>
      </c>
      <c r="E24" s="332"/>
      <c r="F24" s="333"/>
      <c r="G24" s="346">
        <v>21</v>
      </c>
      <c r="H24" s="346">
        <v>1293.4768351661007</v>
      </c>
      <c r="I24" s="346">
        <v>61.594135007909564</v>
      </c>
      <c r="J24" s="234" t="s">
        <v>648</v>
      </c>
      <c r="K24" s="765"/>
      <c r="L24" s="719"/>
      <c r="M24" s="146"/>
      <c r="P24" s="244"/>
      <c r="Q24" s="244"/>
      <c r="R24" s="244"/>
    </row>
    <row r="25" spans="1:18" ht="15.75" customHeight="1">
      <c r="A25" s="717"/>
      <c r="B25" s="718"/>
      <c r="C25" s="159" t="s">
        <v>644</v>
      </c>
      <c r="D25" s="493" t="s">
        <v>659</v>
      </c>
      <c r="E25" s="332"/>
      <c r="F25" s="333"/>
      <c r="G25" s="346">
        <v>20</v>
      </c>
      <c r="H25" s="346">
        <v>1276.1506584567389</v>
      </c>
      <c r="I25" s="346">
        <v>63.807532922836948</v>
      </c>
      <c r="J25" s="234" t="s">
        <v>648</v>
      </c>
      <c r="K25" s="765"/>
      <c r="L25" s="719"/>
      <c r="M25" s="146"/>
      <c r="P25" s="244"/>
      <c r="Q25" s="244"/>
      <c r="R25" s="244"/>
    </row>
    <row r="26" spans="1:18" ht="15.75" customHeight="1">
      <c r="A26" s="717"/>
      <c r="B26" s="718"/>
      <c r="C26" s="159" t="s">
        <v>645</v>
      </c>
      <c r="D26" s="432" t="s">
        <v>341</v>
      </c>
      <c r="E26" s="332"/>
      <c r="F26" s="333"/>
      <c r="G26" s="346">
        <v>19</v>
      </c>
      <c r="H26" s="346">
        <v>1339.5401964526152</v>
      </c>
      <c r="I26" s="346">
        <v>70.502115602769223</v>
      </c>
      <c r="J26" s="234" t="s">
        <v>648</v>
      </c>
      <c r="K26" s="765"/>
      <c r="L26" s="719"/>
      <c r="M26" s="146"/>
      <c r="P26" s="244"/>
      <c r="Q26" s="244"/>
      <c r="R26" s="244"/>
    </row>
    <row r="27" spans="1:18" ht="15.75" customHeight="1">
      <c r="A27" s="717"/>
      <c r="B27" s="718"/>
      <c r="C27" s="159" t="s">
        <v>646</v>
      </c>
      <c r="D27" s="432" t="s">
        <v>482</v>
      </c>
      <c r="E27" s="332"/>
      <c r="F27" s="333"/>
      <c r="G27" s="346">
        <v>18</v>
      </c>
      <c r="H27" s="346">
        <v>1289.8172310416651</v>
      </c>
      <c r="I27" s="346">
        <v>71.656512835648059</v>
      </c>
      <c r="J27" s="234" t="s">
        <v>648</v>
      </c>
      <c r="K27" s="765"/>
      <c r="L27" s="719"/>
      <c r="M27" s="146"/>
      <c r="P27" s="244"/>
      <c r="Q27" s="244"/>
      <c r="R27" s="244"/>
    </row>
    <row r="28" spans="1:18" ht="15.75" customHeight="1">
      <c r="A28" s="717"/>
      <c r="B28" s="718"/>
      <c r="C28" s="159" t="s">
        <v>647</v>
      </c>
      <c r="D28" s="331" t="s">
        <v>547</v>
      </c>
      <c r="E28" s="332"/>
      <c r="F28" s="333"/>
      <c r="G28" s="346">
        <v>19</v>
      </c>
      <c r="H28" s="346">
        <v>1390.7866638067665</v>
      </c>
      <c r="I28" s="346">
        <v>73.199298095092985</v>
      </c>
      <c r="J28" s="234" t="s">
        <v>648</v>
      </c>
      <c r="K28" s="766"/>
      <c r="L28" s="719"/>
      <c r="M28" s="146"/>
      <c r="P28" s="244"/>
      <c r="Q28" s="244"/>
      <c r="R28" s="244"/>
    </row>
    <row r="29" spans="1:18" ht="15.75" customHeight="1">
      <c r="A29" s="146"/>
      <c r="B29" s="146"/>
      <c r="C29" s="146"/>
      <c r="D29" s="146"/>
      <c r="E29" s="146"/>
      <c r="F29" s="146"/>
      <c r="G29" s="146"/>
      <c r="H29" s="146"/>
      <c r="I29" s="146"/>
      <c r="J29" s="146"/>
      <c r="K29" s="146"/>
      <c r="L29" s="146"/>
      <c r="M29" s="125"/>
    </row>
    <row r="30" spans="1:18" ht="15.75" customHeight="1">
      <c r="A30" s="146"/>
      <c r="B30" s="146"/>
      <c r="C30" s="146"/>
      <c r="D30" s="146"/>
      <c r="E30" s="146"/>
      <c r="F30" s="146"/>
      <c r="G30" s="146"/>
      <c r="H30" s="146"/>
      <c r="I30" s="146"/>
      <c r="J30" s="146"/>
      <c r="K30" s="146"/>
      <c r="L30" s="146"/>
      <c r="M30" s="125"/>
    </row>
    <row r="31" spans="1:18" ht="15.75" customHeight="1">
      <c r="A31" s="146"/>
      <c r="B31" s="146"/>
      <c r="C31" s="146"/>
      <c r="D31" s="146"/>
      <c r="E31" s="146"/>
      <c r="F31" s="146"/>
      <c r="G31" s="146"/>
      <c r="H31" s="146"/>
      <c r="I31" s="146"/>
      <c r="J31" s="146"/>
      <c r="K31" s="146"/>
      <c r="L31" s="146"/>
      <c r="M31" s="125"/>
    </row>
    <row r="32" spans="1:18" ht="15.75" customHeight="1">
      <c r="A32" s="146"/>
      <c r="B32" s="146"/>
      <c r="C32" s="146"/>
      <c r="D32" s="146"/>
      <c r="E32" s="146"/>
      <c r="F32" s="146"/>
      <c r="G32" s="146"/>
      <c r="H32" s="146"/>
      <c r="I32" s="146"/>
      <c r="J32" s="146"/>
      <c r="K32" s="146"/>
      <c r="L32" s="146"/>
      <c r="M32" s="125"/>
    </row>
    <row r="33" spans="1:13" ht="15.75" customHeight="1">
      <c r="A33" s="146"/>
      <c r="B33" s="146"/>
      <c r="C33" s="146"/>
      <c r="D33" s="146"/>
      <c r="E33" s="146"/>
      <c r="F33" s="146"/>
      <c r="G33" s="146"/>
      <c r="H33" s="146"/>
      <c r="I33" s="146"/>
      <c r="J33" s="146"/>
      <c r="K33" s="146"/>
      <c r="L33" s="146"/>
      <c r="M33" s="125"/>
    </row>
    <row r="34" spans="1:13" ht="15.75" customHeight="1">
      <c r="A34" s="146"/>
      <c r="B34" s="146"/>
      <c r="C34" s="146"/>
      <c r="D34" s="146"/>
      <c r="E34" s="146"/>
      <c r="F34" s="146"/>
      <c r="G34" s="146"/>
      <c r="H34" s="146"/>
      <c r="I34" s="146"/>
      <c r="J34" s="146"/>
      <c r="K34" s="146"/>
      <c r="L34" s="146"/>
      <c r="M34" s="125"/>
    </row>
    <row r="35" spans="1:13" ht="15.75" customHeight="1">
      <c r="A35" s="146"/>
      <c r="B35" s="146"/>
      <c r="C35" s="146"/>
      <c r="D35" s="146"/>
      <c r="E35" s="146"/>
      <c r="F35" s="146"/>
      <c r="G35" s="146"/>
      <c r="H35" s="146"/>
      <c r="I35" s="146"/>
      <c r="J35" s="146"/>
      <c r="K35" s="146"/>
      <c r="L35" s="146"/>
      <c r="M35" s="125"/>
    </row>
  </sheetData>
  <mergeCells count="31">
    <mergeCell ref="A18:B18"/>
    <mergeCell ref="D18:F18"/>
    <mergeCell ref="B19:B28"/>
    <mergeCell ref="A19:A28"/>
    <mergeCell ref="K23:L23"/>
    <mergeCell ref="K18:L18"/>
    <mergeCell ref="K21:L21"/>
    <mergeCell ref="K22:L22"/>
    <mergeCell ref="K28:L28"/>
    <mergeCell ref="K19:L19"/>
    <mergeCell ref="K20:L20"/>
    <mergeCell ref="K24:L24"/>
    <mergeCell ref="K25:L25"/>
    <mergeCell ref="K26:L26"/>
    <mergeCell ref="K27:L27"/>
    <mergeCell ref="A1:L2"/>
    <mergeCell ref="A3:L4"/>
    <mergeCell ref="A5:A6"/>
    <mergeCell ref="A7:B7"/>
    <mergeCell ref="D7:F7"/>
    <mergeCell ref="K7:L7"/>
    <mergeCell ref="A8:A17"/>
    <mergeCell ref="B8:B17"/>
    <mergeCell ref="K13:L13"/>
    <mergeCell ref="K8:L8"/>
    <mergeCell ref="K9:L9"/>
    <mergeCell ref="K16:L16"/>
    <mergeCell ref="K17:L17"/>
    <mergeCell ref="K14:L14"/>
    <mergeCell ref="K15:L15"/>
    <mergeCell ref="K10:L12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92D050"/>
    <outlinePr summaryBelow="0" summaryRight="0"/>
  </sheetPr>
  <dimension ref="A1:M35"/>
  <sheetViews>
    <sheetView zoomScale="70" zoomScaleNormal="70" zoomScaleSheetLayoutView="100" workbookViewId="0">
      <selection activeCell="Q14" sqref="Q14"/>
    </sheetView>
  </sheetViews>
  <sheetFormatPr defaultColWidth="12.5703125" defaultRowHeight="15.75" customHeight="1"/>
  <cols>
    <col min="1" max="1" width="6.42578125" style="114" customWidth="1"/>
    <col min="2" max="10" width="11.5703125" style="114" customWidth="1"/>
    <col min="11" max="12" width="12.85546875" style="114" customWidth="1"/>
    <col min="13" max="13" width="12.5703125" style="115"/>
    <col min="14" max="16384" width="12.5703125" style="114"/>
  </cols>
  <sheetData>
    <row r="1" spans="1:13" ht="15.75" customHeight="1">
      <c r="A1" s="604" t="s">
        <v>185</v>
      </c>
      <c r="B1" s="604"/>
      <c r="C1" s="604"/>
      <c r="D1" s="604"/>
      <c r="E1" s="604"/>
      <c r="F1" s="604"/>
      <c r="G1" s="604"/>
      <c r="H1" s="604"/>
      <c r="I1" s="604"/>
      <c r="J1" s="604"/>
      <c r="K1" s="604"/>
      <c r="L1" s="604"/>
      <c r="M1" s="114"/>
    </row>
    <row r="2" spans="1:13" s="115" customFormat="1" ht="15.75" customHeight="1">
      <c r="A2" s="604"/>
      <c r="B2" s="604"/>
      <c r="C2" s="604"/>
      <c r="D2" s="604"/>
      <c r="E2" s="604"/>
      <c r="F2" s="604"/>
      <c r="G2" s="604"/>
      <c r="H2" s="604"/>
      <c r="I2" s="604"/>
      <c r="J2" s="604"/>
      <c r="K2" s="604"/>
      <c r="L2" s="604"/>
    </row>
    <row r="3" spans="1:13" ht="15.75" customHeight="1">
      <c r="A3" s="720" t="s">
        <v>186</v>
      </c>
      <c r="B3" s="720"/>
      <c r="C3" s="720"/>
      <c r="D3" s="720"/>
      <c r="E3" s="720"/>
      <c r="F3" s="720"/>
      <c r="G3" s="720"/>
      <c r="H3" s="720"/>
      <c r="I3" s="720"/>
      <c r="J3" s="720"/>
      <c r="K3" s="720"/>
      <c r="L3" s="720"/>
      <c r="M3" s="146"/>
    </row>
    <row r="4" spans="1:13" s="115" customFormat="1" ht="15.75" customHeight="1">
      <c r="A4" s="720"/>
      <c r="B4" s="720"/>
      <c r="C4" s="720"/>
      <c r="D4" s="720"/>
      <c r="E4" s="720"/>
      <c r="F4" s="720"/>
      <c r="G4" s="720"/>
      <c r="H4" s="720"/>
      <c r="I4" s="720"/>
      <c r="J4" s="720"/>
      <c r="K4" s="720"/>
      <c r="L4" s="720"/>
      <c r="M4" s="125"/>
    </row>
    <row r="5" spans="1:13" s="148" customFormat="1" ht="16.350000000000001" customHeight="1">
      <c r="A5" s="769" t="s">
        <v>154</v>
      </c>
      <c r="B5" s="150">
        <v>1</v>
      </c>
      <c r="C5" s="150">
        <v>2</v>
      </c>
      <c r="D5" s="150">
        <v>3</v>
      </c>
      <c r="E5" s="150">
        <v>4</v>
      </c>
      <c r="F5" s="150">
        <v>5</v>
      </c>
      <c r="G5" s="150">
        <v>6</v>
      </c>
      <c r="H5" s="160">
        <v>7</v>
      </c>
      <c r="I5" s="160">
        <v>8</v>
      </c>
      <c r="J5" s="150">
        <v>9</v>
      </c>
      <c r="K5" s="147"/>
      <c r="L5" s="147"/>
      <c r="M5" s="147"/>
    </row>
    <row r="6" spans="1:13" ht="16.350000000000001" customHeight="1">
      <c r="A6" s="771"/>
      <c r="B6" s="151" t="s">
        <v>187</v>
      </c>
      <c r="C6" s="151" t="s">
        <v>151</v>
      </c>
      <c r="D6" s="151" t="s">
        <v>188</v>
      </c>
      <c r="E6" s="151" t="s">
        <v>153</v>
      </c>
      <c r="F6" s="152" t="s">
        <v>133</v>
      </c>
      <c r="G6" s="153" t="s">
        <v>131</v>
      </c>
      <c r="H6" s="161" t="s">
        <v>189</v>
      </c>
      <c r="I6" s="163" t="s">
        <v>190</v>
      </c>
      <c r="J6" s="153" t="s">
        <v>137</v>
      </c>
      <c r="K6" s="149"/>
      <c r="L6" s="149"/>
      <c r="M6" s="125"/>
    </row>
    <row r="7" spans="1:13" s="148" customFormat="1" ht="15.75" customHeight="1">
      <c r="A7" s="783" t="s">
        <v>531</v>
      </c>
      <c r="B7" s="784"/>
      <c r="C7" s="335" t="s">
        <v>532</v>
      </c>
      <c r="D7" s="783" t="s">
        <v>12</v>
      </c>
      <c r="E7" s="785"/>
      <c r="F7" s="784"/>
      <c r="G7" s="350" t="s">
        <v>46</v>
      </c>
      <c r="H7" s="350" t="s">
        <v>543</v>
      </c>
      <c r="I7" s="350" t="s">
        <v>544</v>
      </c>
      <c r="J7" s="216" t="s">
        <v>545</v>
      </c>
      <c r="K7" s="783" t="s">
        <v>51</v>
      </c>
      <c r="L7" s="784"/>
      <c r="M7" s="147"/>
    </row>
    <row r="8" spans="1:13" ht="15.75" customHeight="1">
      <c r="A8" s="769">
        <v>7</v>
      </c>
      <c r="B8" s="772" t="s">
        <v>135</v>
      </c>
      <c r="C8" s="563">
        <v>1</v>
      </c>
      <c r="D8" s="331" t="s">
        <v>559</v>
      </c>
      <c r="E8" s="332"/>
      <c r="F8" s="333"/>
      <c r="G8" s="346">
        <v>17</v>
      </c>
      <c r="H8" s="346">
        <v>1448.8855158261354</v>
      </c>
      <c r="I8" s="346">
        <v>85.228559754478553</v>
      </c>
      <c r="J8" s="235" t="s">
        <v>649</v>
      </c>
      <c r="K8" s="786" t="s">
        <v>651</v>
      </c>
      <c r="L8" s="787"/>
      <c r="M8" s="125"/>
    </row>
    <row r="9" spans="1:13" ht="15.75" customHeight="1">
      <c r="A9" s="770"/>
      <c r="B9" s="773"/>
      <c r="C9" s="563">
        <v>2</v>
      </c>
      <c r="D9" s="331" t="s">
        <v>661</v>
      </c>
      <c r="E9" s="332"/>
      <c r="F9" s="333"/>
      <c r="G9" s="346">
        <v>17</v>
      </c>
      <c r="H9" s="346">
        <v>1432.2461983212022</v>
      </c>
      <c r="I9" s="346">
        <v>84.249776371835424</v>
      </c>
      <c r="J9" s="235" t="s">
        <v>649</v>
      </c>
      <c r="K9" s="788"/>
      <c r="L9" s="789"/>
      <c r="M9" s="125"/>
    </row>
    <row r="10" spans="1:13" ht="15.75" customHeight="1">
      <c r="A10" s="770"/>
      <c r="B10" s="773"/>
      <c r="C10" s="563">
        <v>3</v>
      </c>
      <c r="D10" s="347" t="s">
        <v>583</v>
      </c>
      <c r="E10" s="332"/>
      <c r="F10" s="333"/>
      <c r="G10" s="346">
        <v>17</v>
      </c>
      <c r="H10" s="346">
        <v>1426.9930321383458</v>
      </c>
      <c r="I10" s="346">
        <v>83.940766596373308</v>
      </c>
      <c r="J10" s="236" t="s">
        <v>650</v>
      </c>
      <c r="K10" s="790"/>
      <c r="L10" s="791"/>
      <c r="M10" s="125"/>
    </row>
    <row r="11" spans="1:13" ht="15.75" customHeight="1">
      <c r="A11" s="770"/>
      <c r="B11" s="773"/>
      <c r="C11" s="563">
        <v>4</v>
      </c>
      <c r="D11" s="331" t="s">
        <v>665</v>
      </c>
      <c r="E11" s="332"/>
      <c r="F11" s="333"/>
      <c r="G11" s="346">
        <v>18</v>
      </c>
      <c r="H11" s="346">
        <v>1442.9968740455022</v>
      </c>
      <c r="I11" s="346">
        <v>80.166493002527901</v>
      </c>
      <c r="J11" s="234" t="s">
        <v>648</v>
      </c>
      <c r="K11" s="777"/>
      <c r="L11" s="778"/>
      <c r="M11" s="125"/>
    </row>
    <row r="12" spans="1:13" ht="15.75" customHeight="1">
      <c r="A12" s="770"/>
      <c r="B12" s="773"/>
      <c r="C12" s="563">
        <v>5</v>
      </c>
      <c r="D12" s="347" t="s">
        <v>578</v>
      </c>
      <c r="E12" s="332"/>
      <c r="F12" s="333"/>
      <c r="G12" s="346">
        <v>18</v>
      </c>
      <c r="H12" s="346">
        <v>1438.1385974233469</v>
      </c>
      <c r="I12" s="346">
        <v>79.896588745741496</v>
      </c>
      <c r="J12" s="235" t="s">
        <v>649</v>
      </c>
      <c r="K12" s="777" t="s">
        <v>745</v>
      </c>
      <c r="L12" s="778"/>
      <c r="M12" s="125"/>
    </row>
    <row r="13" spans="1:13" ht="15.75" customHeight="1">
      <c r="A13" s="770"/>
      <c r="B13" s="773"/>
      <c r="C13" s="159" t="s">
        <v>643</v>
      </c>
      <c r="D13" s="347" t="s">
        <v>642</v>
      </c>
      <c r="E13" s="332"/>
      <c r="F13" s="333"/>
      <c r="G13" s="346">
        <v>17</v>
      </c>
      <c r="H13" s="346">
        <v>1295.7286128578235</v>
      </c>
      <c r="I13" s="346">
        <v>76.219330168107277</v>
      </c>
      <c r="J13" s="236" t="s">
        <v>650</v>
      </c>
      <c r="K13" s="782" t="s">
        <v>746</v>
      </c>
      <c r="L13" s="778"/>
      <c r="M13" s="125"/>
    </row>
    <row r="14" spans="1:13" ht="15.75" customHeight="1">
      <c r="A14" s="770"/>
      <c r="B14" s="773"/>
      <c r="C14" s="159" t="s">
        <v>644</v>
      </c>
      <c r="D14" s="331"/>
      <c r="E14" s="332"/>
      <c r="F14" s="333"/>
      <c r="G14" s="346"/>
      <c r="H14" s="346"/>
      <c r="I14" s="346"/>
      <c r="J14" s="234"/>
      <c r="K14" s="777"/>
      <c r="L14" s="778"/>
      <c r="M14" s="125"/>
    </row>
    <row r="15" spans="1:13" ht="15.75" customHeight="1">
      <c r="A15" s="770"/>
      <c r="B15" s="773"/>
      <c r="C15" s="159" t="s">
        <v>645</v>
      </c>
      <c r="D15" s="331"/>
      <c r="E15" s="332"/>
      <c r="F15" s="333"/>
      <c r="G15" s="346"/>
      <c r="H15" s="346"/>
      <c r="I15" s="346"/>
      <c r="J15" s="234"/>
      <c r="K15" s="775"/>
      <c r="L15" s="776"/>
      <c r="M15" s="125"/>
    </row>
    <row r="16" spans="1:13" ht="15.75" customHeight="1">
      <c r="A16" s="770"/>
      <c r="B16" s="773"/>
      <c r="C16" s="159" t="s">
        <v>646</v>
      </c>
      <c r="D16" s="331"/>
      <c r="E16" s="332"/>
      <c r="F16" s="333"/>
      <c r="G16" s="346"/>
      <c r="H16" s="346"/>
      <c r="I16" s="346"/>
      <c r="J16" s="234"/>
      <c r="K16" s="775"/>
      <c r="L16" s="776"/>
      <c r="M16" s="146"/>
    </row>
    <row r="17" spans="1:13" ht="15.75" customHeight="1">
      <c r="A17" s="771"/>
      <c r="B17" s="774"/>
      <c r="C17" s="159" t="s">
        <v>647</v>
      </c>
      <c r="D17" s="331"/>
      <c r="E17" s="332"/>
      <c r="F17" s="333"/>
      <c r="G17" s="565"/>
      <c r="H17" s="565"/>
      <c r="I17" s="565"/>
      <c r="J17" s="565"/>
      <c r="K17" s="775"/>
      <c r="L17" s="776"/>
      <c r="M17" s="146"/>
    </row>
    <row r="18" spans="1:13" s="156" customFormat="1" ht="15.75" customHeight="1">
      <c r="A18" s="779" t="s">
        <v>167</v>
      </c>
      <c r="B18" s="780"/>
      <c r="C18" s="564" t="s">
        <v>47</v>
      </c>
      <c r="D18" s="779" t="s">
        <v>12</v>
      </c>
      <c r="E18" s="781"/>
      <c r="F18" s="780"/>
      <c r="G18" s="564" t="s">
        <v>46</v>
      </c>
      <c r="H18" s="564" t="s">
        <v>497</v>
      </c>
      <c r="I18" s="564" t="s">
        <v>373</v>
      </c>
      <c r="J18" s="216" t="s">
        <v>374</v>
      </c>
      <c r="K18" s="779" t="s">
        <v>51</v>
      </c>
      <c r="L18" s="780"/>
      <c r="M18" s="149"/>
    </row>
    <row r="19" spans="1:13" ht="15.75" customHeight="1">
      <c r="A19" s="769">
        <v>8</v>
      </c>
      <c r="B19" s="772" t="s">
        <v>136</v>
      </c>
      <c r="C19" s="563">
        <v>1</v>
      </c>
      <c r="D19" s="432" t="s">
        <v>564</v>
      </c>
      <c r="E19" s="332"/>
      <c r="F19" s="333"/>
      <c r="G19" s="346">
        <v>17</v>
      </c>
      <c r="H19" s="346">
        <v>2246.7634922004008</v>
      </c>
      <c r="I19" s="346">
        <v>132.16255836472945</v>
      </c>
      <c r="J19" s="234" t="s">
        <v>648</v>
      </c>
      <c r="K19" s="767"/>
      <c r="L19" s="768"/>
      <c r="M19" s="146"/>
    </row>
    <row r="20" spans="1:13" ht="15.75" customHeight="1">
      <c r="A20" s="770"/>
      <c r="B20" s="773"/>
      <c r="C20" s="563">
        <v>2</v>
      </c>
      <c r="D20" s="432" t="s">
        <v>343</v>
      </c>
      <c r="E20" s="332"/>
      <c r="F20" s="333"/>
      <c r="G20" s="346">
        <v>18</v>
      </c>
      <c r="H20" s="346">
        <v>2353.9423593055462</v>
      </c>
      <c r="I20" s="346">
        <v>130.77457551697481</v>
      </c>
      <c r="J20" s="234" t="s">
        <v>648</v>
      </c>
      <c r="K20" s="767"/>
      <c r="L20" s="768"/>
      <c r="M20" s="146"/>
    </row>
    <row r="21" spans="1:13" ht="15.75" customHeight="1">
      <c r="A21" s="770"/>
      <c r="B21" s="773"/>
      <c r="C21" s="563">
        <v>3</v>
      </c>
      <c r="D21" s="331" t="s">
        <v>344</v>
      </c>
      <c r="E21" s="332"/>
      <c r="F21" s="333"/>
      <c r="G21" s="346">
        <v>19</v>
      </c>
      <c r="H21" s="346">
        <v>2461.2711818624052</v>
      </c>
      <c r="I21" s="346">
        <v>129.54058851907396</v>
      </c>
      <c r="J21" s="234" t="s">
        <v>648</v>
      </c>
      <c r="K21" s="767"/>
      <c r="L21" s="768"/>
      <c r="M21" s="146"/>
    </row>
    <row r="22" spans="1:13" ht="15.75" customHeight="1">
      <c r="A22" s="770"/>
      <c r="B22" s="773"/>
      <c r="C22" s="563">
        <v>4</v>
      </c>
      <c r="D22" s="331" t="s">
        <v>579</v>
      </c>
      <c r="E22" s="332"/>
      <c r="F22" s="333"/>
      <c r="G22" s="346">
        <v>18</v>
      </c>
      <c r="H22" s="346">
        <v>2294.208798671862</v>
      </c>
      <c r="I22" s="346">
        <v>127.456044370659</v>
      </c>
      <c r="J22" s="234" t="s">
        <v>648</v>
      </c>
      <c r="K22" s="767"/>
      <c r="L22" s="768"/>
      <c r="M22" s="146"/>
    </row>
    <row r="23" spans="1:13" ht="15.75" customHeight="1">
      <c r="A23" s="770"/>
      <c r="B23" s="773"/>
      <c r="C23" s="563">
        <v>5</v>
      </c>
      <c r="D23" s="331" t="s">
        <v>345</v>
      </c>
      <c r="E23" s="332"/>
      <c r="F23" s="333"/>
      <c r="G23" s="346">
        <v>20</v>
      </c>
      <c r="H23" s="346">
        <v>2458.7760084385382</v>
      </c>
      <c r="I23" s="346">
        <v>122.93880042192691</v>
      </c>
      <c r="J23" s="234" t="s">
        <v>648</v>
      </c>
      <c r="K23" s="767"/>
      <c r="L23" s="768"/>
      <c r="M23" s="146"/>
    </row>
    <row r="24" spans="1:13" ht="15.75" customHeight="1">
      <c r="A24" s="770"/>
      <c r="B24" s="773"/>
      <c r="C24" s="159" t="s">
        <v>643</v>
      </c>
      <c r="D24" s="432" t="s">
        <v>342</v>
      </c>
      <c r="E24" s="332"/>
      <c r="F24" s="333"/>
      <c r="G24" s="346">
        <v>20</v>
      </c>
      <c r="H24" s="346">
        <v>2259.6874099461775</v>
      </c>
      <c r="I24" s="346">
        <v>112.98437049730887</v>
      </c>
      <c r="J24" s="234" t="s">
        <v>648</v>
      </c>
      <c r="K24" s="767"/>
      <c r="L24" s="768"/>
      <c r="M24" s="146"/>
    </row>
    <row r="25" spans="1:13" ht="15.75" customHeight="1">
      <c r="A25" s="770"/>
      <c r="B25" s="773"/>
      <c r="C25" s="159" t="s">
        <v>644</v>
      </c>
      <c r="D25" s="432" t="s">
        <v>501</v>
      </c>
      <c r="E25" s="332"/>
      <c r="F25" s="333"/>
      <c r="G25" s="346">
        <v>18</v>
      </c>
      <c r="H25" s="346">
        <v>2175.6862447226986</v>
      </c>
      <c r="I25" s="346">
        <v>120.87145804014993</v>
      </c>
      <c r="J25" s="234" t="s">
        <v>648</v>
      </c>
      <c r="K25" s="767"/>
      <c r="L25" s="768"/>
      <c r="M25" s="146"/>
    </row>
    <row r="26" spans="1:13" ht="15.75" customHeight="1">
      <c r="A26" s="770"/>
      <c r="B26" s="773"/>
      <c r="C26" s="159" t="s">
        <v>645</v>
      </c>
      <c r="D26" s="432"/>
      <c r="E26" s="332"/>
      <c r="F26" s="333"/>
      <c r="G26" s="346"/>
      <c r="H26" s="346"/>
      <c r="I26" s="346"/>
      <c r="J26" s="234"/>
      <c r="K26" s="767"/>
      <c r="L26" s="768"/>
      <c r="M26" s="146"/>
    </row>
    <row r="27" spans="1:13" ht="15.75" customHeight="1">
      <c r="A27" s="770"/>
      <c r="B27" s="773"/>
      <c r="C27" s="159" t="s">
        <v>646</v>
      </c>
      <c r="D27" s="331"/>
      <c r="E27" s="332"/>
      <c r="F27" s="333"/>
      <c r="G27" s="346"/>
      <c r="H27" s="346"/>
      <c r="I27" s="346"/>
      <c r="J27" s="234"/>
      <c r="K27" s="767"/>
      <c r="L27" s="768"/>
      <c r="M27" s="146"/>
    </row>
    <row r="28" spans="1:13" ht="15.75" customHeight="1">
      <c r="A28" s="771"/>
      <c r="B28" s="774"/>
      <c r="C28" s="159" t="s">
        <v>647</v>
      </c>
      <c r="D28" s="331"/>
      <c r="E28" s="332"/>
      <c r="F28" s="333"/>
      <c r="G28" s="346"/>
      <c r="H28" s="346"/>
      <c r="I28" s="346"/>
      <c r="J28" s="234"/>
      <c r="K28" s="767"/>
      <c r="L28" s="768"/>
      <c r="M28" s="146"/>
    </row>
    <row r="29" spans="1:13" ht="15.75" customHeight="1">
      <c r="A29" s="146"/>
      <c r="B29" s="146"/>
      <c r="C29" s="146"/>
      <c r="D29" s="146"/>
      <c r="E29" s="146"/>
      <c r="F29" s="146"/>
      <c r="G29" s="146"/>
      <c r="H29" s="146"/>
      <c r="I29" s="146"/>
      <c r="J29" s="146"/>
      <c r="K29" s="146"/>
      <c r="L29" s="146"/>
      <c r="M29" s="125"/>
    </row>
    <row r="30" spans="1:13" ht="15.75" customHeight="1">
      <c r="A30" s="146"/>
      <c r="B30" s="146"/>
      <c r="C30" s="146"/>
      <c r="D30" s="146"/>
      <c r="E30" s="146"/>
      <c r="F30" s="146"/>
      <c r="G30" s="146"/>
      <c r="H30" s="146"/>
      <c r="I30" s="146"/>
      <c r="J30" s="146"/>
      <c r="K30" s="146"/>
      <c r="L30" s="146"/>
      <c r="M30" s="125"/>
    </row>
    <row r="31" spans="1:13" ht="15.75" customHeight="1">
      <c r="A31" s="146"/>
      <c r="B31" s="146"/>
      <c r="C31" s="146"/>
      <c r="D31" s="146"/>
      <c r="E31" s="146"/>
      <c r="F31" s="146"/>
      <c r="G31" s="146"/>
      <c r="H31" s="146"/>
      <c r="I31" s="146"/>
      <c r="J31" s="146"/>
      <c r="K31" s="146"/>
      <c r="L31" s="146"/>
      <c r="M31" s="125"/>
    </row>
    <row r="32" spans="1:13" ht="15.75" customHeight="1">
      <c r="A32" s="146"/>
      <c r="B32" s="146"/>
      <c r="C32" s="146"/>
      <c r="D32" s="146"/>
      <c r="E32" s="146"/>
      <c r="F32" s="146"/>
      <c r="G32" s="146"/>
      <c r="H32" s="146"/>
      <c r="I32" s="146"/>
      <c r="J32" s="146"/>
      <c r="K32" s="146"/>
      <c r="L32" s="146"/>
      <c r="M32" s="125"/>
    </row>
    <row r="33" spans="1:13" ht="15.75" customHeight="1">
      <c r="A33" s="146"/>
      <c r="B33" s="146"/>
      <c r="C33" s="146"/>
      <c r="D33" s="146"/>
      <c r="E33" s="146"/>
      <c r="F33" s="146"/>
      <c r="G33" s="146"/>
      <c r="H33" s="146"/>
      <c r="I33" s="146"/>
      <c r="J33" s="146"/>
      <c r="K33" s="146"/>
      <c r="L33" s="146"/>
      <c r="M33" s="125"/>
    </row>
    <row r="34" spans="1:13" ht="15.75" customHeight="1">
      <c r="A34" s="146"/>
      <c r="B34" s="146"/>
      <c r="C34" s="146"/>
      <c r="D34" s="146"/>
      <c r="E34" s="146"/>
      <c r="F34" s="146"/>
      <c r="G34" s="146"/>
      <c r="H34" s="146"/>
      <c r="I34" s="146"/>
      <c r="J34" s="146"/>
      <c r="K34" s="146"/>
      <c r="L34" s="146"/>
      <c r="M34" s="125"/>
    </row>
    <row r="35" spans="1:13" ht="15.75" customHeight="1">
      <c r="A35" s="146"/>
      <c r="B35" s="146"/>
      <c r="C35" s="146"/>
      <c r="D35" s="146"/>
      <c r="E35" s="146"/>
      <c r="F35" s="146"/>
      <c r="G35" s="146"/>
      <c r="H35" s="146"/>
      <c r="I35" s="146"/>
      <c r="J35" s="146"/>
      <c r="K35" s="146"/>
      <c r="L35" s="146"/>
      <c r="M35" s="125"/>
    </row>
  </sheetData>
  <mergeCells count="31">
    <mergeCell ref="K25:L25"/>
    <mergeCell ref="K27:L27"/>
    <mergeCell ref="K13:L13"/>
    <mergeCell ref="A1:L2"/>
    <mergeCell ref="A3:L4"/>
    <mergeCell ref="A5:A6"/>
    <mergeCell ref="A7:B7"/>
    <mergeCell ref="D7:F7"/>
    <mergeCell ref="K7:L7"/>
    <mergeCell ref="K8:L10"/>
    <mergeCell ref="K11:L11"/>
    <mergeCell ref="K12:L12"/>
    <mergeCell ref="K20:L20"/>
    <mergeCell ref="K21:L21"/>
    <mergeCell ref="K18:L18"/>
    <mergeCell ref="K23:L23"/>
    <mergeCell ref="K19:L19"/>
    <mergeCell ref="K22:L22"/>
    <mergeCell ref="K28:L28"/>
    <mergeCell ref="A8:A17"/>
    <mergeCell ref="B8:B17"/>
    <mergeCell ref="K17:L17"/>
    <mergeCell ref="K16:L16"/>
    <mergeCell ref="K26:L26"/>
    <mergeCell ref="K14:L14"/>
    <mergeCell ref="K15:L15"/>
    <mergeCell ref="A19:A28"/>
    <mergeCell ref="B19:B28"/>
    <mergeCell ref="A18:B18"/>
    <mergeCell ref="D18:F18"/>
    <mergeCell ref="K24:L24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92D050"/>
    <outlinePr summaryBelow="0" summaryRight="0"/>
  </sheetPr>
  <dimension ref="A1:V35"/>
  <sheetViews>
    <sheetView zoomScale="70" zoomScaleNormal="70" zoomScaleSheetLayoutView="100" workbookViewId="0">
      <selection activeCell="N17" sqref="N17"/>
    </sheetView>
  </sheetViews>
  <sheetFormatPr defaultColWidth="12.5703125" defaultRowHeight="15.75" customHeight="1"/>
  <cols>
    <col min="1" max="1" width="6.42578125" style="114" customWidth="1"/>
    <col min="2" max="10" width="11.5703125" style="114" customWidth="1"/>
    <col min="11" max="12" width="12.85546875" style="114" customWidth="1"/>
    <col min="13" max="13" width="12.5703125" style="115"/>
    <col min="14" max="16384" width="12.5703125" style="114"/>
  </cols>
  <sheetData>
    <row r="1" spans="1:22" ht="15.75" customHeight="1">
      <c r="A1" s="604" t="s">
        <v>185</v>
      </c>
      <c r="B1" s="604"/>
      <c r="C1" s="604"/>
      <c r="D1" s="604"/>
      <c r="E1" s="604"/>
      <c r="F1" s="604"/>
      <c r="G1" s="604"/>
      <c r="H1" s="604"/>
      <c r="I1" s="604"/>
      <c r="J1" s="604"/>
      <c r="K1" s="604"/>
      <c r="L1" s="604"/>
      <c r="M1" s="114"/>
    </row>
    <row r="2" spans="1:22" s="115" customFormat="1" ht="15.75" customHeight="1">
      <c r="A2" s="604"/>
      <c r="B2" s="604"/>
      <c r="C2" s="604"/>
      <c r="D2" s="604"/>
      <c r="E2" s="604"/>
      <c r="F2" s="604"/>
      <c r="G2" s="604"/>
      <c r="H2" s="604"/>
      <c r="I2" s="604"/>
      <c r="J2" s="604"/>
      <c r="K2" s="604"/>
      <c r="L2" s="604"/>
    </row>
    <row r="3" spans="1:22" ht="15.75" customHeight="1">
      <c r="A3" s="720" t="s">
        <v>186</v>
      </c>
      <c r="B3" s="720"/>
      <c r="C3" s="720"/>
      <c r="D3" s="720"/>
      <c r="E3" s="720"/>
      <c r="F3" s="720"/>
      <c r="G3" s="720"/>
      <c r="H3" s="720"/>
      <c r="I3" s="720"/>
      <c r="J3" s="720"/>
      <c r="K3" s="720"/>
      <c r="L3" s="720"/>
      <c r="M3" s="146"/>
    </row>
    <row r="4" spans="1:22" s="115" customFormat="1" ht="15.75" customHeight="1">
      <c r="A4" s="720"/>
      <c r="B4" s="720"/>
      <c r="C4" s="720"/>
      <c r="D4" s="720"/>
      <c r="E4" s="720"/>
      <c r="F4" s="720"/>
      <c r="G4" s="720"/>
      <c r="H4" s="720"/>
      <c r="I4" s="720"/>
      <c r="J4" s="720"/>
      <c r="K4" s="720"/>
      <c r="L4" s="720"/>
      <c r="M4" s="125"/>
    </row>
    <row r="5" spans="1:22" s="148" customFormat="1" ht="16.350000000000001" customHeight="1">
      <c r="A5" s="769" t="s">
        <v>154</v>
      </c>
      <c r="B5" s="150">
        <v>1</v>
      </c>
      <c r="C5" s="150">
        <v>2</v>
      </c>
      <c r="D5" s="150">
        <v>3</v>
      </c>
      <c r="E5" s="150">
        <v>4</v>
      </c>
      <c r="F5" s="150">
        <v>5</v>
      </c>
      <c r="G5" s="150">
        <v>6</v>
      </c>
      <c r="H5" s="150">
        <v>7</v>
      </c>
      <c r="I5" s="150">
        <v>8</v>
      </c>
      <c r="J5" s="160">
        <v>9</v>
      </c>
      <c r="K5" s="147"/>
      <c r="L5" s="147"/>
      <c r="M5" s="147"/>
      <c r="U5" s="427"/>
      <c r="V5" s="428"/>
    </row>
    <row r="6" spans="1:22" ht="16.350000000000001" customHeight="1">
      <c r="A6" s="771"/>
      <c r="B6" s="151" t="s">
        <v>187</v>
      </c>
      <c r="C6" s="151" t="s">
        <v>151</v>
      </c>
      <c r="D6" s="151" t="s">
        <v>188</v>
      </c>
      <c r="E6" s="151" t="s">
        <v>153</v>
      </c>
      <c r="F6" s="152" t="s">
        <v>133</v>
      </c>
      <c r="G6" s="153" t="s">
        <v>131</v>
      </c>
      <c r="H6" s="154" t="s">
        <v>189</v>
      </c>
      <c r="I6" s="153" t="s">
        <v>190</v>
      </c>
      <c r="J6" s="163" t="s">
        <v>137</v>
      </c>
      <c r="K6" s="149"/>
      <c r="L6" s="149"/>
      <c r="M6" s="125"/>
      <c r="U6" s="244"/>
      <c r="V6" s="429"/>
    </row>
    <row r="7" spans="1:22" s="148" customFormat="1" ht="15.75" customHeight="1">
      <c r="A7" s="783" t="s">
        <v>531</v>
      </c>
      <c r="B7" s="784"/>
      <c r="C7" s="335" t="s">
        <v>532</v>
      </c>
      <c r="D7" s="783" t="s">
        <v>12</v>
      </c>
      <c r="E7" s="785"/>
      <c r="F7" s="784"/>
      <c r="G7" s="350" t="s">
        <v>538</v>
      </c>
      <c r="H7" s="350" t="s">
        <v>539</v>
      </c>
      <c r="I7" s="350" t="s">
        <v>540</v>
      </c>
      <c r="J7" s="216" t="s">
        <v>541</v>
      </c>
      <c r="K7" s="783" t="s">
        <v>542</v>
      </c>
      <c r="L7" s="784"/>
      <c r="M7" s="147"/>
      <c r="U7" s="427"/>
      <c r="V7" s="428"/>
    </row>
    <row r="8" spans="1:22" ht="15.75" customHeight="1">
      <c r="A8" s="769">
        <f>J5</f>
        <v>9</v>
      </c>
      <c r="B8" s="772" t="str">
        <f>J6</f>
        <v>微波小吃</v>
      </c>
      <c r="C8" s="563">
        <v>1</v>
      </c>
      <c r="D8" s="331" t="s">
        <v>379</v>
      </c>
      <c r="E8" s="332"/>
      <c r="F8" s="333"/>
      <c r="G8" s="395">
        <v>7</v>
      </c>
      <c r="H8" s="395">
        <v>1457.9461242441428</v>
      </c>
      <c r="I8" s="395">
        <v>208.2780177491633</v>
      </c>
      <c r="J8" s="234" t="s">
        <v>648</v>
      </c>
      <c r="K8" s="797" t="s">
        <v>747</v>
      </c>
      <c r="L8" s="798"/>
      <c r="M8" s="125"/>
      <c r="U8" s="244"/>
      <c r="V8" s="429"/>
    </row>
    <row r="9" spans="1:22" ht="15.75" customHeight="1">
      <c r="A9" s="770"/>
      <c r="B9" s="773"/>
      <c r="C9" s="563">
        <v>2</v>
      </c>
      <c r="D9" s="331" t="s">
        <v>581</v>
      </c>
      <c r="E9" s="332"/>
      <c r="F9" s="333"/>
      <c r="G9" s="395">
        <v>7</v>
      </c>
      <c r="H9" s="395">
        <v>1452.7823248885563</v>
      </c>
      <c r="I9" s="395">
        <v>207.54033212693662</v>
      </c>
      <c r="J9" s="235" t="s">
        <v>649</v>
      </c>
      <c r="K9" s="799"/>
      <c r="L9" s="800"/>
      <c r="M9" s="125"/>
      <c r="U9" s="244"/>
      <c r="V9" s="429"/>
    </row>
    <row r="10" spans="1:22" ht="15.75" customHeight="1">
      <c r="A10" s="770"/>
      <c r="B10" s="773"/>
      <c r="C10" s="563">
        <v>3</v>
      </c>
      <c r="D10" s="331" t="s">
        <v>347</v>
      </c>
      <c r="E10" s="332"/>
      <c r="F10" s="333"/>
      <c r="G10" s="395">
        <v>7</v>
      </c>
      <c r="H10" s="395">
        <v>1451.0042206921883</v>
      </c>
      <c r="I10" s="395">
        <v>207.28631724174122</v>
      </c>
      <c r="J10" s="236" t="s">
        <v>650</v>
      </c>
      <c r="K10" s="799"/>
      <c r="L10" s="800"/>
      <c r="M10" s="125"/>
      <c r="U10" s="244"/>
      <c r="V10" s="429"/>
    </row>
    <row r="11" spans="1:22" ht="15.75" customHeight="1">
      <c r="A11" s="770"/>
      <c r="B11" s="773"/>
      <c r="C11" s="563">
        <v>4</v>
      </c>
      <c r="D11" s="347" t="s">
        <v>346</v>
      </c>
      <c r="E11" s="332"/>
      <c r="F11" s="333"/>
      <c r="G11" s="395">
        <v>7</v>
      </c>
      <c r="H11" s="395">
        <v>1447.3205735402505</v>
      </c>
      <c r="I11" s="395">
        <v>206.76008193432148</v>
      </c>
      <c r="J11" s="234" t="s">
        <v>648</v>
      </c>
      <c r="K11" s="801"/>
      <c r="L11" s="802"/>
      <c r="M11" s="125"/>
      <c r="U11" s="244"/>
      <c r="V11" s="429"/>
    </row>
    <row r="12" spans="1:22" ht="15.75" customHeight="1">
      <c r="A12" s="770"/>
      <c r="B12" s="773"/>
      <c r="C12" s="563">
        <v>5</v>
      </c>
      <c r="D12" s="347" t="s">
        <v>574</v>
      </c>
      <c r="E12" s="332"/>
      <c r="F12" s="333"/>
      <c r="G12" s="395">
        <v>12</v>
      </c>
      <c r="H12" s="395">
        <v>1624.02406838823</v>
      </c>
      <c r="I12" s="395">
        <v>135.33533903235249</v>
      </c>
      <c r="J12" s="234" t="s">
        <v>648</v>
      </c>
      <c r="K12" s="796"/>
      <c r="L12" s="793"/>
      <c r="M12" s="125"/>
    </row>
    <row r="13" spans="1:22" ht="15.75" customHeight="1">
      <c r="A13" s="770"/>
      <c r="B13" s="773"/>
      <c r="C13" s="159" t="s">
        <v>643</v>
      </c>
      <c r="D13" s="347" t="s">
        <v>348</v>
      </c>
      <c r="E13" s="332"/>
      <c r="F13" s="333"/>
      <c r="G13" s="395">
        <v>17</v>
      </c>
      <c r="H13" s="395">
        <v>1336.724294618203</v>
      </c>
      <c r="I13" s="395">
        <v>78.630840859894278</v>
      </c>
      <c r="J13" s="234" t="s">
        <v>648</v>
      </c>
      <c r="K13" s="796"/>
      <c r="L13" s="793"/>
      <c r="M13" s="125"/>
    </row>
    <row r="14" spans="1:22" ht="15.75" customHeight="1">
      <c r="A14" s="770"/>
      <c r="B14" s="773"/>
      <c r="C14" s="159" t="s">
        <v>644</v>
      </c>
      <c r="D14" s="331" t="s">
        <v>575</v>
      </c>
      <c r="E14" s="332"/>
      <c r="F14" s="333"/>
      <c r="G14" s="395">
        <v>12</v>
      </c>
      <c r="H14" s="395">
        <v>1455.8092621664025</v>
      </c>
      <c r="I14" s="395">
        <v>121.31743851386686</v>
      </c>
      <c r="J14" s="234" t="s">
        <v>648</v>
      </c>
      <c r="K14" s="792"/>
      <c r="L14" s="793"/>
      <c r="M14" s="125"/>
    </row>
    <row r="15" spans="1:22" ht="15.75" customHeight="1">
      <c r="A15" s="770"/>
      <c r="B15" s="773"/>
      <c r="C15" s="159" t="s">
        <v>645</v>
      </c>
      <c r="D15" s="331" t="s">
        <v>551</v>
      </c>
      <c r="E15" s="332"/>
      <c r="F15" s="333"/>
      <c r="G15" s="346">
        <v>12</v>
      </c>
      <c r="H15" s="346">
        <v>1552.5288134085363</v>
      </c>
      <c r="I15" s="346">
        <v>129.37740111737801</v>
      </c>
      <c r="J15" s="234" t="s">
        <v>648</v>
      </c>
      <c r="K15" s="792"/>
      <c r="L15" s="793"/>
      <c r="M15" s="125"/>
    </row>
    <row r="16" spans="1:22" ht="15.75" customHeight="1">
      <c r="A16" s="770"/>
      <c r="B16" s="773"/>
      <c r="C16" s="159" t="s">
        <v>646</v>
      </c>
      <c r="D16" s="347"/>
      <c r="E16" s="332"/>
      <c r="F16" s="333"/>
      <c r="G16" s="346"/>
      <c r="H16" s="346"/>
      <c r="I16" s="346"/>
      <c r="J16" s="234"/>
      <c r="K16" s="792"/>
      <c r="L16" s="793"/>
      <c r="M16" s="146"/>
    </row>
    <row r="17" spans="1:13" ht="15.75" customHeight="1">
      <c r="A17" s="771"/>
      <c r="B17" s="774"/>
      <c r="C17" s="159" t="s">
        <v>647</v>
      </c>
      <c r="D17" s="347"/>
      <c r="E17" s="332"/>
      <c r="F17" s="333"/>
      <c r="G17" s="346"/>
      <c r="H17" s="346"/>
      <c r="I17" s="346"/>
      <c r="J17" s="234"/>
      <c r="K17" s="792"/>
      <c r="L17" s="793"/>
      <c r="M17" s="146"/>
    </row>
    <row r="18" spans="1:13" s="156" customFormat="1" ht="15.75" customHeight="1">
      <c r="A18" s="779" t="s">
        <v>167</v>
      </c>
      <c r="B18" s="780"/>
      <c r="C18" s="548" t="s">
        <v>47</v>
      </c>
      <c r="D18" s="779" t="s">
        <v>12</v>
      </c>
      <c r="E18" s="781"/>
      <c r="F18" s="780"/>
      <c r="G18" s="548" t="s">
        <v>46</v>
      </c>
      <c r="H18" s="548" t="s">
        <v>497</v>
      </c>
      <c r="I18" s="548" t="s">
        <v>373</v>
      </c>
      <c r="J18" s="216" t="s">
        <v>374</v>
      </c>
      <c r="K18" s="779" t="s">
        <v>51</v>
      </c>
      <c r="L18" s="780"/>
      <c r="M18" s="149"/>
    </row>
    <row r="19" spans="1:13" ht="15.75" customHeight="1">
      <c r="A19" s="769"/>
      <c r="B19" s="772"/>
      <c r="C19" s="545">
        <v>1</v>
      </c>
      <c r="D19" s="331"/>
      <c r="E19" s="332"/>
      <c r="F19" s="333"/>
      <c r="G19" s="549"/>
      <c r="H19" s="549"/>
      <c r="I19" s="549"/>
      <c r="J19" s="549"/>
      <c r="K19" s="792"/>
      <c r="L19" s="793"/>
      <c r="M19" s="146"/>
    </row>
    <row r="20" spans="1:13" ht="15.75" customHeight="1">
      <c r="A20" s="770"/>
      <c r="B20" s="773"/>
      <c r="C20" s="545">
        <v>2</v>
      </c>
      <c r="D20" s="331"/>
      <c r="E20" s="332"/>
      <c r="F20" s="333"/>
      <c r="G20" s="549"/>
      <c r="H20" s="549"/>
      <c r="I20" s="549"/>
      <c r="J20" s="549"/>
      <c r="K20" s="794"/>
      <c r="L20" s="795"/>
      <c r="M20" s="146"/>
    </row>
    <row r="21" spans="1:13" ht="15.75" customHeight="1">
      <c r="A21" s="770"/>
      <c r="B21" s="773"/>
      <c r="C21" s="545">
        <v>3</v>
      </c>
      <c r="D21" s="331"/>
      <c r="E21" s="332"/>
      <c r="F21" s="333"/>
      <c r="G21" s="549"/>
      <c r="H21" s="549"/>
      <c r="I21" s="549"/>
      <c r="J21" s="549"/>
      <c r="K21" s="794"/>
      <c r="L21" s="795"/>
      <c r="M21" s="146"/>
    </row>
    <row r="22" spans="1:13" ht="15.75" customHeight="1">
      <c r="A22" s="770"/>
      <c r="B22" s="773"/>
      <c r="C22" s="545">
        <v>4</v>
      </c>
      <c r="D22" s="331"/>
      <c r="E22" s="332"/>
      <c r="F22" s="333"/>
      <c r="G22" s="549"/>
      <c r="H22" s="549"/>
      <c r="I22" s="549"/>
      <c r="J22" s="549"/>
      <c r="K22" s="794"/>
      <c r="L22" s="795"/>
      <c r="M22" s="146"/>
    </row>
    <row r="23" spans="1:13" ht="15.75" customHeight="1">
      <c r="A23" s="770"/>
      <c r="B23" s="773"/>
      <c r="C23" s="545">
        <v>5</v>
      </c>
      <c r="D23" s="331"/>
      <c r="E23" s="332"/>
      <c r="F23" s="333"/>
      <c r="G23" s="549"/>
      <c r="H23" s="549"/>
      <c r="I23" s="549"/>
      <c r="J23" s="549"/>
      <c r="K23" s="794"/>
      <c r="L23" s="795"/>
      <c r="M23" s="146"/>
    </row>
    <row r="24" spans="1:13" ht="15.75" customHeight="1">
      <c r="A24" s="770"/>
      <c r="B24" s="773"/>
      <c r="C24" s="159" t="s">
        <v>643</v>
      </c>
      <c r="D24" s="331"/>
      <c r="E24" s="332"/>
      <c r="F24" s="333"/>
      <c r="G24" s="549"/>
      <c r="H24" s="549"/>
      <c r="I24" s="549"/>
      <c r="J24" s="549"/>
      <c r="K24" s="792"/>
      <c r="L24" s="793"/>
      <c r="M24" s="146"/>
    </row>
    <row r="25" spans="1:13" ht="15.75" customHeight="1">
      <c r="A25" s="770"/>
      <c r="B25" s="773"/>
      <c r="C25" s="159" t="s">
        <v>644</v>
      </c>
      <c r="D25" s="331"/>
      <c r="E25" s="332"/>
      <c r="F25" s="333"/>
      <c r="G25" s="549"/>
      <c r="H25" s="549"/>
      <c r="I25" s="549"/>
      <c r="J25" s="549"/>
      <c r="K25" s="794"/>
      <c r="L25" s="795"/>
      <c r="M25" s="146"/>
    </row>
    <row r="26" spans="1:13" ht="15.75" customHeight="1">
      <c r="A26" s="770"/>
      <c r="B26" s="773"/>
      <c r="C26" s="159" t="s">
        <v>645</v>
      </c>
      <c r="D26" s="331"/>
      <c r="E26" s="332"/>
      <c r="F26" s="333"/>
      <c r="G26" s="549"/>
      <c r="H26" s="549"/>
      <c r="I26" s="549"/>
      <c r="J26" s="549"/>
      <c r="K26" s="794"/>
      <c r="L26" s="795"/>
      <c r="M26" s="146"/>
    </row>
    <row r="27" spans="1:13" ht="15.75" customHeight="1">
      <c r="A27" s="770"/>
      <c r="B27" s="773"/>
      <c r="C27" s="159" t="s">
        <v>646</v>
      </c>
      <c r="D27" s="331"/>
      <c r="E27" s="332"/>
      <c r="F27" s="333"/>
      <c r="G27" s="549"/>
      <c r="H27" s="549"/>
      <c r="I27" s="549"/>
      <c r="J27" s="549"/>
      <c r="K27" s="794"/>
      <c r="L27" s="795"/>
      <c r="M27" s="146"/>
    </row>
    <row r="28" spans="1:13" ht="15.75" customHeight="1">
      <c r="A28" s="771"/>
      <c r="B28" s="774"/>
      <c r="C28" s="159" t="s">
        <v>647</v>
      </c>
      <c r="D28" s="331"/>
      <c r="E28" s="332"/>
      <c r="F28" s="333"/>
      <c r="G28" s="549"/>
      <c r="H28" s="549"/>
      <c r="I28" s="549"/>
      <c r="J28" s="549"/>
      <c r="K28" s="794"/>
      <c r="L28" s="795"/>
      <c r="M28" s="146"/>
    </row>
    <row r="29" spans="1:13" ht="15.75" customHeight="1">
      <c r="A29" s="146"/>
      <c r="B29" s="146"/>
      <c r="C29" s="146"/>
      <c r="D29" s="146"/>
      <c r="E29" s="146"/>
      <c r="F29" s="146"/>
      <c r="G29" s="146"/>
      <c r="H29" s="146"/>
      <c r="I29" s="146"/>
      <c r="J29" s="146"/>
      <c r="K29" s="146"/>
      <c r="L29" s="146"/>
      <c r="M29" s="125"/>
    </row>
    <row r="30" spans="1:13" ht="15.75" customHeight="1">
      <c r="A30" s="146"/>
      <c r="B30" s="146"/>
      <c r="C30" s="146"/>
      <c r="D30" s="146"/>
      <c r="E30" s="146"/>
      <c r="F30" s="146"/>
      <c r="G30" s="146"/>
      <c r="H30" s="146"/>
      <c r="I30" s="146"/>
      <c r="J30" s="146"/>
      <c r="K30" s="146"/>
      <c r="L30" s="146"/>
      <c r="M30" s="125"/>
    </row>
    <row r="31" spans="1:13" ht="15.75" customHeight="1">
      <c r="A31" s="146"/>
      <c r="B31" s="146"/>
      <c r="C31" s="146"/>
      <c r="D31" s="146"/>
      <c r="E31" s="146"/>
      <c r="F31" s="146"/>
      <c r="G31" s="146"/>
      <c r="H31" s="146"/>
      <c r="I31" s="146"/>
      <c r="J31" s="146"/>
      <c r="K31" s="146"/>
      <c r="L31" s="146"/>
      <c r="M31" s="125"/>
    </row>
    <row r="32" spans="1:13" ht="15.75" customHeight="1">
      <c r="A32" s="146"/>
      <c r="B32" s="146"/>
      <c r="C32" s="146"/>
      <c r="D32" s="146"/>
      <c r="E32" s="146"/>
      <c r="F32" s="146"/>
      <c r="G32" s="146"/>
      <c r="H32" s="146"/>
      <c r="I32" s="146"/>
      <c r="J32" s="146"/>
      <c r="K32" s="146"/>
      <c r="L32" s="146"/>
      <c r="M32" s="125"/>
    </row>
    <row r="33" spans="1:13" ht="15.75" customHeight="1">
      <c r="A33" s="146"/>
      <c r="B33" s="146"/>
      <c r="C33" s="146"/>
      <c r="D33" s="146"/>
      <c r="E33" s="146"/>
      <c r="F33" s="146"/>
      <c r="G33" s="146"/>
      <c r="H33" s="146"/>
      <c r="I33" s="146"/>
      <c r="J33" s="146"/>
      <c r="K33" s="146"/>
      <c r="L33" s="146"/>
      <c r="M33" s="125"/>
    </row>
    <row r="34" spans="1:13" ht="15.75" customHeight="1">
      <c r="A34" s="146"/>
      <c r="B34" s="146"/>
      <c r="C34" s="146"/>
      <c r="D34" s="146"/>
      <c r="E34" s="146"/>
      <c r="F34" s="146"/>
      <c r="G34" s="146"/>
      <c r="H34" s="146"/>
      <c r="I34" s="146"/>
      <c r="J34" s="146"/>
      <c r="K34" s="146"/>
      <c r="L34" s="146"/>
      <c r="M34" s="125"/>
    </row>
    <row r="35" spans="1:13" ht="15.75" customHeight="1">
      <c r="A35" s="146"/>
      <c r="B35" s="146"/>
      <c r="C35" s="146"/>
      <c r="D35" s="146"/>
      <c r="E35" s="146"/>
      <c r="F35" s="146"/>
      <c r="G35" s="146"/>
      <c r="H35" s="146"/>
      <c r="I35" s="146"/>
      <c r="J35" s="146"/>
      <c r="K35" s="146"/>
      <c r="L35" s="146"/>
      <c r="M35" s="125"/>
    </row>
  </sheetData>
  <mergeCells count="30">
    <mergeCell ref="A1:L2"/>
    <mergeCell ref="K14:L14"/>
    <mergeCell ref="A3:L4"/>
    <mergeCell ref="A5:A6"/>
    <mergeCell ref="A7:B7"/>
    <mergeCell ref="D7:F7"/>
    <mergeCell ref="K7:L7"/>
    <mergeCell ref="A8:A17"/>
    <mergeCell ref="B8:B17"/>
    <mergeCell ref="K13:L13"/>
    <mergeCell ref="K15:L15"/>
    <mergeCell ref="K16:L16"/>
    <mergeCell ref="K17:L17"/>
    <mergeCell ref="K8:L11"/>
    <mergeCell ref="K12:L12"/>
    <mergeCell ref="A18:B18"/>
    <mergeCell ref="D18:F18"/>
    <mergeCell ref="K18:L18"/>
    <mergeCell ref="A19:A28"/>
    <mergeCell ref="B19:B28"/>
    <mergeCell ref="K19:L19"/>
    <mergeCell ref="K20:L20"/>
    <mergeCell ref="K28:L28"/>
    <mergeCell ref="K26:L26"/>
    <mergeCell ref="K21:L21"/>
    <mergeCell ref="K27:L27"/>
    <mergeCell ref="K25:L25"/>
    <mergeCell ref="K22:L22"/>
    <mergeCell ref="K24:L24"/>
    <mergeCell ref="K23:L23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FF0000"/>
    <outlinePr summaryBelow="0" summaryRight="0"/>
  </sheetPr>
  <dimension ref="A1:N15"/>
  <sheetViews>
    <sheetView zoomScale="115" zoomScaleNormal="115" zoomScaleSheetLayoutView="115" workbookViewId="0">
      <selection activeCell="N13" sqref="N13"/>
    </sheetView>
  </sheetViews>
  <sheetFormatPr defaultColWidth="12.5703125" defaultRowHeight="15.75" customHeight="1"/>
  <cols>
    <col min="1" max="1" width="7.5703125" style="177" customWidth="1"/>
    <col min="2" max="2" width="14.85546875" style="177" customWidth="1"/>
    <col min="3" max="3" width="12.85546875" style="177" customWidth="1"/>
    <col min="4" max="4" width="2.5703125" style="177" customWidth="1"/>
    <col min="5" max="5" width="7.5703125" style="177" customWidth="1"/>
    <col min="6" max="6" width="12.85546875" style="177" customWidth="1"/>
    <col min="7" max="7" width="9.42578125" style="177" customWidth="1"/>
    <col min="8" max="8" width="12.85546875" style="177" customWidth="1"/>
    <col min="9" max="9" width="9.42578125" style="177" customWidth="1"/>
    <col min="10" max="10" width="12.85546875" style="177" customWidth="1"/>
    <col min="11" max="11" width="9.42578125" style="177" customWidth="1"/>
    <col min="12" max="12" width="12.85546875" style="177" customWidth="1"/>
    <col min="13" max="13" width="9.42578125" style="177" customWidth="1"/>
    <col min="14" max="16384" width="12.5703125" style="177"/>
  </cols>
  <sheetData>
    <row r="1" spans="1:14" ht="15.75" customHeight="1">
      <c r="A1" s="803" t="s">
        <v>217</v>
      </c>
      <c r="B1" s="803"/>
      <c r="C1" s="803"/>
      <c r="D1" s="803"/>
      <c r="E1" s="803"/>
      <c r="F1" s="803"/>
      <c r="G1" s="803"/>
      <c r="H1" s="803"/>
      <c r="I1" s="803"/>
      <c r="J1" s="803"/>
      <c r="K1" s="803"/>
      <c r="L1" s="803"/>
      <c r="M1" s="803"/>
    </row>
    <row r="2" spans="1:14" s="178" customFormat="1" ht="15.75" customHeight="1">
      <c r="A2" s="803"/>
      <c r="B2" s="803"/>
      <c r="C2" s="803"/>
      <c r="D2" s="803"/>
      <c r="E2" s="803"/>
      <c r="F2" s="803"/>
      <c r="G2" s="803"/>
      <c r="H2" s="803"/>
      <c r="I2" s="803"/>
      <c r="J2" s="803"/>
      <c r="K2" s="803"/>
      <c r="L2" s="803"/>
      <c r="M2" s="803"/>
    </row>
    <row r="3" spans="1:14" ht="15.75" customHeight="1">
      <c r="A3" s="804" t="s">
        <v>218</v>
      </c>
      <c r="B3" s="804"/>
      <c r="C3" s="804"/>
      <c r="D3" s="804"/>
      <c r="E3" s="804"/>
      <c r="F3" s="804"/>
      <c r="G3" s="804"/>
      <c r="H3" s="804"/>
      <c r="I3" s="804"/>
      <c r="J3" s="804"/>
      <c r="K3" s="804"/>
      <c r="L3" s="804"/>
      <c r="M3" s="804"/>
      <c r="N3" s="179"/>
    </row>
    <row r="4" spans="1:14" s="178" customFormat="1" ht="15.75" customHeight="1">
      <c r="A4" s="804"/>
      <c r="B4" s="804"/>
      <c r="C4" s="804"/>
      <c r="D4" s="804"/>
      <c r="E4" s="804"/>
      <c r="F4" s="804"/>
      <c r="G4" s="804"/>
      <c r="H4" s="804"/>
      <c r="I4" s="804"/>
      <c r="J4" s="804"/>
      <c r="K4" s="804"/>
      <c r="L4" s="804"/>
      <c r="M4" s="804"/>
      <c r="N4" s="180"/>
    </row>
    <row r="5" spans="1:14" ht="15.75" customHeight="1">
      <c r="A5" s="181" t="s">
        <v>219</v>
      </c>
      <c r="B5" s="182">
        <v>212376150</v>
      </c>
    </row>
    <row r="6" spans="1:14" ht="15.75" customHeight="1">
      <c r="A6" s="805" t="s">
        <v>220</v>
      </c>
      <c r="B6" s="806" t="s">
        <v>10</v>
      </c>
      <c r="C6" s="806"/>
      <c r="D6" s="807"/>
      <c r="E6" s="805" t="s">
        <v>220</v>
      </c>
      <c r="F6" s="809">
        <v>1</v>
      </c>
      <c r="G6" s="809"/>
      <c r="H6" s="809">
        <v>2</v>
      </c>
      <c r="I6" s="809"/>
      <c r="J6" s="809">
        <v>3</v>
      </c>
      <c r="K6" s="809"/>
      <c r="L6" s="809">
        <v>4</v>
      </c>
      <c r="M6" s="809"/>
    </row>
    <row r="7" spans="1:14" ht="31.35" customHeight="1">
      <c r="A7" s="805"/>
      <c r="B7" s="806"/>
      <c r="C7" s="806"/>
      <c r="D7" s="808"/>
      <c r="E7" s="805"/>
      <c r="F7" s="811" t="s">
        <v>231</v>
      </c>
      <c r="G7" s="811"/>
      <c r="H7" s="811" t="s">
        <v>221</v>
      </c>
      <c r="I7" s="811"/>
      <c r="J7" s="811" t="s">
        <v>222</v>
      </c>
      <c r="K7" s="811"/>
      <c r="L7" s="811" t="s">
        <v>223</v>
      </c>
      <c r="M7" s="811"/>
    </row>
    <row r="8" spans="1:14" ht="15.75" customHeight="1">
      <c r="A8" s="805"/>
      <c r="B8" s="210" t="s">
        <v>11</v>
      </c>
      <c r="C8" s="210" t="s">
        <v>224</v>
      </c>
      <c r="D8" s="808"/>
      <c r="E8" s="805"/>
      <c r="F8" s="210" t="s">
        <v>11</v>
      </c>
      <c r="G8" s="210" t="s">
        <v>224</v>
      </c>
      <c r="H8" s="210" t="s">
        <v>11</v>
      </c>
      <c r="I8" s="210" t="s">
        <v>224</v>
      </c>
      <c r="J8" s="210" t="s">
        <v>11</v>
      </c>
      <c r="K8" s="210" t="s">
        <v>224</v>
      </c>
      <c r="L8" s="210" t="s">
        <v>11</v>
      </c>
      <c r="M8" s="210" t="s">
        <v>224</v>
      </c>
    </row>
    <row r="9" spans="1:14" s="188" customFormat="1" ht="19.350000000000001" customHeight="1">
      <c r="A9" s="183" t="s">
        <v>225</v>
      </c>
      <c r="B9" s="184">
        <v>47927.00699999994</v>
      </c>
      <c r="C9" s="185">
        <f>B9/$B$5</f>
        <v>2.256703824793883E-4</v>
      </c>
      <c r="D9" s="808"/>
      <c r="E9" s="183" t="s">
        <v>225</v>
      </c>
      <c r="F9" s="186">
        <v>1423.9050000000002</v>
      </c>
      <c r="G9" s="187">
        <f>IFERROR(F9/$B$9,"")</f>
        <v>2.9709866923256903E-2</v>
      </c>
      <c r="H9" s="186">
        <v>5535.9419999999991</v>
      </c>
      <c r="I9" s="187">
        <f>IFERROR(H9/$B$9,"")</f>
        <v>0.11550777623146812</v>
      </c>
      <c r="J9" s="186">
        <v>6691.5360000000019</v>
      </c>
      <c r="K9" s="187">
        <f>IFERROR(J9/$B$9,"")</f>
        <v>0.13961931735065389</v>
      </c>
      <c r="L9" s="186">
        <v>17258.763000000006</v>
      </c>
      <c r="M9" s="187">
        <f>IFERROR(L9/$B$9,"")</f>
        <v>0.36010516993059943</v>
      </c>
    </row>
    <row r="10" spans="1:14" s="188" customFormat="1" ht="19.350000000000001" customHeight="1">
      <c r="A10" s="189" t="s">
        <v>226</v>
      </c>
      <c r="B10" s="190">
        <v>69974.579191980054</v>
      </c>
      <c r="C10" s="185">
        <f>B10/$B$5</f>
        <v>3.2948416849999424E-4</v>
      </c>
      <c r="D10" s="808"/>
      <c r="E10" s="189" t="s">
        <v>226</v>
      </c>
      <c r="F10" s="186">
        <v>1179.8078200000007</v>
      </c>
      <c r="G10" s="187">
        <f>IFERROR(F10/$B$10,"")</f>
        <v>1.6860520400746062E-2</v>
      </c>
      <c r="H10" s="186">
        <v>3563.9139100000007</v>
      </c>
      <c r="I10" s="187">
        <f>IFERROR(H10/$B$10,"")</f>
        <v>5.0931551874319365E-2</v>
      </c>
      <c r="J10" s="186">
        <v>3130.998689999999</v>
      </c>
      <c r="K10" s="187">
        <f>IFERROR(J10/$B$10,"")</f>
        <v>4.4744801986016804E-2</v>
      </c>
      <c r="L10" s="186">
        <v>14381.948886699534</v>
      </c>
      <c r="M10" s="187">
        <f>IFERROR(L10/$B$10,"")</f>
        <v>0.20553105217312806</v>
      </c>
    </row>
    <row r="11" spans="1:14" ht="15.75" customHeight="1">
      <c r="D11" s="808"/>
      <c r="E11" s="805" t="s">
        <v>220</v>
      </c>
      <c r="F11" s="809">
        <v>5</v>
      </c>
      <c r="G11" s="809"/>
      <c r="H11" s="809">
        <v>6</v>
      </c>
      <c r="I11" s="809"/>
      <c r="J11" s="809">
        <v>7</v>
      </c>
      <c r="K11" s="809"/>
      <c r="L11" s="810">
        <v>8</v>
      </c>
      <c r="M11" s="810"/>
    </row>
    <row r="12" spans="1:14" ht="31.35" customHeight="1">
      <c r="D12" s="808"/>
      <c r="E12" s="805"/>
      <c r="F12" s="811" t="s">
        <v>227</v>
      </c>
      <c r="G12" s="811"/>
      <c r="H12" s="811" t="s">
        <v>228</v>
      </c>
      <c r="I12" s="811"/>
      <c r="J12" s="811" t="s">
        <v>229</v>
      </c>
      <c r="K12" s="811"/>
      <c r="L12" s="812" t="s">
        <v>230</v>
      </c>
      <c r="M12" s="812"/>
    </row>
    <row r="13" spans="1:14" ht="15.75" customHeight="1">
      <c r="D13" s="808"/>
      <c r="E13" s="805"/>
      <c r="F13" s="210" t="s">
        <v>11</v>
      </c>
      <c r="G13" s="210" t="s">
        <v>224</v>
      </c>
      <c r="H13" s="210" t="s">
        <v>11</v>
      </c>
      <c r="I13" s="210" t="s">
        <v>224</v>
      </c>
      <c r="J13" s="210" t="s">
        <v>11</v>
      </c>
      <c r="K13" s="210" t="s">
        <v>224</v>
      </c>
      <c r="L13" s="210" t="s">
        <v>11</v>
      </c>
      <c r="M13" s="210" t="s">
        <v>224</v>
      </c>
    </row>
    <row r="14" spans="1:14" s="188" customFormat="1" ht="19.350000000000001" customHeight="1">
      <c r="D14" s="808"/>
      <c r="E14" s="183" t="s">
        <v>225</v>
      </c>
      <c r="F14" s="186">
        <v>12460.915000000001</v>
      </c>
      <c r="G14" s="187">
        <f>IFERROR(F14/$B$9,"")</f>
        <v>0.25999777119401629</v>
      </c>
      <c r="H14" s="186">
        <v>1494.27</v>
      </c>
      <c r="I14" s="187">
        <f>IFERROR(H14/$B$9,"")</f>
        <v>3.1178037051218365E-2</v>
      </c>
      <c r="J14" s="186">
        <v>3061.675999999999</v>
      </c>
      <c r="K14" s="187">
        <f>IFERROR(J14/$B$9,"")</f>
        <v>6.3882061318788444E-2</v>
      </c>
      <c r="L14" s="186">
        <v>0</v>
      </c>
      <c r="M14" s="187">
        <f>IFERROR(L14/$B$9,"")</f>
        <v>0</v>
      </c>
    </row>
    <row r="15" spans="1:14" s="188" customFormat="1" ht="19.350000000000001" customHeight="1">
      <c r="D15" s="808"/>
      <c r="E15" s="189" t="s">
        <v>226</v>
      </c>
      <c r="F15" s="186">
        <v>30846.731825280494</v>
      </c>
      <c r="G15" s="187">
        <f>IFERROR(F15/$B$10,"")</f>
        <v>0.44082768601795191</v>
      </c>
      <c r="H15" s="186">
        <v>12704.309300000044</v>
      </c>
      <c r="I15" s="187">
        <f>IFERROR(H15/$B$10,"")</f>
        <v>0.18155606574131589</v>
      </c>
      <c r="J15" s="186">
        <v>3994.7131600000112</v>
      </c>
      <c r="K15" s="187">
        <f>IFERROR(J15/$B$10,"")</f>
        <v>5.7088062638293857E-2</v>
      </c>
      <c r="L15" s="186">
        <v>0</v>
      </c>
      <c r="M15" s="187">
        <f>IFERROR(L15/$B$10,"")</f>
        <v>0</v>
      </c>
    </row>
  </sheetData>
  <mergeCells count="23">
    <mergeCell ref="H12:I12"/>
    <mergeCell ref="J12:K12"/>
    <mergeCell ref="L12:M12"/>
    <mergeCell ref="F7:G7"/>
    <mergeCell ref="H7:I7"/>
    <mergeCell ref="J7:K7"/>
    <mergeCell ref="L7:M7"/>
    <mergeCell ref="A1:M2"/>
    <mergeCell ref="A3:M4"/>
    <mergeCell ref="A6:A8"/>
    <mergeCell ref="B6:C7"/>
    <mergeCell ref="D6:D15"/>
    <mergeCell ref="E6:E8"/>
    <mergeCell ref="F6:G6"/>
    <mergeCell ref="H6:I6"/>
    <mergeCell ref="J6:K6"/>
    <mergeCell ref="L6:M6"/>
    <mergeCell ref="E11:E13"/>
    <mergeCell ref="F11:G11"/>
    <mergeCell ref="H11:I11"/>
    <mergeCell ref="J11:K11"/>
    <mergeCell ref="L11:M11"/>
    <mergeCell ref="F12:G12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92D050"/>
    <outlinePr summaryBelow="0" summaryRight="0"/>
  </sheetPr>
  <dimension ref="A1:S16"/>
  <sheetViews>
    <sheetView zoomScale="110" zoomScaleNormal="110" zoomScaleSheetLayoutView="115" workbookViewId="0">
      <selection activeCell="I28" sqref="I28"/>
    </sheetView>
  </sheetViews>
  <sheetFormatPr defaultColWidth="12.5703125" defaultRowHeight="15.75" customHeight="1"/>
  <cols>
    <col min="1" max="1" width="7.5703125" style="177" customWidth="1"/>
    <col min="2" max="2" width="14.85546875" style="177" customWidth="1"/>
    <col min="3" max="3" width="12.85546875" style="177" customWidth="1"/>
    <col min="4" max="4" width="2.5703125" style="177" customWidth="1"/>
    <col min="5" max="5" width="7.5703125" style="177" customWidth="1"/>
    <col min="6" max="6" width="12.85546875" style="177" customWidth="1"/>
    <col min="7" max="7" width="9.42578125" style="177" customWidth="1"/>
    <col min="8" max="8" width="12.85546875" style="177" customWidth="1"/>
    <col min="9" max="9" width="9.42578125" style="177" customWidth="1"/>
    <col min="10" max="10" width="12.85546875" style="177" customWidth="1"/>
    <col min="11" max="11" width="9.42578125" style="177" customWidth="1"/>
    <col min="12" max="12" width="12.85546875" style="177" customWidth="1"/>
    <col min="13" max="13" width="9.42578125" style="177" customWidth="1"/>
    <col min="14" max="16384" width="12.5703125" style="177"/>
  </cols>
  <sheetData>
    <row r="1" spans="1:19" ht="15.75" customHeight="1">
      <c r="A1" s="803" t="s">
        <v>217</v>
      </c>
      <c r="B1" s="803"/>
      <c r="C1" s="803"/>
      <c r="D1" s="803"/>
      <c r="E1" s="803"/>
      <c r="F1" s="803"/>
      <c r="G1" s="803"/>
      <c r="H1" s="803"/>
      <c r="I1" s="803"/>
      <c r="J1" s="803"/>
      <c r="K1" s="803"/>
      <c r="L1" s="803"/>
      <c r="M1" s="803"/>
    </row>
    <row r="2" spans="1:19" s="178" customFormat="1" ht="15.75" customHeight="1">
      <c r="A2" s="803"/>
      <c r="B2" s="803"/>
      <c r="C2" s="803"/>
      <c r="D2" s="803"/>
      <c r="E2" s="803"/>
      <c r="F2" s="803"/>
      <c r="G2" s="803"/>
      <c r="H2" s="803"/>
      <c r="I2" s="803"/>
      <c r="J2" s="803"/>
      <c r="K2" s="803"/>
      <c r="L2" s="803"/>
      <c r="M2" s="803"/>
    </row>
    <row r="3" spans="1:19" ht="15.75" customHeight="1">
      <c r="A3" s="804" t="s">
        <v>566</v>
      </c>
      <c r="B3" s="804"/>
      <c r="C3" s="804"/>
      <c r="D3" s="804"/>
      <c r="E3" s="804"/>
      <c r="F3" s="804"/>
      <c r="G3" s="804"/>
      <c r="H3" s="804"/>
      <c r="I3" s="804"/>
      <c r="J3" s="804"/>
      <c r="K3" s="804"/>
      <c r="L3" s="804"/>
      <c r="M3" s="804"/>
    </row>
    <row r="4" spans="1:19" s="178" customFormat="1" ht="15.75" customHeight="1">
      <c r="A4" s="804"/>
      <c r="B4" s="804"/>
      <c r="C4" s="804"/>
      <c r="D4" s="804"/>
      <c r="E4" s="804"/>
      <c r="F4" s="804"/>
      <c r="G4" s="804"/>
      <c r="H4" s="804"/>
      <c r="I4" s="804"/>
      <c r="J4" s="804"/>
      <c r="K4" s="804"/>
      <c r="L4" s="804"/>
      <c r="M4" s="804"/>
    </row>
    <row r="5" spans="1:19" ht="15.75" customHeight="1" thickBot="1"/>
    <row r="6" spans="1:19" ht="15.75" customHeight="1" thickBot="1">
      <c r="A6" s="496" t="s">
        <v>636</v>
      </c>
      <c r="B6" s="497">
        <v>58375379</v>
      </c>
      <c r="C6" s="498" t="s">
        <v>748</v>
      </c>
      <c r="E6" s="817" t="s">
        <v>707</v>
      </c>
      <c r="F6" s="818"/>
      <c r="G6" s="818"/>
      <c r="H6" s="818"/>
      <c r="I6" s="818"/>
      <c r="J6" s="818"/>
      <c r="K6" s="818"/>
      <c r="L6" s="818"/>
      <c r="M6" s="818"/>
      <c r="N6" s="818"/>
      <c r="O6" s="818"/>
      <c r="P6" s="818"/>
      <c r="Q6" s="818"/>
      <c r="R6" s="818"/>
      <c r="S6" s="819"/>
    </row>
    <row r="7" spans="1:19" ht="15.75" customHeight="1">
      <c r="A7" s="820" t="s">
        <v>631</v>
      </c>
      <c r="B7" s="823" t="s">
        <v>10</v>
      </c>
      <c r="C7" s="824"/>
      <c r="D7" s="495"/>
      <c r="E7" s="827" t="s">
        <v>631</v>
      </c>
      <c r="F7" s="830">
        <v>1</v>
      </c>
      <c r="G7" s="831"/>
      <c r="H7" s="830">
        <v>2</v>
      </c>
      <c r="I7" s="832"/>
      <c r="J7" s="833">
        <v>3</v>
      </c>
      <c r="K7" s="831"/>
      <c r="L7" s="830">
        <v>4</v>
      </c>
      <c r="M7" s="831"/>
      <c r="N7" s="830">
        <v>5</v>
      </c>
      <c r="O7" s="831"/>
      <c r="P7" s="830">
        <v>6</v>
      </c>
      <c r="Q7" s="832"/>
      <c r="R7" s="833">
        <v>7</v>
      </c>
      <c r="S7" s="831"/>
    </row>
    <row r="8" spans="1:19" ht="15.75" customHeight="1">
      <c r="A8" s="821"/>
      <c r="B8" s="825"/>
      <c r="C8" s="826"/>
      <c r="D8" s="495"/>
      <c r="E8" s="828"/>
      <c r="F8" s="813" t="s">
        <v>569</v>
      </c>
      <c r="G8" s="816"/>
      <c r="H8" s="813" t="s">
        <v>599</v>
      </c>
      <c r="I8" s="814"/>
      <c r="J8" s="815" t="s">
        <v>356</v>
      </c>
      <c r="K8" s="816"/>
      <c r="L8" s="813" t="s">
        <v>483</v>
      </c>
      <c r="M8" s="816"/>
      <c r="N8" s="813" t="s">
        <v>193</v>
      </c>
      <c r="O8" s="816"/>
      <c r="P8" s="813" t="s">
        <v>194</v>
      </c>
      <c r="Q8" s="814"/>
      <c r="R8" s="815" t="s">
        <v>496</v>
      </c>
      <c r="S8" s="816"/>
    </row>
    <row r="9" spans="1:19" ht="15.75" customHeight="1">
      <c r="A9" s="822"/>
      <c r="B9" s="567" t="s">
        <v>11</v>
      </c>
      <c r="C9" s="494" t="s">
        <v>630</v>
      </c>
      <c r="D9" s="495"/>
      <c r="E9" s="829"/>
      <c r="F9" s="499" t="s">
        <v>11</v>
      </c>
      <c r="G9" s="494" t="s">
        <v>630</v>
      </c>
      <c r="H9" s="500" t="s">
        <v>11</v>
      </c>
      <c r="I9" s="567" t="s">
        <v>630</v>
      </c>
      <c r="J9" s="567" t="s">
        <v>11</v>
      </c>
      <c r="K9" s="501" t="s">
        <v>630</v>
      </c>
      <c r="L9" s="499" t="s">
        <v>11</v>
      </c>
      <c r="M9" s="494" t="s">
        <v>630</v>
      </c>
      <c r="N9" s="499" t="s">
        <v>11</v>
      </c>
      <c r="O9" s="494" t="s">
        <v>630</v>
      </c>
      <c r="P9" s="500" t="s">
        <v>11</v>
      </c>
      <c r="Q9" s="567" t="s">
        <v>630</v>
      </c>
      <c r="R9" s="567" t="s">
        <v>11</v>
      </c>
      <c r="S9" s="494" t="s">
        <v>630</v>
      </c>
    </row>
    <row r="10" spans="1:19" ht="15.75" customHeight="1">
      <c r="A10" s="502" t="s">
        <v>613</v>
      </c>
      <c r="B10" s="503">
        <v>139357.03599999999</v>
      </c>
      <c r="C10" s="504">
        <v>2.3872570660312116E-3</v>
      </c>
      <c r="D10" s="495"/>
      <c r="E10" s="505" t="s">
        <v>613</v>
      </c>
      <c r="F10" s="506">
        <v>0</v>
      </c>
      <c r="G10" s="507">
        <v>0</v>
      </c>
      <c r="H10" s="506">
        <v>926.40000000000009</v>
      </c>
      <c r="I10" s="187">
        <v>6.6476729599788571E-3</v>
      </c>
      <c r="J10" s="506">
        <v>992.16100000000006</v>
      </c>
      <c r="K10" s="508">
        <v>7.119561584246095E-3</v>
      </c>
      <c r="L10" s="506">
        <v>9190.0590000000011</v>
      </c>
      <c r="M10" s="507">
        <v>6.5946142826975751E-2</v>
      </c>
      <c r="N10" s="506">
        <v>5667.6689999999999</v>
      </c>
      <c r="O10" s="507">
        <v>4.0670131646600174E-2</v>
      </c>
      <c r="P10" s="506">
        <v>0</v>
      </c>
      <c r="Q10" s="187">
        <v>0</v>
      </c>
      <c r="R10" s="506">
        <v>1806.77</v>
      </c>
      <c r="S10" s="507">
        <v>1.2965043257665154E-2</v>
      </c>
    </row>
    <row r="11" spans="1:19" ht="15.75" customHeight="1" thickBot="1">
      <c r="A11" s="509" t="s">
        <v>632</v>
      </c>
      <c r="B11" s="510">
        <v>228842.73269955136</v>
      </c>
      <c r="C11" s="511">
        <v>3.920192667178253E-3</v>
      </c>
      <c r="D11" s="495"/>
      <c r="E11" s="512" t="s">
        <v>632</v>
      </c>
      <c r="F11" s="513">
        <v>0</v>
      </c>
      <c r="G11" s="514">
        <v>0</v>
      </c>
      <c r="H11" s="513">
        <v>0</v>
      </c>
      <c r="I11" s="515">
        <v>0</v>
      </c>
      <c r="J11" s="513">
        <v>1493.7567999999997</v>
      </c>
      <c r="K11" s="516">
        <v>6.527438220907629E-3</v>
      </c>
      <c r="L11" s="513">
        <v>5458.1306300000051</v>
      </c>
      <c r="M11" s="514">
        <v>2.385101141562581E-2</v>
      </c>
      <c r="N11" s="513">
        <v>12125.42818999999</v>
      </c>
      <c r="O11" s="514">
        <v>5.2985856474277983E-2</v>
      </c>
      <c r="P11" s="513">
        <v>3205.4130999999998</v>
      </c>
      <c r="Q11" s="515">
        <v>1.4007056558830736E-2</v>
      </c>
      <c r="R11" s="513">
        <v>7744.7274599999928</v>
      </c>
      <c r="S11" s="514">
        <v>3.3843012485644801E-2</v>
      </c>
    </row>
    <row r="12" spans="1:19" ht="15.75" customHeight="1">
      <c r="A12" s="385"/>
      <c r="B12" s="179"/>
      <c r="C12" s="179"/>
      <c r="D12" s="495"/>
    </row>
    <row r="13" spans="1:19" ht="15.75" customHeight="1">
      <c r="A13" s="385"/>
      <c r="B13" s="179"/>
      <c r="C13" s="179"/>
      <c r="D13" s="495"/>
    </row>
    <row r="14" spans="1:19" ht="15.75" customHeight="1">
      <c r="A14" s="385"/>
      <c r="B14" s="179"/>
      <c r="C14" s="179"/>
      <c r="D14" s="495"/>
    </row>
    <row r="15" spans="1:19" ht="15.75" customHeight="1">
      <c r="A15" s="386"/>
      <c r="B15" s="387"/>
      <c r="C15" s="387"/>
      <c r="D15" s="495"/>
    </row>
    <row r="16" spans="1:19" ht="15.75" customHeight="1">
      <c r="A16" s="386"/>
      <c r="B16" s="387"/>
      <c r="C16" s="387"/>
      <c r="D16" s="495"/>
    </row>
  </sheetData>
  <mergeCells count="20">
    <mergeCell ref="J8:K8"/>
    <mergeCell ref="L8:M8"/>
    <mergeCell ref="A1:M2"/>
    <mergeCell ref="N8:O8"/>
    <mergeCell ref="P8:Q8"/>
    <mergeCell ref="R8:S8"/>
    <mergeCell ref="A3:M4"/>
    <mergeCell ref="E6:S6"/>
    <mergeCell ref="A7:A9"/>
    <mergeCell ref="B7:C8"/>
    <mergeCell ref="E7:E9"/>
    <mergeCell ref="F7:G7"/>
    <mergeCell ref="H7:I7"/>
    <mergeCell ref="J7:K7"/>
    <mergeCell ref="L7:M7"/>
    <mergeCell ref="N7:O7"/>
    <mergeCell ref="P7:Q7"/>
    <mergeCell ref="R7:S7"/>
    <mergeCell ref="F8:G8"/>
    <mergeCell ref="H8:I8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92D050"/>
    <outlinePr summaryBelow="0" summaryRight="0"/>
  </sheetPr>
  <dimension ref="A1:Q31"/>
  <sheetViews>
    <sheetView view="pageBreakPreview" zoomScale="115" zoomScaleNormal="60" zoomScaleSheetLayoutView="115" workbookViewId="0">
      <selection activeCell="A8" sqref="A8:P30"/>
    </sheetView>
  </sheetViews>
  <sheetFormatPr defaultColWidth="12.5703125" defaultRowHeight="15.75" customHeight="1"/>
  <cols>
    <col min="1" max="1" width="5.42578125" style="114" customWidth="1"/>
    <col min="2" max="2" width="11.42578125" style="169" customWidth="1"/>
    <col min="3" max="3" width="4" style="155" customWidth="1"/>
    <col min="4" max="17" width="9.5703125" style="114" customWidth="1"/>
    <col min="18" max="16384" width="12.5703125" style="114"/>
  </cols>
  <sheetData>
    <row r="1" spans="1:17" ht="15.75" customHeight="1">
      <c r="A1" s="604" t="s">
        <v>185</v>
      </c>
      <c r="B1" s="604"/>
      <c r="C1" s="604"/>
      <c r="D1" s="604"/>
      <c r="E1" s="604"/>
      <c r="F1" s="604"/>
      <c r="G1" s="604"/>
      <c r="H1" s="604"/>
      <c r="I1" s="604"/>
      <c r="J1" s="604"/>
      <c r="K1" s="604"/>
      <c r="L1" s="604"/>
      <c r="M1" s="604"/>
      <c r="N1" s="604"/>
      <c r="O1" s="604"/>
      <c r="P1" s="604"/>
      <c r="Q1" s="604"/>
    </row>
    <row r="2" spans="1:17" s="115" customFormat="1" ht="15.75" customHeight="1">
      <c r="A2" s="604"/>
      <c r="B2" s="604"/>
      <c r="C2" s="604"/>
      <c r="D2" s="604"/>
      <c r="E2" s="604"/>
      <c r="F2" s="604"/>
      <c r="G2" s="604"/>
      <c r="H2" s="604"/>
      <c r="I2" s="604"/>
      <c r="J2" s="604"/>
      <c r="K2" s="604"/>
      <c r="L2" s="604"/>
      <c r="M2" s="604"/>
      <c r="N2" s="604"/>
      <c r="O2" s="604"/>
      <c r="P2" s="604"/>
      <c r="Q2" s="604"/>
    </row>
    <row r="3" spans="1:17" ht="15.75" customHeight="1">
      <c r="A3" s="720" t="s">
        <v>191</v>
      </c>
      <c r="B3" s="721"/>
      <c r="C3" s="721"/>
      <c r="D3" s="721"/>
      <c r="E3" s="721"/>
      <c r="F3" s="721"/>
      <c r="G3" s="721"/>
      <c r="H3" s="721"/>
      <c r="I3" s="721"/>
      <c r="J3" s="721"/>
      <c r="K3" s="721"/>
      <c r="L3" s="721"/>
      <c r="M3" s="721"/>
      <c r="N3" s="146"/>
    </row>
    <row r="4" spans="1:17" s="115" customFormat="1" ht="15.75" customHeight="1">
      <c r="A4" s="721"/>
      <c r="B4" s="721"/>
      <c r="C4" s="721"/>
      <c r="D4" s="721"/>
      <c r="E4" s="721"/>
      <c r="F4" s="721"/>
      <c r="G4" s="721"/>
      <c r="H4" s="721"/>
      <c r="I4" s="721"/>
      <c r="J4" s="721"/>
      <c r="K4" s="721"/>
      <c r="L4" s="721"/>
      <c r="M4" s="721"/>
      <c r="N4" s="125"/>
    </row>
    <row r="5" spans="1:17" ht="15.75" customHeight="1">
      <c r="A5" s="621" t="s">
        <v>171</v>
      </c>
      <c r="B5" s="840">
        <v>1</v>
      </c>
      <c r="C5" s="840"/>
      <c r="D5" s="840">
        <v>2</v>
      </c>
      <c r="E5" s="840"/>
      <c r="F5" s="840">
        <v>3</v>
      </c>
      <c r="G5" s="840"/>
      <c r="H5" s="838">
        <v>4</v>
      </c>
      <c r="I5" s="838"/>
      <c r="J5" s="838">
        <v>5</v>
      </c>
      <c r="K5" s="838"/>
      <c r="L5" s="838">
        <v>6</v>
      </c>
      <c r="M5" s="838"/>
      <c r="N5" s="838">
        <v>7</v>
      </c>
      <c r="O5" s="838"/>
      <c r="P5" s="838">
        <v>8</v>
      </c>
      <c r="Q5" s="838"/>
    </row>
    <row r="6" spans="1:17" ht="15.75" customHeight="1">
      <c r="A6" s="621"/>
      <c r="B6" s="841" t="s">
        <v>302</v>
      </c>
      <c r="C6" s="841"/>
      <c r="D6" s="841" t="s">
        <v>192</v>
      </c>
      <c r="E6" s="841"/>
      <c r="F6" s="841" t="s">
        <v>163</v>
      </c>
      <c r="G6" s="841"/>
      <c r="H6" s="621" t="s">
        <v>483</v>
      </c>
      <c r="I6" s="621"/>
      <c r="J6" s="621" t="s">
        <v>169</v>
      </c>
      <c r="K6" s="621"/>
      <c r="L6" s="621" t="s">
        <v>164</v>
      </c>
      <c r="M6" s="621"/>
      <c r="N6" s="621" t="s">
        <v>170</v>
      </c>
      <c r="O6" s="621"/>
      <c r="P6" s="839" t="s">
        <v>195</v>
      </c>
      <c r="Q6" s="621"/>
    </row>
    <row r="8" spans="1:17" s="148" customFormat="1" ht="15.75" customHeight="1">
      <c r="A8" s="849" t="s">
        <v>590</v>
      </c>
      <c r="B8" s="850"/>
      <c r="C8" s="570" t="s">
        <v>525</v>
      </c>
      <c r="D8" s="854" t="s">
        <v>12</v>
      </c>
      <c r="E8" s="855"/>
      <c r="F8" s="856"/>
      <c r="G8" s="568" t="s">
        <v>591</v>
      </c>
      <c r="H8" s="569"/>
      <c r="I8" s="570"/>
      <c r="J8" s="164" t="s">
        <v>592</v>
      </c>
      <c r="K8" s="164" t="s">
        <v>593</v>
      </c>
      <c r="L8" s="164" t="s">
        <v>594</v>
      </c>
      <c r="M8" s="164" t="s">
        <v>11</v>
      </c>
      <c r="N8" s="164" t="s">
        <v>13</v>
      </c>
      <c r="O8" s="847" t="s">
        <v>50</v>
      </c>
      <c r="P8" s="848"/>
    </row>
    <row r="9" spans="1:17" ht="15.75" customHeight="1">
      <c r="A9" s="769">
        <v>1</v>
      </c>
      <c r="B9" s="851" t="s">
        <v>569</v>
      </c>
      <c r="C9" s="165">
        <v>1</v>
      </c>
      <c r="D9" s="582">
        <v>0</v>
      </c>
      <c r="E9" s="845"/>
      <c r="F9" s="846"/>
      <c r="G9" s="582">
        <v>0</v>
      </c>
      <c r="H9" s="845"/>
      <c r="I9" s="846"/>
      <c r="J9" s="4">
        <v>0</v>
      </c>
      <c r="K9" s="14">
        <v>0</v>
      </c>
      <c r="L9" s="4">
        <v>0</v>
      </c>
      <c r="M9" s="377">
        <v>0</v>
      </c>
      <c r="N9" s="166"/>
      <c r="O9" s="836"/>
      <c r="P9" s="837"/>
    </row>
    <row r="10" spans="1:17" ht="15.75" customHeight="1">
      <c r="A10" s="770"/>
      <c r="B10" s="852"/>
      <c r="C10" s="165">
        <v>2</v>
      </c>
      <c r="D10" s="582">
        <v>0</v>
      </c>
      <c r="E10" s="845"/>
      <c r="F10" s="846"/>
      <c r="G10" s="582">
        <v>0</v>
      </c>
      <c r="H10" s="845"/>
      <c r="I10" s="846"/>
      <c r="J10" s="4">
        <v>0</v>
      </c>
      <c r="K10" s="14">
        <v>0</v>
      </c>
      <c r="L10" s="4">
        <v>0</v>
      </c>
      <c r="M10" s="377">
        <v>0</v>
      </c>
      <c r="N10" s="166"/>
      <c r="O10" s="836"/>
      <c r="P10" s="837"/>
    </row>
    <row r="11" spans="1:17" ht="15.75" customHeight="1">
      <c r="A11" s="770"/>
      <c r="B11" s="852"/>
      <c r="C11" s="165">
        <v>3</v>
      </c>
      <c r="D11" s="582">
        <v>0</v>
      </c>
      <c r="E11" s="845"/>
      <c r="F11" s="846"/>
      <c r="G11" s="582">
        <v>0</v>
      </c>
      <c r="H11" s="845"/>
      <c r="I11" s="846"/>
      <c r="J11" s="4">
        <v>0</v>
      </c>
      <c r="K11" s="14">
        <v>0</v>
      </c>
      <c r="L11" s="4">
        <v>0</v>
      </c>
      <c r="M11" s="377">
        <v>0</v>
      </c>
      <c r="N11" s="166"/>
      <c r="O11" s="836"/>
      <c r="P11" s="837"/>
    </row>
    <row r="12" spans="1:17" ht="15.75" customHeight="1">
      <c r="A12" s="770"/>
      <c r="B12" s="852"/>
      <c r="C12" s="165">
        <v>4</v>
      </c>
      <c r="D12" s="582">
        <v>0</v>
      </c>
      <c r="E12" s="845"/>
      <c r="F12" s="846"/>
      <c r="G12" s="582">
        <v>0</v>
      </c>
      <c r="H12" s="845"/>
      <c r="I12" s="846"/>
      <c r="J12" s="4">
        <v>0</v>
      </c>
      <c r="K12" s="14">
        <v>0</v>
      </c>
      <c r="L12" s="4">
        <v>0</v>
      </c>
      <c r="M12" s="377">
        <v>0</v>
      </c>
      <c r="N12" s="166"/>
      <c r="O12" s="836"/>
      <c r="P12" s="837"/>
    </row>
    <row r="13" spans="1:17" ht="15.75" customHeight="1" thickBot="1">
      <c r="A13" s="770"/>
      <c r="B13" s="852"/>
      <c r="C13" s="167">
        <v>5</v>
      </c>
      <c r="D13" s="582">
        <v>0</v>
      </c>
      <c r="E13" s="845"/>
      <c r="F13" s="846"/>
      <c r="G13" s="582">
        <v>0</v>
      </c>
      <c r="H13" s="845"/>
      <c r="I13" s="846"/>
      <c r="J13" s="4">
        <v>0</v>
      </c>
      <c r="K13" s="14">
        <v>0</v>
      </c>
      <c r="L13" s="4">
        <v>0</v>
      </c>
      <c r="M13" s="377">
        <v>0</v>
      </c>
      <c r="N13" s="166"/>
      <c r="O13" s="836"/>
      <c r="P13" s="837"/>
    </row>
    <row r="14" spans="1:17" ht="15.75" customHeight="1" thickTop="1" thickBot="1">
      <c r="A14" s="771"/>
      <c r="B14" s="853"/>
      <c r="C14" s="857"/>
      <c r="D14" s="858"/>
      <c r="E14" s="858"/>
      <c r="F14" s="858"/>
      <c r="G14" s="858"/>
      <c r="H14" s="858"/>
      <c r="I14" s="859"/>
      <c r="J14" s="310" t="s">
        <v>595</v>
      </c>
      <c r="K14" s="239">
        <v>0</v>
      </c>
      <c r="L14" s="310" t="s">
        <v>596</v>
      </c>
      <c r="M14" s="378">
        <v>0</v>
      </c>
      <c r="N14" s="842"/>
      <c r="O14" s="843"/>
      <c r="P14" s="844"/>
    </row>
    <row r="15" spans="1:17" ht="15.75" customHeight="1" thickTop="1"/>
    <row r="16" spans="1:17" ht="15.75" customHeight="1">
      <c r="A16" s="849" t="s">
        <v>590</v>
      </c>
      <c r="B16" s="850"/>
      <c r="C16" s="570" t="s">
        <v>525</v>
      </c>
      <c r="D16" s="854" t="s">
        <v>12</v>
      </c>
      <c r="E16" s="855"/>
      <c r="F16" s="856"/>
      <c r="G16" s="568" t="s">
        <v>591</v>
      </c>
      <c r="H16" s="569"/>
      <c r="I16" s="570"/>
      <c r="J16" s="164" t="s">
        <v>592</v>
      </c>
      <c r="K16" s="164" t="s">
        <v>593</v>
      </c>
      <c r="L16" s="164" t="s">
        <v>594</v>
      </c>
      <c r="M16" s="164" t="s">
        <v>11</v>
      </c>
      <c r="N16" s="164" t="s">
        <v>13</v>
      </c>
      <c r="O16" s="847" t="s">
        <v>50</v>
      </c>
      <c r="P16" s="848"/>
    </row>
    <row r="17" spans="1:16" ht="15.75" customHeight="1">
      <c r="A17" s="769">
        <v>2</v>
      </c>
      <c r="B17" s="851" t="s">
        <v>599</v>
      </c>
      <c r="C17" s="165">
        <v>1</v>
      </c>
      <c r="D17" s="582" t="s">
        <v>499</v>
      </c>
      <c r="E17" s="845"/>
      <c r="F17" s="846"/>
      <c r="G17" s="582" t="s">
        <v>749</v>
      </c>
      <c r="H17" s="845"/>
      <c r="I17" s="846"/>
      <c r="J17" s="4">
        <v>436.5</v>
      </c>
      <c r="K17" s="14">
        <v>0.70521861777150918</v>
      </c>
      <c r="L17" s="4">
        <v>0.5</v>
      </c>
      <c r="M17" s="377">
        <v>218.25</v>
      </c>
      <c r="N17" s="166"/>
      <c r="O17" s="834" t="s">
        <v>586</v>
      </c>
      <c r="P17" s="835"/>
    </row>
    <row r="18" spans="1:16" ht="15.75" customHeight="1">
      <c r="A18" s="770"/>
      <c r="B18" s="852"/>
      <c r="C18" s="165">
        <v>2</v>
      </c>
      <c r="D18" s="582" t="s">
        <v>705</v>
      </c>
      <c r="E18" s="845"/>
      <c r="F18" s="846"/>
      <c r="G18" s="582" t="s">
        <v>750</v>
      </c>
      <c r="H18" s="845"/>
      <c r="I18" s="846"/>
      <c r="J18" s="4">
        <v>314.2</v>
      </c>
      <c r="K18" s="14">
        <v>0.37664783427495291</v>
      </c>
      <c r="L18" s="4">
        <v>0.6</v>
      </c>
      <c r="M18" s="377">
        <v>188.51999999999998</v>
      </c>
      <c r="N18" s="166"/>
      <c r="O18" s="834" t="s">
        <v>586</v>
      </c>
      <c r="P18" s="835"/>
    </row>
    <row r="19" spans="1:16" ht="15.75" customHeight="1">
      <c r="A19" s="770"/>
      <c r="B19" s="852"/>
      <c r="C19" s="165">
        <v>3</v>
      </c>
      <c r="D19" s="582" t="s">
        <v>552</v>
      </c>
      <c r="E19" s="845"/>
      <c r="F19" s="846"/>
      <c r="G19" s="582" t="s">
        <v>751</v>
      </c>
      <c r="H19" s="845"/>
      <c r="I19" s="846"/>
      <c r="J19" s="4">
        <v>95.58</v>
      </c>
      <c r="K19" s="14">
        <v>4.138216428719222E-2</v>
      </c>
      <c r="L19" s="4">
        <v>1.6</v>
      </c>
      <c r="M19" s="377">
        <v>152.928</v>
      </c>
      <c r="N19" s="166"/>
      <c r="O19" s="834" t="s">
        <v>586</v>
      </c>
      <c r="P19" s="835"/>
    </row>
    <row r="20" spans="1:16" ht="15.75" customHeight="1">
      <c r="A20" s="770"/>
      <c r="B20" s="852"/>
      <c r="C20" s="165">
        <v>4</v>
      </c>
      <c r="D20" s="582">
        <v>0</v>
      </c>
      <c r="E20" s="845"/>
      <c r="F20" s="846"/>
      <c r="G20" s="582">
        <v>0</v>
      </c>
      <c r="H20" s="845"/>
      <c r="I20" s="846"/>
      <c r="J20" s="4">
        <v>0</v>
      </c>
      <c r="K20" s="14">
        <v>0</v>
      </c>
      <c r="L20" s="4">
        <v>0</v>
      </c>
      <c r="M20" s="377">
        <v>0</v>
      </c>
      <c r="N20" s="166"/>
      <c r="O20" s="836"/>
      <c r="P20" s="837"/>
    </row>
    <row r="21" spans="1:16" ht="15.75" customHeight="1" thickBot="1">
      <c r="A21" s="770"/>
      <c r="B21" s="852"/>
      <c r="C21" s="167">
        <v>5</v>
      </c>
      <c r="D21" s="582">
        <v>0</v>
      </c>
      <c r="E21" s="845"/>
      <c r="F21" s="846"/>
      <c r="G21" s="582">
        <v>0</v>
      </c>
      <c r="H21" s="845"/>
      <c r="I21" s="846"/>
      <c r="J21" s="4">
        <v>0</v>
      </c>
      <c r="K21" s="14">
        <v>0</v>
      </c>
      <c r="L21" s="4">
        <v>0</v>
      </c>
      <c r="M21" s="377">
        <v>0</v>
      </c>
      <c r="N21" s="168"/>
      <c r="O21" s="836"/>
      <c r="P21" s="837"/>
    </row>
    <row r="22" spans="1:16" ht="15.75" customHeight="1" thickTop="1" thickBot="1">
      <c r="A22" s="771"/>
      <c r="B22" s="853"/>
      <c r="C22" s="860"/>
      <c r="D22" s="861"/>
      <c r="E22" s="861"/>
      <c r="F22" s="861"/>
      <c r="G22" s="861"/>
      <c r="H22" s="861"/>
      <c r="I22" s="862"/>
      <c r="J22" s="310" t="s">
        <v>595</v>
      </c>
      <c r="K22" s="239">
        <v>4.0162880616949979E-3</v>
      </c>
      <c r="L22" s="310" t="s">
        <v>596</v>
      </c>
      <c r="M22" s="378">
        <v>559.69799999999998</v>
      </c>
      <c r="N22" s="842"/>
      <c r="O22" s="843"/>
      <c r="P22" s="844"/>
    </row>
    <row r="23" spans="1:16" ht="15.75" customHeight="1" thickTop="1"/>
    <row r="24" spans="1:16" ht="15.75" customHeight="1">
      <c r="A24" s="849" t="s">
        <v>590</v>
      </c>
      <c r="B24" s="850"/>
      <c r="C24" s="570" t="s">
        <v>525</v>
      </c>
      <c r="D24" s="854" t="s">
        <v>12</v>
      </c>
      <c r="E24" s="855"/>
      <c r="F24" s="856"/>
      <c r="G24" s="568" t="s">
        <v>591</v>
      </c>
      <c r="H24" s="569"/>
      <c r="I24" s="570"/>
      <c r="J24" s="164" t="s">
        <v>592</v>
      </c>
      <c r="K24" s="164" t="s">
        <v>593</v>
      </c>
      <c r="L24" s="164" t="s">
        <v>594</v>
      </c>
      <c r="M24" s="164" t="s">
        <v>11</v>
      </c>
      <c r="N24" s="164" t="s">
        <v>13</v>
      </c>
      <c r="O24" s="847" t="s">
        <v>50</v>
      </c>
      <c r="P24" s="848"/>
    </row>
    <row r="25" spans="1:16" ht="15.75" customHeight="1">
      <c r="A25" s="769">
        <v>3</v>
      </c>
      <c r="B25" s="851" t="s">
        <v>356</v>
      </c>
      <c r="C25" s="165">
        <v>1</v>
      </c>
      <c r="D25" s="582" t="s">
        <v>661</v>
      </c>
      <c r="E25" s="845"/>
      <c r="F25" s="846"/>
      <c r="G25" s="582" t="s">
        <v>723</v>
      </c>
      <c r="H25" s="845"/>
      <c r="I25" s="846"/>
      <c r="J25" s="4">
        <v>234.88</v>
      </c>
      <c r="K25" s="14">
        <v>3.1459731543624164E-2</v>
      </c>
      <c r="L25" s="4">
        <v>0.9</v>
      </c>
      <c r="M25" s="377">
        <v>211.392</v>
      </c>
      <c r="N25" s="166"/>
      <c r="O25" s="836" t="s">
        <v>502</v>
      </c>
      <c r="P25" s="837"/>
    </row>
    <row r="26" spans="1:16" ht="15.75" customHeight="1">
      <c r="A26" s="770"/>
      <c r="B26" s="852"/>
      <c r="C26" s="165">
        <v>2</v>
      </c>
      <c r="D26" s="582" t="s">
        <v>578</v>
      </c>
      <c r="E26" s="845"/>
      <c r="F26" s="846"/>
      <c r="G26" s="582" t="s">
        <v>722</v>
      </c>
      <c r="H26" s="845"/>
      <c r="I26" s="846"/>
      <c r="J26" s="4">
        <v>125.59</v>
      </c>
      <c r="K26" s="14">
        <v>2.8810141169691734E-2</v>
      </c>
      <c r="L26" s="4">
        <v>1.6</v>
      </c>
      <c r="M26" s="377">
        <v>200.94400000000002</v>
      </c>
      <c r="N26" s="166"/>
      <c r="O26" s="836" t="s">
        <v>502</v>
      </c>
      <c r="P26" s="837"/>
    </row>
    <row r="27" spans="1:16" ht="15.75" customHeight="1">
      <c r="A27" s="770"/>
      <c r="B27" s="852"/>
      <c r="C27" s="165">
        <v>3</v>
      </c>
      <c r="D27" s="582" t="s">
        <v>341</v>
      </c>
      <c r="E27" s="845"/>
      <c r="F27" s="846"/>
      <c r="G27" s="582" t="s">
        <v>752</v>
      </c>
      <c r="H27" s="845"/>
      <c r="I27" s="846"/>
      <c r="J27" s="4">
        <v>151.29</v>
      </c>
      <c r="K27" s="14">
        <v>3.0388031790556335E-2</v>
      </c>
      <c r="L27" s="4">
        <v>1.3</v>
      </c>
      <c r="M27" s="377">
        <v>196.67699999999999</v>
      </c>
      <c r="N27" s="166"/>
      <c r="O27" s="836" t="s">
        <v>502</v>
      </c>
      <c r="P27" s="837"/>
    </row>
    <row r="28" spans="1:16" ht="15.75" customHeight="1">
      <c r="A28" s="770"/>
      <c r="B28" s="852"/>
      <c r="C28" s="165">
        <v>4</v>
      </c>
      <c r="D28" s="582" t="s">
        <v>500</v>
      </c>
      <c r="E28" s="845"/>
      <c r="F28" s="846"/>
      <c r="G28" s="582" t="s">
        <v>708</v>
      </c>
      <c r="H28" s="845"/>
      <c r="I28" s="846"/>
      <c r="J28" s="4">
        <v>101.45</v>
      </c>
      <c r="K28" s="14">
        <v>3.9189218610524483E-2</v>
      </c>
      <c r="L28" s="4">
        <v>1.8</v>
      </c>
      <c r="M28" s="377">
        <v>182.61</v>
      </c>
      <c r="N28" s="166"/>
      <c r="O28" s="836" t="s">
        <v>502</v>
      </c>
      <c r="P28" s="837"/>
    </row>
    <row r="29" spans="1:16" ht="15.75" customHeight="1" thickBot="1">
      <c r="A29" s="770"/>
      <c r="B29" s="852"/>
      <c r="C29" s="167">
        <v>5</v>
      </c>
      <c r="D29" s="582" t="s">
        <v>661</v>
      </c>
      <c r="E29" s="845"/>
      <c r="F29" s="846"/>
      <c r="G29" s="582" t="s">
        <v>753</v>
      </c>
      <c r="H29" s="845"/>
      <c r="I29" s="846"/>
      <c r="J29" s="4">
        <v>70.930000000000007</v>
      </c>
      <c r="K29" s="14">
        <v>5.451849267271458E-2</v>
      </c>
      <c r="L29" s="4">
        <v>2.5</v>
      </c>
      <c r="M29" s="377">
        <v>177.32500000000002</v>
      </c>
      <c r="N29" s="168"/>
      <c r="O29" s="836" t="s">
        <v>502</v>
      </c>
      <c r="P29" s="837"/>
    </row>
    <row r="30" spans="1:16" ht="15.75" customHeight="1" thickTop="1" thickBot="1">
      <c r="A30" s="771"/>
      <c r="B30" s="853"/>
      <c r="C30" s="857"/>
      <c r="D30" s="858"/>
      <c r="E30" s="858"/>
      <c r="F30" s="858"/>
      <c r="G30" s="858"/>
      <c r="H30" s="858"/>
      <c r="I30" s="859"/>
      <c r="J30" s="310" t="s">
        <v>595</v>
      </c>
      <c r="K30" s="239">
        <v>6.9529894421692506E-3</v>
      </c>
      <c r="L30" s="310" t="s">
        <v>596</v>
      </c>
      <c r="M30" s="378">
        <v>968.94800000000009</v>
      </c>
      <c r="N30" s="842"/>
      <c r="O30" s="843"/>
      <c r="P30" s="844"/>
    </row>
    <row r="31" spans="1:16" ht="15.75" customHeight="1" thickTop="1"/>
  </sheetData>
  <mergeCells count="85">
    <mergeCell ref="C30:I30"/>
    <mergeCell ref="N30:P30"/>
    <mergeCell ref="A25:A30"/>
    <mergeCell ref="B25:B30"/>
    <mergeCell ref="D25:F25"/>
    <mergeCell ref="G25:I25"/>
    <mergeCell ref="D26:F26"/>
    <mergeCell ref="G26:I26"/>
    <mergeCell ref="D27:F27"/>
    <mergeCell ref="G27:I27"/>
    <mergeCell ref="D28:F28"/>
    <mergeCell ref="G28:I28"/>
    <mergeCell ref="D21:F21"/>
    <mergeCell ref="G21:I21"/>
    <mergeCell ref="C22:I22"/>
    <mergeCell ref="N22:P22"/>
    <mergeCell ref="D29:F29"/>
    <mergeCell ref="G29:I29"/>
    <mergeCell ref="O25:P25"/>
    <mergeCell ref="O26:P26"/>
    <mergeCell ref="O27:P27"/>
    <mergeCell ref="O28:P28"/>
    <mergeCell ref="O29:P29"/>
    <mergeCell ref="A16:B16"/>
    <mergeCell ref="D16:F16"/>
    <mergeCell ref="A24:B24"/>
    <mergeCell ref="D24:F24"/>
    <mergeCell ref="O24:P24"/>
    <mergeCell ref="O16:P16"/>
    <mergeCell ref="A17:A22"/>
    <mergeCell ref="B17:B22"/>
    <mergeCell ref="D17:F17"/>
    <mergeCell ref="G17:I17"/>
    <mergeCell ref="D18:F18"/>
    <mergeCell ref="G18:I18"/>
    <mergeCell ref="D19:F19"/>
    <mergeCell ref="G19:I19"/>
    <mergeCell ref="D20:F20"/>
    <mergeCell ref="G20:I20"/>
    <mergeCell ref="A8:B8"/>
    <mergeCell ref="A9:A14"/>
    <mergeCell ref="B9:B14"/>
    <mergeCell ref="D8:F8"/>
    <mergeCell ref="C14:I14"/>
    <mergeCell ref="D9:F9"/>
    <mergeCell ref="D10:F10"/>
    <mergeCell ref="D11:F11"/>
    <mergeCell ref="G10:I10"/>
    <mergeCell ref="G11:I11"/>
    <mergeCell ref="G12:I12"/>
    <mergeCell ref="G13:I13"/>
    <mergeCell ref="N6:O6"/>
    <mergeCell ref="H5:I5"/>
    <mergeCell ref="H6:I6"/>
    <mergeCell ref="N14:P14"/>
    <mergeCell ref="D13:F13"/>
    <mergeCell ref="D12:F12"/>
    <mergeCell ref="O8:P8"/>
    <mergeCell ref="G9:I9"/>
    <mergeCell ref="O9:P9"/>
    <mergeCell ref="O10:P10"/>
    <mergeCell ref="O11:P11"/>
    <mergeCell ref="O12:P12"/>
    <mergeCell ref="O13:P13"/>
    <mergeCell ref="A1:Q2"/>
    <mergeCell ref="A3:M4"/>
    <mergeCell ref="P5:Q5"/>
    <mergeCell ref="P6:Q6"/>
    <mergeCell ref="A5:A6"/>
    <mergeCell ref="B5:C5"/>
    <mergeCell ref="D5:E5"/>
    <mergeCell ref="F5:G5"/>
    <mergeCell ref="F6:G6"/>
    <mergeCell ref="D6:E6"/>
    <mergeCell ref="B6:C6"/>
    <mergeCell ref="J5:K5"/>
    <mergeCell ref="L5:M5"/>
    <mergeCell ref="N5:O5"/>
    <mergeCell ref="J6:K6"/>
    <mergeCell ref="L6:M6"/>
    <mergeCell ref="O17:P17"/>
    <mergeCell ref="O18:P18"/>
    <mergeCell ref="O19:P19"/>
    <mergeCell ref="O20:P20"/>
    <mergeCell ref="O21:P21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92D050"/>
    <outlinePr summaryBelow="0" summaryRight="0"/>
  </sheetPr>
  <dimension ref="A1:Q39"/>
  <sheetViews>
    <sheetView view="pageBreakPreview" topLeftCell="A10" zoomScaleNormal="60" zoomScaleSheetLayoutView="100" workbookViewId="0">
      <selection activeCell="A8" sqref="A8:P38"/>
    </sheetView>
  </sheetViews>
  <sheetFormatPr defaultColWidth="12.5703125" defaultRowHeight="15.75" customHeight="1"/>
  <cols>
    <col min="1" max="1" width="5.42578125" style="76" customWidth="1"/>
    <col min="2" max="2" width="11.42578125" style="110" customWidth="1"/>
    <col min="3" max="3" width="4" style="108" customWidth="1"/>
    <col min="4" max="17" width="9.5703125" style="76" customWidth="1"/>
    <col min="18" max="16384" width="12.5703125" style="76"/>
  </cols>
  <sheetData>
    <row r="1" spans="1:17" s="114" customFormat="1" ht="15.75" customHeight="1">
      <c r="A1" s="604" t="s">
        <v>185</v>
      </c>
      <c r="B1" s="604"/>
      <c r="C1" s="604"/>
      <c r="D1" s="604"/>
      <c r="E1" s="604"/>
      <c r="F1" s="604"/>
      <c r="G1" s="604"/>
      <c r="H1" s="604"/>
      <c r="I1" s="604"/>
      <c r="J1" s="604"/>
      <c r="K1" s="604"/>
      <c r="L1" s="604"/>
      <c r="M1" s="604"/>
      <c r="N1" s="604"/>
      <c r="O1" s="604"/>
      <c r="P1" s="604"/>
      <c r="Q1" s="604"/>
    </row>
    <row r="2" spans="1:17" s="115" customFormat="1" ht="15.75" customHeight="1">
      <c r="A2" s="604"/>
      <c r="B2" s="604"/>
      <c r="C2" s="604"/>
      <c r="D2" s="604"/>
      <c r="E2" s="604"/>
      <c r="F2" s="604"/>
      <c r="G2" s="604"/>
      <c r="H2" s="604"/>
      <c r="I2" s="604"/>
      <c r="J2" s="604"/>
      <c r="K2" s="604"/>
      <c r="L2" s="604"/>
      <c r="M2" s="604"/>
      <c r="N2" s="604"/>
      <c r="O2" s="604"/>
      <c r="P2" s="604"/>
      <c r="Q2" s="604"/>
    </row>
    <row r="3" spans="1:17" s="114" customFormat="1" ht="15.75" customHeight="1">
      <c r="A3" s="720" t="s">
        <v>191</v>
      </c>
      <c r="B3" s="721"/>
      <c r="C3" s="721"/>
      <c r="D3" s="721"/>
      <c r="E3" s="721"/>
      <c r="F3" s="721"/>
      <c r="G3" s="721"/>
      <c r="H3" s="721"/>
      <c r="I3" s="721"/>
      <c r="J3" s="721"/>
      <c r="K3" s="721"/>
      <c r="L3" s="721"/>
      <c r="M3" s="721"/>
      <c r="N3" s="146"/>
    </row>
    <row r="4" spans="1:17" s="115" customFormat="1" ht="15.75" customHeight="1">
      <c r="A4" s="721"/>
      <c r="B4" s="721"/>
      <c r="C4" s="721"/>
      <c r="D4" s="721"/>
      <c r="E4" s="721"/>
      <c r="F4" s="721"/>
      <c r="G4" s="721"/>
      <c r="H4" s="721"/>
      <c r="I4" s="721"/>
      <c r="J4" s="721"/>
      <c r="K4" s="721"/>
      <c r="L4" s="721"/>
      <c r="M4" s="721"/>
      <c r="N4" s="125"/>
    </row>
    <row r="5" spans="1:17" s="114" customFormat="1" ht="15.75" customHeight="1">
      <c r="A5" s="621" t="s">
        <v>171</v>
      </c>
      <c r="B5" s="838">
        <v>1</v>
      </c>
      <c r="C5" s="838"/>
      <c r="D5" s="838">
        <v>2</v>
      </c>
      <c r="E5" s="838"/>
      <c r="F5" s="838">
        <v>3</v>
      </c>
      <c r="G5" s="838"/>
      <c r="H5" s="840">
        <v>4</v>
      </c>
      <c r="I5" s="840"/>
      <c r="J5" s="840">
        <v>5</v>
      </c>
      <c r="K5" s="840"/>
      <c r="L5" s="840">
        <v>6</v>
      </c>
      <c r="M5" s="840"/>
      <c r="N5" s="840">
        <v>7</v>
      </c>
      <c r="O5" s="840"/>
      <c r="P5" s="838">
        <v>8</v>
      </c>
      <c r="Q5" s="838"/>
    </row>
    <row r="6" spans="1:17" s="114" customFormat="1" ht="15.75" customHeight="1">
      <c r="A6" s="621"/>
      <c r="B6" s="621" t="s">
        <v>303</v>
      </c>
      <c r="C6" s="621"/>
      <c r="D6" s="621" t="s">
        <v>192</v>
      </c>
      <c r="E6" s="621"/>
      <c r="F6" s="621" t="s">
        <v>163</v>
      </c>
      <c r="G6" s="621"/>
      <c r="H6" s="841" t="s">
        <v>483</v>
      </c>
      <c r="I6" s="841"/>
      <c r="J6" s="841" t="s">
        <v>169</v>
      </c>
      <c r="K6" s="841"/>
      <c r="L6" s="841" t="s">
        <v>164</v>
      </c>
      <c r="M6" s="841"/>
      <c r="N6" s="841" t="s">
        <v>170</v>
      </c>
      <c r="O6" s="841"/>
      <c r="P6" s="839" t="s">
        <v>195</v>
      </c>
      <c r="Q6" s="621"/>
    </row>
    <row r="7" spans="1:17" s="114" customFormat="1" ht="15.75" customHeight="1">
      <c r="B7" s="169"/>
      <c r="C7" s="155"/>
    </row>
    <row r="8" spans="1:17" s="109" customFormat="1" ht="15.75" customHeight="1">
      <c r="A8" s="863" t="s">
        <v>590</v>
      </c>
      <c r="B8" s="863"/>
      <c r="C8" s="573" t="s">
        <v>525</v>
      </c>
      <c r="D8" s="864" t="s">
        <v>12</v>
      </c>
      <c r="E8" s="865"/>
      <c r="F8" s="866"/>
      <c r="G8" s="571" t="s">
        <v>591</v>
      </c>
      <c r="H8" s="572"/>
      <c r="I8" s="573"/>
      <c r="J8" s="113" t="s">
        <v>592</v>
      </c>
      <c r="K8" s="113" t="s">
        <v>593</v>
      </c>
      <c r="L8" s="113" t="s">
        <v>594</v>
      </c>
      <c r="M8" s="113" t="s">
        <v>11</v>
      </c>
      <c r="N8" s="164" t="s">
        <v>13</v>
      </c>
      <c r="O8" s="867" t="s">
        <v>50</v>
      </c>
      <c r="P8" s="868"/>
    </row>
    <row r="9" spans="1:17" ht="15.75" customHeight="1">
      <c r="A9" s="863">
        <v>4</v>
      </c>
      <c r="B9" s="869" t="s">
        <v>483</v>
      </c>
      <c r="C9" s="111">
        <v>1</v>
      </c>
      <c r="D9" s="582" t="s">
        <v>560</v>
      </c>
      <c r="E9" s="845"/>
      <c r="F9" s="846"/>
      <c r="G9" s="582" t="s">
        <v>754</v>
      </c>
      <c r="H9" s="845"/>
      <c r="I9" s="846"/>
      <c r="J9" s="4">
        <v>130.12</v>
      </c>
      <c r="K9" s="14">
        <v>1.7263703064307294E-2</v>
      </c>
      <c r="L9" s="4">
        <v>1.6</v>
      </c>
      <c r="M9" s="377">
        <v>208.19200000000001</v>
      </c>
      <c r="N9" s="4"/>
      <c r="O9" s="836" t="s">
        <v>597</v>
      </c>
      <c r="P9" s="837"/>
      <c r="Q9" s="254"/>
    </row>
    <row r="10" spans="1:17" ht="15.75" customHeight="1">
      <c r="A10" s="863"/>
      <c r="B10" s="869"/>
      <c r="C10" s="111">
        <v>2</v>
      </c>
      <c r="D10" s="582" t="s">
        <v>328</v>
      </c>
      <c r="E10" s="845"/>
      <c r="F10" s="846"/>
      <c r="G10" s="582" t="s">
        <v>755</v>
      </c>
      <c r="H10" s="845"/>
      <c r="I10" s="846"/>
      <c r="J10" s="4">
        <v>169.36</v>
      </c>
      <c r="K10" s="14">
        <v>1.4049054615699818E-2</v>
      </c>
      <c r="L10" s="4">
        <v>1.2</v>
      </c>
      <c r="M10" s="377">
        <v>203.232</v>
      </c>
      <c r="N10" s="4"/>
      <c r="O10" s="836" t="s">
        <v>597</v>
      </c>
      <c r="P10" s="837"/>
      <c r="Q10" s="254"/>
    </row>
    <row r="11" spans="1:17" ht="15.75" customHeight="1">
      <c r="A11" s="863"/>
      <c r="B11" s="869"/>
      <c r="C11" s="111">
        <v>3</v>
      </c>
      <c r="D11" s="582" t="s">
        <v>629</v>
      </c>
      <c r="E11" s="845"/>
      <c r="F11" s="846"/>
      <c r="G11" s="582" t="s">
        <v>734</v>
      </c>
      <c r="H11" s="845"/>
      <c r="I11" s="846"/>
      <c r="J11" s="4">
        <v>74.150000000000006</v>
      </c>
      <c r="K11" s="14">
        <v>1.488316713796696E-2</v>
      </c>
      <c r="L11" s="4">
        <v>2.7</v>
      </c>
      <c r="M11" s="377">
        <v>200.20500000000004</v>
      </c>
      <c r="N11" s="4"/>
      <c r="O11" s="836" t="s">
        <v>597</v>
      </c>
      <c r="P11" s="837"/>
      <c r="Q11" s="254"/>
    </row>
    <row r="12" spans="1:17" ht="15.75" customHeight="1">
      <c r="A12" s="863"/>
      <c r="B12" s="869"/>
      <c r="C12" s="111">
        <v>4</v>
      </c>
      <c r="D12" s="582" t="s">
        <v>328</v>
      </c>
      <c r="E12" s="845"/>
      <c r="F12" s="846"/>
      <c r="G12" s="582" t="s">
        <v>640</v>
      </c>
      <c r="H12" s="845"/>
      <c r="I12" s="846"/>
      <c r="J12" s="4">
        <v>111.17</v>
      </c>
      <c r="K12" s="14">
        <v>8.2026603961884974E-3</v>
      </c>
      <c r="L12" s="4">
        <v>1.8</v>
      </c>
      <c r="M12" s="377">
        <v>200.10599999999999</v>
      </c>
      <c r="N12" s="4"/>
      <c r="O12" s="836" t="s">
        <v>597</v>
      </c>
      <c r="P12" s="837"/>
      <c r="Q12" s="254"/>
    </row>
    <row r="13" spans="1:17" ht="15.75" customHeight="1" thickBot="1">
      <c r="A13" s="863"/>
      <c r="B13" s="869"/>
      <c r="C13" s="112">
        <v>5</v>
      </c>
      <c r="D13" s="582" t="s">
        <v>634</v>
      </c>
      <c r="E13" s="845"/>
      <c r="F13" s="846"/>
      <c r="G13" s="582" t="s">
        <v>724</v>
      </c>
      <c r="H13" s="845"/>
      <c r="I13" s="846"/>
      <c r="J13" s="4">
        <v>70.62</v>
      </c>
      <c r="K13" s="14">
        <v>1.4332514332514331E-2</v>
      </c>
      <c r="L13" s="4">
        <v>2.8</v>
      </c>
      <c r="M13" s="377">
        <v>197.73599999999999</v>
      </c>
      <c r="N13" s="27"/>
      <c r="O13" s="836" t="s">
        <v>597</v>
      </c>
      <c r="P13" s="837"/>
      <c r="Q13" s="254"/>
    </row>
    <row r="14" spans="1:17" ht="15.75" customHeight="1" thickTop="1" thickBot="1">
      <c r="A14" s="863"/>
      <c r="B14" s="869"/>
      <c r="C14" s="871"/>
      <c r="D14" s="871"/>
      <c r="E14" s="871"/>
      <c r="F14" s="871"/>
      <c r="G14" s="871"/>
      <c r="H14" s="871"/>
      <c r="I14" s="871"/>
      <c r="J14" s="574" t="s">
        <v>595</v>
      </c>
      <c r="K14" s="239">
        <v>7.24377490347886E-3</v>
      </c>
      <c r="L14" s="574" t="s">
        <v>596</v>
      </c>
      <c r="M14" s="378">
        <v>1009.471</v>
      </c>
      <c r="N14" s="870"/>
      <c r="O14" s="870"/>
      <c r="P14" s="870"/>
      <c r="Q14" s="254"/>
    </row>
    <row r="15" spans="1:17" ht="15.75" customHeight="1" thickTop="1">
      <c r="A15" s="566"/>
      <c r="D15" s="566"/>
      <c r="E15" s="566"/>
      <c r="F15" s="566"/>
      <c r="G15" s="566"/>
      <c r="H15" s="566"/>
      <c r="I15" s="566"/>
      <c r="J15" s="566"/>
      <c r="K15" s="566"/>
      <c r="L15" s="566"/>
      <c r="M15" s="566"/>
      <c r="N15" s="566"/>
      <c r="O15" s="566"/>
      <c r="P15" s="566"/>
      <c r="Q15" s="254"/>
    </row>
    <row r="16" spans="1:17" ht="15.75" customHeight="1">
      <c r="A16" s="863" t="s">
        <v>590</v>
      </c>
      <c r="B16" s="863"/>
      <c r="C16" s="573" t="s">
        <v>525</v>
      </c>
      <c r="D16" s="864" t="s">
        <v>12</v>
      </c>
      <c r="E16" s="865"/>
      <c r="F16" s="866"/>
      <c r="G16" s="571" t="s">
        <v>591</v>
      </c>
      <c r="H16" s="572"/>
      <c r="I16" s="573"/>
      <c r="J16" s="113" t="s">
        <v>592</v>
      </c>
      <c r="K16" s="113" t="s">
        <v>593</v>
      </c>
      <c r="L16" s="113" t="s">
        <v>594</v>
      </c>
      <c r="M16" s="113" t="s">
        <v>11</v>
      </c>
      <c r="N16" s="164" t="s">
        <v>13</v>
      </c>
      <c r="O16" s="867" t="s">
        <v>50</v>
      </c>
      <c r="P16" s="868"/>
      <c r="Q16" s="254"/>
    </row>
    <row r="17" spans="1:17" ht="15.75" customHeight="1">
      <c r="A17" s="863">
        <v>5</v>
      </c>
      <c r="B17" s="869" t="s">
        <v>193</v>
      </c>
      <c r="C17" s="111">
        <v>1</v>
      </c>
      <c r="D17" s="582" t="s">
        <v>718</v>
      </c>
      <c r="E17" s="845"/>
      <c r="F17" s="846"/>
      <c r="G17" s="582" t="s">
        <v>729</v>
      </c>
      <c r="H17" s="845"/>
      <c r="I17" s="846"/>
      <c r="J17" s="4">
        <v>427.62</v>
      </c>
      <c r="K17" s="14">
        <v>1.1924351911473612E-2</v>
      </c>
      <c r="L17" s="4">
        <v>0.5</v>
      </c>
      <c r="M17" s="377">
        <v>213.81</v>
      </c>
      <c r="N17" s="4"/>
      <c r="O17" s="836" t="s">
        <v>495</v>
      </c>
      <c r="P17" s="837"/>
      <c r="Q17" s="254"/>
    </row>
    <row r="18" spans="1:17" ht="15.75" customHeight="1">
      <c r="A18" s="863"/>
      <c r="B18" s="869"/>
      <c r="C18" s="111">
        <v>2</v>
      </c>
      <c r="D18" s="582" t="s">
        <v>340</v>
      </c>
      <c r="E18" s="845"/>
      <c r="F18" s="846"/>
      <c r="G18" s="582" t="s">
        <v>756</v>
      </c>
      <c r="H18" s="845"/>
      <c r="I18" s="846"/>
      <c r="J18" s="4">
        <v>420.33</v>
      </c>
      <c r="K18" s="14">
        <v>9.8658247829518549E-3</v>
      </c>
      <c r="L18" s="4">
        <v>0.5</v>
      </c>
      <c r="M18" s="377">
        <v>210.16499999999999</v>
      </c>
      <c r="N18" s="4"/>
      <c r="O18" s="836" t="s">
        <v>495</v>
      </c>
      <c r="P18" s="837"/>
      <c r="Q18" s="254"/>
    </row>
    <row r="19" spans="1:17" ht="15.75" customHeight="1">
      <c r="A19" s="863"/>
      <c r="B19" s="869"/>
      <c r="C19" s="111">
        <v>3</v>
      </c>
      <c r="D19" s="582" t="s">
        <v>550</v>
      </c>
      <c r="E19" s="845"/>
      <c r="F19" s="846"/>
      <c r="G19" s="582" t="s">
        <v>652</v>
      </c>
      <c r="H19" s="845"/>
      <c r="I19" s="846"/>
      <c r="J19" s="4">
        <v>297.35000000000002</v>
      </c>
      <c r="K19" s="14">
        <v>1.960509732530458E-2</v>
      </c>
      <c r="L19" s="4">
        <v>0.7</v>
      </c>
      <c r="M19" s="377">
        <v>208.14500000000001</v>
      </c>
      <c r="N19" s="4"/>
      <c r="O19" s="836" t="s">
        <v>495</v>
      </c>
      <c r="P19" s="837"/>
      <c r="Q19" s="254"/>
    </row>
    <row r="20" spans="1:17" ht="15.75" customHeight="1">
      <c r="A20" s="863"/>
      <c r="B20" s="869"/>
      <c r="C20" s="111">
        <v>4</v>
      </c>
      <c r="D20" s="582" t="s">
        <v>705</v>
      </c>
      <c r="E20" s="845"/>
      <c r="F20" s="846"/>
      <c r="G20" s="582" t="s">
        <v>717</v>
      </c>
      <c r="H20" s="845"/>
      <c r="I20" s="846"/>
      <c r="J20" s="4">
        <v>517.52</v>
      </c>
      <c r="K20" s="14">
        <v>1.9391118867558659E-2</v>
      </c>
      <c r="L20" s="4">
        <v>0.4</v>
      </c>
      <c r="M20" s="377">
        <v>207.00800000000001</v>
      </c>
      <c r="N20" s="4"/>
      <c r="O20" s="836" t="s">
        <v>495</v>
      </c>
      <c r="P20" s="837"/>
      <c r="Q20" s="254"/>
    </row>
    <row r="21" spans="1:17" ht="15.75" customHeight="1" thickBot="1">
      <c r="A21" s="863"/>
      <c r="B21" s="869"/>
      <c r="C21" s="112">
        <v>5</v>
      </c>
      <c r="D21" s="582" t="s">
        <v>659</v>
      </c>
      <c r="E21" s="845"/>
      <c r="F21" s="846"/>
      <c r="G21" s="582" t="s">
        <v>757</v>
      </c>
      <c r="H21" s="845"/>
      <c r="I21" s="846"/>
      <c r="J21" s="4">
        <v>344.19</v>
      </c>
      <c r="K21" s="14">
        <v>9.6246390760346481E-3</v>
      </c>
      <c r="L21" s="4">
        <v>0.6</v>
      </c>
      <c r="M21" s="377">
        <v>206.51399999999998</v>
      </c>
      <c r="N21" s="4"/>
      <c r="O21" s="836" t="s">
        <v>495</v>
      </c>
      <c r="P21" s="837"/>
      <c r="Q21" s="254"/>
    </row>
    <row r="22" spans="1:17" ht="15.75" customHeight="1" thickTop="1" thickBot="1">
      <c r="A22" s="863"/>
      <c r="B22" s="869"/>
      <c r="C22" s="875"/>
      <c r="D22" s="875"/>
      <c r="E22" s="875"/>
      <c r="F22" s="875"/>
      <c r="G22" s="875"/>
      <c r="H22" s="875"/>
      <c r="I22" s="876"/>
      <c r="J22" s="517" t="s">
        <v>595</v>
      </c>
      <c r="K22" s="239">
        <v>7.5033312275671546E-3</v>
      </c>
      <c r="L22" s="517" t="s">
        <v>596</v>
      </c>
      <c r="M22" s="378">
        <v>1045.6420000000001</v>
      </c>
      <c r="N22" s="872"/>
      <c r="O22" s="873"/>
      <c r="P22" s="874"/>
      <c r="Q22" s="254"/>
    </row>
    <row r="23" spans="1:17" ht="15.75" customHeight="1" thickTop="1">
      <c r="A23" s="566"/>
      <c r="D23" s="566"/>
      <c r="E23" s="566"/>
      <c r="F23" s="566"/>
      <c r="G23" s="566"/>
      <c r="H23" s="566"/>
      <c r="I23" s="566"/>
      <c r="J23" s="566"/>
      <c r="K23" s="566"/>
      <c r="L23" s="566"/>
      <c r="M23" s="566"/>
      <c r="N23" s="566"/>
      <c r="O23" s="566"/>
      <c r="P23" s="566"/>
      <c r="Q23" s="254"/>
    </row>
    <row r="24" spans="1:17" ht="15.75" customHeight="1">
      <c r="A24" s="863" t="s">
        <v>590</v>
      </c>
      <c r="B24" s="863"/>
      <c r="C24" s="573" t="s">
        <v>525</v>
      </c>
      <c r="D24" s="864" t="s">
        <v>12</v>
      </c>
      <c r="E24" s="865"/>
      <c r="F24" s="866"/>
      <c r="G24" s="571" t="s">
        <v>591</v>
      </c>
      <c r="H24" s="572"/>
      <c r="I24" s="573"/>
      <c r="J24" s="113" t="s">
        <v>592</v>
      </c>
      <c r="K24" s="113" t="s">
        <v>593</v>
      </c>
      <c r="L24" s="113" t="s">
        <v>594</v>
      </c>
      <c r="M24" s="113" t="s">
        <v>11</v>
      </c>
      <c r="N24" s="164" t="s">
        <v>13</v>
      </c>
      <c r="O24" s="867" t="s">
        <v>50</v>
      </c>
      <c r="P24" s="868"/>
      <c r="Q24" s="254"/>
    </row>
    <row r="25" spans="1:17" ht="15.75" customHeight="1">
      <c r="A25" s="863">
        <v>6</v>
      </c>
      <c r="B25" s="869" t="s">
        <v>194</v>
      </c>
      <c r="C25" s="111">
        <v>1</v>
      </c>
      <c r="D25" s="582" t="s">
        <v>585</v>
      </c>
      <c r="E25" s="845"/>
      <c r="F25" s="846"/>
      <c r="G25" s="582" t="s">
        <v>329</v>
      </c>
      <c r="H25" s="845"/>
      <c r="I25" s="846"/>
      <c r="J25" s="4">
        <v>487.66</v>
      </c>
      <c r="K25" s="14">
        <v>1.0778475384656842E-2</v>
      </c>
      <c r="L25" s="4">
        <v>0.4</v>
      </c>
      <c r="M25" s="377">
        <v>195.06400000000002</v>
      </c>
      <c r="N25" s="4"/>
      <c r="O25" s="836" t="s">
        <v>600</v>
      </c>
      <c r="P25" s="837"/>
      <c r="Q25" s="254"/>
    </row>
    <row r="26" spans="1:17" ht="15.75" customHeight="1">
      <c r="A26" s="863"/>
      <c r="B26" s="869"/>
      <c r="C26" s="111">
        <v>2</v>
      </c>
      <c r="D26" s="582" t="s">
        <v>704</v>
      </c>
      <c r="E26" s="845"/>
      <c r="F26" s="846"/>
      <c r="G26" s="582" t="s">
        <v>656</v>
      </c>
      <c r="H26" s="845"/>
      <c r="I26" s="846"/>
      <c r="J26" s="4">
        <v>444.88</v>
      </c>
      <c r="K26" s="14">
        <v>1.5660480776759845E-2</v>
      </c>
      <c r="L26" s="4">
        <v>0.4</v>
      </c>
      <c r="M26" s="377">
        <v>177.952</v>
      </c>
      <c r="N26" s="4"/>
      <c r="O26" s="836" t="s">
        <v>600</v>
      </c>
      <c r="P26" s="837"/>
      <c r="Q26" s="254"/>
    </row>
    <row r="27" spans="1:17" ht="15.75" customHeight="1">
      <c r="A27" s="863"/>
      <c r="B27" s="869"/>
      <c r="C27" s="111">
        <v>3</v>
      </c>
      <c r="D27" s="582">
        <v>0</v>
      </c>
      <c r="E27" s="845"/>
      <c r="F27" s="846"/>
      <c r="G27" s="582">
        <v>0</v>
      </c>
      <c r="H27" s="845"/>
      <c r="I27" s="846"/>
      <c r="J27" s="4">
        <v>0</v>
      </c>
      <c r="K27" s="14">
        <v>0</v>
      </c>
      <c r="L27" s="4">
        <v>0</v>
      </c>
      <c r="M27" s="377">
        <v>0</v>
      </c>
      <c r="N27" s="4"/>
      <c r="O27" s="836"/>
      <c r="P27" s="837"/>
      <c r="Q27" s="254"/>
    </row>
    <row r="28" spans="1:17" ht="15.75" customHeight="1">
      <c r="A28" s="863"/>
      <c r="B28" s="869"/>
      <c r="C28" s="111">
        <v>4</v>
      </c>
      <c r="D28" s="582">
        <v>0</v>
      </c>
      <c r="E28" s="845"/>
      <c r="F28" s="846"/>
      <c r="G28" s="582">
        <v>0</v>
      </c>
      <c r="H28" s="845"/>
      <c r="I28" s="846"/>
      <c r="J28" s="4">
        <v>0</v>
      </c>
      <c r="K28" s="14">
        <v>0</v>
      </c>
      <c r="L28" s="4">
        <v>0</v>
      </c>
      <c r="M28" s="377">
        <v>0</v>
      </c>
      <c r="N28" s="4"/>
      <c r="O28" s="836"/>
      <c r="P28" s="837"/>
      <c r="Q28" s="254"/>
    </row>
    <row r="29" spans="1:17" ht="15.75" customHeight="1" thickBot="1">
      <c r="A29" s="863"/>
      <c r="B29" s="869"/>
      <c r="C29" s="112">
        <v>5</v>
      </c>
      <c r="D29" s="582">
        <v>0</v>
      </c>
      <c r="E29" s="845"/>
      <c r="F29" s="846"/>
      <c r="G29" s="582">
        <v>0</v>
      </c>
      <c r="H29" s="845"/>
      <c r="I29" s="846"/>
      <c r="J29" s="4">
        <v>0</v>
      </c>
      <c r="K29" s="14">
        <v>0</v>
      </c>
      <c r="L29" s="4">
        <v>0</v>
      </c>
      <c r="M29" s="377">
        <v>0</v>
      </c>
      <c r="N29" s="4"/>
      <c r="O29" s="836"/>
      <c r="P29" s="837"/>
      <c r="Q29" s="254"/>
    </row>
    <row r="30" spans="1:17" ht="15.75" customHeight="1" thickTop="1" thickBot="1">
      <c r="A30" s="863"/>
      <c r="B30" s="869"/>
      <c r="C30" s="875"/>
      <c r="D30" s="875"/>
      <c r="E30" s="875"/>
      <c r="F30" s="875"/>
      <c r="G30" s="875"/>
      <c r="H30" s="875"/>
      <c r="I30" s="876"/>
      <c r="J30" s="517" t="s">
        <v>595</v>
      </c>
      <c r="K30" s="239">
        <v>2.6766929801807786E-3</v>
      </c>
      <c r="L30" s="517" t="s">
        <v>596</v>
      </c>
      <c r="M30" s="378">
        <v>373.01600000000002</v>
      </c>
      <c r="N30" s="872"/>
      <c r="O30" s="873"/>
      <c r="P30" s="874"/>
      <c r="Q30" s="254"/>
    </row>
    <row r="31" spans="1:17" ht="15.75" customHeight="1" thickTop="1">
      <c r="A31" s="566"/>
      <c r="D31" s="566"/>
      <c r="E31" s="566"/>
      <c r="F31" s="566"/>
      <c r="G31" s="566"/>
      <c r="H31" s="566"/>
      <c r="I31" s="566"/>
      <c r="J31" s="566"/>
      <c r="K31" s="566"/>
      <c r="L31" s="566"/>
      <c r="M31" s="566"/>
      <c r="N31" s="566"/>
      <c r="O31" s="566"/>
      <c r="P31" s="566"/>
      <c r="Q31" s="254"/>
    </row>
    <row r="32" spans="1:17" ht="15.75" customHeight="1">
      <c r="A32" s="863" t="s">
        <v>590</v>
      </c>
      <c r="B32" s="863"/>
      <c r="C32" s="573" t="s">
        <v>525</v>
      </c>
      <c r="D32" s="864" t="s">
        <v>12</v>
      </c>
      <c r="E32" s="865"/>
      <c r="F32" s="866"/>
      <c r="G32" s="571" t="s">
        <v>591</v>
      </c>
      <c r="H32" s="572"/>
      <c r="I32" s="573"/>
      <c r="J32" s="113" t="s">
        <v>592</v>
      </c>
      <c r="K32" s="113" t="s">
        <v>593</v>
      </c>
      <c r="L32" s="113" t="s">
        <v>594</v>
      </c>
      <c r="M32" s="113" t="s">
        <v>11</v>
      </c>
      <c r="N32" s="113" t="s">
        <v>13</v>
      </c>
      <c r="O32" s="867" t="s">
        <v>50</v>
      </c>
      <c r="P32" s="868"/>
      <c r="Q32" s="254"/>
    </row>
    <row r="33" spans="1:17" ht="15.75" customHeight="1">
      <c r="A33" s="863">
        <v>7</v>
      </c>
      <c r="B33" s="869" t="s">
        <v>496</v>
      </c>
      <c r="C33" s="111">
        <v>1</v>
      </c>
      <c r="D33" s="582" t="s">
        <v>634</v>
      </c>
      <c r="E33" s="845"/>
      <c r="F33" s="846"/>
      <c r="G33" s="582" t="s">
        <v>635</v>
      </c>
      <c r="H33" s="845"/>
      <c r="I33" s="846"/>
      <c r="J33" s="4">
        <v>1010.1</v>
      </c>
      <c r="K33" s="14">
        <v>2.2084805653710252E-2</v>
      </c>
      <c r="L33" s="4">
        <v>0.2</v>
      </c>
      <c r="M33" s="377">
        <v>202.02</v>
      </c>
      <c r="N33" s="4"/>
      <c r="O33" s="836" t="s">
        <v>561</v>
      </c>
      <c r="P33" s="837"/>
      <c r="Q33" s="254"/>
    </row>
    <row r="34" spans="1:17" ht="15.75" customHeight="1">
      <c r="A34" s="863"/>
      <c r="B34" s="869"/>
      <c r="C34" s="111">
        <v>2</v>
      </c>
      <c r="D34" s="582" t="s">
        <v>582</v>
      </c>
      <c r="E34" s="845"/>
      <c r="F34" s="846"/>
      <c r="G34" s="582" t="s">
        <v>639</v>
      </c>
      <c r="H34" s="845"/>
      <c r="I34" s="846"/>
      <c r="J34" s="4">
        <v>935.2</v>
      </c>
      <c r="K34" s="14">
        <v>1.9149751053236307E-2</v>
      </c>
      <c r="L34" s="4">
        <v>0.2</v>
      </c>
      <c r="M34" s="377">
        <v>187.04000000000002</v>
      </c>
      <c r="N34" s="4"/>
      <c r="O34" s="836" t="s">
        <v>561</v>
      </c>
      <c r="P34" s="837"/>
      <c r="Q34" s="254"/>
    </row>
    <row r="35" spans="1:17" ht="15.75" customHeight="1">
      <c r="A35" s="863"/>
      <c r="B35" s="869"/>
      <c r="C35" s="111">
        <v>3</v>
      </c>
      <c r="D35" s="582" t="s">
        <v>634</v>
      </c>
      <c r="E35" s="845"/>
      <c r="F35" s="846"/>
      <c r="G35" s="582" t="s">
        <v>638</v>
      </c>
      <c r="H35" s="845"/>
      <c r="I35" s="846"/>
      <c r="J35" s="4">
        <v>622.54999999999995</v>
      </c>
      <c r="K35" s="14">
        <v>0.1557632398753894</v>
      </c>
      <c r="L35" s="4">
        <v>0.3</v>
      </c>
      <c r="M35" s="377">
        <v>186.76499999999999</v>
      </c>
      <c r="N35" s="4"/>
      <c r="O35" s="836" t="s">
        <v>561</v>
      </c>
      <c r="P35" s="837"/>
      <c r="Q35" s="254"/>
    </row>
    <row r="36" spans="1:17" ht="15.75" customHeight="1">
      <c r="A36" s="863"/>
      <c r="B36" s="869"/>
      <c r="C36" s="111">
        <v>4</v>
      </c>
      <c r="D36" s="582" t="s">
        <v>550</v>
      </c>
      <c r="E36" s="845"/>
      <c r="F36" s="846"/>
      <c r="G36" s="582" t="s">
        <v>758</v>
      </c>
      <c r="H36" s="845"/>
      <c r="I36" s="846"/>
      <c r="J36" s="4">
        <v>930.36</v>
      </c>
      <c r="K36" s="14">
        <v>1.5893197711379529E-2</v>
      </c>
      <c r="L36" s="4">
        <v>0.2</v>
      </c>
      <c r="M36" s="377">
        <v>186.072</v>
      </c>
      <c r="N36" s="4"/>
      <c r="O36" s="836" t="s">
        <v>561</v>
      </c>
      <c r="P36" s="837"/>
      <c r="Q36" s="254"/>
    </row>
    <row r="37" spans="1:17" ht="15.75" customHeight="1" thickBot="1">
      <c r="A37" s="863"/>
      <c r="B37" s="869"/>
      <c r="C37" s="112">
        <v>5</v>
      </c>
      <c r="D37" s="582">
        <v>0</v>
      </c>
      <c r="E37" s="845"/>
      <c r="F37" s="846"/>
      <c r="G37" s="582">
        <v>0</v>
      </c>
      <c r="H37" s="845"/>
      <c r="I37" s="846"/>
      <c r="J37" s="4">
        <v>0</v>
      </c>
      <c r="K37" s="14">
        <v>0</v>
      </c>
      <c r="L37" s="4">
        <v>0</v>
      </c>
      <c r="M37" s="377">
        <v>0</v>
      </c>
      <c r="N37" s="4"/>
      <c r="O37" s="836"/>
      <c r="P37" s="837"/>
      <c r="Q37" s="254"/>
    </row>
    <row r="38" spans="1:17" ht="15.75" customHeight="1" thickTop="1" thickBot="1">
      <c r="A38" s="863"/>
      <c r="B38" s="869"/>
      <c r="C38" s="875"/>
      <c r="D38" s="875"/>
      <c r="E38" s="875"/>
      <c r="F38" s="875"/>
      <c r="G38" s="875"/>
      <c r="H38" s="875"/>
      <c r="I38" s="876"/>
      <c r="J38" s="517" t="s">
        <v>595</v>
      </c>
      <c r="K38" s="239">
        <v>5.4672302301263069E-3</v>
      </c>
      <c r="L38" s="517" t="s">
        <v>596</v>
      </c>
      <c r="M38" s="378">
        <v>761.89700000000005</v>
      </c>
      <c r="N38" s="872"/>
      <c r="O38" s="873"/>
      <c r="P38" s="874"/>
      <c r="Q38" s="254"/>
    </row>
    <row r="39" spans="1:17" ht="15.75" customHeight="1" thickTop="1"/>
  </sheetData>
  <mergeCells count="107">
    <mergeCell ref="A24:B24"/>
    <mergeCell ref="D24:F24"/>
    <mergeCell ref="O24:P24"/>
    <mergeCell ref="G28:I28"/>
    <mergeCell ref="A33:A38"/>
    <mergeCell ref="B33:B38"/>
    <mergeCell ref="D33:F33"/>
    <mergeCell ref="G33:I33"/>
    <mergeCell ref="D34:F34"/>
    <mergeCell ref="C30:I30"/>
    <mergeCell ref="D29:F29"/>
    <mergeCell ref="G29:I29"/>
    <mergeCell ref="A25:A30"/>
    <mergeCell ref="B25:B30"/>
    <mergeCell ref="D25:F25"/>
    <mergeCell ref="G25:I25"/>
    <mergeCell ref="D26:F26"/>
    <mergeCell ref="G26:I26"/>
    <mergeCell ref="D27:F27"/>
    <mergeCell ref="N30:P30"/>
    <mergeCell ref="A32:B32"/>
    <mergeCell ref="D32:F32"/>
    <mergeCell ref="O32:P32"/>
    <mergeCell ref="C38:I38"/>
    <mergeCell ref="N38:P38"/>
    <mergeCell ref="G34:I34"/>
    <mergeCell ref="D35:F35"/>
    <mergeCell ref="G27:I27"/>
    <mergeCell ref="D28:F28"/>
    <mergeCell ref="O36:P36"/>
    <mergeCell ref="O37:P37"/>
    <mergeCell ref="G35:I35"/>
    <mergeCell ref="D36:F36"/>
    <mergeCell ref="G36:I36"/>
    <mergeCell ref="D37:F37"/>
    <mergeCell ref="G37:I37"/>
    <mergeCell ref="O33:P33"/>
    <mergeCell ref="O34:P34"/>
    <mergeCell ref="O35:P35"/>
    <mergeCell ref="A16:B16"/>
    <mergeCell ref="D16:F16"/>
    <mergeCell ref="O16:P16"/>
    <mergeCell ref="A17:A22"/>
    <mergeCell ref="B17:B22"/>
    <mergeCell ref="D17:F17"/>
    <mergeCell ref="G17:I17"/>
    <mergeCell ref="D18:F18"/>
    <mergeCell ref="G18:I18"/>
    <mergeCell ref="D21:F21"/>
    <mergeCell ref="G21:I21"/>
    <mergeCell ref="N22:P22"/>
    <mergeCell ref="O19:P19"/>
    <mergeCell ref="O20:P20"/>
    <mergeCell ref="O21:P21"/>
    <mergeCell ref="D19:F19"/>
    <mergeCell ref="G19:I19"/>
    <mergeCell ref="D20:F20"/>
    <mergeCell ref="G20:I20"/>
    <mergeCell ref="C22:I22"/>
    <mergeCell ref="A8:B8"/>
    <mergeCell ref="D8:F8"/>
    <mergeCell ref="O8:P8"/>
    <mergeCell ref="A9:A14"/>
    <mergeCell ref="B9:B14"/>
    <mergeCell ref="D9:F9"/>
    <mergeCell ref="G9:I9"/>
    <mergeCell ref="D10:F10"/>
    <mergeCell ref="G10:I10"/>
    <mergeCell ref="D11:F11"/>
    <mergeCell ref="G11:I11"/>
    <mergeCell ref="D12:F12"/>
    <mergeCell ref="G12:I12"/>
    <mergeCell ref="D13:F13"/>
    <mergeCell ref="G13:I13"/>
    <mergeCell ref="N14:P14"/>
    <mergeCell ref="O9:P9"/>
    <mergeCell ref="O10:P10"/>
    <mergeCell ref="C14:I14"/>
    <mergeCell ref="A1:Q2"/>
    <mergeCell ref="P5:Q5"/>
    <mergeCell ref="P6:Q6"/>
    <mergeCell ref="N5:O5"/>
    <mergeCell ref="B6:C6"/>
    <mergeCell ref="D6:E6"/>
    <mergeCell ref="F6:G6"/>
    <mergeCell ref="H6:I6"/>
    <mergeCell ref="J6:K6"/>
    <mergeCell ref="L6:M6"/>
    <mergeCell ref="N6:O6"/>
    <mergeCell ref="A3:M4"/>
    <mergeCell ref="A5:A6"/>
    <mergeCell ref="B5:C5"/>
    <mergeCell ref="D5:E5"/>
    <mergeCell ref="F5:G5"/>
    <mergeCell ref="H5:I5"/>
    <mergeCell ref="J5:K5"/>
    <mergeCell ref="L5:M5"/>
    <mergeCell ref="O25:P25"/>
    <mergeCell ref="O26:P26"/>
    <mergeCell ref="O27:P27"/>
    <mergeCell ref="O28:P28"/>
    <mergeCell ref="O29:P29"/>
    <mergeCell ref="O11:P11"/>
    <mergeCell ref="O12:P12"/>
    <mergeCell ref="O13:P13"/>
    <mergeCell ref="O17:P17"/>
    <mergeCell ref="O18:P18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92D050"/>
    <outlinePr summaryBelow="0" summaryRight="0"/>
  </sheetPr>
  <dimension ref="A1:W31"/>
  <sheetViews>
    <sheetView view="pageBreakPreview" zoomScale="115" zoomScaleNormal="60" zoomScaleSheetLayoutView="115" workbookViewId="0">
      <selection activeCell="Q18" sqref="Q18"/>
    </sheetView>
  </sheetViews>
  <sheetFormatPr defaultColWidth="12.5703125" defaultRowHeight="15.75" customHeight="1"/>
  <cols>
    <col min="1" max="1" width="5.42578125" style="177" customWidth="1"/>
    <col min="2" max="2" width="11.42578125" style="312" customWidth="1"/>
    <col min="3" max="3" width="4" style="313" customWidth="1"/>
    <col min="4" max="17" width="9.5703125" style="177" customWidth="1"/>
    <col min="18" max="16384" width="12.5703125" style="177"/>
  </cols>
  <sheetData>
    <row r="1" spans="1:23" ht="15.75" customHeight="1">
      <c r="A1" s="803" t="s">
        <v>485</v>
      </c>
      <c r="B1" s="803"/>
      <c r="C1" s="803"/>
      <c r="D1" s="803"/>
      <c r="E1" s="803"/>
      <c r="F1" s="803"/>
      <c r="G1" s="803"/>
      <c r="H1" s="803"/>
      <c r="I1" s="803"/>
      <c r="J1" s="803"/>
      <c r="K1" s="803"/>
      <c r="L1" s="803"/>
      <c r="M1" s="803"/>
      <c r="N1" s="803"/>
      <c r="O1" s="803"/>
      <c r="P1" s="803"/>
      <c r="Q1" s="803"/>
    </row>
    <row r="2" spans="1:23" s="178" customFormat="1" ht="15.75" customHeight="1">
      <c r="A2" s="803"/>
      <c r="B2" s="803"/>
      <c r="C2" s="803"/>
      <c r="D2" s="803"/>
      <c r="E2" s="803"/>
      <c r="F2" s="803"/>
      <c r="G2" s="803"/>
      <c r="H2" s="803"/>
      <c r="I2" s="803"/>
      <c r="J2" s="803"/>
      <c r="K2" s="803"/>
      <c r="L2" s="803"/>
      <c r="M2" s="803"/>
      <c r="N2" s="803"/>
      <c r="O2" s="803"/>
      <c r="P2" s="803"/>
      <c r="Q2" s="803"/>
      <c r="R2" s="177"/>
      <c r="S2" s="177"/>
      <c r="T2" s="177"/>
      <c r="U2" s="177"/>
      <c r="V2" s="177"/>
      <c r="W2" s="177"/>
    </row>
    <row r="3" spans="1:23" ht="15.75" customHeight="1">
      <c r="A3" s="804" t="s">
        <v>486</v>
      </c>
      <c r="B3" s="804"/>
      <c r="C3" s="804"/>
      <c r="D3" s="804"/>
      <c r="E3" s="804"/>
      <c r="F3" s="804"/>
      <c r="G3" s="804"/>
      <c r="H3" s="804"/>
      <c r="I3" s="804"/>
      <c r="J3" s="804"/>
      <c r="K3" s="804"/>
      <c r="L3" s="804"/>
      <c r="M3" s="804"/>
      <c r="N3" s="179"/>
    </row>
    <row r="4" spans="1:23" s="178" customFormat="1" ht="15.75" customHeight="1">
      <c r="A4" s="804"/>
      <c r="B4" s="804"/>
      <c r="C4" s="804"/>
      <c r="D4" s="804"/>
      <c r="E4" s="804"/>
      <c r="F4" s="804"/>
      <c r="G4" s="804"/>
      <c r="H4" s="804"/>
      <c r="I4" s="804"/>
      <c r="J4" s="804"/>
      <c r="K4" s="804"/>
      <c r="L4" s="804"/>
      <c r="M4" s="804"/>
      <c r="N4" s="180"/>
      <c r="R4" s="177"/>
      <c r="S4" s="177"/>
      <c r="T4" s="177"/>
      <c r="U4" s="177"/>
      <c r="V4" s="177"/>
      <c r="W4" s="177"/>
    </row>
    <row r="5" spans="1:23" ht="15.75" customHeight="1">
      <c r="A5" s="806" t="s">
        <v>484</v>
      </c>
      <c r="B5" s="877">
        <v>1</v>
      </c>
      <c r="C5" s="877"/>
      <c r="D5" s="877">
        <v>2</v>
      </c>
      <c r="E5" s="877"/>
      <c r="F5" s="877">
        <v>3</v>
      </c>
      <c r="G5" s="877"/>
      <c r="H5" s="809">
        <v>4</v>
      </c>
      <c r="I5" s="809"/>
      <c r="J5" s="809">
        <v>5</v>
      </c>
      <c r="K5" s="809"/>
      <c r="L5" s="809">
        <v>6</v>
      </c>
      <c r="M5" s="809"/>
      <c r="N5" s="809">
        <v>7</v>
      </c>
      <c r="O5" s="809"/>
      <c r="P5" s="809">
        <v>8</v>
      </c>
      <c r="Q5" s="809"/>
    </row>
    <row r="6" spans="1:23" ht="15.75" customHeight="1">
      <c r="A6" s="806"/>
      <c r="B6" s="878" t="s">
        <v>487</v>
      </c>
      <c r="C6" s="878"/>
      <c r="D6" s="878" t="s">
        <v>488</v>
      </c>
      <c r="E6" s="878"/>
      <c r="F6" s="878" t="s">
        <v>489</v>
      </c>
      <c r="G6" s="878"/>
      <c r="H6" s="879" t="s">
        <v>490</v>
      </c>
      <c r="I6" s="806"/>
      <c r="J6" s="806" t="s">
        <v>491</v>
      </c>
      <c r="K6" s="806"/>
      <c r="L6" s="806" t="s">
        <v>492</v>
      </c>
      <c r="M6" s="806"/>
      <c r="N6" s="806" t="s">
        <v>493</v>
      </c>
      <c r="O6" s="806"/>
      <c r="P6" s="879" t="s">
        <v>494</v>
      </c>
      <c r="Q6" s="806"/>
    </row>
    <row r="8" spans="1:23" s="311" customFormat="1" ht="15.75" customHeight="1">
      <c r="A8" s="849" t="s">
        <v>590</v>
      </c>
      <c r="B8" s="850"/>
      <c r="C8" s="570" t="s">
        <v>525</v>
      </c>
      <c r="D8" s="854" t="s">
        <v>12</v>
      </c>
      <c r="E8" s="855"/>
      <c r="F8" s="856"/>
      <c r="G8" s="568" t="s">
        <v>591</v>
      </c>
      <c r="H8" s="569"/>
      <c r="I8" s="570"/>
      <c r="J8" s="164" t="s">
        <v>592</v>
      </c>
      <c r="K8" s="164" t="s">
        <v>598</v>
      </c>
      <c r="L8" s="164" t="s">
        <v>594</v>
      </c>
      <c r="M8" s="164" t="s">
        <v>11</v>
      </c>
      <c r="N8" s="164" t="s">
        <v>13</v>
      </c>
      <c r="O8" s="847" t="s">
        <v>50</v>
      </c>
      <c r="P8" s="848"/>
      <c r="R8" s="177"/>
      <c r="S8" s="177"/>
      <c r="T8" s="177"/>
      <c r="U8" s="177"/>
      <c r="V8" s="177"/>
      <c r="W8" s="177"/>
    </row>
    <row r="9" spans="1:23" ht="15.75" customHeight="1">
      <c r="A9" s="769">
        <v>1</v>
      </c>
      <c r="B9" s="851" t="s">
        <v>569</v>
      </c>
      <c r="C9" s="165">
        <v>1</v>
      </c>
      <c r="D9" s="582">
        <v>0</v>
      </c>
      <c r="E9" s="845"/>
      <c r="F9" s="846"/>
      <c r="G9" s="582">
        <v>0</v>
      </c>
      <c r="H9" s="845"/>
      <c r="I9" s="846"/>
      <c r="J9" s="4">
        <v>0</v>
      </c>
      <c r="K9" s="14">
        <v>0</v>
      </c>
      <c r="L9" s="4">
        <v>0</v>
      </c>
      <c r="M9" s="377">
        <v>0</v>
      </c>
      <c r="N9" s="166"/>
      <c r="O9" s="836"/>
      <c r="P9" s="837"/>
    </row>
    <row r="10" spans="1:23" ht="15.75" customHeight="1">
      <c r="A10" s="770"/>
      <c r="B10" s="852"/>
      <c r="C10" s="165">
        <v>2</v>
      </c>
      <c r="D10" s="582">
        <v>0</v>
      </c>
      <c r="E10" s="845"/>
      <c r="F10" s="846"/>
      <c r="G10" s="582">
        <v>0</v>
      </c>
      <c r="H10" s="845"/>
      <c r="I10" s="846"/>
      <c r="J10" s="4">
        <v>0</v>
      </c>
      <c r="K10" s="14">
        <v>0</v>
      </c>
      <c r="L10" s="4">
        <v>0</v>
      </c>
      <c r="M10" s="377">
        <v>0</v>
      </c>
      <c r="N10" s="166"/>
      <c r="O10" s="836"/>
      <c r="P10" s="837"/>
    </row>
    <row r="11" spans="1:23" ht="15.75" customHeight="1">
      <c r="A11" s="770"/>
      <c r="B11" s="852"/>
      <c r="C11" s="165">
        <v>3</v>
      </c>
      <c r="D11" s="582">
        <v>0</v>
      </c>
      <c r="E11" s="845"/>
      <c r="F11" s="846"/>
      <c r="G11" s="582">
        <v>0</v>
      </c>
      <c r="H11" s="845"/>
      <c r="I11" s="846"/>
      <c r="J11" s="4">
        <v>0</v>
      </c>
      <c r="K11" s="14">
        <v>0</v>
      </c>
      <c r="L11" s="4">
        <v>0</v>
      </c>
      <c r="M11" s="377">
        <v>0</v>
      </c>
      <c r="N11" s="166"/>
      <c r="O11" s="836"/>
      <c r="P11" s="837"/>
    </row>
    <row r="12" spans="1:23" ht="15.75" customHeight="1">
      <c r="A12" s="770"/>
      <c r="B12" s="852"/>
      <c r="C12" s="165">
        <v>4</v>
      </c>
      <c r="D12" s="582">
        <v>0</v>
      </c>
      <c r="E12" s="845"/>
      <c r="F12" s="846"/>
      <c r="G12" s="582">
        <v>0</v>
      </c>
      <c r="H12" s="845"/>
      <c r="I12" s="846"/>
      <c r="J12" s="4">
        <v>0</v>
      </c>
      <c r="K12" s="14">
        <v>0</v>
      </c>
      <c r="L12" s="4">
        <v>0</v>
      </c>
      <c r="M12" s="377">
        <v>0</v>
      </c>
      <c r="N12" s="166"/>
      <c r="O12" s="836"/>
      <c r="P12" s="837"/>
    </row>
    <row r="13" spans="1:23" ht="15.75" customHeight="1" thickBot="1">
      <c r="A13" s="770"/>
      <c r="B13" s="852"/>
      <c r="C13" s="167">
        <v>5</v>
      </c>
      <c r="D13" s="582">
        <v>0</v>
      </c>
      <c r="E13" s="845"/>
      <c r="F13" s="846"/>
      <c r="G13" s="582">
        <v>0</v>
      </c>
      <c r="H13" s="845"/>
      <c r="I13" s="846"/>
      <c r="J13" s="4">
        <v>0</v>
      </c>
      <c r="K13" s="14">
        <v>0</v>
      </c>
      <c r="L13" s="4">
        <v>0</v>
      </c>
      <c r="M13" s="377">
        <v>0</v>
      </c>
      <c r="N13" s="168"/>
      <c r="O13" s="880"/>
      <c r="P13" s="881"/>
    </row>
    <row r="14" spans="1:23" ht="15.75" customHeight="1" thickTop="1" thickBot="1">
      <c r="A14" s="771"/>
      <c r="B14" s="853"/>
      <c r="C14" s="857"/>
      <c r="D14" s="858"/>
      <c r="E14" s="858"/>
      <c r="F14" s="858"/>
      <c r="G14" s="858"/>
      <c r="H14" s="858"/>
      <c r="I14" s="859"/>
      <c r="J14" s="310" t="s">
        <v>595</v>
      </c>
      <c r="K14" s="239">
        <v>0</v>
      </c>
      <c r="L14" s="310" t="s">
        <v>596</v>
      </c>
      <c r="M14" s="378">
        <v>0</v>
      </c>
      <c r="N14" s="842"/>
      <c r="O14" s="843"/>
      <c r="P14" s="844"/>
    </row>
    <row r="15" spans="1:23" ht="15.75" customHeight="1" thickTop="1">
      <c r="A15" s="114"/>
      <c r="B15" s="169"/>
      <c r="C15" s="155"/>
      <c r="D15" s="114"/>
      <c r="E15" s="114"/>
      <c r="F15" s="114"/>
      <c r="G15" s="114"/>
      <c r="H15" s="114"/>
      <c r="I15" s="114"/>
      <c r="J15" s="114"/>
      <c r="K15" s="114"/>
      <c r="L15" s="114"/>
      <c r="M15" s="114"/>
      <c r="N15" s="114"/>
      <c r="O15" s="114"/>
      <c r="P15" s="114"/>
    </row>
    <row r="16" spans="1:23" ht="15.75" customHeight="1">
      <c r="A16" s="849" t="s">
        <v>590</v>
      </c>
      <c r="B16" s="850"/>
      <c r="C16" s="570" t="s">
        <v>525</v>
      </c>
      <c r="D16" s="854" t="s">
        <v>12</v>
      </c>
      <c r="E16" s="855"/>
      <c r="F16" s="856"/>
      <c r="G16" s="568" t="s">
        <v>591</v>
      </c>
      <c r="H16" s="569"/>
      <c r="I16" s="570"/>
      <c r="J16" s="164" t="s">
        <v>592</v>
      </c>
      <c r="K16" s="164" t="s">
        <v>598</v>
      </c>
      <c r="L16" s="164" t="s">
        <v>594</v>
      </c>
      <c r="M16" s="164" t="s">
        <v>11</v>
      </c>
      <c r="N16" s="164" t="s">
        <v>13</v>
      </c>
      <c r="O16" s="847" t="s">
        <v>50</v>
      </c>
      <c r="P16" s="848"/>
    </row>
    <row r="17" spans="1:16" ht="15.75" customHeight="1">
      <c r="A17" s="769">
        <v>2</v>
      </c>
      <c r="B17" s="851" t="s">
        <v>599</v>
      </c>
      <c r="C17" s="165">
        <v>1</v>
      </c>
      <c r="D17" s="582" t="s">
        <v>499</v>
      </c>
      <c r="E17" s="845"/>
      <c r="F17" s="846"/>
      <c r="G17" s="582" t="s">
        <v>749</v>
      </c>
      <c r="H17" s="845"/>
      <c r="I17" s="846"/>
      <c r="J17" s="4">
        <v>436.5</v>
      </c>
      <c r="K17" s="14">
        <v>0.9746121297602256</v>
      </c>
      <c r="L17" s="4">
        <v>0.69099999999999995</v>
      </c>
      <c r="M17" s="377">
        <v>301.62149999999997</v>
      </c>
      <c r="N17" s="166"/>
      <c r="O17" s="836" t="s">
        <v>586</v>
      </c>
      <c r="P17" s="837"/>
    </row>
    <row r="18" spans="1:16" ht="15.75" customHeight="1">
      <c r="A18" s="770"/>
      <c r="B18" s="852"/>
      <c r="C18" s="165">
        <v>2</v>
      </c>
      <c r="D18" s="582" t="s">
        <v>703</v>
      </c>
      <c r="E18" s="845"/>
      <c r="F18" s="846"/>
      <c r="G18" s="582" t="s">
        <v>726</v>
      </c>
      <c r="H18" s="845"/>
      <c r="I18" s="846"/>
      <c r="J18" s="4">
        <v>412.64</v>
      </c>
      <c r="K18" s="14">
        <v>6.9574247144340587E-2</v>
      </c>
      <c r="L18" s="4">
        <v>0.66999999999999993</v>
      </c>
      <c r="M18" s="377">
        <v>276.46879999999999</v>
      </c>
      <c r="N18" s="166"/>
      <c r="O18" s="836" t="s">
        <v>586</v>
      </c>
      <c r="P18" s="837"/>
    </row>
    <row r="19" spans="1:16" ht="15.75" customHeight="1">
      <c r="A19" s="770"/>
      <c r="B19" s="852"/>
      <c r="C19" s="165">
        <v>3</v>
      </c>
      <c r="D19" s="582">
        <v>0</v>
      </c>
      <c r="E19" s="845"/>
      <c r="F19" s="846"/>
      <c r="G19" s="582">
        <v>0</v>
      </c>
      <c r="H19" s="845"/>
      <c r="I19" s="846"/>
      <c r="J19" s="4">
        <v>0</v>
      </c>
      <c r="K19" s="14">
        <v>0</v>
      </c>
      <c r="L19" s="4">
        <v>0</v>
      </c>
      <c r="M19" s="377">
        <v>0</v>
      </c>
      <c r="N19" s="166"/>
      <c r="O19" s="836"/>
      <c r="P19" s="837"/>
    </row>
    <row r="20" spans="1:16" ht="15.75" customHeight="1">
      <c r="A20" s="770"/>
      <c r="B20" s="852"/>
      <c r="C20" s="165">
        <v>4</v>
      </c>
      <c r="D20" s="582">
        <v>0</v>
      </c>
      <c r="E20" s="845"/>
      <c r="F20" s="846"/>
      <c r="G20" s="582">
        <v>0</v>
      </c>
      <c r="H20" s="845"/>
      <c r="I20" s="846"/>
      <c r="J20" s="4">
        <v>0</v>
      </c>
      <c r="K20" s="14">
        <v>0</v>
      </c>
      <c r="L20" s="4">
        <v>0</v>
      </c>
      <c r="M20" s="377">
        <v>0</v>
      </c>
      <c r="N20" s="166"/>
      <c r="O20" s="836"/>
      <c r="P20" s="837"/>
    </row>
    <row r="21" spans="1:16" ht="15.75" customHeight="1" thickBot="1">
      <c r="A21" s="770"/>
      <c r="B21" s="852"/>
      <c r="C21" s="167">
        <v>5</v>
      </c>
      <c r="D21" s="582">
        <v>0</v>
      </c>
      <c r="E21" s="845"/>
      <c r="F21" s="846"/>
      <c r="G21" s="582">
        <v>0</v>
      </c>
      <c r="H21" s="845"/>
      <c r="I21" s="846"/>
      <c r="J21" s="4">
        <v>0</v>
      </c>
      <c r="K21" s="14">
        <v>0</v>
      </c>
      <c r="L21" s="4">
        <v>0</v>
      </c>
      <c r="M21" s="377">
        <v>0</v>
      </c>
      <c r="N21" s="168"/>
      <c r="O21" s="836"/>
      <c r="P21" s="837"/>
    </row>
    <row r="22" spans="1:16" ht="15.75" customHeight="1" thickTop="1" thickBot="1">
      <c r="A22" s="771"/>
      <c r="B22" s="853"/>
      <c r="C22" s="860"/>
      <c r="D22" s="861"/>
      <c r="E22" s="861"/>
      <c r="F22" s="861"/>
      <c r="G22" s="861"/>
      <c r="H22" s="861"/>
      <c r="I22" s="862"/>
      <c r="J22" s="310" t="s">
        <v>595</v>
      </c>
      <c r="K22" s="239">
        <v>2.5261466387004618E-3</v>
      </c>
      <c r="L22" s="310" t="s">
        <v>596</v>
      </c>
      <c r="M22" s="378">
        <v>578.09029999999996</v>
      </c>
      <c r="N22" s="842"/>
      <c r="O22" s="843"/>
      <c r="P22" s="844"/>
    </row>
    <row r="23" spans="1:16" ht="15.75" customHeight="1" thickTop="1">
      <c r="A23" s="114"/>
      <c r="B23" s="169"/>
      <c r="C23" s="155"/>
      <c r="D23" s="114"/>
      <c r="E23" s="114"/>
      <c r="F23" s="114"/>
      <c r="G23" s="114"/>
      <c r="H23" s="114"/>
      <c r="I23" s="114"/>
      <c r="J23" s="114"/>
      <c r="K23" s="114"/>
      <c r="L23" s="114"/>
      <c r="M23" s="114"/>
      <c r="N23" s="114"/>
      <c r="O23" s="114"/>
      <c r="P23" s="114"/>
    </row>
    <row r="24" spans="1:16" ht="15.75" customHeight="1">
      <c r="A24" s="849" t="s">
        <v>590</v>
      </c>
      <c r="B24" s="850"/>
      <c r="C24" s="570" t="s">
        <v>525</v>
      </c>
      <c r="D24" s="854" t="s">
        <v>12</v>
      </c>
      <c r="E24" s="855"/>
      <c r="F24" s="856"/>
      <c r="G24" s="568" t="s">
        <v>591</v>
      </c>
      <c r="H24" s="569"/>
      <c r="I24" s="570"/>
      <c r="J24" s="164" t="s">
        <v>592</v>
      </c>
      <c r="K24" s="164" t="s">
        <v>598</v>
      </c>
      <c r="L24" s="164" t="s">
        <v>594</v>
      </c>
      <c r="M24" s="164" t="s">
        <v>11</v>
      </c>
      <c r="N24" s="164" t="s">
        <v>13</v>
      </c>
      <c r="O24" s="847" t="s">
        <v>50</v>
      </c>
      <c r="P24" s="848"/>
    </row>
    <row r="25" spans="1:16" ht="15.75" customHeight="1">
      <c r="A25" s="769">
        <v>3</v>
      </c>
      <c r="B25" s="851" t="s">
        <v>356</v>
      </c>
      <c r="C25" s="165">
        <v>1</v>
      </c>
      <c r="D25" s="582" t="s">
        <v>482</v>
      </c>
      <c r="E25" s="845"/>
      <c r="F25" s="846"/>
      <c r="G25" s="582" t="s">
        <v>759</v>
      </c>
      <c r="H25" s="845"/>
      <c r="I25" s="846"/>
      <c r="J25" s="4">
        <v>120.23</v>
      </c>
      <c r="K25" s="14">
        <v>5.0420168067226954E-2</v>
      </c>
      <c r="L25" s="4">
        <v>2.5200000000000031</v>
      </c>
      <c r="M25" s="377">
        <v>302.9796000000004</v>
      </c>
      <c r="N25" s="166"/>
      <c r="O25" s="836" t="s">
        <v>502</v>
      </c>
      <c r="P25" s="837"/>
    </row>
    <row r="26" spans="1:16" ht="15.75" customHeight="1">
      <c r="A26" s="770"/>
      <c r="B26" s="852"/>
      <c r="C26" s="165">
        <v>2</v>
      </c>
      <c r="D26" s="582" t="s">
        <v>665</v>
      </c>
      <c r="E26" s="845"/>
      <c r="F26" s="846"/>
      <c r="G26" s="582" t="s">
        <v>760</v>
      </c>
      <c r="H26" s="845"/>
      <c r="I26" s="846"/>
      <c r="J26" s="4">
        <v>108.2</v>
      </c>
      <c r="K26" s="14">
        <v>3.7915385741472747E-2</v>
      </c>
      <c r="L26" s="4">
        <v>2.5900000000000034</v>
      </c>
      <c r="M26" s="377">
        <v>280.2380000000004</v>
      </c>
      <c r="N26" s="166"/>
      <c r="O26" s="834" t="s">
        <v>502</v>
      </c>
      <c r="P26" s="837"/>
    </row>
    <row r="27" spans="1:16" ht="15.75" customHeight="1">
      <c r="A27" s="770"/>
      <c r="B27" s="852"/>
      <c r="C27" s="165">
        <v>3</v>
      </c>
      <c r="D27" s="582" t="s">
        <v>661</v>
      </c>
      <c r="E27" s="845"/>
      <c r="F27" s="846"/>
      <c r="G27" s="582" t="s">
        <v>723</v>
      </c>
      <c r="H27" s="845"/>
      <c r="I27" s="846"/>
      <c r="J27" s="4">
        <v>234.88</v>
      </c>
      <c r="K27" s="14">
        <v>4.1666666666666671E-2</v>
      </c>
      <c r="L27" s="4">
        <v>1.1920000000000002</v>
      </c>
      <c r="M27" s="377">
        <v>279.97696000000002</v>
      </c>
      <c r="N27" s="166"/>
      <c r="O27" s="836" t="s">
        <v>502</v>
      </c>
      <c r="P27" s="837"/>
    </row>
    <row r="28" spans="1:16" ht="15.75" customHeight="1">
      <c r="A28" s="770"/>
      <c r="B28" s="852"/>
      <c r="C28" s="165">
        <v>4</v>
      </c>
      <c r="D28" s="582" t="s">
        <v>703</v>
      </c>
      <c r="E28" s="845"/>
      <c r="F28" s="846"/>
      <c r="G28" s="582" t="s">
        <v>726</v>
      </c>
      <c r="H28" s="845"/>
      <c r="I28" s="846"/>
      <c r="J28" s="4">
        <v>412.64</v>
      </c>
      <c r="K28" s="14">
        <v>5.397365065873351E-2</v>
      </c>
      <c r="L28" s="4">
        <v>0.63499999999999979</v>
      </c>
      <c r="M28" s="377">
        <v>262.02639999999991</v>
      </c>
      <c r="N28" s="166"/>
      <c r="O28" s="836" t="s">
        <v>502</v>
      </c>
      <c r="P28" s="837"/>
    </row>
    <row r="29" spans="1:16" ht="15.75" customHeight="1" thickBot="1">
      <c r="A29" s="770"/>
      <c r="B29" s="852"/>
      <c r="C29" s="167">
        <v>5</v>
      </c>
      <c r="D29" s="582">
        <v>0</v>
      </c>
      <c r="E29" s="845"/>
      <c r="F29" s="846"/>
      <c r="G29" s="582">
        <v>0</v>
      </c>
      <c r="H29" s="845"/>
      <c r="I29" s="846"/>
      <c r="J29" s="4">
        <v>0</v>
      </c>
      <c r="K29" s="14">
        <v>0</v>
      </c>
      <c r="L29" s="4">
        <v>0</v>
      </c>
      <c r="M29" s="377">
        <v>0</v>
      </c>
      <c r="N29" s="168"/>
      <c r="O29" s="880"/>
      <c r="P29" s="881"/>
    </row>
    <row r="30" spans="1:16" ht="15.75" customHeight="1" thickTop="1" thickBot="1">
      <c r="A30" s="771"/>
      <c r="B30" s="853"/>
      <c r="C30" s="857"/>
      <c r="D30" s="858"/>
      <c r="E30" s="858"/>
      <c r="F30" s="858"/>
      <c r="G30" s="858"/>
      <c r="H30" s="858"/>
      <c r="I30" s="859"/>
      <c r="J30" s="310" t="s">
        <v>595</v>
      </c>
      <c r="K30" s="239">
        <v>4.9170054330600413E-3</v>
      </c>
      <c r="L30" s="310" t="s">
        <v>596</v>
      </c>
      <c r="M30" s="378">
        <v>1125.2209600000008</v>
      </c>
      <c r="N30" s="842"/>
      <c r="O30" s="843"/>
      <c r="P30" s="844"/>
    </row>
    <row r="31" spans="1:16" ht="15.75" customHeight="1" thickTop="1"/>
  </sheetData>
  <mergeCells count="85">
    <mergeCell ref="A24:B24"/>
    <mergeCell ref="D24:F24"/>
    <mergeCell ref="O24:P24"/>
    <mergeCell ref="A25:A30"/>
    <mergeCell ref="B25:B30"/>
    <mergeCell ref="D25:F25"/>
    <mergeCell ref="G25:I25"/>
    <mergeCell ref="O25:P25"/>
    <mergeCell ref="D26:F26"/>
    <mergeCell ref="G26:I26"/>
    <mergeCell ref="O26:P26"/>
    <mergeCell ref="D27:F27"/>
    <mergeCell ref="G27:I27"/>
    <mergeCell ref="O27:P27"/>
    <mergeCell ref="C30:I30"/>
    <mergeCell ref="N30:P30"/>
    <mergeCell ref="A16:B16"/>
    <mergeCell ref="D16:F16"/>
    <mergeCell ref="O16:P16"/>
    <mergeCell ref="A17:A22"/>
    <mergeCell ref="B17:B22"/>
    <mergeCell ref="D17:F17"/>
    <mergeCell ref="G17:I17"/>
    <mergeCell ref="D18:F18"/>
    <mergeCell ref="G18:I18"/>
    <mergeCell ref="D20:F20"/>
    <mergeCell ref="C22:I22"/>
    <mergeCell ref="N22:P22"/>
    <mergeCell ref="D29:F29"/>
    <mergeCell ref="G29:I29"/>
    <mergeCell ref="O29:P29"/>
    <mergeCell ref="D28:F28"/>
    <mergeCell ref="G28:I28"/>
    <mergeCell ref="O28:P28"/>
    <mergeCell ref="D12:F12"/>
    <mergeCell ref="G12:I12"/>
    <mergeCell ref="O12:P12"/>
    <mergeCell ref="G21:I21"/>
    <mergeCell ref="O21:P21"/>
    <mergeCell ref="D19:F19"/>
    <mergeCell ref="G19:I19"/>
    <mergeCell ref="G20:I20"/>
    <mergeCell ref="O20:P20"/>
    <mergeCell ref="D21:F21"/>
    <mergeCell ref="O17:P17"/>
    <mergeCell ref="O18:P18"/>
    <mergeCell ref="O19:P19"/>
    <mergeCell ref="A9:A14"/>
    <mergeCell ref="B9:B14"/>
    <mergeCell ref="D9:F9"/>
    <mergeCell ref="G9:I9"/>
    <mergeCell ref="O9:P9"/>
    <mergeCell ref="D10:F10"/>
    <mergeCell ref="G10:I10"/>
    <mergeCell ref="D13:F13"/>
    <mergeCell ref="G13:I13"/>
    <mergeCell ref="O13:P13"/>
    <mergeCell ref="C14:I14"/>
    <mergeCell ref="N14:P14"/>
    <mergeCell ref="O10:P10"/>
    <mergeCell ref="D11:F11"/>
    <mergeCell ref="G11:I11"/>
    <mergeCell ref="O11:P11"/>
    <mergeCell ref="L6:M6"/>
    <mergeCell ref="N6:O6"/>
    <mergeCell ref="P6:Q6"/>
    <mergeCell ref="A8:B8"/>
    <mergeCell ref="D8:F8"/>
    <mergeCell ref="O8:P8"/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92D050"/>
    <outlinePr summaryBelow="0" summaryRight="0"/>
  </sheetPr>
  <dimension ref="A1:W39"/>
  <sheetViews>
    <sheetView view="pageBreakPreview" topLeftCell="A7" zoomScaleNormal="60" zoomScaleSheetLayoutView="100" workbookViewId="0">
      <selection activeCell="S31" sqref="S31"/>
    </sheetView>
  </sheetViews>
  <sheetFormatPr defaultColWidth="12.5703125" defaultRowHeight="15.75" customHeight="1"/>
  <cols>
    <col min="1" max="1" width="5.42578125" style="315" customWidth="1"/>
    <col min="2" max="2" width="11.42578125" style="316" customWidth="1"/>
    <col min="3" max="3" width="4" style="317" customWidth="1"/>
    <col min="4" max="17" width="9.5703125" style="315" customWidth="1"/>
    <col min="18" max="16384" width="12.5703125" style="315"/>
  </cols>
  <sheetData>
    <row r="1" spans="1:23" s="177" customFormat="1" ht="15.75" customHeight="1">
      <c r="A1" s="803" t="s">
        <v>485</v>
      </c>
      <c r="B1" s="803"/>
      <c r="C1" s="803"/>
      <c r="D1" s="803"/>
      <c r="E1" s="803"/>
      <c r="F1" s="803"/>
      <c r="G1" s="803"/>
      <c r="H1" s="803"/>
      <c r="I1" s="803"/>
      <c r="J1" s="803"/>
      <c r="K1" s="803"/>
      <c r="L1" s="803"/>
      <c r="M1" s="803"/>
      <c r="N1" s="803"/>
      <c r="O1" s="803"/>
      <c r="P1" s="803"/>
      <c r="Q1" s="803"/>
    </row>
    <row r="2" spans="1:23" s="178" customFormat="1" ht="15.75" customHeight="1">
      <c r="A2" s="803"/>
      <c r="B2" s="803"/>
      <c r="C2" s="803"/>
      <c r="D2" s="803"/>
      <c r="E2" s="803"/>
      <c r="F2" s="803"/>
      <c r="G2" s="803"/>
      <c r="H2" s="803"/>
      <c r="I2" s="803"/>
      <c r="J2" s="803"/>
      <c r="K2" s="803"/>
      <c r="L2" s="803"/>
      <c r="M2" s="803"/>
      <c r="N2" s="803"/>
      <c r="O2" s="803"/>
      <c r="P2" s="803"/>
      <c r="Q2" s="803"/>
    </row>
    <row r="3" spans="1:23" s="177" customFormat="1" ht="15.75" customHeight="1">
      <c r="A3" s="804" t="s">
        <v>486</v>
      </c>
      <c r="B3" s="804"/>
      <c r="C3" s="804"/>
      <c r="D3" s="804"/>
      <c r="E3" s="804"/>
      <c r="F3" s="804"/>
      <c r="G3" s="804"/>
      <c r="H3" s="804"/>
      <c r="I3" s="804"/>
      <c r="J3" s="804"/>
      <c r="K3" s="804"/>
      <c r="L3" s="804"/>
      <c r="M3" s="804"/>
      <c r="N3" s="179"/>
    </row>
    <row r="4" spans="1:23" s="178" customFormat="1" ht="15.75" customHeight="1">
      <c r="A4" s="804"/>
      <c r="B4" s="804"/>
      <c r="C4" s="804"/>
      <c r="D4" s="804"/>
      <c r="E4" s="804"/>
      <c r="F4" s="804"/>
      <c r="G4" s="804"/>
      <c r="H4" s="804"/>
      <c r="I4" s="804"/>
      <c r="J4" s="804"/>
      <c r="K4" s="804"/>
      <c r="L4" s="804"/>
      <c r="M4" s="804"/>
      <c r="N4" s="180"/>
    </row>
    <row r="5" spans="1:23" s="177" customFormat="1" ht="15.75" customHeight="1">
      <c r="A5" s="806" t="s">
        <v>484</v>
      </c>
      <c r="B5" s="809">
        <v>1</v>
      </c>
      <c r="C5" s="809"/>
      <c r="D5" s="809">
        <v>2</v>
      </c>
      <c r="E5" s="809"/>
      <c r="F5" s="809">
        <v>3</v>
      </c>
      <c r="G5" s="809"/>
      <c r="H5" s="877">
        <v>4</v>
      </c>
      <c r="I5" s="877"/>
      <c r="J5" s="877">
        <v>5</v>
      </c>
      <c r="K5" s="877"/>
      <c r="L5" s="877">
        <v>6</v>
      </c>
      <c r="M5" s="877"/>
      <c r="N5" s="877">
        <v>7</v>
      </c>
      <c r="O5" s="877"/>
      <c r="P5" s="809">
        <v>8</v>
      </c>
      <c r="Q5" s="809"/>
    </row>
    <row r="6" spans="1:23" s="177" customFormat="1" ht="15.75" customHeight="1">
      <c r="A6" s="806"/>
      <c r="B6" s="806" t="s">
        <v>487</v>
      </c>
      <c r="C6" s="806"/>
      <c r="D6" s="806" t="s">
        <v>488</v>
      </c>
      <c r="E6" s="806"/>
      <c r="F6" s="806" t="s">
        <v>489</v>
      </c>
      <c r="G6" s="806"/>
      <c r="H6" s="882" t="s">
        <v>490</v>
      </c>
      <c r="I6" s="878"/>
      <c r="J6" s="878" t="s">
        <v>491</v>
      </c>
      <c r="K6" s="878"/>
      <c r="L6" s="878" t="s">
        <v>492</v>
      </c>
      <c r="M6" s="878"/>
      <c r="N6" s="878" t="s">
        <v>493</v>
      </c>
      <c r="O6" s="878"/>
      <c r="P6" s="879" t="s">
        <v>494</v>
      </c>
      <c r="Q6" s="806"/>
    </row>
    <row r="7" spans="1:23" s="177" customFormat="1" ht="15.75" customHeight="1">
      <c r="B7" s="312"/>
      <c r="C7" s="313"/>
    </row>
    <row r="8" spans="1:23" s="314" customFormat="1" ht="15.75" customHeight="1">
      <c r="A8" s="863" t="s">
        <v>590</v>
      </c>
      <c r="B8" s="863"/>
      <c r="C8" s="573" t="s">
        <v>525</v>
      </c>
      <c r="D8" s="864" t="s">
        <v>12</v>
      </c>
      <c r="E8" s="865"/>
      <c r="F8" s="866"/>
      <c r="G8" s="571" t="s">
        <v>591</v>
      </c>
      <c r="H8" s="572"/>
      <c r="I8" s="573"/>
      <c r="J8" s="113" t="s">
        <v>592</v>
      </c>
      <c r="K8" s="113" t="s">
        <v>598</v>
      </c>
      <c r="L8" s="113" t="s">
        <v>594</v>
      </c>
      <c r="M8" s="113" t="s">
        <v>11</v>
      </c>
      <c r="N8" s="164" t="s">
        <v>13</v>
      </c>
      <c r="O8" s="867" t="s">
        <v>50</v>
      </c>
      <c r="P8" s="868"/>
      <c r="R8" s="177"/>
      <c r="S8" s="177"/>
      <c r="T8" s="177"/>
      <c r="U8" s="177"/>
      <c r="V8" s="177"/>
      <c r="W8" s="177"/>
    </row>
    <row r="9" spans="1:23" ht="15.75" customHeight="1">
      <c r="A9" s="863">
        <v>4</v>
      </c>
      <c r="B9" s="869" t="s">
        <v>483</v>
      </c>
      <c r="C9" s="111">
        <v>1</v>
      </c>
      <c r="D9" s="582" t="s">
        <v>328</v>
      </c>
      <c r="E9" s="845"/>
      <c r="F9" s="846"/>
      <c r="G9" s="582" t="s">
        <v>733</v>
      </c>
      <c r="H9" s="845"/>
      <c r="I9" s="846"/>
      <c r="J9" s="4">
        <v>304.76</v>
      </c>
      <c r="K9" s="14">
        <v>2.6823643646073651E-2</v>
      </c>
      <c r="L9" s="4">
        <v>1.105000000000004</v>
      </c>
      <c r="M9" s="377">
        <v>336.75980000000118</v>
      </c>
      <c r="N9" s="4"/>
      <c r="O9" s="836" t="s">
        <v>434</v>
      </c>
      <c r="P9" s="837"/>
      <c r="R9" s="177"/>
      <c r="S9" s="177"/>
      <c r="T9" s="177"/>
      <c r="U9" s="177"/>
      <c r="V9" s="177"/>
      <c r="W9" s="177"/>
    </row>
    <row r="10" spans="1:23" ht="15.75" customHeight="1">
      <c r="A10" s="863"/>
      <c r="B10" s="869"/>
      <c r="C10" s="111">
        <v>2</v>
      </c>
      <c r="D10" s="582" t="s">
        <v>342</v>
      </c>
      <c r="E10" s="845"/>
      <c r="F10" s="846"/>
      <c r="G10" s="582" t="s">
        <v>761</v>
      </c>
      <c r="H10" s="845"/>
      <c r="I10" s="846"/>
      <c r="J10" s="4">
        <v>371.13</v>
      </c>
      <c r="K10" s="14">
        <v>7.3984858912594584E-3</v>
      </c>
      <c r="L10" s="4">
        <v>0.85999999999999943</v>
      </c>
      <c r="M10" s="377">
        <v>319.17179999999979</v>
      </c>
      <c r="N10" s="4"/>
      <c r="O10" s="836" t="s">
        <v>434</v>
      </c>
      <c r="P10" s="837"/>
      <c r="R10" s="177"/>
      <c r="S10" s="177"/>
      <c r="T10" s="177"/>
      <c r="U10" s="177"/>
      <c r="V10" s="177"/>
      <c r="W10" s="177"/>
    </row>
    <row r="11" spans="1:23" ht="15.75" customHeight="1">
      <c r="A11" s="863"/>
      <c r="B11" s="869"/>
      <c r="C11" s="111">
        <v>3</v>
      </c>
      <c r="D11" s="582" t="s">
        <v>328</v>
      </c>
      <c r="E11" s="845"/>
      <c r="F11" s="846"/>
      <c r="G11" s="582" t="s">
        <v>640</v>
      </c>
      <c r="H11" s="845"/>
      <c r="I11" s="846"/>
      <c r="J11" s="4">
        <v>111.17</v>
      </c>
      <c r="K11" s="14">
        <v>7.6617178492677041E-3</v>
      </c>
      <c r="L11" s="4">
        <v>2.8109999999999786</v>
      </c>
      <c r="M11" s="377">
        <v>312.49886999999762</v>
      </c>
      <c r="N11" s="4"/>
      <c r="O11" s="836" t="s">
        <v>434</v>
      </c>
      <c r="P11" s="837"/>
      <c r="R11" s="177"/>
      <c r="S11" s="177"/>
      <c r="T11" s="177"/>
      <c r="U11" s="177"/>
      <c r="V11" s="177"/>
      <c r="W11" s="177"/>
    </row>
    <row r="12" spans="1:23" ht="15.75" customHeight="1">
      <c r="A12" s="863"/>
      <c r="B12" s="869"/>
      <c r="C12" s="111">
        <v>4</v>
      </c>
      <c r="D12" s="582" t="s">
        <v>686</v>
      </c>
      <c r="E12" s="845"/>
      <c r="F12" s="846"/>
      <c r="G12" s="582" t="s">
        <v>762</v>
      </c>
      <c r="H12" s="845"/>
      <c r="I12" s="846"/>
      <c r="J12" s="4">
        <v>71.38</v>
      </c>
      <c r="K12" s="14">
        <v>1.532567049808437E-2</v>
      </c>
      <c r="L12" s="4">
        <v>3.7600000000000193</v>
      </c>
      <c r="M12" s="377">
        <v>268.38880000000137</v>
      </c>
      <c r="N12" s="4"/>
      <c r="O12" s="836" t="s">
        <v>434</v>
      </c>
      <c r="P12" s="837"/>
      <c r="R12" s="177"/>
      <c r="S12" s="177"/>
      <c r="T12" s="177"/>
      <c r="U12" s="177"/>
      <c r="V12" s="177"/>
      <c r="W12" s="177"/>
    </row>
    <row r="13" spans="1:23" ht="15.75" customHeight="1" thickBot="1">
      <c r="A13" s="863"/>
      <c r="B13" s="869"/>
      <c r="C13" s="112">
        <v>5</v>
      </c>
      <c r="D13" s="582" t="s">
        <v>560</v>
      </c>
      <c r="E13" s="845"/>
      <c r="F13" s="846"/>
      <c r="G13" s="582" t="s">
        <v>754</v>
      </c>
      <c r="H13" s="845"/>
      <c r="I13" s="846"/>
      <c r="J13" s="4">
        <v>130.12</v>
      </c>
      <c r="K13" s="14">
        <v>2.1795425118687914E-2</v>
      </c>
      <c r="L13" s="4">
        <v>2.019999999999996</v>
      </c>
      <c r="M13" s="377">
        <v>262.84239999999949</v>
      </c>
      <c r="N13" s="4"/>
      <c r="O13" s="836" t="s">
        <v>434</v>
      </c>
      <c r="P13" s="837"/>
      <c r="R13" s="177"/>
      <c r="S13" s="177"/>
      <c r="T13" s="177"/>
      <c r="U13" s="177"/>
      <c r="V13" s="177"/>
      <c r="W13" s="177"/>
    </row>
    <row r="14" spans="1:23" ht="15.75" customHeight="1" thickTop="1" thickBot="1">
      <c r="A14" s="863"/>
      <c r="B14" s="869"/>
      <c r="C14" s="871"/>
      <c r="D14" s="871"/>
      <c r="E14" s="871"/>
      <c r="F14" s="871"/>
      <c r="G14" s="871"/>
      <c r="H14" s="871"/>
      <c r="I14" s="871"/>
      <c r="J14" s="574" t="s">
        <v>595</v>
      </c>
      <c r="K14" s="239">
        <v>6.5532413999308077E-3</v>
      </c>
      <c r="L14" s="574" t="s">
        <v>596</v>
      </c>
      <c r="M14" s="378">
        <v>1499.6616699999995</v>
      </c>
      <c r="N14" s="870"/>
      <c r="O14" s="870"/>
      <c r="P14" s="870"/>
      <c r="R14" s="177"/>
      <c r="S14" s="177"/>
      <c r="T14" s="177"/>
      <c r="U14" s="177"/>
      <c r="V14" s="177"/>
      <c r="W14" s="177"/>
    </row>
    <row r="15" spans="1:23" ht="15.75" customHeight="1" thickTop="1">
      <c r="A15" s="566"/>
      <c r="B15" s="110"/>
      <c r="C15" s="108"/>
      <c r="D15" s="566"/>
      <c r="E15" s="566"/>
      <c r="F15" s="566"/>
      <c r="G15" s="566"/>
      <c r="H15" s="566"/>
      <c r="I15" s="566"/>
      <c r="J15" s="566"/>
      <c r="K15" s="566"/>
      <c r="L15" s="566"/>
      <c r="M15" s="566"/>
      <c r="N15" s="566"/>
      <c r="O15" s="566"/>
      <c r="P15" s="566"/>
      <c r="R15" s="177"/>
      <c r="S15" s="177"/>
      <c r="T15" s="177"/>
      <c r="U15" s="177"/>
      <c r="V15" s="177"/>
      <c r="W15" s="177"/>
    </row>
    <row r="16" spans="1:23" ht="15.75" customHeight="1">
      <c r="A16" s="863" t="s">
        <v>590</v>
      </c>
      <c r="B16" s="863"/>
      <c r="C16" s="573" t="s">
        <v>525</v>
      </c>
      <c r="D16" s="864" t="s">
        <v>12</v>
      </c>
      <c r="E16" s="865"/>
      <c r="F16" s="866"/>
      <c r="G16" s="571" t="s">
        <v>591</v>
      </c>
      <c r="H16" s="572"/>
      <c r="I16" s="573"/>
      <c r="J16" s="113" t="s">
        <v>592</v>
      </c>
      <c r="K16" s="113" t="s">
        <v>598</v>
      </c>
      <c r="L16" s="113" t="s">
        <v>594</v>
      </c>
      <c r="M16" s="113" t="s">
        <v>11</v>
      </c>
      <c r="N16" s="164" t="s">
        <v>13</v>
      </c>
      <c r="O16" s="867" t="s">
        <v>50</v>
      </c>
      <c r="P16" s="868"/>
      <c r="R16" s="177"/>
      <c r="S16" s="177"/>
      <c r="T16" s="177"/>
      <c r="U16" s="177"/>
      <c r="V16" s="177"/>
      <c r="W16" s="177"/>
    </row>
    <row r="17" spans="1:23" ht="15.75" customHeight="1">
      <c r="A17" s="863">
        <v>5</v>
      </c>
      <c r="B17" s="869" t="s">
        <v>193</v>
      </c>
      <c r="C17" s="111">
        <v>1</v>
      </c>
      <c r="D17" s="582" t="s">
        <v>705</v>
      </c>
      <c r="E17" s="845"/>
      <c r="F17" s="846"/>
      <c r="G17" s="582" t="s">
        <v>717</v>
      </c>
      <c r="H17" s="845"/>
      <c r="I17" s="846"/>
      <c r="J17" s="4">
        <v>517.52</v>
      </c>
      <c r="K17" s="14">
        <v>2.3672424824056314E-2</v>
      </c>
      <c r="L17" s="4">
        <v>0.66600000000000037</v>
      </c>
      <c r="M17" s="377">
        <v>344.66832000000016</v>
      </c>
      <c r="N17" s="4"/>
      <c r="O17" s="836" t="s">
        <v>495</v>
      </c>
      <c r="P17" s="837"/>
      <c r="R17" s="177"/>
      <c r="S17" s="177"/>
      <c r="T17" s="177"/>
      <c r="U17" s="177"/>
      <c r="V17" s="177"/>
      <c r="W17" s="177"/>
    </row>
    <row r="18" spans="1:23" ht="15.75" customHeight="1">
      <c r="A18" s="863"/>
      <c r="B18" s="869"/>
      <c r="C18" s="111">
        <v>2</v>
      </c>
      <c r="D18" s="582" t="s">
        <v>664</v>
      </c>
      <c r="E18" s="845"/>
      <c r="F18" s="846"/>
      <c r="G18" s="582" t="s">
        <v>763</v>
      </c>
      <c r="H18" s="845"/>
      <c r="I18" s="846"/>
      <c r="J18" s="4">
        <v>367.83</v>
      </c>
      <c r="K18" s="14">
        <v>6.0000000000000026E-2</v>
      </c>
      <c r="L18" s="4">
        <v>0.90000000000000036</v>
      </c>
      <c r="M18" s="377">
        <v>331.04700000000014</v>
      </c>
      <c r="N18" s="4"/>
      <c r="O18" s="836" t="s">
        <v>495</v>
      </c>
      <c r="P18" s="837"/>
      <c r="R18" s="177"/>
      <c r="S18" s="177"/>
      <c r="T18" s="177"/>
      <c r="U18" s="177"/>
      <c r="V18" s="177"/>
      <c r="W18" s="177"/>
    </row>
    <row r="19" spans="1:23" ht="15.75" customHeight="1">
      <c r="A19" s="863"/>
      <c r="B19" s="869"/>
      <c r="C19" s="111">
        <v>3</v>
      </c>
      <c r="D19" s="582" t="s">
        <v>659</v>
      </c>
      <c r="E19" s="845"/>
      <c r="F19" s="846"/>
      <c r="G19" s="582" t="s">
        <v>757</v>
      </c>
      <c r="H19" s="845"/>
      <c r="I19" s="846"/>
      <c r="J19" s="4">
        <v>344.19</v>
      </c>
      <c r="K19" s="14">
        <v>1.5399422521655336E-2</v>
      </c>
      <c r="L19" s="4">
        <v>0.95999999999999375</v>
      </c>
      <c r="M19" s="377">
        <v>330.42239999999782</v>
      </c>
      <c r="N19" s="4"/>
      <c r="O19" s="836" t="s">
        <v>495</v>
      </c>
      <c r="P19" s="837"/>
      <c r="R19" s="177"/>
      <c r="S19" s="177"/>
      <c r="T19" s="177"/>
      <c r="U19" s="177"/>
      <c r="V19" s="177"/>
      <c r="W19" s="177"/>
    </row>
    <row r="20" spans="1:23" ht="15.75" customHeight="1">
      <c r="A20" s="863"/>
      <c r="B20" s="869"/>
      <c r="C20" s="111">
        <v>4</v>
      </c>
      <c r="D20" s="582" t="s">
        <v>718</v>
      </c>
      <c r="E20" s="845"/>
      <c r="F20" s="846"/>
      <c r="G20" s="582" t="s">
        <v>729</v>
      </c>
      <c r="H20" s="845"/>
      <c r="I20" s="846"/>
      <c r="J20" s="4">
        <v>427.62</v>
      </c>
      <c r="K20" s="14">
        <v>1.8339653239846546E-2</v>
      </c>
      <c r="L20" s="4">
        <v>0.76900000000000546</v>
      </c>
      <c r="M20" s="377">
        <v>328.83978000000235</v>
      </c>
      <c r="N20" s="4"/>
      <c r="O20" s="836" t="s">
        <v>495</v>
      </c>
      <c r="P20" s="837"/>
      <c r="R20" s="177"/>
      <c r="S20" s="177"/>
      <c r="T20" s="177"/>
      <c r="U20" s="177"/>
      <c r="V20" s="177"/>
      <c r="W20" s="177"/>
    </row>
    <row r="21" spans="1:23" ht="15.75" customHeight="1" thickBot="1">
      <c r="A21" s="863"/>
      <c r="B21" s="869"/>
      <c r="C21" s="112">
        <v>5</v>
      </c>
      <c r="D21" s="582" t="s">
        <v>328</v>
      </c>
      <c r="E21" s="845"/>
      <c r="F21" s="846"/>
      <c r="G21" s="582" t="s">
        <v>637</v>
      </c>
      <c r="H21" s="845"/>
      <c r="I21" s="846"/>
      <c r="J21" s="4">
        <v>136.88999999999999</v>
      </c>
      <c r="K21" s="14">
        <v>6.0018200085213804E-3</v>
      </c>
      <c r="L21" s="4">
        <v>2.2819999999999823</v>
      </c>
      <c r="M21" s="377">
        <v>312.38297999999753</v>
      </c>
      <c r="N21" s="4"/>
      <c r="O21" s="836" t="s">
        <v>495</v>
      </c>
      <c r="P21" s="837"/>
      <c r="R21" s="177"/>
      <c r="S21" s="177"/>
      <c r="T21" s="177"/>
      <c r="U21" s="177"/>
      <c r="V21" s="177"/>
      <c r="W21" s="177"/>
    </row>
    <row r="22" spans="1:23" ht="15.75" customHeight="1" thickTop="1" thickBot="1">
      <c r="A22" s="863"/>
      <c r="B22" s="869"/>
      <c r="C22" s="875"/>
      <c r="D22" s="875"/>
      <c r="E22" s="875"/>
      <c r="F22" s="875"/>
      <c r="G22" s="875"/>
      <c r="H22" s="875"/>
      <c r="I22" s="876"/>
      <c r="J22" s="517" t="s">
        <v>595</v>
      </c>
      <c r="K22" s="239">
        <v>7.1986576133174609E-3</v>
      </c>
      <c r="L22" s="517" t="s">
        <v>596</v>
      </c>
      <c r="M22" s="378">
        <v>1647.360479999998</v>
      </c>
      <c r="N22" s="872"/>
      <c r="O22" s="873"/>
      <c r="P22" s="874"/>
      <c r="R22" s="177"/>
      <c r="S22" s="177"/>
      <c r="T22" s="177"/>
      <c r="U22" s="177"/>
      <c r="V22" s="177"/>
      <c r="W22" s="177"/>
    </row>
    <row r="23" spans="1:23" ht="15.75" customHeight="1" thickTop="1">
      <c r="A23" s="566"/>
      <c r="B23" s="110"/>
      <c r="C23" s="108"/>
      <c r="D23" s="566"/>
      <c r="E23" s="566"/>
      <c r="F23" s="566"/>
      <c r="G23" s="566"/>
      <c r="H23" s="566"/>
      <c r="I23" s="566"/>
      <c r="J23" s="566"/>
      <c r="K23" s="566"/>
      <c r="L23" s="566"/>
      <c r="M23" s="566"/>
      <c r="N23" s="566"/>
      <c r="O23" s="566"/>
      <c r="P23" s="566"/>
      <c r="R23" s="177"/>
      <c r="S23" s="177"/>
      <c r="T23" s="177"/>
      <c r="U23" s="177"/>
      <c r="V23" s="177"/>
      <c r="W23" s="177"/>
    </row>
    <row r="24" spans="1:23" ht="15.75" customHeight="1">
      <c r="A24" s="863" t="s">
        <v>590</v>
      </c>
      <c r="B24" s="863"/>
      <c r="C24" s="573" t="s">
        <v>525</v>
      </c>
      <c r="D24" s="864" t="s">
        <v>12</v>
      </c>
      <c r="E24" s="865"/>
      <c r="F24" s="866"/>
      <c r="G24" s="571" t="s">
        <v>591</v>
      </c>
      <c r="H24" s="572"/>
      <c r="I24" s="573"/>
      <c r="J24" s="113" t="s">
        <v>592</v>
      </c>
      <c r="K24" s="113" t="s">
        <v>598</v>
      </c>
      <c r="L24" s="113" t="s">
        <v>594</v>
      </c>
      <c r="M24" s="113" t="s">
        <v>11</v>
      </c>
      <c r="N24" s="164" t="s">
        <v>13</v>
      </c>
      <c r="O24" s="867" t="s">
        <v>50</v>
      </c>
      <c r="P24" s="868"/>
      <c r="R24" s="177"/>
      <c r="S24" s="177"/>
      <c r="T24" s="177"/>
      <c r="U24" s="177"/>
      <c r="V24" s="177"/>
      <c r="W24" s="177"/>
    </row>
    <row r="25" spans="1:23" ht="15.75" customHeight="1">
      <c r="A25" s="863">
        <v>6</v>
      </c>
      <c r="B25" s="869" t="s">
        <v>194</v>
      </c>
      <c r="C25" s="111">
        <v>1</v>
      </c>
      <c r="D25" s="582" t="s">
        <v>585</v>
      </c>
      <c r="E25" s="845"/>
      <c r="F25" s="846"/>
      <c r="G25" s="582" t="s">
        <v>329</v>
      </c>
      <c r="H25" s="845"/>
      <c r="I25" s="846"/>
      <c r="J25" s="4">
        <v>487.66</v>
      </c>
      <c r="K25" s="14">
        <v>1.5251958648184927E-2</v>
      </c>
      <c r="L25" s="4">
        <v>0.65799999999999415</v>
      </c>
      <c r="M25" s="377">
        <v>320.88027999999719</v>
      </c>
      <c r="N25" s="4"/>
      <c r="O25" s="834" t="s">
        <v>600</v>
      </c>
      <c r="P25" s="837"/>
      <c r="R25" s="177"/>
      <c r="S25" s="177"/>
      <c r="T25" s="177"/>
      <c r="U25" s="177"/>
      <c r="V25" s="177"/>
      <c r="W25" s="177"/>
    </row>
    <row r="26" spans="1:23" ht="15.75" customHeight="1">
      <c r="A26" s="863"/>
      <c r="B26" s="869"/>
      <c r="C26" s="111">
        <v>2</v>
      </c>
      <c r="D26" s="582" t="s">
        <v>704</v>
      </c>
      <c r="E26" s="845"/>
      <c r="F26" s="846"/>
      <c r="G26" s="582" t="s">
        <v>656</v>
      </c>
      <c r="H26" s="845"/>
      <c r="I26" s="846"/>
      <c r="J26" s="4">
        <v>444.88</v>
      </c>
      <c r="K26" s="14">
        <v>3.013530135301358E-2</v>
      </c>
      <c r="L26" s="4">
        <v>0.58800000000000097</v>
      </c>
      <c r="M26" s="377">
        <v>261.58944000000042</v>
      </c>
      <c r="N26" s="4"/>
      <c r="O26" s="834" t="s">
        <v>600</v>
      </c>
      <c r="P26" s="837"/>
      <c r="R26" s="177"/>
      <c r="S26" s="177"/>
      <c r="T26" s="177"/>
      <c r="U26" s="177"/>
      <c r="V26" s="177"/>
      <c r="W26" s="177"/>
    </row>
    <row r="27" spans="1:23" ht="15.75" customHeight="1">
      <c r="A27" s="863"/>
      <c r="B27" s="869"/>
      <c r="C27" s="111">
        <v>3</v>
      </c>
      <c r="D27" s="582">
        <v>0</v>
      </c>
      <c r="E27" s="845"/>
      <c r="F27" s="846"/>
      <c r="G27" s="582">
        <v>0</v>
      </c>
      <c r="H27" s="845"/>
      <c r="I27" s="846"/>
      <c r="J27" s="4">
        <v>0</v>
      </c>
      <c r="K27" s="14">
        <v>0</v>
      </c>
      <c r="L27" s="4">
        <v>0</v>
      </c>
      <c r="M27" s="377">
        <v>0</v>
      </c>
      <c r="N27" s="4"/>
      <c r="O27" s="836"/>
      <c r="P27" s="837"/>
      <c r="R27" s="177"/>
      <c r="S27" s="177"/>
      <c r="T27" s="177"/>
      <c r="U27" s="177"/>
      <c r="V27" s="177"/>
      <c r="W27" s="177"/>
    </row>
    <row r="28" spans="1:23" ht="15.75" customHeight="1">
      <c r="A28" s="863"/>
      <c r="B28" s="869"/>
      <c r="C28" s="111">
        <v>4</v>
      </c>
      <c r="D28" s="582">
        <v>0</v>
      </c>
      <c r="E28" s="845"/>
      <c r="F28" s="846"/>
      <c r="G28" s="582">
        <v>0</v>
      </c>
      <c r="H28" s="845"/>
      <c r="I28" s="846"/>
      <c r="J28" s="4">
        <v>0</v>
      </c>
      <c r="K28" s="14">
        <v>0</v>
      </c>
      <c r="L28" s="4">
        <v>0</v>
      </c>
      <c r="M28" s="377">
        <v>0</v>
      </c>
      <c r="N28" s="4"/>
      <c r="O28" s="836"/>
      <c r="P28" s="837"/>
      <c r="R28" s="177"/>
      <c r="S28" s="177"/>
      <c r="T28" s="177"/>
      <c r="U28" s="177"/>
      <c r="V28" s="177"/>
      <c r="W28" s="177"/>
    </row>
    <row r="29" spans="1:23" ht="15.75" customHeight="1" thickBot="1">
      <c r="A29" s="863"/>
      <c r="B29" s="869"/>
      <c r="C29" s="112">
        <v>5</v>
      </c>
      <c r="D29" s="582">
        <v>0</v>
      </c>
      <c r="E29" s="845"/>
      <c r="F29" s="846"/>
      <c r="G29" s="582">
        <v>0</v>
      </c>
      <c r="H29" s="845"/>
      <c r="I29" s="846"/>
      <c r="J29" s="4">
        <v>0</v>
      </c>
      <c r="K29" s="14">
        <v>0</v>
      </c>
      <c r="L29" s="4">
        <v>0</v>
      </c>
      <c r="M29" s="377">
        <v>0</v>
      </c>
      <c r="N29" s="4"/>
      <c r="O29" s="836"/>
      <c r="P29" s="837"/>
      <c r="R29" s="177"/>
      <c r="S29" s="177"/>
      <c r="T29" s="177"/>
      <c r="U29" s="177"/>
      <c r="V29" s="177"/>
      <c r="W29" s="177"/>
    </row>
    <row r="30" spans="1:23" ht="15.75" customHeight="1" thickTop="1" thickBot="1">
      <c r="A30" s="863"/>
      <c r="B30" s="869"/>
      <c r="C30" s="875"/>
      <c r="D30" s="875"/>
      <c r="E30" s="875"/>
      <c r="F30" s="875"/>
      <c r="G30" s="875"/>
      <c r="H30" s="875"/>
      <c r="I30" s="876"/>
      <c r="J30" s="517" t="s">
        <v>595</v>
      </c>
      <c r="K30" s="239">
        <v>2.5452838861381917E-3</v>
      </c>
      <c r="L30" s="517" t="s">
        <v>596</v>
      </c>
      <c r="M30" s="378">
        <v>582.46971999999755</v>
      </c>
      <c r="N30" s="872"/>
      <c r="O30" s="873"/>
      <c r="P30" s="874"/>
      <c r="R30" s="177"/>
      <c r="S30" s="177"/>
      <c r="T30" s="177"/>
      <c r="U30" s="177"/>
      <c r="V30" s="177"/>
      <c r="W30" s="177"/>
    </row>
    <row r="31" spans="1:23" ht="15.75" customHeight="1" thickTop="1">
      <c r="A31" s="566"/>
      <c r="B31" s="110"/>
      <c r="C31" s="108"/>
      <c r="D31" s="566"/>
      <c r="E31" s="566"/>
      <c r="F31" s="566"/>
      <c r="G31" s="566"/>
      <c r="H31" s="566"/>
      <c r="I31" s="566"/>
      <c r="J31" s="566"/>
      <c r="K31" s="566"/>
      <c r="L31" s="566"/>
      <c r="M31" s="566"/>
      <c r="N31" s="566"/>
      <c r="O31" s="566"/>
      <c r="P31" s="566"/>
      <c r="R31" s="177"/>
      <c r="S31" s="177"/>
      <c r="T31" s="177"/>
      <c r="U31" s="177"/>
      <c r="V31" s="177"/>
      <c r="W31" s="177"/>
    </row>
    <row r="32" spans="1:23" ht="15.75" customHeight="1">
      <c r="A32" s="863" t="s">
        <v>590</v>
      </c>
      <c r="B32" s="863"/>
      <c r="C32" s="573" t="s">
        <v>525</v>
      </c>
      <c r="D32" s="864" t="s">
        <v>12</v>
      </c>
      <c r="E32" s="865"/>
      <c r="F32" s="866"/>
      <c r="G32" s="571" t="s">
        <v>591</v>
      </c>
      <c r="H32" s="572"/>
      <c r="I32" s="573"/>
      <c r="J32" s="113" t="s">
        <v>592</v>
      </c>
      <c r="K32" s="113" t="s">
        <v>598</v>
      </c>
      <c r="L32" s="113" t="s">
        <v>594</v>
      </c>
      <c r="M32" s="113" t="s">
        <v>11</v>
      </c>
      <c r="N32" s="113" t="s">
        <v>13</v>
      </c>
      <c r="O32" s="867" t="s">
        <v>50</v>
      </c>
      <c r="P32" s="868"/>
      <c r="R32" s="177"/>
      <c r="S32" s="177"/>
      <c r="T32" s="177"/>
      <c r="U32" s="177"/>
      <c r="V32" s="177"/>
      <c r="W32" s="177"/>
    </row>
    <row r="33" spans="1:23" ht="15.75" customHeight="1">
      <c r="A33" s="863">
        <v>7</v>
      </c>
      <c r="B33" s="869" t="s">
        <v>496</v>
      </c>
      <c r="C33" s="111">
        <v>1</v>
      </c>
      <c r="D33" s="582" t="s">
        <v>582</v>
      </c>
      <c r="E33" s="845"/>
      <c r="F33" s="846"/>
      <c r="G33" s="582" t="s">
        <v>639</v>
      </c>
      <c r="H33" s="845"/>
      <c r="I33" s="846"/>
      <c r="J33" s="4">
        <v>935.2</v>
      </c>
      <c r="K33" s="14">
        <v>2.2349025202092108E-2</v>
      </c>
      <c r="L33" s="4">
        <v>0.37599999999999767</v>
      </c>
      <c r="M33" s="377">
        <v>351.63519999999784</v>
      </c>
      <c r="N33" s="4"/>
      <c r="O33" s="836" t="s">
        <v>561</v>
      </c>
      <c r="P33" s="837"/>
      <c r="R33" s="177"/>
      <c r="S33" s="177"/>
      <c r="T33" s="177"/>
      <c r="U33" s="177"/>
      <c r="V33" s="177"/>
      <c r="W33" s="177"/>
    </row>
    <row r="34" spans="1:23" ht="15.75" customHeight="1">
      <c r="A34" s="863"/>
      <c r="B34" s="869"/>
      <c r="C34" s="111">
        <v>2</v>
      </c>
      <c r="D34" s="582" t="s">
        <v>634</v>
      </c>
      <c r="E34" s="845"/>
      <c r="F34" s="846"/>
      <c r="G34" s="582" t="s">
        <v>635</v>
      </c>
      <c r="H34" s="845"/>
      <c r="I34" s="846"/>
      <c r="J34" s="4">
        <v>1010.1</v>
      </c>
      <c r="K34" s="14">
        <v>3.7985865724381764E-2</v>
      </c>
      <c r="L34" s="4">
        <v>0.34400000000000119</v>
      </c>
      <c r="M34" s="377">
        <v>347.4744000000012</v>
      </c>
      <c r="N34" s="4"/>
      <c r="O34" s="836" t="s">
        <v>561</v>
      </c>
      <c r="P34" s="837"/>
      <c r="R34" s="177"/>
      <c r="S34" s="177"/>
      <c r="T34" s="177"/>
      <c r="U34" s="177"/>
      <c r="V34" s="177"/>
      <c r="W34" s="177"/>
    </row>
    <row r="35" spans="1:23" ht="15.75" customHeight="1">
      <c r="A35" s="863"/>
      <c r="B35" s="869"/>
      <c r="C35" s="111">
        <v>3</v>
      </c>
      <c r="D35" s="582" t="s">
        <v>667</v>
      </c>
      <c r="E35" s="845"/>
      <c r="F35" s="846"/>
      <c r="G35" s="582" t="s">
        <v>764</v>
      </c>
      <c r="H35" s="845"/>
      <c r="I35" s="846"/>
      <c r="J35" s="4">
        <v>423.49</v>
      </c>
      <c r="K35" s="14">
        <v>8.4905660377358347E-2</v>
      </c>
      <c r="L35" s="4">
        <v>0.71999999999999886</v>
      </c>
      <c r="M35" s="377">
        <v>304.91279999999955</v>
      </c>
      <c r="N35" s="4"/>
      <c r="O35" s="836" t="s">
        <v>561</v>
      </c>
      <c r="P35" s="837"/>
      <c r="R35" s="177"/>
      <c r="S35" s="177"/>
      <c r="T35" s="177"/>
      <c r="U35" s="177"/>
      <c r="V35" s="177"/>
      <c r="W35" s="177"/>
    </row>
    <row r="36" spans="1:23" ht="15.75" customHeight="1">
      <c r="A36" s="863"/>
      <c r="B36" s="869"/>
      <c r="C36" s="111">
        <v>4</v>
      </c>
      <c r="D36" s="582" t="s">
        <v>634</v>
      </c>
      <c r="E36" s="845"/>
      <c r="F36" s="846"/>
      <c r="G36" s="582" t="s">
        <v>638</v>
      </c>
      <c r="H36" s="845"/>
      <c r="I36" s="846"/>
      <c r="J36" s="4">
        <v>622.54999999999995</v>
      </c>
      <c r="K36" s="14">
        <v>0.16358658453114297</v>
      </c>
      <c r="L36" s="4">
        <v>0.47799999999999976</v>
      </c>
      <c r="M36" s="377">
        <v>297.57889999999981</v>
      </c>
      <c r="N36" s="4"/>
      <c r="O36" s="836" t="s">
        <v>561</v>
      </c>
      <c r="P36" s="837"/>
      <c r="R36" s="177"/>
      <c r="S36" s="177"/>
      <c r="T36" s="177"/>
      <c r="U36" s="177"/>
      <c r="V36" s="177"/>
      <c r="W36" s="177"/>
    </row>
    <row r="37" spans="1:23" ht="15.75" customHeight="1" thickBot="1">
      <c r="A37" s="863"/>
      <c r="B37" s="869"/>
      <c r="C37" s="112">
        <v>5</v>
      </c>
      <c r="D37" s="582" t="s">
        <v>765</v>
      </c>
      <c r="E37" s="845"/>
      <c r="F37" s="846"/>
      <c r="G37" s="582" t="s">
        <v>766</v>
      </c>
      <c r="H37" s="845"/>
      <c r="I37" s="846"/>
      <c r="J37" s="4">
        <v>474.56</v>
      </c>
      <c r="K37" s="14">
        <v>0.11576011157601106</v>
      </c>
      <c r="L37" s="4">
        <v>0.58099999999999952</v>
      </c>
      <c r="M37" s="377">
        <v>275.71935999999977</v>
      </c>
      <c r="N37" s="4"/>
      <c r="O37" s="836" t="s">
        <v>561</v>
      </c>
      <c r="P37" s="837"/>
      <c r="R37" s="177"/>
      <c r="S37" s="177"/>
      <c r="T37" s="177"/>
      <c r="U37" s="177"/>
      <c r="V37" s="177"/>
      <c r="W37" s="177"/>
    </row>
    <row r="38" spans="1:23" ht="15.75" customHeight="1" thickTop="1" thickBot="1">
      <c r="A38" s="863"/>
      <c r="B38" s="869"/>
      <c r="C38" s="875"/>
      <c r="D38" s="875"/>
      <c r="E38" s="875"/>
      <c r="F38" s="875"/>
      <c r="G38" s="875"/>
      <c r="H38" s="875"/>
      <c r="I38" s="876"/>
      <c r="J38" s="517" t="s">
        <v>595</v>
      </c>
      <c r="K38" s="239">
        <v>6.8925966815422957E-3</v>
      </c>
      <c r="L38" s="517" t="s">
        <v>596</v>
      </c>
      <c r="M38" s="378">
        <v>1577.3206599999983</v>
      </c>
      <c r="N38" s="872"/>
      <c r="O38" s="873"/>
      <c r="P38" s="874"/>
      <c r="R38" s="177"/>
      <c r="S38" s="177"/>
      <c r="T38" s="177"/>
      <c r="U38" s="177"/>
      <c r="V38" s="177"/>
      <c r="W38" s="177"/>
    </row>
    <row r="39" spans="1:23" ht="15.75" customHeight="1" thickTop="1"/>
  </sheetData>
  <mergeCells count="107">
    <mergeCell ref="A32:B32"/>
    <mergeCell ref="D32:F32"/>
    <mergeCell ref="O32:P32"/>
    <mergeCell ref="A33:A38"/>
    <mergeCell ref="B33:B38"/>
    <mergeCell ref="D33:F33"/>
    <mergeCell ref="G33:I33"/>
    <mergeCell ref="O33:P33"/>
    <mergeCell ref="C38:I38"/>
    <mergeCell ref="N38:P38"/>
    <mergeCell ref="D36:F36"/>
    <mergeCell ref="G36:I36"/>
    <mergeCell ref="O36:P36"/>
    <mergeCell ref="D37:F37"/>
    <mergeCell ref="G37:I37"/>
    <mergeCell ref="O37:P37"/>
    <mergeCell ref="D34:F34"/>
    <mergeCell ref="G34:I34"/>
    <mergeCell ref="O34:P34"/>
    <mergeCell ref="D35:F35"/>
    <mergeCell ref="G35:I35"/>
    <mergeCell ref="O35:P35"/>
    <mergeCell ref="A24:B24"/>
    <mergeCell ref="D24:F24"/>
    <mergeCell ref="O24:P24"/>
    <mergeCell ref="A25:A30"/>
    <mergeCell ref="B25:B30"/>
    <mergeCell ref="D25:F25"/>
    <mergeCell ref="G25:I25"/>
    <mergeCell ref="O25:P25"/>
    <mergeCell ref="D28:F28"/>
    <mergeCell ref="G28:I28"/>
    <mergeCell ref="O28:P28"/>
    <mergeCell ref="D29:F29"/>
    <mergeCell ref="G29:I29"/>
    <mergeCell ref="O29:P29"/>
    <mergeCell ref="D26:F26"/>
    <mergeCell ref="G26:I26"/>
    <mergeCell ref="O26:P26"/>
    <mergeCell ref="D27:F27"/>
    <mergeCell ref="G27:I27"/>
    <mergeCell ref="O27:P27"/>
    <mergeCell ref="C30:I30"/>
    <mergeCell ref="N30:P30"/>
    <mergeCell ref="O19:P19"/>
    <mergeCell ref="D20:F20"/>
    <mergeCell ref="G20:I20"/>
    <mergeCell ref="O20:P20"/>
    <mergeCell ref="D21:F21"/>
    <mergeCell ref="G21:I21"/>
    <mergeCell ref="O21:P21"/>
    <mergeCell ref="A17:A22"/>
    <mergeCell ref="B17:B22"/>
    <mergeCell ref="D17:F17"/>
    <mergeCell ref="G17:I17"/>
    <mergeCell ref="O17:P17"/>
    <mergeCell ref="D18:F18"/>
    <mergeCell ref="G18:I18"/>
    <mergeCell ref="O18:P18"/>
    <mergeCell ref="D19:F19"/>
    <mergeCell ref="G19:I19"/>
    <mergeCell ref="C22:I22"/>
    <mergeCell ref="N22:P22"/>
    <mergeCell ref="A16:B16"/>
    <mergeCell ref="D16:F16"/>
    <mergeCell ref="O16:P16"/>
    <mergeCell ref="O10:P10"/>
    <mergeCell ref="D11:F11"/>
    <mergeCell ref="G11:I11"/>
    <mergeCell ref="O11:P11"/>
    <mergeCell ref="D12:F12"/>
    <mergeCell ref="G12:I12"/>
    <mergeCell ref="O12:P12"/>
    <mergeCell ref="A8:B8"/>
    <mergeCell ref="D8:F8"/>
    <mergeCell ref="O8:P8"/>
    <mergeCell ref="A9:A14"/>
    <mergeCell ref="B9:B14"/>
    <mergeCell ref="D9:F9"/>
    <mergeCell ref="G9:I9"/>
    <mergeCell ref="O9:P9"/>
    <mergeCell ref="D10:F10"/>
    <mergeCell ref="G10:I10"/>
    <mergeCell ref="D13:F13"/>
    <mergeCell ref="G13:I13"/>
    <mergeCell ref="O13:P13"/>
    <mergeCell ref="C14:I14"/>
    <mergeCell ref="N14:P14"/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  <mergeCell ref="L6:M6"/>
    <mergeCell ref="N6:O6"/>
    <mergeCell ref="P6:Q6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rgb="FF92D050"/>
    <outlinePr summaryBelow="0" summaryRight="0"/>
  </sheetPr>
  <dimension ref="A1:Q20"/>
  <sheetViews>
    <sheetView view="pageBreakPreview" zoomScale="115" zoomScaleNormal="60" zoomScaleSheetLayoutView="115" workbookViewId="0">
      <selection activeCell="S22" sqref="S22"/>
    </sheetView>
  </sheetViews>
  <sheetFormatPr defaultColWidth="12.5703125" defaultRowHeight="15.75" customHeight="1"/>
  <cols>
    <col min="1" max="1" width="5.42578125" style="114" customWidth="1"/>
    <col min="2" max="2" width="7.85546875" style="170" customWidth="1"/>
    <col min="3" max="3" width="4" style="155" customWidth="1"/>
    <col min="4" max="17" width="8.5703125" style="114" customWidth="1"/>
    <col min="18" max="16384" width="12.5703125" style="114"/>
  </cols>
  <sheetData>
    <row r="1" spans="1:17" ht="15.75" customHeight="1">
      <c r="A1" s="604" t="s">
        <v>185</v>
      </c>
      <c r="B1" s="604"/>
      <c r="C1" s="604"/>
      <c r="D1" s="604"/>
      <c r="E1" s="604"/>
      <c r="F1" s="604"/>
      <c r="G1" s="604"/>
      <c r="H1" s="604"/>
      <c r="I1" s="604"/>
      <c r="J1" s="604"/>
      <c r="K1" s="604"/>
      <c r="L1" s="604"/>
      <c r="M1" s="604"/>
      <c r="N1" s="604"/>
      <c r="O1" s="604"/>
      <c r="P1" s="604"/>
      <c r="Q1" s="604"/>
    </row>
    <row r="2" spans="1:17" s="115" customFormat="1" ht="15.75" customHeight="1">
      <c r="A2" s="604"/>
      <c r="B2" s="604"/>
      <c r="C2" s="604"/>
      <c r="D2" s="604"/>
      <c r="E2" s="604"/>
      <c r="F2" s="604"/>
      <c r="G2" s="604"/>
      <c r="H2" s="604"/>
      <c r="I2" s="604"/>
      <c r="J2" s="604"/>
      <c r="K2" s="604"/>
      <c r="L2" s="604"/>
      <c r="M2" s="604"/>
      <c r="N2" s="604"/>
      <c r="O2" s="604"/>
      <c r="P2" s="604"/>
      <c r="Q2" s="604"/>
    </row>
    <row r="3" spans="1:17" ht="15.75" customHeight="1">
      <c r="A3" s="720" t="s">
        <v>196</v>
      </c>
      <c r="B3" s="720"/>
      <c r="C3" s="720"/>
      <c r="D3" s="720"/>
      <c r="E3" s="720"/>
      <c r="F3" s="720"/>
      <c r="G3" s="720"/>
      <c r="H3" s="720"/>
      <c r="I3" s="720"/>
      <c r="J3" s="720"/>
      <c r="K3" s="720"/>
      <c r="L3" s="720"/>
      <c r="M3" s="720"/>
      <c r="N3" s="720"/>
      <c r="O3" s="720"/>
      <c r="P3" s="720"/>
      <c r="Q3" s="720"/>
    </row>
    <row r="4" spans="1:17" s="115" customFormat="1" ht="15.75" customHeight="1">
      <c r="A4" s="884"/>
      <c r="B4" s="884"/>
      <c r="C4" s="884"/>
      <c r="D4" s="884"/>
      <c r="E4" s="884"/>
      <c r="F4" s="884"/>
      <c r="G4" s="884"/>
      <c r="H4" s="884"/>
      <c r="I4" s="884"/>
      <c r="J4" s="884"/>
      <c r="K4" s="884"/>
      <c r="L4" s="884"/>
      <c r="M4" s="884"/>
      <c r="N4" s="884"/>
      <c r="O4" s="884"/>
      <c r="P4" s="884"/>
      <c r="Q4" s="884"/>
    </row>
    <row r="5" spans="1:17" ht="15.75" customHeight="1">
      <c r="A5" s="621" t="s">
        <v>171</v>
      </c>
      <c r="B5" s="838">
        <v>1</v>
      </c>
      <c r="C5" s="838"/>
      <c r="D5" s="838">
        <v>2</v>
      </c>
      <c r="E5" s="838"/>
      <c r="F5" s="838">
        <v>3</v>
      </c>
      <c r="G5" s="838"/>
      <c r="H5" s="838">
        <v>4</v>
      </c>
      <c r="I5" s="838"/>
      <c r="J5" s="838">
        <v>5</v>
      </c>
      <c r="K5" s="838"/>
      <c r="L5" s="838">
        <v>6</v>
      </c>
      <c r="M5" s="838"/>
      <c r="N5" s="838">
        <v>7</v>
      </c>
      <c r="O5" s="838"/>
      <c r="P5" s="840">
        <v>8</v>
      </c>
      <c r="Q5" s="840"/>
    </row>
    <row r="6" spans="1:17" ht="15.75" customHeight="1">
      <c r="A6" s="621"/>
      <c r="B6" s="621" t="s">
        <v>304</v>
      </c>
      <c r="C6" s="621"/>
      <c r="D6" s="621" t="s">
        <v>197</v>
      </c>
      <c r="E6" s="621"/>
      <c r="F6" s="621" t="s">
        <v>163</v>
      </c>
      <c r="G6" s="621"/>
      <c r="H6" s="621" t="s">
        <v>483</v>
      </c>
      <c r="I6" s="621"/>
      <c r="J6" s="621" t="s">
        <v>169</v>
      </c>
      <c r="K6" s="621"/>
      <c r="L6" s="621" t="s">
        <v>164</v>
      </c>
      <c r="M6" s="621"/>
      <c r="N6" s="621" t="s">
        <v>170</v>
      </c>
      <c r="O6" s="621"/>
      <c r="P6" s="841" t="s">
        <v>198</v>
      </c>
      <c r="Q6" s="841"/>
    </row>
    <row r="8" spans="1:17" s="148" customFormat="1" ht="15.75" customHeight="1">
      <c r="A8" s="157" t="s">
        <v>173</v>
      </c>
      <c r="B8" s="174" t="s">
        <v>18</v>
      </c>
      <c r="C8" s="885" t="s">
        <v>12</v>
      </c>
      <c r="D8" s="885"/>
      <c r="E8" s="885"/>
      <c r="F8" s="885" t="s">
        <v>53</v>
      </c>
      <c r="G8" s="885"/>
      <c r="H8" s="885"/>
      <c r="I8" s="174" t="s">
        <v>54</v>
      </c>
      <c r="J8" s="175" t="s">
        <v>19</v>
      </c>
      <c r="K8" s="174" t="s">
        <v>57</v>
      </c>
      <c r="L8" s="174" t="s">
        <v>2</v>
      </c>
      <c r="M8" s="887" t="s">
        <v>50</v>
      </c>
      <c r="N8" s="888"/>
      <c r="O8" s="888"/>
      <c r="P8" s="888"/>
      <c r="Q8" s="888"/>
    </row>
    <row r="9" spans="1:17" ht="15.75" customHeight="1">
      <c r="A9" s="885" t="s">
        <v>172</v>
      </c>
      <c r="B9" s="150">
        <v>1</v>
      </c>
      <c r="C9" s="886"/>
      <c r="D9" s="731"/>
      <c r="E9" s="731"/>
      <c r="F9" s="886"/>
      <c r="G9" s="731"/>
      <c r="H9" s="731"/>
      <c r="I9" s="158"/>
      <c r="J9" s="172"/>
      <c r="K9" s="172"/>
      <c r="L9" s="173">
        <f>K9-J9</f>
        <v>0</v>
      </c>
      <c r="M9" s="886"/>
      <c r="N9" s="886"/>
      <c r="O9" s="886"/>
      <c r="P9" s="886"/>
      <c r="Q9" s="886"/>
    </row>
    <row r="10" spans="1:17" ht="15.75" customHeight="1">
      <c r="A10" s="891"/>
      <c r="B10" s="150">
        <v>2</v>
      </c>
      <c r="C10" s="886"/>
      <c r="D10" s="731"/>
      <c r="E10" s="731"/>
      <c r="F10" s="886"/>
      <c r="G10" s="731"/>
      <c r="H10" s="731"/>
      <c r="I10" s="158"/>
      <c r="J10" s="172"/>
      <c r="K10" s="172"/>
      <c r="L10" s="173">
        <f>K10-J10</f>
        <v>0</v>
      </c>
      <c r="M10" s="886"/>
      <c r="N10" s="886"/>
      <c r="O10" s="886"/>
      <c r="P10" s="886"/>
      <c r="Q10" s="886"/>
    </row>
    <row r="11" spans="1:17" ht="15.75" customHeight="1">
      <c r="A11" s="891"/>
      <c r="B11" s="150">
        <v>3</v>
      </c>
      <c r="C11" s="886"/>
      <c r="D11" s="731"/>
      <c r="E11" s="731"/>
      <c r="F11" s="886"/>
      <c r="G11" s="731"/>
      <c r="H11" s="731"/>
      <c r="I11" s="158"/>
      <c r="J11" s="172"/>
      <c r="K11" s="172"/>
      <c r="L11" s="173">
        <f>K11-J11</f>
        <v>0</v>
      </c>
      <c r="M11" s="886"/>
      <c r="N11" s="886"/>
      <c r="O11" s="886"/>
      <c r="P11" s="886"/>
      <c r="Q11" s="886"/>
    </row>
    <row r="12" spans="1:17" ht="15.75" customHeight="1">
      <c r="A12" s="891"/>
      <c r="B12" s="150">
        <v>4</v>
      </c>
      <c r="C12" s="886"/>
      <c r="D12" s="731"/>
      <c r="E12" s="731"/>
      <c r="F12" s="886"/>
      <c r="G12" s="731"/>
      <c r="H12" s="731"/>
      <c r="I12" s="158"/>
      <c r="J12" s="172"/>
      <c r="K12" s="172"/>
      <c r="L12" s="173">
        <f>K12-J12</f>
        <v>0</v>
      </c>
      <c r="M12" s="886"/>
      <c r="N12" s="886"/>
      <c r="O12" s="886"/>
      <c r="P12" s="886"/>
      <c r="Q12" s="886"/>
    </row>
    <row r="13" spans="1:17" ht="15.75" customHeight="1">
      <c r="A13" s="891"/>
      <c r="B13" s="150">
        <v>5</v>
      </c>
      <c r="C13" s="886"/>
      <c r="D13" s="731"/>
      <c r="E13" s="731"/>
      <c r="F13" s="886"/>
      <c r="G13" s="731"/>
      <c r="H13" s="731"/>
      <c r="I13" s="158"/>
      <c r="J13" s="172"/>
      <c r="K13" s="172"/>
      <c r="L13" s="173">
        <f>K13-J13</f>
        <v>0</v>
      </c>
      <c r="M13" s="886"/>
      <c r="N13" s="886"/>
      <c r="O13" s="886"/>
      <c r="P13" s="886"/>
      <c r="Q13" s="886"/>
    </row>
    <row r="14" spans="1:17" ht="15.75" customHeight="1">
      <c r="A14" s="889"/>
      <c r="B14" s="889"/>
      <c r="C14" s="889"/>
      <c r="D14" s="889"/>
      <c r="E14" s="889"/>
      <c r="F14" s="889"/>
      <c r="G14" s="889"/>
      <c r="H14" s="889"/>
      <c r="I14" s="889"/>
      <c r="J14" s="889"/>
      <c r="K14" s="889"/>
      <c r="L14" s="889"/>
      <c r="M14" s="889"/>
      <c r="N14" s="889"/>
      <c r="O14" s="890"/>
    </row>
    <row r="15" spans="1:17" s="148" customFormat="1" ht="15.75" customHeight="1">
      <c r="A15" s="157" t="s">
        <v>173</v>
      </c>
      <c r="B15" s="157" t="s">
        <v>18</v>
      </c>
      <c r="C15" s="883" t="s">
        <v>12</v>
      </c>
      <c r="D15" s="883"/>
      <c r="E15" s="883"/>
      <c r="F15" s="883" t="s">
        <v>53</v>
      </c>
      <c r="G15" s="883"/>
      <c r="H15" s="883"/>
      <c r="I15" s="157" t="s">
        <v>54</v>
      </c>
      <c r="J15" s="171" t="s">
        <v>19</v>
      </c>
      <c r="K15" s="157" t="s">
        <v>57</v>
      </c>
      <c r="L15" s="157" t="s">
        <v>2</v>
      </c>
      <c r="M15" s="883" t="s">
        <v>50</v>
      </c>
      <c r="N15" s="883"/>
      <c r="O15" s="883"/>
      <c r="P15" s="883"/>
      <c r="Q15" s="883"/>
    </row>
    <row r="16" spans="1:17" ht="15.75" customHeight="1">
      <c r="A16" s="883" t="s">
        <v>174</v>
      </c>
      <c r="B16" s="150">
        <v>1</v>
      </c>
      <c r="C16" s="886"/>
      <c r="D16" s="731"/>
      <c r="E16" s="731"/>
      <c r="F16" s="886"/>
      <c r="G16" s="731"/>
      <c r="H16" s="731"/>
      <c r="I16" s="158"/>
      <c r="J16" s="172"/>
      <c r="K16" s="172"/>
      <c r="L16" s="173">
        <f>K16-J16</f>
        <v>0</v>
      </c>
      <c r="M16" s="886"/>
      <c r="N16" s="886"/>
      <c r="O16" s="886"/>
      <c r="P16" s="886"/>
      <c r="Q16" s="886"/>
    </row>
    <row r="17" spans="1:17" ht="15.75" customHeight="1">
      <c r="A17" s="883"/>
      <c r="B17" s="150">
        <v>2</v>
      </c>
      <c r="C17" s="886"/>
      <c r="D17" s="731"/>
      <c r="E17" s="731"/>
      <c r="F17" s="886"/>
      <c r="G17" s="731"/>
      <c r="H17" s="731"/>
      <c r="I17" s="158"/>
      <c r="J17" s="172"/>
      <c r="K17" s="172"/>
      <c r="L17" s="173">
        <f>K17-J17</f>
        <v>0</v>
      </c>
      <c r="M17" s="886"/>
      <c r="N17" s="886"/>
      <c r="O17" s="886"/>
      <c r="P17" s="886"/>
      <c r="Q17" s="886"/>
    </row>
    <row r="18" spans="1:17" ht="15.75" customHeight="1">
      <c r="A18" s="883"/>
      <c r="B18" s="150">
        <v>3</v>
      </c>
      <c r="C18" s="886"/>
      <c r="D18" s="731"/>
      <c r="E18" s="731"/>
      <c r="F18" s="886"/>
      <c r="G18" s="731"/>
      <c r="H18" s="731"/>
      <c r="I18" s="158"/>
      <c r="J18" s="172"/>
      <c r="K18" s="172"/>
      <c r="L18" s="173">
        <f>K18-J18</f>
        <v>0</v>
      </c>
      <c r="M18" s="886"/>
      <c r="N18" s="886"/>
      <c r="O18" s="886"/>
      <c r="P18" s="886"/>
      <c r="Q18" s="886"/>
    </row>
    <row r="19" spans="1:17" ht="15.75" customHeight="1">
      <c r="A19" s="883"/>
      <c r="B19" s="150">
        <v>4</v>
      </c>
      <c r="C19" s="886"/>
      <c r="D19" s="731"/>
      <c r="E19" s="731"/>
      <c r="F19" s="886"/>
      <c r="G19" s="731"/>
      <c r="H19" s="731"/>
      <c r="I19" s="158"/>
      <c r="J19" s="172"/>
      <c r="K19" s="172"/>
      <c r="L19" s="173">
        <f>K19-J19</f>
        <v>0</v>
      </c>
      <c r="M19" s="886"/>
      <c r="N19" s="886"/>
      <c r="O19" s="886"/>
      <c r="P19" s="886"/>
      <c r="Q19" s="886"/>
    </row>
    <row r="20" spans="1:17" ht="15.75" customHeight="1">
      <c r="A20" s="883"/>
      <c r="B20" s="150">
        <v>5</v>
      </c>
      <c r="C20" s="886"/>
      <c r="D20" s="731"/>
      <c r="E20" s="731"/>
      <c r="F20" s="886"/>
      <c r="G20" s="731"/>
      <c r="H20" s="731"/>
      <c r="I20" s="158"/>
      <c r="J20" s="172"/>
      <c r="K20" s="172"/>
      <c r="L20" s="173">
        <f>K20-J20</f>
        <v>0</v>
      </c>
      <c r="M20" s="886"/>
      <c r="N20" s="886"/>
      <c r="O20" s="886"/>
      <c r="P20" s="886"/>
      <c r="Q20" s="886"/>
    </row>
  </sheetData>
  <mergeCells count="58">
    <mergeCell ref="M20:Q20"/>
    <mergeCell ref="C20:E20"/>
    <mergeCell ref="F20:H20"/>
    <mergeCell ref="C18:E18"/>
    <mergeCell ref="F18:H18"/>
    <mergeCell ref="C19:E19"/>
    <mergeCell ref="F19:H19"/>
    <mergeCell ref="M18:Q18"/>
    <mergeCell ref="M19:Q19"/>
    <mergeCell ref="A16:A20"/>
    <mergeCell ref="M13:Q13"/>
    <mergeCell ref="C16:E16"/>
    <mergeCell ref="F16:H16"/>
    <mergeCell ref="C17:E17"/>
    <mergeCell ref="F17:H17"/>
    <mergeCell ref="C15:E15"/>
    <mergeCell ref="F15:H15"/>
    <mergeCell ref="A14:O14"/>
    <mergeCell ref="A9:A13"/>
    <mergeCell ref="M10:Q10"/>
    <mergeCell ref="M11:Q11"/>
    <mergeCell ref="M12:Q12"/>
    <mergeCell ref="M16:Q16"/>
    <mergeCell ref="M17:Q17"/>
    <mergeCell ref="C10:E10"/>
    <mergeCell ref="C12:E12"/>
    <mergeCell ref="C13:E13"/>
    <mergeCell ref="F10:H10"/>
    <mergeCell ref="F11:H11"/>
    <mergeCell ref="F12:H12"/>
    <mergeCell ref="F13:H13"/>
    <mergeCell ref="A1:Q2"/>
    <mergeCell ref="J6:K6"/>
    <mergeCell ref="L6:M6"/>
    <mergeCell ref="N6:O6"/>
    <mergeCell ref="P6:Q6"/>
    <mergeCell ref="F5:G5"/>
    <mergeCell ref="H5:I5"/>
    <mergeCell ref="B6:C6"/>
    <mergeCell ref="D6:E6"/>
    <mergeCell ref="F6:G6"/>
    <mergeCell ref="H6:I6"/>
    <mergeCell ref="M15:Q15"/>
    <mergeCell ref="J5:K5"/>
    <mergeCell ref="L5:M5"/>
    <mergeCell ref="A3:Q4"/>
    <mergeCell ref="N5:O5"/>
    <mergeCell ref="P5:Q5"/>
    <mergeCell ref="A5:A6"/>
    <mergeCell ref="B5:C5"/>
    <mergeCell ref="D5:E5"/>
    <mergeCell ref="C8:E8"/>
    <mergeCell ref="F8:H8"/>
    <mergeCell ref="C9:E9"/>
    <mergeCell ref="F9:H9"/>
    <mergeCell ref="M8:Q8"/>
    <mergeCell ref="M9:Q9"/>
    <mergeCell ref="C11:E11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theme="7" tint="0.39997558519241921"/>
    <pageSetUpPr fitToPage="1"/>
  </sheetPr>
  <dimension ref="B1:AQ78"/>
  <sheetViews>
    <sheetView zoomScale="55" zoomScaleNormal="55" workbookViewId="0">
      <pane xSplit="4" ySplit="1" topLeftCell="AA2" activePane="bottomRight" state="frozen"/>
      <selection activeCell="M12" sqref="M12:Q12"/>
      <selection pane="topRight" activeCell="M12" sqref="M12:Q12"/>
      <selection pane="bottomLeft" activeCell="M12" sqref="M12:Q12"/>
      <selection pane="bottomRight" activeCell="AJ41" sqref="AJ41"/>
    </sheetView>
  </sheetViews>
  <sheetFormatPr defaultColWidth="8.85546875" defaultRowHeight="16.5"/>
  <cols>
    <col min="1" max="1" width="8.85546875" style="318"/>
    <col min="2" max="2" width="12.42578125" style="318" customWidth="1"/>
    <col min="3" max="3" width="8.85546875" style="318"/>
    <col min="4" max="4" width="11.5703125" style="318" customWidth="1"/>
    <col min="5" max="5" width="39.28515625" style="318" bestFit="1" customWidth="1"/>
    <col min="6" max="6" width="11.42578125" style="318" bestFit="1" customWidth="1"/>
    <col min="7" max="8" width="17.28515625" style="318" bestFit="1" customWidth="1"/>
    <col min="9" max="9" width="16.85546875" style="318" customWidth="1"/>
    <col min="10" max="10" width="14" style="318" customWidth="1"/>
    <col min="11" max="11" width="16.85546875" style="318" customWidth="1"/>
    <col min="12" max="12" width="14" style="318" customWidth="1"/>
    <col min="13" max="13" width="13.85546875" style="318" bestFit="1" customWidth="1"/>
    <col min="14" max="14" width="10.85546875" style="318" bestFit="1" customWidth="1"/>
    <col min="15" max="15" width="19.140625" style="318" bestFit="1" customWidth="1"/>
    <col min="16" max="16" width="15.28515625" style="318" bestFit="1" customWidth="1"/>
    <col min="17" max="17" width="12.5703125" style="318" bestFit="1" customWidth="1"/>
    <col min="18" max="18" width="12.85546875" style="318" bestFit="1" customWidth="1"/>
    <col min="19" max="19" width="13.42578125" style="318" bestFit="1" customWidth="1"/>
    <col min="20" max="20" width="12.85546875" style="318" bestFit="1" customWidth="1"/>
    <col min="21" max="21" width="10.85546875" style="318" bestFit="1" customWidth="1"/>
    <col min="22" max="22" width="12.5703125" style="318" bestFit="1" customWidth="1"/>
    <col min="23" max="24" width="10.85546875" style="318" customWidth="1"/>
    <col min="25" max="25" width="12.42578125" style="318" bestFit="1" customWidth="1"/>
    <col min="26" max="26" width="25.28515625" style="318" bestFit="1" customWidth="1"/>
    <col min="27" max="27" width="88.28515625" style="318" customWidth="1"/>
    <col min="28" max="28" width="117.7109375" style="318" bestFit="1" customWidth="1"/>
    <col min="29" max="29" width="11.5703125" style="318" bestFit="1" customWidth="1"/>
    <col min="30" max="30" width="69.5703125" style="318" bestFit="1" customWidth="1"/>
    <col min="31" max="31" width="11.42578125" style="318" bestFit="1" customWidth="1"/>
    <col min="32" max="32" width="21.5703125" style="318" customWidth="1"/>
    <col min="33" max="33" width="19.42578125" style="318" bestFit="1" customWidth="1"/>
    <col min="34" max="39" width="14.42578125" style="318" customWidth="1"/>
    <col min="40" max="16384" width="8.85546875" style="318"/>
  </cols>
  <sheetData>
    <row r="1" spans="2:43" ht="21">
      <c r="B1" s="439" t="s">
        <v>625</v>
      </c>
    </row>
    <row r="2" spans="2:43" ht="41.1" customHeight="1">
      <c r="B2" s="894" t="s">
        <v>602</v>
      </c>
      <c r="C2" s="895"/>
      <c r="D2" s="895"/>
      <c r="E2" s="895"/>
      <c r="F2" s="895"/>
      <c r="G2" s="895"/>
      <c r="H2" s="895"/>
      <c r="I2" s="895"/>
      <c r="J2" s="895"/>
      <c r="K2" s="895"/>
      <c r="L2" s="895"/>
      <c r="M2" s="895"/>
      <c r="N2" s="895"/>
      <c r="O2" s="895"/>
      <c r="P2" s="895"/>
      <c r="Q2" s="895"/>
      <c r="R2" s="895"/>
      <c r="S2" s="895"/>
      <c r="T2" s="895"/>
      <c r="U2" s="895"/>
      <c r="V2" s="895"/>
      <c r="W2" s="895"/>
      <c r="X2" s="895"/>
      <c r="Y2" s="895"/>
      <c r="Z2" s="895"/>
      <c r="AA2" s="895"/>
      <c r="AB2" s="895"/>
      <c r="AC2" s="895"/>
      <c r="AD2" s="895"/>
      <c r="AF2" s="319"/>
      <c r="AG2" s="319"/>
    </row>
    <row r="3" spans="2:43" ht="17.100000000000001" customHeight="1">
      <c r="B3" s="925" t="s">
        <v>603</v>
      </c>
      <c r="C3" s="926"/>
      <c r="D3" s="893" t="s">
        <v>604</v>
      </c>
      <c r="E3" s="892" t="s">
        <v>605</v>
      </c>
      <c r="F3" s="923" t="s">
        <v>606</v>
      </c>
      <c r="G3" s="901" t="s">
        <v>607</v>
      </c>
      <c r="H3" s="924" t="s">
        <v>608</v>
      </c>
      <c r="I3" s="918" t="s">
        <v>609</v>
      </c>
      <c r="J3" s="919"/>
      <c r="K3" s="918" t="s">
        <v>610</v>
      </c>
      <c r="L3" s="919"/>
      <c r="M3" s="918" t="s">
        <v>611</v>
      </c>
      <c r="N3" s="919"/>
      <c r="O3" s="918" t="s">
        <v>612</v>
      </c>
      <c r="P3" s="919"/>
      <c r="Q3" s="918" t="s">
        <v>613</v>
      </c>
      <c r="R3" s="919"/>
      <c r="S3" s="920" t="s">
        <v>614</v>
      </c>
      <c r="T3" s="921"/>
      <c r="U3" s="922"/>
      <c r="V3" s="896" t="s">
        <v>615</v>
      </c>
      <c r="W3" s="897"/>
      <c r="X3" s="898"/>
      <c r="Y3" s="899" t="s">
        <v>165</v>
      </c>
      <c r="Z3" s="899" t="s">
        <v>616</v>
      </c>
      <c r="AA3" s="899" t="s">
        <v>617</v>
      </c>
      <c r="AB3" s="899" t="s">
        <v>618</v>
      </c>
      <c r="AC3" s="899" t="s">
        <v>619</v>
      </c>
      <c r="AD3" s="901" t="s">
        <v>166</v>
      </c>
      <c r="AF3" s="903" t="s">
        <v>620</v>
      </c>
      <c r="AG3" s="904"/>
      <c r="AH3" s="904"/>
      <c r="AI3" s="904"/>
      <c r="AJ3" s="904"/>
      <c r="AK3" s="904"/>
      <c r="AL3" s="904"/>
      <c r="AM3" s="905"/>
    </row>
    <row r="4" spans="2:43">
      <c r="B4" s="927"/>
      <c r="C4" s="928"/>
      <c r="D4" s="893"/>
      <c r="E4" s="893"/>
      <c r="F4" s="923"/>
      <c r="G4" s="902"/>
      <c r="H4" s="902"/>
      <c r="I4" s="576" t="s">
        <v>621</v>
      </c>
      <c r="J4" s="575" t="s">
        <v>567</v>
      </c>
      <c r="K4" s="576" t="s">
        <v>621</v>
      </c>
      <c r="L4" s="575" t="s">
        <v>567</v>
      </c>
      <c r="M4" s="576" t="s">
        <v>621</v>
      </c>
      <c r="N4" s="575" t="s">
        <v>567</v>
      </c>
      <c r="O4" s="576" t="s">
        <v>621</v>
      </c>
      <c r="P4" s="575" t="s">
        <v>567</v>
      </c>
      <c r="Q4" s="576" t="s">
        <v>621</v>
      </c>
      <c r="R4" s="575" t="s">
        <v>567</v>
      </c>
      <c r="S4" s="576" t="s">
        <v>621</v>
      </c>
      <c r="T4" s="575" t="s">
        <v>567</v>
      </c>
      <c r="U4" s="575" t="s">
        <v>568</v>
      </c>
      <c r="V4" s="576" t="s">
        <v>621</v>
      </c>
      <c r="W4" s="575" t="s">
        <v>567</v>
      </c>
      <c r="X4" s="575" t="s">
        <v>568</v>
      </c>
      <c r="Y4" s="900"/>
      <c r="Z4" s="900"/>
      <c r="AA4" s="900"/>
      <c r="AB4" s="900"/>
      <c r="AC4" s="900"/>
      <c r="AD4" s="902"/>
      <c r="AF4" s="906"/>
      <c r="AG4" s="907"/>
      <c r="AH4" s="907"/>
      <c r="AI4" s="907"/>
      <c r="AJ4" s="907"/>
      <c r="AK4" s="907"/>
      <c r="AL4" s="907"/>
      <c r="AM4" s="908"/>
    </row>
    <row r="5" spans="2:43" s="376" customFormat="1" ht="27" customHeight="1">
      <c r="B5" s="912" t="s">
        <v>721</v>
      </c>
      <c r="C5" s="913"/>
      <c r="D5" s="518">
        <v>1</v>
      </c>
      <c r="E5" s="519" t="s">
        <v>637</v>
      </c>
      <c r="F5" s="520">
        <v>1040.3639999999998</v>
      </c>
      <c r="G5" s="521">
        <v>136.88999999999999</v>
      </c>
      <c r="H5" s="522">
        <v>2267.1659999999997</v>
      </c>
      <c r="I5" s="522">
        <v>2271.6550618475594</v>
      </c>
      <c r="J5" s="523">
        <v>1.0018512319312891</v>
      </c>
      <c r="K5" s="524">
        <v>2279</v>
      </c>
      <c r="L5" s="523">
        <v>1.005219732476581</v>
      </c>
      <c r="M5" s="524">
        <v>0</v>
      </c>
      <c r="N5" s="523">
        <v>0</v>
      </c>
      <c r="O5" s="525">
        <v>2279</v>
      </c>
      <c r="P5" s="523">
        <v>1.005219732476581</v>
      </c>
      <c r="Q5" s="522">
        <v>7.6</v>
      </c>
      <c r="R5" s="523">
        <v>3.3522027059333108E-3</v>
      </c>
      <c r="S5" s="525">
        <v>11.833999999999975</v>
      </c>
      <c r="T5" s="523">
        <v>5.2197324765808836E-3</v>
      </c>
      <c r="U5" s="526">
        <v>1619.9562599999965</v>
      </c>
      <c r="V5" s="527">
        <v>4.2339999999999751</v>
      </c>
      <c r="W5" s="528">
        <v>1.867529770647573E-3</v>
      </c>
      <c r="X5" s="529">
        <v>579.59225999999649</v>
      </c>
      <c r="Y5" s="438" t="s">
        <v>326</v>
      </c>
      <c r="Z5" s="438" t="s">
        <v>193</v>
      </c>
      <c r="AA5" s="530" t="s">
        <v>668</v>
      </c>
      <c r="AB5" s="531" t="s">
        <v>503</v>
      </c>
      <c r="AC5" s="438">
        <v>1</v>
      </c>
      <c r="AD5" s="532" t="s">
        <v>328</v>
      </c>
      <c r="AF5" s="909"/>
      <c r="AG5" s="910"/>
      <c r="AH5" s="910"/>
      <c r="AI5" s="910"/>
      <c r="AJ5" s="910"/>
      <c r="AK5" s="910"/>
      <c r="AL5" s="910"/>
      <c r="AM5" s="911"/>
      <c r="AP5" s="379"/>
      <c r="AQ5" s="379"/>
    </row>
    <row r="6" spans="2:43" s="376" customFormat="1" ht="27" customHeight="1">
      <c r="B6" s="914"/>
      <c r="C6" s="915"/>
      <c r="D6" s="518">
        <v>2</v>
      </c>
      <c r="E6" s="519" t="s">
        <v>666</v>
      </c>
      <c r="F6" s="520">
        <v>1026.7559999999999</v>
      </c>
      <c r="G6" s="521">
        <v>380.28</v>
      </c>
      <c r="H6" s="522">
        <v>342.04500000000002</v>
      </c>
      <c r="I6" s="522">
        <v>342.04500000000002</v>
      </c>
      <c r="J6" s="523">
        <v>1</v>
      </c>
      <c r="K6" s="524">
        <v>346.59999999999997</v>
      </c>
      <c r="L6" s="523">
        <v>1.0133169612185529</v>
      </c>
      <c r="M6" s="524">
        <v>0</v>
      </c>
      <c r="N6" s="523">
        <v>0</v>
      </c>
      <c r="O6" s="525">
        <v>346.59999999999997</v>
      </c>
      <c r="P6" s="523">
        <v>1.0133169612185529</v>
      </c>
      <c r="Q6" s="522">
        <v>2.7</v>
      </c>
      <c r="R6" s="523">
        <v>7.8936981976055788E-3</v>
      </c>
      <c r="S6" s="525">
        <v>4.5549999999999997</v>
      </c>
      <c r="T6" s="523">
        <v>1.3316961218553114E-2</v>
      </c>
      <c r="U6" s="526">
        <v>1732.1753999999994</v>
      </c>
      <c r="V6" s="527">
        <v>1.8549999999999995</v>
      </c>
      <c r="W6" s="528">
        <v>5.4232630209475347E-3</v>
      </c>
      <c r="X6" s="529">
        <v>705.41939999999977</v>
      </c>
      <c r="Y6" s="438" t="s">
        <v>326</v>
      </c>
      <c r="Z6" s="438" t="s">
        <v>193</v>
      </c>
      <c r="AA6" s="438" t="s">
        <v>588</v>
      </c>
      <c r="AB6" s="438" t="s">
        <v>503</v>
      </c>
      <c r="AC6" s="438">
        <v>1</v>
      </c>
      <c r="AD6" s="532" t="s">
        <v>665</v>
      </c>
      <c r="AF6" s="217" t="s">
        <v>623</v>
      </c>
      <c r="AG6" s="217" t="s">
        <v>569</v>
      </c>
      <c r="AH6" s="437" t="s">
        <v>599</v>
      </c>
      <c r="AI6" s="437" t="s">
        <v>356</v>
      </c>
      <c r="AJ6" s="437" t="s">
        <v>483</v>
      </c>
      <c r="AK6" s="437" t="s">
        <v>193</v>
      </c>
      <c r="AL6" s="437" t="s">
        <v>194</v>
      </c>
      <c r="AM6" s="437" t="s">
        <v>496</v>
      </c>
      <c r="AP6" s="381"/>
      <c r="AQ6" s="203"/>
    </row>
    <row r="7" spans="2:43" s="376" customFormat="1" ht="27" customHeight="1">
      <c r="B7" s="914"/>
      <c r="C7" s="915"/>
      <c r="D7" s="518">
        <v>3</v>
      </c>
      <c r="E7" s="519" t="s">
        <v>722</v>
      </c>
      <c r="F7" s="520">
        <v>992.16100000000006</v>
      </c>
      <c r="G7" s="521">
        <v>125.59</v>
      </c>
      <c r="H7" s="522">
        <v>341.79599999999999</v>
      </c>
      <c r="I7" s="522">
        <v>344.05127590707258</v>
      </c>
      <c r="J7" s="523">
        <v>1.0064866423767473</v>
      </c>
      <c r="K7" s="524">
        <v>351.90000000000003</v>
      </c>
      <c r="L7" s="523">
        <v>1.029561492820279</v>
      </c>
      <c r="M7" s="524">
        <v>0</v>
      </c>
      <c r="N7" s="523">
        <v>0</v>
      </c>
      <c r="O7" s="525">
        <v>351.90000000000003</v>
      </c>
      <c r="P7" s="523">
        <v>1.029561492820279</v>
      </c>
      <c r="Q7" s="522">
        <v>7.8999999999999995</v>
      </c>
      <c r="R7" s="523">
        <v>2.3113202026940047E-2</v>
      </c>
      <c r="S7" s="525">
        <v>10.103999999999999</v>
      </c>
      <c r="T7" s="523">
        <v>2.956149282027876E-2</v>
      </c>
      <c r="U7" s="526">
        <v>1268.9613599999998</v>
      </c>
      <c r="V7" s="527">
        <v>2.2039999999999997</v>
      </c>
      <c r="W7" s="528">
        <v>6.4482907933387157E-3</v>
      </c>
      <c r="X7" s="529">
        <v>276.80035999999996</v>
      </c>
      <c r="Y7" s="438" t="s">
        <v>327</v>
      </c>
      <c r="Z7" s="438" t="s">
        <v>356</v>
      </c>
      <c r="AA7" s="438" t="s">
        <v>715</v>
      </c>
      <c r="AB7" s="438" t="s">
        <v>716</v>
      </c>
      <c r="AC7" s="438">
        <v>1</v>
      </c>
      <c r="AD7" s="532" t="s">
        <v>578</v>
      </c>
      <c r="AF7" s="380">
        <v>20</v>
      </c>
      <c r="AG7" s="321">
        <v>0</v>
      </c>
      <c r="AH7" s="321">
        <v>0</v>
      </c>
      <c r="AI7" s="321">
        <v>3</v>
      </c>
      <c r="AJ7" s="321">
        <v>7</v>
      </c>
      <c r="AK7" s="321">
        <v>7</v>
      </c>
      <c r="AL7" s="321">
        <v>2</v>
      </c>
      <c r="AM7" s="321">
        <v>1</v>
      </c>
      <c r="AP7" s="203"/>
      <c r="AQ7" s="203"/>
    </row>
    <row r="8" spans="2:43" s="376" customFormat="1" ht="27" customHeight="1">
      <c r="B8" s="914"/>
      <c r="C8" s="915"/>
      <c r="D8" s="518">
        <v>4</v>
      </c>
      <c r="E8" s="519" t="s">
        <v>761</v>
      </c>
      <c r="F8" s="520">
        <v>964.9380000000001</v>
      </c>
      <c r="G8" s="521">
        <v>371.13</v>
      </c>
      <c r="H8" s="522">
        <v>843.33400000000006</v>
      </c>
      <c r="I8" s="522">
        <v>845.04014926789591</v>
      </c>
      <c r="J8" s="523">
        <v>1.0021025848141412</v>
      </c>
      <c r="K8" s="524">
        <v>846.6</v>
      </c>
      <c r="L8" s="523">
        <v>1.0038727242112853</v>
      </c>
      <c r="M8" s="524">
        <v>0.8</v>
      </c>
      <c r="N8" s="523">
        <v>9.4861585089656055E-4</v>
      </c>
      <c r="O8" s="525">
        <v>847.4</v>
      </c>
      <c r="P8" s="523">
        <v>1.0048213400621817</v>
      </c>
      <c r="Q8" s="522">
        <v>2.6</v>
      </c>
      <c r="R8" s="523">
        <v>3.0830015154138216E-3</v>
      </c>
      <c r="S8" s="525">
        <v>4.0660000000000025</v>
      </c>
      <c r="T8" s="523">
        <v>4.8213400621817714E-3</v>
      </c>
      <c r="U8" s="526">
        <v>1509.0145800000009</v>
      </c>
      <c r="V8" s="527">
        <v>1.4660000000000024</v>
      </c>
      <c r="W8" s="528">
        <v>1.73833854676795E-3</v>
      </c>
      <c r="X8" s="529">
        <v>544.07658000000094</v>
      </c>
      <c r="Y8" s="438" t="s">
        <v>325</v>
      </c>
      <c r="Z8" s="438" t="s">
        <v>483</v>
      </c>
      <c r="AA8" s="438" t="s">
        <v>584</v>
      </c>
      <c r="AB8" s="438" t="s">
        <v>577</v>
      </c>
      <c r="AC8" s="438">
        <v>1</v>
      </c>
      <c r="AD8" s="532" t="s">
        <v>342</v>
      </c>
      <c r="AF8" s="382" t="s">
        <v>11</v>
      </c>
      <c r="AG8" s="383">
        <v>0</v>
      </c>
      <c r="AH8" s="383">
        <v>0</v>
      </c>
      <c r="AI8" s="383">
        <v>2551.335</v>
      </c>
      <c r="AJ8" s="383">
        <v>6319.7969999999996</v>
      </c>
      <c r="AK8" s="383">
        <v>6352.2249999999995</v>
      </c>
      <c r="AL8" s="383">
        <v>2051.5880000000002</v>
      </c>
      <c r="AM8" s="383">
        <v>1028.72</v>
      </c>
      <c r="AP8" s="203"/>
      <c r="AQ8" s="203"/>
    </row>
    <row r="9" spans="2:43" s="376" customFormat="1" ht="27" customHeight="1">
      <c r="B9" s="914"/>
      <c r="C9" s="915"/>
      <c r="D9" s="518">
        <v>5</v>
      </c>
      <c r="E9" s="519" t="s">
        <v>734</v>
      </c>
      <c r="F9" s="520">
        <v>963.95</v>
      </c>
      <c r="G9" s="521">
        <v>74.150000000000006</v>
      </c>
      <c r="H9" s="522">
        <v>981.31499999999983</v>
      </c>
      <c r="I9" s="522">
        <v>984.56150953891654</v>
      </c>
      <c r="J9" s="523">
        <v>1.0038098926872829</v>
      </c>
      <c r="K9" s="524">
        <v>998.00000000000011</v>
      </c>
      <c r="L9" s="523">
        <v>1.0170026953628553</v>
      </c>
      <c r="M9" s="524">
        <v>0</v>
      </c>
      <c r="N9" s="523">
        <v>0</v>
      </c>
      <c r="O9" s="525">
        <v>998.00000000000011</v>
      </c>
      <c r="P9" s="523">
        <v>1.0170026953628553</v>
      </c>
      <c r="Q9" s="522">
        <v>13</v>
      </c>
      <c r="R9" s="523">
        <v>1.324753009991695E-2</v>
      </c>
      <c r="S9" s="525">
        <v>16.684999999999974</v>
      </c>
      <c r="T9" s="523">
        <v>1.7002695362854921E-2</v>
      </c>
      <c r="U9" s="526">
        <v>1237.1927499999981</v>
      </c>
      <c r="V9" s="527">
        <v>3.6849999999999739</v>
      </c>
      <c r="W9" s="528">
        <v>3.7551652629379704E-3</v>
      </c>
      <c r="X9" s="529">
        <v>273.24274999999807</v>
      </c>
      <c r="Y9" s="438" t="s">
        <v>325</v>
      </c>
      <c r="Z9" s="438" t="s">
        <v>483</v>
      </c>
      <c r="AA9" s="438" t="s">
        <v>710</v>
      </c>
      <c r="AB9" s="438" t="s">
        <v>711</v>
      </c>
      <c r="AC9" s="438">
        <v>1</v>
      </c>
      <c r="AD9" s="532" t="s">
        <v>629</v>
      </c>
      <c r="AF9" s="320" t="s">
        <v>570</v>
      </c>
      <c r="AG9" s="384">
        <v>0</v>
      </c>
      <c r="AH9" s="384">
        <v>0</v>
      </c>
      <c r="AI9" s="384">
        <v>0.15</v>
      </c>
      <c r="AJ9" s="384">
        <v>0.35</v>
      </c>
      <c r="AK9" s="384">
        <v>0.35</v>
      </c>
      <c r="AL9" s="384">
        <v>0.1</v>
      </c>
      <c r="AM9" s="384">
        <v>0.05</v>
      </c>
      <c r="AP9" s="203"/>
      <c r="AQ9" s="203"/>
    </row>
    <row r="10" spans="2:43" s="376" customFormat="1" ht="27" customHeight="1">
      <c r="B10" s="914"/>
      <c r="C10" s="915"/>
      <c r="D10" s="518">
        <v>6</v>
      </c>
      <c r="E10" s="519" t="s">
        <v>757</v>
      </c>
      <c r="F10" s="520">
        <v>963.73200000000008</v>
      </c>
      <c r="G10" s="521">
        <v>344.19</v>
      </c>
      <c r="H10" s="522">
        <v>610.5</v>
      </c>
      <c r="I10" s="522">
        <v>612.95013494213811</v>
      </c>
      <c r="J10" s="523">
        <v>1.0033266864682331</v>
      </c>
      <c r="K10" s="524">
        <v>614.29999999999995</v>
      </c>
      <c r="L10" s="523">
        <v>1.0062244062244061</v>
      </c>
      <c r="M10" s="524">
        <v>0.7</v>
      </c>
      <c r="N10" s="523">
        <v>1.1466011466011465E-3</v>
      </c>
      <c r="O10" s="525">
        <v>615</v>
      </c>
      <c r="P10" s="523">
        <v>1.0073710073710074</v>
      </c>
      <c r="Q10" s="522">
        <v>2.8000000000000003</v>
      </c>
      <c r="R10" s="523">
        <v>4.5864045864045869E-3</v>
      </c>
      <c r="S10" s="525">
        <v>4.4999999999999929</v>
      </c>
      <c r="T10" s="523">
        <v>7.3710073710073591E-3</v>
      </c>
      <c r="U10" s="526">
        <v>1548.8549999999975</v>
      </c>
      <c r="V10" s="527">
        <v>1.6999999999999926</v>
      </c>
      <c r="W10" s="528">
        <v>2.7846027846027727E-3</v>
      </c>
      <c r="X10" s="529">
        <v>585.12299999999743</v>
      </c>
      <c r="Y10" s="438" t="s">
        <v>326</v>
      </c>
      <c r="Z10" s="438" t="s">
        <v>193</v>
      </c>
      <c r="AA10" s="438" t="s">
        <v>588</v>
      </c>
      <c r="AB10" s="438" t="s">
        <v>503</v>
      </c>
      <c r="AC10" s="438">
        <v>1</v>
      </c>
      <c r="AD10" s="532" t="s">
        <v>659</v>
      </c>
      <c r="AP10" s="203"/>
      <c r="AQ10" s="203"/>
    </row>
    <row r="11" spans="2:43" s="376" customFormat="1" ht="27" customHeight="1">
      <c r="B11" s="914"/>
      <c r="C11" s="915"/>
      <c r="D11" s="518">
        <v>7</v>
      </c>
      <c r="E11" s="519" t="s">
        <v>709</v>
      </c>
      <c r="F11" s="520">
        <v>961.79200000000003</v>
      </c>
      <c r="G11" s="521">
        <v>75.14</v>
      </c>
      <c r="H11" s="522">
        <v>730.11000000000013</v>
      </c>
      <c r="I11" s="522">
        <v>733.16627340191872</v>
      </c>
      <c r="J11" s="523">
        <v>1.0046832041574343</v>
      </c>
      <c r="K11" s="524">
        <v>746.2</v>
      </c>
      <c r="L11" s="523">
        <v>1.0220377751297749</v>
      </c>
      <c r="M11" s="524">
        <v>0</v>
      </c>
      <c r="N11" s="523">
        <v>0</v>
      </c>
      <c r="O11" s="525">
        <v>746.2</v>
      </c>
      <c r="P11" s="523">
        <v>1.0220377751297749</v>
      </c>
      <c r="Q11" s="522">
        <v>12.8</v>
      </c>
      <c r="R11" s="523">
        <v>1.753160482666995E-2</v>
      </c>
      <c r="S11" s="525">
        <v>16.090000000000003</v>
      </c>
      <c r="T11" s="523">
        <v>2.2037775129774968E-2</v>
      </c>
      <c r="U11" s="526">
        <v>1209.0026000000003</v>
      </c>
      <c r="V11" s="527">
        <v>3.2900000000000027</v>
      </c>
      <c r="W11" s="528">
        <v>4.5061703031050145E-3</v>
      </c>
      <c r="X11" s="529">
        <v>247.2106000000002</v>
      </c>
      <c r="Y11" s="438" t="s">
        <v>325</v>
      </c>
      <c r="Z11" s="438" t="s">
        <v>483</v>
      </c>
      <c r="AA11" s="531" t="s">
        <v>555</v>
      </c>
      <c r="AB11" s="531" t="s">
        <v>556</v>
      </c>
      <c r="AC11" s="438">
        <v>1</v>
      </c>
      <c r="AD11" s="532" t="s">
        <v>328</v>
      </c>
      <c r="AP11" s="203"/>
      <c r="AQ11" s="203"/>
    </row>
    <row r="12" spans="2:43" s="376" customFormat="1" ht="27" customHeight="1">
      <c r="B12" s="914"/>
      <c r="C12" s="915"/>
      <c r="D12" s="518">
        <v>8</v>
      </c>
      <c r="E12" s="519" t="s">
        <v>728</v>
      </c>
      <c r="F12" s="520">
        <v>938.74999999999989</v>
      </c>
      <c r="G12" s="521">
        <v>75.099999999999994</v>
      </c>
      <c r="H12" s="522">
        <v>1040.7810000000002</v>
      </c>
      <c r="I12" s="522">
        <v>1044.3026951075044</v>
      </c>
      <c r="J12" s="523">
        <v>1.0034232906060632</v>
      </c>
      <c r="K12" s="524">
        <v>1056.8</v>
      </c>
      <c r="L12" s="523">
        <v>1.0153913263212913</v>
      </c>
      <c r="M12" s="524">
        <v>0</v>
      </c>
      <c r="N12" s="523">
        <v>0</v>
      </c>
      <c r="O12" s="525">
        <v>1056.8</v>
      </c>
      <c r="P12" s="523">
        <v>1.0153913263212913</v>
      </c>
      <c r="Q12" s="522">
        <v>12.5</v>
      </c>
      <c r="R12" s="523">
        <v>1.201021156227871E-2</v>
      </c>
      <c r="S12" s="525">
        <v>16.018999999999949</v>
      </c>
      <c r="T12" s="523">
        <v>1.5391326321291364E-2</v>
      </c>
      <c r="U12" s="526">
        <v>1203.0268999999962</v>
      </c>
      <c r="V12" s="527">
        <v>3.5189999999999486</v>
      </c>
      <c r="W12" s="528">
        <v>3.3811147590126528E-3</v>
      </c>
      <c r="X12" s="529">
        <v>264.27689999999615</v>
      </c>
      <c r="Y12" s="438" t="s">
        <v>325</v>
      </c>
      <c r="Z12" s="438" t="s">
        <v>483</v>
      </c>
      <c r="AA12" s="438" t="s">
        <v>710</v>
      </c>
      <c r="AB12" s="438" t="s">
        <v>711</v>
      </c>
      <c r="AC12" s="438">
        <v>1</v>
      </c>
      <c r="AD12" s="532" t="s">
        <v>352</v>
      </c>
      <c r="AP12" s="203"/>
      <c r="AQ12" s="203"/>
    </row>
    <row r="13" spans="2:43" s="376" customFormat="1" ht="27" customHeight="1">
      <c r="B13" s="914"/>
      <c r="C13" s="915"/>
      <c r="D13" s="518">
        <v>9</v>
      </c>
      <c r="E13" s="519" t="s">
        <v>639</v>
      </c>
      <c r="F13" s="520">
        <v>935.2</v>
      </c>
      <c r="G13" s="521">
        <v>935.2</v>
      </c>
      <c r="H13" s="522">
        <v>82.096000000000004</v>
      </c>
      <c r="I13" s="522">
        <v>83.131387871596928</v>
      </c>
      <c r="J13" s="523">
        <v>1.0112750120453602</v>
      </c>
      <c r="K13" s="524">
        <v>84.100000000000009</v>
      </c>
      <c r="L13" s="523">
        <v>1.0244104463067629</v>
      </c>
      <c r="M13" s="524">
        <v>0</v>
      </c>
      <c r="N13" s="523">
        <v>0</v>
      </c>
      <c r="O13" s="525">
        <v>84.100000000000009</v>
      </c>
      <c r="P13" s="523">
        <v>1.0244104463067629</v>
      </c>
      <c r="Q13" s="522">
        <v>0.99999999999999989</v>
      </c>
      <c r="R13" s="523">
        <v>1.2180861430520365E-2</v>
      </c>
      <c r="S13" s="525">
        <v>2.0039999999999925</v>
      </c>
      <c r="T13" s="523">
        <v>2.4410446306762722E-2</v>
      </c>
      <c r="U13" s="526">
        <v>1874.1407999999933</v>
      </c>
      <c r="V13" s="527">
        <v>1.0039999999999925</v>
      </c>
      <c r="W13" s="528">
        <v>1.2229584876242355E-2</v>
      </c>
      <c r="X13" s="529">
        <v>938.94079999999303</v>
      </c>
      <c r="Y13" s="438" t="s">
        <v>326</v>
      </c>
      <c r="Z13" s="438" t="s">
        <v>496</v>
      </c>
      <c r="AA13" s="438" t="s">
        <v>561</v>
      </c>
      <c r="AB13" s="438" t="s">
        <v>601</v>
      </c>
      <c r="AC13" s="438">
        <v>1</v>
      </c>
      <c r="AD13" s="532" t="s">
        <v>582</v>
      </c>
    </row>
    <row r="14" spans="2:43" s="376" customFormat="1" ht="27" customHeight="1">
      <c r="B14" s="914"/>
      <c r="C14" s="915"/>
      <c r="D14" s="518">
        <v>10</v>
      </c>
      <c r="E14" s="519" t="s">
        <v>767</v>
      </c>
      <c r="F14" s="520">
        <v>926.40000000000009</v>
      </c>
      <c r="G14" s="521">
        <v>154.4</v>
      </c>
      <c r="H14" s="522">
        <v>133.32799999999997</v>
      </c>
      <c r="I14" s="522">
        <v>135.22672786267734</v>
      </c>
      <c r="J14" s="523">
        <v>1.0148246497547821</v>
      </c>
      <c r="K14" s="524">
        <v>141.4</v>
      </c>
      <c r="L14" s="523">
        <v>1.0605424216968682</v>
      </c>
      <c r="M14" s="524">
        <v>0</v>
      </c>
      <c r="N14" s="523">
        <v>0</v>
      </c>
      <c r="O14" s="525">
        <v>141.4</v>
      </c>
      <c r="P14" s="523">
        <v>1.0605424216968682</v>
      </c>
      <c r="Q14" s="522">
        <v>6</v>
      </c>
      <c r="R14" s="523">
        <v>4.5001800072002891E-2</v>
      </c>
      <c r="S14" s="525">
        <v>8.0720000000000027</v>
      </c>
      <c r="T14" s="523">
        <v>6.054242169686791E-2</v>
      </c>
      <c r="U14" s="526">
        <v>1246.3168000000005</v>
      </c>
      <c r="V14" s="527">
        <v>2.0720000000000027</v>
      </c>
      <c r="W14" s="528">
        <v>1.5540621624865018E-2</v>
      </c>
      <c r="X14" s="529">
        <v>319.91680000000042</v>
      </c>
      <c r="Y14" s="438" t="s">
        <v>327</v>
      </c>
      <c r="Z14" s="438" t="s">
        <v>599</v>
      </c>
      <c r="AA14" s="438" t="s">
        <v>768</v>
      </c>
      <c r="AB14" s="438" t="s">
        <v>769</v>
      </c>
      <c r="AC14" s="438">
        <v>1</v>
      </c>
      <c r="AD14" s="532" t="s">
        <v>633</v>
      </c>
    </row>
    <row r="15" spans="2:43" s="376" customFormat="1" ht="27" customHeight="1">
      <c r="B15" s="914"/>
      <c r="C15" s="915"/>
      <c r="D15" s="518">
        <v>11</v>
      </c>
      <c r="E15" s="519" t="s">
        <v>640</v>
      </c>
      <c r="F15" s="520">
        <v>911.59400000000016</v>
      </c>
      <c r="G15" s="521">
        <v>111.17</v>
      </c>
      <c r="H15" s="522">
        <v>2187.7550000000001</v>
      </c>
      <c r="I15" s="522">
        <v>2190.9983931538304</v>
      </c>
      <c r="J15" s="523">
        <v>1.0011880052362283</v>
      </c>
      <c r="K15" s="524">
        <v>2199.4</v>
      </c>
      <c r="L15" s="523">
        <v>1.0053228080840861</v>
      </c>
      <c r="M15" s="524">
        <v>0</v>
      </c>
      <c r="N15" s="523">
        <v>0</v>
      </c>
      <c r="O15" s="525">
        <v>2199.4</v>
      </c>
      <c r="P15" s="523">
        <v>1.0053228080840861</v>
      </c>
      <c r="Q15" s="522">
        <v>8.1999999999999993</v>
      </c>
      <c r="R15" s="523">
        <v>3.7481345031779149E-3</v>
      </c>
      <c r="S15" s="525">
        <v>11.64500000000001</v>
      </c>
      <c r="T15" s="523">
        <v>5.3228080840862025E-3</v>
      </c>
      <c r="U15" s="526">
        <v>1294.5746500000012</v>
      </c>
      <c r="V15" s="527">
        <v>3.4450000000000109</v>
      </c>
      <c r="W15" s="528">
        <v>1.5746735809082876E-3</v>
      </c>
      <c r="X15" s="529">
        <v>382.98065000000122</v>
      </c>
      <c r="Y15" s="438" t="s">
        <v>325</v>
      </c>
      <c r="Z15" s="438" t="s">
        <v>483</v>
      </c>
      <c r="AA15" s="438" t="s">
        <v>710</v>
      </c>
      <c r="AB15" s="438" t="s">
        <v>711</v>
      </c>
      <c r="AC15" s="438">
        <v>1</v>
      </c>
      <c r="AD15" s="532" t="s">
        <v>328</v>
      </c>
      <c r="AH15" s="322"/>
    </row>
    <row r="16" spans="2:43" s="376" customFormat="1" ht="27" customHeight="1">
      <c r="B16" s="914"/>
      <c r="C16" s="915"/>
      <c r="D16" s="518">
        <v>12</v>
      </c>
      <c r="E16" s="519" t="s">
        <v>770</v>
      </c>
      <c r="F16" s="520">
        <v>907.74</v>
      </c>
      <c r="G16" s="521">
        <v>55.35</v>
      </c>
      <c r="H16" s="522">
        <v>2367.21</v>
      </c>
      <c r="I16" s="522">
        <v>2373.3279591515693</v>
      </c>
      <c r="J16" s="523">
        <v>1.002296860150512</v>
      </c>
      <c r="K16" s="524">
        <v>2388.6</v>
      </c>
      <c r="L16" s="523">
        <v>1.0090359537176676</v>
      </c>
      <c r="M16" s="524">
        <v>0</v>
      </c>
      <c r="N16" s="523">
        <v>0</v>
      </c>
      <c r="O16" s="525">
        <v>2388.6</v>
      </c>
      <c r="P16" s="523">
        <v>1.0090359537176676</v>
      </c>
      <c r="Q16" s="522">
        <v>16.399999999999999</v>
      </c>
      <c r="R16" s="523">
        <v>6.9279869551074885E-3</v>
      </c>
      <c r="S16" s="525">
        <v>21.389999999999873</v>
      </c>
      <c r="T16" s="523">
        <v>9.035953717667581E-3</v>
      </c>
      <c r="U16" s="526">
        <v>1183.936499999993</v>
      </c>
      <c r="V16" s="527">
        <v>4.9899999999998741</v>
      </c>
      <c r="W16" s="528">
        <v>2.1079667625600912E-3</v>
      </c>
      <c r="X16" s="529">
        <v>276.19649999999302</v>
      </c>
      <c r="Y16" s="438" t="s">
        <v>325</v>
      </c>
      <c r="Z16" s="438" t="s">
        <v>483</v>
      </c>
      <c r="AA16" s="438" t="s">
        <v>580</v>
      </c>
      <c r="AB16" s="438" t="s">
        <v>504</v>
      </c>
      <c r="AC16" s="438">
        <v>1</v>
      </c>
      <c r="AD16" s="532" t="s">
        <v>687</v>
      </c>
    </row>
    <row r="17" spans="2:30" s="376" customFormat="1" ht="27" customHeight="1">
      <c r="B17" s="914"/>
      <c r="C17" s="915"/>
      <c r="D17" s="518">
        <v>13</v>
      </c>
      <c r="E17" s="519" t="s">
        <v>657</v>
      </c>
      <c r="F17" s="520">
        <v>906.57499999999993</v>
      </c>
      <c r="G17" s="521">
        <v>362.63</v>
      </c>
      <c r="H17" s="522">
        <v>464.06399999999996</v>
      </c>
      <c r="I17" s="522">
        <v>465.13409360580454</v>
      </c>
      <c r="J17" s="523">
        <v>1.0024197159697945</v>
      </c>
      <c r="K17" s="524">
        <v>467.59999999999997</v>
      </c>
      <c r="L17" s="523">
        <v>1.0076196386705283</v>
      </c>
      <c r="M17" s="524">
        <v>0</v>
      </c>
      <c r="N17" s="523">
        <v>0</v>
      </c>
      <c r="O17" s="525">
        <v>467.59999999999997</v>
      </c>
      <c r="P17" s="523">
        <v>1.0076196386705283</v>
      </c>
      <c r="Q17" s="522">
        <v>2.5</v>
      </c>
      <c r="R17" s="523">
        <v>5.3871879740725421E-3</v>
      </c>
      <c r="S17" s="525">
        <v>3.53599999999998</v>
      </c>
      <c r="T17" s="523">
        <v>7.6196386705281605E-3</v>
      </c>
      <c r="U17" s="526">
        <v>1282.2596799999926</v>
      </c>
      <c r="V17" s="527">
        <v>1.03599999999998</v>
      </c>
      <c r="W17" s="528">
        <v>2.2324506964556184E-3</v>
      </c>
      <c r="X17" s="529">
        <v>375.68467999999274</v>
      </c>
      <c r="Y17" s="438" t="s">
        <v>325</v>
      </c>
      <c r="Z17" s="438" t="s">
        <v>483</v>
      </c>
      <c r="AA17" s="438" t="s">
        <v>584</v>
      </c>
      <c r="AB17" s="438" t="s">
        <v>577</v>
      </c>
      <c r="AC17" s="438">
        <v>1</v>
      </c>
      <c r="AD17" s="532" t="s">
        <v>658</v>
      </c>
    </row>
    <row r="18" spans="2:30" s="376" customFormat="1" ht="27" customHeight="1">
      <c r="B18" s="914"/>
      <c r="C18" s="915"/>
      <c r="D18" s="518">
        <v>14</v>
      </c>
      <c r="E18" s="519" t="s">
        <v>725</v>
      </c>
      <c r="F18" s="520">
        <v>894.14200000000005</v>
      </c>
      <c r="G18" s="521">
        <v>103.97</v>
      </c>
      <c r="H18" s="522">
        <v>706.44</v>
      </c>
      <c r="I18" s="522">
        <v>710.43489142518388</v>
      </c>
      <c r="J18" s="523">
        <v>1.0055190596653718</v>
      </c>
      <c r="K18" s="524">
        <v>718.90000000000009</v>
      </c>
      <c r="L18" s="523">
        <v>1.0176377328577091</v>
      </c>
      <c r="M18" s="524">
        <v>0</v>
      </c>
      <c r="N18" s="523">
        <v>0</v>
      </c>
      <c r="O18" s="525">
        <v>718.90000000000009</v>
      </c>
      <c r="P18" s="523">
        <v>1.0176377328577091</v>
      </c>
      <c r="Q18" s="522">
        <v>8.6</v>
      </c>
      <c r="R18" s="523">
        <v>1.2173716097616215E-2</v>
      </c>
      <c r="S18" s="525">
        <v>12.460000000000036</v>
      </c>
      <c r="T18" s="523">
        <v>1.7637732857709126E-2</v>
      </c>
      <c r="U18" s="526">
        <v>1295.4662000000037</v>
      </c>
      <c r="V18" s="527">
        <v>3.8600000000000367</v>
      </c>
      <c r="W18" s="528">
        <v>5.4640167600929117E-3</v>
      </c>
      <c r="X18" s="529">
        <v>401.32420000000383</v>
      </c>
      <c r="Y18" s="438" t="s">
        <v>325</v>
      </c>
      <c r="Z18" s="438" t="s">
        <v>483</v>
      </c>
      <c r="AA18" s="438" t="s">
        <v>731</v>
      </c>
      <c r="AB18" s="438" t="s">
        <v>732</v>
      </c>
      <c r="AC18" s="438">
        <v>1</v>
      </c>
      <c r="AD18" s="532" t="s">
        <v>499</v>
      </c>
    </row>
    <row r="19" spans="2:30" s="376" customFormat="1" ht="27" customHeight="1">
      <c r="B19" s="914"/>
      <c r="C19" s="915"/>
      <c r="D19" s="518">
        <v>15</v>
      </c>
      <c r="E19" s="519" t="s">
        <v>652</v>
      </c>
      <c r="F19" s="520">
        <v>892.05</v>
      </c>
      <c r="G19" s="521">
        <v>297.35000000000002</v>
      </c>
      <c r="H19" s="522">
        <v>278.721</v>
      </c>
      <c r="I19" s="522">
        <v>279.88495222033481</v>
      </c>
      <c r="J19" s="523">
        <v>1.0045575382085201</v>
      </c>
      <c r="K19" s="524">
        <v>283.10000000000002</v>
      </c>
      <c r="L19" s="523">
        <v>1.0157110515533456</v>
      </c>
      <c r="M19" s="524">
        <v>0</v>
      </c>
      <c r="N19" s="523">
        <v>0</v>
      </c>
      <c r="O19" s="525">
        <v>283.10000000000002</v>
      </c>
      <c r="P19" s="523">
        <v>1.0157110515533456</v>
      </c>
      <c r="Q19" s="522">
        <v>3</v>
      </c>
      <c r="R19" s="523">
        <v>1.0763451623666678E-2</v>
      </c>
      <c r="S19" s="525">
        <v>4.3789999999999978</v>
      </c>
      <c r="T19" s="523">
        <v>1.5711051553345453E-2</v>
      </c>
      <c r="U19" s="526">
        <v>1302.0956499999993</v>
      </c>
      <c r="V19" s="527">
        <v>1.3789999999999978</v>
      </c>
      <c r="W19" s="528">
        <v>4.9475999296787745E-3</v>
      </c>
      <c r="X19" s="529">
        <v>410.0456499999994</v>
      </c>
      <c r="Y19" s="438" t="s">
        <v>326</v>
      </c>
      <c r="Z19" s="438" t="s">
        <v>193</v>
      </c>
      <c r="AA19" s="438" t="s">
        <v>588</v>
      </c>
      <c r="AB19" s="438" t="s">
        <v>503</v>
      </c>
      <c r="AC19" s="438">
        <v>1</v>
      </c>
      <c r="AD19" s="532" t="s">
        <v>550</v>
      </c>
    </row>
    <row r="20" spans="2:30" s="376" customFormat="1" ht="27" customHeight="1">
      <c r="B20" s="914"/>
      <c r="C20" s="915"/>
      <c r="D20" s="518">
        <v>16</v>
      </c>
      <c r="E20" s="519" t="s">
        <v>717</v>
      </c>
      <c r="F20" s="520">
        <v>879.78399999999999</v>
      </c>
      <c r="G20" s="521">
        <v>517.52</v>
      </c>
      <c r="H20" s="522">
        <v>177.94799999999998</v>
      </c>
      <c r="I20" s="522">
        <v>179.22032555848011</v>
      </c>
      <c r="J20" s="523">
        <v>1.0058523539240734</v>
      </c>
      <c r="K20" s="524">
        <v>180.8</v>
      </c>
      <c r="L20" s="523">
        <v>1.0160271540000452</v>
      </c>
      <c r="M20" s="524">
        <v>0</v>
      </c>
      <c r="N20" s="523">
        <v>0</v>
      </c>
      <c r="O20" s="525">
        <v>180.8</v>
      </c>
      <c r="P20" s="523">
        <v>1.0160271540000452</v>
      </c>
      <c r="Q20" s="522">
        <v>1.7000000000000002</v>
      </c>
      <c r="R20" s="523">
        <v>9.5533526648234335E-3</v>
      </c>
      <c r="S20" s="525">
        <v>2.8519999999999968</v>
      </c>
      <c r="T20" s="523">
        <v>1.6027154000044942E-2</v>
      </c>
      <c r="U20" s="526">
        <v>1475.9670399999982</v>
      </c>
      <c r="V20" s="527">
        <v>1.1519999999999966</v>
      </c>
      <c r="W20" s="528">
        <v>6.4738013352215072E-3</v>
      </c>
      <c r="X20" s="529">
        <v>596.18303999999819</v>
      </c>
      <c r="Y20" s="438" t="s">
        <v>326</v>
      </c>
      <c r="Z20" s="438" t="s">
        <v>193</v>
      </c>
      <c r="AA20" s="438" t="s">
        <v>588</v>
      </c>
      <c r="AB20" s="438" t="s">
        <v>503</v>
      </c>
      <c r="AC20" s="438">
        <v>1</v>
      </c>
      <c r="AD20" s="532" t="s">
        <v>705</v>
      </c>
    </row>
    <row r="21" spans="2:30" s="376" customFormat="1" ht="27" customHeight="1">
      <c r="B21" s="914"/>
      <c r="C21" s="915"/>
      <c r="D21" s="518">
        <v>17</v>
      </c>
      <c r="E21" s="519" t="s">
        <v>693</v>
      </c>
      <c r="F21" s="520">
        <v>876.88000000000011</v>
      </c>
      <c r="G21" s="521">
        <v>90.4</v>
      </c>
      <c r="H21" s="522">
        <v>1375.4520000000002</v>
      </c>
      <c r="I21" s="522">
        <v>1377.9541205260784</v>
      </c>
      <c r="J21" s="523">
        <v>1.0020923293061803</v>
      </c>
      <c r="K21" s="524">
        <v>1387.8</v>
      </c>
      <c r="L21" s="523">
        <v>1.0089774125160309</v>
      </c>
      <c r="M21" s="524">
        <v>0</v>
      </c>
      <c r="N21" s="523">
        <v>0</v>
      </c>
      <c r="O21" s="525">
        <v>1387.8</v>
      </c>
      <c r="P21" s="523">
        <v>1.0089774125160309</v>
      </c>
      <c r="Q21" s="522">
        <v>9.6999999999999993</v>
      </c>
      <c r="R21" s="523">
        <v>7.052227195132944E-3</v>
      </c>
      <c r="S21" s="525">
        <v>12.347999999999985</v>
      </c>
      <c r="T21" s="523">
        <v>8.9774125160310813E-3</v>
      </c>
      <c r="U21" s="526">
        <v>1116.2591999999986</v>
      </c>
      <c r="V21" s="527">
        <v>2.6479999999999855</v>
      </c>
      <c r="W21" s="528">
        <v>1.9251853208981375E-3</v>
      </c>
      <c r="X21" s="529">
        <v>239.37919999999869</v>
      </c>
      <c r="Y21" s="438" t="s">
        <v>325</v>
      </c>
      <c r="Z21" s="438" t="s">
        <v>483</v>
      </c>
      <c r="AA21" s="438" t="s">
        <v>555</v>
      </c>
      <c r="AB21" s="438" t="s">
        <v>556</v>
      </c>
      <c r="AC21" s="438">
        <v>1</v>
      </c>
      <c r="AD21" s="532" t="s">
        <v>338</v>
      </c>
    </row>
    <row r="22" spans="2:30" s="376" customFormat="1" ht="27" customHeight="1">
      <c r="B22" s="914"/>
      <c r="C22" s="915"/>
      <c r="D22" s="518">
        <v>18</v>
      </c>
      <c r="E22" s="519" t="s">
        <v>638</v>
      </c>
      <c r="F22" s="520">
        <v>871.56999999999994</v>
      </c>
      <c r="G22" s="521">
        <v>622.54999999999995</v>
      </c>
      <c r="H22" s="522">
        <v>16.405999999999999</v>
      </c>
      <c r="I22" s="522">
        <v>17.33518180459771</v>
      </c>
      <c r="J22" s="523">
        <v>1.0539835424026454</v>
      </c>
      <c r="K22" s="524">
        <v>18.7</v>
      </c>
      <c r="L22" s="523">
        <v>1.1398268926002681</v>
      </c>
      <c r="M22" s="524">
        <v>0</v>
      </c>
      <c r="N22" s="523">
        <v>0</v>
      </c>
      <c r="O22" s="525">
        <v>18.7</v>
      </c>
      <c r="P22" s="523">
        <v>1.1398268926002681</v>
      </c>
      <c r="Q22" s="522">
        <v>1.4</v>
      </c>
      <c r="R22" s="523">
        <v>8.5334633670608312E-2</v>
      </c>
      <c r="S22" s="525">
        <v>2.294</v>
      </c>
      <c r="T22" s="523">
        <v>0.1398268926002682</v>
      </c>
      <c r="U22" s="526">
        <v>1428.1297</v>
      </c>
      <c r="V22" s="527">
        <v>0.89400000000000013</v>
      </c>
      <c r="W22" s="528">
        <v>5.4492258929659892E-2</v>
      </c>
      <c r="X22" s="529">
        <v>556.55970000000002</v>
      </c>
      <c r="Y22" s="438" t="s">
        <v>326</v>
      </c>
      <c r="Z22" s="438" t="s">
        <v>496</v>
      </c>
      <c r="AA22" s="438" t="s">
        <v>561</v>
      </c>
      <c r="AB22" s="438" t="s">
        <v>601</v>
      </c>
      <c r="AC22" s="438">
        <v>1</v>
      </c>
      <c r="AD22" s="532" t="s">
        <v>634</v>
      </c>
    </row>
    <row r="23" spans="2:30" s="376" customFormat="1" ht="27" customHeight="1">
      <c r="B23" s="914"/>
      <c r="C23" s="915"/>
      <c r="D23" s="518">
        <v>19</v>
      </c>
      <c r="E23" s="519" t="s">
        <v>589</v>
      </c>
      <c r="F23" s="520">
        <v>864.98299999999995</v>
      </c>
      <c r="G23" s="521">
        <v>298.27</v>
      </c>
      <c r="H23" s="522">
        <v>155.9</v>
      </c>
      <c r="I23" s="522">
        <v>157.01608968738242</v>
      </c>
      <c r="J23" s="523">
        <v>1.0081128608133647</v>
      </c>
      <c r="K23" s="524">
        <v>160.10000000000002</v>
      </c>
      <c r="L23" s="523">
        <v>1.0269403463758822</v>
      </c>
      <c r="M23" s="524">
        <v>0</v>
      </c>
      <c r="N23" s="523">
        <v>0</v>
      </c>
      <c r="O23" s="525">
        <v>160.10000000000002</v>
      </c>
      <c r="P23" s="523">
        <v>1.0269403463758822</v>
      </c>
      <c r="Q23" s="522">
        <v>2.9</v>
      </c>
      <c r="R23" s="523">
        <v>1.8601667735728029E-2</v>
      </c>
      <c r="S23" s="525">
        <v>4.2000000000000064</v>
      </c>
      <c r="T23" s="523">
        <v>2.6940346375882017E-2</v>
      </c>
      <c r="U23" s="526">
        <v>1252.7340000000017</v>
      </c>
      <c r="V23" s="527">
        <v>1.3000000000000065</v>
      </c>
      <c r="W23" s="528">
        <v>8.3386786401539858E-3</v>
      </c>
      <c r="X23" s="529">
        <v>387.75100000000191</v>
      </c>
      <c r="Y23" s="438" t="s">
        <v>326</v>
      </c>
      <c r="Z23" s="438" t="s">
        <v>193</v>
      </c>
      <c r="AA23" s="438" t="s">
        <v>588</v>
      </c>
      <c r="AB23" s="438" t="s">
        <v>503</v>
      </c>
      <c r="AC23" s="438">
        <v>1</v>
      </c>
      <c r="AD23" s="532" t="s">
        <v>587</v>
      </c>
    </row>
    <row r="24" spans="2:30" s="376" customFormat="1" ht="27" customHeight="1">
      <c r="B24" s="916"/>
      <c r="C24" s="917"/>
      <c r="D24" s="518">
        <v>20</v>
      </c>
      <c r="E24" s="519" t="s">
        <v>762</v>
      </c>
      <c r="F24" s="520">
        <v>863.69799999999987</v>
      </c>
      <c r="G24" s="521">
        <v>71.38</v>
      </c>
      <c r="H24" s="522">
        <v>2091.96</v>
      </c>
      <c r="I24" s="522">
        <v>2099.7699287072919</v>
      </c>
      <c r="J24" s="523">
        <v>1.0034635914854859</v>
      </c>
      <c r="K24" s="524">
        <v>2111</v>
      </c>
      <c r="L24" s="523">
        <v>1.0091015124572171</v>
      </c>
      <c r="M24" s="524">
        <v>0</v>
      </c>
      <c r="N24" s="523">
        <v>0</v>
      </c>
      <c r="O24" s="525">
        <v>2111</v>
      </c>
      <c r="P24" s="523">
        <v>1.0091015124572171</v>
      </c>
      <c r="Q24" s="522">
        <v>12.1</v>
      </c>
      <c r="R24" s="523">
        <v>5.7840494082104814E-3</v>
      </c>
      <c r="S24" s="525">
        <v>19.039999999999992</v>
      </c>
      <c r="T24" s="523">
        <v>9.1015124572171504E-3</v>
      </c>
      <c r="U24" s="526">
        <v>1359.0751999999995</v>
      </c>
      <c r="V24" s="527">
        <v>6.9399999999999924</v>
      </c>
      <c r="W24" s="528">
        <v>3.3174630490066695E-3</v>
      </c>
      <c r="X24" s="529">
        <v>495.37719999999945</v>
      </c>
      <c r="Y24" s="438" t="s">
        <v>325</v>
      </c>
      <c r="Z24" s="438" t="s">
        <v>483</v>
      </c>
      <c r="AA24" s="531" t="s">
        <v>731</v>
      </c>
      <c r="AB24" s="438" t="s">
        <v>732</v>
      </c>
      <c r="AC24" s="438">
        <v>1</v>
      </c>
      <c r="AD24" s="532" t="s">
        <v>686</v>
      </c>
    </row>
    <row r="28" spans="2:30" ht="14.1" customHeight="1"/>
    <row r="38" ht="14.1" customHeight="1"/>
    <row r="48" ht="14.1" customHeight="1"/>
    <row r="58" ht="14.1" customHeight="1"/>
    <row r="68" ht="14.1" customHeight="1"/>
    <row r="78" ht="14.1" customHeight="1"/>
  </sheetData>
  <mergeCells count="22">
    <mergeCell ref="AF3:AM5"/>
    <mergeCell ref="B5:C24"/>
    <mergeCell ref="Y3:Y4"/>
    <mergeCell ref="Z3:Z4"/>
    <mergeCell ref="AA3:AA4"/>
    <mergeCell ref="M3:N3"/>
    <mergeCell ref="O3:P3"/>
    <mergeCell ref="Q3:R3"/>
    <mergeCell ref="S3:U3"/>
    <mergeCell ref="F3:F4"/>
    <mergeCell ref="G3:G4"/>
    <mergeCell ref="H3:H4"/>
    <mergeCell ref="I3:J3"/>
    <mergeCell ref="K3:L3"/>
    <mergeCell ref="B3:C4"/>
    <mergeCell ref="D3:D4"/>
    <mergeCell ref="E3:E4"/>
    <mergeCell ref="B2:AD2"/>
    <mergeCell ref="V3:X3"/>
    <mergeCell ref="AB3:AB4"/>
    <mergeCell ref="AC3:AC4"/>
    <mergeCell ref="AD3:AD4"/>
  </mergeCells>
  <phoneticPr fontId="13" type="noConversion"/>
  <dataValidations disablePrompts="1" count="3">
    <dataValidation type="list" allowBlank="1" showInputMessage="1" showErrorMessage="1" sqref="Y5:Y24" xr:uid="{00000000-0002-0000-1C00-000000000000}">
      <formula1>$AQ$6:$AQ$12</formula1>
    </dataValidation>
    <dataValidation type="list" allowBlank="1" showInputMessage="1" showErrorMessage="1" sqref="Z5:Z24" xr:uid="{00000000-0002-0000-1C00-000001000000}">
      <formula1>$AP$6:$AP$12</formula1>
    </dataValidation>
    <dataValidation type="list" allowBlank="1" showInputMessage="1" showErrorMessage="1" sqref="Y1:Z3 Y25:Z1048576" xr:uid="{00000000-0002-0000-1C00-000002000000}">
      <formula1>#REF!</formula1>
    </dataValidation>
  </dataValidations>
  <pageMargins left="0" right="0" top="0" bottom="0" header="0" footer="0"/>
  <pageSetup paperSize="9" scale="18" orientation="landscape" horizontalDpi="300" verticalDpi="30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theme="7" tint="0.39997558519241921"/>
    <pageSetUpPr fitToPage="1"/>
  </sheetPr>
  <dimension ref="B1:AP24"/>
  <sheetViews>
    <sheetView zoomScale="55" zoomScaleNormal="55" workbookViewId="0">
      <pane xSplit="4" ySplit="1" topLeftCell="E2" activePane="bottomRight" state="frozen"/>
      <selection activeCell="M12" sqref="M12:Q12"/>
      <selection pane="topRight" activeCell="M12" sqref="M12:Q12"/>
      <selection pane="bottomLeft" activeCell="M12" sqref="M12:Q12"/>
      <selection pane="bottomRight" activeCell="B3" sqref="B3:AD24"/>
    </sheetView>
  </sheetViews>
  <sheetFormatPr defaultColWidth="8.85546875" defaultRowHeight="16.5"/>
  <cols>
    <col min="1" max="1" width="8.85546875" style="318"/>
    <col min="2" max="2" width="12.42578125" style="318" customWidth="1"/>
    <col min="3" max="3" width="8.85546875" style="318"/>
    <col min="4" max="4" width="11.5703125" style="318" customWidth="1"/>
    <col min="5" max="5" width="39.28515625" style="318" bestFit="1" customWidth="1"/>
    <col min="6" max="6" width="11.42578125" style="318" bestFit="1" customWidth="1"/>
    <col min="7" max="8" width="15.85546875" style="318" bestFit="1" customWidth="1"/>
    <col min="9" max="9" width="16.85546875" style="318" customWidth="1"/>
    <col min="10" max="10" width="14" style="318" customWidth="1"/>
    <col min="11" max="11" width="15.42578125" style="318" bestFit="1" customWidth="1"/>
    <col min="12" max="12" width="12.28515625" style="318" bestFit="1" customWidth="1"/>
    <col min="13" max="13" width="19.140625" style="318" bestFit="1" customWidth="1"/>
    <col min="14" max="14" width="15.28515625" style="318" bestFit="1" customWidth="1"/>
    <col min="15" max="15" width="19.140625" style="318" bestFit="1" customWidth="1"/>
    <col min="16" max="16" width="12.5703125" style="318" bestFit="1" customWidth="1"/>
    <col min="17" max="17" width="9.140625" style="318" bestFit="1" customWidth="1"/>
    <col min="18" max="18" width="12.28515625" style="318" bestFit="1" customWidth="1"/>
    <col min="19" max="19" width="12.5703125" style="318" bestFit="1" customWidth="1"/>
    <col min="20" max="20" width="12.42578125" style="318" bestFit="1" customWidth="1"/>
    <col min="21" max="21" width="11.42578125" style="318" bestFit="1" customWidth="1"/>
    <col min="22" max="24" width="11.42578125" style="318" customWidth="1"/>
    <col min="25" max="25" width="12.42578125" style="318" bestFit="1" customWidth="1"/>
    <col min="26" max="26" width="15.28515625" style="318" bestFit="1" customWidth="1"/>
    <col min="27" max="27" width="66.85546875" style="318" bestFit="1" customWidth="1"/>
    <col min="28" max="28" width="113.42578125" style="318" bestFit="1" customWidth="1"/>
    <col min="29" max="29" width="11.42578125" style="318" bestFit="1" customWidth="1"/>
    <col min="30" max="30" width="37.7109375" style="318" bestFit="1" customWidth="1"/>
    <col min="31" max="31" width="19.42578125" style="318" bestFit="1" customWidth="1"/>
    <col min="32" max="32" width="21.5703125" style="318" customWidth="1"/>
    <col min="33" max="33" width="19.42578125" style="318" bestFit="1" customWidth="1"/>
    <col min="34" max="39" width="14.42578125" style="318" customWidth="1"/>
    <col min="40" max="16384" width="8.85546875" style="318"/>
  </cols>
  <sheetData>
    <row r="1" spans="2:42" ht="21">
      <c r="B1" s="439" t="s">
        <v>628</v>
      </c>
    </row>
    <row r="2" spans="2:42" ht="41.1" customHeight="1">
      <c r="B2" s="894" t="s">
        <v>626</v>
      </c>
      <c r="C2" s="895"/>
      <c r="D2" s="895"/>
      <c r="E2" s="895"/>
      <c r="F2" s="895"/>
      <c r="G2" s="895"/>
      <c r="H2" s="895"/>
      <c r="I2" s="895"/>
      <c r="J2" s="895"/>
      <c r="K2" s="895"/>
      <c r="L2" s="895"/>
      <c r="M2" s="895"/>
      <c r="N2" s="895"/>
      <c r="O2" s="895"/>
      <c r="P2" s="895"/>
      <c r="Q2" s="895"/>
      <c r="R2" s="895"/>
      <c r="S2" s="895"/>
      <c r="T2" s="895"/>
      <c r="U2" s="895"/>
      <c r="V2" s="895"/>
      <c r="W2" s="895"/>
      <c r="X2" s="895"/>
      <c r="Y2" s="895"/>
      <c r="Z2" s="895"/>
      <c r="AA2" s="895"/>
      <c r="AB2" s="895"/>
      <c r="AD2" s="319"/>
      <c r="AE2" s="319"/>
      <c r="AF2" s="319"/>
      <c r="AG2" s="319"/>
    </row>
    <row r="3" spans="2:42" ht="17.100000000000001" customHeight="1">
      <c r="B3" s="925" t="s">
        <v>603</v>
      </c>
      <c r="C3" s="926"/>
      <c r="D3" s="893" t="s">
        <v>604</v>
      </c>
      <c r="E3" s="892" t="s">
        <v>605</v>
      </c>
      <c r="F3" s="929" t="s">
        <v>627</v>
      </c>
      <c r="G3" s="901" t="s">
        <v>607</v>
      </c>
      <c r="H3" s="924" t="s">
        <v>608</v>
      </c>
      <c r="I3" s="918" t="s">
        <v>609</v>
      </c>
      <c r="J3" s="919"/>
      <c r="K3" s="918" t="s">
        <v>610</v>
      </c>
      <c r="L3" s="919"/>
      <c r="M3" s="918" t="s">
        <v>611</v>
      </c>
      <c r="N3" s="919"/>
      <c r="O3" s="918" t="s">
        <v>612</v>
      </c>
      <c r="P3" s="919"/>
      <c r="Q3" s="918" t="s">
        <v>613</v>
      </c>
      <c r="R3" s="930"/>
      <c r="S3" s="919"/>
      <c r="T3" s="920" t="s">
        <v>614</v>
      </c>
      <c r="U3" s="921"/>
      <c r="V3" s="896" t="s">
        <v>615</v>
      </c>
      <c r="W3" s="897"/>
      <c r="X3" s="898"/>
      <c r="Y3" s="899" t="s">
        <v>165</v>
      </c>
      <c r="Z3" s="899" t="s">
        <v>616</v>
      </c>
      <c r="AA3" s="899" t="s">
        <v>617</v>
      </c>
      <c r="AB3" s="899" t="s">
        <v>618</v>
      </c>
      <c r="AC3" s="899" t="s">
        <v>619</v>
      </c>
      <c r="AD3" s="901" t="s">
        <v>166</v>
      </c>
      <c r="AF3" s="903" t="s">
        <v>620</v>
      </c>
      <c r="AG3" s="904"/>
      <c r="AH3" s="904"/>
      <c r="AI3" s="904"/>
      <c r="AJ3" s="904"/>
      <c r="AK3" s="904"/>
      <c r="AL3" s="904"/>
      <c r="AM3" s="905"/>
    </row>
    <row r="4" spans="2:42" ht="16.5" customHeight="1">
      <c r="B4" s="927"/>
      <c r="C4" s="928"/>
      <c r="D4" s="893"/>
      <c r="E4" s="893"/>
      <c r="F4" s="923"/>
      <c r="G4" s="902"/>
      <c r="H4" s="902"/>
      <c r="I4" s="576" t="s">
        <v>621</v>
      </c>
      <c r="J4" s="575" t="s">
        <v>567</v>
      </c>
      <c r="K4" s="576" t="s">
        <v>621</v>
      </c>
      <c r="L4" s="575" t="s">
        <v>567</v>
      </c>
      <c r="M4" s="576" t="s">
        <v>621</v>
      </c>
      <c r="N4" s="575" t="s">
        <v>567</v>
      </c>
      <c r="O4" s="576" t="s">
        <v>621</v>
      </c>
      <c r="P4" s="575" t="s">
        <v>567</v>
      </c>
      <c r="Q4" s="576" t="s">
        <v>621</v>
      </c>
      <c r="R4" s="575" t="s">
        <v>567</v>
      </c>
      <c r="S4" s="575" t="s">
        <v>568</v>
      </c>
      <c r="T4" s="576" t="s">
        <v>621</v>
      </c>
      <c r="U4" s="575" t="s">
        <v>567</v>
      </c>
      <c r="V4" s="576" t="s">
        <v>621</v>
      </c>
      <c r="W4" s="575" t="s">
        <v>567</v>
      </c>
      <c r="X4" s="575" t="s">
        <v>568</v>
      </c>
      <c r="Y4" s="900"/>
      <c r="Z4" s="900"/>
      <c r="AA4" s="900"/>
      <c r="AB4" s="900"/>
      <c r="AC4" s="900"/>
      <c r="AD4" s="902"/>
      <c r="AF4" s="906"/>
      <c r="AG4" s="907"/>
      <c r="AH4" s="907"/>
      <c r="AI4" s="907"/>
      <c r="AJ4" s="907"/>
      <c r="AK4" s="907"/>
      <c r="AL4" s="907"/>
      <c r="AM4" s="908"/>
    </row>
    <row r="5" spans="2:42" s="376" customFormat="1" ht="27" customHeight="1">
      <c r="B5" s="912" t="s">
        <v>721</v>
      </c>
      <c r="C5" s="913"/>
      <c r="D5" s="518">
        <v>1</v>
      </c>
      <c r="E5" s="519" t="s">
        <v>639</v>
      </c>
      <c r="F5" s="526">
        <v>1874.1407999999933</v>
      </c>
      <c r="G5" s="521">
        <v>935.2</v>
      </c>
      <c r="H5" s="522">
        <v>82.096000000000004</v>
      </c>
      <c r="I5" s="522">
        <v>83.131387871596928</v>
      </c>
      <c r="J5" s="523">
        <v>1.0112750120453602</v>
      </c>
      <c r="K5" s="524">
        <v>84.100000000000009</v>
      </c>
      <c r="L5" s="523">
        <v>1.0244104463067629</v>
      </c>
      <c r="M5" s="524">
        <v>0</v>
      </c>
      <c r="N5" s="523">
        <v>0</v>
      </c>
      <c r="O5" s="525">
        <v>84.100000000000009</v>
      </c>
      <c r="P5" s="523">
        <v>1.0244104463067629</v>
      </c>
      <c r="Q5" s="522">
        <v>0.99999999999999989</v>
      </c>
      <c r="R5" s="523">
        <v>1.2180861430520365E-2</v>
      </c>
      <c r="S5" s="533">
        <v>935.2</v>
      </c>
      <c r="T5" s="525">
        <v>2.0039999999999925</v>
      </c>
      <c r="U5" s="523">
        <v>2.4106418181004396E-2</v>
      </c>
      <c r="V5" s="527">
        <v>1.0039999999999925</v>
      </c>
      <c r="W5" s="528">
        <v>1.2229584876242355E-2</v>
      </c>
      <c r="X5" s="529">
        <v>938.94079999999303</v>
      </c>
      <c r="Y5" s="531" t="s">
        <v>326</v>
      </c>
      <c r="Z5" s="531" t="s">
        <v>496</v>
      </c>
      <c r="AA5" s="438" t="s">
        <v>561</v>
      </c>
      <c r="AB5" s="438" t="s">
        <v>601</v>
      </c>
      <c r="AC5" s="438">
        <v>1</v>
      </c>
      <c r="AD5" s="532" t="s">
        <v>582</v>
      </c>
      <c r="AF5" s="909"/>
      <c r="AG5" s="910"/>
      <c r="AH5" s="910"/>
      <c r="AI5" s="910"/>
      <c r="AJ5" s="910"/>
      <c r="AK5" s="910"/>
      <c r="AL5" s="910"/>
      <c r="AM5" s="911"/>
      <c r="AO5" s="379" t="s">
        <v>622</v>
      </c>
      <c r="AP5" s="379" t="s">
        <v>165</v>
      </c>
    </row>
    <row r="6" spans="2:42" s="376" customFormat="1" ht="27" customHeight="1">
      <c r="B6" s="914"/>
      <c r="C6" s="915"/>
      <c r="D6" s="518">
        <v>2</v>
      </c>
      <c r="E6" s="519" t="s">
        <v>635</v>
      </c>
      <c r="F6" s="526">
        <v>1793.9375999999997</v>
      </c>
      <c r="G6" s="521">
        <v>1010.1</v>
      </c>
      <c r="H6" s="522">
        <v>65.623999999999995</v>
      </c>
      <c r="I6" s="522">
        <v>66.590171987072353</v>
      </c>
      <c r="J6" s="523">
        <v>1.0151615330461976</v>
      </c>
      <c r="K6" s="524">
        <v>67.399999999999991</v>
      </c>
      <c r="L6" s="523">
        <v>1.0270632695355357</v>
      </c>
      <c r="M6" s="524">
        <v>0</v>
      </c>
      <c r="N6" s="523">
        <v>0</v>
      </c>
      <c r="O6" s="525">
        <v>67.399999999999991</v>
      </c>
      <c r="P6" s="523">
        <v>1.0270632695355357</v>
      </c>
      <c r="Q6" s="522">
        <v>0.8</v>
      </c>
      <c r="R6" s="523">
        <v>1.2190661952944047E-2</v>
      </c>
      <c r="S6" s="533">
        <v>808.08</v>
      </c>
      <c r="T6" s="525">
        <v>1.7759999999999998</v>
      </c>
      <c r="U6" s="523">
        <v>2.6670602387763587E-2</v>
      </c>
      <c r="V6" s="527">
        <v>0.97599999999999976</v>
      </c>
      <c r="W6" s="528">
        <v>1.4872607582591731E-2</v>
      </c>
      <c r="X6" s="529">
        <v>985.85759999999982</v>
      </c>
      <c r="Y6" s="531" t="s">
        <v>326</v>
      </c>
      <c r="Z6" s="531" t="s">
        <v>496</v>
      </c>
      <c r="AA6" s="438" t="s">
        <v>561</v>
      </c>
      <c r="AB6" s="438" t="s">
        <v>601</v>
      </c>
      <c r="AC6" s="438">
        <v>1</v>
      </c>
      <c r="AD6" s="532" t="s">
        <v>634</v>
      </c>
      <c r="AF6" s="217" t="s">
        <v>623</v>
      </c>
      <c r="AG6" s="217" t="s">
        <v>569</v>
      </c>
      <c r="AH6" s="437" t="s">
        <v>599</v>
      </c>
      <c r="AI6" s="437" t="s">
        <v>356</v>
      </c>
      <c r="AJ6" s="437" t="s">
        <v>483</v>
      </c>
      <c r="AK6" s="437" t="s">
        <v>193</v>
      </c>
      <c r="AL6" s="437" t="s">
        <v>194</v>
      </c>
      <c r="AM6" s="437" t="s">
        <v>496</v>
      </c>
      <c r="AO6" s="381" t="s">
        <v>569</v>
      </c>
      <c r="AP6" s="203" t="s">
        <v>624</v>
      </c>
    </row>
    <row r="7" spans="2:42" s="376" customFormat="1" ht="27" customHeight="1">
      <c r="B7" s="914"/>
      <c r="C7" s="915"/>
      <c r="D7" s="518">
        <v>3</v>
      </c>
      <c r="E7" s="519" t="s">
        <v>666</v>
      </c>
      <c r="F7" s="526">
        <v>1732.1753999999994</v>
      </c>
      <c r="G7" s="521">
        <v>380.28</v>
      </c>
      <c r="H7" s="522">
        <v>342.04500000000002</v>
      </c>
      <c r="I7" s="522">
        <v>342.04500000000002</v>
      </c>
      <c r="J7" s="523">
        <v>1</v>
      </c>
      <c r="K7" s="524">
        <v>346.59999999999997</v>
      </c>
      <c r="L7" s="523">
        <v>1.0133169612185529</v>
      </c>
      <c r="M7" s="524">
        <v>0</v>
      </c>
      <c r="N7" s="523">
        <v>0</v>
      </c>
      <c r="O7" s="525">
        <v>346.59999999999997</v>
      </c>
      <c r="P7" s="523">
        <v>1.0133169612185529</v>
      </c>
      <c r="Q7" s="522">
        <v>2.7</v>
      </c>
      <c r="R7" s="523">
        <v>7.8936981976055788E-3</v>
      </c>
      <c r="S7" s="533">
        <v>1026.7559999999999</v>
      </c>
      <c r="T7" s="525">
        <v>4.5549999999999997</v>
      </c>
      <c r="U7" s="523">
        <v>1.3316961218553114E-2</v>
      </c>
      <c r="V7" s="527">
        <v>1.8549999999999995</v>
      </c>
      <c r="W7" s="528">
        <v>5.4232630209475347E-3</v>
      </c>
      <c r="X7" s="529">
        <v>705.41939999999977</v>
      </c>
      <c r="Y7" s="531" t="s">
        <v>326</v>
      </c>
      <c r="Z7" s="531" t="s">
        <v>193</v>
      </c>
      <c r="AA7" s="438" t="s">
        <v>588</v>
      </c>
      <c r="AB7" s="438" t="s">
        <v>601</v>
      </c>
      <c r="AC7" s="438">
        <v>1</v>
      </c>
      <c r="AD7" s="532" t="s">
        <v>665</v>
      </c>
      <c r="AF7" s="380">
        <v>20</v>
      </c>
      <c r="AG7" s="321">
        <v>0</v>
      </c>
      <c r="AH7" s="321">
        <v>0</v>
      </c>
      <c r="AI7" s="321">
        <v>1</v>
      </c>
      <c r="AJ7" s="321">
        <v>10</v>
      </c>
      <c r="AK7" s="321">
        <v>6</v>
      </c>
      <c r="AL7" s="321">
        <v>2</v>
      </c>
      <c r="AM7" s="321">
        <v>1</v>
      </c>
      <c r="AO7" s="203" t="s">
        <v>599</v>
      </c>
      <c r="AP7" s="203" t="s">
        <v>327</v>
      </c>
    </row>
    <row r="8" spans="2:42" s="376" customFormat="1" ht="27" customHeight="1">
      <c r="B8" s="914"/>
      <c r="C8" s="915"/>
      <c r="D8" s="518">
        <v>4</v>
      </c>
      <c r="E8" s="519" t="s">
        <v>553</v>
      </c>
      <c r="F8" s="526">
        <v>1663.9559999999931</v>
      </c>
      <c r="G8" s="521">
        <v>447.3</v>
      </c>
      <c r="H8" s="522">
        <v>595.07999999999993</v>
      </c>
      <c r="I8" s="522">
        <v>596.40212200055146</v>
      </c>
      <c r="J8" s="523">
        <v>1.0024332946683787</v>
      </c>
      <c r="K8" s="524">
        <v>598.20000000000005</v>
      </c>
      <c r="L8" s="523">
        <v>1.0052429925388184</v>
      </c>
      <c r="M8" s="524">
        <v>0.6</v>
      </c>
      <c r="N8" s="523">
        <v>1.0082677959265983E-3</v>
      </c>
      <c r="O8" s="525">
        <v>598.80000000000007</v>
      </c>
      <c r="P8" s="523">
        <v>1.0062512603347451</v>
      </c>
      <c r="Q8" s="522">
        <v>1.9</v>
      </c>
      <c r="R8" s="523">
        <v>3.1928480204342275E-3</v>
      </c>
      <c r="S8" s="533">
        <v>849.87000000000012</v>
      </c>
      <c r="T8" s="525">
        <v>3.7199999999999847</v>
      </c>
      <c r="U8" s="523">
        <v>6.2374023545082972E-3</v>
      </c>
      <c r="V8" s="527">
        <v>1.8199999999999847</v>
      </c>
      <c r="W8" s="528">
        <v>3.0584123143106556E-3</v>
      </c>
      <c r="X8" s="529">
        <v>814.08599999999319</v>
      </c>
      <c r="Y8" s="531" t="s">
        <v>326</v>
      </c>
      <c r="Z8" s="531" t="s">
        <v>193</v>
      </c>
      <c r="AA8" s="438" t="s">
        <v>588</v>
      </c>
      <c r="AB8" s="438" t="s">
        <v>601</v>
      </c>
      <c r="AC8" s="438">
        <v>1</v>
      </c>
      <c r="AD8" s="532" t="s">
        <v>552</v>
      </c>
      <c r="AF8" s="382"/>
      <c r="AG8" s="383">
        <v>0</v>
      </c>
      <c r="AH8" s="383">
        <v>0</v>
      </c>
      <c r="AI8" s="383">
        <v>1342.1630400000001</v>
      </c>
      <c r="AJ8" s="383">
        <v>14000.804869999998</v>
      </c>
      <c r="AK8" s="383">
        <v>9300.5849499999968</v>
      </c>
      <c r="AL8" s="383">
        <v>3721.092560000006</v>
      </c>
      <c r="AM8" s="383">
        <v>1862.9183999999943</v>
      </c>
      <c r="AO8" s="203" t="s">
        <v>356</v>
      </c>
      <c r="AP8" s="203" t="s">
        <v>327</v>
      </c>
    </row>
    <row r="9" spans="2:42" s="376" customFormat="1" ht="27" customHeight="1">
      <c r="B9" s="914"/>
      <c r="C9" s="915"/>
      <c r="D9" s="518">
        <v>5</v>
      </c>
      <c r="E9" s="519" t="s">
        <v>656</v>
      </c>
      <c r="F9" s="526">
        <v>1632.709599999999</v>
      </c>
      <c r="G9" s="521">
        <v>444.88</v>
      </c>
      <c r="H9" s="522">
        <v>158.13</v>
      </c>
      <c r="I9" s="522">
        <v>159.78869575934999</v>
      </c>
      <c r="J9" s="523">
        <v>1.0106108024720375</v>
      </c>
      <c r="K9" s="524">
        <v>161.79999999999998</v>
      </c>
      <c r="L9" s="523">
        <v>1.0232087522924176</v>
      </c>
      <c r="M9" s="524">
        <v>0</v>
      </c>
      <c r="N9" s="523">
        <v>0</v>
      </c>
      <c r="O9" s="525">
        <v>161.79999999999998</v>
      </c>
      <c r="P9" s="523">
        <v>1.0232087522924176</v>
      </c>
      <c r="Q9" s="522">
        <v>1.9000000000000001</v>
      </c>
      <c r="R9" s="523">
        <v>1.201543034212357E-2</v>
      </c>
      <c r="S9" s="533">
        <v>845.27199999999993</v>
      </c>
      <c r="T9" s="525">
        <v>3.6699999999999982</v>
      </c>
      <c r="U9" s="523">
        <v>2.2967832502539524E-2</v>
      </c>
      <c r="V9" s="527">
        <v>1.769999999999998</v>
      </c>
      <c r="W9" s="528">
        <v>1.1193321950294049E-2</v>
      </c>
      <c r="X9" s="529">
        <v>787.43759999999907</v>
      </c>
      <c r="Y9" s="531" t="s">
        <v>326</v>
      </c>
      <c r="Z9" s="531" t="s">
        <v>194</v>
      </c>
      <c r="AA9" s="438" t="s">
        <v>554</v>
      </c>
      <c r="AB9" s="438" t="s">
        <v>503</v>
      </c>
      <c r="AC9" s="438">
        <v>1</v>
      </c>
      <c r="AD9" s="532" t="s">
        <v>704</v>
      </c>
      <c r="AF9" s="320"/>
      <c r="AG9" s="440">
        <v>0</v>
      </c>
      <c r="AH9" s="440">
        <v>0</v>
      </c>
      <c r="AI9" s="440">
        <v>0.05</v>
      </c>
      <c r="AJ9" s="440">
        <v>0.5</v>
      </c>
      <c r="AK9" s="440">
        <v>0.3</v>
      </c>
      <c r="AL9" s="440">
        <v>0.1</v>
      </c>
      <c r="AM9" s="440">
        <v>0.05</v>
      </c>
      <c r="AO9" s="203" t="s">
        <v>483</v>
      </c>
      <c r="AP9" s="203" t="s">
        <v>325</v>
      </c>
    </row>
    <row r="10" spans="2:42" s="376" customFormat="1" ht="27" customHeight="1">
      <c r="B10" s="914"/>
      <c r="C10" s="915"/>
      <c r="D10" s="518">
        <v>6</v>
      </c>
      <c r="E10" s="519" t="s">
        <v>637</v>
      </c>
      <c r="F10" s="526">
        <v>1619.9562599999965</v>
      </c>
      <c r="G10" s="521">
        <v>136.88999999999999</v>
      </c>
      <c r="H10" s="522">
        <v>2267.1659999999997</v>
      </c>
      <c r="I10" s="522">
        <v>2271.6550618475594</v>
      </c>
      <c r="J10" s="523">
        <v>1.0018512319312891</v>
      </c>
      <c r="K10" s="524">
        <v>2279</v>
      </c>
      <c r="L10" s="523">
        <v>1.005219732476581</v>
      </c>
      <c r="M10" s="524">
        <v>0</v>
      </c>
      <c r="N10" s="523">
        <v>0</v>
      </c>
      <c r="O10" s="525">
        <v>2279</v>
      </c>
      <c r="P10" s="523">
        <v>1.005219732476581</v>
      </c>
      <c r="Q10" s="522">
        <v>7.6</v>
      </c>
      <c r="R10" s="523">
        <v>3.3522027059333108E-3</v>
      </c>
      <c r="S10" s="533">
        <v>1040.3639999999998</v>
      </c>
      <c r="T10" s="525">
        <v>11.833999999999975</v>
      </c>
      <c r="U10" s="523">
        <v>5.2094176614891812E-3</v>
      </c>
      <c r="V10" s="527">
        <v>4.2339999999999751</v>
      </c>
      <c r="W10" s="528">
        <v>1.867529770647573E-3</v>
      </c>
      <c r="X10" s="529">
        <v>579.59225999999649</v>
      </c>
      <c r="Y10" s="531" t="s">
        <v>326</v>
      </c>
      <c r="Z10" s="531" t="s">
        <v>193</v>
      </c>
      <c r="AA10" s="438" t="s">
        <v>588</v>
      </c>
      <c r="AB10" s="438" t="s">
        <v>601</v>
      </c>
      <c r="AC10" s="438">
        <v>1</v>
      </c>
      <c r="AD10" s="532" t="s">
        <v>328</v>
      </c>
      <c r="AO10" s="203" t="s">
        <v>193</v>
      </c>
      <c r="AP10" s="203" t="s">
        <v>326</v>
      </c>
    </row>
    <row r="11" spans="2:42" s="376" customFormat="1" ht="27" customHeight="1">
      <c r="B11" s="914"/>
      <c r="C11" s="915"/>
      <c r="D11" s="518">
        <v>7</v>
      </c>
      <c r="E11" s="519" t="s">
        <v>329</v>
      </c>
      <c r="F11" s="526">
        <v>1572.7035000000005</v>
      </c>
      <c r="G11" s="521">
        <v>487.66</v>
      </c>
      <c r="H11" s="522">
        <v>280.27499999999998</v>
      </c>
      <c r="I11" s="522">
        <v>281.43084902918383</v>
      </c>
      <c r="J11" s="523">
        <v>1.0056148167268233</v>
      </c>
      <c r="K11" s="524">
        <v>283.5</v>
      </c>
      <c r="L11" s="523">
        <v>1.0115065560610117</v>
      </c>
      <c r="M11" s="524">
        <v>0</v>
      </c>
      <c r="N11" s="523">
        <v>0</v>
      </c>
      <c r="O11" s="525">
        <v>283.5</v>
      </c>
      <c r="P11" s="523">
        <v>1.0115065560610117</v>
      </c>
      <c r="Q11" s="522">
        <v>1.5</v>
      </c>
      <c r="R11" s="523">
        <v>5.3518865400053522E-3</v>
      </c>
      <c r="S11" s="533">
        <v>731.49000000000012</v>
      </c>
      <c r="T11" s="525">
        <v>3.2250000000000014</v>
      </c>
      <c r="U11" s="523">
        <v>1.1459298122877692E-2</v>
      </c>
      <c r="V11" s="527">
        <v>1.7250000000000014</v>
      </c>
      <c r="W11" s="528">
        <v>6.1546695210061599E-3</v>
      </c>
      <c r="X11" s="529">
        <v>841.21350000000075</v>
      </c>
      <c r="Y11" s="531" t="s">
        <v>326</v>
      </c>
      <c r="Z11" s="531" t="s">
        <v>194</v>
      </c>
      <c r="AA11" s="438" t="s">
        <v>554</v>
      </c>
      <c r="AB11" s="438" t="s">
        <v>503</v>
      </c>
      <c r="AC11" s="438">
        <v>1</v>
      </c>
      <c r="AD11" s="532" t="s">
        <v>585</v>
      </c>
      <c r="AO11" s="203" t="s">
        <v>194</v>
      </c>
      <c r="AP11" s="203" t="s">
        <v>326</v>
      </c>
    </row>
    <row r="12" spans="2:42" s="376" customFormat="1" ht="27" customHeight="1">
      <c r="B12" s="914"/>
      <c r="C12" s="915"/>
      <c r="D12" s="518">
        <v>8</v>
      </c>
      <c r="E12" s="519" t="s">
        <v>757</v>
      </c>
      <c r="F12" s="526">
        <v>1548.8549999999975</v>
      </c>
      <c r="G12" s="521">
        <v>344.19</v>
      </c>
      <c r="H12" s="522">
        <v>610.5</v>
      </c>
      <c r="I12" s="522">
        <v>612.95013494213811</v>
      </c>
      <c r="J12" s="523">
        <v>1.0033266864682331</v>
      </c>
      <c r="K12" s="524">
        <v>614.29999999999995</v>
      </c>
      <c r="L12" s="523">
        <v>1.0062244062244061</v>
      </c>
      <c r="M12" s="524">
        <v>0.7</v>
      </c>
      <c r="N12" s="523">
        <v>1.1466011466011465E-3</v>
      </c>
      <c r="O12" s="525">
        <v>615</v>
      </c>
      <c r="P12" s="523">
        <v>1.0073710073710074</v>
      </c>
      <c r="Q12" s="522">
        <v>2.8000000000000003</v>
      </c>
      <c r="R12" s="523">
        <v>4.5864045864045869E-3</v>
      </c>
      <c r="S12" s="533">
        <v>963.73200000000008</v>
      </c>
      <c r="T12" s="525">
        <v>4.4999999999999929</v>
      </c>
      <c r="U12" s="523">
        <v>7.3415433711011228E-3</v>
      </c>
      <c r="V12" s="527">
        <v>1.6999999999999926</v>
      </c>
      <c r="W12" s="528">
        <v>2.7846027846027727E-3</v>
      </c>
      <c r="X12" s="529">
        <v>585.12299999999743</v>
      </c>
      <c r="Y12" s="531" t="s">
        <v>326</v>
      </c>
      <c r="Z12" s="531" t="s">
        <v>193</v>
      </c>
      <c r="AA12" s="438" t="s">
        <v>588</v>
      </c>
      <c r="AB12" s="438" t="s">
        <v>601</v>
      </c>
      <c r="AC12" s="438">
        <v>1</v>
      </c>
      <c r="AD12" s="532" t="s">
        <v>659</v>
      </c>
      <c r="AO12" s="203" t="s">
        <v>496</v>
      </c>
      <c r="AP12" s="203" t="s">
        <v>326</v>
      </c>
    </row>
    <row r="13" spans="2:42" s="376" customFormat="1" ht="27" customHeight="1">
      <c r="B13" s="914"/>
      <c r="C13" s="915"/>
      <c r="D13" s="518">
        <v>9</v>
      </c>
      <c r="E13" s="519" t="s">
        <v>761</v>
      </c>
      <c r="F13" s="526">
        <v>1509.0145800000009</v>
      </c>
      <c r="G13" s="521">
        <v>371.13</v>
      </c>
      <c r="H13" s="522">
        <v>843.33400000000006</v>
      </c>
      <c r="I13" s="522">
        <v>845.04014926789591</v>
      </c>
      <c r="J13" s="523">
        <v>1.0021025848141412</v>
      </c>
      <c r="K13" s="524">
        <v>846.6</v>
      </c>
      <c r="L13" s="523">
        <v>1.0038727242112853</v>
      </c>
      <c r="M13" s="524">
        <v>0.8</v>
      </c>
      <c r="N13" s="523">
        <v>9.4861585089656055E-4</v>
      </c>
      <c r="O13" s="525">
        <v>847.4</v>
      </c>
      <c r="P13" s="523">
        <v>1.0048213400621817</v>
      </c>
      <c r="Q13" s="522">
        <v>2.6</v>
      </c>
      <c r="R13" s="523">
        <v>3.0830015154138216E-3</v>
      </c>
      <c r="S13" s="533">
        <v>964.9380000000001</v>
      </c>
      <c r="T13" s="525">
        <v>4.0660000000000025</v>
      </c>
      <c r="U13" s="523">
        <v>4.8116057012469746E-3</v>
      </c>
      <c r="V13" s="527">
        <v>1.4660000000000024</v>
      </c>
      <c r="W13" s="528">
        <v>1.73833854676795E-3</v>
      </c>
      <c r="X13" s="529">
        <v>544.07658000000094</v>
      </c>
      <c r="Y13" s="531" t="s">
        <v>325</v>
      </c>
      <c r="Z13" s="531" t="s">
        <v>483</v>
      </c>
      <c r="AA13" s="438" t="s">
        <v>584</v>
      </c>
      <c r="AB13" s="438" t="s">
        <v>577</v>
      </c>
      <c r="AC13" s="438">
        <v>1</v>
      </c>
      <c r="AD13" s="532" t="s">
        <v>342</v>
      </c>
    </row>
    <row r="14" spans="2:42" s="376" customFormat="1" ht="27" customHeight="1">
      <c r="B14" s="914"/>
      <c r="C14" s="915"/>
      <c r="D14" s="518">
        <v>10</v>
      </c>
      <c r="E14" s="519" t="s">
        <v>726</v>
      </c>
      <c r="F14" s="526">
        <v>1493.7567999999997</v>
      </c>
      <c r="G14" s="521">
        <v>412.64</v>
      </c>
      <c r="H14" s="522">
        <v>73.680000000000007</v>
      </c>
      <c r="I14" s="522">
        <v>75.216788013651865</v>
      </c>
      <c r="J14" s="523">
        <v>1.0211953284642408</v>
      </c>
      <c r="K14" s="524">
        <v>77.300000000000011</v>
      </c>
      <c r="L14" s="523">
        <v>1.0491313789359393</v>
      </c>
      <c r="M14" s="524">
        <v>0</v>
      </c>
      <c r="N14" s="523">
        <v>0</v>
      </c>
      <c r="O14" s="525">
        <v>77.300000000000011</v>
      </c>
      <c r="P14" s="523">
        <v>1.0491313789359393</v>
      </c>
      <c r="Q14" s="522">
        <v>2</v>
      </c>
      <c r="R14" s="523">
        <v>2.7144408251900107E-2</v>
      </c>
      <c r="S14" s="533">
        <v>825.28000000000009</v>
      </c>
      <c r="T14" s="525">
        <v>3.6199999999999992</v>
      </c>
      <c r="U14" s="523">
        <v>4.8127553643250075E-2</v>
      </c>
      <c r="V14" s="527">
        <v>1.6199999999999992</v>
      </c>
      <c r="W14" s="528">
        <v>2.1986970684039077E-2</v>
      </c>
      <c r="X14" s="529">
        <v>668.47679999999968</v>
      </c>
      <c r="Y14" s="531" t="s">
        <v>327</v>
      </c>
      <c r="Z14" s="531" t="s">
        <v>356</v>
      </c>
      <c r="AA14" s="438" t="s">
        <v>715</v>
      </c>
      <c r="AB14" s="438" t="s">
        <v>716</v>
      </c>
      <c r="AC14" s="438">
        <v>1</v>
      </c>
      <c r="AD14" s="532" t="s">
        <v>703</v>
      </c>
    </row>
    <row r="15" spans="2:42" s="376" customFormat="1" ht="27" customHeight="1">
      <c r="B15" s="914"/>
      <c r="C15" s="915"/>
      <c r="D15" s="518">
        <v>11</v>
      </c>
      <c r="E15" s="519" t="s">
        <v>717</v>
      </c>
      <c r="F15" s="526">
        <v>1475.9670399999982</v>
      </c>
      <c r="G15" s="521">
        <v>517.52</v>
      </c>
      <c r="H15" s="522">
        <v>177.94799999999998</v>
      </c>
      <c r="I15" s="522">
        <v>179.22032555848011</v>
      </c>
      <c r="J15" s="523">
        <v>1.0058523539240734</v>
      </c>
      <c r="K15" s="524">
        <v>180.8</v>
      </c>
      <c r="L15" s="523">
        <v>1.0160271540000452</v>
      </c>
      <c r="M15" s="524">
        <v>0</v>
      </c>
      <c r="N15" s="523">
        <v>0</v>
      </c>
      <c r="O15" s="525">
        <v>180.8</v>
      </c>
      <c r="P15" s="523">
        <v>1.0160271540000452</v>
      </c>
      <c r="Q15" s="522">
        <v>1.7000000000000002</v>
      </c>
      <c r="R15" s="523">
        <v>9.5533526648234335E-3</v>
      </c>
      <c r="S15" s="533">
        <v>879.78399999999999</v>
      </c>
      <c r="T15" s="525">
        <v>2.8519999999999968</v>
      </c>
      <c r="U15" s="523">
        <v>1.5913373614921712E-2</v>
      </c>
      <c r="V15" s="527">
        <v>1.1519999999999966</v>
      </c>
      <c r="W15" s="528">
        <v>6.4738013352215072E-3</v>
      </c>
      <c r="X15" s="529">
        <v>596.18303999999819</v>
      </c>
      <c r="Y15" s="531" t="s">
        <v>326</v>
      </c>
      <c r="Z15" s="531" t="s">
        <v>193</v>
      </c>
      <c r="AA15" s="438" t="s">
        <v>588</v>
      </c>
      <c r="AB15" s="438" t="s">
        <v>601</v>
      </c>
      <c r="AC15" s="438">
        <v>1</v>
      </c>
      <c r="AD15" s="532" t="s">
        <v>705</v>
      </c>
      <c r="AH15" s="322"/>
    </row>
    <row r="16" spans="2:42" s="376" customFormat="1" ht="27" customHeight="1">
      <c r="B16" s="914"/>
      <c r="C16" s="915"/>
      <c r="D16" s="518">
        <v>12</v>
      </c>
      <c r="E16" s="519" t="s">
        <v>638</v>
      </c>
      <c r="F16" s="526">
        <v>1428.1297</v>
      </c>
      <c r="G16" s="521">
        <v>622.54999999999995</v>
      </c>
      <c r="H16" s="522">
        <v>16.405999999999999</v>
      </c>
      <c r="I16" s="522">
        <v>17.33518180459771</v>
      </c>
      <c r="J16" s="523">
        <v>1.0539835424026454</v>
      </c>
      <c r="K16" s="524">
        <v>18.7</v>
      </c>
      <c r="L16" s="523">
        <v>1.1398268926002681</v>
      </c>
      <c r="M16" s="524">
        <v>0</v>
      </c>
      <c r="N16" s="523">
        <v>0</v>
      </c>
      <c r="O16" s="525">
        <v>18.7</v>
      </c>
      <c r="P16" s="523">
        <v>1.1398268926002681</v>
      </c>
      <c r="Q16" s="522">
        <v>1.4</v>
      </c>
      <c r="R16" s="523">
        <v>8.5334633670608312E-2</v>
      </c>
      <c r="S16" s="533">
        <v>871.56999999999994</v>
      </c>
      <c r="T16" s="525">
        <v>2.294</v>
      </c>
      <c r="U16" s="523">
        <v>0.1323320416167528</v>
      </c>
      <c r="V16" s="527">
        <v>0.89400000000000013</v>
      </c>
      <c r="W16" s="528">
        <v>5.4492258929659892E-2</v>
      </c>
      <c r="X16" s="529">
        <v>556.55970000000002</v>
      </c>
      <c r="Y16" s="531" t="s">
        <v>326</v>
      </c>
      <c r="Z16" s="531" t="s">
        <v>496</v>
      </c>
      <c r="AA16" s="438" t="s">
        <v>561</v>
      </c>
      <c r="AB16" s="438" t="s">
        <v>601</v>
      </c>
      <c r="AC16" s="438">
        <v>1</v>
      </c>
      <c r="AD16" s="532" t="s">
        <v>634</v>
      </c>
    </row>
    <row r="17" spans="2:30" s="376" customFormat="1" ht="27" customHeight="1">
      <c r="B17" s="914"/>
      <c r="C17" s="915"/>
      <c r="D17" s="518">
        <v>13</v>
      </c>
      <c r="E17" s="519" t="s">
        <v>729</v>
      </c>
      <c r="F17" s="526">
        <v>1420.5536400000042</v>
      </c>
      <c r="G17" s="521">
        <v>427.62</v>
      </c>
      <c r="H17" s="522">
        <v>231.678</v>
      </c>
      <c r="I17" s="522">
        <v>231.678</v>
      </c>
      <c r="J17" s="523">
        <v>1</v>
      </c>
      <c r="K17" s="524">
        <v>234.79999999999998</v>
      </c>
      <c r="L17" s="523">
        <v>1.0134755997548321</v>
      </c>
      <c r="M17" s="524">
        <v>0.2</v>
      </c>
      <c r="N17" s="523">
        <v>8.6326712074517224E-4</v>
      </c>
      <c r="O17" s="525">
        <v>234.99999999999997</v>
      </c>
      <c r="P17" s="523">
        <v>1.0143388668755773</v>
      </c>
      <c r="Q17" s="522">
        <v>2</v>
      </c>
      <c r="R17" s="523">
        <v>8.6326712074517222E-3</v>
      </c>
      <c r="S17" s="533">
        <v>855.24</v>
      </c>
      <c r="T17" s="525">
        <v>3.3220000000000098</v>
      </c>
      <c r="U17" s="523">
        <v>1.4338866875577352E-2</v>
      </c>
      <c r="V17" s="527">
        <v>1.3220000000000098</v>
      </c>
      <c r="W17" s="528">
        <v>5.7061956681256302E-3</v>
      </c>
      <c r="X17" s="529">
        <v>565.31364000000417</v>
      </c>
      <c r="Y17" s="531" t="s">
        <v>326</v>
      </c>
      <c r="Z17" s="531" t="s">
        <v>193</v>
      </c>
      <c r="AA17" s="438" t="s">
        <v>588</v>
      </c>
      <c r="AB17" s="438" t="s">
        <v>601</v>
      </c>
      <c r="AC17" s="438">
        <v>1</v>
      </c>
      <c r="AD17" s="532" t="s">
        <v>718</v>
      </c>
    </row>
    <row r="18" spans="2:30" s="376" customFormat="1" ht="27" customHeight="1">
      <c r="B18" s="914"/>
      <c r="C18" s="915"/>
      <c r="D18" s="518">
        <v>14</v>
      </c>
      <c r="E18" s="519" t="s">
        <v>756</v>
      </c>
      <c r="F18" s="526">
        <v>1361.8692000000008</v>
      </c>
      <c r="G18" s="521">
        <v>420.33</v>
      </c>
      <c r="H18" s="522">
        <v>484.95999999999992</v>
      </c>
      <c r="I18" s="522">
        <v>485.84350709021913</v>
      </c>
      <c r="J18" s="523">
        <v>1.0024610077907885</v>
      </c>
      <c r="K18" s="524">
        <v>488.2</v>
      </c>
      <c r="L18" s="523">
        <v>1.0066809633784231</v>
      </c>
      <c r="M18" s="524">
        <v>0</v>
      </c>
      <c r="N18" s="523">
        <v>0</v>
      </c>
      <c r="O18" s="525">
        <v>488.2</v>
      </c>
      <c r="P18" s="523">
        <v>1.0066809633784231</v>
      </c>
      <c r="Q18" s="522">
        <v>2</v>
      </c>
      <c r="R18" s="523">
        <v>4.1240514681623233E-3</v>
      </c>
      <c r="S18" s="533">
        <v>840.66000000000008</v>
      </c>
      <c r="T18" s="525">
        <v>3.240000000000002</v>
      </c>
      <c r="U18" s="523">
        <v>6.6688140372705386E-3</v>
      </c>
      <c r="V18" s="527">
        <v>1.240000000000002</v>
      </c>
      <c r="W18" s="528">
        <v>2.5569119102606445E-3</v>
      </c>
      <c r="X18" s="529">
        <v>521.20920000000081</v>
      </c>
      <c r="Y18" s="531" t="s">
        <v>326</v>
      </c>
      <c r="Z18" s="531" t="s">
        <v>193</v>
      </c>
      <c r="AA18" s="438" t="s">
        <v>588</v>
      </c>
      <c r="AB18" s="438" t="s">
        <v>601</v>
      </c>
      <c r="AC18" s="438">
        <v>1</v>
      </c>
      <c r="AD18" s="532" t="s">
        <v>340</v>
      </c>
    </row>
    <row r="19" spans="2:30" s="376" customFormat="1" ht="27" customHeight="1">
      <c r="B19" s="914"/>
      <c r="C19" s="915"/>
      <c r="D19" s="518">
        <v>15</v>
      </c>
      <c r="E19" s="519" t="s">
        <v>762</v>
      </c>
      <c r="F19" s="526">
        <v>1359.0751999999995</v>
      </c>
      <c r="G19" s="521">
        <v>71.38</v>
      </c>
      <c r="H19" s="522">
        <v>2091.96</v>
      </c>
      <c r="I19" s="522">
        <v>2099.7699287072919</v>
      </c>
      <c r="J19" s="523">
        <v>1.0034635914854859</v>
      </c>
      <c r="K19" s="524">
        <v>2111</v>
      </c>
      <c r="L19" s="523">
        <v>1.0091015124572171</v>
      </c>
      <c r="M19" s="524">
        <v>0</v>
      </c>
      <c r="N19" s="523">
        <v>0</v>
      </c>
      <c r="O19" s="525">
        <v>2111</v>
      </c>
      <c r="P19" s="523">
        <v>1.0091015124572171</v>
      </c>
      <c r="Q19" s="522">
        <v>12.1</v>
      </c>
      <c r="R19" s="523">
        <v>5.7840494082104814E-3</v>
      </c>
      <c r="S19" s="533">
        <v>863.69799999999987</v>
      </c>
      <c r="T19" s="525">
        <v>19.039999999999992</v>
      </c>
      <c r="U19" s="523">
        <v>9.0676600991813558E-3</v>
      </c>
      <c r="V19" s="527">
        <v>6.9399999999999924</v>
      </c>
      <c r="W19" s="528">
        <v>3.3174630490066695E-3</v>
      </c>
      <c r="X19" s="529">
        <v>495.37719999999945</v>
      </c>
      <c r="Y19" s="531" t="s">
        <v>325</v>
      </c>
      <c r="Z19" s="531" t="s">
        <v>483</v>
      </c>
      <c r="AA19" s="438" t="s">
        <v>731</v>
      </c>
      <c r="AB19" s="438" t="s">
        <v>732</v>
      </c>
      <c r="AC19" s="438">
        <v>1</v>
      </c>
      <c r="AD19" s="532" t="s">
        <v>686</v>
      </c>
    </row>
    <row r="20" spans="2:30" s="376" customFormat="1" ht="27" customHeight="1">
      <c r="B20" s="914"/>
      <c r="C20" s="915"/>
      <c r="D20" s="518">
        <v>16</v>
      </c>
      <c r="E20" s="519" t="s">
        <v>766</v>
      </c>
      <c r="F20" s="526">
        <v>1326.3951999999999</v>
      </c>
      <c r="G20" s="521">
        <v>474.56</v>
      </c>
      <c r="H20" s="522">
        <v>34.405000000000001</v>
      </c>
      <c r="I20" s="522">
        <v>34.405000000000001</v>
      </c>
      <c r="J20" s="523">
        <v>1</v>
      </c>
      <c r="K20" s="524">
        <v>37.200000000000003</v>
      </c>
      <c r="L20" s="523">
        <v>1.0812381921232379</v>
      </c>
      <c r="M20" s="524">
        <v>0</v>
      </c>
      <c r="N20" s="523">
        <v>0</v>
      </c>
      <c r="O20" s="525">
        <v>37.200000000000003</v>
      </c>
      <c r="P20" s="523">
        <v>1.0812381921232379</v>
      </c>
      <c r="Q20" s="522">
        <v>1.2</v>
      </c>
      <c r="R20" s="523">
        <v>3.4878651358814121E-2</v>
      </c>
      <c r="S20" s="533">
        <v>569.47199999999998</v>
      </c>
      <c r="T20" s="525">
        <v>2.7949999999999999</v>
      </c>
      <c r="U20" s="523">
        <v>8.1238192123237893E-2</v>
      </c>
      <c r="V20" s="527">
        <v>1.595</v>
      </c>
      <c r="W20" s="528">
        <v>4.6359540764423772E-2</v>
      </c>
      <c r="X20" s="529">
        <v>756.92319999999995</v>
      </c>
      <c r="Y20" s="531" t="s">
        <v>326</v>
      </c>
      <c r="Z20" s="531" t="s">
        <v>496</v>
      </c>
      <c r="AA20" s="438" t="s">
        <v>561</v>
      </c>
      <c r="AB20" s="438" t="s">
        <v>601</v>
      </c>
      <c r="AC20" s="438">
        <v>1</v>
      </c>
      <c r="AD20" s="532" t="s">
        <v>765</v>
      </c>
    </row>
    <row r="21" spans="2:30" s="376" customFormat="1" ht="27" customHeight="1">
      <c r="B21" s="914"/>
      <c r="C21" s="915"/>
      <c r="D21" s="518">
        <v>17</v>
      </c>
      <c r="E21" s="519" t="s">
        <v>730</v>
      </c>
      <c r="F21" s="526">
        <v>1322.1241600000003</v>
      </c>
      <c r="G21" s="521">
        <v>474.56</v>
      </c>
      <c r="H21" s="522">
        <v>25.213999999999999</v>
      </c>
      <c r="I21" s="522">
        <v>25.213999999999999</v>
      </c>
      <c r="J21" s="523">
        <v>1</v>
      </c>
      <c r="K21" s="524">
        <v>28</v>
      </c>
      <c r="L21" s="523">
        <v>1.1104941699056081</v>
      </c>
      <c r="M21" s="524">
        <v>0</v>
      </c>
      <c r="N21" s="523">
        <v>0</v>
      </c>
      <c r="O21" s="525">
        <v>28</v>
      </c>
      <c r="P21" s="523">
        <v>1.1104941699056081</v>
      </c>
      <c r="Q21" s="522">
        <v>1</v>
      </c>
      <c r="R21" s="523">
        <v>3.9660506068057433E-2</v>
      </c>
      <c r="S21" s="533">
        <v>474.56</v>
      </c>
      <c r="T21" s="525">
        <v>2.7860000000000005</v>
      </c>
      <c r="U21" s="523">
        <v>0.11049416990560802</v>
      </c>
      <c r="V21" s="527">
        <v>1.7860000000000005</v>
      </c>
      <c r="W21" s="528">
        <v>7.0833663837550589E-2</v>
      </c>
      <c r="X21" s="529">
        <v>847.56416000000024</v>
      </c>
      <c r="Y21" s="531" t="s">
        <v>326</v>
      </c>
      <c r="Z21" s="531" t="s">
        <v>496</v>
      </c>
      <c r="AA21" s="438" t="s">
        <v>561</v>
      </c>
      <c r="AB21" s="438" t="s">
        <v>601</v>
      </c>
      <c r="AC21" s="438">
        <v>1</v>
      </c>
      <c r="AD21" s="532" t="s">
        <v>681</v>
      </c>
    </row>
    <row r="22" spans="2:30" s="376" customFormat="1" ht="27" customHeight="1">
      <c r="B22" s="914"/>
      <c r="C22" s="915"/>
      <c r="D22" s="518">
        <v>18</v>
      </c>
      <c r="E22" s="519" t="s">
        <v>652</v>
      </c>
      <c r="F22" s="526">
        <v>1302.0956499999993</v>
      </c>
      <c r="G22" s="521">
        <v>297.35000000000002</v>
      </c>
      <c r="H22" s="522">
        <v>278.721</v>
      </c>
      <c r="I22" s="522">
        <v>279.88495222033481</v>
      </c>
      <c r="J22" s="523">
        <v>1.0045575382085201</v>
      </c>
      <c r="K22" s="524">
        <v>283.10000000000002</v>
      </c>
      <c r="L22" s="523">
        <v>1.0157110515533456</v>
      </c>
      <c r="M22" s="524">
        <v>0</v>
      </c>
      <c r="N22" s="523">
        <v>0</v>
      </c>
      <c r="O22" s="525">
        <v>283.10000000000002</v>
      </c>
      <c r="P22" s="523">
        <v>1.0157110515533456</v>
      </c>
      <c r="Q22" s="522">
        <v>3</v>
      </c>
      <c r="R22" s="523">
        <v>1.0763451623666678E-2</v>
      </c>
      <c r="S22" s="533">
        <v>892.05</v>
      </c>
      <c r="T22" s="525">
        <v>4.3789999999999978</v>
      </c>
      <c r="U22" s="523">
        <v>1.5645714302470616E-2</v>
      </c>
      <c r="V22" s="527">
        <v>1.3789999999999978</v>
      </c>
      <c r="W22" s="528">
        <v>4.9475999296787745E-3</v>
      </c>
      <c r="X22" s="529">
        <v>410.0456499999994</v>
      </c>
      <c r="Y22" s="531" t="s">
        <v>326</v>
      </c>
      <c r="Z22" s="531" t="s">
        <v>193</v>
      </c>
      <c r="AA22" s="438" t="s">
        <v>588</v>
      </c>
      <c r="AB22" s="438" t="s">
        <v>601</v>
      </c>
      <c r="AC22" s="438">
        <v>1</v>
      </c>
      <c r="AD22" s="532" t="s">
        <v>550</v>
      </c>
    </row>
    <row r="23" spans="2:30" s="376" customFormat="1" ht="27" customHeight="1">
      <c r="B23" s="914"/>
      <c r="C23" s="915"/>
      <c r="D23" s="518">
        <v>19</v>
      </c>
      <c r="E23" s="519" t="s">
        <v>725</v>
      </c>
      <c r="F23" s="526">
        <v>1295.4662000000037</v>
      </c>
      <c r="G23" s="521">
        <v>103.97</v>
      </c>
      <c r="H23" s="522">
        <v>706.44</v>
      </c>
      <c r="I23" s="522">
        <v>710.43489142518388</v>
      </c>
      <c r="J23" s="523">
        <v>1.0055190596653718</v>
      </c>
      <c r="K23" s="524">
        <v>718.90000000000009</v>
      </c>
      <c r="L23" s="523">
        <v>1.0176377328577091</v>
      </c>
      <c r="M23" s="524">
        <v>0</v>
      </c>
      <c r="N23" s="523">
        <v>0</v>
      </c>
      <c r="O23" s="525">
        <v>718.90000000000009</v>
      </c>
      <c r="P23" s="523">
        <v>1.0176377328577091</v>
      </c>
      <c r="Q23" s="522">
        <v>8.6</v>
      </c>
      <c r="R23" s="523">
        <v>1.2173716097616215E-2</v>
      </c>
      <c r="S23" s="533">
        <v>894.14200000000005</v>
      </c>
      <c r="T23" s="525">
        <v>12.460000000000036</v>
      </c>
      <c r="U23" s="523">
        <v>1.7538553005194288E-2</v>
      </c>
      <c r="V23" s="527">
        <v>3.8600000000000367</v>
      </c>
      <c r="W23" s="528">
        <v>5.4640167600929117E-3</v>
      </c>
      <c r="X23" s="529">
        <v>401.32420000000383</v>
      </c>
      <c r="Y23" s="531" t="s">
        <v>325</v>
      </c>
      <c r="Z23" s="531" t="s">
        <v>483</v>
      </c>
      <c r="AA23" s="438" t="s">
        <v>731</v>
      </c>
      <c r="AB23" s="438" t="s">
        <v>732</v>
      </c>
      <c r="AC23" s="438">
        <v>1</v>
      </c>
      <c r="AD23" s="532" t="s">
        <v>499</v>
      </c>
    </row>
    <row r="24" spans="2:30" s="376" customFormat="1" ht="27" customHeight="1">
      <c r="B24" s="916"/>
      <c r="C24" s="917"/>
      <c r="D24" s="518">
        <v>20</v>
      </c>
      <c r="E24" s="519" t="s">
        <v>640</v>
      </c>
      <c r="F24" s="526">
        <v>1294.5746500000012</v>
      </c>
      <c r="G24" s="521">
        <v>111.17</v>
      </c>
      <c r="H24" s="522">
        <v>2187.7550000000001</v>
      </c>
      <c r="I24" s="522">
        <v>2190.9983931538304</v>
      </c>
      <c r="J24" s="523">
        <v>1.0011880052362283</v>
      </c>
      <c r="K24" s="524">
        <v>2199.4</v>
      </c>
      <c r="L24" s="523">
        <v>1.0053228080840861</v>
      </c>
      <c r="M24" s="524">
        <v>0</v>
      </c>
      <c r="N24" s="523">
        <v>0</v>
      </c>
      <c r="O24" s="525">
        <v>2199.4</v>
      </c>
      <c r="P24" s="523">
        <v>1.0053228080840861</v>
      </c>
      <c r="Q24" s="522">
        <v>8.1999999999999993</v>
      </c>
      <c r="R24" s="523">
        <v>3.7481345031779149E-3</v>
      </c>
      <c r="S24" s="533">
        <v>911.59400000000016</v>
      </c>
      <c r="T24" s="525">
        <v>11.64500000000001</v>
      </c>
      <c r="U24" s="523">
        <v>5.3149285898095189E-3</v>
      </c>
      <c r="V24" s="527">
        <v>3.4450000000000109</v>
      </c>
      <c r="W24" s="528">
        <v>1.5746735809082876E-3</v>
      </c>
      <c r="X24" s="529">
        <v>382.98065000000122</v>
      </c>
      <c r="Y24" s="531" t="s">
        <v>325</v>
      </c>
      <c r="Z24" s="531" t="s">
        <v>483</v>
      </c>
      <c r="AA24" s="438" t="s">
        <v>580</v>
      </c>
      <c r="AB24" s="438" t="s">
        <v>504</v>
      </c>
      <c r="AC24" s="438">
        <v>1</v>
      </c>
      <c r="AD24" s="532" t="s">
        <v>328</v>
      </c>
    </row>
  </sheetData>
  <mergeCells count="22">
    <mergeCell ref="B2:AB2"/>
    <mergeCell ref="V3:X3"/>
    <mergeCell ref="AB3:AB4"/>
    <mergeCell ref="AC3:AC4"/>
    <mergeCell ref="AD3:AD4"/>
    <mergeCell ref="G3:G4"/>
    <mergeCell ref="H3:H4"/>
    <mergeCell ref="I3:J3"/>
    <mergeCell ref="K3:L3"/>
    <mergeCell ref="M3:N3"/>
    <mergeCell ref="O3:P3"/>
    <mergeCell ref="Q3:S3"/>
    <mergeCell ref="T3:U3"/>
    <mergeCell ref="Y3:Y4"/>
    <mergeCell ref="Z3:Z4"/>
    <mergeCell ref="AA3:AA4"/>
    <mergeCell ref="AF3:AM5"/>
    <mergeCell ref="B5:C24"/>
    <mergeCell ref="B3:C4"/>
    <mergeCell ref="D3:D4"/>
    <mergeCell ref="E3:E4"/>
    <mergeCell ref="F3:F4"/>
  </mergeCells>
  <phoneticPr fontId="81" type="noConversion"/>
  <dataValidations count="3">
    <dataValidation type="list" allowBlank="1" showInputMessage="1" showErrorMessage="1" sqref="Y5:Y24" xr:uid="{00000000-0002-0000-1D00-000000000000}">
      <formula1>$AP$6:$AP$12</formula1>
    </dataValidation>
    <dataValidation type="list" allowBlank="1" showInputMessage="1" showErrorMessage="1" sqref="Z5:Z24" xr:uid="{00000000-0002-0000-1D00-000001000000}">
      <formula1>$AO$6:$AO$12</formula1>
    </dataValidation>
    <dataValidation type="list" allowBlank="1" showInputMessage="1" showErrorMessage="1" sqref="T1:X2 T25:X1048576 Y3:Z3" xr:uid="{00000000-0002-0000-1D00-000002000000}">
      <formula1>#REF!</formula1>
    </dataValidation>
  </dataValidations>
  <pageMargins left="0" right="0" top="0" bottom="0" header="0" footer="0"/>
  <pageSetup paperSize="9" scale="20" orientation="landscape" horizontalDpi="300" verticalDpi="30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tabColor theme="7" tint="0.39997558519241921"/>
  </sheetPr>
  <dimension ref="A1:AG49"/>
  <sheetViews>
    <sheetView zoomScale="55" zoomScaleNormal="55" workbookViewId="0">
      <selection activeCell="M16" sqref="M16"/>
    </sheetView>
  </sheetViews>
  <sheetFormatPr defaultColWidth="10.140625" defaultRowHeight="15.75"/>
  <cols>
    <col min="1" max="4" width="25.7109375" style="442" customWidth="1"/>
    <col min="5" max="5" width="33.7109375" style="442" customWidth="1"/>
    <col min="6" max="6" width="25.7109375" style="442" customWidth="1"/>
    <col min="7" max="7" width="33.7109375" style="442" customWidth="1"/>
    <col min="8" max="11" width="25.7109375" style="442" customWidth="1"/>
    <col min="12" max="12" width="26.42578125" style="442" bestFit="1" customWidth="1"/>
    <col min="13" max="14" width="26.42578125" style="442" customWidth="1"/>
    <col min="15" max="15" width="26.140625" style="442" bestFit="1" customWidth="1"/>
    <col min="16" max="16" width="10.140625" style="442"/>
    <col min="17" max="18" width="13.7109375" style="442" bestFit="1" customWidth="1"/>
    <col min="19" max="20" width="10.140625" style="442"/>
    <col min="21" max="21" width="15.140625" style="442" bestFit="1" customWidth="1"/>
    <col min="22" max="23" width="10.140625" style="442"/>
    <col min="24" max="24" width="13.7109375" style="442" bestFit="1" customWidth="1"/>
    <col min="25" max="26" width="10.140625" style="442"/>
    <col min="27" max="27" width="15.140625" style="442" bestFit="1" customWidth="1"/>
    <col min="28" max="29" width="10.140625" style="442"/>
    <col min="30" max="30" width="13.7109375" style="442" bestFit="1" customWidth="1"/>
    <col min="31" max="32" width="10.140625" style="442"/>
    <col min="33" max="33" width="15.140625" style="442" bestFit="1" customWidth="1"/>
    <col min="34" max="16384" width="10.140625" style="442"/>
  </cols>
  <sheetData>
    <row r="1" spans="1:33" ht="27">
      <c r="A1" s="937" t="s">
        <v>712</v>
      </c>
      <c r="B1" s="937"/>
      <c r="C1" s="937"/>
      <c r="D1" s="937"/>
      <c r="E1" s="937"/>
      <c r="F1" s="937"/>
      <c r="G1" s="937"/>
      <c r="H1" s="937"/>
      <c r="I1" s="937"/>
      <c r="J1" s="937"/>
      <c r="K1" s="441"/>
      <c r="L1" s="441"/>
      <c r="M1" s="441"/>
      <c r="N1" s="441"/>
      <c r="O1" s="441"/>
      <c r="P1" s="441"/>
      <c r="Q1" s="441"/>
      <c r="R1" s="441"/>
      <c r="S1" s="441"/>
      <c r="T1" s="441"/>
      <c r="U1" s="441"/>
      <c r="V1" s="441"/>
    </row>
    <row r="2" spans="1:33" ht="48">
      <c r="A2" s="938" t="s">
        <v>735</v>
      </c>
      <c r="B2" s="940">
        <v>449076.58882123511</v>
      </c>
      <c r="C2" s="938" t="s">
        <v>736</v>
      </c>
      <c r="D2" s="942">
        <v>2.4075736190397176E-3</v>
      </c>
      <c r="E2" s="550" t="s">
        <v>737</v>
      </c>
      <c r="F2" s="443" t="s">
        <v>738</v>
      </c>
      <c r="G2" s="452" t="s">
        <v>739</v>
      </c>
      <c r="H2" s="444" t="s">
        <v>740</v>
      </c>
      <c r="I2" s="944" t="s">
        <v>694</v>
      </c>
      <c r="J2" s="944" t="s">
        <v>695</v>
      </c>
      <c r="K2" s="441"/>
      <c r="L2" s="445"/>
      <c r="M2" s="441"/>
      <c r="N2" s="441"/>
      <c r="O2" s="441"/>
      <c r="P2" s="441"/>
      <c r="Q2" s="441"/>
      <c r="R2" s="441"/>
      <c r="S2" s="441"/>
      <c r="T2" s="441"/>
      <c r="U2" s="441"/>
      <c r="V2" s="441"/>
    </row>
    <row r="3" spans="1:33" ht="24">
      <c r="A3" s="939"/>
      <c r="B3" s="941"/>
      <c r="C3" s="939"/>
      <c r="D3" s="943"/>
      <c r="E3" s="541">
        <v>741261.32965279883</v>
      </c>
      <c r="F3" s="446">
        <v>3.9740241787504932E-3</v>
      </c>
      <c r="G3" s="447">
        <v>292184.74083156354</v>
      </c>
      <c r="H3" s="448">
        <v>1.5664505597107752E-3</v>
      </c>
      <c r="I3" s="945"/>
      <c r="J3" s="945"/>
      <c r="K3" s="449"/>
      <c r="L3" s="450"/>
      <c r="M3" s="441"/>
      <c r="N3" s="441"/>
      <c r="O3" s="441"/>
      <c r="P3" s="441"/>
      <c r="Q3" s="441"/>
      <c r="R3" s="441"/>
      <c r="S3" s="441"/>
      <c r="T3" s="441"/>
      <c r="U3" s="441"/>
      <c r="V3" s="441"/>
    </row>
    <row r="4" spans="1:33" ht="40.5">
      <c r="A4" s="451" t="s">
        <v>696</v>
      </c>
      <c r="B4" s="451" t="s">
        <v>697</v>
      </c>
      <c r="C4" s="451" t="s">
        <v>698</v>
      </c>
      <c r="D4" s="451" t="s">
        <v>713</v>
      </c>
      <c r="E4" s="451" t="s">
        <v>699</v>
      </c>
      <c r="F4" s="451" t="s">
        <v>700</v>
      </c>
      <c r="G4" s="452" t="s">
        <v>701</v>
      </c>
      <c r="H4" s="452" t="s">
        <v>702</v>
      </c>
      <c r="I4" s="946"/>
      <c r="J4" s="946"/>
      <c r="K4" s="441"/>
      <c r="L4" s="445"/>
      <c r="M4" s="453"/>
      <c r="N4" s="445"/>
      <c r="O4" s="454"/>
      <c r="P4" s="445"/>
      <c r="Q4" s="453"/>
      <c r="R4" s="455"/>
      <c r="S4" s="441"/>
      <c r="T4" s="441"/>
      <c r="U4" s="455"/>
      <c r="V4" s="441"/>
      <c r="X4" s="456"/>
      <c r="AA4" s="456"/>
      <c r="AD4" s="456"/>
      <c r="AG4" s="456"/>
    </row>
    <row r="5" spans="1:33" ht="18.75">
      <c r="A5" s="534">
        <v>46294</v>
      </c>
      <c r="B5" s="458">
        <v>9442784</v>
      </c>
      <c r="C5" s="459">
        <v>22725</v>
      </c>
      <c r="D5" s="460">
        <v>2.4065995791071786E-3</v>
      </c>
      <c r="E5" s="459">
        <v>37439.164964267737</v>
      </c>
      <c r="F5" s="461">
        <v>3.9648439447802402E-3</v>
      </c>
      <c r="G5" s="462">
        <v>14714.164964267737</v>
      </c>
      <c r="H5" s="463">
        <v>1.5582443656730618E-3</v>
      </c>
      <c r="I5" s="931">
        <v>144279.45499999996</v>
      </c>
      <c r="J5" s="931">
        <v>238797.13289526675</v>
      </c>
      <c r="K5" s="441"/>
      <c r="L5" s="441"/>
      <c r="M5" s="441"/>
      <c r="N5" s="441"/>
      <c r="O5" s="441"/>
      <c r="P5" s="441"/>
      <c r="Q5" s="441"/>
      <c r="R5" s="441"/>
      <c r="S5" s="441"/>
      <c r="T5" s="441"/>
      <c r="U5" s="441"/>
      <c r="V5" s="441"/>
    </row>
    <row r="6" spans="1:33" ht="18.75">
      <c r="A6" s="534">
        <v>46295</v>
      </c>
      <c r="B6" s="458">
        <v>9018978</v>
      </c>
      <c r="C6" s="459">
        <v>21652.474000000002</v>
      </c>
      <c r="D6" s="460">
        <v>2.4007680249358634E-3</v>
      </c>
      <c r="E6" s="459">
        <v>35538.264197015102</v>
      </c>
      <c r="F6" s="461">
        <v>3.9403870590453928E-3</v>
      </c>
      <c r="G6" s="462">
        <v>13885.7901970151</v>
      </c>
      <c r="H6" s="463">
        <v>1.53961903410953E-3</v>
      </c>
      <c r="I6" s="932"/>
      <c r="J6" s="932"/>
      <c r="K6" s="441"/>
      <c r="L6" s="441"/>
      <c r="M6" s="441"/>
      <c r="N6" s="441"/>
      <c r="O6" s="441"/>
      <c r="P6" s="441"/>
      <c r="Q6" s="441"/>
      <c r="R6" s="441"/>
      <c r="S6" s="441"/>
      <c r="T6" s="441"/>
      <c r="U6" s="441"/>
      <c r="V6" s="441"/>
    </row>
    <row r="7" spans="1:33" ht="18.75">
      <c r="A7" s="534">
        <v>46296</v>
      </c>
      <c r="B7" s="458">
        <v>8168633</v>
      </c>
      <c r="C7" s="459">
        <v>19451</v>
      </c>
      <c r="D7" s="460">
        <v>2.3811817717848262E-3</v>
      </c>
      <c r="E7" s="459">
        <v>32589</v>
      </c>
      <c r="F7" s="461">
        <v>3.9895292149861551E-3</v>
      </c>
      <c r="G7" s="462">
        <v>13138</v>
      </c>
      <c r="H7" s="463">
        <v>1.6083474432013287E-3</v>
      </c>
      <c r="I7" s="932"/>
      <c r="J7" s="932"/>
      <c r="K7" s="441"/>
      <c r="L7" s="441"/>
      <c r="M7" s="441"/>
      <c r="N7" s="441"/>
      <c r="O7" s="441"/>
      <c r="P7" s="441"/>
      <c r="Q7" s="441"/>
      <c r="R7" s="441"/>
      <c r="S7" s="441"/>
      <c r="T7" s="441"/>
      <c r="U7" s="441"/>
      <c r="V7" s="441"/>
    </row>
    <row r="8" spans="1:33" ht="18.75">
      <c r="A8" s="534">
        <v>46297</v>
      </c>
      <c r="B8" s="458">
        <v>7055865</v>
      </c>
      <c r="C8" s="459">
        <v>16789.368999999999</v>
      </c>
      <c r="D8" s="460">
        <v>2.3794912459351191E-3</v>
      </c>
      <c r="E8" s="459">
        <v>28147.838400252618</v>
      </c>
      <c r="F8" s="461">
        <v>3.9892824480418235E-3</v>
      </c>
      <c r="G8" s="462">
        <v>11358.469400252619</v>
      </c>
      <c r="H8" s="463">
        <v>1.6097912021067042E-3</v>
      </c>
      <c r="I8" s="932"/>
      <c r="J8" s="932"/>
      <c r="K8" s="441"/>
      <c r="L8" s="441"/>
      <c r="M8" s="441"/>
      <c r="N8" s="441"/>
      <c r="O8" s="441"/>
      <c r="P8" s="441"/>
      <c r="Q8" s="441"/>
      <c r="R8" s="441"/>
      <c r="S8" s="441"/>
      <c r="T8" s="441"/>
      <c r="U8" s="441"/>
      <c r="V8" s="441"/>
    </row>
    <row r="9" spans="1:33" ht="18.75">
      <c r="A9" s="534">
        <v>46298</v>
      </c>
      <c r="B9" s="458">
        <v>7451826</v>
      </c>
      <c r="C9" s="459">
        <v>17861.227999999992</v>
      </c>
      <c r="D9" s="460">
        <v>2.3968927884252789E-3</v>
      </c>
      <c r="E9" s="459">
        <v>30068.636339725566</v>
      </c>
      <c r="F9" s="461">
        <v>4.0350695708307694E-3</v>
      </c>
      <c r="G9" s="462">
        <v>12207.408339725574</v>
      </c>
      <c r="H9" s="463">
        <v>1.6381767824054903E-3</v>
      </c>
      <c r="I9" s="932"/>
      <c r="J9" s="932"/>
      <c r="K9" s="441"/>
      <c r="L9" s="441"/>
      <c r="M9" s="441"/>
      <c r="N9" s="441"/>
      <c r="O9" s="441"/>
      <c r="P9" s="441"/>
      <c r="Q9" s="441"/>
      <c r="R9" s="441"/>
      <c r="S9" s="441"/>
      <c r="T9" s="441"/>
      <c r="U9" s="441"/>
      <c r="V9" s="441"/>
    </row>
    <row r="10" spans="1:33" ht="18.75">
      <c r="A10" s="534">
        <v>46299</v>
      </c>
      <c r="B10" s="458">
        <v>9737432</v>
      </c>
      <c r="C10" s="459">
        <v>23179.421000000002</v>
      </c>
      <c r="D10" s="460">
        <v>2.3804449674205688E-3</v>
      </c>
      <c r="E10" s="459">
        <v>38007.075671388557</v>
      </c>
      <c r="F10" s="461">
        <v>3.9031929230816252E-3</v>
      </c>
      <c r="G10" s="462">
        <v>14827.654671388555</v>
      </c>
      <c r="H10" s="463">
        <v>1.5227479556610567E-3</v>
      </c>
      <c r="I10" s="932"/>
      <c r="J10" s="932"/>
      <c r="K10" s="441"/>
      <c r="L10" s="441"/>
      <c r="M10" s="441"/>
      <c r="N10" s="441"/>
      <c r="O10" s="441"/>
      <c r="P10" s="441"/>
      <c r="Q10" s="441"/>
      <c r="R10" s="441"/>
      <c r="S10" s="441"/>
      <c r="T10" s="441"/>
      <c r="U10" s="441"/>
      <c r="V10" s="441"/>
    </row>
    <row r="11" spans="1:33" ht="18.75">
      <c r="A11" s="534">
        <v>46300</v>
      </c>
      <c r="B11" s="458">
        <v>9458819</v>
      </c>
      <c r="C11" s="459">
        <v>22620.962999999989</v>
      </c>
      <c r="D11" s="460">
        <v>2.3915208653427019E-3</v>
      </c>
      <c r="E11" s="459">
        <v>37007.15332261716</v>
      </c>
      <c r="F11" s="461">
        <v>3.9124496750193825E-3</v>
      </c>
      <c r="G11" s="462">
        <v>14386.190322617171</v>
      </c>
      <c r="H11" s="463">
        <v>1.5209288096766807E-3</v>
      </c>
      <c r="I11" s="933"/>
      <c r="J11" s="933"/>
      <c r="K11" s="441"/>
      <c r="L11" s="441"/>
      <c r="M11" s="441"/>
      <c r="N11" s="441"/>
      <c r="O11" s="441"/>
      <c r="P11" s="441"/>
      <c r="Q11" s="441"/>
      <c r="R11" s="441"/>
      <c r="S11" s="441"/>
      <c r="T11" s="441"/>
      <c r="U11" s="441"/>
      <c r="V11" s="441"/>
    </row>
    <row r="12" spans="1:33" ht="18.75">
      <c r="A12" s="535">
        <v>46301</v>
      </c>
      <c r="B12" s="536">
        <v>8843571</v>
      </c>
      <c r="C12" s="537">
        <v>21010</v>
      </c>
      <c r="D12" s="460">
        <v>2.3757371315275243E-3</v>
      </c>
      <c r="E12" s="459">
        <v>34308</v>
      </c>
      <c r="F12" s="461">
        <v>3.8794283440478964E-3</v>
      </c>
      <c r="G12" s="462">
        <v>13298</v>
      </c>
      <c r="H12" s="463">
        <v>1.5036912125203721E-3</v>
      </c>
      <c r="I12" s="934">
        <v>139357.03599999999</v>
      </c>
      <c r="J12" s="934">
        <v>228842.73269955136</v>
      </c>
      <c r="K12" s="441"/>
      <c r="L12" s="441"/>
      <c r="M12" s="441"/>
      <c r="N12" s="441"/>
      <c r="O12" s="441"/>
      <c r="P12" s="441"/>
      <c r="Q12" s="441"/>
      <c r="R12" s="441"/>
      <c r="S12" s="441"/>
      <c r="T12" s="441"/>
      <c r="U12" s="441"/>
      <c r="V12" s="441"/>
    </row>
    <row r="13" spans="1:33" ht="18.75">
      <c r="A13" s="535">
        <v>46302</v>
      </c>
      <c r="B13" s="536">
        <v>8266220</v>
      </c>
      <c r="C13" s="537">
        <v>19856</v>
      </c>
      <c r="D13" s="460">
        <v>2.40206527288168E-3</v>
      </c>
      <c r="E13" s="459">
        <v>32531</v>
      </c>
      <c r="F13" s="461">
        <v>3.9354142522216922E-3</v>
      </c>
      <c r="G13" s="462">
        <v>12675</v>
      </c>
      <c r="H13" s="463">
        <v>1.5333489793400126E-3</v>
      </c>
      <c r="I13" s="935"/>
      <c r="J13" s="935"/>
      <c r="K13" s="441"/>
      <c r="L13" s="441"/>
      <c r="M13" s="441"/>
      <c r="N13" s="441"/>
      <c r="O13" s="441"/>
      <c r="P13" s="441"/>
      <c r="Q13" s="441"/>
      <c r="R13" s="441"/>
      <c r="S13" s="441"/>
      <c r="T13" s="441"/>
      <c r="U13" s="441"/>
      <c r="V13" s="441"/>
    </row>
    <row r="14" spans="1:33" ht="18.75">
      <c r="A14" s="535">
        <v>46303</v>
      </c>
      <c r="B14" s="536">
        <v>7580746</v>
      </c>
      <c r="C14" s="537">
        <v>17945</v>
      </c>
      <c r="D14" s="460">
        <v>2.3671812774099014E-3</v>
      </c>
      <c r="E14" s="459">
        <v>30048</v>
      </c>
      <c r="F14" s="461">
        <v>3.9637259974150303E-3</v>
      </c>
      <c r="G14" s="462">
        <v>12103</v>
      </c>
      <c r="H14" s="463">
        <v>1.5965447200051287E-3</v>
      </c>
      <c r="I14" s="935"/>
      <c r="J14" s="935"/>
      <c r="K14" s="441"/>
      <c r="L14" s="441"/>
      <c r="M14" s="441"/>
      <c r="N14" s="441"/>
      <c r="O14" s="441"/>
      <c r="P14" s="441"/>
      <c r="Q14" s="441"/>
      <c r="R14" s="441"/>
      <c r="S14" s="441"/>
      <c r="T14" s="441"/>
      <c r="U14" s="441"/>
      <c r="V14" s="441"/>
    </row>
    <row r="15" spans="1:33" ht="18.75">
      <c r="A15" s="535">
        <v>46304</v>
      </c>
      <c r="B15" s="536">
        <v>6953258</v>
      </c>
      <c r="C15" s="537">
        <v>16598</v>
      </c>
      <c r="D15" s="460">
        <v>2.3870824295603586E-3</v>
      </c>
      <c r="E15" s="459">
        <v>27135</v>
      </c>
      <c r="F15" s="461">
        <v>3.9024871506278063E-3</v>
      </c>
      <c r="G15" s="462">
        <v>10537</v>
      </c>
      <c r="H15" s="463">
        <v>1.5154047210674479E-3</v>
      </c>
      <c r="I15" s="935"/>
      <c r="J15" s="935"/>
      <c r="K15" s="441"/>
      <c r="L15" s="441"/>
      <c r="M15" s="441"/>
      <c r="N15" s="441"/>
      <c r="O15" s="441"/>
      <c r="P15" s="441"/>
      <c r="Q15" s="441"/>
      <c r="R15" s="441"/>
      <c r="S15" s="441"/>
      <c r="T15" s="441"/>
      <c r="U15" s="441"/>
      <c r="V15" s="441"/>
    </row>
    <row r="16" spans="1:33" ht="18.75">
      <c r="A16" s="535">
        <v>46305</v>
      </c>
      <c r="B16" s="536">
        <v>7224381</v>
      </c>
      <c r="C16" s="537">
        <v>17277.673000000006</v>
      </c>
      <c r="D16" s="460">
        <v>2.3915783234577477E-3</v>
      </c>
      <c r="E16" s="459">
        <v>28390.810516037138</v>
      </c>
      <c r="F16" s="461">
        <v>3.9298606366465361E-3</v>
      </c>
      <c r="G16" s="462">
        <v>11113.137516037132</v>
      </c>
      <c r="H16" s="463">
        <v>1.5382823131887882E-3</v>
      </c>
      <c r="I16" s="935"/>
      <c r="J16" s="935"/>
      <c r="K16" s="441"/>
      <c r="L16" s="441"/>
      <c r="M16" s="441"/>
      <c r="N16" s="441"/>
      <c r="O16" s="441"/>
      <c r="P16" s="441"/>
      <c r="Q16" s="441"/>
      <c r="R16" s="441"/>
      <c r="S16" s="441"/>
      <c r="T16" s="441"/>
      <c r="U16" s="441"/>
      <c r="V16" s="441"/>
    </row>
    <row r="17" spans="1:22" ht="18.75">
      <c r="A17" s="535">
        <v>46306</v>
      </c>
      <c r="B17" s="536">
        <v>9961344</v>
      </c>
      <c r="C17" s="537">
        <v>23951</v>
      </c>
      <c r="D17" s="460">
        <v>2.4043944270973876E-3</v>
      </c>
      <c r="E17" s="459">
        <v>39025.754309860204</v>
      </c>
      <c r="F17" s="461">
        <v>3.9177197685232234E-3</v>
      </c>
      <c r="G17" s="462">
        <v>15074.754309860204</v>
      </c>
      <c r="H17" s="463">
        <v>1.513325341425836E-3</v>
      </c>
      <c r="I17" s="935"/>
      <c r="J17" s="935"/>
      <c r="K17" s="441"/>
      <c r="L17" s="441"/>
      <c r="M17" s="441"/>
      <c r="N17" s="441"/>
      <c r="O17" s="441"/>
      <c r="P17" s="441"/>
      <c r="Q17" s="441"/>
      <c r="R17" s="441"/>
      <c r="S17" s="441"/>
      <c r="T17" s="441"/>
      <c r="U17" s="441"/>
      <c r="V17" s="441"/>
    </row>
    <row r="18" spans="1:22" ht="18.75">
      <c r="A18" s="535">
        <v>46307</v>
      </c>
      <c r="B18" s="536">
        <v>9545859</v>
      </c>
      <c r="C18" s="537">
        <v>22719.362999999994</v>
      </c>
      <c r="D18" s="460">
        <v>2.3800228978869261E-3</v>
      </c>
      <c r="E18" s="459">
        <v>37404.167873654013</v>
      </c>
      <c r="F18" s="461">
        <v>3.918365845719491E-3</v>
      </c>
      <c r="G18" s="462">
        <v>14684.804873654019</v>
      </c>
      <c r="H18" s="463">
        <v>1.5383429478325647E-3</v>
      </c>
      <c r="I18" s="936"/>
      <c r="J18" s="936"/>
      <c r="K18" s="441"/>
      <c r="L18" s="441"/>
      <c r="M18" s="441"/>
      <c r="N18" s="441"/>
      <c r="O18" s="441"/>
      <c r="P18" s="441"/>
      <c r="Q18" s="441"/>
      <c r="R18" s="441"/>
      <c r="S18" s="441"/>
      <c r="T18" s="441"/>
      <c r="U18" s="441"/>
      <c r="V18" s="441"/>
    </row>
    <row r="19" spans="1:22" ht="18.75">
      <c r="A19" s="457">
        <v>46308</v>
      </c>
      <c r="B19" s="458"/>
      <c r="C19" s="459"/>
      <c r="D19" s="460" t="e">
        <v>#DIV/0!</v>
      </c>
      <c r="E19" s="459"/>
      <c r="F19" s="461" t="e">
        <v>#DIV/0!</v>
      </c>
      <c r="G19" s="462">
        <v>0</v>
      </c>
      <c r="H19" s="463" t="e">
        <v>#DIV/0!</v>
      </c>
      <c r="I19" s="947">
        <v>0</v>
      </c>
      <c r="J19" s="947">
        <v>0</v>
      </c>
      <c r="K19" s="441"/>
      <c r="L19" s="441"/>
      <c r="M19" s="441"/>
      <c r="N19" s="441"/>
      <c r="O19" s="441"/>
      <c r="P19" s="441"/>
      <c r="Q19" s="441"/>
      <c r="R19" s="441"/>
      <c r="S19" s="441"/>
      <c r="T19" s="441"/>
      <c r="U19" s="441"/>
      <c r="V19" s="441"/>
    </row>
    <row r="20" spans="1:22" ht="18.75">
      <c r="A20" s="457">
        <v>46309</v>
      </c>
      <c r="B20" s="458"/>
      <c r="C20" s="459"/>
      <c r="D20" s="460" t="e">
        <v>#DIV/0!</v>
      </c>
      <c r="E20" s="459"/>
      <c r="F20" s="461" t="e">
        <v>#DIV/0!</v>
      </c>
      <c r="G20" s="462">
        <v>0</v>
      </c>
      <c r="H20" s="463" t="e">
        <v>#DIV/0!</v>
      </c>
      <c r="I20" s="947"/>
      <c r="J20" s="947"/>
      <c r="K20" s="441"/>
      <c r="L20" s="441"/>
      <c r="M20" s="441"/>
      <c r="N20" s="441"/>
      <c r="O20" s="441"/>
      <c r="P20" s="441"/>
      <c r="Q20" s="441"/>
      <c r="R20" s="441"/>
      <c r="S20" s="441"/>
      <c r="T20" s="441"/>
      <c r="U20" s="441"/>
      <c r="V20" s="441"/>
    </row>
    <row r="21" spans="1:22" ht="18.75">
      <c r="A21" s="457">
        <v>46310</v>
      </c>
      <c r="B21" s="458"/>
      <c r="C21" s="459"/>
      <c r="D21" s="460" t="e">
        <v>#DIV/0!</v>
      </c>
      <c r="E21" s="459"/>
      <c r="F21" s="461" t="e">
        <v>#DIV/0!</v>
      </c>
      <c r="G21" s="462">
        <v>0</v>
      </c>
      <c r="H21" s="463" t="e">
        <v>#DIV/0!</v>
      </c>
      <c r="I21" s="947"/>
      <c r="J21" s="947"/>
      <c r="K21" s="441"/>
      <c r="L21" s="441"/>
      <c r="M21" s="441"/>
      <c r="N21" s="441"/>
      <c r="O21" s="441"/>
      <c r="P21" s="441"/>
      <c r="Q21" s="441"/>
      <c r="R21" s="441"/>
      <c r="S21" s="441"/>
      <c r="T21" s="441"/>
      <c r="U21" s="441"/>
      <c r="V21" s="441"/>
    </row>
    <row r="22" spans="1:22" ht="18.75">
      <c r="A22" s="457">
        <v>46311</v>
      </c>
      <c r="B22" s="458"/>
      <c r="C22" s="459"/>
      <c r="D22" s="460" t="e">
        <v>#DIV/0!</v>
      </c>
      <c r="E22" s="459"/>
      <c r="F22" s="461" t="e">
        <v>#DIV/0!</v>
      </c>
      <c r="G22" s="462">
        <v>0</v>
      </c>
      <c r="H22" s="463" t="e">
        <v>#DIV/0!</v>
      </c>
      <c r="I22" s="947"/>
      <c r="J22" s="947"/>
      <c r="K22" s="441"/>
      <c r="L22" s="441"/>
      <c r="M22" s="441"/>
      <c r="N22" s="441"/>
      <c r="O22" s="441"/>
      <c r="P22" s="441"/>
      <c r="Q22" s="441"/>
      <c r="R22" s="441"/>
      <c r="S22" s="441"/>
      <c r="T22" s="441"/>
      <c r="U22" s="441"/>
      <c r="V22" s="441"/>
    </row>
    <row r="23" spans="1:22" ht="18.75">
      <c r="A23" s="457">
        <v>46312</v>
      </c>
      <c r="B23" s="458"/>
      <c r="C23" s="459"/>
      <c r="D23" s="460" t="e">
        <v>#DIV/0!</v>
      </c>
      <c r="E23" s="459"/>
      <c r="F23" s="461" t="e">
        <v>#DIV/0!</v>
      </c>
      <c r="G23" s="462">
        <v>0</v>
      </c>
      <c r="H23" s="463" t="e">
        <v>#DIV/0!</v>
      </c>
      <c r="I23" s="947"/>
      <c r="J23" s="947"/>
      <c r="K23" s="441"/>
      <c r="L23" s="441"/>
      <c r="M23" s="441"/>
      <c r="N23" s="441"/>
      <c r="O23" s="441"/>
      <c r="P23" s="441"/>
      <c r="Q23" s="441"/>
      <c r="R23" s="441"/>
      <c r="S23" s="441"/>
      <c r="T23" s="441"/>
      <c r="U23" s="441"/>
      <c r="V23" s="441"/>
    </row>
    <row r="24" spans="1:22" ht="18.75">
      <c r="A24" s="457">
        <v>46313</v>
      </c>
      <c r="B24" s="458"/>
      <c r="C24" s="459"/>
      <c r="D24" s="460" t="e">
        <v>#DIV/0!</v>
      </c>
      <c r="E24" s="459"/>
      <c r="F24" s="461" t="e">
        <v>#DIV/0!</v>
      </c>
      <c r="G24" s="462">
        <v>0</v>
      </c>
      <c r="H24" s="463" t="e">
        <v>#DIV/0!</v>
      </c>
      <c r="I24" s="947"/>
      <c r="J24" s="947"/>
      <c r="K24" s="441"/>
      <c r="L24" s="441"/>
      <c r="M24" s="441"/>
      <c r="N24" s="441"/>
      <c r="O24" s="441"/>
      <c r="P24" s="441"/>
      <c r="Q24" s="441"/>
      <c r="R24" s="441"/>
      <c r="S24" s="441"/>
      <c r="T24" s="441"/>
      <c r="U24" s="441"/>
      <c r="V24" s="441"/>
    </row>
    <row r="25" spans="1:22" ht="18.75">
      <c r="A25" s="457">
        <v>46314</v>
      </c>
      <c r="B25" s="458"/>
      <c r="C25" s="459"/>
      <c r="D25" s="460" t="e">
        <v>#DIV/0!</v>
      </c>
      <c r="E25" s="459"/>
      <c r="F25" s="461" t="e">
        <v>#DIV/0!</v>
      </c>
      <c r="G25" s="462">
        <v>0</v>
      </c>
      <c r="H25" s="463" t="e">
        <v>#DIV/0!</v>
      </c>
      <c r="I25" s="947"/>
      <c r="J25" s="947"/>
      <c r="K25" s="441"/>
      <c r="L25" s="441"/>
      <c r="M25" s="441"/>
      <c r="N25" s="441"/>
      <c r="O25" s="441"/>
      <c r="P25" s="441"/>
      <c r="Q25" s="441"/>
      <c r="R25" s="441"/>
      <c r="S25" s="441"/>
      <c r="T25" s="441"/>
      <c r="U25" s="441"/>
      <c r="V25" s="441"/>
    </row>
    <row r="26" spans="1:22" ht="18.75">
      <c r="A26" s="464">
        <v>46315</v>
      </c>
      <c r="B26" s="458"/>
      <c r="C26" s="459"/>
      <c r="D26" s="460" t="e">
        <v>#DIV/0!</v>
      </c>
      <c r="E26" s="459"/>
      <c r="F26" s="461" t="e">
        <v>#DIV/0!</v>
      </c>
      <c r="G26" s="462">
        <v>0</v>
      </c>
      <c r="H26" s="463" t="e">
        <v>#DIV/0!</v>
      </c>
      <c r="I26" s="948">
        <v>0</v>
      </c>
      <c r="J26" s="948">
        <v>0</v>
      </c>
      <c r="K26" s="441"/>
      <c r="L26" s="441"/>
      <c r="M26" s="441"/>
      <c r="N26" s="441"/>
      <c r="O26" s="441"/>
      <c r="P26" s="441"/>
      <c r="Q26" s="441"/>
      <c r="R26" s="441"/>
      <c r="S26" s="441"/>
      <c r="T26" s="441"/>
      <c r="U26" s="441"/>
      <c r="V26" s="441"/>
    </row>
    <row r="27" spans="1:22" ht="18.75">
      <c r="A27" s="464">
        <v>46316</v>
      </c>
      <c r="B27" s="458"/>
      <c r="C27" s="459"/>
      <c r="D27" s="460" t="e">
        <v>#DIV/0!</v>
      </c>
      <c r="E27" s="459"/>
      <c r="F27" s="461" t="e">
        <v>#DIV/0!</v>
      </c>
      <c r="G27" s="462">
        <v>0</v>
      </c>
      <c r="H27" s="463" t="e">
        <v>#DIV/0!</v>
      </c>
      <c r="I27" s="948"/>
      <c r="J27" s="948"/>
      <c r="K27" s="441"/>
      <c r="L27" s="441"/>
      <c r="M27" s="441"/>
      <c r="N27" s="441"/>
      <c r="O27" s="441"/>
      <c r="P27" s="441"/>
      <c r="Q27" s="441"/>
      <c r="R27" s="441"/>
      <c r="S27" s="441"/>
      <c r="T27" s="441"/>
      <c r="U27" s="441"/>
      <c r="V27" s="441"/>
    </row>
    <row r="28" spans="1:22" ht="18.75">
      <c r="A28" s="464">
        <v>46317</v>
      </c>
      <c r="B28" s="458"/>
      <c r="C28" s="459"/>
      <c r="D28" s="460" t="e">
        <v>#DIV/0!</v>
      </c>
      <c r="E28" s="459"/>
      <c r="F28" s="461" t="e">
        <v>#DIV/0!</v>
      </c>
      <c r="G28" s="462">
        <v>0</v>
      </c>
      <c r="H28" s="463" t="e">
        <v>#DIV/0!</v>
      </c>
      <c r="I28" s="948"/>
      <c r="J28" s="948"/>
      <c r="K28" s="441"/>
      <c r="L28" s="441"/>
      <c r="M28" s="441"/>
      <c r="N28" s="441"/>
      <c r="O28" s="441"/>
      <c r="P28" s="441"/>
      <c r="Q28" s="441"/>
      <c r="R28" s="441"/>
      <c r="S28" s="441"/>
      <c r="T28" s="441"/>
      <c r="U28" s="441"/>
      <c r="V28" s="441"/>
    </row>
    <row r="29" spans="1:22" ht="18.75">
      <c r="A29" s="464">
        <v>46318</v>
      </c>
      <c r="B29" s="458"/>
      <c r="C29" s="459"/>
      <c r="D29" s="460" t="e">
        <v>#DIV/0!</v>
      </c>
      <c r="E29" s="459"/>
      <c r="F29" s="461" t="e">
        <v>#DIV/0!</v>
      </c>
      <c r="G29" s="462">
        <v>0</v>
      </c>
      <c r="H29" s="463" t="e">
        <v>#DIV/0!</v>
      </c>
      <c r="I29" s="948"/>
      <c r="J29" s="948"/>
      <c r="K29" s="441"/>
      <c r="L29" s="441"/>
      <c r="M29" s="441"/>
      <c r="N29" s="441"/>
      <c r="O29" s="441"/>
      <c r="P29" s="441"/>
      <c r="Q29" s="441"/>
      <c r="R29" s="441"/>
      <c r="S29" s="441"/>
      <c r="T29" s="441"/>
      <c r="U29" s="441"/>
      <c r="V29" s="441"/>
    </row>
    <row r="30" spans="1:22" ht="18.75">
      <c r="A30" s="464">
        <v>46319</v>
      </c>
      <c r="B30" s="458"/>
      <c r="C30" s="459"/>
      <c r="D30" s="460" t="e">
        <v>#DIV/0!</v>
      </c>
      <c r="E30" s="459"/>
      <c r="F30" s="461" t="e">
        <v>#DIV/0!</v>
      </c>
      <c r="G30" s="462">
        <v>0</v>
      </c>
      <c r="H30" s="463" t="e">
        <v>#DIV/0!</v>
      </c>
      <c r="I30" s="948"/>
      <c r="J30" s="948"/>
      <c r="K30" s="441"/>
      <c r="L30" s="441"/>
      <c r="M30" s="441"/>
      <c r="N30" s="441"/>
      <c r="O30" s="441"/>
      <c r="P30" s="441"/>
      <c r="Q30" s="441"/>
      <c r="R30" s="441"/>
      <c r="S30" s="441"/>
      <c r="T30" s="441"/>
      <c r="U30" s="441"/>
      <c r="V30" s="441"/>
    </row>
    <row r="31" spans="1:22" ht="18.75">
      <c r="A31" s="464">
        <v>46320</v>
      </c>
      <c r="B31" s="458"/>
      <c r="C31" s="459"/>
      <c r="D31" s="460" t="e">
        <v>#DIV/0!</v>
      </c>
      <c r="E31" s="459"/>
      <c r="F31" s="461" t="e">
        <v>#DIV/0!</v>
      </c>
      <c r="G31" s="462">
        <v>0</v>
      </c>
      <c r="H31" s="463" t="e">
        <v>#DIV/0!</v>
      </c>
      <c r="I31" s="948"/>
      <c r="J31" s="948"/>
      <c r="K31" s="441"/>
      <c r="L31" s="441"/>
      <c r="M31" s="441"/>
      <c r="N31" s="441"/>
      <c r="O31" s="441"/>
      <c r="P31" s="441"/>
      <c r="Q31" s="441"/>
      <c r="R31" s="441"/>
      <c r="S31" s="441"/>
      <c r="T31" s="441"/>
      <c r="U31" s="441"/>
      <c r="V31" s="441"/>
    </row>
    <row r="32" spans="1:22" ht="18.75">
      <c r="A32" s="464">
        <v>46321</v>
      </c>
      <c r="B32" s="458"/>
      <c r="C32" s="459"/>
      <c r="D32" s="460" t="e">
        <v>#DIV/0!</v>
      </c>
      <c r="E32" s="459"/>
      <c r="F32" s="461" t="e">
        <v>#DIV/0!</v>
      </c>
      <c r="G32" s="462">
        <v>0</v>
      </c>
      <c r="H32" s="463" t="e">
        <v>#DIV/0!</v>
      </c>
      <c r="I32" s="948"/>
      <c r="J32" s="948"/>
      <c r="K32" s="441"/>
      <c r="L32" s="441"/>
      <c r="M32" s="441"/>
      <c r="N32" s="441"/>
      <c r="O32" s="441"/>
      <c r="P32" s="441"/>
      <c r="Q32" s="441"/>
      <c r="R32" s="441"/>
      <c r="S32" s="441"/>
      <c r="T32" s="441"/>
      <c r="U32" s="441"/>
      <c r="V32" s="441"/>
    </row>
    <row r="33" spans="1:22" ht="18.75">
      <c r="A33" s="457">
        <v>46322</v>
      </c>
      <c r="B33" s="458"/>
      <c r="C33" s="459"/>
      <c r="D33" s="460" t="e">
        <v>#DIV/0!</v>
      </c>
      <c r="E33" s="459"/>
      <c r="F33" s="461" t="e">
        <v>#DIV/0!</v>
      </c>
      <c r="G33" s="462">
        <v>0</v>
      </c>
      <c r="H33" s="463" t="e">
        <v>#DIV/0!</v>
      </c>
      <c r="I33" s="947">
        <v>0</v>
      </c>
      <c r="J33" s="947">
        <v>0</v>
      </c>
      <c r="K33" s="441"/>
      <c r="L33" s="441"/>
      <c r="M33" s="441"/>
      <c r="N33" s="441"/>
      <c r="O33" s="441"/>
      <c r="P33" s="441"/>
      <c r="Q33" s="441"/>
      <c r="R33" s="441"/>
      <c r="S33" s="441"/>
      <c r="T33" s="441"/>
      <c r="U33" s="441"/>
      <c r="V33" s="441"/>
    </row>
    <row r="34" spans="1:22" ht="18.75">
      <c r="A34" s="457">
        <v>46323</v>
      </c>
      <c r="B34" s="458"/>
      <c r="C34" s="459"/>
      <c r="D34" s="460" t="e">
        <v>#DIV/0!</v>
      </c>
      <c r="E34" s="459"/>
      <c r="F34" s="461" t="e">
        <v>#DIV/0!</v>
      </c>
      <c r="G34" s="462">
        <v>0</v>
      </c>
      <c r="H34" s="463" t="e">
        <v>#DIV/0!</v>
      </c>
      <c r="I34" s="947"/>
      <c r="J34" s="947"/>
      <c r="K34" s="441"/>
      <c r="L34" s="441"/>
      <c r="M34" s="441"/>
      <c r="N34" s="441"/>
      <c r="O34" s="441"/>
      <c r="P34" s="441"/>
      <c r="Q34" s="441"/>
      <c r="R34" s="441"/>
      <c r="S34" s="441"/>
      <c r="T34" s="441"/>
      <c r="U34" s="441"/>
      <c r="V34" s="441"/>
    </row>
    <row r="35" spans="1:22" ht="18.75">
      <c r="A35" s="457">
        <v>46324</v>
      </c>
      <c r="B35" s="458"/>
      <c r="C35" s="459"/>
      <c r="D35" s="460" t="e">
        <v>#DIV/0!</v>
      </c>
      <c r="E35" s="459"/>
      <c r="F35" s="461" t="e">
        <v>#DIV/0!</v>
      </c>
      <c r="G35" s="462">
        <v>0</v>
      </c>
      <c r="H35" s="463" t="e">
        <v>#DIV/0!</v>
      </c>
      <c r="I35" s="947"/>
      <c r="J35" s="947"/>
      <c r="K35" s="441"/>
      <c r="L35" s="441"/>
      <c r="M35" s="441"/>
      <c r="N35" s="441"/>
      <c r="O35" s="441"/>
      <c r="P35" s="441"/>
      <c r="Q35" s="441"/>
      <c r="R35" s="441"/>
      <c r="S35" s="441"/>
      <c r="T35" s="441"/>
      <c r="U35" s="441"/>
      <c r="V35" s="441"/>
    </row>
    <row r="36" spans="1:22" ht="18.75">
      <c r="A36" s="457">
        <v>46325</v>
      </c>
      <c r="B36" s="458"/>
      <c r="C36" s="459"/>
      <c r="D36" s="460" t="e">
        <v>#DIV/0!</v>
      </c>
      <c r="E36" s="459"/>
      <c r="F36" s="461" t="e">
        <v>#DIV/0!</v>
      </c>
      <c r="G36" s="462">
        <v>0</v>
      </c>
      <c r="H36" s="463" t="e">
        <v>#DIV/0!</v>
      </c>
      <c r="I36" s="947"/>
      <c r="J36" s="947"/>
      <c r="K36" s="441"/>
      <c r="L36" s="441"/>
      <c r="M36" s="441"/>
      <c r="N36" s="441"/>
      <c r="O36" s="441"/>
      <c r="P36" s="441"/>
      <c r="Q36" s="441"/>
      <c r="R36" s="441"/>
      <c r="S36" s="441"/>
      <c r="T36" s="441"/>
      <c r="U36" s="441"/>
      <c r="V36" s="441"/>
    </row>
    <row r="37" spans="1:22" ht="18.75">
      <c r="A37" s="457">
        <v>46326</v>
      </c>
      <c r="B37" s="458"/>
      <c r="C37" s="459"/>
      <c r="D37" s="460" t="e">
        <v>#DIV/0!</v>
      </c>
      <c r="E37" s="459"/>
      <c r="F37" s="461" t="e">
        <v>#DIV/0!</v>
      </c>
      <c r="G37" s="462">
        <v>0</v>
      </c>
      <c r="H37" s="463" t="e">
        <v>#DIV/0!</v>
      </c>
      <c r="I37" s="947"/>
      <c r="J37" s="947"/>
      <c r="K37" s="441"/>
      <c r="L37" s="441"/>
      <c r="M37" s="441"/>
      <c r="N37" s="441"/>
      <c r="O37" s="441"/>
      <c r="P37" s="441"/>
      <c r="Q37" s="441"/>
      <c r="R37" s="441"/>
      <c r="S37" s="441"/>
      <c r="T37" s="441"/>
      <c r="U37" s="441"/>
      <c r="V37" s="441"/>
    </row>
    <row r="38" spans="1:22" ht="18.75">
      <c r="A38" s="457">
        <v>46327</v>
      </c>
      <c r="B38" s="458"/>
      <c r="C38" s="459"/>
      <c r="D38" s="460" t="e">
        <v>#DIV/0!</v>
      </c>
      <c r="E38" s="459"/>
      <c r="F38" s="461" t="e">
        <v>#DIV/0!</v>
      </c>
      <c r="G38" s="462">
        <v>0</v>
      </c>
      <c r="H38" s="463" t="e">
        <v>#DIV/0!</v>
      </c>
      <c r="I38" s="947"/>
      <c r="J38" s="947"/>
      <c r="K38" s="441"/>
      <c r="L38" s="441"/>
      <c r="M38" s="441"/>
      <c r="N38" s="441"/>
      <c r="O38" s="441"/>
      <c r="P38" s="441"/>
      <c r="Q38" s="441"/>
      <c r="R38" s="441"/>
      <c r="S38" s="441"/>
      <c r="T38" s="441"/>
      <c r="U38" s="441"/>
      <c r="V38" s="441"/>
    </row>
    <row r="39" spans="1:22" ht="18.75">
      <c r="A39" s="457">
        <v>46328</v>
      </c>
      <c r="B39" s="458"/>
      <c r="C39" s="459"/>
      <c r="D39" s="460" t="e">
        <v>#DIV/0!</v>
      </c>
      <c r="E39" s="459"/>
      <c r="F39" s="461" t="e">
        <v>#DIV/0!</v>
      </c>
      <c r="G39" s="462">
        <v>0</v>
      </c>
      <c r="H39" s="463" t="e">
        <v>#DIV/0!</v>
      </c>
      <c r="I39" s="947"/>
      <c r="J39" s="947"/>
      <c r="K39" s="441"/>
      <c r="L39" s="441"/>
      <c r="M39" s="441"/>
      <c r="N39" s="441"/>
      <c r="O39" s="441"/>
      <c r="P39" s="441"/>
      <c r="Q39" s="441"/>
      <c r="R39" s="441"/>
      <c r="S39" s="441"/>
      <c r="T39" s="441"/>
      <c r="U39" s="441"/>
      <c r="V39" s="441"/>
    </row>
    <row r="40" spans="1:22" ht="18.75">
      <c r="A40" s="464">
        <v>46329</v>
      </c>
      <c r="B40" s="458"/>
      <c r="C40" s="459"/>
      <c r="D40" s="460" t="e">
        <v>#DIV/0!</v>
      </c>
      <c r="E40" s="459"/>
      <c r="F40" s="461" t="e">
        <v>#DIV/0!</v>
      </c>
      <c r="G40" s="462">
        <v>0</v>
      </c>
      <c r="H40" s="463" t="e">
        <v>#DIV/0!</v>
      </c>
      <c r="I40" s="948">
        <v>0</v>
      </c>
      <c r="J40" s="948">
        <v>0</v>
      </c>
      <c r="K40" s="441"/>
      <c r="L40" s="441"/>
      <c r="M40" s="441"/>
      <c r="N40" s="441"/>
      <c r="O40" s="441"/>
      <c r="P40" s="441"/>
      <c r="Q40" s="441"/>
      <c r="R40" s="441"/>
      <c r="S40" s="441"/>
      <c r="T40" s="441"/>
      <c r="U40" s="441"/>
      <c r="V40" s="441"/>
    </row>
    <row r="41" spans="1:22" ht="18.75">
      <c r="A41" s="464">
        <v>46330</v>
      </c>
      <c r="B41" s="458"/>
      <c r="C41" s="459"/>
      <c r="D41" s="460" t="e">
        <v>#DIV/0!</v>
      </c>
      <c r="E41" s="459"/>
      <c r="F41" s="461" t="e">
        <v>#DIV/0!</v>
      </c>
      <c r="G41" s="462">
        <v>0</v>
      </c>
      <c r="H41" s="463" t="e">
        <v>#DIV/0!</v>
      </c>
      <c r="I41" s="948"/>
      <c r="J41" s="948"/>
      <c r="K41" s="441"/>
      <c r="L41" s="441"/>
      <c r="M41" s="441"/>
      <c r="N41" s="441"/>
      <c r="O41" s="441"/>
      <c r="P41" s="441"/>
      <c r="Q41" s="441"/>
      <c r="R41" s="441"/>
      <c r="S41" s="441"/>
      <c r="T41" s="441"/>
      <c r="U41" s="441"/>
      <c r="V41" s="441"/>
    </row>
    <row r="42" spans="1:22" ht="18.75">
      <c r="A42" s="464">
        <v>46331</v>
      </c>
      <c r="B42" s="458"/>
      <c r="C42" s="459"/>
      <c r="D42" s="460" t="e">
        <v>#DIV/0!</v>
      </c>
      <c r="E42" s="459"/>
      <c r="F42" s="461" t="e">
        <v>#DIV/0!</v>
      </c>
      <c r="G42" s="462">
        <v>0</v>
      </c>
      <c r="H42" s="463" t="e">
        <v>#DIV/0!</v>
      </c>
      <c r="I42" s="948"/>
      <c r="J42" s="948"/>
      <c r="K42" s="441"/>
      <c r="L42" s="441"/>
      <c r="M42" s="441"/>
      <c r="N42" s="441"/>
      <c r="O42" s="441"/>
      <c r="P42" s="441"/>
      <c r="Q42" s="441"/>
      <c r="R42" s="441"/>
      <c r="S42" s="441"/>
      <c r="T42" s="441"/>
      <c r="U42" s="441"/>
      <c r="V42" s="441"/>
    </row>
    <row r="43" spans="1:22" ht="18.75">
      <c r="A43" s="464">
        <v>46332</v>
      </c>
      <c r="B43" s="458"/>
      <c r="C43" s="459"/>
      <c r="D43" s="460" t="e">
        <v>#DIV/0!</v>
      </c>
      <c r="E43" s="459"/>
      <c r="F43" s="461" t="e">
        <v>#DIV/0!</v>
      </c>
      <c r="G43" s="462">
        <v>0</v>
      </c>
      <c r="H43" s="463" t="e">
        <v>#DIV/0!</v>
      </c>
      <c r="I43" s="948"/>
      <c r="J43" s="948"/>
      <c r="K43" s="441"/>
      <c r="L43" s="441"/>
      <c r="M43" s="441"/>
      <c r="N43" s="441"/>
      <c r="O43" s="441"/>
      <c r="P43" s="441"/>
      <c r="Q43" s="441"/>
      <c r="R43" s="441"/>
      <c r="S43" s="441"/>
      <c r="T43" s="441"/>
      <c r="U43" s="441"/>
      <c r="V43" s="441"/>
    </row>
    <row r="44" spans="1:22" ht="18.75">
      <c r="A44" s="464">
        <v>46333</v>
      </c>
      <c r="B44" s="458"/>
      <c r="C44" s="459"/>
      <c r="D44" s="460" t="e">
        <v>#DIV/0!</v>
      </c>
      <c r="E44" s="459"/>
      <c r="F44" s="461" t="e">
        <v>#DIV/0!</v>
      </c>
      <c r="G44" s="462">
        <v>0</v>
      </c>
      <c r="H44" s="463" t="e">
        <v>#DIV/0!</v>
      </c>
      <c r="I44" s="948"/>
      <c r="J44" s="948"/>
      <c r="K44" s="441"/>
      <c r="L44" s="441"/>
      <c r="M44" s="441"/>
      <c r="N44" s="441"/>
      <c r="O44" s="441"/>
      <c r="P44" s="441"/>
      <c r="Q44" s="441"/>
      <c r="R44" s="441"/>
      <c r="S44" s="441"/>
      <c r="T44" s="441"/>
      <c r="U44" s="441"/>
      <c r="V44" s="441"/>
    </row>
    <row r="45" spans="1:22" ht="18.75">
      <c r="A45" s="464">
        <v>46334</v>
      </c>
      <c r="B45" s="458"/>
      <c r="C45" s="459"/>
      <c r="D45" s="460" t="e">
        <v>#DIV/0!</v>
      </c>
      <c r="E45" s="459"/>
      <c r="F45" s="461" t="e">
        <v>#DIV/0!</v>
      </c>
      <c r="G45" s="462">
        <v>0</v>
      </c>
      <c r="H45" s="463" t="e">
        <v>#DIV/0!</v>
      </c>
      <c r="I45" s="948"/>
      <c r="J45" s="948"/>
      <c r="K45" s="441"/>
      <c r="L45" s="441"/>
      <c r="M45" s="441"/>
      <c r="N45" s="441"/>
      <c r="O45" s="441"/>
      <c r="P45" s="441"/>
      <c r="Q45" s="441"/>
      <c r="R45" s="441"/>
      <c r="S45" s="441"/>
      <c r="T45" s="441"/>
      <c r="U45" s="441"/>
      <c r="V45" s="441"/>
    </row>
    <row r="46" spans="1:22" ht="18.75">
      <c r="A46" s="464">
        <v>46335</v>
      </c>
      <c r="B46" s="458"/>
      <c r="C46" s="459"/>
      <c r="D46" s="460" t="e">
        <v>#DIV/0!</v>
      </c>
      <c r="E46" s="459"/>
      <c r="F46" s="461" t="e">
        <v>#DIV/0!</v>
      </c>
      <c r="G46" s="462">
        <v>0</v>
      </c>
      <c r="H46" s="463" t="e">
        <v>#DIV/0!</v>
      </c>
      <c r="I46" s="948"/>
      <c r="J46" s="948"/>
      <c r="K46" s="441"/>
      <c r="L46" s="441"/>
      <c r="M46" s="441"/>
      <c r="N46" s="441"/>
      <c r="O46" s="441"/>
      <c r="P46" s="441"/>
      <c r="Q46" s="441"/>
      <c r="R46" s="441"/>
      <c r="S46" s="441"/>
      <c r="T46" s="441"/>
      <c r="U46" s="441"/>
      <c r="V46" s="441"/>
    </row>
    <row r="47" spans="1:22" ht="18.75">
      <c r="A47" s="441"/>
      <c r="B47" s="441"/>
      <c r="C47" s="441"/>
      <c r="D47" s="441"/>
      <c r="E47" s="441"/>
      <c r="F47" s="441"/>
      <c r="G47" s="441"/>
      <c r="H47" s="441"/>
      <c r="I47" s="441"/>
      <c r="J47" s="441"/>
      <c r="K47" s="441"/>
      <c r="L47" s="441"/>
      <c r="M47" s="441"/>
      <c r="N47" s="441"/>
      <c r="O47" s="441"/>
      <c r="P47" s="441"/>
      <c r="Q47" s="441"/>
      <c r="R47" s="441"/>
      <c r="S47" s="441"/>
      <c r="T47" s="441"/>
      <c r="U47" s="441"/>
      <c r="V47" s="441"/>
    </row>
    <row r="48" spans="1:22" ht="18.75">
      <c r="A48" s="465" t="s">
        <v>714</v>
      </c>
      <c r="B48" s="466">
        <f>SUM(B5:B46)</f>
        <v>118709716</v>
      </c>
      <c r="C48" s="441"/>
      <c r="D48" s="441"/>
      <c r="E48" s="441"/>
      <c r="F48" s="441"/>
      <c r="G48" s="441"/>
      <c r="H48" s="441"/>
      <c r="I48" s="441"/>
      <c r="J48" s="441"/>
      <c r="K48" s="441"/>
      <c r="L48" s="441"/>
      <c r="M48" s="441"/>
      <c r="N48" s="441"/>
      <c r="O48" s="441"/>
      <c r="P48" s="441"/>
      <c r="Q48" s="441"/>
      <c r="R48" s="441"/>
      <c r="S48" s="441"/>
      <c r="T48" s="441"/>
      <c r="U48" s="441"/>
      <c r="V48" s="441"/>
    </row>
    <row r="49" spans="1:22" ht="18.75">
      <c r="A49" s="441"/>
      <c r="B49" s="441"/>
      <c r="C49" s="441"/>
      <c r="D49" s="441"/>
      <c r="E49" s="441"/>
      <c r="F49" s="441"/>
      <c r="G49" s="441"/>
      <c r="H49" s="441"/>
      <c r="I49" s="441"/>
      <c r="J49" s="441"/>
      <c r="K49" s="441"/>
      <c r="L49" s="441"/>
      <c r="M49" s="441"/>
      <c r="N49" s="441"/>
      <c r="O49" s="441"/>
      <c r="P49" s="441"/>
      <c r="Q49" s="441"/>
      <c r="R49" s="441"/>
      <c r="S49" s="441"/>
      <c r="T49" s="441"/>
      <c r="U49" s="441"/>
      <c r="V49" s="441"/>
    </row>
  </sheetData>
  <mergeCells count="19">
    <mergeCell ref="J33:J39"/>
    <mergeCell ref="I40:I46"/>
    <mergeCell ref="J40:J46"/>
    <mergeCell ref="J12:J18"/>
    <mergeCell ref="I19:I25"/>
    <mergeCell ref="J19:J25"/>
    <mergeCell ref="I26:I32"/>
    <mergeCell ref="J26:J32"/>
    <mergeCell ref="I33:I39"/>
    <mergeCell ref="I5:I11"/>
    <mergeCell ref="I12:I18"/>
    <mergeCell ref="A1:J1"/>
    <mergeCell ref="A2:A3"/>
    <mergeCell ref="B2:B3"/>
    <mergeCell ref="C2:C3"/>
    <mergeCell ref="D2:D3"/>
    <mergeCell ref="I2:I4"/>
    <mergeCell ref="J2:J4"/>
    <mergeCell ref="J5:J11"/>
  </mergeCells>
  <phoneticPr fontId="13" type="noConversion"/>
  <conditionalFormatting sqref="A5:A46">
    <cfRule type="timePeriod" dxfId="3" priority="2" timePeriod="yesterday">
      <formula>FLOOR(A5,1)=TODAY()-1</formula>
    </cfRule>
  </conditionalFormatting>
  <conditionalFormatting sqref="D5:D18">
    <cfRule type="cellIs" dxfId="2" priority="1" operator="greaterThan">
      <formula>0.0025</formula>
    </cfRule>
  </conditionalFormatting>
  <conditionalFormatting sqref="D19:D46">
    <cfRule type="cellIs" dxfId="1" priority="3" operator="greaterThan">
      <formula>0.0025</formula>
    </cfRule>
  </conditionalFormatting>
  <conditionalFormatting sqref="D48">
    <cfRule type="cellIs" dxfId="0" priority="5" operator="greaterThan">
      <formula>0.0025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B2:G23"/>
  <sheetViews>
    <sheetView view="pageBreakPreview" zoomScale="115" zoomScaleNormal="100" zoomScaleSheetLayoutView="115" workbookViewId="0">
      <selection activeCell="Q19" sqref="Q19"/>
    </sheetView>
  </sheetViews>
  <sheetFormatPr defaultColWidth="8.7109375" defaultRowHeight="14.25"/>
  <cols>
    <col min="1" max="2" width="8.7109375" style="203"/>
    <col min="3" max="3" width="14" style="203" bestFit="1" customWidth="1"/>
    <col min="4" max="4" width="0.28515625" style="203" customWidth="1"/>
    <col min="5" max="5" width="8.7109375" style="203"/>
    <col min="6" max="6" width="16.28515625" style="203" bestFit="1" customWidth="1"/>
    <col min="7" max="16384" width="8.7109375" style="203"/>
  </cols>
  <sheetData>
    <row r="2" spans="2:7" ht="15.75">
      <c r="B2" s="949" t="s">
        <v>233</v>
      </c>
      <c r="C2" s="949"/>
      <c r="D2" s="949"/>
      <c r="E2" s="949"/>
      <c r="F2" s="949"/>
    </row>
    <row r="3" spans="2:7" ht="15">
      <c r="B3" s="204" t="s">
        <v>234</v>
      </c>
      <c r="C3" s="204" t="s">
        <v>235</v>
      </c>
      <c r="D3" s="205"/>
      <c r="E3" s="204" t="s">
        <v>236</v>
      </c>
      <c r="F3" s="204" t="s">
        <v>237</v>
      </c>
      <c r="G3" s="205"/>
    </row>
    <row r="4" spans="2:7" ht="15">
      <c r="B4" s="206" t="s">
        <v>238</v>
      </c>
      <c r="C4" s="206" t="s">
        <v>239</v>
      </c>
      <c r="D4" s="205"/>
      <c r="E4" s="206" t="s">
        <v>240</v>
      </c>
      <c r="F4" s="206" t="s">
        <v>241</v>
      </c>
      <c r="G4" s="205"/>
    </row>
    <row r="5" spans="2:7" ht="15">
      <c r="B5" s="206" t="s">
        <v>242</v>
      </c>
      <c r="C5" s="206" t="s">
        <v>243</v>
      </c>
      <c r="D5" s="205"/>
      <c r="E5" s="206" t="s">
        <v>244</v>
      </c>
      <c r="F5" s="206" t="s">
        <v>245</v>
      </c>
      <c r="G5" s="205"/>
    </row>
    <row r="6" spans="2:7" ht="15">
      <c r="B6" s="206" t="s">
        <v>246</v>
      </c>
      <c r="C6" s="206" t="s">
        <v>247</v>
      </c>
      <c r="D6" s="205"/>
      <c r="E6" s="207" t="s">
        <v>248</v>
      </c>
      <c r="F6" s="207" t="s">
        <v>136</v>
      </c>
      <c r="G6" s="205"/>
    </row>
    <row r="7" spans="2:7" ht="15">
      <c r="B7" s="207" t="s">
        <v>249</v>
      </c>
      <c r="C7" s="207" t="s">
        <v>250</v>
      </c>
      <c r="D7" s="205"/>
      <c r="E7" s="206" t="s">
        <v>251</v>
      </c>
      <c r="F7" s="206" t="s">
        <v>252</v>
      </c>
      <c r="G7" s="205"/>
    </row>
    <row r="8" spans="2:7" ht="15">
      <c r="B8" s="206" t="s">
        <v>253</v>
      </c>
      <c r="C8" s="206" t="s">
        <v>254</v>
      </c>
      <c r="D8" s="205"/>
      <c r="E8" s="206" t="s">
        <v>255</v>
      </c>
      <c r="F8" s="206" t="s">
        <v>256</v>
      </c>
      <c r="G8" s="205"/>
    </row>
    <row r="9" spans="2:7" ht="15">
      <c r="B9" s="206" t="s">
        <v>257</v>
      </c>
      <c r="C9" s="206" t="s">
        <v>258</v>
      </c>
      <c r="D9" s="205"/>
      <c r="E9" s="207" t="s">
        <v>259</v>
      </c>
      <c r="F9" s="207" t="s">
        <v>135</v>
      </c>
      <c r="G9" s="205"/>
    </row>
    <row r="10" spans="2:7" ht="15">
      <c r="B10" s="206" t="s">
        <v>260</v>
      </c>
      <c r="C10" s="206" t="s">
        <v>261</v>
      </c>
      <c r="D10" s="205"/>
      <c r="E10" s="206" t="s">
        <v>262</v>
      </c>
      <c r="F10" s="206" t="s">
        <v>263</v>
      </c>
      <c r="G10" s="205"/>
    </row>
    <row r="11" spans="2:7" ht="15">
      <c r="B11" s="206" t="s">
        <v>264</v>
      </c>
      <c r="C11" s="206" t="s">
        <v>265</v>
      </c>
      <c r="D11" s="205"/>
      <c r="E11" s="206" t="s">
        <v>266</v>
      </c>
      <c r="F11" s="206" t="s">
        <v>256</v>
      </c>
      <c r="G11" s="205"/>
    </row>
    <row r="12" spans="2:7" ht="15">
      <c r="B12" s="206" t="s">
        <v>267</v>
      </c>
      <c r="C12" s="206" t="s">
        <v>268</v>
      </c>
      <c r="D12" s="205"/>
      <c r="E12" s="206" t="s">
        <v>269</v>
      </c>
      <c r="F12" s="206" t="s">
        <v>270</v>
      </c>
      <c r="G12" s="205"/>
    </row>
    <row r="13" spans="2:7" ht="15">
      <c r="B13" s="207" t="s">
        <v>271</v>
      </c>
      <c r="C13" s="207" t="s">
        <v>131</v>
      </c>
      <c r="D13" s="205"/>
      <c r="E13" s="206" t="s">
        <v>272</v>
      </c>
      <c r="F13" s="206" t="s">
        <v>273</v>
      </c>
      <c r="G13" s="205"/>
    </row>
    <row r="14" spans="2:7" ht="15">
      <c r="B14" s="206" t="s">
        <v>274</v>
      </c>
      <c r="C14" s="206" t="s">
        <v>275</v>
      </c>
      <c r="D14" s="205"/>
      <c r="E14" s="207" t="s">
        <v>276</v>
      </c>
      <c r="F14" s="207" t="s">
        <v>277</v>
      </c>
      <c r="G14" s="205"/>
    </row>
    <row r="15" spans="2:7" ht="15">
      <c r="B15" s="207" t="s">
        <v>278</v>
      </c>
      <c r="C15" s="207" t="s">
        <v>279</v>
      </c>
      <c r="D15" s="205"/>
      <c r="E15" s="206" t="s">
        <v>280</v>
      </c>
      <c r="F15" s="206" t="s">
        <v>277</v>
      </c>
      <c r="G15" s="205"/>
    </row>
    <row r="16" spans="2:7" ht="15">
      <c r="B16" s="206" t="s">
        <v>281</v>
      </c>
      <c r="C16" s="206" t="s">
        <v>282</v>
      </c>
      <c r="D16" s="205"/>
      <c r="E16" s="207" t="s">
        <v>283</v>
      </c>
      <c r="F16" s="207" t="s">
        <v>284</v>
      </c>
      <c r="G16" s="205"/>
    </row>
    <row r="17" spans="2:7" ht="15">
      <c r="B17" s="206" t="s">
        <v>285</v>
      </c>
      <c r="C17" s="206" t="s">
        <v>286</v>
      </c>
      <c r="D17" s="205"/>
      <c r="E17" s="206" t="s">
        <v>287</v>
      </c>
      <c r="F17" s="206" t="s">
        <v>288</v>
      </c>
      <c r="G17" s="205"/>
    </row>
    <row r="18" spans="2:7" ht="15">
      <c r="B18" s="206" t="s">
        <v>289</v>
      </c>
      <c r="C18" s="206" t="s">
        <v>290</v>
      </c>
      <c r="D18" s="205"/>
      <c r="E18" s="206" t="s">
        <v>291</v>
      </c>
      <c r="F18" s="206" t="s">
        <v>292</v>
      </c>
      <c r="G18" s="205"/>
    </row>
    <row r="19" spans="2:7" ht="15">
      <c r="B19" s="206" t="s">
        <v>293</v>
      </c>
      <c r="C19" s="206" t="s">
        <v>294</v>
      </c>
      <c r="D19" s="205"/>
      <c r="E19" s="206" t="s">
        <v>295</v>
      </c>
      <c r="F19" s="206" t="s">
        <v>296</v>
      </c>
      <c r="G19" s="205"/>
    </row>
    <row r="20" spans="2:7" ht="15">
      <c r="B20" s="206" t="s">
        <v>297</v>
      </c>
      <c r="C20" s="206" t="s">
        <v>298</v>
      </c>
      <c r="D20" s="205"/>
      <c r="G20" s="205"/>
    </row>
    <row r="21" spans="2:7" ht="15">
      <c r="D21" s="205"/>
      <c r="G21" s="205"/>
    </row>
    <row r="22" spans="2:7" ht="15">
      <c r="D22" s="205"/>
      <c r="G22" s="205"/>
    </row>
    <row r="23" spans="2:7" ht="15">
      <c r="D23" s="205"/>
      <c r="G23" s="205"/>
    </row>
  </sheetData>
  <mergeCells count="1">
    <mergeCell ref="B2:F2"/>
  </mergeCells>
  <phoneticPr fontId="13" type="noConversion"/>
  <pageMargins left="0" right="0" top="0" bottom="0" header="0" footer="0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32</vt:i4>
      </vt:variant>
      <vt:variant>
        <vt:lpstr>具名範圍</vt:lpstr>
      </vt:variant>
      <vt:variant>
        <vt:i4>12</vt:i4>
      </vt:variant>
    </vt:vector>
  </HeadingPairs>
  <TitlesOfParts>
    <vt:vector size="44" baseType="lpstr">
      <vt:lpstr>填寫舉例</vt:lpstr>
      <vt:lpstr>生產管理報表(月)</vt:lpstr>
      <vt:lpstr>生產管理報表(週) </vt:lpstr>
      <vt:lpstr>（１）收支狀況</vt:lpstr>
      <vt:lpstr>（２）ＫＰＩ達成進度</vt:lpstr>
      <vt:lpstr>（３）業績構成比</vt:lpstr>
      <vt:lpstr>（４）訂單數量構成比</vt:lpstr>
      <vt:lpstr>（５-1）品群別人時生產性（18℃-飯糰）</vt:lpstr>
      <vt:lpstr>（５-2）品群別人時生產性（18-壽司手卷)</vt:lpstr>
      <vt:lpstr>（５-3）品群別人時生產性（4℃-飯糰)</vt:lpstr>
      <vt:lpstr>（５-4）品群別人時生產性（4℃-壽司手卷)</vt:lpstr>
      <vt:lpstr>（５-5）品群別人時生產性(主食) </vt:lpstr>
      <vt:lpstr>（５-6）品群別人時生產性(便當)</vt:lpstr>
      <vt:lpstr>（５-7）品群別人時生產性(熱食義麵) </vt:lpstr>
      <vt:lpstr>（５-8）品群別人時生產性(季節調理麵) </vt:lpstr>
      <vt:lpstr>（５-9）品群別人時生產性(微波小吃)</vt:lpstr>
      <vt:lpstr>生產管理報表 6-1</vt:lpstr>
      <vt:lpstr>生產管理報表 6-2</vt:lpstr>
      <vt:lpstr>生產管理報表 6-3</vt:lpstr>
      <vt:lpstr>生產管理報表 6-4</vt:lpstr>
      <vt:lpstr>生產管理報表 6-5</vt:lpstr>
      <vt:lpstr>生產管理報表 7-1(月)</vt:lpstr>
      <vt:lpstr>生產管理報表 7-1 (週)</vt:lpstr>
      <vt:lpstr>生產管理報表 8-1(報廢)</vt:lpstr>
      <vt:lpstr>生產管理報表 8-2(報廢)</vt:lpstr>
      <vt:lpstr>生產管理報表 8-3(超用)</vt:lpstr>
      <vt:lpstr>生產管理報表 8-4(超用)</vt:lpstr>
      <vt:lpstr>生產管理報表 9</vt:lpstr>
      <vt:lpstr>報廢20大－原因別分析</vt:lpstr>
      <vt:lpstr>超用20大－原因別分析</vt:lpstr>
      <vt:lpstr>日別報廢率總表  </vt:lpstr>
      <vt:lpstr>鮮食品群番</vt:lpstr>
      <vt:lpstr>'生產管理報表 6-1'!Print_Area</vt:lpstr>
      <vt:lpstr>'生產管理報表 6-2'!Print_Area</vt:lpstr>
      <vt:lpstr>'生產管理報表 6-3'!Print_Area</vt:lpstr>
      <vt:lpstr>'生產管理報表 6-4'!Print_Area</vt:lpstr>
      <vt:lpstr>'生產管理報表 6-5'!Print_Area</vt:lpstr>
      <vt:lpstr>'生產管理報表 7-1 (週)'!Print_Area</vt:lpstr>
      <vt:lpstr>'生產管理報表 7-1(月)'!Print_Area</vt:lpstr>
      <vt:lpstr>'生產管理報表 8-3(超用)'!Print_Area</vt:lpstr>
      <vt:lpstr>'生產管理報表 8-4(超用)'!Print_Area</vt:lpstr>
      <vt:lpstr>'生產管理報表(月)'!Print_Area</vt:lpstr>
      <vt:lpstr>'生產管理報表(週) '!Print_Area</vt:lpstr>
      <vt:lpstr>鮮食品群番!Print_Area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丁珮心</dc:creator>
  <cp:lastModifiedBy>政輝 莊</cp:lastModifiedBy>
  <cp:lastPrinted>2025-07-28T04:42:39Z</cp:lastPrinted>
  <dcterms:created xsi:type="dcterms:W3CDTF">2025-07-03T16:36:59Z</dcterms:created>
  <dcterms:modified xsi:type="dcterms:W3CDTF">2026-10-14T13:58:50Z</dcterms:modified>
</cp:coreProperties>
</file>